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int30\tmv30_v30\scripts\results\"/>
    </mc:Choice>
  </mc:AlternateContent>
  <xr:revisionPtr revIDLastSave="0" documentId="13_ncr:1_{1E71D051-DC7C-430E-8041-A47856934CEE}"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J50" i="6" s="1"/>
  <c r="C36" i="1" s="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Y47" i="6" s="1"/>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K48" i="6" s="1"/>
  <c r="J5" i="6"/>
  <c r="X1" i="6"/>
  <c r="J1" i="6"/>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Y47" i="5" s="1"/>
  <c r="X28" i="5"/>
  <c r="K28" i="5"/>
  <c r="J28" i="5"/>
  <c r="Y27" i="5"/>
  <c r="X27" i="5"/>
  <c r="K27" i="5"/>
  <c r="J27" i="5"/>
  <c r="Y26" i="5"/>
  <c r="X26" i="5"/>
  <c r="K26" i="5"/>
  <c r="J26" i="5"/>
  <c r="Y25" i="5"/>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J5" i="5"/>
  <c r="X1" i="5"/>
  <c r="J1" i="5"/>
  <c r="R17" i="3"/>
  <c r="Q17" i="3"/>
  <c r="L17" i="3"/>
  <c r="K17" i="3"/>
  <c r="I13" i="3"/>
  <c r="O12" i="3"/>
  <c r="N12" i="3"/>
  <c r="I12" i="3"/>
  <c r="H12" i="3"/>
  <c r="O11" i="3"/>
  <c r="T11" i="3" s="1"/>
  <c r="N11" i="3"/>
  <c r="I11" i="3"/>
  <c r="H11" i="3"/>
  <c r="O10" i="3"/>
  <c r="N10" i="3"/>
  <c r="I10" i="3"/>
  <c r="H10" i="3"/>
  <c r="O9" i="3"/>
  <c r="N9" i="3"/>
  <c r="I9" i="3"/>
  <c r="H9" i="3"/>
  <c r="O8" i="3"/>
  <c r="N8" i="3"/>
  <c r="I8" i="3"/>
  <c r="T8" i="3" s="1"/>
  <c r="H8" i="3"/>
  <c r="O7" i="3"/>
  <c r="N7" i="3"/>
  <c r="I7" i="3"/>
  <c r="I14" i="3" s="1"/>
  <c r="H7" i="3"/>
  <c r="O6" i="3"/>
  <c r="N6" i="3"/>
  <c r="I6" i="3"/>
  <c r="H6" i="3"/>
  <c r="O5" i="3"/>
  <c r="O16" i="3" s="1"/>
  <c r="N5" i="3"/>
  <c r="I5" i="3"/>
  <c r="H5" i="3"/>
  <c r="B1" i="2"/>
  <c r="AL40" i="6" a="1"/>
  <c r="AL25" i="6" a="1"/>
  <c r="AO20" i="6" a="1"/>
  <c r="AM10" i="6" a="1"/>
  <c r="AP5" i="6" a="1"/>
  <c r="AN40" i="5" a="1"/>
  <c r="AR35" i="5" a="1"/>
  <c r="AL30" i="5" a="1"/>
  <c r="AL15" i="5" a="1"/>
  <c r="AO10" i="5" a="1"/>
  <c r="AN30" i="6" a="1"/>
  <c r="AQ30" i="5" a="1"/>
  <c r="AQ40" i="5" a="1"/>
  <c r="AN40" i="6" a="1"/>
  <c r="AP35" i="6" a="1"/>
  <c r="AP25" i="5" a="1"/>
  <c r="AO35" i="6" a="1"/>
  <c r="AR30" i="6" a="1"/>
  <c r="AN20" i="6" a="1"/>
  <c r="AR15" i="6" a="1"/>
  <c r="AL10" i="6" a="1"/>
  <c r="AM40" i="5" a="1"/>
  <c r="AO25" i="5" a="1"/>
  <c r="AR20" i="5" a="1"/>
  <c r="AN10" i="5" a="1"/>
  <c r="AR5" i="5" a="1"/>
  <c r="AN15" i="6" a="1"/>
  <c r="AP10" i="6" a="1"/>
  <c r="AO10" i="6" a="1"/>
  <c r="AM40" i="6" a="1"/>
  <c r="AN35" i="6" a="1"/>
  <c r="AQ30" i="6" a="1"/>
  <c r="AM20" i="6" a="1"/>
  <c r="AO5" i="6" a="1"/>
  <c r="AQ35" i="5" a="1"/>
  <c r="AN25" i="5" a="1"/>
  <c r="AQ20" i="5" a="1"/>
  <c r="AM10" i="5" a="1"/>
  <c r="AQ40" i="6" a="1"/>
  <c r="AN20" i="5" a="1"/>
  <c r="AN15" i="5" a="1"/>
  <c r="AN30" i="5" a="1"/>
  <c r="AP20" i="6" a="1"/>
  <c r="AP10" i="5" a="1"/>
  <c r="AM35" i="6" a="1"/>
  <c r="AP30" i="6" a="1"/>
  <c r="AQ15" i="6" a="1"/>
  <c r="AN5" i="6" a="1"/>
  <c r="AL40" i="5" a="1"/>
  <c r="AP35" i="5" a="1"/>
  <c r="AM25" i="5" a="1"/>
  <c r="AP20" i="5" a="1"/>
  <c r="AQ5" i="5" a="1"/>
  <c r="AM35" i="5" a="1"/>
  <c r="AO30" i="5" a="1"/>
  <c r="AR5" i="6" a="1"/>
  <c r="AO40" i="5" a="1"/>
  <c r="AL35" i="6" a="1"/>
  <c r="AO30" i="6" a="1"/>
  <c r="AL20" i="6" a="1"/>
  <c r="AP15" i="6" a="1"/>
  <c r="AM5" i="6" a="1"/>
  <c r="AO35" i="5" a="1"/>
  <c r="AL25" i="5" a="1"/>
  <c r="AO20" i="5" a="1"/>
  <c r="AL10" i="5" a="1"/>
  <c r="AP5" i="5" a="1"/>
  <c r="AQ25" i="6" a="1"/>
  <c r="AQ15" i="5" a="1"/>
  <c r="AQ20" i="6" a="1"/>
  <c r="AM25" i="6" a="1"/>
  <c r="AM15" i="5" a="1"/>
  <c r="AR40" i="6" a="1"/>
  <c r="AR25" i="6" a="1"/>
  <c r="AO15" i="6" a="1"/>
  <c r="AL5" i="6" a="1"/>
  <c r="AN35" i="5" a="1"/>
  <c r="AR30" i="5" a="1"/>
  <c r="AR15" i="5" a="1"/>
  <c r="AO5" i="5" a="1"/>
  <c r="AR10" i="6" a="1"/>
  <c r="AN5" i="5" a="1"/>
  <c r="AR25" i="5" a="1"/>
  <c r="AQ25" i="5" a="1"/>
  <c r="AQ5" i="6" a="1"/>
  <c r="AM30" i="6" a="1"/>
  <c r="AP25" i="6" a="1"/>
  <c r="AM15" i="6" a="1"/>
  <c r="AQ10" i="6" a="1"/>
  <c r="AL35" i="5" a="1"/>
  <c r="AM20" i="5" a="1"/>
  <c r="AP15" i="5" a="1"/>
  <c r="AM5" i="5" a="1"/>
  <c r="AO40" i="6" a="1"/>
  <c r="AN25" i="6" a="1"/>
  <c r="AR10" i="5" a="1"/>
  <c r="AP40" i="5" a="1"/>
  <c r="AN10" i="6" a="1"/>
  <c r="AP40" i="6" a="1"/>
  <c r="AL30" i="6" a="1"/>
  <c r="AO25" i="6" a="1"/>
  <c r="AL15" i="6" a="1"/>
  <c r="AR40" i="5" a="1"/>
  <c r="AP30" i="5" a="1"/>
  <c r="AL20" i="5" a="1"/>
  <c r="AO15" i="5" a="1"/>
  <c r="AL5" i="5" a="1"/>
  <c r="AR35" i="6" a="1"/>
  <c r="AR20" i="6" a="1"/>
  <c r="AQ35" i="6" a="1"/>
  <c r="AQ10" i="5" a="1"/>
  <c r="AM30" i="5" a="1"/>
  <c r="Y45" i="6" l="1"/>
  <c r="Y48" i="6"/>
  <c r="Y46" i="6"/>
  <c r="K47" i="6"/>
  <c r="K46" i="6"/>
  <c r="Y48" i="5"/>
  <c r="Y46" i="5"/>
  <c r="K48" i="5"/>
  <c r="K46" i="5"/>
  <c r="AI50" i="5"/>
  <c r="C23" i="1" s="1"/>
  <c r="AJ50" i="5"/>
  <c r="C24" i="1" s="1"/>
  <c r="T6" i="3"/>
  <c r="T12" i="3"/>
  <c r="R18" i="3"/>
  <c r="C14" i="1" s="1"/>
  <c r="I16" i="3"/>
  <c r="Q18" i="3"/>
  <c r="C13" i="1" s="1"/>
  <c r="T10" i="3"/>
  <c r="T9" i="3"/>
  <c r="T7" i="3"/>
  <c r="I15" i="3"/>
  <c r="AM30" i="5"/>
  <c r="AQ10" i="5"/>
  <c r="AQ35" i="6"/>
  <c r="AR20" i="6"/>
  <c r="AR35" i="6"/>
  <c r="AL5" i="5"/>
  <c r="AO15" i="5"/>
  <c r="AL20" i="5"/>
  <c r="AP30" i="5"/>
  <c r="AR40" i="5"/>
  <c r="AL15" i="6"/>
  <c r="AO25" i="6"/>
  <c r="AL30" i="6"/>
  <c r="AP40" i="6"/>
  <c r="AN10" i="6"/>
  <c r="AP40" i="5"/>
  <c r="AR10" i="5"/>
  <c r="AN25" i="6"/>
  <c r="AO40" i="6"/>
  <c r="AM5" i="5"/>
  <c r="AM45" i="5" s="1"/>
  <c r="D19" i="1" s="1"/>
  <c r="AP15" i="5"/>
  <c r="AP46" i="5" s="1"/>
  <c r="G20" i="1" s="1"/>
  <c r="AM20" i="5"/>
  <c r="AL35" i="5"/>
  <c r="AQ10" i="6"/>
  <c r="AM15" i="6"/>
  <c r="AP25" i="6"/>
  <c r="AM30" i="6"/>
  <c r="AQ5" i="6"/>
  <c r="AQ25" i="5"/>
  <c r="AR25" i="5"/>
  <c r="AN5" i="5"/>
  <c r="AR10" i="6"/>
  <c r="AR45" i="6" s="1"/>
  <c r="I31" i="1" s="1"/>
  <c r="AO5" i="5"/>
  <c r="AR15" i="5"/>
  <c r="AR30" i="5"/>
  <c r="AN35" i="5"/>
  <c r="AL5" i="6"/>
  <c r="AO15" i="6"/>
  <c r="AO46" i="6" s="1"/>
  <c r="F32" i="1" s="1"/>
  <c r="AR25" i="6"/>
  <c r="AR40" i="6"/>
  <c r="AM15" i="5"/>
  <c r="AM25" i="6"/>
  <c r="AQ20" i="6"/>
  <c r="AQ15" i="5"/>
  <c r="AQ46" i="5" s="1"/>
  <c r="H20" i="1" s="1"/>
  <c r="AQ25" i="6"/>
  <c r="AQ47" i="6" s="1"/>
  <c r="H33" i="1" s="1"/>
  <c r="AP5" i="5"/>
  <c r="AL10" i="5"/>
  <c r="AO20" i="5"/>
  <c r="AL25" i="5"/>
  <c r="AO35" i="5"/>
  <c r="AM5" i="6"/>
  <c r="AM45" i="6" s="1"/>
  <c r="D31" i="1" s="1"/>
  <c r="AP15" i="6"/>
  <c r="AP46" i="6" s="1"/>
  <c r="G32" i="1" s="1"/>
  <c r="AL20" i="6"/>
  <c r="AO30" i="6"/>
  <c r="AL35" i="6"/>
  <c r="AO40" i="5"/>
  <c r="AR5" i="6"/>
  <c r="AO30" i="5"/>
  <c r="AM35" i="5"/>
  <c r="AQ5" i="5"/>
  <c r="AP20" i="5"/>
  <c r="AM25" i="5"/>
  <c r="AP35" i="5"/>
  <c r="AL40" i="5"/>
  <c r="AN5" i="6"/>
  <c r="AQ15" i="6"/>
  <c r="AP30" i="6"/>
  <c r="AM35" i="6"/>
  <c r="AP10" i="5"/>
  <c r="AP20" i="6"/>
  <c r="AN30" i="5"/>
  <c r="AN15" i="5"/>
  <c r="AN20" i="5"/>
  <c r="AQ40" i="6"/>
  <c r="AM10" i="5"/>
  <c r="AQ20" i="5"/>
  <c r="AN25" i="5"/>
  <c r="AQ35" i="5"/>
  <c r="AO5" i="6"/>
  <c r="AM20" i="6"/>
  <c r="AQ30" i="6"/>
  <c r="AN35" i="6"/>
  <c r="AM40" i="6"/>
  <c r="AO10" i="6"/>
  <c r="AP10" i="6"/>
  <c r="AN15" i="6"/>
  <c r="AN46" i="6" s="1"/>
  <c r="E32" i="1" s="1"/>
  <c r="AR5" i="5"/>
  <c r="AN10" i="5"/>
  <c r="AR20" i="5"/>
  <c r="AO25" i="5"/>
  <c r="AM40" i="5"/>
  <c r="AL10" i="6"/>
  <c r="AR15" i="6"/>
  <c r="AN20" i="6"/>
  <c r="AR30" i="6"/>
  <c r="AO35" i="6"/>
  <c r="AP25" i="5"/>
  <c r="AP35" i="6"/>
  <c r="AN40" i="6"/>
  <c r="AQ40" i="5"/>
  <c r="AQ30" i="5"/>
  <c r="AN30" i="6"/>
  <c r="AO10" i="5"/>
  <c r="AL15" i="5"/>
  <c r="AL46" i="5" s="1"/>
  <c r="C20" i="1" s="1"/>
  <c r="AL30" i="5"/>
  <c r="AR35" i="5"/>
  <c r="AN40" i="5"/>
  <c r="AP5" i="6"/>
  <c r="AM10" i="6"/>
  <c r="AO20" i="6"/>
  <c r="AL25" i="6"/>
  <c r="AL40" i="6"/>
  <c r="AN45" i="5"/>
  <c r="E19" i="1" s="1"/>
  <c r="AO45" i="5"/>
  <c r="F19" i="1" s="1"/>
  <c r="T16" i="3"/>
  <c r="C12" i="1" s="1"/>
  <c r="AR45" i="5"/>
  <c r="I19" i="1" s="1"/>
  <c r="O13" i="3"/>
  <c r="T13" i="3" s="1"/>
  <c r="C9" i="1" s="1"/>
  <c r="O14" i="3"/>
  <c r="T14" i="3" s="1"/>
  <c r="C10" i="1" s="1"/>
  <c r="K45" i="5"/>
  <c r="Y45" i="5"/>
  <c r="O15" i="3"/>
  <c r="T15" i="3" s="1"/>
  <c r="C11" i="1" s="1"/>
  <c r="K45" i="6"/>
  <c r="T5" i="3"/>
  <c r="AO48" i="6" l="1"/>
  <c r="F34" i="1" s="1"/>
  <c r="AL47" i="6"/>
  <c r="C33" i="1" s="1"/>
  <c r="AN45" i="6"/>
  <c r="E31" i="1" s="1"/>
  <c r="AP48" i="6"/>
  <c r="G34" i="1" s="1"/>
  <c r="AL46" i="6"/>
  <c r="C32" i="1" s="1"/>
  <c r="AR48" i="6"/>
  <c r="I34" i="1" s="1"/>
  <c r="AO47" i="5"/>
  <c r="F21" i="1" s="1"/>
  <c r="AP45" i="5"/>
  <c r="G19" i="1" s="1"/>
  <c r="AR46" i="5"/>
  <c r="I20" i="1" s="1"/>
  <c r="AM46" i="5"/>
  <c r="D20" i="1" s="1"/>
  <c r="AN48" i="5"/>
  <c r="E22" i="1" s="1"/>
  <c r="AO48" i="5"/>
  <c r="F22" i="1" s="1"/>
  <c r="AR47" i="5"/>
  <c r="I21" i="1" s="1"/>
  <c r="AQ47" i="5"/>
  <c r="H21" i="1" s="1"/>
  <c r="AQ45" i="6"/>
  <c r="H31" i="1" s="1"/>
  <c r="AQ48" i="6"/>
  <c r="H34" i="1" s="1"/>
  <c r="AO47" i="6"/>
  <c r="F33" i="1" s="1"/>
  <c r="AQ45" i="5"/>
  <c r="H19" i="1" s="1"/>
  <c r="AO45" i="6"/>
  <c r="F31" i="1" s="1"/>
  <c r="AP47" i="6"/>
  <c r="G33" i="1" s="1"/>
  <c r="AQ48" i="5"/>
  <c r="H22" i="1" s="1"/>
  <c r="AO46" i="5"/>
  <c r="F20" i="1" s="1"/>
  <c r="AQ46" i="6"/>
  <c r="H32" i="1" s="1"/>
  <c r="AL47" i="5"/>
  <c r="C21" i="1" s="1"/>
  <c r="AN47" i="6"/>
  <c r="E33" i="1" s="1"/>
  <c r="AR46" i="6"/>
  <c r="I32" i="1" s="1"/>
  <c r="AN47" i="5"/>
  <c r="E21" i="1" s="1"/>
  <c r="AN48" i="6"/>
  <c r="E34" i="1" s="1"/>
  <c r="AR48" i="5"/>
  <c r="I22" i="1" s="1"/>
  <c r="AM48" i="5"/>
  <c r="D22" i="1" s="1"/>
  <c r="AM48" i="6"/>
  <c r="D34" i="1" s="1"/>
  <c r="AL48" i="5"/>
  <c r="C22" i="1" s="1"/>
  <c r="AL45" i="6"/>
  <c r="C31" i="1" s="1"/>
  <c r="AL45" i="5"/>
  <c r="C19" i="1" s="1"/>
  <c r="AP48" i="5"/>
  <c r="G22" i="1" s="1"/>
  <c r="AM46" i="6"/>
  <c r="D32" i="1" s="1"/>
  <c r="AM47" i="6"/>
  <c r="D33" i="1" s="1"/>
  <c r="AR47" i="6"/>
  <c r="I33" i="1" s="1"/>
  <c r="AP45" i="6"/>
  <c r="G31" i="1" s="1"/>
  <c r="AL48" i="6"/>
  <c r="C34" i="1" s="1"/>
  <c r="AN46" i="5"/>
  <c r="E20" i="1" s="1"/>
  <c r="AM47" i="5"/>
  <c r="D21" i="1" s="1"/>
  <c r="AP47" i="5"/>
  <c r="G21" i="1" s="1"/>
</calcChain>
</file>

<file path=xl/sharedStrings.xml><?xml version="1.0" encoding="utf-8"?>
<sst xmlns="http://schemas.openxmlformats.org/spreadsheetml/2006/main" count="806" uniqueCount="379">
  <si>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</si>
  <si>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</si>
  <si>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</si>
  <si>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</si>
  <si>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</si>
  <si>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</si>
  <si>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</si>
  <si>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</si>
  <si>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</si>
  <si>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</si>
  <si>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</si>
  <si>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</si>
  <si>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</si>
  <si>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</si>
  <si>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</si>
  <si>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</si>
  <si>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</si>
  <si>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</si>
  <si>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</si>
  <si>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</si>
  <si>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</si>
  <si>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</si>
  <si>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</si>
  <si>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</si>
  <si>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</si>
  <si>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</si>
  <si>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</si>
  <si>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</si>
  <si>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</si>
  <si>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</si>
  <si>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</si>
  <si>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</si>
  <si>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</si>
  <si>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</si>
  <si>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</si>
  <si>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</si>
  <si>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</si>
  <si>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</si>
  <si>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</si>
  <si>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</si>
  <si>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</si>
  <si>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</si>
  <si>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</si>
  <si>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</si>
  <si>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</si>
  <si>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</si>
  <si>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</si>
  <si>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</si>
  <si>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</si>
  <si>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</si>
  <si>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</si>
  <si>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</si>
  <si>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</si>
  <si>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</si>
  <si>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</si>
  <si>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</si>
  <si>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</si>
  <si>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</si>
  <si>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</si>
  <si>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</si>
  <si>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</si>
  <si>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</si>
  <si>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</si>
  <si>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</si>
  <si>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</si>
  <si>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</si>
  <si>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</si>
  <si>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</si>
  <si>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</si>
  <si>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</si>
  <si>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</si>
  <si>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</si>
  <si>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</si>
  <si>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</si>
  <si>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</si>
  <si>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</si>
  <si>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</si>
  <si>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</si>
  <si>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</si>
  <si>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</si>
  <si>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</si>
  <si>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</si>
  <si>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</si>
  <si>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</si>
  <si>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</si>
  <si>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</si>
  <si>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</si>
  <si>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</si>
  <si>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</si>
  <si>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</si>
  <si>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</si>
  <si>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</si>
  <si>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</si>
  <si>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</si>
  <si>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</si>
  <si>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</si>
  <si>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</si>
  <si>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</si>
  <si>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</si>
  <si>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</si>
  <si>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</si>
  <si>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</si>
  <si>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</si>
  <si>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</si>
  <si>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</si>
  <si>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</si>
  <si>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</si>
  <si>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</si>
  <si>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</si>
  <si>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</si>
  <si>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</si>
  <si>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</si>
  <si>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</si>
  <si>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</si>
  <si>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</si>
  <si>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</si>
  <si>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</si>
  <si>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</si>
  <si>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</si>
  <si>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</si>
  <si>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</si>
  <si>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</si>
  <si>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</si>
  <si>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</si>
  <si>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</si>
  <si>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</si>
  <si>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</si>
  <si>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</si>
  <si>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</si>
  <si>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</si>
  <si>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</si>
  <si>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</si>
  <si>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</si>
  <si>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</si>
  <si>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</si>
  <si>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</si>
  <si>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</si>
  <si>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</si>
  <si>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</si>
  <si>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</si>
  <si>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</si>
  <si>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</si>
  <si>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</si>
  <si>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</si>
  <si>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</si>
  <si>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</si>
  <si>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</si>
  <si>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</si>
  <si>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</si>
  <si>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</si>
  <si>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</si>
  <si>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</si>
  <si>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</si>
  <si>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</si>
  <si>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</si>
  <si>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</si>
  <si>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</si>
  <si>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</si>
  <si>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</si>
  <si>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</si>
  <si>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</si>
  <si>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</si>
  <si>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</si>
  <si>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</si>
  <si>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</si>
  <si>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</si>
  <si>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</si>
  <si>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</si>
  <si>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</si>
  <si>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</si>
  <si>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</si>
  <si>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</si>
  <si>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</si>
  <si>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</si>
  <si>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</si>
  <si>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</si>
  <si>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</si>
  <si>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</si>
  <si>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</si>
  <si>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</si>
  <si>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</si>
  <si>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</si>
  <si>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</si>
  <si>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</si>
  <si>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</si>
  <si>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</si>
  <si>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</si>
  <si>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</si>
  <si>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</si>
  <si>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</si>
  <si>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</si>
  <si>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</si>
  <si>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</si>
  <si>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</si>
  <si>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</si>
  <si>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</si>
  <si>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</si>
  <si>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</si>
  <si>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</si>
  <si>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</si>
  <si>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</si>
  <si>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</si>
  <si>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</si>
  <si>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</si>
  <si>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</si>
  <si>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</si>
  <si>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</si>
  <si>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</si>
  <si>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</si>
  <si>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</si>
  <si>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</si>
  <si>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</si>
  <si>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</si>
  <si>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</si>
  <si>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</si>
  <si>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</si>
  <si>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</si>
  <si>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</si>
  <si>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</si>
  <si>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</si>
  <si>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</si>
  <si>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</si>
  <si>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</si>
  <si>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</si>
  <si>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</si>
  <si>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</si>
  <si>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</si>
  <si>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</si>
  <si>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</si>
  <si>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</si>
  <si>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</si>
  <si>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</si>
  <si>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</si>
  <si>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</si>
  <si>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</si>
  <si>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</si>
  <si>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</si>
  <si>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</si>
  <si>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</si>
  <si>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</si>
  <si>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</si>
  <si>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</si>
  <si>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</si>
  <si>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</si>
  <si>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</si>
  <si>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</si>
  <si>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</si>
  <si>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</si>
  <si>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</si>
  <si>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</si>
  <si>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</si>
  <si>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</si>
  <si>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</si>
  <si>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</si>
  <si>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</si>
  <si>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</si>
  <si>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</si>
  <si>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</si>
  <si>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</si>
  <si>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</si>
  <si>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</si>
  <si>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</si>
  <si>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</si>
  <si>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</si>
  <si>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</si>
  <si>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</si>
  <si>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</si>
  <si>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</si>
  <si>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</si>
  <si>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</si>
  <si>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</si>
  <si>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</si>
  <si>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</si>
  <si>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</si>
  <si>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</si>
  <si>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</si>
  <si>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</si>
  <si>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</si>
  <si>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</si>
  <si>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</si>
  <si>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</si>
  <si>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</si>
  <si>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</si>
  <si>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</si>
  <si>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</si>
  <si>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</si>
  <si>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</si>
  <si>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</si>
  <si>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</si>
  <si>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</si>
  <si>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</si>
  <si>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</si>
  <si>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</si>
  <si>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</si>
  <si>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</si>
  <si>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</si>
  <si>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</si>
  <si>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</si>
  <si>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</si>
  <si>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</si>
  <si>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</si>
  <si>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</si>
  <si>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</si>
  <si>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</si>
  <si>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</si>
  <si>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</si>
  <si>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</si>
  <si>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</si>
  <si>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</si>
  <si>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</si>
  <si>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</si>
  <si>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</si>
  <si>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</si>
  <si>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</si>
  <si>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</si>
  <si>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</si>
  <si>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</si>
  <si>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</si>
  <si>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</si>
  <si>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</si>
  <si>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</si>
  <si>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</si>
  <si>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</si>
  <si>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</si>
  <si>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</si>
  <si>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</si>
  <si>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</si>
  <si>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</si>
  <si>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</si>
  <si>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</si>
  <si>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</si>
  <si>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</si>
  <si>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</si>
  <si>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</si>
  <si>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</si>
  <si>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</si>
  <si>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</si>
  <si>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</si>
  <si>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</si>
  <si>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</si>
  <si>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</si>
  <si>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</si>
  <si>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</si>
  <si>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</si>
  <si>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</si>
  <si>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</si>
  <si>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</si>
  <si>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</si>
  <si>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</si>
  <si>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</si>
  <si>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</si>
  <si>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</si>
  <si>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</si>
  <si>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</si>
  <si>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</si>
  <si>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</si>
  <si>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</si>
  <si>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</si>
  <si>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</si>
  <si>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</si>
  <si>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</si>
  <si>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</si>
  <si>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</si>
  <si>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</si>
  <si>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</si>
  <si>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</si>
  <si>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</si>
  <si>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</si>
  <si>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</si>
  <si>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</si>
  <si>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</si>
  <si>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</si>
  <si>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</si>
  <si>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</si>
  <si>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</si>
  <si>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</si>
  <si>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</si>
  <si>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</si>
  <si>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F300_v3.0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</si>
</sst>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6">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F300_v3.0</c:v>
                </c:pt>
              </c:strCache>
            </c:strRef>
          </c:tx>
          <c:spPr>
            <a:ln w="28575">
              <a:prstDash val="solid"/>
            </a:ln>
          </c:spPr>
          <c:marker>
            <c:symbol val="none"/>
          </c:marker>
          <c:xVal>
            <c:numRef>
              <c:f>Graphs!graph_a_x_range_A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Graphs!graph_a_y_range_A</c:f>
              <c:numCache>
                <c:formatCode>0.00</c:formatCode>
                <c:ptCount val="5"/>
                <c:pt idx="0">
                  <c:v>71.053888299999997</c:v>
                </c:pt>
                <c:pt idx="1">
                  <c:v>72.476349799999994</c:v>
                </c:pt>
                <c:pt idx="2">
                  <c:v>73.808411599999999</c:v>
                </c:pt>
                <c:pt idx="3">
                  <c:v>78.716427400000001</c:v>
                </c:pt>
                <c:pt idx="4">
                  <c:v>999.99</c:v>
                </c:pt>
              </c:numCache>
            </c:numRef>
          </c:yVal>
          <c:smooth val="0"/>
          <c:extLst>
            <c:ext xmlns:c16="http://schemas.microsoft.com/office/drawing/2014/chart" uri="{C3380CC4-5D6E-409C-BE32-E72D297353CC}">
              <c16:uniqueId val="{00000000-E33B-4F86-94F3-51DFC6C19584}"/>
            </c:ext>
          </c:extLst>
        </c:ser>
        <c:ser>
          <c:idx val="1"/>
          <c:order val="1"/>
          <c:tx>
            <c:strRef>
              <c:f>Graphs!graph_a_B_title</c:f>
              <c:strCache>
                <c:ptCount val="1"/>
                <c:pt idx="0">
                  <c:v>0</c:v>
                </c:pt>
              </c:strCache>
            </c:strRef>
          </c:tx>
          <c:spPr>
            <a:ln w="28575">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0"/>
          <c:extLst>
            <c:ext xmlns:c16="http://schemas.microsoft.com/office/drawing/2014/chart" uri="{C3380CC4-5D6E-409C-BE32-E72D297353CC}">
              <c16:uniqueId val="{00000001-E33B-4F86-94F3-51DFC6C19584}"/>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F300_v3.0</c:v>
                </c:pt>
              </c:strCache>
            </c:strRef>
          </c:tx>
          <c:spPr>
            <a:ln w="28575">
              <a:prstDash val="solid"/>
            </a:ln>
          </c:spPr>
          <c:marker>
            <c:symbol val="none"/>
          </c:marker>
          <c:xVal>
            <c:numRef>
              <c:f>Graphs!graph_b_x_range_A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Graphs!graph_b_y_range_A</c:f>
              <c:numCache>
                <c:formatCode>0.00</c:formatCode>
                <c:ptCount val="5"/>
                <c:pt idx="0">
                  <c:v>72.494451400000003</c:v>
                </c:pt>
                <c:pt idx="1">
                  <c:v>74.086329899999996</c:v>
                </c:pt>
                <c:pt idx="2">
                  <c:v>75.564344599999998</c:v>
                </c:pt>
                <c:pt idx="3">
                  <c:v>81.158867400000005</c:v>
                </c:pt>
                <c:pt idx="4">
                  <c:v>999.99</c:v>
                </c:pt>
              </c:numCache>
            </c:numRef>
          </c:yVal>
          <c:smooth val="0"/>
          <c:extLst>
            <c:ext xmlns:c16="http://schemas.microsoft.com/office/drawing/2014/chart" uri="{C3380CC4-5D6E-409C-BE32-E72D297353CC}">
              <c16:uniqueId val="{00000000-8DA3-46B2-97E3-56129419B469}"/>
            </c:ext>
          </c:extLst>
        </c:ser>
        <c:ser>
          <c:idx val="1"/>
          <c:order val="1"/>
          <c:tx>
            <c:strRef>
              <c:f>Graphs!graph_b_B_title</c:f>
              <c:strCache>
                <c:ptCount val="1"/>
                <c:pt idx="0">
                  <c:v>0</c:v>
                </c:pt>
              </c:strCache>
            </c:strRef>
          </c:tx>
          <c:spPr>
            <a:ln w="28575">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0"/>
          <c:extLst>
            <c:ext xmlns:c16="http://schemas.microsoft.com/office/drawing/2014/chart" uri="{C3380CC4-5D6E-409C-BE32-E72D297353CC}">
              <c16:uniqueId val="{00000001-8DA3-46B2-97E3-56129419B469}"/>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F300_v3.0</c:v>
                </c:pt>
              </c:strCache>
            </c:strRef>
          </c:tx>
          <c:spPr>
            <a:ln w="28575">
              <a:prstDash val="solid"/>
            </a:ln>
          </c:spPr>
          <c:marker>
            <c:symbol val="none"/>
          </c:marker>
          <c:xVal>
            <c:numRef>
              <c:f>Graphs!graph_c_x_range_A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Graphs!graph_c_y_range_A</c:f>
              <c:numCache>
                <c:formatCode>0.00</c:formatCode>
                <c:ptCount val="5"/>
                <c:pt idx="0">
                  <c:v>47.193537300000003</c:v>
                </c:pt>
                <c:pt idx="1">
                  <c:v>47.9697058</c:v>
                </c:pt>
                <c:pt idx="2">
                  <c:v>48.6964294</c:v>
                </c:pt>
                <c:pt idx="3">
                  <c:v>51.508161700000002</c:v>
                </c:pt>
                <c:pt idx="4">
                  <c:v>999.99</c:v>
                </c:pt>
              </c:numCache>
            </c:numRef>
          </c:yVal>
          <c:smooth val="0"/>
          <c:extLst>
            <c:ext xmlns:c16="http://schemas.microsoft.com/office/drawing/2014/chart" uri="{C3380CC4-5D6E-409C-BE32-E72D297353CC}">
              <c16:uniqueId val="{00000000-8DB6-4550-8D84-1B78BD905C22}"/>
            </c:ext>
          </c:extLst>
        </c:ser>
        <c:ser>
          <c:idx val="1"/>
          <c:order val="1"/>
          <c:tx>
            <c:strRef>
              <c:f>Graphs!graph_c_B_title</c:f>
              <c:strCache>
                <c:ptCount val="1"/>
                <c:pt idx="0">
                  <c:v>0</c:v>
                </c:pt>
              </c:strCache>
            </c:strRef>
          </c:tx>
          <c:spPr>
            <a:ln w="28575">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0"/>
          <c:extLst>
            <c:ext xmlns:c16="http://schemas.microsoft.com/office/drawing/2014/chart" uri="{C3380CC4-5D6E-409C-BE32-E72D297353CC}">
              <c16:uniqueId val="{00000001-8DB6-4550-8D84-1B78BD905C2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F300_v3.0</c:v>
                </c:pt>
              </c:strCache>
            </c:strRef>
          </c:tx>
          <c:spPr>
            <a:ln w="28575">
              <a:prstDash val="solid"/>
            </a:ln>
          </c:spPr>
          <c:marker>
            <c:symbol val="none"/>
          </c:marker>
          <c:xVal>
            <c:numRef>
              <c:f>Graphs!graph_d_x_range_A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Graphs!graph_d_y_range_A</c:f>
              <c:numCache>
                <c:formatCode>0.00</c:formatCode>
                <c:ptCount val="5"/>
                <c:pt idx="0">
                  <c:v>29.774674999999998</c:v>
                </c:pt>
                <c:pt idx="1">
                  <c:v>30.215176199999998</c:v>
                </c:pt>
                <c:pt idx="2">
                  <c:v>30.688673300000001</c:v>
                </c:pt>
                <c:pt idx="3">
                  <c:v>31.494736400000001</c:v>
                </c:pt>
                <c:pt idx="4">
                  <c:v>32.073881200000002</c:v>
                </c:pt>
              </c:numCache>
            </c:numRef>
          </c:yVal>
          <c:smooth val="0"/>
          <c:extLst>
            <c:ext xmlns:c16="http://schemas.microsoft.com/office/drawing/2014/chart" uri="{C3380CC4-5D6E-409C-BE32-E72D297353CC}">
              <c16:uniqueId val="{00000000-1FBA-417A-AAA2-939E81EE2FB8}"/>
            </c:ext>
          </c:extLst>
        </c:ser>
        <c:ser>
          <c:idx val="1"/>
          <c:order val="1"/>
          <c:tx>
            <c:strRef>
              <c:f>Graphs!graph_d_B_title</c:f>
              <c:strCache>
                <c:ptCount val="1"/>
                <c:pt idx="0">
                  <c:v>0</c:v>
                </c:pt>
              </c:strCache>
            </c:strRef>
          </c:tx>
          <c:spPr>
            <a:ln w="28575">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0"/>
          <c:extLst>
            <c:ext xmlns:c16="http://schemas.microsoft.com/office/drawing/2014/chart" uri="{C3380CC4-5D6E-409C-BE32-E72D297353CC}">
              <c16:uniqueId val="{00000001-1FBA-417A-AAA2-939E81EE2F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F300_v3.0</c:v>
                </c:pt>
              </c:strCache>
            </c:strRef>
          </c:tx>
          <c:spPr>
            <a:ln w="28575">
              <a:prstDash val="solid"/>
            </a:ln>
          </c:spPr>
          <c:marker>
            <c:symbol val="none"/>
          </c:marker>
          <c:xVal>
            <c:numRef>
              <c:f>Graphs!graph_e_x_range_A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Graphs!graph_e_y_range_A</c:f>
              <c:numCache>
                <c:formatCode>0.00</c:formatCode>
                <c:ptCount val="5"/>
                <c:pt idx="0">
                  <c:v>38.696401700000003</c:v>
                </c:pt>
                <c:pt idx="1">
                  <c:v>38.976149100000001</c:v>
                </c:pt>
                <c:pt idx="2">
                  <c:v>39.083691700000003</c:v>
                </c:pt>
                <c:pt idx="3">
                  <c:v>39.1779607</c:v>
                </c:pt>
                <c:pt idx="4">
                  <c:v>39.233411599999997</c:v>
                </c:pt>
              </c:numCache>
            </c:numRef>
          </c:yVal>
          <c:smooth val="0"/>
          <c:extLst>
            <c:ext xmlns:c16="http://schemas.microsoft.com/office/drawing/2014/chart" uri="{C3380CC4-5D6E-409C-BE32-E72D297353CC}">
              <c16:uniqueId val="{00000000-770E-4C78-AB3B-363C17FE4A10}"/>
            </c:ext>
          </c:extLst>
        </c:ser>
        <c:ser>
          <c:idx val="1"/>
          <c:order val="1"/>
          <c:tx>
            <c:strRef>
              <c:f>Graphs!graph_e_B_title</c:f>
              <c:strCache>
                <c:ptCount val="1"/>
                <c:pt idx="0">
                  <c:v>0</c:v>
                </c:pt>
              </c:strCache>
            </c:strRef>
          </c:tx>
          <c:spPr>
            <a:ln w="28575">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0"/>
          <c:extLst>
            <c:ext xmlns:c16="http://schemas.microsoft.com/office/drawing/2014/chart" uri="{C3380CC4-5D6E-409C-BE32-E72D297353CC}">
              <c16:uniqueId val="{00000001-770E-4C78-AB3B-363C17FE4A10}"/>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F300_v3.0</c:v>
                </c:pt>
              </c:strCache>
            </c:strRef>
          </c:tx>
          <c:spPr>
            <a:ln w="28575">
              <a:prstDash val="solid"/>
            </a:ln>
          </c:spPr>
          <c:marker>
            <c:symbol val="none"/>
          </c:marker>
          <c:xVal>
            <c:numRef>
              <c:f>Graphs!graph_f_x_range_A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Graphs!graph_f_y_range_A</c:f>
              <c:numCache>
                <c:formatCode>0.00</c:formatCode>
                <c:ptCount val="5"/>
                <c:pt idx="0">
                  <c:v>38.595137299999998</c:v>
                </c:pt>
                <c:pt idx="1">
                  <c:v>38.981216600000003</c:v>
                </c:pt>
                <c:pt idx="2">
                  <c:v>39.138710199999998</c:v>
                </c:pt>
                <c:pt idx="3">
                  <c:v>39.331495500000003</c:v>
                </c:pt>
                <c:pt idx="4">
                  <c:v>39.398431700000003</c:v>
                </c:pt>
              </c:numCache>
            </c:numRef>
          </c:yVal>
          <c:smooth val="0"/>
          <c:extLst>
            <c:ext xmlns:c16="http://schemas.microsoft.com/office/drawing/2014/chart" uri="{C3380CC4-5D6E-409C-BE32-E72D297353CC}">
              <c16:uniqueId val="{00000000-0712-4C96-9B28-10370DAC2731}"/>
            </c:ext>
          </c:extLst>
        </c:ser>
        <c:ser>
          <c:idx val="1"/>
          <c:order val="1"/>
          <c:tx>
            <c:strRef>
              <c:f>Graphs!graph_f_B_title</c:f>
              <c:strCache>
                <c:ptCount val="1"/>
                <c:pt idx="0">
                  <c:v>0</c:v>
                </c:pt>
              </c:strCache>
            </c:strRef>
          </c:tx>
          <c:spPr>
            <a:ln w="28575">
              <a:prstDash val="solid"/>
            </a:ln>
          </c:spPr>
          <c:marker>
            <c:symbol val="none"/>
          </c:marke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0"/>
          <c:extLst>
            <c:ext xmlns:c16="http://schemas.microsoft.com/office/drawing/2014/chart" uri="{C3380CC4-5D6E-409C-BE32-E72D297353CC}">
              <c16:uniqueId val="{00000001-0712-4C96-9B28-10370DAC273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F300_v3.0</c:v>
                </c:pt>
              </c:strCache>
            </c:strRef>
          </c:tx>
          <c:spPr>
            <a:ln w="28575">
              <a:prstDash val="solid"/>
            </a:ln>
          </c:spPr>
          <c:marker>
            <c:symbol val="none"/>
          </c:marker>
          <c:xVal>
            <c:numRef>
              <c:f>Graphs!graph_g_x_range_A</c:f>
              <c:numCache>
                <c:formatCode>0.000</c:formatCode>
                <c:ptCount val="5"/>
                <c:pt idx="0">
                  <c:v>4.6683152000000003</c:v>
                </c:pt>
                <c:pt idx="1">
                  <c:v>6.0315415999999997</c:v>
                </c:pt>
                <c:pt idx="2">
                  <c:v>8.0290151999999999</c:v>
                </c:pt>
                <c:pt idx="3">
                  <c:v>14.335163199999998</c:v>
                </c:pt>
                <c:pt idx="4">
                  <c:v>25.424961600000003</c:v>
                </c:pt>
              </c:numCache>
            </c:numRef>
          </c:xVal>
          <c:yVal>
            <c:numRef>
              <c:f>Graphs!graph_g_y_range_A</c:f>
              <c:numCache>
                <c:formatCode>0.00</c:formatCode>
                <c:ptCount val="5"/>
                <c:pt idx="0">
                  <c:v>28.763958800000001</c:v>
                </c:pt>
                <c:pt idx="1">
                  <c:v>29.224601100000001</c:v>
                </c:pt>
                <c:pt idx="2">
                  <c:v>29.708146599999999</c:v>
                </c:pt>
                <c:pt idx="3">
                  <c:v>30.838150200000001</c:v>
                </c:pt>
                <c:pt idx="4">
                  <c:v>32.039093100000002</c:v>
                </c:pt>
              </c:numCache>
            </c:numRef>
          </c:yVal>
          <c:smooth val="0"/>
          <c:extLst>
            <c:ext xmlns:c16="http://schemas.microsoft.com/office/drawing/2014/chart" uri="{C3380CC4-5D6E-409C-BE32-E72D297353CC}">
              <c16:uniqueId val="{00000000-93F2-419A-BA3A-D20A4A43F595}"/>
            </c:ext>
          </c:extLst>
        </c:ser>
        <c:ser>
          <c:idx val="1"/>
          <c:order val="1"/>
          <c:tx>
            <c:strRef>
              <c:f>Graphs!graph_g_B_title</c:f>
              <c:strCache>
                <c:ptCount val="1"/>
                <c:pt idx="0">
                  <c:v>0</c:v>
                </c:pt>
              </c:strCache>
            </c:strRef>
          </c:tx>
          <c:spPr>
            <a:ln w="28575">
              <a:prstDash val="solid"/>
            </a:ln>
          </c:spPr>
          <c:marker>
            <c:symbol val="none"/>
          </c:marke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0"/>
          <c:extLst>
            <c:ext xmlns:c16="http://schemas.microsoft.com/office/drawing/2014/chart" uri="{C3380CC4-5D6E-409C-BE32-E72D297353CC}">
              <c16:uniqueId val="{00000001-93F2-419A-BA3A-D20A4A43F595}"/>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E13" sqref="E13"/>
    </sheetView>
  </sheetViews>
  <sheetFormatPr defaultColWidth="9.140625" defaultRowHeight="15" x14ac:dyDescent="0.25"/>
  <cols>
    <col min="2" max="2" width="16.7109375" customWidth="1"/>
    <col min="3" max="9" width="24.7109375" customWidth="1"/>
  </cols>
  <sheetData>
    <row r="1" spans="2:9" x14ac:dyDescent="0.25">
      <c r="B1" t="s">
        <v>0</v>
      </c>
      <c r="C1" s="60" t="s">
        <v>378</v>
      </c>
      <c r="D1" s="61"/>
      <c r="E1" s="61"/>
    </row>
    <row r="2" spans="2:9" x14ac:dyDescent="0.25">
      <c r="B2" t="s">
        <v>1</v>
      </c>
      <c r="C2" s="62"/>
      <c r="D2" s="61"/>
      <c r="E2" s="61"/>
    </row>
    <row r="4" spans="2:9" s="1" customFormat="1" x14ac:dyDescent="0.25">
      <c r="B4" s="1" t="s">
        <v>2</v>
      </c>
    </row>
    <row r="6" spans="2:9" ht="45" customHeight="1" x14ac:dyDescent="0.25">
      <c r="B6" s="63" t="s">
        <v>3</v>
      </c>
      <c r="C6" s="2" t="s">
        <v>4</v>
      </c>
    </row>
    <row r="7" spans="2:9" x14ac:dyDescent="0.25">
      <c r="B7" s="61"/>
      <c r="C7" s="3" t="s">
        <v>5</v>
      </c>
    </row>
    <row r="8" spans="2:9" x14ac:dyDescent="0.25">
      <c r="B8" s="64"/>
      <c r="C8" s="4" t="s">
        <v>6</v>
      </c>
    </row>
    <row r="9" spans="2:9" x14ac:dyDescent="0.25">
      <c r="B9" t="s">
        <v>7</v>
      </c>
      <c r="C9" s="5" t="e">
        <f>'C0 lossless AI'!T13</f>
        <v>#DIV/0!</v>
      </c>
    </row>
    <row r="10" spans="2:9" x14ac:dyDescent="0.25">
      <c r="B10" t="s">
        <v>8</v>
      </c>
      <c r="C10" s="5" t="e">
        <f>'C0 lossless AI'!T14</f>
        <v>#DIV/0!</v>
      </c>
    </row>
    <row r="11" spans="2:9" x14ac:dyDescent="0.25">
      <c r="B11" t="s">
        <v>9</v>
      </c>
      <c r="C11" s="5" t="e">
        <f>'C0 lossless AI'!T15</f>
        <v>#DIV/0!</v>
      </c>
    </row>
    <row r="12" spans="2:9" x14ac:dyDescent="0.25">
      <c r="B12" s="6" t="s">
        <v>10</v>
      </c>
      <c r="C12" s="7" t="e">
        <f>'C0 lossless AI'!T16</f>
        <v>#DIV/0!</v>
      </c>
    </row>
    <row r="13" spans="2:9" x14ac:dyDescent="0.25">
      <c r="B13" t="s">
        <v>11</v>
      </c>
      <c r="C13" s="8">
        <f>'C0 lossless AI'!Q18</f>
        <v>0</v>
      </c>
    </row>
    <row r="14" spans="2:9" x14ac:dyDescent="0.25">
      <c r="B14" s="9" t="s">
        <v>12</v>
      </c>
      <c r="C14" s="10">
        <f>'C0 lossless AI'!R18</f>
        <v>0</v>
      </c>
    </row>
    <row r="16" spans="2:9" x14ac:dyDescent="0.25">
      <c r="B16" s="63" t="s">
        <v>13</v>
      </c>
      <c r="C16" s="65" t="s">
        <v>14</v>
      </c>
      <c r="D16" s="66"/>
      <c r="E16" s="66"/>
      <c r="F16" s="66"/>
      <c r="G16" s="66"/>
      <c r="H16" s="66"/>
      <c r="I16" s="66"/>
    </row>
    <row r="17" spans="2:9" x14ac:dyDescent="0.25">
      <c r="B17" s="61"/>
      <c r="C17" s="67" t="s">
        <v>15</v>
      </c>
      <c r="D17" s="61"/>
      <c r="E17" s="61"/>
      <c r="F17" s="61"/>
      <c r="G17" s="61"/>
      <c r="H17" s="68" t="s">
        <v>16</v>
      </c>
      <c r="I17" s="61"/>
    </row>
    <row r="18" spans="2:9" x14ac:dyDescent="0.25">
      <c r="B18" s="64"/>
      <c r="C18" s="4" t="s">
        <v>17</v>
      </c>
      <c r="D18" s="4" t="s">
        <v>18</v>
      </c>
      <c r="E18" s="4" t="s">
        <v>19</v>
      </c>
      <c r="F18" s="4" t="s">
        <v>20</v>
      </c>
      <c r="G18" s="4" t="s">
        <v>21</v>
      </c>
      <c r="H18" s="11" t="s">
        <v>22</v>
      </c>
      <c r="I18" s="11" t="s">
        <v>19</v>
      </c>
    </row>
    <row r="19" spans="2:9" x14ac:dyDescent="0.25">
      <c r="B19" t="s">
        <v>7</v>
      </c>
      <c r="C19" s="5" t="e">
        <f>'C1 lossy AI'!$AL$45:$AL$45</f>
        <v>#DIV/0!</v>
      </c>
      <c r="D19" s="5" t="e">
        <f>'C1 lossy AI'!$AM$45:$AM$45</f>
        <v>#DIV/0!</v>
      </c>
      <c r="E19" s="5" t="e">
        <f>'C1 lossy AI'!$AN$45:$AN$45</f>
        <v>#DIV/0!</v>
      </c>
      <c r="F19" s="5" t="e">
        <f>'C1 lossy AI'!$AO$45:$AO$45</f>
        <v>#DIV/0!</v>
      </c>
      <c r="G19" s="5" t="e">
        <f>'C1 lossy AI'!$AP$45:$AP$45</f>
        <v>#DIV/0!</v>
      </c>
      <c r="H19" s="5" t="e">
        <f>'C1 lossy AI'!$AQ$45:$AQ$45</f>
        <v>#DIV/0!</v>
      </c>
      <c r="I19" s="5" t="e">
        <f>'C1 lossy AI'!$AR$45:$AR$45</f>
        <v>#DIV/0!</v>
      </c>
    </row>
    <row r="20" spans="2:9" x14ac:dyDescent="0.25">
      <c r="B20" t="s">
        <v>8</v>
      </c>
      <c r="C20" s="5" t="e">
        <f>'C1 lossy AI'!$AL$46:$AL$46</f>
        <v>#DIV/0!</v>
      </c>
      <c r="D20" s="5" t="e">
        <f>'C1 lossy AI'!$AM$46:$AM$46</f>
        <v>#DIV/0!</v>
      </c>
      <c r="E20" s="5" t="e">
        <f>'C1 lossy AI'!$AN$46:$AN$46</f>
        <v>#DIV/0!</v>
      </c>
      <c r="F20" s="5" t="e">
        <f>'C1 lossy AI'!$AO$46:$AO$46</f>
        <v>#DIV/0!</v>
      </c>
      <c r="G20" s="5" t="e">
        <f>'C1 lossy AI'!$AP$46:$AP$46</f>
        <v>#DIV/0!</v>
      </c>
      <c r="H20" s="5" t="e">
        <f>'C1 lossy AI'!$AQ$46:$AQ$46</f>
        <v>#DIV/0!</v>
      </c>
      <c r="I20" s="5" t="e">
        <f>'C1 lossy AI'!$AR$46:$AR$46</f>
        <v>#DIV/0!</v>
      </c>
    </row>
    <row r="21" spans="2:9" x14ac:dyDescent="0.25">
      <c r="B21" t="s">
        <v>9</v>
      </c>
      <c r="C21" s="5" t="e">
        <f>'C1 lossy AI'!$AL$47:$AL$47</f>
        <v>#DIV/0!</v>
      </c>
      <c r="D21" s="5" t="e">
        <f>'C1 lossy AI'!$AM$47:$AM$47</f>
        <v>#DIV/0!</v>
      </c>
      <c r="E21" s="5" t="e">
        <f>'C1 lossy AI'!$AN$47:$AN$47</f>
        <v>#DIV/0!</v>
      </c>
      <c r="F21" s="5" t="e">
        <f>'C1 lossy AI'!$AO$47:$AO$47</f>
        <v>#DIV/0!</v>
      </c>
      <c r="G21" s="5" t="e">
        <f>'C1 lossy AI'!$AP$47:$AP$47</f>
        <v>#DIV/0!</v>
      </c>
      <c r="H21" s="5" t="e">
        <f>'C1 lossy AI'!$AQ$47:$AQ$47</f>
        <v>#DIV/0!</v>
      </c>
      <c r="I21" s="5" t="e">
        <f>'C1 lossy AI'!$AR$47:$AR$47</f>
        <v>#DIV/0!</v>
      </c>
    </row>
    <row r="22" spans="2:9" x14ac:dyDescent="0.25">
      <c r="B22" s="6" t="s">
        <v>10</v>
      </c>
      <c r="C22" s="7" t="e">
        <f>'C1 lossy AI'!$AL$48:$AL$48</f>
        <v>#DIV/0!</v>
      </c>
      <c r="D22" s="7" t="e">
        <f>'C1 lossy AI'!$AM$48:$AM$48</f>
        <v>#DIV/0!</v>
      </c>
      <c r="E22" s="7" t="e">
        <f>'C1 lossy AI'!$AN$48:$AN$48</f>
        <v>#DIV/0!</v>
      </c>
      <c r="F22" s="7" t="e">
        <f>'C1 lossy AI'!$AO$48:$AO$48</f>
        <v>#DIV/0!</v>
      </c>
      <c r="G22" s="7" t="e">
        <f>'C1 lossy AI'!$AP$48:$AP$48</f>
        <v>#DIV/0!</v>
      </c>
      <c r="H22" s="7" t="e">
        <f>'C1 lossy AI'!$AQ$48:$AQ$48</f>
        <v>#DIV/0!</v>
      </c>
      <c r="I22" s="7" t="e">
        <f>'C1 lossy AI'!$AR$48:$AR$48</f>
        <v>#DIV/0!</v>
      </c>
    </row>
    <row r="23" spans="2:9" x14ac:dyDescent="0.25">
      <c r="B23" t="s">
        <v>11</v>
      </c>
      <c r="C23" s="69">
        <f>'C1 lossy AI'!AI50</f>
        <v>0</v>
      </c>
      <c r="D23" s="61"/>
      <c r="E23" s="61"/>
      <c r="F23" s="61"/>
      <c r="G23" s="61"/>
      <c r="H23" s="61"/>
      <c r="I23" s="61"/>
    </row>
    <row r="24" spans="2:9" x14ac:dyDescent="0.25">
      <c r="B24" s="9" t="s">
        <v>12</v>
      </c>
      <c r="C24" s="70">
        <f>'C1 lossy AI'!AJ50</f>
        <v>0</v>
      </c>
      <c r="D24" s="64"/>
      <c r="E24" s="64"/>
      <c r="F24" s="64"/>
      <c r="G24" s="64"/>
      <c r="H24" s="64"/>
      <c r="I24" s="64"/>
    </row>
    <row r="26" spans="2:9" s="1" customFormat="1" x14ac:dyDescent="0.25">
      <c r="B26" s="1" t="s">
        <v>23</v>
      </c>
    </row>
    <row r="28" spans="2:9" x14ac:dyDescent="0.25">
      <c r="B28" s="63" t="s">
        <v>24</v>
      </c>
      <c r="C28" s="65" t="s">
        <v>25</v>
      </c>
      <c r="D28" s="66"/>
      <c r="E28" s="66"/>
      <c r="F28" s="66"/>
      <c r="G28" s="66"/>
      <c r="H28" s="66"/>
      <c r="I28" s="66"/>
    </row>
    <row r="29" spans="2:9" x14ac:dyDescent="0.25">
      <c r="B29" s="61"/>
      <c r="C29" s="67" t="s">
        <v>15</v>
      </c>
      <c r="D29" s="61"/>
      <c r="E29" s="61"/>
      <c r="F29" s="61"/>
      <c r="G29" s="61"/>
      <c r="H29" s="68" t="s">
        <v>16</v>
      </c>
      <c r="I29" s="61"/>
    </row>
    <row r="30" spans="2:9" x14ac:dyDescent="0.25">
      <c r="B30" s="64"/>
      <c r="C30" s="4" t="s">
        <v>17</v>
      </c>
      <c r="D30" s="4" t="s">
        <v>18</v>
      </c>
      <c r="E30" s="4" t="s">
        <v>19</v>
      </c>
      <c r="F30" s="4" t="s">
        <v>20</v>
      </c>
      <c r="G30" s="4" t="s">
        <v>21</v>
      </c>
      <c r="H30" s="11" t="s">
        <v>22</v>
      </c>
      <c r="I30" s="11" t="s">
        <v>19</v>
      </c>
    </row>
    <row r="31" spans="2:9" x14ac:dyDescent="0.25">
      <c r="B31" t="s">
        <v>7</v>
      </c>
      <c r="C31" s="5" t="e">
        <f>'C2 lossy RA'!$AL$45:$AL$45</f>
        <v>#DIV/0!</v>
      </c>
      <c r="D31" s="5" t="e">
        <f>'C2 lossy RA'!$AM$45:$AM$45</f>
        <v>#DIV/0!</v>
      </c>
      <c r="E31" s="5" t="e">
        <f>'C2 lossy RA'!$AN$45:$AN$45</f>
        <v>#DIV/0!</v>
      </c>
      <c r="F31" s="5" t="e">
        <f>'C2 lossy RA'!$AO$45:$AO$45</f>
        <v>#DIV/0!</v>
      </c>
      <c r="G31" s="5" t="e">
        <f>'C2 lossy RA'!$AP$45:$AP$45</f>
        <v>#DIV/0!</v>
      </c>
      <c r="H31" s="5" t="e">
        <f>'C2 lossy RA'!$AQ$45:$AQ$45</f>
        <v>#DIV/0!</v>
      </c>
      <c r="I31" s="5" t="e">
        <f>'C2 lossy RA'!$AR$45:$AR$45</f>
        <v>#DIV/0!</v>
      </c>
    </row>
    <row r="32" spans="2:9" x14ac:dyDescent="0.25">
      <c r="B32" t="s">
        <v>8</v>
      </c>
      <c r="C32" s="5" t="e">
        <f>'C2 lossy RA'!$AL$46:$AL$46</f>
        <v>#DIV/0!</v>
      </c>
      <c r="D32" s="5" t="e">
        <f>'C2 lossy RA'!$AM$46:$AM$46</f>
        <v>#DIV/0!</v>
      </c>
      <c r="E32" s="5" t="e">
        <f>'C2 lossy RA'!$AN$46:$AN$46</f>
        <v>#DIV/0!</v>
      </c>
      <c r="F32" s="5" t="e">
        <f>'C2 lossy RA'!$AO$46:$AO$46</f>
        <v>#DIV/0!</v>
      </c>
      <c r="G32" s="5" t="e">
        <f>'C2 lossy RA'!$AP$46:$AP$46</f>
        <v>#DIV/0!</v>
      </c>
      <c r="H32" s="5" t="e">
        <f>'C2 lossy RA'!$AQ$46:$AQ$46</f>
        <v>#DIV/0!</v>
      </c>
      <c r="I32" s="5" t="e">
        <f>'C2 lossy RA'!$AR$46:$AR$46</f>
        <v>#DIV/0!</v>
      </c>
    </row>
    <row r="33" spans="2:9" x14ac:dyDescent="0.25">
      <c r="B33" t="s">
        <v>9</v>
      </c>
      <c r="C33" s="5" t="e">
        <f>'C2 lossy RA'!$AL$47:$AL$47</f>
        <v>#DIV/0!</v>
      </c>
      <c r="D33" s="5" t="e">
        <f>'C2 lossy RA'!$AM$47:$AM$47</f>
        <v>#DIV/0!</v>
      </c>
      <c r="E33" s="5" t="e">
        <f>'C2 lossy RA'!$AN$47:$AN$47</f>
        <v>#DIV/0!</v>
      </c>
      <c r="F33" s="5" t="e">
        <f>'C2 lossy RA'!$AO$47:$AO$47</f>
        <v>#DIV/0!</v>
      </c>
      <c r="G33" s="5" t="e">
        <f>'C2 lossy RA'!$AP$47:$AP$47</f>
        <v>#DIV/0!</v>
      </c>
      <c r="H33" s="5" t="e">
        <f>'C2 lossy RA'!$AQ$47:$AQ$47</f>
        <v>#DIV/0!</v>
      </c>
      <c r="I33" s="5" t="e">
        <f>'C2 lossy RA'!$AR$47:$AR$47</f>
        <v>#DIV/0!</v>
      </c>
    </row>
    <row r="34" spans="2:9" x14ac:dyDescent="0.25">
      <c r="B34" s="6" t="s">
        <v>10</v>
      </c>
      <c r="C34" s="7" t="e">
        <f>'C2 lossy RA'!$AL$48:$AL$48</f>
        <v>#DIV/0!</v>
      </c>
      <c r="D34" s="7" t="e">
        <f>'C2 lossy RA'!$AM$48:$AM$48</f>
        <v>#DIV/0!</v>
      </c>
      <c r="E34" s="7" t="e">
        <f>'C2 lossy RA'!$AN$48:$AN$48</f>
        <v>#DIV/0!</v>
      </c>
      <c r="F34" s="7" t="e">
        <f>'C2 lossy RA'!$AO$48:$AO$48</f>
        <v>#DIV/0!</v>
      </c>
      <c r="G34" s="7" t="e">
        <f>'C2 lossy RA'!$AP$48:$AP$48</f>
        <v>#DIV/0!</v>
      </c>
      <c r="H34" s="7" t="e">
        <f>'C2 lossy RA'!$AQ$48:$AQ$48</f>
        <v>#DIV/0!</v>
      </c>
      <c r="I34" s="7" t="e">
        <f>'C2 lossy RA'!$AR$48:$AR$48</f>
        <v>#DIV/0!</v>
      </c>
    </row>
    <row r="35" spans="2:9" x14ac:dyDescent="0.25">
      <c r="B35" t="s">
        <v>11</v>
      </c>
      <c r="C35" s="69">
        <f>'C2 lossy RA'!AI50</f>
        <v>0</v>
      </c>
      <c r="D35" s="61"/>
      <c r="E35" s="61"/>
      <c r="F35" s="61"/>
      <c r="G35" s="61"/>
      <c r="H35" s="61"/>
      <c r="I35" s="61"/>
    </row>
    <row r="36" spans="2:9" x14ac:dyDescent="0.25">
      <c r="B36" s="9" t="s">
        <v>12</v>
      </c>
      <c r="C36" s="70">
        <f>'C2 lossy RA'!AJ50</f>
        <v>0</v>
      </c>
      <c r="D36" s="64"/>
      <c r="E36" s="64"/>
      <c r="F36" s="64"/>
      <c r="G36" s="64"/>
      <c r="H36" s="64"/>
      <c r="I36" s="64"/>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customWidth="1"/>
    <col min="2" max="2" width="24.7109375" customWidth="1"/>
    <col min="4" max="4" width="24.7109375" customWidth="1"/>
    <col min="9" max="9" width="16.7109375" customWidth="1"/>
  </cols>
  <sheetData>
    <row r="1" spans="1:14" x14ac:dyDescent="0.25">
      <c r="A1" t="s">
        <v>26</v>
      </c>
      <c r="B1" s="12" t="str">
        <f>M1</f>
        <v>C1 lossy AI</v>
      </c>
      <c r="C1" t="s">
        <v>27</v>
      </c>
      <c r="I1" t="s">
        <v>28</v>
      </c>
      <c r="M1" t="s">
        <v>29</v>
      </c>
      <c r="N1" t="s">
        <v>30</v>
      </c>
    </row>
    <row r="2" spans="1:14" x14ac:dyDescent="0.25">
      <c r="A2" t="s">
        <v>31</v>
      </c>
      <c r="B2" s="12" t="s">
        <v>32</v>
      </c>
      <c r="C2" t="s">
        <v>33</v>
      </c>
      <c r="I2" t="s">
        <v>34</v>
      </c>
      <c r="J2" t="s">
        <v>35</v>
      </c>
      <c r="M2" t="s">
        <v>36</v>
      </c>
      <c r="N2" t="s">
        <v>37</v>
      </c>
    </row>
    <row r="3" spans="1:14" x14ac:dyDescent="0.25">
      <c r="I3" t="s">
        <v>38</v>
      </c>
      <c r="J3" t="s">
        <v>39</v>
      </c>
      <c r="M3" t="s">
        <v>40</v>
      </c>
      <c r="N3" t="s">
        <v>40</v>
      </c>
    </row>
    <row r="4" spans="1:14" x14ac:dyDescent="0.25">
      <c r="A4" t="s">
        <v>41</v>
      </c>
      <c r="B4" s="12" t="s">
        <v>42</v>
      </c>
      <c r="C4" t="s">
        <v>43</v>
      </c>
      <c r="D4" s="12" t="s">
        <v>44</v>
      </c>
      <c r="E4" t="s">
        <v>45</v>
      </c>
      <c r="I4" t="s">
        <v>46</v>
      </c>
      <c r="J4" t="s">
        <v>47</v>
      </c>
      <c r="M4" t="s">
        <v>48</v>
      </c>
      <c r="N4" t="s">
        <v>48</v>
      </c>
    </row>
    <row r="5" spans="1:14" x14ac:dyDescent="0.25">
      <c r="A5" t="s">
        <v>41</v>
      </c>
      <c r="B5" s="12" t="s">
        <v>42</v>
      </c>
      <c r="C5" t="s">
        <v>43</v>
      </c>
      <c r="D5" s="12" t="s">
        <v>49</v>
      </c>
      <c r="E5" t="s">
        <v>50</v>
      </c>
      <c r="I5" t="s">
        <v>51</v>
      </c>
      <c r="J5" t="s">
        <v>52</v>
      </c>
      <c r="M5" t="s">
        <v>53</v>
      </c>
      <c r="N5" t="s">
        <v>53</v>
      </c>
    </row>
    <row r="6" spans="1:14" x14ac:dyDescent="0.25">
      <c r="A6" t="s">
        <v>41</v>
      </c>
      <c r="B6" s="12" t="s">
        <v>42</v>
      </c>
      <c r="C6" t="s">
        <v>43</v>
      </c>
      <c r="D6" s="12" t="s">
        <v>54</v>
      </c>
      <c r="E6" t="s">
        <v>55</v>
      </c>
      <c r="I6" t="s">
        <v>56</v>
      </c>
      <c r="J6" t="s">
        <v>57</v>
      </c>
      <c r="M6" t="s">
        <v>58</v>
      </c>
      <c r="N6" t="s">
        <v>58</v>
      </c>
    </row>
    <row r="7" spans="1:14" x14ac:dyDescent="0.25">
      <c r="A7" t="s">
        <v>41</v>
      </c>
      <c r="B7" s="12" t="s">
        <v>42</v>
      </c>
      <c r="C7" t="s">
        <v>43</v>
      </c>
      <c r="D7" s="12" t="s">
        <v>59</v>
      </c>
      <c r="E7" t="s">
        <v>60</v>
      </c>
      <c r="I7" t="s">
        <v>61</v>
      </c>
      <c r="J7" t="s">
        <v>62</v>
      </c>
      <c r="M7" t="s">
        <v>63</v>
      </c>
      <c r="N7" t="s">
        <v>63</v>
      </c>
    </row>
    <row r="8" spans="1:14" x14ac:dyDescent="0.25">
      <c r="A8" t="s">
        <v>41</v>
      </c>
      <c r="B8" s="12" t="s">
        <v>42</v>
      </c>
      <c r="C8" t="s">
        <v>43</v>
      </c>
      <c r="D8" s="12" t="s">
        <v>64</v>
      </c>
      <c r="E8" t="s">
        <v>65</v>
      </c>
      <c r="I8" t="s">
        <v>66</v>
      </c>
      <c r="J8" t="s">
        <v>67</v>
      </c>
      <c r="M8" t="s">
        <v>68</v>
      </c>
      <c r="N8" t="s">
        <v>68</v>
      </c>
    </row>
    <row r="9" spans="1:14" x14ac:dyDescent="0.25">
      <c r="A9" t="s">
        <v>41</v>
      </c>
      <c r="B9" s="12" t="s">
        <v>42</v>
      </c>
      <c r="C9" t="s">
        <v>43</v>
      </c>
      <c r="D9" s="12" t="s">
        <v>69</v>
      </c>
      <c r="E9" t="s">
        <v>70</v>
      </c>
      <c r="I9" t="s">
        <v>71</v>
      </c>
      <c r="J9" t="s">
        <v>72</v>
      </c>
      <c r="M9" t="s">
        <v>32</v>
      </c>
      <c r="N9" t="s">
        <v>32</v>
      </c>
    </row>
    <row r="10" spans="1:14" x14ac:dyDescent="0.25">
      <c r="A10" t="s">
        <v>41</v>
      </c>
      <c r="B10" s="12" t="s">
        <v>42</v>
      </c>
      <c r="C10" t="s">
        <v>43</v>
      </c>
      <c r="D10" s="12" t="s">
        <v>73</v>
      </c>
      <c r="E10" t="s">
        <v>74</v>
      </c>
      <c r="I10" t="s">
        <v>75</v>
      </c>
      <c r="J10" t="s">
        <v>76</v>
      </c>
      <c r="M10" t="s">
        <v>77</v>
      </c>
      <c r="N10" t="s">
        <v>77</v>
      </c>
    </row>
    <row r="11" spans="1:14" x14ac:dyDescent="0.25">
      <c r="I11" t="s">
        <v>54</v>
      </c>
      <c r="J11" t="s">
        <v>78</v>
      </c>
    </row>
    <row r="12" spans="1:14" x14ac:dyDescent="0.25">
      <c r="I12" t="s">
        <v>73</v>
      </c>
      <c r="J12" t="s">
        <v>79</v>
      </c>
    </row>
    <row r="13" spans="1:14" x14ac:dyDescent="0.25">
      <c r="I13" t="s">
        <v>80</v>
      </c>
      <c r="J13" t="s">
        <v>81</v>
      </c>
    </row>
    <row r="14" spans="1:14" x14ac:dyDescent="0.25">
      <c r="I14" t="s">
        <v>82</v>
      </c>
      <c r="J14" t="s">
        <v>83</v>
      </c>
    </row>
    <row r="15" spans="1:14" x14ac:dyDescent="0.25">
      <c r="I15" t="s">
        <v>84</v>
      </c>
      <c r="J15" t="s">
        <v>85</v>
      </c>
    </row>
    <row r="16" spans="1:14" x14ac:dyDescent="0.25">
      <c r="I16" t="s">
        <v>86</v>
      </c>
      <c r="J16" t="s">
        <v>87</v>
      </c>
    </row>
    <row r="17" spans="9:10" x14ac:dyDescent="0.25">
      <c r="I17" t="s">
        <v>64</v>
      </c>
      <c r="J17" t="s">
        <v>88</v>
      </c>
    </row>
    <row r="18" spans="9:10" x14ac:dyDescent="0.25">
      <c r="I18" t="s">
        <v>69</v>
      </c>
      <c r="J18" t="s">
        <v>89</v>
      </c>
    </row>
    <row r="19" spans="9:10" x14ac:dyDescent="0.25">
      <c r="I19" t="s">
        <v>44</v>
      </c>
      <c r="J19" t="s">
        <v>90</v>
      </c>
    </row>
    <row r="20" spans="9:10" x14ac:dyDescent="0.25">
      <c r="I20" t="s">
        <v>49</v>
      </c>
      <c r="J20" t="s">
        <v>91</v>
      </c>
    </row>
    <row r="21" spans="9:10" x14ac:dyDescent="0.25">
      <c r="I21" t="s">
        <v>59</v>
      </c>
      <c r="J21" t="s">
        <v>92</v>
      </c>
    </row>
    <row r="22" spans="9:10" x14ac:dyDescent="0.25">
      <c r="I22" t="s">
        <v>93</v>
      </c>
      <c r="J22" t="s">
        <v>94</v>
      </c>
    </row>
    <row r="23" spans="9:10" x14ac:dyDescent="0.25">
      <c r="I23" t="s">
        <v>95</v>
      </c>
      <c r="J23" t="s">
        <v>96</v>
      </c>
    </row>
    <row r="24" spans="9:10" x14ac:dyDescent="0.25">
      <c r="I24" t="s">
        <v>97</v>
      </c>
      <c r="J24" t="s">
        <v>98</v>
      </c>
    </row>
    <row r="25" spans="9:10" x14ac:dyDescent="0.25">
      <c r="I25" t="s">
        <v>99</v>
      </c>
      <c r="J25" t="s">
        <v>100</v>
      </c>
    </row>
    <row r="26" spans="9:10" x14ac:dyDescent="0.25">
      <c r="I26" t="s">
        <v>101</v>
      </c>
      <c r="J26" t="s">
        <v>102</v>
      </c>
    </row>
    <row r="27" spans="9:10" x14ac:dyDescent="0.25">
      <c r="I27" t="s">
        <v>103</v>
      </c>
      <c r="J27" t="s">
        <v>104</v>
      </c>
    </row>
    <row r="28" spans="9:10" x14ac:dyDescent="0.25">
      <c r="I28" t="s">
        <v>105</v>
      </c>
      <c r="J28" t="s">
        <v>106</v>
      </c>
    </row>
    <row r="29" spans="9:10" x14ac:dyDescent="0.25">
      <c r="I29" t="s">
        <v>107</v>
      </c>
      <c r="J29" t="s">
        <v>108</v>
      </c>
    </row>
    <row r="30" spans="9:10" x14ac:dyDescent="0.25">
      <c r="I30" t="s">
        <v>109</v>
      </c>
      <c r="J30" t="s">
        <v>110</v>
      </c>
    </row>
    <row r="31" spans="9:10" x14ac:dyDescent="0.25">
      <c r="I31" t="s">
        <v>111</v>
      </c>
      <c r="J31" t="s">
        <v>112</v>
      </c>
    </row>
    <row r="32" spans="9:10" x14ac:dyDescent="0.25">
      <c r="I32" t="s">
        <v>113</v>
      </c>
      <c r="J32" t="s">
        <v>114</v>
      </c>
    </row>
    <row r="33" spans="9:10" x14ac:dyDescent="0.25">
      <c r="I33" t="s">
        <v>115</v>
      </c>
      <c r="J33" t="s">
        <v>116</v>
      </c>
    </row>
    <row r="34" spans="9:10" x14ac:dyDescent="0.25">
      <c r="I34" t="s">
        <v>117</v>
      </c>
      <c r="J34" t="s">
        <v>118</v>
      </c>
    </row>
    <row r="35" spans="9:10" x14ac:dyDescent="0.25">
      <c r="I35" t="s">
        <v>119</v>
      </c>
      <c r="J35" t="s">
        <v>120</v>
      </c>
    </row>
    <row r="36" spans="9:10" x14ac:dyDescent="0.25">
      <c r="I36" t="s">
        <v>121</v>
      </c>
      <c r="J36" t="s">
        <v>122</v>
      </c>
    </row>
    <row r="37" spans="9:10" x14ac:dyDescent="0.25">
      <c r="I37" t="s">
        <v>123</v>
      </c>
      <c r="J37" t="s">
        <v>124</v>
      </c>
    </row>
    <row r="38" spans="9:10" x14ac:dyDescent="0.25">
      <c r="I38" t="s">
        <v>125</v>
      </c>
      <c r="J38" t="s">
        <v>126</v>
      </c>
    </row>
    <row r="39" spans="9:10" x14ac:dyDescent="0.25">
      <c r="I39" t="s">
        <v>127</v>
      </c>
      <c r="J39" t="s">
        <v>128</v>
      </c>
    </row>
    <row r="40" spans="9:10" x14ac:dyDescent="0.25">
      <c r="I40" t="s">
        <v>42</v>
      </c>
      <c r="J40" t="s">
        <v>129</v>
      </c>
    </row>
    <row r="41" spans="9:10" x14ac:dyDescent="0.25">
      <c r="I41" t="s">
        <v>130</v>
      </c>
      <c r="J41" t="s">
        <v>131</v>
      </c>
    </row>
    <row r="42" spans="9:10" x14ac:dyDescent="0.25">
      <c r="I42" t="s">
        <v>132</v>
      </c>
      <c r="J42" t="s">
        <v>133</v>
      </c>
    </row>
    <row r="43" spans="9:10" x14ac:dyDescent="0.25">
      <c r="I43" t="s">
        <v>134</v>
      </c>
      <c r="J43" t="s">
        <v>135</v>
      </c>
    </row>
    <row r="44" spans="9:10" x14ac:dyDescent="0.25">
      <c r="I44" t="s">
        <v>136</v>
      </c>
      <c r="J44" t="s">
        <v>137</v>
      </c>
    </row>
    <row r="45" spans="9:10" x14ac:dyDescent="0.25">
      <c r="I45" t="s">
        <v>138</v>
      </c>
      <c r="J45" t="s">
        <v>139</v>
      </c>
    </row>
    <row r="46" spans="9:10" x14ac:dyDescent="0.25">
      <c r="I46" t="s">
        <v>140</v>
      </c>
      <c r="J46" t="s">
        <v>141</v>
      </c>
    </row>
    <row r="47" spans="9:10" x14ac:dyDescent="0.25">
      <c r="I47" t="s">
        <v>142</v>
      </c>
      <c r="J47" t="s">
        <v>143</v>
      </c>
    </row>
    <row r="48" spans="9:10" x14ac:dyDescent="0.25">
      <c r="I48" t="s">
        <v>144</v>
      </c>
      <c r="J48" t="s">
        <v>145</v>
      </c>
    </row>
    <row r="49" spans="9:10" x14ac:dyDescent="0.2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T18"/>
  <sheetViews>
    <sheetView workbookViewId="0">
      <pane xSplit="2" ySplit="4" topLeftCell="C5" activePane="bottomRight" state="frozen"/>
      <selection pane="topRight" activeCell="C1" sqref="C1"/>
      <selection pane="bottomLeft" activeCell="A5" sqref="A5"/>
      <selection pane="bottomRight" activeCell="P21" sqref="P21"/>
    </sheetView>
  </sheetViews>
  <sheetFormatPr defaultColWidth="9.140625" defaultRowHeight="15" x14ac:dyDescent="0.25"/>
  <cols>
    <col min="2" max="2" width="24.7109375" customWidth="1"/>
    <col min="3" max="4" width="10.7109375" customWidth="1"/>
    <col min="7" max="7" width="1.7109375" customWidth="1"/>
    <col min="9" max="9" width="10.7109375" customWidth="1"/>
    <col min="10" max="10" width="12.7109375" customWidth="1"/>
    <col min="13" max="13" width="1.7109375" customWidth="1"/>
    <col min="15" max="15" width="10.7109375" customWidth="1"/>
    <col min="16" max="16" width="12.7109375" customWidth="1"/>
    <col min="19" max="19" width="1.7109375" customWidth="1"/>
    <col min="21" max="21" width="1.7109375" customWidth="1"/>
  </cols>
  <sheetData>
    <row r="1" spans="1:20" x14ac:dyDescent="0.25">
      <c r="A1" s="72" t="s">
        <v>148</v>
      </c>
      <c r="B1" s="61"/>
      <c r="C1" s="61"/>
      <c r="D1" s="61"/>
      <c r="E1" s="61"/>
      <c r="F1" s="61"/>
      <c r="H1" s="60" t="s">
        <v>149</v>
      </c>
      <c r="I1" s="61"/>
      <c r="J1" s="61"/>
      <c r="K1" s="61"/>
      <c r="L1" s="61"/>
      <c r="N1" s="62" t="s">
        <v>150</v>
      </c>
      <c r="O1" s="61"/>
      <c r="P1" s="61"/>
      <c r="Q1" s="61"/>
      <c r="R1" s="61"/>
    </row>
    <row r="2" spans="1:20" ht="30" customHeight="1" x14ac:dyDescent="0.25">
      <c r="A2" s="71" t="s">
        <v>151</v>
      </c>
      <c r="B2" s="73" t="s">
        <v>152</v>
      </c>
      <c r="C2" s="71" t="s">
        <v>153</v>
      </c>
      <c r="D2" s="73" t="s">
        <v>154</v>
      </c>
      <c r="E2" s="71" t="s">
        <v>155</v>
      </c>
      <c r="F2" s="73" t="s">
        <v>156</v>
      </c>
      <c r="H2" s="71" t="s">
        <v>129</v>
      </c>
      <c r="I2" s="73" t="s">
        <v>133</v>
      </c>
      <c r="J2" s="71" t="s">
        <v>122</v>
      </c>
      <c r="K2" s="73" t="s">
        <v>124</v>
      </c>
      <c r="L2" s="71" t="s">
        <v>104</v>
      </c>
      <c r="N2" s="73" t="s">
        <v>129</v>
      </c>
      <c r="O2" s="71" t="s">
        <v>133</v>
      </c>
      <c r="P2" s="73" t="s">
        <v>122</v>
      </c>
      <c r="Q2" s="71" t="s">
        <v>124</v>
      </c>
      <c r="R2" s="73" t="s">
        <v>104</v>
      </c>
      <c r="T2" s="71" t="s">
        <v>157</v>
      </c>
    </row>
    <row r="3" spans="1:20" x14ac:dyDescent="0.25">
      <c r="A3" s="64"/>
      <c r="B3" s="64"/>
      <c r="C3" s="64"/>
      <c r="D3" s="64"/>
      <c r="E3" s="64"/>
      <c r="F3" s="64"/>
      <c r="H3" s="64"/>
      <c r="I3" s="64"/>
      <c r="J3" s="64"/>
      <c r="K3" s="64"/>
      <c r="L3" s="64"/>
      <c r="N3" s="64"/>
      <c r="O3" s="64"/>
      <c r="P3" s="64"/>
      <c r="Q3" s="64"/>
      <c r="R3" s="64"/>
      <c r="T3" s="64"/>
    </row>
    <row r="4" spans="1:20" ht="48" hidden="1" customHeight="1" x14ac:dyDescent="0.25">
      <c r="A4" s="15" t="s">
        <v>158</v>
      </c>
      <c r="B4" s="16" t="s">
        <v>159</v>
      </c>
      <c r="C4" s="15" t="s">
        <v>160</v>
      </c>
      <c r="D4" s="16" t="s">
        <v>161</v>
      </c>
      <c r="E4" s="15" t="s">
        <v>162</v>
      </c>
      <c r="F4" s="16" t="s">
        <v>163</v>
      </c>
      <c r="H4" s="15" t="s">
        <v>164</v>
      </c>
      <c r="I4" s="16" t="s">
        <v>165</v>
      </c>
      <c r="J4" s="15" t="s">
        <v>166</v>
      </c>
      <c r="K4" s="16" t="s">
        <v>167</v>
      </c>
      <c r="L4" s="15" t="s">
        <v>168</v>
      </c>
      <c r="N4" s="16" t="s">
        <v>169</v>
      </c>
      <c r="O4" s="15" t="s">
        <v>170</v>
      </c>
      <c r="P4" s="16" t="s">
        <v>171</v>
      </c>
      <c r="Q4" s="15" t="s">
        <v>172</v>
      </c>
      <c r="R4" s="16" t="s">
        <v>173</v>
      </c>
      <c r="T4" s="15" t="s">
        <v>174</v>
      </c>
    </row>
    <row r="5" spans="1:20" collapsed="1" x14ac:dyDescent="0.25">
      <c r="A5" s="17" t="s">
        <v>175</v>
      </c>
      <c r="B5" s="17" t="s">
        <v>40</v>
      </c>
      <c r="C5" s="17">
        <v>11997440</v>
      </c>
      <c r="D5" s="18">
        <v>10</v>
      </c>
      <c r="E5" s="19">
        <v>300</v>
      </c>
      <c r="F5" s="19">
        <v>30</v>
      </c>
      <c r="H5" s="20">
        <f t="shared" ref="H5:H12" si="0">IF(OR(ISBLANK(J5),ISBLANK(F5)),"·",J5*F5/E5/1000000)</f>
        <v>894.57665999999995</v>
      </c>
      <c r="I5" s="21">
        <f t="shared" ref="I5:I12" si="1">IF(ISBLANK(J5),"·",J5/C5)</f>
        <v>745.63961978555426</v>
      </c>
      <c r="J5" s="22">
        <v>8945766600</v>
      </c>
      <c r="K5" s="23">
        <v>22676</v>
      </c>
      <c r="L5" s="23">
        <v>330.25228700000002</v>
      </c>
      <c r="N5" s="20" t="str">
        <f t="shared" ref="N5:N12" si="2">IF(OR(ISBLANK(P5),ISBLANK(F5)),"·",P5*F5/E5/1000000)</f>
        <v>·</v>
      </c>
      <c r="O5" s="21" t="str">
        <f t="shared" ref="O5:O12" si="3">IF(ISBLANK(P5),"·",P5/C5)</f>
        <v>·</v>
      </c>
      <c r="P5" s="22"/>
      <c r="Q5" s="23"/>
      <c r="R5" s="23"/>
      <c r="T5" s="24" t="e">
        <f t="shared" ref="T5:T16" si="4">O5/I5</f>
        <v>#VALUE!</v>
      </c>
    </row>
    <row r="6" spans="1:20" collapsed="1" x14ac:dyDescent="0.25">
      <c r="A6" s="25"/>
      <c r="B6" s="25" t="s">
        <v>48</v>
      </c>
      <c r="C6" s="25">
        <v>9000000</v>
      </c>
      <c r="D6" s="26">
        <v>10</v>
      </c>
      <c r="E6" s="27">
        <v>300</v>
      </c>
      <c r="F6" s="27">
        <v>30</v>
      </c>
      <c r="H6" s="28">
        <f t="shared" si="0"/>
        <v>648.8001847999999</v>
      </c>
      <c r="I6" s="29">
        <f t="shared" si="1"/>
        <v>720.88909422222218</v>
      </c>
      <c r="J6" s="30">
        <v>6488001848</v>
      </c>
      <c r="K6" s="31">
        <v>21998</v>
      </c>
      <c r="L6" s="31">
        <v>283.59884899999997</v>
      </c>
      <c r="N6" s="28" t="str">
        <f t="shared" si="2"/>
        <v>·</v>
      </c>
      <c r="O6" s="29" t="str">
        <f t="shared" si="3"/>
        <v>·</v>
      </c>
      <c r="P6" s="30"/>
      <c r="Q6" s="31"/>
      <c r="R6" s="31"/>
      <c r="T6" s="32" t="e">
        <f t="shared" si="4"/>
        <v>#VALUE!</v>
      </c>
    </row>
    <row r="7" spans="1:20" collapsed="1" x14ac:dyDescent="0.25">
      <c r="A7" s="17" t="s">
        <v>176</v>
      </c>
      <c r="B7" s="17" t="s">
        <v>53</v>
      </c>
      <c r="C7" s="17">
        <v>11842002</v>
      </c>
      <c r="D7" s="18">
        <v>12</v>
      </c>
      <c r="E7" s="19">
        <v>300</v>
      </c>
      <c r="F7" s="19">
        <v>30</v>
      </c>
      <c r="H7" s="20">
        <f t="shared" si="0"/>
        <v>615.74506799999995</v>
      </c>
      <c r="I7" s="21">
        <f t="shared" si="1"/>
        <v>519.96703597922044</v>
      </c>
      <c r="J7" s="22">
        <v>6157450680</v>
      </c>
      <c r="K7" s="23">
        <v>18116</v>
      </c>
      <c r="L7" s="23">
        <v>254.43724499999999</v>
      </c>
      <c r="N7" s="20" t="str">
        <f t="shared" si="2"/>
        <v>·</v>
      </c>
      <c r="O7" s="21" t="str">
        <f t="shared" si="3"/>
        <v>·</v>
      </c>
      <c r="P7" s="22"/>
      <c r="Q7" s="23"/>
      <c r="R7" s="23"/>
      <c r="T7" s="24" t="e">
        <f t="shared" si="4"/>
        <v>#VALUE!</v>
      </c>
    </row>
    <row r="8" spans="1:20" collapsed="1" x14ac:dyDescent="0.25">
      <c r="A8" s="25"/>
      <c r="B8" s="25" t="s">
        <v>58</v>
      </c>
      <c r="C8" s="25">
        <v>11812090</v>
      </c>
      <c r="D8" s="26">
        <v>12</v>
      </c>
      <c r="E8" s="27">
        <v>300</v>
      </c>
      <c r="F8" s="27">
        <v>50</v>
      </c>
      <c r="H8" s="28">
        <f t="shared" si="0"/>
        <v>1014.0409973333334</v>
      </c>
      <c r="I8" s="29">
        <f t="shared" si="1"/>
        <v>515.08632121834489</v>
      </c>
      <c r="J8" s="30">
        <v>6084245984</v>
      </c>
      <c r="K8" s="31">
        <v>17991</v>
      </c>
      <c r="L8" s="31">
        <v>251.004008</v>
      </c>
      <c r="N8" s="28" t="str">
        <f t="shared" si="2"/>
        <v>·</v>
      </c>
      <c r="O8" s="29" t="str">
        <f t="shared" si="3"/>
        <v>·</v>
      </c>
      <c r="P8" s="30"/>
      <c r="Q8" s="31"/>
      <c r="R8" s="31"/>
      <c r="T8" s="32" t="e">
        <f t="shared" si="4"/>
        <v>#VALUE!</v>
      </c>
    </row>
    <row r="9" spans="1:20" collapsed="1" x14ac:dyDescent="0.25">
      <c r="A9" s="17" t="s">
        <v>177</v>
      </c>
      <c r="B9" s="17" t="s">
        <v>63</v>
      </c>
      <c r="C9" s="17">
        <v>12000000</v>
      </c>
      <c r="D9" s="18">
        <v>12</v>
      </c>
      <c r="E9" s="19">
        <v>300</v>
      </c>
      <c r="F9" s="19">
        <v>30</v>
      </c>
      <c r="H9" s="20">
        <f t="shared" si="0"/>
        <v>2986.9694728000004</v>
      </c>
      <c r="I9" s="21">
        <f t="shared" si="1"/>
        <v>2489.1412273333335</v>
      </c>
      <c r="J9" s="22">
        <v>29869694728</v>
      </c>
      <c r="K9" s="23">
        <v>89539</v>
      </c>
      <c r="L9" s="23">
        <v>1064.93571</v>
      </c>
      <c r="N9" s="20" t="str">
        <f t="shared" si="2"/>
        <v>·</v>
      </c>
      <c r="O9" s="21" t="str">
        <f t="shared" si="3"/>
        <v>·</v>
      </c>
      <c r="P9" s="22"/>
      <c r="Q9" s="23"/>
      <c r="R9" s="23"/>
      <c r="T9" s="24" t="e">
        <f t="shared" si="4"/>
        <v>#VALUE!</v>
      </c>
    </row>
    <row r="10" spans="1:20" collapsed="1" x14ac:dyDescent="0.25">
      <c r="A10" s="33"/>
      <c r="B10" s="33" t="s">
        <v>68</v>
      </c>
      <c r="C10" s="33">
        <v>5997654</v>
      </c>
      <c r="D10" s="34">
        <v>12</v>
      </c>
      <c r="E10" s="35">
        <v>150</v>
      </c>
      <c r="F10" s="35">
        <v>30</v>
      </c>
      <c r="H10" s="36">
        <f t="shared" si="0"/>
        <v>2445.5948528000004</v>
      </c>
      <c r="I10" s="37">
        <f t="shared" si="1"/>
        <v>2038.7928786822315</v>
      </c>
      <c r="J10" s="38">
        <v>12227974264</v>
      </c>
      <c r="K10" s="39">
        <v>50966</v>
      </c>
      <c r="L10" s="39">
        <v>527.19370300000003</v>
      </c>
      <c r="N10" s="36" t="str">
        <f t="shared" si="2"/>
        <v>·</v>
      </c>
      <c r="O10" s="37" t="str">
        <f t="shared" si="3"/>
        <v>·</v>
      </c>
      <c r="P10" s="38"/>
      <c r="Q10" s="39"/>
      <c r="R10" s="39"/>
      <c r="T10" s="40" t="e">
        <f t="shared" si="4"/>
        <v>#VALUE!</v>
      </c>
    </row>
    <row r="11" spans="1:20" collapsed="1" x14ac:dyDescent="0.25">
      <c r="A11" s="17"/>
      <c r="B11" s="17" t="s">
        <v>32</v>
      </c>
      <c r="C11" s="17">
        <v>9000000</v>
      </c>
      <c r="D11" s="18">
        <v>12</v>
      </c>
      <c r="E11" s="19">
        <v>300</v>
      </c>
      <c r="F11" s="19">
        <v>30</v>
      </c>
      <c r="H11" s="20">
        <f t="shared" si="0"/>
        <v>3676.6457679999999</v>
      </c>
      <c r="I11" s="21">
        <f t="shared" si="1"/>
        <v>4085.1619644444445</v>
      </c>
      <c r="J11" s="22">
        <v>36766457680</v>
      </c>
      <c r="K11" s="23">
        <v>78758</v>
      </c>
      <c r="L11" s="23">
        <v>1047.1956</v>
      </c>
      <c r="N11" s="20" t="str">
        <f t="shared" si="2"/>
        <v>·</v>
      </c>
      <c r="O11" s="21" t="str">
        <f t="shared" si="3"/>
        <v>·</v>
      </c>
      <c r="P11" s="22"/>
      <c r="Q11" s="23"/>
      <c r="R11" s="23"/>
      <c r="T11" s="24" t="e">
        <f t="shared" si="4"/>
        <v>#VALUE!</v>
      </c>
    </row>
    <row r="12" spans="1:20" collapsed="1" x14ac:dyDescent="0.25">
      <c r="A12" s="25"/>
      <c r="B12" s="25" t="s">
        <v>77</v>
      </c>
      <c r="C12" s="25">
        <v>9000000</v>
      </c>
      <c r="D12" s="26">
        <v>12</v>
      </c>
      <c r="E12" s="27">
        <v>300</v>
      </c>
      <c r="F12" s="27">
        <v>30</v>
      </c>
      <c r="H12" s="28">
        <f t="shared" si="0"/>
        <v>2789.6175728000003</v>
      </c>
      <c r="I12" s="29">
        <f t="shared" si="1"/>
        <v>3099.5750808888888</v>
      </c>
      <c r="J12" s="30">
        <v>27896175728</v>
      </c>
      <c r="K12" s="31">
        <v>76617</v>
      </c>
      <c r="L12" s="31">
        <v>936.54562999999996</v>
      </c>
      <c r="N12" s="28" t="str">
        <f t="shared" si="2"/>
        <v>·</v>
      </c>
      <c r="O12" s="29" t="str">
        <f t="shared" si="3"/>
        <v>·</v>
      </c>
      <c r="P12" s="30"/>
      <c r="Q12" s="31"/>
      <c r="R12" s="31"/>
      <c r="T12" s="32" t="e">
        <f t="shared" si="4"/>
        <v>#VALUE!</v>
      </c>
    </row>
    <row r="13" spans="1:20" x14ac:dyDescent="0.25">
      <c r="B13" s="41" t="s">
        <v>7</v>
      </c>
      <c r="I13" s="42">
        <f>AVERAGE(I5:I6)</f>
        <v>733.26435700388822</v>
      </c>
      <c r="O13" s="42" t="e">
        <f>AVERAGE(O5:O6)</f>
        <v>#DIV/0!</v>
      </c>
      <c r="T13" s="5" t="e">
        <f t="shared" si="4"/>
        <v>#DIV/0!</v>
      </c>
    </row>
    <row r="14" spans="1:20" x14ac:dyDescent="0.25">
      <c r="B14" s="41" t="s">
        <v>8</v>
      </c>
      <c r="I14" s="42">
        <f>AVERAGE(I7:I8)</f>
        <v>517.52667859878261</v>
      </c>
      <c r="O14" s="42" t="e">
        <f>AVERAGE(O7:O8)</f>
        <v>#DIV/0!</v>
      </c>
      <c r="T14" s="5" t="e">
        <f t="shared" si="4"/>
        <v>#DIV/0!</v>
      </c>
    </row>
    <row r="15" spans="1:20" x14ac:dyDescent="0.25">
      <c r="B15" s="41" t="s">
        <v>9</v>
      </c>
      <c r="I15" s="42">
        <f>AVERAGE(I9:I12)</f>
        <v>2928.1677878372248</v>
      </c>
      <c r="O15" s="42" t="e">
        <f>AVERAGE(O9:O12)</f>
        <v>#DIV/0!</v>
      </c>
      <c r="T15" s="5" t="e">
        <f t="shared" si="4"/>
        <v>#DIV/0!</v>
      </c>
    </row>
    <row r="16" spans="1:20" x14ac:dyDescent="0.25">
      <c r="B16" s="41" t="s">
        <v>10</v>
      </c>
      <c r="I16" s="42">
        <f>AVERAGE(I5:I12)</f>
        <v>1776.7816528192798</v>
      </c>
      <c r="O16" s="42" t="e">
        <f>AVERAGE(O5:O12)</f>
        <v>#DIV/0!</v>
      </c>
      <c r="T16" s="5" t="e">
        <f t="shared" si="4"/>
        <v>#DIV/0!</v>
      </c>
    </row>
    <row r="17" spans="1:18" x14ac:dyDescent="0.25">
      <c r="A17" s="41" t="s">
        <v>178</v>
      </c>
      <c r="B17" s="41" t="s">
        <v>179</v>
      </c>
      <c r="K17" s="43">
        <f>SUM(K5:K6,K7:K8,K9:K12)</f>
        <v>376661</v>
      </c>
      <c r="L17" s="43">
        <f>SUM(L5:L6,L7:L8,L9:L12)</f>
        <v>4695.1630319999995</v>
      </c>
      <c r="Q17" s="43">
        <f>SUM(Q5:Q6,Q7:Q8,Q9:Q12)</f>
        <v>0</v>
      </c>
      <c r="R17" s="43">
        <f>SUM(R5:R6,R7:R8,R9:R12)</f>
        <v>0</v>
      </c>
    </row>
    <row r="18" spans="1:18" x14ac:dyDescent="0.25">
      <c r="B18" s="41" t="s">
        <v>180</v>
      </c>
      <c r="Q18" s="8">
        <f>Q17/K17</f>
        <v>0</v>
      </c>
      <c r="R18" s="8">
        <f>R17/L17</f>
        <v>0</v>
      </c>
    </row>
  </sheetData>
  <mergeCells count="20">
    <mergeCell ref="C2:C3"/>
    <mergeCell ref="D2:D3"/>
    <mergeCell ref="E2:E3"/>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bestFit="1" customWidth="1"/>
  </cols>
  <sheetData>
    <row r="1" spans="1:2" x14ac:dyDescent="0.25">
      <c r="A1" t="s">
        <v>181</v>
      </c>
      <c r="B1">
        <v>1</v>
      </c>
    </row>
    <row r="2" spans="1:2" x14ac:dyDescent="0.25">
      <c r="A2" t="s">
        <v>182</v>
      </c>
      <c r="B2">
        <v>2</v>
      </c>
    </row>
    <row r="3" spans="1:2" x14ac:dyDescent="0.25">
      <c r="A3" t="s">
        <v>183</v>
      </c>
      <c r="B3">
        <v>3</v>
      </c>
    </row>
    <row r="4" spans="1:2" x14ac:dyDescent="0.25">
      <c r="A4" t="s">
        <v>184</v>
      </c>
      <c r="B4">
        <v>4</v>
      </c>
    </row>
    <row r="5" spans="1:2" x14ac:dyDescent="0.25">
      <c r="A5" t="s">
        <v>185</v>
      </c>
      <c r="B5">
        <v>5</v>
      </c>
    </row>
    <row r="6" spans="1:2" x14ac:dyDescent="0.25">
      <c r="A6" t="s">
        <v>186</v>
      </c>
      <c r="B6">
        <v>6</v>
      </c>
    </row>
    <row r="7" spans="1:2" x14ac:dyDescent="0.25">
      <c r="A7" t="s">
        <v>187</v>
      </c>
      <c r="B7">
        <v>8</v>
      </c>
    </row>
    <row r="8" spans="1:2" x14ac:dyDescent="0.25">
      <c r="A8" t="s">
        <v>188</v>
      </c>
      <c r="B8">
        <v>9</v>
      </c>
    </row>
    <row r="9" spans="1:2" x14ac:dyDescent="0.25">
      <c r="A9" t="s">
        <v>189</v>
      </c>
      <c r="B9">
        <v>10</v>
      </c>
    </row>
    <row r="10" spans="1:2" x14ac:dyDescent="0.25">
      <c r="A10" t="s">
        <v>190</v>
      </c>
      <c r="B10">
        <v>11</v>
      </c>
    </row>
    <row r="11" spans="1:2" x14ac:dyDescent="0.25">
      <c r="A11" t="s">
        <v>191</v>
      </c>
      <c r="B11">
        <v>12</v>
      </c>
    </row>
    <row r="12" spans="1:2" x14ac:dyDescent="0.25">
      <c r="A12" t="s">
        <v>192</v>
      </c>
      <c r="B12">
        <v>14</v>
      </c>
    </row>
    <row r="13" spans="1:2" x14ac:dyDescent="0.25">
      <c r="A13" t="s">
        <v>193</v>
      </c>
      <c r="B13">
        <v>15</v>
      </c>
    </row>
    <row r="14" spans="1:2" x14ac:dyDescent="0.25">
      <c r="A14" t="s">
        <v>194</v>
      </c>
      <c r="B14">
        <v>16</v>
      </c>
    </row>
    <row r="15" spans="1:2" x14ac:dyDescent="0.25">
      <c r="A15" t="s">
        <v>195</v>
      </c>
      <c r="B15">
        <v>17</v>
      </c>
    </row>
    <row r="16" spans="1:2" x14ac:dyDescent="0.25">
      <c r="A16" t="s">
        <v>196</v>
      </c>
      <c r="B16">
        <v>18</v>
      </c>
    </row>
    <row r="17" spans="1:2" x14ac:dyDescent="0.25">
      <c r="A17" t="s">
        <v>197</v>
      </c>
      <c r="B17">
        <v>20</v>
      </c>
    </row>
    <row r="18" spans="1:2" x14ac:dyDescent="0.25">
      <c r="A18" t="s">
        <v>198</v>
      </c>
      <c r="B18" t="s">
        <v>199</v>
      </c>
    </row>
    <row r="19" spans="1:2" x14ac:dyDescent="0.25">
      <c r="A19" t="s">
        <v>200</v>
      </c>
      <c r="B19" t="s">
        <v>201</v>
      </c>
    </row>
    <row r="20" spans="1:2" x14ac:dyDescent="0.25">
      <c r="A20" t="s">
        <v>202</v>
      </c>
      <c r="B20" t="s">
        <v>203</v>
      </c>
    </row>
    <row r="21" spans="1:2" x14ac:dyDescent="0.25">
      <c r="A21" t="s">
        <v>204</v>
      </c>
      <c r="B21" t="s">
        <v>205</v>
      </c>
    </row>
    <row r="22" spans="1:2" x14ac:dyDescent="0.25">
      <c r="A22" t="s">
        <v>206</v>
      </c>
      <c r="B22" t="s">
        <v>207</v>
      </c>
    </row>
    <row r="23" spans="1:2" x14ac:dyDescent="0.25">
      <c r="A23" t="s">
        <v>208</v>
      </c>
      <c r="B23" t="s">
        <v>209</v>
      </c>
    </row>
    <row r="24" spans="1:2" x14ac:dyDescent="0.25">
      <c r="A24" t="s">
        <v>210</v>
      </c>
      <c r="B24" t="s">
        <v>211</v>
      </c>
    </row>
    <row r="25" spans="1:2" x14ac:dyDescent="0.25">
      <c r="A25" t="s">
        <v>212</v>
      </c>
      <c r="B25" t="s">
        <v>213</v>
      </c>
    </row>
    <row r="26" spans="1:2" x14ac:dyDescent="0.25">
      <c r="A26" t="s">
        <v>214</v>
      </c>
      <c r="B26" t="s">
        <v>215</v>
      </c>
    </row>
    <row r="27" spans="1:2" x14ac:dyDescent="0.25">
      <c r="A27" t="s">
        <v>216</v>
      </c>
      <c r="B27" t="s">
        <v>217</v>
      </c>
    </row>
    <row r="28" spans="1:2" x14ac:dyDescent="0.25">
      <c r="A28" t="s">
        <v>218</v>
      </c>
      <c r="B28">
        <v>1</v>
      </c>
    </row>
    <row r="29" spans="1:2" x14ac:dyDescent="0.25">
      <c r="A29" t="s">
        <v>219</v>
      </c>
      <c r="B29">
        <v>2</v>
      </c>
    </row>
    <row r="30" spans="1:2" x14ac:dyDescent="0.25">
      <c r="A30" t="s">
        <v>220</v>
      </c>
      <c r="B30">
        <v>3</v>
      </c>
    </row>
    <row r="31" spans="1:2" x14ac:dyDescent="0.25">
      <c r="A31" t="s">
        <v>221</v>
      </c>
      <c r="B31">
        <v>4</v>
      </c>
    </row>
    <row r="32" spans="1:2" x14ac:dyDescent="0.25">
      <c r="A32" t="s">
        <v>222</v>
      </c>
      <c r="B32">
        <v>5</v>
      </c>
    </row>
    <row r="33" spans="1:2" x14ac:dyDescent="0.25">
      <c r="A33" t="s">
        <v>223</v>
      </c>
      <c r="B33">
        <v>6</v>
      </c>
    </row>
    <row r="34" spans="1:2" x14ac:dyDescent="0.25">
      <c r="A34" t="s">
        <v>224</v>
      </c>
      <c r="B34">
        <v>7</v>
      </c>
    </row>
    <row r="35" spans="1:2" x14ac:dyDescent="0.25">
      <c r="A35" t="s">
        <v>225</v>
      </c>
      <c r="B35">
        <v>8</v>
      </c>
    </row>
    <row r="36" spans="1:2" x14ac:dyDescent="0.25">
      <c r="A36" t="s">
        <v>226</v>
      </c>
      <c r="B36">
        <v>10</v>
      </c>
    </row>
    <row r="37" spans="1:2" x14ac:dyDescent="0.25">
      <c r="A37" t="s">
        <v>227</v>
      </c>
      <c r="B37">
        <v>11</v>
      </c>
    </row>
    <row r="38" spans="1:2" x14ac:dyDescent="0.25">
      <c r="A38" t="s">
        <v>228</v>
      </c>
      <c r="B38">
        <v>12</v>
      </c>
    </row>
    <row r="39" spans="1:2" x14ac:dyDescent="0.25">
      <c r="A39" t="s">
        <v>229</v>
      </c>
      <c r="B39">
        <v>13</v>
      </c>
    </row>
    <row r="40" spans="1:2" x14ac:dyDescent="0.25">
      <c r="A40" t="s">
        <v>230</v>
      </c>
      <c r="B40">
        <v>14</v>
      </c>
    </row>
    <row r="41" spans="1:2" x14ac:dyDescent="0.25">
      <c r="A41" t="s">
        <v>231</v>
      </c>
      <c r="B41">
        <v>15</v>
      </c>
    </row>
    <row r="42" spans="1:2" x14ac:dyDescent="0.25">
      <c r="A42" t="s">
        <v>232</v>
      </c>
      <c r="B42">
        <v>16</v>
      </c>
    </row>
    <row r="43" spans="1:2" x14ac:dyDescent="0.25">
      <c r="A43" t="s">
        <v>233</v>
      </c>
      <c r="B43">
        <v>17</v>
      </c>
    </row>
    <row r="44" spans="1:2" x14ac:dyDescent="0.25">
      <c r="A44" t="s">
        <v>234</v>
      </c>
      <c r="B44">
        <v>18</v>
      </c>
    </row>
    <row r="45" spans="1:2" x14ac:dyDescent="0.25">
      <c r="A45" t="s">
        <v>235</v>
      </c>
      <c r="B45">
        <v>19</v>
      </c>
    </row>
    <row r="46" spans="1:2" x14ac:dyDescent="0.25">
      <c r="A46" t="s">
        <v>236</v>
      </c>
      <c r="B46">
        <v>20</v>
      </c>
    </row>
    <row r="47" spans="1:2" x14ac:dyDescent="0.25">
      <c r="A47" t="s">
        <v>237</v>
      </c>
      <c r="B47">
        <v>21</v>
      </c>
    </row>
    <row r="48" spans="1:2" x14ac:dyDescent="0.25">
      <c r="A48" t="s">
        <v>238</v>
      </c>
      <c r="B48">
        <v>22</v>
      </c>
    </row>
    <row r="49" spans="1:2" x14ac:dyDescent="0.25">
      <c r="A49" t="s">
        <v>239</v>
      </c>
      <c r="B49">
        <v>24</v>
      </c>
    </row>
    <row r="50" spans="1:2" x14ac:dyDescent="0.25">
      <c r="A50" t="s">
        <v>240</v>
      </c>
      <c r="B50">
        <v>25</v>
      </c>
    </row>
    <row r="51" spans="1:2" x14ac:dyDescent="0.25">
      <c r="A51" t="s">
        <v>241</v>
      </c>
      <c r="B51">
        <v>26</v>
      </c>
    </row>
    <row r="52" spans="1:2" x14ac:dyDescent="0.25">
      <c r="A52" t="s">
        <v>242</v>
      </c>
      <c r="B52">
        <v>27</v>
      </c>
    </row>
    <row r="53" spans="1:2" x14ac:dyDescent="0.25">
      <c r="A53" t="s">
        <v>243</v>
      </c>
      <c r="B53">
        <v>28</v>
      </c>
    </row>
    <row r="54" spans="1:2" x14ac:dyDescent="0.25">
      <c r="A54" t="s">
        <v>244</v>
      </c>
      <c r="B54">
        <v>29</v>
      </c>
    </row>
    <row r="55" spans="1:2" x14ac:dyDescent="0.25">
      <c r="A55" t="s">
        <v>245</v>
      </c>
      <c r="B55">
        <v>30</v>
      </c>
    </row>
    <row r="56" spans="1:2" x14ac:dyDescent="0.25">
      <c r="A56" t="s">
        <v>246</v>
      </c>
      <c r="B56">
        <v>31</v>
      </c>
    </row>
    <row r="57" spans="1:2" x14ac:dyDescent="0.25">
      <c r="A57" t="s">
        <v>247</v>
      </c>
      <c r="B57">
        <v>32</v>
      </c>
    </row>
    <row r="58" spans="1:2" x14ac:dyDescent="0.25">
      <c r="A58" t="s">
        <v>248</v>
      </c>
      <c r="B58">
        <v>33</v>
      </c>
    </row>
    <row r="59" spans="1:2" x14ac:dyDescent="0.25">
      <c r="A59" t="s">
        <v>249</v>
      </c>
      <c r="B59">
        <v>34</v>
      </c>
    </row>
    <row r="60" spans="1:2" x14ac:dyDescent="0.25">
      <c r="A60" t="s">
        <v>250</v>
      </c>
      <c r="B60">
        <v>35</v>
      </c>
    </row>
    <row r="61" spans="1:2" x14ac:dyDescent="0.25">
      <c r="A61" t="s">
        <v>251</v>
      </c>
      <c r="B61">
        <v>36</v>
      </c>
    </row>
    <row r="62" spans="1:2" x14ac:dyDescent="0.25">
      <c r="A62" t="s">
        <v>252</v>
      </c>
      <c r="B62">
        <v>38</v>
      </c>
    </row>
    <row r="63" spans="1:2" x14ac:dyDescent="0.25">
      <c r="A63" t="s">
        <v>253</v>
      </c>
      <c r="B63">
        <v>39</v>
      </c>
    </row>
    <row r="64" spans="1:2" x14ac:dyDescent="0.25">
      <c r="A64" t="s">
        <v>254</v>
      </c>
      <c r="B64">
        <v>40</v>
      </c>
    </row>
    <row r="65" spans="1:14" x14ac:dyDescent="0.25">
      <c r="A65" t="s">
        <v>255</v>
      </c>
      <c r="B65">
        <v>41</v>
      </c>
    </row>
    <row r="66" spans="1:14" x14ac:dyDescent="0.25">
      <c r="A66" t="s">
        <v>256</v>
      </c>
      <c r="B66">
        <v>42</v>
      </c>
    </row>
    <row r="67" spans="1:14" x14ac:dyDescent="0.25">
      <c r="A67" t="s">
        <v>257</v>
      </c>
      <c r="B67">
        <v>43</v>
      </c>
    </row>
    <row r="68" spans="1:14" x14ac:dyDescent="0.25">
      <c r="A68" t="s">
        <v>258</v>
      </c>
      <c r="B68">
        <v>44</v>
      </c>
    </row>
    <row r="69" spans="1:14" x14ac:dyDescent="0.25">
      <c r="A69" t="s">
        <v>259</v>
      </c>
      <c r="B69" t="s">
        <v>260</v>
      </c>
    </row>
    <row r="70" spans="1:14" x14ac:dyDescent="0.25">
      <c r="A70" t="s">
        <v>261</v>
      </c>
      <c r="B70" t="s">
        <v>262</v>
      </c>
    </row>
    <row r="71" spans="1:14" x14ac:dyDescent="0.25">
      <c r="A71" t="s">
        <v>263</v>
      </c>
      <c r="B71" t="s">
        <v>264</v>
      </c>
    </row>
    <row r="72" spans="1:14" x14ac:dyDescent="0.25">
      <c r="A72" t="s">
        <v>265</v>
      </c>
      <c r="B72" t="s">
        <v>266</v>
      </c>
    </row>
    <row r="73" spans="1:14" x14ac:dyDescent="0.25">
      <c r="A73" t="s">
        <v>267</v>
      </c>
      <c r="B73" t="s">
        <v>268</v>
      </c>
    </row>
    <row r="74" spans="1:14" x14ac:dyDescent="0.25">
      <c r="A74" t="s">
        <v>269</v>
      </c>
      <c r="B74" t="s">
        <v>270</v>
      </c>
    </row>
    <row r="75" spans="1:14" x14ac:dyDescent="0.25">
      <c r="A75" t="s">
        <v>271</v>
      </c>
      <c r="B75" t="s">
        <v>272</v>
      </c>
    </row>
    <row r="76" spans="1:14" x14ac:dyDescent="0.25">
      <c r="A76" t="s">
        <v>273</v>
      </c>
      <c r="B76" t="s">
        <v>274</v>
      </c>
    </row>
    <row r="77" spans="1:14" x14ac:dyDescent="0.25">
      <c r="A77" t="s">
        <v>275</v>
      </c>
      <c r="B77" t="s">
        <v>276</v>
      </c>
    </row>
    <row r="78" spans="1:14" x14ac:dyDescent="0.25">
      <c r="A78" t="s">
        <v>277</v>
      </c>
      <c r="B78" t="s">
        <v>278</v>
      </c>
    </row>
    <row r="79" spans="1:14" x14ac:dyDescent="0.2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25">
      <c r="A80" t="s">
        <v>280</v>
      </c>
      <c r="B80">
        <v>1</v>
      </c>
    </row>
    <row r="81" spans="1:2" x14ac:dyDescent="0.25">
      <c r="A81" t="s">
        <v>281</v>
      </c>
      <c r="B81">
        <v>2</v>
      </c>
    </row>
    <row r="82" spans="1:2" x14ac:dyDescent="0.25">
      <c r="A82" t="s">
        <v>282</v>
      </c>
      <c r="B82">
        <v>3</v>
      </c>
    </row>
    <row r="83" spans="1:2" x14ac:dyDescent="0.25">
      <c r="A83" t="s">
        <v>283</v>
      </c>
      <c r="B83">
        <v>4</v>
      </c>
    </row>
    <row r="84" spans="1:2" x14ac:dyDescent="0.25">
      <c r="A84" t="s">
        <v>284</v>
      </c>
      <c r="B84">
        <v>5</v>
      </c>
    </row>
    <row r="85" spans="1:2" x14ac:dyDescent="0.25">
      <c r="A85" t="s">
        <v>285</v>
      </c>
      <c r="B85">
        <v>6</v>
      </c>
    </row>
    <row r="86" spans="1:2" x14ac:dyDescent="0.25">
      <c r="A86" t="s">
        <v>286</v>
      </c>
      <c r="B86">
        <v>7</v>
      </c>
    </row>
    <row r="87" spans="1:2" x14ac:dyDescent="0.25">
      <c r="A87" t="s">
        <v>287</v>
      </c>
      <c r="B87">
        <v>8</v>
      </c>
    </row>
    <row r="88" spans="1:2" x14ac:dyDescent="0.25">
      <c r="A88" t="s">
        <v>288</v>
      </c>
      <c r="B88">
        <v>10</v>
      </c>
    </row>
    <row r="89" spans="1:2" x14ac:dyDescent="0.25">
      <c r="A89" t="s">
        <v>289</v>
      </c>
      <c r="B89">
        <v>11</v>
      </c>
    </row>
    <row r="90" spans="1:2" x14ac:dyDescent="0.25">
      <c r="A90" t="s">
        <v>290</v>
      </c>
      <c r="B90">
        <v>12</v>
      </c>
    </row>
    <row r="91" spans="1:2" x14ac:dyDescent="0.25">
      <c r="A91" t="s">
        <v>291</v>
      </c>
      <c r="B91">
        <v>13</v>
      </c>
    </row>
    <row r="92" spans="1:2" x14ac:dyDescent="0.25">
      <c r="A92" t="s">
        <v>292</v>
      </c>
      <c r="B92">
        <v>14</v>
      </c>
    </row>
    <row r="93" spans="1:2" x14ac:dyDescent="0.25">
      <c r="A93" t="s">
        <v>293</v>
      </c>
      <c r="B93">
        <v>15</v>
      </c>
    </row>
    <row r="94" spans="1:2" x14ac:dyDescent="0.25">
      <c r="A94" t="s">
        <v>294</v>
      </c>
      <c r="B94">
        <v>16</v>
      </c>
    </row>
    <row r="95" spans="1:2" x14ac:dyDescent="0.25">
      <c r="A95" t="s">
        <v>295</v>
      </c>
      <c r="B95">
        <v>17</v>
      </c>
    </row>
    <row r="96" spans="1:2" x14ac:dyDescent="0.25">
      <c r="A96" t="s">
        <v>296</v>
      </c>
      <c r="B96">
        <v>18</v>
      </c>
    </row>
    <row r="97" spans="1:2" x14ac:dyDescent="0.25">
      <c r="A97" t="s">
        <v>297</v>
      </c>
      <c r="B97">
        <v>19</v>
      </c>
    </row>
    <row r="98" spans="1:2" x14ac:dyDescent="0.25">
      <c r="A98" t="s">
        <v>298</v>
      </c>
      <c r="B98">
        <v>20</v>
      </c>
    </row>
    <row r="99" spans="1:2" x14ac:dyDescent="0.25">
      <c r="A99" t="s">
        <v>299</v>
      </c>
      <c r="B99">
        <v>21</v>
      </c>
    </row>
    <row r="100" spans="1:2" x14ac:dyDescent="0.25">
      <c r="A100" t="s">
        <v>300</v>
      </c>
      <c r="B100">
        <v>22</v>
      </c>
    </row>
    <row r="101" spans="1:2" x14ac:dyDescent="0.25">
      <c r="A101" t="s">
        <v>301</v>
      </c>
      <c r="B101">
        <v>24</v>
      </c>
    </row>
    <row r="102" spans="1:2" x14ac:dyDescent="0.25">
      <c r="A102" t="s">
        <v>302</v>
      </c>
      <c r="B102">
        <v>25</v>
      </c>
    </row>
    <row r="103" spans="1:2" x14ac:dyDescent="0.25">
      <c r="A103" t="s">
        <v>303</v>
      </c>
      <c r="B103">
        <v>26</v>
      </c>
    </row>
    <row r="104" spans="1:2" x14ac:dyDescent="0.25">
      <c r="A104" t="s">
        <v>304</v>
      </c>
      <c r="B104">
        <v>27</v>
      </c>
    </row>
    <row r="105" spans="1:2" x14ac:dyDescent="0.25">
      <c r="A105" t="s">
        <v>305</v>
      </c>
      <c r="B105">
        <v>28</v>
      </c>
    </row>
    <row r="106" spans="1:2" x14ac:dyDescent="0.25">
      <c r="A106" t="s">
        <v>306</v>
      </c>
      <c r="B106">
        <v>29</v>
      </c>
    </row>
    <row r="107" spans="1:2" x14ac:dyDescent="0.25">
      <c r="A107" t="s">
        <v>307</v>
      </c>
      <c r="B107">
        <v>30</v>
      </c>
    </row>
    <row r="108" spans="1:2" x14ac:dyDescent="0.25">
      <c r="A108" t="s">
        <v>308</v>
      </c>
      <c r="B108">
        <v>31</v>
      </c>
    </row>
    <row r="109" spans="1:2" x14ac:dyDescent="0.25">
      <c r="A109" t="s">
        <v>309</v>
      </c>
      <c r="B109">
        <v>32</v>
      </c>
    </row>
    <row r="110" spans="1:2" x14ac:dyDescent="0.25">
      <c r="A110" t="s">
        <v>310</v>
      </c>
      <c r="B110">
        <v>33</v>
      </c>
    </row>
    <row r="111" spans="1:2" x14ac:dyDescent="0.25">
      <c r="A111" t="s">
        <v>311</v>
      </c>
      <c r="B111">
        <v>34</v>
      </c>
    </row>
    <row r="112" spans="1:2" x14ac:dyDescent="0.25">
      <c r="A112" t="s">
        <v>312</v>
      </c>
      <c r="B112">
        <v>35</v>
      </c>
    </row>
    <row r="113" spans="1:2" x14ac:dyDescent="0.25">
      <c r="A113" t="s">
        <v>313</v>
      </c>
      <c r="B113">
        <v>36</v>
      </c>
    </row>
    <row r="114" spans="1:2" x14ac:dyDescent="0.25">
      <c r="A114" t="s">
        <v>314</v>
      </c>
      <c r="B114">
        <v>38</v>
      </c>
    </row>
    <row r="115" spans="1:2" x14ac:dyDescent="0.25">
      <c r="A115" t="s">
        <v>315</v>
      </c>
      <c r="B115">
        <v>39</v>
      </c>
    </row>
    <row r="116" spans="1:2" x14ac:dyDescent="0.25">
      <c r="A116" t="s">
        <v>316</v>
      </c>
      <c r="B116">
        <v>40</v>
      </c>
    </row>
    <row r="117" spans="1:2" x14ac:dyDescent="0.25">
      <c r="A117" t="s">
        <v>317</v>
      </c>
      <c r="B117">
        <v>41</v>
      </c>
    </row>
    <row r="118" spans="1:2" x14ac:dyDescent="0.25">
      <c r="A118" t="s">
        <v>318</v>
      </c>
      <c r="B118">
        <v>42</v>
      </c>
    </row>
    <row r="119" spans="1:2" x14ac:dyDescent="0.25">
      <c r="A119" t="s">
        <v>319</v>
      </c>
      <c r="B119">
        <v>43</v>
      </c>
    </row>
    <row r="120" spans="1:2" x14ac:dyDescent="0.25">
      <c r="A120" t="s">
        <v>320</v>
      </c>
      <c r="B120">
        <v>44</v>
      </c>
    </row>
    <row r="121" spans="1:2" x14ac:dyDescent="0.25">
      <c r="A121" t="s">
        <v>321</v>
      </c>
      <c r="B121" t="s">
        <v>322</v>
      </c>
    </row>
    <row r="122" spans="1:2" x14ac:dyDescent="0.25">
      <c r="A122" t="s">
        <v>323</v>
      </c>
      <c r="B122" t="s">
        <v>324</v>
      </c>
    </row>
    <row r="123" spans="1:2" x14ac:dyDescent="0.25">
      <c r="A123" t="s">
        <v>325</v>
      </c>
      <c r="B123" t="s">
        <v>326</v>
      </c>
    </row>
    <row r="124" spans="1:2" x14ac:dyDescent="0.25">
      <c r="A124" t="s">
        <v>327</v>
      </c>
      <c r="B124" t="s">
        <v>328</v>
      </c>
    </row>
    <row r="125" spans="1:2" x14ac:dyDescent="0.25">
      <c r="A125" t="s">
        <v>329</v>
      </c>
      <c r="B125" t="s">
        <v>330</v>
      </c>
    </row>
    <row r="126" spans="1:2" x14ac:dyDescent="0.25">
      <c r="A126" t="s">
        <v>331</v>
      </c>
      <c r="B126" t="s">
        <v>332</v>
      </c>
    </row>
    <row r="127" spans="1:2" x14ac:dyDescent="0.25">
      <c r="A127" t="s">
        <v>333</v>
      </c>
      <c r="B127" t="s">
        <v>334</v>
      </c>
    </row>
    <row r="128" spans="1:2" x14ac:dyDescent="0.25">
      <c r="A128" t="s">
        <v>335</v>
      </c>
      <c r="B128" t="s">
        <v>336</v>
      </c>
    </row>
    <row r="129" spans="1:14" x14ac:dyDescent="0.25">
      <c r="A129" t="s">
        <v>337</v>
      </c>
      <c r="B129" t="s">
        <v>338</v>
      </c>
    </row>
    <row r="130" spans="1:14" x14ac:dyDescent="0.25">
      <c r="A130" t="s">
        <v>339</v>
      </c>
      <c r="B130" t="s">
        <v>340</v>
      </c>
    </row>
    <row r="131" spans="1:14" x14ac:dyDescent="0.2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R50"/>
  <sheetViews>
    <sheetView zoomScale="70" zoomScaleNormal="70" workbookViewId="0">
      <pane xSplit="2" ySplit="4" topLeftCell="J5" activePane="bottomRight" state="frozen"/>
      <selection pane="topRight" activeCell="C1" sqref="C1"/>
      <selection pane="bottomLeft" activeCell="A5" sqref="A5"/>
      <selection pane="bottomRight" activeCell="AD50" sqref="AD50"/>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2" t="s">
        <v>342</v>
      </c>
      <c r="B1" s="61"/>
      <c r="C1" s="61"/>
      <c r="D1" s="61"/>
      <c r="E1" s="61"/>
      <c r="F1" s="61"/>
      <c r="G1" s="61"/>
      <c r="H1" s="61"/>
      <c r="J1" s="60" t="str">
        <f>Summary!C1</f>
        <v>F300_v3.0</v>
      </c>
      <c r="K1" s="61"/>
      <c r="L1" s="61"/>
      <c r="M1" s="61"/>
      <c r="N1" s="61"/>
      <c r="O1" s="61"/>
      <c r="P1" s="61"/>
      <c r="Q1" s="61"/>
      <c r="R1" s="61"/>
      <c r="S1" s="61"/>
      <c r="T1" s="61"/>
      <c r="U1" s="61"/>
      <c r="V1" s="61"/>
      <c r="X1" s="62">
        <f>Summary!C2</f>
        <v>0</v>
      </c>
      <c r="Y1" s="61"/>
      <c r="Z1" s="61"/>
      <c r="AA1" s="61"/>
      <c r="AB1" s="61"/>
      <c r="AC1" s="61"/>
      <c r="AD1" s="61"/>
      <c r="AE1" s="61"/>
      <c r="AF1" s="61"/>
      <c r="AG1" s="61"/>
      <c r="AH1" s="61"/>
      <c r="AI1" s="61"/>
      <c r="AJ1" s="61"/>
    </row>
    <row r="2" spans="1:44" ht="30" customHeight="1" x14ac:dyDescent="0.25">
      <c r="A2" s="71" t="s">
        <v>151</v>
      </c>
      <c r="B2" s="73" t="s">
        <v>152</v>
      </c>
      <c r="C2" s="71" t="s">
        <v>343</v>
      </c>
      <c r="D2" s="73" t="s">
        <v>153</v>
      </c>
      <c r="E2" s="71" t="s">
        <v>154</v>
      </c>
      <c r="F2" s="73" t="s">
        <v>155</v>
      </c>
      <c r="G2" s="71" t="s">
        <v>156</v>
      </c>
      <c r="H2" s="73" t="s">
        <v>344</v>
      </c>
      <c r="J2" s="71" t="s">
        <v>129</v>
      </c>
      <c r="K2" s="73" t="s">
        <v>133</v>
      </c>
      <c r="L2" s="71" t="s">
        <v>83</v>
      </c>
      <c r="M2" s="73" t="s">
        <v>122</v>
      </c>
      <c r="N2" s="74" t="s">
        <v>345</v>
      </c>
      <c r="O2" s="61"/>
      <c r="P2" s="61"/>
      <c r="Q2" s="61"/>
      <c r="R2" s="61"/>
      <c r="S2" s="75" t="s">
        <v>346</v>
      </c>
      <c r="T2" s="61"/>
      <c r="U2" s="71" t="s">
        <v>124</v>
      </c>
      <c r="V2" s="73" t="s">
        <v>104</v>
      </c>
      <c r="X2" s="71" t="s">
        <v>129</v>
      </c>
      <c r="Y2" s="73" t="s">
        <v>133</v>
      </c>
      <c r="Z2" s="71" t="s">
        <v>83</v>
      </c>
      <c r="AA2" s="73" t="s">
        <v>122</v>
      </c>
      <c r="AB2" s="74" t="s">
        <v>345</v>
      </c>
      <c r="AC2" s="61"/>
      <c r="AD2" s="61"/>
      <c r="AE2" s="61"/>
      <c r="AF2" s="61"/>
      <c r="AG2" s="75" t="s">
        <v>346</v>
      </c>
      <c r="AH2" s="61"/>
      <c r="AI2" s="71" t="s">
        <v>124</v>
      </c>
      <c r="AJ2" s="73" t="s">
        <v>104</v>
      </c>
      <c r="AL2" s="74" t="s">
        <v>15</v>
      </c>
      <c r="AM2" s="61"/>
      <c r="AN2" s="61"/>
      <c r="AO2" s="61"/>
      <c r="AP2" s="61"/>
      <c r="AQ2" s="75" t="s">
        <v>16</v>
      </c>
      <c r="AR2" s="61"/>
    </row>
    <row r="3" spans="1:44" ht="15.75" customHeight="1" thickBot="1" x14ac:dyDescent="0.3">
      <c r="A3" s="64"/>
      <c r="B3" s="64"/>
      <c r="C3" s="64"/>
      <c r="D3" s="64"/>
      <c r="E3" s="64"/>
      <c r="F3" s="64"/>
      <c r="G3" s="64"/>
      <c r="H3" s="64"/>
      <c r="J3" s="64"/>
      <c r="K3" s="64"/>
      <c r="L3" s="64"/>
      <c r="M3" s="64"/>
      <c r="N3" s="13" t="s">
        <v>17</v>
      </c>
      <c r="O3" s="13" t="s">
        <v>18</v>
      </c>
      <c r="P3" s="13" t="s">
        <v>19</v>
      </c>
      <c r="Q3" s="13" t="s">
        <v>20</v>
      </c>
      <c r="R3" s="13" t="s">
        <v>21</v>
      </c>
      <c r="S3" s="14" t="s">
        <v>22</v>
      </c>
      <c r="T3" s="14" t="s">
        <v>19</v>
      </c>
      <c r="U3" s="64"/>
      <c r="V3" s="64"/>
      <c r="X3" s="64"/>
      <c r="Y3" s="64"/>
      <c r="Z3" s="64"/>
      <c r="AA3" s="64"/>
      <c r="AB3" s="13" t="s">
        <v>17</v>
      </c>
      <c r="AC3" s="13" t="s">
        <v>18</v>
      </c>
      <c r="AD3" s="13" t="s">
        <v>19</v>
      </c>
      <c r="AE3" s="13" t="s">
        <v>20</v>
      </c>
      <c r="AF3" s="13" t="s">
        <v>21</v>
      </c>
      <c r="AG3" s="14" t="s">
        <v>22</v>
      </c>
      <c r="AH3" s="14" t="s">
        <v>19</v>
      </c>
      <c r="AI3" s="64"/>
      <c r="AJ3" s="64"/>
      <c r="AL3" s="13" t="s">
        <v>17</v>
      </c>
      <c r="AM3" s="13" t="s">
        <v>18</v>
      </c>
      <c r="AN3" s="13" t="s">
        <v>19</v>
      </c>
      <c r="AO3" s="13" t="s">
        <v>20</v>
      </c>
      <c r="AP3" s="13" t="s">
        <v>21</v>
      </c>
      <c r="AQ3" s="14" t="s">
        <v>22</v>
      </c>
      <c r="AR3" s="14" t="s">
        <v>19</v>
      </c>
    </row>
    <row r="4" spans="1:44" ht="53.25" hidden="1" customHeight="1" x14ac:dyDescent="0.2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44" x14ac:dyDescent="0.25">
      <c r="A5" s="17" t="s">
        <v>175</v>
      </c>
      <c r="B5" s="17" t="s">
        <v>40</v>
      </c>
      <c r="C5" s="19" t="s">
        <v>372</v>
      </c>
      <c r="D5" s="17">
        <v>11997440</v>
      </c>
      <c r="E5" s="18">
        <v>10</v>
      </c>
      <c r="F5" s="19">
        <v>300</v>
      </c>
      <c r="G5" s="19">
        <v>30</v>
      </c>
      <c r="H5" s="19">
        <v>4</v>
      </c>
      <c r="J5" s="20">
        <f t="shared" ref="J5:J44" si="0">IF(OR(ISBLANK(M5),ISBLANK(G5)),"·",M5*G5/F5/1000000)</f>
        <v>5.0181264000000008</v>
      </c>
      <c r="K5" s="21">
        <f t="shared" ref="K5:K44" si="1">IF(ISBLANK(M5),"·",M5/D5)</f>
        <v>4.1826643017176997</v>
      </c>
      <c r="L5" s="44">
        <v>22725696</v>
      </c>
      <c r="M5" s="22">
        <v>50181264</v>
      </c>
      <c r="N5" s="45">
        <v>67.7200299</v>
      </c>
      <c r="O5" s="45">
        <v>68.661417200000002</v>
      </c>
      <c r="P5" s="45">
        <v>28.326764099999998</v>
      </c>
      <c r="Q5" s="45">
        <v>34.077336600000002</v>
      </c>
      <c r="R5" s="45">
        <v>33.6383382</v>
      </c>
      <c r="S5" s="45">
        <v>47.720962999999998</v>
      </c>
      <c r="T5" s="45">
        <v>26.8676967</v>
      </c>
      <c r="U5" s="23">
        <v>11473.0929</v>
      </c>
      <c r="V5" s="23">
        <v>111.104889</v>
      </c>
      <c r="X5" s="20" t="str">
        <f t="shared" ref="X5:X44" si="2">IF(OR(ISBLANK(AA5),ISBLANK(G5)),"·",AA5*G5/F5/1000000)</f>
        <v>·</v>
      </c>
      <c r="Y5" s="21" t="str">
        <f t="shared" ref="Y5:Y44" si="3">IF(ISBLANK(AA5),"·",AA5/D5)</f>
        <v>·</v>
      </c>
      <c r="Z5" s="44"/>
      <c r="AA5" s="22"/>
      <c r="AB5" s="45"/>
      <c r="AC5" s="45"/>
      <c r="AD5" s="45"/>
      <c r="AE5" s="45"/>
      <c r="AF5" s="45"/>
      <c r="AG5" s="45"/>
      <c r="AH5" s="45"/>
      <c r="AI5" s="23"/>
      <c r="AJ5" s="23"/>
      <c r="AL5" s="24" t="str">
        <f t="array" ref="AL5">IF( OR(AND(ISBLANK(M5:M9)),AND(ISBLANK(AA5:AA9)), AND(ISBLANK(N5:N9)),AND(ISBLANK(AB5:AB9))), "·", bdRateExtend( M5:M9,N5:N9, AA5:AA9,AB5:AB9))</f>
        <v>·</v>
      </c>
      <c r="AM5" s="24" t="str">
        <f t="array" ref="AM5">IF( OR(AND(ISBLANK(M5:M9)),AND(ISBLANK(AA5:AA9)), AND(ISBLANK(O5:O9)),AND(ISBLANK(AC5:AC9))), "·", bdRateExtend( M5:M9,O5:O9, AA5:AA9,AC5:AC9))</f>
        <v>·</v>
      </c>
      <c r="AN5" s="24" t="str">
        <f t="array" ref="AN5">IF( OR(AND(ISBLANK(M5:M9)),AND(ISBLANK(AA5:AA9)), AND(ISBLANK(P5:P9)),AND(ISBLANK(AD5:AD9))), "·", bdRateExtend( M5:M9,P5:P9, AA5:AA9,AD5:AD9))</f>
        <v>·</v>
      </c>
      <c r="AO5" s="24" t="str">
        <f t="array" ref="AO5">IF( OR(AND(ISBLANK(M5:M9)),AND(ISBLANK(AA5:AA9)), AND(ISBLANK(Q5:Q9)),AND(ISBLANK(AE5:AE9))), "·", bdRateExtend( M5:M9,Q5:Q9, AA5:AA9,AE5:AE9))</f>
        <v>·</v>
      </c>
      <c r="AP5" s="24" t="str">
        <f t="array" ref="AP5">IF( OR(AND(ISBLANK(M5:M9)),AND(ISBLANK(AA5:AA9)), AND(ISBLANK(R5:R9)),AND(ISBLANK(AF5:AF9))), "·", bdRateExtend( M5:M9,R5:R9, AA5:AA9,AF5:AF9))</f>
        <v>·</v>
      </c>
      <c r="AQ5" s="24" t="str">
        <f t="array" ref="AQ5">IF( OR(AND(ISBLANK(M5:M9)),AND(ISBLANK(AA5:AA9)), AND(ISBLANK(S5:S9)),AND(ISBLANK(AG5:AG9))), "·", bdRateExtend( M5:M9,S5:S9, AA5:AA9,AG5:AG9))</f>
        <v>·</v>
      </c>
      <c r="AR5" s="24" t="str">
        <f t="array" ref="AR5">IF( OR(AND(ISBLANK(M5:M9)),AND(ISBLANK(AA5:AA9)), AND(ISBLANK(T5:T9)),AND(ISBLANK(AH5:AH9))), "·", bdRateExtend( M5:M9,T5:T9, AA5:AA9,AH5:AH9))</f>
        <v>·</v>
      </c>
    </row>
    <row r="6" spans="1:44" outlineLevel="1" x14ac:dyDescent="0.25">
      <c r="A6" s="33"/>
      <c r="B6" s="33" t="s">
        <v>40</v>
      </c>
      <c r="C6" s="35" t="s">
        <v>373</v>
      </c>
      <c r="D6" s="33">
        <v>11997440</v>
      </c>
      <c r="E6" s="34">
        <v>10</v>
      </c>
      <c r="F6" s="35">
        <v>300</v>
      </c>
      <c r="G6" s="35">
        <v>30</v>
      </c>
      <c r="H6" s="35">
        <v>9</v>
      </c>
      <c r="J6" s="36">
        <f t="shared" si="0"/>
        <v>7.2188664000000005</v>
      </c>
      <c r="K6" s="37">
        <f t="shared" si="1"/>
        <v>6.0170056278672783</v>
      </c>
      <c r="L6" s="46">
        <v>22725696</v>
      </c>
      <c r="M6" s="38">
        <v>72188664</v>
      </c>
      <c r="N6" s="47">
        <v>68.761032700000001</v>
      </c>
      <c r="O6" s="47">
        <v>69.824928200000002</v>
      </c>
      <c r="P6" s="47">
        <v>29.761143300000001</v>
      </c>
      <c r="Q6" s="47">
        <v>35.380915199999997</v>
      </c>
      <c r="R6" s="47">
        <v>35.061255500000001</v>
      </c>
      <c r="S6" s="47">
        <v>48.221004299999997</v>
      </c>
      <c r="T6" s="47">
        <v>27.927687899999999</v>
      </c>
      <c r="U6" s="39">
        <v>11510.9213</v>
      </c>
      <c r="V6" s="39">
        <v>113.11020000000001</v>
      </c>
      <c r="X6" s="36" t="str">
        <f t="shared" si="2"/>
        <v>·</v>
      </c>
      <c r="Y6" s="37" t="str">
        <f t="shared" si="3"/>
        <v>·</v>
      </c>
      <c r="Z6" s="46"/>
      <c r="AA6" s="38"/>
      <c r="AB6" s="47"/>
      <c r="AC6" s="47"/>
      <c r="AD6" s="47"/>
      <c r="AE6" s="47"/>
      <c r="AF6" s="47"/>
      <c r="AG6" s="47"/>
      <c r="AH6" s="47"/>
      <c r="AI6" s="39"/>
      <c r="AJ6" s="39"/>
      <c r="AL6" s="40"/>
      <c r="AM6" s="40"/>
      <c r="AN6" s="40"/>
      <c r="AO6" s="40"/>
      <c r="AP6" s="40"/>
      <c r="AQ6" s="40"/>
      <c r="AR6" s="40"/>
    </row>
    <row r="7" spans="1:44" outlineLevel="1" x14ac:dyDescent="0.25">
      <c r="A7" s="17"/>
      <c r="B7" s="17" t="s">
        <v>40</v>
      </c>
      <c r="C7" s="19" t="s">
        <v>374</v>
      </c>
      <c r="D7" s="17">
        <v>11997440</v>
      </c>
      <c r="E7" s="18">
        <v>10</v>
      </c>
      <c r="F7" s="19">
        <v>300</v>
      </c>
      <c r="G7" s="19">
        <v>30</v>
      </c>
      <c r="H7" s="19">
        <v>12</v>
      </c>
      <c r="J7" s="20">
        <f t="shared" si="0"/>
        <v>10.4065744</v>
      </c>
      <c r="K7" s="21">
        <f t="shared" si="1"/>
        <v>8.6739957857676302</v>
      </c>
      <c r="L7" s="44">
        <v>45556032</v>
      </c>
      <c r="M7" s="22">
        <v>104065744</v>
      </c>
      <c r="N7" s="45">
        <v>72.820610099999996</v>
      </c>
      <c r="O7" s="45">
        <v>74.467162099999996</v>
      </c>
      <c r="P7" s="45">
        <v>31.4217829</v>
      </c>
      <c r="Q7" s="45">
        <v>35.941370900000003</v>
      </c>
      <c r="R7" s="45">
        <v>35.684231099999998</v>
      </c>
      <c r="S7" s="45">
        <v>50.398522999999997</v>
      </c>
      <c r="T7" s="45">
        <v>29.8826714</v>
      </c>
      <c r="U7" s="23">
        <v>12607.509</v>
      </c>
      <c r="V7" s="23">
        <v>117.28980799999999</v>
      </c>
      <c r="X7" s="20" t="str">
        <f t="shared" si="2"/>
        <v>·</v>
      </c>
      <c r="Y7" s="21" t="str">
        <f t="shared" si="3"/>
        <v>·</v>
      </c>
      <c r="Z7" s="44"/>
      <c r="AA7" s="22"/>
      <c r="AB7" s="45"/>
      <c r="AC7" s="45"/>
      <c r="AD7" s="45"/>
      <c r="AE7" s="45"/>
      <c r="AF7" s="45"/>
      <c r="AG7" s="45"/>
      <c r="AH7" s="45"/>
      <c r="AI7" s="23"/>
      <c r="AJ7" s="23"/>
      <c r="AL7" s="24"/>
      <c r="AM7" s="24"/>
      <c r="AN7" s="24"/>
      <c r="AO7" s="24"/>
      <c r="AP7" s="24"/>
      <c r="AQ7" s="24"/>
      <c r="AR7" s="24"/>
    </row>
    <row r="8" spans="1:44" outlineLevel="1" x14ac:dyDescent="0.25">
      <c r="A8" s="33"/>
      <c r="B8" s="33" t="s">
        <v>40</v>
      </c>
      <c r="C8" s="35" t="s">
        <v>375</v>
      </c>
      <c r="D8" s="33">
        <v>11997440</v>
      </c>
      <c r="E8" s="34">
        <v>10</v>
      </c>
      <c r="F8" s="35">
        <v>300</v>
      </c>
      <c r="G8" s="35">
        <v>30</v>
      </c>
      <c r="H8" s="35">
        <v>15</v>
      </c>
      <c r="J8" s="36">
        <f t="shared" si="0"/>
        <v>14.181395199999999</v>
      </c>
      <c r="K8" s="37">
        <f t="shared" si="1"/>
        <v>11.820351008215086</v>
      </c>
      <c r="L8" s="46">
        <v>45556032</v>
      </c>
      <c r="M8" s="38">
        <v>141813952</v>
      </c>
      <c r="N8" s="47">
        <v>73.802666200000004</v>
      </c>
      <c r="O8" s="47">
        <v>75.609774400000006</v>
      </c>
      <c r="P8" s="47">
        <v>32.823709399999998</v>
      </c>
      <c r="Q8" s="47">
        <v>36.9138734</v>
      </c>
      <c r="R8" s="47">
        <v>36.657314700000001</v>
      </c>
      <c r="S8" s="47">
        <v>50.847002400000001</v>
      </c>
      <c r="T8" s="47">
        <v>30.998270300000001</v>
      </c>
      <c r="U8" s="39">
        <v>12810.8912</v>
      </c>
      <c r="V8" s="39">
        <v>120.700844</v>
      </c>
      <c r="X8" s="36" t="str">
        <f t="shared" si="2"/>
        <v>·</v>
      </c>
      <c r="Y8" s="37" t="str">
        <f t="shared" si="3"/>
        <v>·</v>
      </c>
      <c r="Z8" s="46"/>
      <c r="AA8" s="38"/>
      <c r="AB8" s="47"/>
      <c r="AC8" s="47"/>
      <c r="AD8" s="47"/>
      <c r="AE8" s="47"/>
      <c r="AF8" s="47"/>
      <c r="AG8" s="47"/>
      <c r="AH8" s="47"/>
      <c r="AI8" s="39"/>
      <c r="AJ8" s="39"/>
      <c r="AL8" s="40"/>
      <c r="AM8" s="40"/>
      <c r="AN8" s="40"/>
      <c r="AO8" s="40"/>
      <c r="AP8" s="40"/>
      <c r="AQ8" s="40"/>
      <c r="AR8" s="40"/>
    </row>
    <row r="9" spans="1:44" ht="15.75" customHeight="1" outlineLevel="1" thickBot="1" x14ac:dyDescent="0.3">
      <c r="A9" s="17"/>
      <c r="B9" s="48" t="s">
        <v>40</v>
      </c>
      <c r="C9" s="49" t="s">
        <v>376</v>
      </c>
      <c r="D9" s="48">
        <v>11997440</v>
      </c>
      <c r="E9" s="50">
        <v>10</v>
      </c>
      <c r="F9" s="49">
        <v>300</v>
      </c>
      <c r="G9" s="49">
        <v>30</v>
      </c>
      <c r="H9" s="49">
        <v>22</v>
      </c>
      <c r="J9" s="51">
        <f t="shared" si="0"/>
        <v>23.4219288</v>
      </c>
      <c r="K9" s="52">
        <f t="shared" si="1"/>
        <v>19.522438786941215</v>
      </c>
      <c r="L9" s="53">
        <v>11991502</v>
      </c>
      <c r="M9" s="54">
        <v>234219288</v>
      </c>
      <c r="N9" s="55">
        <v>999.99</v>
      </c>
      <c r="O9" s="55">
        <v>999.99</v>
      </c>
      <c r="P9" s="55">
        <v>33.402480699999998</v>
      </c>
      <c r="Q9" s="55">
        <v>37.239927100000003</v>
      </c>
      <c r="R9" s="55">
        <v>37.006722799999999</v>
      </c>
      <c r="S9" s="55">
        <v>999.99</v>
      </c>
      <c r="T9" s="55">
        <v>33.245077100000003</v>
      </c>
      <c r="U9" s="56">
        <v>9265.2873</v>
      </c>
      <c r="V9" s="56">
        <v>123.09248100000001</v>
      </c>
      <c r="X9" s="51" t="str">
        <f t="shared" si="2"/>
        <v>·</v>
      </c>
      <c r="Y9" s="52" t="str">
        <f t="shared" si="3"/>
        <v>·</v>
      </c>
      <c r="Z9" s="53"/>
      <c r="AA9" s="54"/>
      <c r="AB9" s="55"/>
      <c r="AC9" s="55"/>
      <c r="AD9" s="55"/>
      <c r="AE9" s="55"/>
      <c r="AF9" s="55"/>
      <c r="AG9" s="55"/>
      <c r="AH9" s="55"/>
      <c r="AI9" s="56"/>
      <c r="AJ9" s="56"/>
      <c r="AL9" s="57"/>
      <c r="AM9" s="57"/>
      <c r="AN9" s="57"/>
      <c r="AO9" s="57"/>
      <c r="AP9" s="57"/>
      <c r="AQ9" s="57"/>
      <c r="AR9" s="57"/>
    </row>
    <row r="10" spans="1:44" x14ac:dyDescent="0.25">
      <c r="A10" s="33"/>
      <c r="B10" s="33" t="s">
        <v>48</v>
      </c>
      <c r="C10" s="35" t="s">
        <v>372</v>
      </c>
      <c r="D10" s="33">
        <v>9000000</v>
      </c>
      <c r="E10" s="34">
        <v>10</v>
      </c>
      <c r="F10" s="35">
        <v>300</v>
      </c>
      <c r="G10" s="35">
        <v>30</v>
      </c>
      <c r="H10" s="35">
        <v>5</v>
      </c>
      <c r="J10" s="36">
        <f t="shared" si="0"/>
        <v>4.0791727999999994</v>
      </c>
      <c r="K10" s="37">
        <f t="shared" si="1"/>
        <v>4.5324142222222221</v>
      </c>
      <c r="L10" s="46">
        <v>22538688</v>
      </c>
      <c r="M10" s="38">
        <v>40791728</v>
      </c>
      <c r="N10" s="47">
        <v>65.604721999999995</v>
      </c>
      <c r="O10" s="47">
        <v>66.330887599999997</v>
      </c>
      <c r="P10" s="47">
        <v>30.797881400000001</v>
      </c>
      <c r="Q10" s="47">
        <v>44.125490800000001</v>
      </c>
      <c r="R10" s="47">
        <v>44.296109000000001</v>
      </c>
      <c r="S10" s="47">
        <v>44.415000300000003</v>
      </c>
      <c r="T10" s="47">
        <v>28.9857978</v>
      </c>
      <c r="U10" s="39">
        <v>12637.661400000001</v>
      </c>
      <c r="V10" s="39">
        <v>110.588289</v>
      </c>
      <c r="X10" s="36" t="str">
        <f t="shared" si="2"/>
        <v>·</v>
      </c>
      <c r="Y10" s="37" t="str">
        <f t="shared" si="3"/>
        <v>·</v>
      </c>
      <c r="Z10" s="46"/>
      <c r="AA10" s="38"/>
      <c r="AB10" s="47"/>
      <c r="AC10" s="47"/>
      <c r="AD10" s="47"/>
      <c r="AE10" s="47"/>
      <c r="AF10" s="47"/>
      <c r="AG10" s="47"/>
      <c r="AH10" s="47"/>
      <c r="AI10" s="39"/>
      <c r="AJ10" s="39"/>
      <c r="AL10" s="40" t="str">
        <f t="array" ref="AL10">IF( OR(AND(ISBLANK(M10:M14)),AND(ISBLANK(AA10:AA14)), AND(ISBLANK(N10:N14)),AND(ISBLANK(AB10:AB14))), "·", bdRateExtend( M10:M14,N10:N14, AA10:AA14,AB10:AB14))</f>
        <v>·</v>
      </c>
      <c r="AM10" s="40" t="str">
        <f t="array" ref="AM10">IF( OR(AND(ISBLANK(M10:M14)),AND(ISBLANK(AA10:AA14)), AND(ISBLANK(O10:O14)),AND(ISBLANK(AC10:AC14))), "·", bdRateExtend( M10:M14,O10:O14, AA10:AA14,AC10:AC14))</f>
        <v>·</v>
      </c>
      <c r="AN10" s="40" t="str">
        <f t="array" ref="AN10">IF( OR(AND(ISBLANK(M10:M14)),AND(ISBLANK(AA10:AA14)), AND(ISBLANK(P10:P14)),AND(ISBLANK(AD10:AD14))), "·", bdRateExtend( M10:M14,P10:P14, AA10:AA14,AD10:AD14))</f>
        <v>·</v>
      </c>
      <c r="AO10" s="40" t="str">
        <f t="array" ref="AO10">IF( OR(AND(ISBLANK(M10:M14)),AND(ISBLANK(AA10:AA14)), AND(ISBLANK(Q10:Q14)),AND(ISBLANK(AE10:AE14))), "·", bdRateExtend( M10:M14,Q10:Q14, AA10:AA14,AE10:AE14))</f>
        <v>·</v>
      </c>
      <c r="AP10" s="40" t="str">
        <f t="array" ref="AP10">IF( OR(AND(ISBLANK(M10:M14)),AND(ISBLANK(AA10:AA14)), AND(ISBLANK(R10:R14)),AND(ISBLANK(AF10:AF14))), "·", bdRateExtend( M10:M14,R10:R14, AA10:AA14,AF10:AF14))</f>
        <v>·</v>
      </c>
      <c r="AQ10" s="40" t="str">
        <f t="array" ref="AQ10">IF( OR(AND(ISBLANK(M10:M14)),AND(ISBLANK(AA10:AA14)), AND(ISBLANK(S10:S14)),AND(ISBLANK(AG10:AG14))), "·", bdRateExtend( M10:M14,S10:S14, AA10:AA14,AG10:AG14))</f>
        <v>·</v>
      </c>
      <c r="AR10" s="40" t="str">
        <f t="array" ref="AR10">IF( OR(AND(ISBLANK(M10:M14)),AND(ISBLANK(AA10:AA14)), AND(ISBLANK(T10:T14)),AND(ISBLANK(AH10:AH14))), "·", bdRateExtend( M10:M14,T10:T14, AA10:AA14,AH10:AH14))</f>
        <v>·</v>
      </c>
    </row>
    <row r="11" spans="1:44" outlineLevel="1" x14ac:dyDescent="0.25">
      <c r="A11" s="17"/>
      <c r="B11" s="17" t="s">
        <v>48</v>
      </c>
      <c r="C11" s="19" t="s">
        <v>373</v>
      </c>
      <c r="D11" s="17">
        <v>9000000</v>
      </c>
      <c r="E11" s="18">
        <v>10</v>
      </c>
      <c r="F11" s="19">
        <v>300</v>
      </c>
      <c r="G11" s="19">
        <v>30</v>
      </c>
      <c r="H11" s="19">
        <v>9</v>
      </c>
      <c r="J11" s="20">
        <f t="shared" si="0"/>
        <v>6.3268599999999999</v>
      </c>
      <c r="K11" s="21">
        <f t="shared" si="1"/>
        <v>7.0298444444444446</v>
      </c>
      <c r="L11" s="44">
        <v>45393792</v>
      </c>
      <c r="M11" s="22">
        <v>63268600</v>
      </c>
      <c r="N11" s="45">
        <v>70.141907599999996</v>
      </c>
      <c r="O11" s="45">
        <v>71.495811900000007</v>
      </c>
      <c r="P11" s="45">
        <v>32.482216399999999</v>
      </c>
      <c r="Q11" s="45">
        <v>44.965305100000002</v>
      </c>
      <c r="R11" s="45">
        <v>45.261160500000003</v>
      </c>
      <c r="S11" s="45">
        <v>47.090517699999999</v>
      </c>
      <c r="T11" s="45">
        <v>31.029328400000001</v>
      </c>
      <c r="U11" s="23">
        <v>13760.098400000001</v>
      </c>
      <c r="V11" s="23">
        <v>114.393895</v>
      </c>
      <c r="X11" s="20" t="str">
        <f t="shared" si="2"/>
        <v>·</v>
      </c>
      <c r="Y11" s="21" t="str">
        <f t="shared" si="3"/>
        <v>·</v>
      </c>
      <c r="Z11" s="44"/>
      <c r="AA11" s="22"/>
      <c r="AB11" s="45"/>
      <c r="AC11" s="45"/>
      <c r="AD11" s="45"/>
      <c r="AE11" s="45"/>
      <c r="AF11" s="45"/>
      <c r="AG11" s="45"/>
      <c r="AH11" s="45"/>
      <c r="AI11" s="23"/>
      <c r="AJ11" s="23"/>
      <c r="AL11" s="24"/>
      <c r="AM11" s="24"/>
      <c r="AN11" s="24"/>
      <c r="AO11" s="24"/>
      <c r="AP11" s="24"/>
      <c r="AQ11" s="24"/>
      <c r="AR11" s="24"/>
    </row>
    <row r="12" spans="1:44" outlineLevel="1" x14ac:dyDescent="0.25">
      <c r="A12" s="33"/>
      <c r="B12" s="33" t="s">
        <v>48</v>
      </c>
      <c r="C12" s="35" t="s">
        <v>374</v>
      </c>
      <c r="D12" s="33">
        <v>9000000</v>
      </c>
      <c r="E12" s="34">
        <v>10</v>
      </c>
      <c r="F12" s="35">
        <v>300</v>
      </c>
      <c r="G12" s="35">
        <v>30</v>
      </c>
      <c r="H12" s="35">
        <v>12</v>
      </c>
      <c r="J12" s="36">
        <f t="shared" si="0"/>
        <v>8.5223055999999993</v>
      </c>
      <c r="K12" s="37">
        <f t="shared" si="1"/>
        <v>9.469228444444445</v>
      </c>
      <c r="L12" s="46">
        <v>45393792</v>
      </c>
      <c r="M12" s="38">
        <v>85223056</v>
      </c>
      <c r="N12" s="47">
        <v>71.176424499999996</v>
      </c>
      <c r="O12" s="47">
        <v>72.686542799999998</v>
      </c>
      <c r="P12" s="47">
        <v>33.995712400000002</v>
      </c>
      <c r="Q12" s="47">
        <v>45.2230597</v>
      </c>
      <c r="R12" s="47">
        <v>45.568225400000003</v>
      </c>
      <c r="S12" s="47">
        <v>47.596739800000002</v>
      </c>
      <c r="T12" s="47">
        <v>32.204295700000003</v>
      </c>
      <c r="U12" s="39">
        <v>13764.3873</v>
      </c>
      <c r="V12" s="39">
        <v>116.33730799999999</v>
      </c>
      <c r="X12" s="36" t="str">
        <f t="shared" si="2"/>
        <v>·</v>
      </c>
      <c r="Y12" s="37" t="str">
        <f t="shared" si="3"/>
        <v>·</v>
      </c>
      <c r="Z12" s="46"/>
      <c r="AA12" s="38"/>
      <c r="AB12" s="47"/>
      <c r="AC12" s="47"/>
      <c r="AD12" s="47"/>
      <c r="AE12" s="47"/>
      <c r="AF12" s="47"/>
      <c r="AG12" s="47"/>
      <c r="AH12" s="47"/>
      <c r="AI12" s="39"/>
      <c r="AJ12" s="39"/>
      <c r="AL12" s="40"/>
      <c r="AM12" s="40"/>
      <c r="AN12" s="40"/>
      <c r="AO12" s="40"/>
      <c r="AP12" s="40"/>
      <c r="AQ12" s="40"/>
      <c r="AR12" s="40"/>
    </row>
    <row r="13" spans="1:44" outlineLevel="1" x14ac:dyDescent="0.25">
      <c r="A13" s="17"/>
      <c r="B13" s="17" t="s">
        <v>48</v>
      </c>
      <c r="C13" s="19" t="s">
        <v>375</v>
      </c>
      <c r="D13" s="17">
        <v>9000000</v>
      </c>
      <c r="E13" s="18">
        <v>10</v>
      </c>
      <c r="F13" s="19">
        <v>300</v>
      </c>
      <c r="G13" s="19">
        <v>30</v>
      </c>
      <c r="H13" s="19">
        <v>15</v>
      </c>
      <c r="J13" s="20">
        <f t="shared" si="0"/>
        <v>11.593896000000001</v>
      </c>
      <c r="K13" s="21">
        <f t="shared" si="1"/>
        <v>12.882106666666667</v>
      </c>
      <c r="L13" s="44">
        <v>45393792</v>
      </c>
      <c r="M13" s="22">
        <v>115938960</v>
      </c>
      <c r="N13" s="45">
        <v>72.1546862</v>
      </c>
      <c r="O13" s="45">
        <v>73.815614299999993</v>
      </c>
      <c r="P13" s="45">
        <v>35.479828500000004</v>
      </c>
      <c r="Q13" s="45">
        <v>45.942329800000003</v>
      </c>
      <c r="R13" s="45">
        <v>46.379458100000001</v>
      </c>
      <c r="S13" s="45">
        <v>48.086220099999998</v>
      </c>
      <c r="T13" s="45">
        <v>33.322851300000004</v>
      </c>
      <c r="U13" s="23">
        <v>13892.5553</v>
      </c>
      <c r="V13" s="23">
        <v>118.254026</v>
      </c>
      <c r="X13" s="20" t="str">
        <f t="shared" si="2"/>
        <v>·</v>
      </c>
      <c r="Y13" s="21" t="str">
        <f t="shared" si="3"/>
        <v>·</v>
      </c>
      <c r="Z13" s="44"/>
      <c r="AA13" s="22"/>
      <c r="AB13" s="45"/>
      <c r="AC13" s="45"/>
      <c r="AD13" s="45"/>
      <c r="AE13" s="45"/>
      <c r="AF13" s="45"/>
      <c r="AG13" s="45"/>
      <c r="AH13" s="45"/>
      <c r="AI13" s="23"/>
      <c r="AJ13" s="23"/>
      <c r="AL13" s="24"/>
      <c r="AM13" s="24"/>
      <c r="AN13" s="24"/>
      <c r="AO13" s="24"/>
      <c r="AP13" s="24"/>
      <c r="AQ13" s="24"/>
      <c r="AR13" s="24"/>
    </row>
    <row r="14" spans="1:44" ht="15.75" customHeight="1" outlineLevel="1" thickBot="1" x14ac:dyDescent="0.3">
      <c r="A14" s="25"/>
      <c r="B14" s="25" t="s">
        <v>48</v>
      </c>
      <c r="C14" s="27" t="s">
        <v>376</v>
      </c>
      <c r="D14" s="25">
        <v>9000000</v>
      </c>
      <c r="E14" s="26">
        <v>10</v>
      </c>
      <c r="F14" s="27">
        <v>300</v>
      </c>
      <c r="G14" s="27">
        <v>30</v>
      </c>
      <c r="H14" s="27">
        <v>22</v>
      </c>
      <c r="J14" s="28">
        <f t="shared" si="0"/>
        <v>23.994827999999998</v>
      </c>
      <c r="K14" s="29">
        <f t="shared" si="1"/>
        <v>26.660920000000001</v>
      </c>
      <c r="L14" s="58">
        <v>11991306</v>
      </c>
      <c r="M14" s="30">
        <v>239948280</v>
      </c>
      <c r="N14" s="59">
        <v>999.99</v>
      </c>
      <c r="O14" s="59">
        <v>999.99</v>
      </c>
      <c r="P14" s="59">
        <v>37.909561500000002</v>
      </c>
      <c r="Q14" s="59">
        <v>46.800388300000002</v>
      </c>
      <c r="R14" s="59">
        <v>47.335408399999999</v>
      </c>
      <c r="S14" s="59">
        <v>999.99</v>
      </c>
      <c r="T14" s="59">
        <v>37.783728199999999</v>
      </c>
      <c r="U14" s="31">
        <v>10150.943600000001</v>
      </c>
      <c r="V14" s="31">
        <v>124.224042</v>
      </c>
      <c r="X14" s="28" t="str">
        <f t="shared" si="2"/>
        <v>·</v>
      </c>
      <c r="Y14" s="29" t="str">
        <f t="shared" si="3"/>
        <v>·</v>
      </c>
      <c r="Z14" s="58"/>
      <c r="AA14" s="30"/>
      <c r="AB14" s="59"/>
      <c r="AC14" s="59"/>
      <c r="AD14" s="59"/>
      <c r="AE14" s="59"/>
      <c r="AF14" s="59"/>
      <c r="AG14" s="59"/>
      <c r="AH14" s="59"/>
      <c r="AI14" s="31"/>
      <c r="AJ14" s="31"/>
      <c r="AL14" s="32"/>
      <c r="AM14" s="32"/>
      <c r="AN14" s="32"/>
      <c r="AO14" s="32"/>
      <c r="AP14" s="32"/>
      <c r="AQ14" s="32"/>
      <c r="AR14" s="32"/>
    </row>
    <row r="15" spans="1:44" x14ac:dyDescent="0.25">
      <c r="A15" s="17" t="s">
        <v>176</v>
      </c>
      <c r="B15" s="17" t="s">
        <v>53</v>
      </c>
      <c r="C15" s="19" t="s">
        <v>372</v>
      </c>
      <c r="D15" s="17">
        <v>11842002</v>
      </c>
      <c r="E15" s="18">
        <v>12</v>
      </c>
      <c r="F15" s="19">
        <v>300</v>
      </c>
      <c r="G15" s="19">
        <v>30</v>
      </c>
      <c r="H15" s="19">
        <v>3</v>
      </c>
      <c r="J15" s="20">
        <f t="shared" si="0"/>
        <v>4.1128752000000004</v>
      </c>
      <c r="K15" s="21">
        <f t="shared" si="1"/>
        <v>3.4731248989824524</v>
      </c>
      <c r="L15" s="44">
        <v>22706944</v>
      </c>
      <c r="M15" s="22">
        <v>41128752</v>
      </c>
      <c r="N15" s="45">
        <v>71.225856899999997</v>
      </c>
      <c r="O15" s="45">
        <v>72.553207700000002</v>
      </c>
      <c r="P15" s="45">
        <v>37.063383799999997</v>
      </c>
      <c r="Q15" s="45">
        <v>43.483529500000003</v>
      </c>
      <c r="R15" s="45">
        <v>45.505868499999998</v>
      </c>
      <c r="S15" s="45">
        <v>45.698000499999999</v>
      </c>
      <c r="T15" s="45">
        <v>32.981529700000003</v>
      </c>
      <c r="U15" s="23">
        <v>10982.7155</v>
      </c>
      <c r="V15" s="23">
        <v>107.157816</v>
      </c>
      <c r="X15" s="20" t="str">
        <f t="shared" si="2"/>
        <v>·</v>
      </c>
      <c r="Y15" s="21" t="str">
        <f t="shared" si="3"/>
        <v>·</v>
      </c>
      <c r="Z15" s="44"/>
      <c r="AA15" s="22"/>
      <c r="AB15" s="45"/>
      <c r="AC15" s="45"/>
      <c r="AD15" s="45"/>
      <c r="AE15" s="45"/>
      <c r="AF15" s="45"/>
      <c r="AG15" s="45"/>
      <c r="AH15" s="45"/>
      <c r="AI15" s="23"/>
      <c r="AJ15" s="23"/>
      <c r="AL15" s="24" t="str">
        <f t="array" ref="AL15">IF( OR(AND(ISBLANK(M15:M19)),AND(ISBLANK(AA15:AA19)), AND(ISBLANK(N15:N19)),AND(ISBLANK(AB15:AB19))), "·", bdRateExtend( M15:M19,N15:N19, AA15:AA19,AB15:AB19))</f>
        <v>·</v>
      </c>
      <c r="AM15" s="24" t="str">
        <f t="array" ref="AM15">IF( OR(AND(ISBLANK(M15:M19)),AND(ISBLANK(AA15:AA19)), AND(ISBLANK(O15:O19)),AND(ISBLANK(AC15:AC19))), "·", bdRateExtend( M15:M19,O15:O19, AA15:AA19,AC15:AC19))</f>
        <v>·</v>
      </c>
      <c r="AN15" s="24" t="str">
        <f t="array" ref="AN15">IF( OR(AND(ISBLANK(M15:M19)),AND(ISBLANK(AA15:AA19)), AND(ISBLANK(P15:P19)),AND(ISBLANK(AD15:AD19))), "·", bdRateExtend( M15:M19,P15:P19, AA15:AA19,AD15:AD19))</f>
        <v>·</v>
      </c>
      <c r="AO15" s="24" t="str">
        <f t="array" ref="AO15">IF( OR(AND(ISBLANK(M15:M19)),AND(ISBLANK(AA15:AA19)), AND(ISBLANK(Q15:Q19)),AND(ISBLANK(AE15:AE19))), "·", bdRateExtend( M15:M19,Q15:Q19, AA15:AA19,AE15:AE19))</f>
        <v>·</v>
      </c>
      <c r="AP15" s="24" t="str">
        <f t="array" ref="AP15">IF( OR(AND(ISBLANK(M15:M19)),AND(ISBLANK(AA15:AA19)), AND(ISBLANK(R15:R19)),AND(ISBLANK(AF15:AF19))), "·", bdRateExtend( M15:M19,R15:R19, AA15:AA19,AF15:AF19))</f>
        <v>·</v>
      </c>
      <c r="AQ15" s="24" t="str">
        <f t="array" ref="AQ15">IF( OR(AND(ISBLANK(M15:M19)),AND(ISBLANK(AA15:AA19)), AND(ISBLANK(S15:S19)),AND(ISBLANK(AG15:AG19))), "·", bdRateExtend( M15:M19,S15:S19, AA15:AA19,AG15:AG19))</f>
        <v>·</v>
      </c>
      <c r="AR15" s="24" t="str">
        <f t="array" ref="AR15">IF( OR(AND(ISBLANK(M15:M19)),AND(ISBLANK(AA15:AA19)), AND(ISBLANK(T15:T19)),AND(ISBLANK(AH15:AH19))), "·", bdRateExtend( M15:M19,T15:T19, AA15:AA19,AH15:AH19))</f>
        <v>·</v>
      </c>
    </row>
    <row r="16" spans="1:44" outlineLevel="1" x14ac:dyDescent="0.25">
      <c r="A16" s="33"/>
      <c r="B16" s="33" t="s">
        <v>53</v>
      </c>
      <c r="C16" s="35" t="s">
        <v>373</v>
      </c>
      <c r="D16" s="33">
        <v>11842002</v>
      </c>
      <c r="E16" s="34">
        <v>12</v>
      </c>
      <c r="F16" s="35">
        <v>300</v>
      </c>
      <c r="G16" s="35">
        <v>30</v>
      </c>
      <c r="H16" s="35">
        <v>5</v>
      </c>
      <c r="J16" s="36">
        <f t="shared" si="0"/>
        <v>6.9716424000000004</v>
      </c>
      <c r="K16" s="37">
        <f t="shared" si="1"/>
        <v>5.8872160298571137</v>
      </c>
      <c r="L16" s="46">
        <v>45429504</v>
      </c>
      <c r="M16" s="38">
        <v>69716424</v>
      </c>
      <c r="N16" s="47">
        <v>74.969412500000004</v>
      </c>
      <c r="O16" s="47">
        <v>76.786351100000005</v>
      </c>
      <c r="P16" s="47">
        <v>39.576208100000002</v>
      </c>
      <c r="Q16" s="47">
        <v>44.165190600000003</v>
      </c>
      <c r="R16" s="47">
        <v>46.833312399999997</v>
      </c>
      <c r="S16" s="47">
        <v>47.701970299999999</v>
      </c>
      <c r="T16" s="47">
        <v>35.566772700000001</v>
      </c>
      <c r="U16" s="39">
        <v>12774.8295</v>
      </c>
      <c r="V16" s="39">
        <v>118.84106300000001</v>
      </c>
      <c r="X16" s="36" t="str">
        <f t="shared" si="2"/>
        <v>·</v>
      </c>
      <c r="Y16" s="37" t="str">
        <f t="shared" si="3"/>
        <v>·</v>
      </c>
      <c r="Z16" s="46"/>
      <c r="AA16" s="38"/>
      <c r="AB16" s="47"/>
      <c r="AC16" s="47"/>
      <c r="AD16" s="47"/>
      <c r="AE16" s="47"/>
      <c r="AF16" s="47"/>
      <c r="AG16" s="47"/>
      <c r="AH16" s="47"/>
      <c r="AI16" s="39"/>
      <c r="AJ16" s="39"/>
      <c r="AL16" s="40"/>
      <c r="AM16" s="40"/>
      <c r="AN16" s="40"/>
      <c r="AO16" s="40"/>
      <c r="AP16" s="40"/>
      <c r="AQ16" s="40"/>
      <c r="AR16" s="40"/>
    </row>
    <row r="17" spans="1:44" outlineLevel="1" x14ac:dyDescent="0.25">
      <c r="A17" s="17"/>
      <c r="B17" s="17" t="s">
        <v>53</v>
      </c>
      <c r="C17" s="19" t="s">
        <v>374</v>
      </c>
      <c r="D17" s="17">
        <v>11842002</v>
      </c>
      <c r="E17" s="18">
        <v>12</v>
      </c>
      <c r="F17" s="19">
        <v>300</v>
      </c>
      <c r="G17" s="19">
        <v>30</v>
      </c>
      <c r="H17" s="19">
        <v>10</v>
      </c>
      <c r="J17" s="20">
        <f t="shared" si="0"/>
        <v>10.9404112</v>
      </c>
      <c r="K17" s="21">
        <f t="shared" si="1"/>
        <v>9.2386500188059415</v>
      </c>
      <c r="L17" s="44">
        <v>45429504</v>
      </c>
      <c r="M17" s="22">
        <v>109404112</v>
      </c>
      <c r="N17" s="45">
        <v>76.262119200000001</v>
      </c>
      <c r="O17" s="45">
        <v>78.289606500000005</v>
      </c>
      <c r="P17" s="45">
        <v>41.404291200000003</v>
      </c>
      <c r="Q17" s="45">
        <v>45.0322824</v>
      </c>
      <c r="R17" s="45">
        <v>48.426684700000003</v>
      </c>
      <c r="S17" s="45">
        <v>48.287250700000001</v>
      </c>
      <c r="T17" s="45">
        <v>36.701791</v>
      </c>
      <c r="U17" s="23">
        <v>12288.4548</v>
      </c>
      <c r="V17" s="23">
        <v>119.57212800000001</v>
      </c>
      <c r="X17" s="20" t="str">
        <f t="shared" si="2"/>
        <v>·</v>
      </c>
      <c r="Y17" s="21" t="str">
        <f t="shared" si="3"/>
        <v>·</v>
      </c>
      <c r="Z17" s="44"/>
      <c r="AA17" s="22"/>
      <c r="AB17" s="45"/>
      <c r="AC17" s="45"/>
      <c r="AD17" s="45"/>
      <c r="AE17" s="45"/>
      <c r="AF17" s="45"/>
      <c r="AG17" s="45"/>
      <c r="AH17" s="45"/>
      <c r="AI17" s="23"/>
      <c r="AJ17" s="23"/>
      <c r="AL17" s="24"/>
      <c r="AM17" s="24"/>
      <c r="AN17" s="24"/>
      <c r="AO17" s="24"/>
      <c r="AP17" s="24"/>
      <c r="AQ17" s="24"/>
      <c r="AR17" s="24"/>
    </row>
    <row r="18" spans="1:44" outlineLevel="1" x14ac:dyDescent="0.25">
      <c r="A18" s="33"/>
      <c r="B18" s="33" t="s">
        <v>53</v>
      </c>
      <c r="C18" s="35" t="s">
        <v>375</v>
      </c>
      <c r="D18" s="33">
        <v>11842002</v>
      </c>
      <c r="E18" s="34">
        <v>12</v>
      </c>
      <c r="F18" s="35">
        <v>300</v>
      </c>
      <c r="G18" s="35">
        <v>30</v>
      </c>
      <c r="H18" s="35">
        <v>14</v>
      </c>
      <c r="J18" s="36">
        <f t="shared" si="0"/>
        <v>16.1946048</v>
      </c>
      <c r="K18" s="37">
        <f t="shared" si="1"/>
        <v>13.675563304245346</v>
      </c>
      <c r="L18" s="46">
        <v>5680243</v>
      </c>
      <c r="M18" s="38">
        <v>161946048</v>
      </c>
      <c r="N18" s="47">
        <v>82.973471500000002</v>
      </c>
      <c r="O18" s="47">
        <v>86.486865899999998</v>
      </c>
      <c r="P18" s="47">
        <v>41.816684199999997</v>
      </c>
      <c r="Q18" s="47">
        <v>45.093176700000001</v>
      </c>
      <c r="R18" s="47">
        <v>48.518224799999999</v>
      </c>
      <c r="S18" s="47">
        <v>53.629812600000001</v>
      </c>
      <c r="T18" s="47">
        <v>39.943052100000003</v>
      </c>
      <c r="U18" s="39">
        <v>19514.659899999999</v>
      </c>
      <c r="V18" s="39">
        <v>114.17203499999999</v>
      </c>
      <c r="X18" s="36" t="str">
        <f t="shared" si="2"/>
        <v>·</v>
      </c>
      <c r="Y18" s="37" t="str">
        <f t="shared" si="3"/>
        <v>·</v>
      </c>
      <c r="Z18" s="46"/>
      <c r="AA18" s="38"/>
      <c r="AB18" s="47"/>
      <c r="AC18" s="47"/>
      <c r="AD18" s="47"/>
      <c r="AE18" s="47"/>
      <c r="AF18" s="47"/>
      <c r="AG18" s="47"/>
      <c r="AH18" s="47"/>
      <c r="AI18" s="39"/>
      <c r="AJ18" s="39"/>
      <c r="AL18" s="40"/>
      <c r="AM18" s="40"/>
      <c r="AN18" s="40"/>
      <c r="AO18" s="40"/>
      <c r="AP18" s="40"/>
      <c r="AQ18" s="40"/>
      <c r="AR18" s="40"/>
    </row>
    <row r="19" spans="1:44" ht="15.75" customHeight="1" outlineLevel="1" thickBot="1" x14ac:dyDescent="0.3">
      <c r="A19" s="17"/>
      <c r="B19" s="48" t="s">
        <v>53</v>
      </c>
      <c r="C19" s="49" t="s">
        <v>376</v>
      </c>
      <c r="D19" s="48">
        <v>11842002</v>
      </c>
      <c r="E19" s="50">
        <v>12</v>
      </c>
      <c r="F19" s="49">
        <v>300</v>
      </c>
      <c r="G19" s="49">
        <v>30</v>
      </c>
      <c r="H19" s="49">
        <v>21</v>
      </c>
      <c r="J19" s="51">
        <f t="shared" si="0"/>
        <v>22.622292000000002</v>
      </c>
      <c r="K19" s="52">
        <f t="shared" si="1"/>
        <v>19.10343538195653</v>
      </c>
      <c r="L19" s="53">
        <v>11834390</v>
      </c>
      <c r="M19" s="54">
        <v>226222920</v>
      </c>
      <c r="N19" s="55">
        <v>999.99</v>
      </c>
      <c r="O19" s="55">
        <v>999.99</v>
      </c>
      <c r="P19" s="55">
        <v>41.804595999999997</v>
      </c>
      <c r="Q19" s="55">
        <v>44.964455200000003</v>
      </c>
      <c r="R19" s="55">
        <v>48.332704700000001</v>
      </c>
      <c r="S19" s="55">
        <v>999.99</v>
      </c>
      <c r="T19" s="55">
        <v>41.9753908</v>
      </c>
      <c r="U19" s="56">
        <v>10099.913</v>
      </c>
      <c r="V19" s="56">
        <v>122.98205799999999</v>
      </c>
      <c r="X19" s="51" t="str">
        <f t="shared" si="2"/>
        <v>·</v>
      </c>
      <c r="Y19" s="52" t="str">
        <f t="shared" si="3"/>
        <v>·</v>
      </c>
      <c r="Z19" s="53"/>
      <c r="AA19" s="54"/>
      <c r="AB19" s="55"/>
      <c r="AC19" s="55"/>
      <c r="AD19" s="55"/>
      <c r="AE19" s="55"/>
      <c r="AF19" s="55"/>
      <c r="AG19" s="55"/>
      <c r="AH19" s="55"/>
      <c r="AI19" s="56"/>
      <c r="AJ19" s="56"/>
      <c r="AL19" s="57"/>
      <c r="AM19" s="57"/>
      <c r="AN19" s="57"/>
      <c r="AO19" s="57"/>
      <c r="AP19" s="57"/>
      <c r="AQ19" s="57"/>
      <c r="AR19" s="57"/>
    </row>
    <row r="20" spans="1:44" x14ac:dyDescent="0.25">
      <c r="A20" s="33"/>
      <c r="B20" s="33" t="s">
        <v>58</v>
      </c>
      <c r="C20" s="35" t="s">
        <v>372</v>
      </c>
      <c r="D20" s="33">
        <v>11812090</v>
      </c>
      <c r="E20" s="34">
        <v>12</v>
      </c>
      <c r="F20" s="35">
        <v>300</v>
      </c>
      <c r="G20" s="35">
        <v>30</v>
      </c>
      <c r="H20" s="35">
        <v>3</v>
      </c>
      <c r="J20" s="36">
        <f t="shared" si="0"/>
        <v>2.9817912</v>
      </c>
      <c r="K20" s="37">
        <f t="shared" si="1"/>
        <v>2.524355300374447</v>
      </c>
      <c r="L20" s="46">
        <v>22662720</v>
      </c>
      <c r="M20" s="38">
        <v>29817912</v>
      </c>
      <c r="N20" s="47">
        <v>70.104705300000006</v>
      </c>
      <c r="O20" s="47">
        <v>71.322355900000005</v>
      </c>
      <c r="P20" s="47">
        <v>34.095477500000001</v>
      </c>
      <c r="Q20" s="47">
        <v>43.234310000000001</v>
      </c>
      <c r="R20" s="47">
        <v>44.706757899999999</v>
      </c>
      <c r="S20" s="47">
        <v>46.047230800000001</v>
      </c>
      <c r="T20" s="47">
        <v>30.9559806</v>
      </c>
      <c r="U20" s="39">
        <v>11259.1031</v>
      </c>
      <c r="V20" s="39">
        <v>112.044842</v>
      </c>
      <c r="X20" s="36" t="str">
        <f t="shared" si="2"/>
        <v>·</v>
      </c>
      <c r="Y20" s="37" t="str">
        <f t="shared" si="3"/>
        <v>·</v>
      </c>
      <c r="Z20" s="46"/>
      <c r="AA20" s="38"/>
      <c r="AB20" s="47"/>
      <c r="AC20" s="47"/>
      <c r="AD20" s="47"/>
      <c r="AE20" s="47"/>
      <c r="AF20" s="47"/>
      <c r="AG20" s="47"/>
      <c r="AH20" s="47"/>
      <c r="AI20" s="39"/>
      <c r="AJ20" s="39"/>
      <c r="AL20" s="40" t="str">
        <f t="array" ref="AL20">IF( OR(AND(ISBLANK(M20:M24)),AND(ISBLANK(AA20:AA24)), AND(ISBLANK(N20:N24)),AND(ISBLANK(AB20:AB24))), "·", bdRateExtend( M20:M24,N20:N24, AA20:AA24,AB20:AB24))</f>
        <v>·</v>
      </c>
      <c r="AM20" s="40" t="str">
        <f t="array" ref="AM20">IF( OR(AND(ISBLANK(M20:M24)),AND(ISBLANK(AA20:AA24)), AND(ISBLANK(O20:O24)),AND(ISBLANK(AC20:AC24))), "·", bdRateExtend( M20:M24,O20:O24, AA20:AA24,AC20:AC24))</f>
        <v>·</v>
      </c>
      <c r="AN20" s="40" t="str">
        <f t="array" ref="AN20">IF( OR(AND(ISBLANK(M20:M24)),AND(ISBLANK(AA20:AA24)), AND(ISBLANK(P20:P24)),AND(ISBLANK(AD20:AD24))), "·", bdRateExtend( M20:M24,P20:P24, AA20:AA24,AD20:AD24))</f>
        <v>·</v>
      </c>
      <c r="AO20" s="40" t="str">
        <f t="array" ref="AO20">IF( OR(AND(ISBLANK(M20:M24)),AND(ISBLANK(AA20:AA24)), AND(ISBLANK(Q20:Q24)),AND(ISBLANK(AE20:AE24))), "·", bdRateExtend( M20:M24,Q20:Q24, AA20:AA24,AE20:AE24))</f>
        <v>·</v>
      </c>
      <c r="AP20" s="40" t="str">
        <f t="array" ref="AP20">IF( OR(AND(ISBLANK(M20:M24)),AND(ISBLANK(AA20:AA24)), AND(ISBLANK(R20:R24)),AND(ISBLANK(AF20:AF24))), "·", bdRateExtend( M20:M24,R20:R24, AA20:AA24,AF20:AF24))</f>
        <v>·</v>
      </c>
      <c r="AQ20" s="40" t="str">
        <f t="array" ref="AQ20">IF( OR(AND(ISBLANK(M20:M24)),AND(ISBLANK(AA20:AA24)), AND(ISBLANK(S20:S24)),AND(ISBLANK(AG20:AG24))), "·", bdRateExtend( M20:M24,S20:S24, AA20:AA24,AG20:AG24))</f>
        <v>·</v>
      </c>
      <c r="AR20" s="40" t="str">
        <f t="array" ref="AR20">IF( OR(AND(ISBLANK(M20:M24)),AND(ISBLANK(AA20:AA24)), AND(ISBLANK(T20:T24)),AND(ISBLANK(AH20:AH24))), "·", bdRateExtend( M20:M24,T20:T24, AA20:AA24,AH20:AH24))</f>
        <v>·</v>
      </c>
    </row>
    <row r="21" spans="1:44" outlineLevel="1" x14ac:dyDescent="0.25">
      <c r="A21" s="17"/>
      <c r="B21" s="17" t="s">
        <v>58</v>
      </c>
      <c r="C21" s="19" t="s">
        <v>373</v>
      </c>
      <c r="D21" s="17">
        <v>11812090</v>
      </c>
      <c r="E21" s="18">
        <v>12</v>
      </c>
      <c r="F21" s="19">
        <v>300</v>
      </c>
      <c r="G21" s="19">
        <v>30</v>
      </c>
      <c r="H21" s="19">
        <v>5</v>
      </c>
      <c r="J21" s="20">
        <f t="shared" si="0"/>
        <v>4.4378207999999999</v>
      </c>
      <c r="K21" s="21">
        <f t="shared" si="1"/>
        <v>3.757015735572621</v>
      </c>
      <c r="L21" s="44">
        <v>22662720</v>
      </c>
      <c r="M21" s="22">
        <v>44378208</v>
      </c>
      <c r="N21" s="45">
        <v>71.453618899999995</v>
      </c>
      <c r="O21" s="45">
        <v>72.824494200000004</v>
      </c>
      <c r="P21" s="45">
        <v>36.500423499999997</v>
      </c>
      <c r="Q21" s="45">
        <v>43.701707200000001</v>
      </c>
      <c r="R21" s="45">
        <v>45.557450199999998</v>
      </c>
      <c r="S21" s="45">
        <v>46.688983999999998</v>
      </c>
      <c r="T21" s="45">
        <v>32.351337100000002</v>
      </c>
      <c r="U21" s="23">
        <v>10734.049199999999</v>
      </c>
      <c r="V21" s="23">
        <v>111.521401</v>
      </c>
      <c r="X21" s="20" t="str">
        <f t="shared" si="2"/>
        <v>·</v>
      </c>
      <c r="Y21" s="21" t="str">
        <f t="shared" si="3"/>
        <v>·</v>
      </c>
      <c r="Z21" s="44"/>
      <c r="AA21" s="22"/>
      <c r="AB21" s="45"/>
      <c r="AC21" s="45"/>
      <c r="AD21" s="45"/>
      <c r="AE21" s="45"/>
      <c r="AF21" s="45"/>
      <c r="AG21" s="45"/>
      <c r="AH21" s="45"/>
      <c r="AI21" s="23"/>
      <c r="AJ21" s="23"/>
      <c r="AL21" s="24"/>
      <c r="AM21" s="24"/>
      <c r="AN21" s="24"/>
      <c r="AO21" s="24"/>
      <c r="AP21" s="24"/>
      <c r="AQ21" s="24"/>
      <c r="AR21" s="24"/>
    </row>
    <row r="22" spans="1:44" outlineLevel="1" x14ac:dyDescent="0.25">
      <c r="A22" s="33"/>
      <c r="B22" s="33" t="s">
        <v>58</v>
      </c>
      <c r="C22" s="35" t="s">
        <v>374</v>
      </c>
      <c r="D22" s="33">
        <v>11812090</v>
      </c>
      <c r="E22" s="34">
        <v>12</v>
      </c>
      <c r="F22" s="35">
        <v>300</v>
      </c>
      <c r="G22" s="35">
        <v>30</v>
      </c>
      <c r="H22" s="35">
        <v>10</v>
      </c>
      <c r="J22" s="36">
        <f t="shared" si="0"/>
        <v>7.5256984000000005</v>
      </c>
      <c r="K22" s="37">
        <f t="shared" si="1"/>
        <v>6.3711827458138233</v>
      </c>
      <c r="L22" s="46">
        <v>45333632</v>
      </c>
      <c r="M22" s="38">
        <v>75256984</v>
      </c>
      <c r="N22" s="47">
        <v>75.125894299999999</v>
      </c>
      <c r="O22" s="47">
        <v>77.010186500000003</v>
      </c>
      <c r="P22" s="47">
        <v>39.118269300000001</v>
      </c>
      <c r="Q22" s="47">
        <v>44.459069200000002</v>
      </c>
      <c r="R22" s="47">
        <v>46.862989599999999</v>
      </c>
      <c r="S22" s="47">
        <v>48.702830599999999</v>
      </c>
      <c r="T22" s="47">
        <v>34.991385200000003</v>
      </c>
      <c r="U22" s="39">
        <v>11771.554700000001</v>
      </c>
      <c r="V22" s="39">
        <v>117.56131600000001</v>
      </c>
      <c r="X22" s="36" t="str">
        <f t="shared" si="2"/>
        <v>·</v>
      </c>
      <c r="Y22" s="37" t="str">
        <f t="shared" si="3"/>
        <v>·</v>
      </c>
      <c r="Z22" s="46"/>
      <c r="AA22" s="38"/>
      <c r="AB22" s="47"/>
      <c r="AC22" s="47"/>
      <c r="AD22" s="47"/>
      <c r="AE22" s="47"/>
      <c r="AF22" s="47"/>
      <c r="AG22" s="47"/>
      <c r="AH22" s="47"/>
      <c r="AI22" s="39"/>
      <c r="AJ22" s="39"/>
      <c r="AL22" s="40"/>
      <c r="AM22" s="40"/>
      <c r="AN22" s="40"/>
      <c r="AO22" s="40"/>
      <c r="AP22" s="40"/>
      <c r="AQ22" s="40"/>
      <c r="AR22" s="40"/>
    </row>
    <row r="23" spans="1:44" outlineLevel="1" x14ac:dyDescent="0.25">
      <c r="A23" s="17"/>
      <c r="B23" s="17" t="s">
        <v>58</v>
      </c>
      <c r="C23" s="19" t="s">
        <v>375</v>
      </c>
      <c r="D23" s="17">
        <v>11812090</v>
      </c>
      <c r="E23" s="18">
        <v>12</v>
      </c>
      <c r="F23" s="19">
        <v>300</v>
      </c>
      <c r="G23" s="19">
        <v>30</v>
      </c>
      <c r="H23" s="19">
        <v>14</v>
      </c>
      <c r="J23" s="20">
        <f t="shared" si="0"/>
        <v>11.936476800000001</v>
      </c>
      <c r="K23" s="21">
        <f t="shared" si="1"/>
        <v>10.105304649727525</v>
      </c>
      <c r="L23" s="44">
        <v>45333632</v>
      </c>
      <c r="M23" s="22">
        <v>119364768</v>
      </c>
      <c r="N23" s="45">
        <v>76.405222800000004</v>
      </c>
      <c r="O23" s="45">
        <v>78.531614200000007</v>
      </c>
      <c r="P23" s="45">
        <v>40.933462300000002</v>
      </c>
      <c r="Q23" s="45">
        <v>45.443300899999997</v>
      </c>
      <c r="R23" s="45">
        <v>48.423937000000002</v>
      </c>
      <c r="S23" s="45">
        <v>49.305910799999999</v>
      </c>
      <c r="T23" s="45">
        <v>36.148398299999997</v>
      </c>
      <c r="U23" s="23">
        <v>11863.186400000001</v>
      </c>
      <c r="V23" s="23">
        <v>121.11853499999999</v>
      </c>
      <c r="X23" s="20" t="str">
        <f t="shared" si="2"/>
        <v>·</v>
      </c>
      <c r="Y23" s="21" t="str">
        <f t="shared" si="3"/>
        <v>·</v>
      </c>
      <c r="Z23" s="44"/>
      <c r="AA23" s="22"/>
      <c r="AB23" s="45"/>
      <c r="AC23" s="45"/>
      <c r="AD23" s="45"/>
      <c r="AE23" s="45"/>
      <c r="AF23" s="45"/>
      <c r="AG23" s="45"/>
      <c r="AH23" s="45"/>
      <c r="AI23" s="23"/>
      <c r="AJ23" s="23"/>
      <c r="AL23" s="24"/>
      <c r="AM23" s="24"/>
      <c r="AN23" s="24"/>
      <c r="AO23" s="24"/>
      <c r="AP23" s="24"/>
      <c r="AQ23" s="24"/>
      <c r="AR23" s="24"/>
    </row>
    <row r="24" spans="1:44" ht="15.75" customHeight="1" outlineLevel="1" thickBot="1" x14ac:dyDescent="0.3">
      <c r="A24" s="25"/>
      <c r="B24" s="25" t="s">
        <v>58</v>
      </c>
      <c r="C24" s="27" t="s">
        <v>376</v>
      </c>
      <c r="D24" s="25">
        <v>11812090</v>
      </c>
      <c r="E24" s="26">
        <v>12</v>
      </c>
      <c r="F24" s="27">
        <v>300</v>
      </c>
      <c r="G24" s="27">
        <v>30</v>
      </c>
      <c r="H24" s="27">
        <v>21</v>
      </c>
      <c r="J24" s="28">
        <f t="shared" si="0"/>
        <v>23.2461688</v>
      </c>
      <c r="K24" s="29">
        <f t="shared" si="1"/>
        <v>19.679979410925586</v>
      </c>
      <c r="L24" s="58">
        <v>11808533</v>
      </c>
      <c r="M24" s="30">
        <v>232461688</v>
      </c>
      <c r="N24" s="59">
        <v>999.99</v>
      </c>
      <c r="O24" s="59">
        <v>999.99</v>
      </c>
      <c r="P24" s="59">
        <v>41.3573983</v>
      </c>
      <c r="Q24" s="59">
        <v>45.293374700000001</v>
      </c>
      <c r="R24" s="59">
        <v>48.287964500000001</v>
      </c>
      <c r="S24" s="59">
        <v>999.99</v>
      </c>
      <c r="T24" s="59">
        <v>41.404651100000002</v>
      </c>
      <c r="U24" s="31">
        <v>9920.2179899999992</v>
      </c>
      <c r="V24" s="31">
        <v>126.113445</v>
      </c>
      <c r="X24" s="28" t="str">
        <f t="shared" si="2"/>
        <v>·</v>
      </c>
      <c r="Y24" s="29" t="str">
        <f t="shared" si="3"/>
        <v>·</v>
      </c>
      <c r="Z24" s="58"/>
      <c r="AA24" s="30"/>
      <c r="AB24" s="59"/>
      <c r="AC24" s="59"/>
      <c r="AD24" s="59"/>
      <c r="AE24" s="59"/>
      <c r="AF24" s="59"/>
      <c r="AG24" s="59"/>
      <c r="AH24" s="59"/>
      <c r="AI24" s="31"/>
      <c r="AJ24" s="31"/>
      <c r="AL24" s="32"/>
      <c r="AM24" s="32"/>
      <c r="AN24" s="32"/>
      <c r="AO24" s="32"/>
      <c r="AP24" s="32"/>
      <c r="AQ24" s="32"/>
      <c r="AR24" s="32"/>
    </row>
    <row r="25" spans="1:44" x14ac:dyDescent="0.25">
      <c r="A25" s="17" t="s">
        <v>177</v>
      </c>
      <c r="B25" s="17" t="s">
        <v>63</v>
      </c>
      <c r="C25" s="19" t="s">
        <v>372</v>
      </c>
      <c r="D25" s="17">
        <v>12000000</v>
      </c>
      <c r="E25" s="18">
        <v>12</v>
      </c>
      <c r="F25" s="19">
        <v>300</v>
      </c>
      <c r="G25" s="19">
        <v>30</v>
      </c>
      <c r="H25" s="19">
        <v>4</v>
      </c>
      <c r="J25" s="20">
        <f t="shared" si="0"/>
        <v>5.1287279999999997</v>
      </c>
      <c r="K25" s="21">
        <f t="shared" si="1"/>
        <v>4.2739399999999996</v>
      </c>
      <c r="L25" s="44">
        <v>46064000</v>
      </c>
      <c r="M25" s="22">
        <v>51287280</v>
      </c>
      <c r="N25" s="45">
        <v>73.6336412</v>
      </c>
      <c r="O25" s="45">
        <v>75.364680199999995</v>
      </c>
      <c r="P25" s="45">
        <v>31.161634100000001</v>
      </c>
      <c r="Q25" s="45">
        <v>39.837982500000003</v>
      </c>
      <c r="R25" s="45">
        <v>37.289929200000003</v>
      </c>
      <c r="S25" s="45">
        <v>45.596465799999997</v>
      </c>
      <c r="T25" s="45">
        <v>28.604604500000001</v>
      </c>
      <c r="U25" s="23">
        <v>41543.3099</v>
      </c>
      <c r="V25" s="23">
        <v>426.04712999999998</v>
      </c>
      <c r="X25" s="20" t="str">
        <f t="shared" si="2"/>
        <v>·</v>
      </c>
      <c r="Y25" s="21" t="str">
        <f t="shared" si="3"/>
        <v>·</v>
      </c>
      <c r="Z25" s="44"/>
      <c r="AA25" s="22"/>
      <c r="AB25" s="45"/>
      <c r="AC25" s="45"/>
      <c r="AD25" s="45"/>
      <c r="AE25" s="45"/>
      <c r="AF25" s="45"/>
      <c r="AG25" s="45"/>
      <c r="AH25" s="45"/>
      <c r="AI25" s="23"/>
      <c r="AJ25" s="23"/>
      <c r="AL25" s="24" t="str">
        <f t="array" ref="AL25">IF( OR(AND(ISBLANK(M25:M29)),AND(ISBLANK(AA25:AA29)), AND(ISBLANK(N25:N29)),AND(ISBLANK(AB25:AB29))), "·", bdRateExtend( M25:M29,N25:N29, AA25:AA29,AB25:AB29))</f>
        <v>·</v>
      </c>
      <c r="AM25" s="24" t="str">
        <f t="array" ref="AM25">IF( OR(AND(ISBLANK(M25:M29)),AND(ISBLANK(AA25:AA29)), AND(ISBLANK(O25:O29)),AND(ISBLANK(AC25:AC29))), "·", bdRateExtend( M25:M29,O25:O29, AA25:AA29,AC25:AC29))</f>
        <v>·</v>
      </c>
      <c r="AN25" s="24" t="str">
        <f t="array" ref="AN25">IF( OR(AND(ISBLANK(M25:M29)),AND(ISBLANK(AA25:AA29)), AND(ISBLANK(P25:P29)),AND(ISBLANK(AD25:AD29))), "·", bdRateExtend( M25:M29,P25:P29, AA25:AA29,AD25:AD29))</f>
        <v>·</v>
      </c>
      <c r="AO25" s="24" t="str">
        <f t="array" ref="AO25">IF( OR(AND(ISBLANK(M25:M29)),AND(ISBLANK(AA25:AA29)), AND(ISBLANK(Q25:Q29)),AND(ISBLANK(AE25:AE29))), "·", bdRateExtend( M25:M29,Q25:Q29, AA25:AA29,AE25:AE29))</f>
        <v>·</v>
      </c>
      <c r="AP25" s="24" t="str">
        <f t="array" ref="AP25">IF( OR(AND(ISBLANK(M25:M29)),AND(ISBLANK(AA25:AA29)), AND(ISBLANK(R25:R29)),AND(ISBLANK(AF25:AF29))), "·", bdRateExtend( M25:M29,R25:R29, AA25:AA29,AF25:AF29))</f>
        <v>·</v>
      </c>
      <c r="AQ25" s="24" t="str">
        <f t="array" ref="AQ25">IF( OR(AND(ISBLANK(M25:M29)),AND(ISBLANK(AA25:AA29)), AND(ISBLANK(S25:S29)),AND(ISBLANK(AG25:AG29))), "·", bdRateExtend( M25:M29,S25:S29, AA25:AA29,AG25:AG29))</f>
        <v>·</v>
      </c>
      <c r="AR25" s="24" t="str">
        <f t="array" ref="AR25">IF( OR(AND(ISBLANK(M25:M29)),AND(ISBLANK(AA25:AA29)), AND(ISBLANK(T25:T29)),AND(ISBLANK(AH25:AH29))), "·", bdRateExtend( M25:M29,T25:T29, AA25:AA29,AH25:AH29))</f>
        <v>·</v>
      </c>
    </row>
    <row r="26" spans="1:44" outlineLevel="1" x14ac:dyDescent="0.25">
      <c r="A26" s="33"/>
      <c r="B26" s="33" t="s">
        <v>63</v>
      </c>
      <c r="C26" s="35" t="s">
        <v>373</v>
      </c>
      <c r="D26" s="33">
        <v>12000000</v>
      </c>
      <c r="E26" s="34">
        <v>12</v>
      </c>
      <c r="F26" s="35">
        <v>300</v>
      </c>
      <c r="G26" s="35">
        <v>30</v>
      </c>
      <c r="H26" s="35">
        <v>8</v>
      </c>
      <c r="J26" s="36">
        <f t="shared" si="0"/>
        <v>7.2355391999999998</v>
      </c>
      <c r="K26" s="37">
        <f t="shared" si="1"/>
        <v>6.0296159999999999</v>
      </c>
      <c r="L26" s="46">
        <v>46064000</v>
      </c>
      <c r="M26" s="38">
        <v>72355392</v>
      </c>
      <c r="N26" s="47">
        <v>74.839774300000002</v>
      </c>
      <c r="O26" s="47">
        <v>76.748244200000002</v>
      </c>
      <c r="P26" s="47">
        <v>32.563449200000001</v>
      </c>
      <c r="Q26" s="47">
        <v>41.6660155</v>
      </c>
      <c r="R26" s="47">
        <v>39.327136799999998</v>
      </c>
      <c r="S26" s="47">
        <v>46.076537299999998</v>
      </c>
      <c r="T26" s="47">
        <v>29.699417700000001</v>
      </c>
      <c r="U26" s="39">
        <v>39050.674899999998</v>
      </c>
      <c r="V26" s="39">
        <v>420.196549</v>
      </c>
      <c r="X26" s="36" t="str">
        <f t="shared" si="2"/>
        <v>·</v>
      </c>
      <c r="Y26" s="37" t="str">
        <f t="shared" si="3"/>
        <v>·</v>
      </c>
      <c r="Z26" s="46"/>
      <c r="AA26" s="38"/>
      <c r="AB26" s="47"/>
      <c r="AC26" s="47"/>
      <c r="AD26" s="47"/>
      <c r="AE26" s="47"/>
      <c r="AF26" s="47"/>
      <c r="AG26" s="47"/>
      <c r="AH26" s="47"/>
      <c r="AI26" s="39"/>
      <c r="AJ26" s="39"/>
      <c r="AL26" s="40"/>
      <c r="AM26" s="40"/>
      <c r="AN26" s="40"/>
      <c r="AO26" s="40"/>
      <c r="AP26" s="40"/>
      <c r="AQ26" s="40"/>
      <c r="AR26" s="40"/>
    </row>
    <row r="27" spans="1:44" outlineLevel="1" x14ac:dyDescent="0.25">
      <c r="A27" s="17"/>
      <c r="B27" s="17" t="s">
        <v>63</v>
      </c>
      <c r="C27" s="19" t="s">
        <v>374</v>
      </c>
      <c r="D27" s="17">
        <v>12000000</v>
      </c>
      <c r="E27" s="18">
        <v>12</v>
      </c>
      <c r="F27" s="19">
        <v>300</v>
      </c>
      <c r="G27" s="19">
        <v>30</v>
      </c>
      <c r="H27" s="19">
        <v>12</v>
      </c>
      <c r="J27" s="20">
        <f t="shared" si="0"/>
        <v>11.0623568</v>
      </c>
      <c r="K27" s="21">
        <f t="shared" si="1"/>
        <v>9.218630666666666</v>
      </c>
      <c r="L27" s="44">
        <v>23036592</v>
      </c>
      <c r="M27" s="22">
        <v>110623568</v>
      </c>
      <c r="N27" s="45">
        <v>77.721451799999997</v>
      </c>
      <c r="O27" s="45">
        <v>80.197034900000006</v>
      </c>
      <c r="P27" s="45">
        <v>33.963715200000003</v>
      </c>
      <c r="Q27" s="45">
        <v>42.8632043</v>
      </c>
      <c r="R27" s="45">
        <v>40.8005937</v>
      </c>
      <c r="S27" s="45">
        <v>47.424721300000002</v>
      </c>
      <c r="T27" s="45">
        <v>31.4357723</v>
      </c>
      <c r="U27" s="23">
        <v>39929.343800000002</v>
      </c>
      <c r="V27" s="23">
        <v>427.90643799999998</v>
      </c>
      <c r="X27" s="20" t="str">
        <f t="shared" si="2"/>
        <v>·</v>
      </c>
      <c r="Y27" s="21" t="str">
        <f t="shared" si="3"/>
        <v>·</v>
      </c>
      <c r="Z27" s="44"/>
      <c r="AA27" s="22"/>
      <c r="AB27" s="45"/>
      <c r="AC27" s="45"/>
      <c r="AD27" s="45"/>
      <c r="AE27" s="45"/>
      <c r="AF27" s="45"/>
      <c r="AG27" s="45"/>
      <c r="AH27" s="45"/>
      <c r="AI27" s="23"/>
      <c r="AJ27" s="23"/>
      <c r="AL27" s="24"/>
      <c r="AM27" s="24"/>
      <c r="AN27" s="24"/>
      <c r="AO27" s="24"/>
      <c r="AP27" s="24"/>
      <c r="AQ27" s="24"/>
      <c r="AR27" s="24"/>
    </row>
    <row r="28" spans="1:44" outlineLevel="1" x14ac:dyDescent="0.25">
      <c r="A28" s="33"/>
      <c r="B28" s="33" t="s">
        <v>63</v>
      </c>
      <c r="C28" s="35" t="s">
        <v>375</v>
      </c>
      <c r="D28" s="33">
        <v>12000000</v>
      </c>
      <c r="E28" s="34">
        <v>12</v>
      </c>
      <c r="F28" s="35">
        <v>300</v>
      </c>
      <c r="G28" s="35">
        <v>30</v>
      </c>
      <c r="H28" s="35">
        <v>17</v>
      </c>
      <c r="J28" s="36">
        <f t="shared" si="0"/>
        <v>12.675416</v>
      </c>
      <c r="K28" s="37">
        <f t="shared" si="1"/>
        <v>10.562846666666667</v>
      </c>
      <c r="L28" s="46">
        <v>46077536</v>
      </c>
      <c r="M28" s="38">
        <v>126754160</v>
      </c>
      <c r="N28" s="47">
        <v>79.735877299999999</v>
      </c>
      <c r="O28" s="47">
        <v>82.787117300000006</v>
      </c>
      <c r="P28" s="47">
        <v>34.232079800000001</v>
      </c>
      <c r="Q28" s="47">
        <v>42.904490000000003</v>
      </c>
      <c r="R28" s="47">
        <v>40.8960978</v>
      </c>
      <c r="S28" s="47">
        <v>48.9138752</v>
      </c>
      <c r="T28" s="47">
        <v>32.368628800000003</v>
      </c>
      <c r="U28" s="39">
        <v>42745.891199999998</v>
      </c>
      <c r="V28" s="39">
        <v>428.17455799999999</v>
      </c>
      <c r="X28" s="36" t="str">
        <f t="shared" si="2"/>
        <v>·</v>
      </c>
      <c r="Y28" s="37" t="str">
        <f t="shared" si="3"/>
        <v>·</v>
      </c>
      <c r="Z28" s="46"/>
      <c r="AA28" s="38"/>
      <c r="AB28" s="47"/>
      <c r="AC28" s="47"/>
      <c r="AD28" s="47"/>
      <c r="AE28" s="47"/>
      <c r="AF28" s="47"/>
      <c r="AG28" s="47"/>
      <c r="AH28" s="47"/>
      <c r="AI28" s="39"/>
      <c r="AJ28" s="39"/>
      <c r="AL28" s="40"/>
      <c r="AM28" s="40"/>
      <c r="AN28" s="40"/>
      <c r="AO28" s="40"/>
      <c r="AP28" s="40"/>
      <c r="AQ28" s="40"/>
      <c r="AR28" s="40"/>
    </row>
    <row r="29" spans="1:44" ht="15.75" customHeight="1" outlineLevel="1" thickBot="1" x14ac:dyDescent="0.3">
      <c r="A29" s="17"/>
      <c r="B29" s="48" t="s">
        <v>63</v>
      </c>
      <c r="C29" s="49" t="s">
        <v>376</v>
      </c>
      <c r="D29" s="48">
        <v>12000000</v>
      </c>
      <c r="E29" s="50">
        <v>12</v>
      </c>
      <c r="F29" s="49">
        <v>300</v>
      </c>
      <c r="G29" s="49">
        <v>30</v>
      </c>
      <c r="H29" s="49">
        <v>25</v>
      </c>
      <c r="J29" s="51">
        <f t="shared" si="0"/>
        <v>22.8882032</v>
      </c>
      <c r="K29" s="52">
        <f t="shared" si="1"/>
        <v>19.073502666666666</v>
      </c>
      <c r="L29" s="53">
        <v>8639869</v>
      </c>
      <c r="M29" s="54">
        <v>228882032</v>
      </c>
      <c r="N29" s="55">
        <v>86.098535100000007</v>
      </c>
      <c r="O29" s="55">
        <v>91.418547599999997</v>
      </c>
      <c r="P29" s="55">
        <v>35.645651899999997</v>
      </c>
      <c r="Q29" s="55">
        <v>43.611367899999998</v>
      </c>
      <c r="R29" s="55">
        <v>41.866160200000003</v>
      </c>
      <c r="S29" s="55">
        <v>55.569094100000001</v>
      </c>
      <c r="T29" s="55">
        <v>35.128260699999998</v>
      </c>
      <c r="U29" s="56">
        <v>56018.494599999998</v>
      </c>
      <c r="V29" s="56">
        <v>429.84761400000002</v>
      </c>
      <c r="X29" s="51" t="str">
        <f t="shared" si="2"/>
        <v>·</v>
      </c>
      <c r="Y29" s="52" t="str">
        <f t="shared" si="3"/>
        <v>·</v>
      </c>
      <c r="Z29" s="53"/>
      <c r="AA29" s="54"/>
      <c r="AB29" s="55"/>
      <c r="AC29" s="55"/>
      <c r="AD29" s="55"/>
      <c r="AE29" s="55"/>
      <c r="AF29" s="55"/>
      <c r="AG29" s="55"/>
      <c r="AH29" s="55"/>
      <c r="AI29" s="56"/>
      <c r="AJ29" s="56"/>
      <c r="AL29" s="57"/>
      <c r="AM29" s="57"/>
      <c r="AN29" s="57"/>
      <c r="AO29" s="57"/>
      <c r="AP29" s="57"/>
      <c r="AQ29" s="57"/>
      <c r="AR29" s="57"/>
    </row>
    <row r="30" spans="1:44" x14ac:dyDescent="0.25">
      <c r="A30" s="33"/>
      <c r="B30" s="33" t="s">
        <v>68</v>
      </c>
      <c r="C30" s="35" t="s">
        <v>372</v>
      </c>
      <c r="D30" s="33">
        <v>5997654</v>
      </c>
      <c r="E30" s="34">
        <v>12</v>
      </c>
      <c r="F30" s="35">
        <v>150</v>
      </c>
      <c r="G30" s="35">
        <v>30</v>
      </c>
      <c r="H30" s="35">
        <v>4</v>
      </c>
      <c r="J30" s="36">
        <f t="shared" si="0"/>
        <v>4.8877839999999999</v>
      </c>
      <c r="K30" s="37">
        <f t="shared" si="1"/>
        <v>4.0747465592379957</v>
      </c>
      <c r="L30" s="46">
        <v>22772864</v>
      </c>
      <c r="M30" s="38">
        <v>24438920</v>
      </c>
      <c r="N30" s="47">
        <v>72.718970299999995</v>
      </c>
      <c r="O30" s="47">
        <v>74.379258699999994</v>
      </c>
      <c r="P30" s="47">
        <v>37.007951400000003</v>
      </c>
      <c r="Q30" s="47">
        <v>44.093652200000001</v>
      </c>
      <c r="R30" s="47">
        <v>42.820825499999998</v>
      </c>
      <c r="S30" s="47">
        <v>47.964821100000002</v>
      </c>
      <c r="T30" s="47">
        <v>33.991213399999999</v>
      </c>
      <c r="U30" s="39">
        <v>20014.3632</v>
      </c>
      <c r="V30" s="39">
        <v>207.310137</v>
      </c>
      <c r="X30" s="36" t="str">
        <f t="shared" si="2"/>
        <v>·</v>
      </c>
      <c r="Y30" s="37" t="str">
        <f t="shared" si="3"/>
        <v>·</v>
      </c>
      <c r="Z30" s="46"/>
      <c r="AA30" s="38"/>
      <c r="AB30" s="47"/>
      <c r="AC30" s="47"/>
      <c r="AD30" s="47"/>
      <c r="AE30" s="47"/>
      <c r="AF30" s="47"/>
      <c r="AG30" s="47"/>
      <c r="AH30" s="47"/>
      <c r="AI30" s="39"/>
      <c r="AJ30" s="39"/>
      <c r="AL30" s="40" t="str">
        <f t="array" ref="AL30">IF( OR(AND(ISBLANK(M30:M34)),AND(ISBLANK(AA30:AA34)), AND(ISBLANK(N30:N34)),AND(ISBLANK(AB30:AB34))), "·", bdRateExtend( M30:M34,N30:N34, AA30:AA34,AB30:AB34))</f>
        <v>·</v>
      </c>
      <c r="AM30" s="40" t="str">
        <f t="array" ref="AM30">IF( OR(AND(ISBLANK(M30:M34)),AND(ISBLANK(AA30:AA34)), AND(ISBLANK(O30:O34)),AND(ISBLANK(AC30:AC34))), "·", bdRateExtend( M30:M34,O30:O34, AA30:AA34,AC30:AC34))</f>
        <v>·</v>
      </c>
      <c r="AN30" s="40" t="str">
        <f t="array" ref="AN30">IF( OR(AND(ISBLANK(M30:M34)),AND(ISBLANK(AA30:AA34)), AND(ISBLANK(P30:P34)),AND(ISBLANK(AD30:AD34))), "·", bdRateExtend( M30:M34,P30:P34, AA30:AA34,AD30:AD34))</f>
        <v>·</v>
      </c>
      <c r="AO30" s="40" t="str">
        <f t="array" ref="AO30">IF( OR(AND(ISBLANK(M30:M34)),AND(ISBLANK(AA30:AA34)), AND(ISBLANK(Q30:Q34)),AND(ISBLANK(AE30:AE34))), "·", bdRateExtend( M30:M34,Q30:Q34, AA30:AA34,AE30:AE34))</f>
        <v>·</v>
      </c>
      <c r="AP30" s="40" t="str">
        <f t="array" ref="AP30">IF( OR(AND(ISBLANK(M30:M34)),AND(ISBLANK(AA30:AA34)), AND(ISBLANK(R30:R34)),AND(ISBLANK(AF30:AF34))), "·", bdRateExtend( M30:M34,R30:R34, AA30:AA34,AF30:AF34))</f>
        <v>·</v>
      </c>
      <c r="AQ30" s="40" t="str">
        <f t="array" ref="AQ30">IF( OR(AND(ISBLANK(M30:M34)),AND(ISBLANK(AA30:AA34)), AND(ISBLANK(S30:S34)),AND(ISBLANK(AG30:AG34))), "·", bdRateExtend( M30:M34,S30:S34, AA30:AA34,AG30:AG34))</f>
        <v>·</v>
      </c>
      <c r="AR30" s="40" t="str">
        <f t="array" ref="AR30">IF( OR(AND(ISBLANK(M30:M34)),AND(ISBLANK(AA30:AA34)), AND(ISBLANK(T30:T34)),AND(ISBLANK(AH30:AH34))), "·", bdRateExtend( M30:M34,T30:T34, AA30:AA34,AH30:AH34))</f>
        <v>·</v>
      </c>
    </row>
    <row r="31" spans="1:44" outlineLevel="1" x14ac:dyDescent="0.25">
      <c r="A31" s="17"/>
      <c r="B31" s="17" t="s">
        <v>68</v>
      </c>
      <c r="C31" s="19" t="s">
        <v>373</v>
      </c>
      <c r="D31" s="17">
        <v>5997654</v>
      </c>
      <c r="E31" s="18">
        <v>12</v>
      </c>
      <c r="F31" s="19">
        <v>150</v>
      </c>
      <c r="G31" s="19">
        <v>30</v>
      </c>
      <c r="H31" s="19">
        <v>8</v>
      </c>
      <c r="J31" s="20">
        <f t="shared" si="0"/>
        <v>6.6913119999999999</v>
      </c>
      <c r="K31" s="21">
        <f t="shared" si="1"/>
        <v>5.5782744386388412</v>
      </c>
      <c r="L31" s="44">
        <v>22772864</v>
      </c>
      <c r="M31" s="22">
        <v>33456560</v>
      </c>
      <c r="N31" s="45">
        <v>73.959681200000006</v>
      </c>
      <c r="O31" s="45">
        <v>75.793402599999993</v>
      </c>
      <c r="P31" s="45">
        <v>38.540217400000003</v>
      </c>
      <c r="Q31" s="45">
        <v>44.986929000000003</v>
      </c>
      <c r="R31" s="45">
        <v>43.786783700000001</v>
      </c>
      <c r="S31" s="45">
        <v>48.6230683</v>
      </c>
      <c r="T31" s="45">
        <v>35.115090600000002</v>
      </c>
      <c r="U31" s="23">
        <v>19909.803100000001</v>
      </c>
      <c r="V31" s="23">
        <v>211.79739599999999</v>
      </c>
      <c r="X31" s="20" t="str">
        <f t="shared" si="2"/>
        <v>·</v>
      </c>
      <c r="Y31" s="21" t="str">
        <f t="shared" si="3"/>
        <v>·</v>
      </c>
      <c r="Z31" s="44"/>
      <c r="AA31" s="22"/>
      <c r="AB31" s="45"/>
      <c r="AC31" s="45"/>
      <c r="AD31" s="45"/>
      <c r="AE31" s="45"/>
      <c r="AF31" s="45"/>
      <c r="AG31" s="45"/>
      <c r="AH31" s="45"/>
      <c r="AI31" s="23"/>
      <c r="AJ31" s="23"/>
      <c r="AL31" s="24"/>
      <c r="AM31" s="24"/>
      <c r="AN31" s="24"/>
      <c r="AO31" s="24"/>
      <c r="AP31" s="24"/>
      <c r="AQ31" s="24"/>
      <c r="AR31" s="24"/>
    </row>
    <row r="32" spans="1:44" outlineLevel="1" x14ac:dyDescent="0.25">
      <c r="A32" s="33"/>
      <c r="B32" s="33" t="s">
        <v>68</v>
      </c>
      <c r="C32" s="35" t="s">
        <v>374</v>
      </c>
      <c r="D32" s="33">
        <v>5997654</v>
      </c>
      <c r="E32" s="34">
        <v>12</v>
      </c>
      <c r="F32" s="35">
        <v>150</v>
      </c>
      <c r="G32" s="35">
        <v>30</v>
      </c>
      <c r="H32" s="35">
        <v>12</v>
      </c>
      <c r="J32" s="36">
        <f t="shared" si="0"/>
        <v>10.463424</v>
      </c>
      <c r="K32" s="37">
        <f t="shared" si="1"/>
        <v>8.7229306658903631</v>
      </c>
      <c r="L32" s="46">
        <v>11450400</v>
      </c>
      <c r="M32" s="38">
        <v>52317120</v>
      </c>
      <c r="N32" s="47">
        <v>77.076820999999995</v>
      </c>
      <c r="O32" s="47">
        <v>79.375912799999995</v>
      </c>
      <c r="P32" s="47">
        <v>40.3216763</v>
      </c>
      <c r="Q32" s="47">
        <v>45.771930599999997</v>
      </c>
      <c r="R32" s="47">
        <v>44.710609900000001</v>
      </c>
      <c r="S32" s="47">
        <v>50.393351299999999</v>
      </c>
      <c r="T32" s="47">
        <v>37.007427100000001</v>
      </c>
      <c r="U32" s="39">
        <v>20062.75</v>
      </c>
      <c r="V32" s="39">
        <v>217.324569</v>
      </c>
      <c r="X32" s="36" t="str">
        <f t="shared" si="2"/>
        <v>·</v>
      </c>
      <c r="Y32" s="37" t="str">
        <f t="shared" si="3"/>
        <v>·</v>
      </c>
      <c r="Z32" s="46"/>
      <c r="AA32" s="38"/>
      <c r="AB32" s="47"/>
      <c r="AC32" s="47"/>
      <c r="AD32" s="47"/>
      <c r="AE32" s="47"/>
      <c r="AF32" s="47"/>
      <c r="AG32" s="47"/>
      <c r="AH32" s="47"/>
      <c r="AI32" s="39"/>
      <c r="AJ32" s="39"/>
      <c r="AL32" s="40"/>
      <c r="AM32" s="40"/>
      <c r="AN32" s="40"/>
      <c r="AO32" s="40"/>
      <c r="AP32" s="40"/>
      <c r="AQ32" s="40"/>
      <c r="AR32" s="40"/>
    </row>
    <row r="33" spans="1:44" outlineLevel="1" x14ac:dyDescent="0.25">
      <c r="A33" s="17"/>
      <c r="B33" s="17" t="s">
        <v>68</v>
      </c>
      <c r="C33" s="19" t="s">
        <v>375</v>
      </c>
      <c r="D33" s="17">
        <v>5997654</v>
      </c>
      <c r="E33" s="18">
        <v>12</v>
      </c>
      <c r="F33" s="19">
        <v>150</v>
      </c>
      <c r="G33" s="19">
        <v>30</v>
      </c>
      <c r="H33" s="19">
        <v>17</v>
      </c>
      <c r="J33" s="20">
        <f t="shared" si="0"/>
        <v>12.05532</v>
      </c>
      <c r="K33" s="21">
        <f t="shared" si="1"/>
        <v>10.050029561558569</v>
      </c>
      <c r="L33" s="44">
        <v>22964608</v>
      </c>
      <c r="M33" s="22">
        <v>60276600</v>
      </c>
      <c r="N33" s="45">
        <v>79.310187900000003</v>
      </c>
      <c r="O33" s="45">
        <v>82.168187500000002</v>
      </c>
      <c r="P33" s="45">
        <v>40.636869099999998</v>
      </c>
      <c r="Q33" s="45">
        <v>45.827829899999998</v>
      </c>
      <c r="R33" s="45">
        <v>44.781574599999999</v>
      </c>
      <c r="S33" s="45">
        <v>51.821269700000002</v>
      </c>
      <c r="T33" s="45">
        <v>38.111049399999999</v>
      </c>
      <c r="U33" s="23">
        <v>22026.6541</v>
      </c>
      <c r="V33" s="23">
        <v>217.995069</v>
      </c>
      <c r="X33" s="20" t="str">
        <f t="shared" si="2"/>
        <v>·</v>
      </c>
      <c r="Y33" s="21" t="str">
        <f t="shared" si="3"/>
        <v>·</v>
      </c>
      <c r="Z33" s="44"/>
      <c r="AA33" s="22"/>
      <c r="AB33" s="45"/>
      <c r="AC33" s="45"/>
      <c r="AD33" s="45"/>
      <c r="AE33" s="45"/>
      <c r="AF33" s="45"/>
      <c r="AG33" s="45"/>
      <c r="AH33" s="45"/>
      <c r="AI33" s="23"/>
      <c r="AJ33" s="23"/>
      <c r="AL33" s="24"/>
      <c r="AM33" s="24"/>
      <c r="AN33" s="24"/>
      <c r="AO33" s="24"/>
      <c r="AP33" s="24"/>
      <c r="AQ33" s="24"/>
      <c r="AR33" s="24"/>
    </row>
    <row r="34" spans="1:44" ht="15.75" customHeight="1" outlineLevel="1" thickBot="1" x14ac:dyDescent="0.3">
      <c r="A34" s="33"/>
      <c r="B34" s="25" t="s">
        <v>68</v>
      </c>
      <c r="C34" s="27" t="s">
        <v>376</v>
      </c>
      <c r="D34" s="25">
        <v>5997654</v>
      </c>
      <c r="E34" s="26">
        <v>12</v>
      </c>
      <c r="F34" s="27">
        <v>150</v>
      </c>
      <c r="G34" s="27">
        <v>30</v>
      </c>
      <c r="H34" s="27">
        <v>25</v>
      </c>
      <c r="J34" s="28">
        <f t="shared" si="0"/>
        <v>19.386241600000002</v>
      </c>
      <c r="K34" s="29">
        <f t="shared" si="1"/>
        <v>16.161520487844079</v>
      </c>
      <c r="L34" s="58">
        <v>2874802</v>
      </c>
      <c r="M34" s="30">
        <v>96931208</v>
      </c>
      <c r="N34" s="59">
        <v>82.827371900000003</v>
      </c>
      <c r="O34" s="59">
        <v>86.631612099999998</v>
      </c>
      <c r="P34" s="59">
        <v>42.480341000000003</v>
      </c>
      <c r="Q34" s="59">
        <v>47.010072800000003</v>
      </c>
      <c r="R34" s="59">
        <v>46.133428000000002</v>
      </c>
      <c r="S34" s="59">
        <v>54.5878497</v>
      </c>
      <c r="T34" s="59">
        <v>40.517896899999997</v>
      </c>
      <c r="U34" s="31">
        <v>25942.3138</v>
      </c>
      <c r="V34" s="31">
        <v>229.30597800000001</v>
      </c>
      <c r="X34" s="28" t="str">
        <f t="shared" si="2"/>
        <v>·</v>
      </c>
      <c r="Y34" s="29" t="str">
        <f t="shared" si="3"/>
        <v>·</v>
      </c>
      <c r="Z34" s="58"/>
      <c r="AA34" s="30"/>
      <c r="AB34" s="59"/>
      <c r="AC34" s="59"/>
      <c r="AD34" s="59"/>
      <c r="AE34" s="59"/>
      <c r="AF34" s="59"/>
      <c r="AG34" s="59"/>
      <c r="AH34" s="59"/>
      <c r="AI34" s="31"/>
      <c r="AJ34" s="31"/>
      <c r="AL34" s="32"/>
      <c r="AM34" s="32"/>
      <c r="AN34" s="32"/>
      <c r="AO34" s="32"/>
      <c r="AP34" s="32"/>
      <c r="AQ34" s="32"/>
      <c r="AR34" s="32"/>
    </row>
    <row r="35" spans="1:44" x14ac:dyDescent="0.25">
      <c r="A35" s="17"/>
      <c r="B35" s="17" t="s">
        <v>32</v>
      </c>
      <c r="C35" s="19" t="s">
        <v>372</v>
      </c>
      <c r="D35" s="17">
        <v>9000000</v>
      </c>
      <c r="E35" s="18">
        <v>12</v>
      </c>
      <c r="F35" s="19">
        <v>300</v>
      </c>
      <c r="G35" s="19">
        <v>30</v>
      </c>
      <c r="H35" s="19">
        <v>4</v>
      </c>
      <c r="J35" s="20">
        <f t="shared" si="0"/>
        <v>4.6683152000000003</v>
      </c>
      <c r="K35" s="21">
        <f t="shared" si="1"/>
        <v>5.1870168888888886</v>
      </c>
      <c r="L35" s="44">
        <v>34432704</v>
      </c>
      <c r="M35" s="22">
        <v>46683152</v>
      </c>
      <c r="N35" s="45">
        <v>71.053888299999997</v>
      </c>
      <c r="O35" s="45">
        <v>72.494451400000003</v>
      </c>
      <c r="P35" s="45">
        <v>29.774674999999998</v>
      </c>
      <c r="Q35" s="45">
        <v>38.696401700000003</v>
      </c>
      <c r="R35" s="45">
        <v>38.595137299999998</v>
      </c>
      <c r="S35" s="45">
        <v>47.193537300000003</v>
      </c>
      <c r="T35" s="45">
        <v>28.763958800000001</v>
      </c>
      <c r="U35" s="23">
        <v>39147.544800000003</v>
      </c>
      <c r="V35" s="23">
        <v>406.93589500000002</v>
      </c>
      <c r="X35" s="20" t="str">
        <f t="shared" si="2"/>
        <v>·</v>
      </c>
      <c r="Y35" s="21" t="str">
        <f t="shared" si="3"/>
        <v>·</v>
      </c>
      <c r="Z35" s="44"/>
      <c r="AA35" s="22"/>
      <c r="AB35" s="45"/>
      <c r="AC35" s="45"/>
      <c r="AD35" s="45"/>
      <c r="AE35" s="45"/>
      <c r="AF35" s="45"/>
      <c r="AG35" s="45"/>
      <c r="AH35" s="45"/>
      <c r="AI35" s="23"/>
      <c r="AJ35" s="23"/>
      <c r="AL35" s="24" t="str">
        <f t="array" ref="AL35">IF( OR(AND(ISBLANK(M35:M39)),AND(ISBLANK(AA35:AA39)), AND(ISBLANK(N35:N39)),AND(ISBLANK(AB35:AB39))), "·", bdRateExtend( M35:M39,N35:N39, AA35:AA39,AB35:AB39))</f>
        <v>·</v>
      </c>
      <c r="AM35" s="24" t="str">
        <f t="array" ref="AM35">IF( OR(AND(ISBLANK(M35:M39)),AND(ISBLANK(AA35:AA39)), AND(ISBLANK(O35:O39)),AND(ISBLANK(AC35:AC39))), "·", bdRateExtend( M35:M39,O35:O39, AA35:AA39,AC35:AC39))</f>
        <v>·</v>
      </c>
      <c r="AN35" s="24" t="str">
        <f t="array" ref="AN35">IF( OR(AND(ISBLANK(M35:M39)),AND(ISBLANK(AA35:AA39)), AND(ISBLANK(P35:P39)),AND(ISBLANK(AD35:AD39))), "·", bdRateExtend( M35:M39,P35:P39, AA35:AA39,AD35:AD39))</f>
        <v>·</v>
      </c>
      <c r="AO35" s="24" t="str">
        <f t="array" ref="AO35">IF( OR(AND(ISBLANK(M35:M39)),AND(ISBLANK(AA35:AA39)), AND(ISBLANK(Q35:Q39)),AND(ISBLANK(AE35:AE39))), "·", bdRateExtend( M35:M39,Q35:Q39, AA35:AA39,AE35:AE39))</f>
        <v>·</v>
      </c>
      <c r="AP35" s="24" t="str">
        <f t="array" ref="AP35">IF( OR(AND(ISBLANK(M35:M39)),AND(ISBLANK(AA35:AA39)), AND(ISBLANK(R35:R39)),AND(ISBLANK(AF35:AF39))), "·", bdRateExtend( M35:M39,R35:R39, AA35:AA39,AF35:AF39))</f>
        <v>·</v>
      </c>
      <c r="AQ35" s="24" t="str">
        <f t="array" ref="AQ35">IF( OR(AND(ISBLANK(M35:M39)),AND(ISBLANK(AA35:AA39)), AND(ISBLANK(S35:S39)),AND(ISBLANK(AG35:AG39))), "·", bdRateExtend( M35:M39,S35:S39, AA35:AA39,AG35:AG39))</f>
        <v>·</v>
      </c>
      <c r="AR35" s="24" t="str">
        <f t="array" ref="AR35">IF( OR(AND(ISBLANK(M35:M39)),AND(ISBLANK(AA35:AA39)), AND(ISBLANK(T35:T39)),AND(ISBLANK(AH35:AH39))), "·", bdRateExtend( M35:M39,T35:T39, AA35:AA39,AH35:AH39))</f>
        <v>·</v>
      </c>
    </row>
    <row r="36" spans="1:44" outlineLevel="1" x14ac:dyDescent="0.25">
      <c r="A36" s="33"/>
      <c r="B36" s="33" t="s">
        <v>32</v>
      </c>
      <c r="C36" s="35" t="s">
        <v>373</v>
      </c>
      <c r="D36" s="33">
        <v>9000000</v>
      </c>
      <c r="E36" s="34">
        <v>12</v>
      </c>
      <c r="F36" s="35">
        <v>300</v>
      </c>
      <c r="G36" s="35">
        <v>30</v>
      </c>
      <c r="H36" s="35">
        <v>6</v>
      </c>
      <c r="J36" s="36">
        <f t="shared" si="0"/>
        <v>6.0315415999999997</v>
      </c>
      <c r="K36" s="37">
        <f t="shared" si="1"/>
        <v>6.7017128888888893</v>
      </c>
      <c r="L36" s="46">
        <v>34432704</v>
      </c>
      <c r="M36" s="38">
        <v>60315416</v>
      </c>
      <c r="N36" s="47">
        <v>72.476349799999994</v>
      </c>
      <c r="O36" s="47">
        <v>74.086329899999996</v>
      </c>
      <c r="P36" s="47">
        <v>30.215176199999998</v>
      </c>
      <c r="Q36" s="47">
        <v>38.976149100000001</v>
      </c>
      <c r="R36" s="47">
        <v>38.981216600000003</v>
      </c>
      <c r="S36" s="47">
        <v>47.9697058</v>
      </c>
      <c r="T36" s="47">
        <v>29.224601100000001</v>
      </c>
      <c r="U36" s="39">
        <v>39146.457000000002</v>
      </c>
      <c r="V36" s="39">
        <v>412.83630299999999</v>
      </c>
      <c r="X36" s="36" t="str">
        <f t="shared" si="2"/>
        <v>·</v>
      </c>
      <c r="Y36" s="37" t="str">
        <f t="shared" si="3"/>
        <v>·</v>
      </c>
      <c r="Z36" s="46"/>
      <c r="AA36" s="38"/>
      <c r="AB36" s="47"/>
      <c r="AC36" s="47"/>
      <c r="AD36" s="47"/>
      <c r="AE36" s="47"/>
      <c r="AF36" s="47"/>
      <c r="AG36" s="47"/>
      <c r="AH36" s="47"/>
      <c r="AI36" s="39"/>
      <c r="AJ36" s="39"/>
      <c r="AL36" s="40"/>
      <c r="AM36" s="40"/>
      <c r="AN36" s="40"/>
      <c r="AO36" s="40"/>
      <c r="AP36" s="40"/>
      <c r="AQ36" s="40"/>
      <c r="AR36" s="40"/>
    </row>
    <row r="37" spans="1:44" outlineLevel="1" x14ac:dyDescent="0.25">
      <c r="A37" s="17"/>
      <c r="B37" s="17" t="s">
        <v>32</v>
      </c>
      <c r="C37" s="19" t="s">
        <v>374</v>
      </c>
      <c r="D37" s="17">
        <v>9000000</v>
      </c>
      <c r="E37" s="18">
        <v>12</v>
      </c>
      <c r="F37" s="19">
        <v>300</v>
      </c>
      <c r="G37" s="19">
        <v>30</v>
      </c>
      <c r="H37" s="19">
        <v>11</v>
      </c>
      <c r="J37" s="20">
        <f t="shared" si="0"/>
        <v>8.0290151999999999</v>
      </c>
      <c r="K37" s="21">
        <f t="shared" si="1"/>
        <v>8.9211279999999995</v>
      </c>
      <c r="L37" s="44">
        <v>34432704</v>
      </c>
      <c r="M37" s="22">
        <v>80290152</v>
      </c>
      <c r="N37" s="45">
        <v>73.808411599999999</v>
      </c>
      <c r="O37" s="45">
        <v>75.564344599999998</v>
      </c>
      <c r="P37" s="45">
        <v>30.688673300000001</v>
      </c>
      <c r="Q37" s="45">
        <v>39.083691700000003</v>
      </c>
      <c r="R37" s="45">
        <v>39.138710199999998</v>
      </c>
      <c r="S37" s="45">
        <v>48.6964294</v>
      </c>
      <c r="T37" s="45">
        <v>29.708146599999999</v>
      </c>
      <c r="U37" s="23">
        <v>39664.103000000003</v>
      </c>
      <c r="V37" s="23">
        <v>422.22478599999999</v>
      </c>
      <c r="X37" s="20" t="str">
        <f t="shared" si="2"/>
        <v>·</v>
      </c>
      <c r="Y37" s="21" t="str">
        <f t="shared" si="3"/>
        <v>·</v>
      </c>
      <c r="Z37" s="44"/>
      <c r="AA37" s="22"/>
      <c r="AB37" s="45"/>
      <c r="AC37" s="45"/>
      <c r="AD37" s="45"/>
      <c r="AE37" s="45"/>
      <c r="AF37" s="45"/>
      <c r="AG37" s="45"/>
      <c r="AH37" s="45"/>
      <c r="AI37" s="23"/>
      <c r="AJ37" s="23"/>
      <c r="AL37" s="24"/>
      <c r="AM37" s="24"/>
      <c r="AN37" s="24"/>
      <c r="AO37" s="24"/>
      <c r="AP37" s="24"/>
      <c r="AQ37" s="24"/>
      <c r="AR37" s="24"/>
    </row>
    <row r="38" spans="1:44" outlineLevel="1" x14ac:dyDescent="0.25">
      <c r="A38" s="33"/>
      <c r="B38" s="33" t="s">
        <v>32</v>
      </c>
      <c r="C38" s="35" t="s">
        <v>375</v>
      </c>
      <c r="D38" s="33">
        <v>9000000</v>
      </c>
      <c r="E38" s="34">
        <v>12</v>
      </c>
      <c r="F38" s="35">
        <v>300</v>
      </c>
      <c r="G38" s="35">
        <v>30</v>
      </c>
      <c r="H38" s="35">
        <v>16</v>
      </c>
      <c r="J38" s="36">
        <f t="shared" si="0"/>
        <v>14.335163199999998</v>
      </c>
      <c r="K38" s="37">
        <f t="shared" si="1"/>
        <v>15.927959111111111</v>
      </c>
      <c r="L38" s="46">
        <v>3231382</v>
      </c>
      <c r="M38" s="38">
        <v>143351632</v>
      </c>
      <c r="N38" s="47">
        <v>78.716427400000001</v>
      </c>
      <c r="O38" s="47">
        <v>81.158867400000005</v>
      </c>
      <c r="P38" s="47">
        <v>31.494736400000001</v>
      </c>
      <c r="Q38" s="47">
        <v>39.1779607</v>
      </c>
      <c r="R38" s="47">
        <v>39.331495500000003</v>
      </c>
      <c r="S38" s="47">
        <v>51.508161700000002</v>
      </c>
      <c r="T38" s="47">
        <v>30.838150200000001</v>
      </c>
      <c r="U38" s="39">
        <v>43985.234299999996</v>
      </c>
      <c r="V38" s="39">
        <v>413.89308699999998</v>
      </c>
      <c r="X38" s="36" t="str">
        <f t="shared" si="2"/>
        <v>·</v>
      </c>
      <c r="Y38" s="37" t="str">
        <f t="shared" si="3"/>
        <v>·</v>
      </c>
      <c r="Z38" s="46"/>
      <c r="AA38" s="38"/>
      <c r="AB38" s="47"/>
      <c r="AC38" s="47"/>
      <c r="AD38" s="47"/>
      <c r="AE38" s="47"/>
      <c r="AF38" s="47"/>
      <c r="AG38" s="47"/>
      <c r="AH38" s="47"/>
      <c r="AI38" s="39"/>
      <c r="AJ38" s="39"/>
      <c r="AL38" s="40"/>
      <c r="AM38" s="40"/>
      <c r="AN38" s="40"/>
      <c r="AO38" s="40"/>
      <c r="AP38" s="40"/>
      <c r="AQ38" s="40"/>
      <c r="AR38" s="40"/>
    </row>
    <row r="39" spans="1:44" ht="15.75" customHeight="1" outlineLevel="1" thickBot="1" x14ac:dyDescent="0.3">
      <c r="A39" s="17"/>
      <c r="B39" s="48" t="s">
        <v>32</v>
      </c>
      <c r="C39" s="49" t="s">
        <v>376</v>
      </c>
      <c r="D39" s="48">
        <v>9000000</v>
      </c>
      <c r="E39" s="50">
        <v>12</v>
      </c>
      <c r="F39" s="49">
        <v>300</v>
      </c>
      <c r="G39" s="49">
        <v>30</v>
      </c>
      <c r="H39" s="49">
        <v>24</v>
      </c>
      <c r="J39" s="51">
        <f t="shared" si="0"/>
        <v>25.424961600000003</v>
      </c>
      <c r="K39" s="52">
        <f t="shared" si="1"/>
        <v>28.249957333333334</v>
      </c>
      <c r="L39" s="53">
        <v>8976652</v>
      </c>
      <c r="M39" s="54">
        <v>254249616</v>
      </c>
      <c r="N39" s="55">
        <v>999.99</v>
      </c>
      <c r="O39" s="55">
        <v>999.99</v>
      </c>
      <c r="P39" s="55">
        <v>32.073881200000002</v>
      </c>
      <c r="Q39" s="55">
        <v>39.233411599999997</v>
      </c>
      <c r="R39" s="55">
        <v>39.398431700000003</v>
      </c>
      <c r="S39" s="55">
        <v>999.99</v>
      </c>
      <c r="T39" s="55">
        <v>32.039093100000002</v>
      </c>
      <c r="U39" s="56">
        <v>37943.772900000004</v>
      </c>
      <c r="V39" s="56">
        <v>438.071055</v>
      </c>
      <c r="X39" s="51" t="str">
        <f t="shared" si="2"/>
        <v>·</v>
      </c>
      <c r="Y39" s="52" t="str">
        <f t="shared" si="3"/>
        <v>·</v>
      </c>
      <c r="Z39" s="53"/>
      <c r="AA39" s="54"/>
      <c r="AB39" s="55"/>
      <c r="AC39" s="55"/>
      <c r="AD39" s="55"/>
      <c r="AE39" s="55"/>
      <c r="AF39" s="55"/>
      <c r="AG39" s="55"/>
      <c r="AH39" s="55"/>
      <c r="AI39" s="56"/>
      <c r="AJ39" s="56"/>
      <c r="AL39" s="57"/>
      <c r="AM39" s="57"/>
      <c r="AN39" s="57"/>
      <c r="AO39" s="57"/>
      <c r="AP39" s="57"/>
      <c r="AQ39" s="57"/>
      <c r="AR39" s="57"/>
    </row>
    <row r="40" spans="1:44" x14ac:dyDescent="0.25">
      <c r="A40" s="33"/>
      <c r="B40" s="33" t="s">
        <v>77</v>
      </c>
      <c r="C40" s="35" t="s">
        <v>372</v>
      </c>
      <c r="D40" s="33">
        <v>9000000</v>
      </c>
      <c r="E40" s="34">
        <v>12</v>
      </c>
      <c r="F40" s="35">
        <v>300</v>
      </c>
      <c r="G40" s="35">
        <v>30</v>
      </c>
      <c r="H40" s="35">
        <v>4</v>
      </c>
      <c r="J40" s="36">
        <f t="shared" si="0"/>
        <v>4.6560935999999993</v>
      </c>
      <c r="K40" s="37">
        <f t="shared" si="1"/>
        <v>5.1734373333333332</v>
      </c>
      <c r="L40" s="46">
        <v>34506944</v>
      </c>
      <c r="M40" s="38">
        <v>46560936</v>
      </c>
      <c r="N40" s="47">
        <v>71.650227700000002</v>
      </c>
      <c r="O40" s="47">
        <v>72.919706300000001</v>
      </c>
      <c r="P40" s="47">
        <v>32.664780100000002</v>
      </c>
      <c r="Q40" s="47">
        <v>42.3814913</v>
      </c>
      <c r="R40" s="47">
        <v>42.5895315</v>
      </c>
      <c r="S40" s="47">
        <v>47.767598300000003</v>
      </c>
      <c r="T40" s="47">
        <v>31.7106198</v>
      </c>
      <c r="U40" s="39">
        <v>37715.326999999997</v>
      </c>
      <c r="V40" s="39">
        <v>401.759184</v>
      </c>
      <c r="X40" s="36" t="str">
        <f t="shared" si="2"/>
        <v>·</v>
      </c>
      <c r="Y40" s="37" t="str">
        <f t="shared" si="3"/>
        <v>·</v>
      </c>
      <c r="Z40" s="46"/>
      <c r="AA40" s="38"/>
      <c r="AB40" s="47"/>
      <c r="AC40" s="47"/>
      <c r="AD40" s="47"/>
      <c r="AE40" s="47"/>
      <c r="AF40" s="47"/>
      <c r="AG40" s="47"/>
      <c r="AH40" s="47"/>
      <c r="AI40" s="39"/>
      <c r="AJ40" s="39"/>
      <c r="AL40" s="40" t="str">
        <f t="array" ref="AL40">IF( OR(AND(ISBLANK(M40:M44)),AND(ISBLANK(AA40:AA44)), AND(ISBLANK(N40:N44)),AND(ISBLANK(AB40:AB44))), "·", bdRateExtend( M40:M44,N40:N44, AA40:AA44,AB40:AB44))</f>
        <v>·</v>
      </c>
      <c r="AM40" s="40" t="str">
        <f t="array" ref="AM40">IF( OR(AND(ISBLANK(M40:M44)),AND(ISBLANK(AA40:AA44)), AND(ISBLANK(O40:O44)),AND(ISBLANK(AC40:AC44))), "·", bdRateExtend( M40:M44,O40:O44, AA40:AA44,AC40:AC44))</f>
        <v>·</v>
      </c>
      <c r="AN40" s="40" t="str">
        <f t="array" ref="AN40">IF( OR(AND(ISBLANK(M40:M44)),AND(ISBLANK(AA40:AA44)), AND(ISBLANK(P40:P44)),AND(ISBLANK(AD40:AD44))), "·", bdRateExtend( M40:M44,P40:P44, AA40:AA44,AD40:AD44))</f>
        <v>·</v>
      </c>
      <c r="AO40" s="40" t="str">
        <f t="array" ref="AO40">IF( OR(AND(ISBLANK(M40:M44)),AND(ISBLANK(AA40:AA44)), AND(ISBLANK(Q40:Q44)),AND(ISBLANK(AE40:AE44))), "·", bdRateExtend( M40:M44,Q40:Q44, AA40:AA44,AE40:AE44))</f>
        <v>·</v>
      </c>
      <c r="AP40" s="40" t="str">
        <f t="array" ref="AP40">IF( OR(AND(ISBLANK(M40:M44)),AND(ISBLANK(AA40:AA44)), AND(ISBLANK(R40:R44)),AND(ISBLANK(AF40:AF44))), "·", bdRateExtend( M40:M44,R40:R44, AA40:AA44,AF40:AF44))</f>
        <v>·</v>
      </c>
      <c r="AQ40" s="40" t="str">
        <f t="array" ref="AQ40">IF( OR(AND(ISBLANK(M40:M44)),AND(ISBLANK(AA40:AA44)), AND(ISBLANK(S40:S44)),AND(ISBLANK(AG40:AG44))), "·", bdRateExtend( M40:M44,S40:S44, AA40:AA44,AG40:AG44))</f>
        <v>·</v>
      </c>
      <c r="AR40" s="40" t="str">
        <f t="array" ref="AR40">IF( OR(AND(ISBLANK(M40:M44)),AND(ISBLANK(AA40:AA44)), AND(ISBLANK(T40:T44)),AND(ISBLANK(AH40:AH44))), "·", bdRateExtend( M40:M44,T40:T44, AA40:AA44,AH40:AH44))</f>
        <v>·</v>
      </c>
    </row>
    <row r="41" spans="1:44" outlineLevel="1" x14ac:dyDescent="0.25">
      <c r="A41" s="17"/>
      <c r="B41" s="17" t="s">
        <v>77</v>
      </c>
      <c r="C41" s="19" t="s">
        <v>373</v>
      </c>
      <c r="D41" s="17">
        <v>9000000</v>
      </c>
      <c r="E41" s="18">
        <v>12</v>
      </c>
      <c r="F41" s="19">
        <v>300</v>
      </c>
      <c r="G41" s="19">
        <v>30</v>
      </c>
      <c r="H41" s="19">
        <v>6</v>
      </c>
      <c r="J41" s="20">
        <f t="shared" si="0"/>
        <v>5.897608</v>
      </c>
      <c r="K41" s="21">
        <f t="shared" si="1"/>
        <v>6.5528977777777779</v>
      </c>
      <c r="L41" s="44">
        <v>34506944</v>
      </c>
      <c r="M41" s="22">
        <v>58976080</v>
      </c>
      <c r="N41" s="45">
        <v>73.090540099999998</v>
      </c>
      <c r="O41" s="45">
        <v>74.5157284</v>
      </c>
      <c r="P41" s="45">
        <v>33.118261799999999</v>
      </c>
      <c r="Q41" s="45">
        <v>42.556365499999998</v>
      </c>
      <c r="R41" s="45">
        <v>42.868472199999999</v>
      </c>
      <c r="S41" s="45">
        <v>48.558812799999998</v>
      </c>
      <c r="T41" s="45">
        <v>32.194488399999997</v>
      </c>
      <c r="U41" s="23">
        <v>37647.089800000002</v>
      </c>
      <c r="V41" s="23">
        <v>407.74541299999999</v>
      </c>
      <c r="X41" s="20" t="str">
        <f t="shared" si="2"/>
        <v>·</v>
      </c>
      <c r="Y41" s="21" t="str">
        <f t="shared" si="3"/>
        <v>·</v>
      </c>
      <c r="Z41" s="44"/>
      <c r="AA41" s="22"/>
      <c r="AB41" s="45"/>
      <c r="AC41" s="45"/>
      <c r="AD41" s="45"/>
      <c r="AE41" s="45"/>
      <c r="AF41" s="45"/>
      <c r="AG41" s="45"/>
      <c r="AH41" s="45"/>
      <c r="AI41" s="23"/>
      <c r="AJ41" s="23"/>
      <c r="AL41" s="24"/>
      <c r="AM41" s="24"/>
      <c r="AN41" s="24"/>
      <c r="AO41" s="24"/>
      <c r="AP41" s="24"/>
      <c r="AQ41" s="24"/>
      <c r="AR41" s="24"/>
    </row>
    <row r="42" spans="1:44" outlineLevel="1" x14ac:dyDescent="0.25">
      <c r="A42" s="33"/>
      <c r="B42" s="33" t="s">
        <v>77</v>
      </c>
      <c r="C42" s="35" t="s">
        <v>374</v>
      </c>
      <c r="D42" s="33">
        <v>9000000</v>
      </c>
      <c r="E42" s="34">
        <v>12</v>
      </c>
      <c r="F42" s="35">
        <v>300</v>
      </c>
      <c r="G42" s="35">
        <v>30</v>
      </c>
      <c r="H42" s="35">
        <v>11</v>
      </c>
      <c r="J42" s="36">
        <f t="shared" si="0"/>
        <v>7.7117319999999996</v>
      </c>
      <c r="K42" s="37">
        <f t="shared" si="1"/>
        <v>8.568591111111111</v>
      </c>
      <c r="L42" s="46">
        <v>34506944</v>
      </c>
      <c r="M42" s="38">
        <v>77117320</v>
      </c>
      <c r="N42" s="47">
        <v>74.490568600000003</v>
      </c>
      <c r="O42" s="47">
        <v>76.076419700000002</v>
      </c>
      <c r="P42" s="47">
        <v>33.563859399999998</v>
      </c>
      <c r="Q42" s="47">
        <v>42.701018699999999</v>
      </c>
      <c r="R42" s="47">
        <v>43.095334100000002</v>
      </c>
      <c r="S42" s="47">
        <v>49.2564207</v>
      </c>
      <c r="T42" s="47">
        <v>32.6645805</v>
      </c>
      <c r="U42" s="39">
        <v>37626.943200000002</v>
      </c>
      <c r="V42" s="39">
        <v>415.81106499999999</v>
      </c>
      <c r="X42" s="36" t="str">
        <f t="shared" si="2"/>
        <v>·</v>
      </c>
      <c r="Y42" s="37" t="str">
        <f t="shared" si="3"/>
        <v>·</v>
      </c>
      <c r="Z42" s="46"/>
      <c r="AA42" s="38"/>
      <c r="AB42" s="47"/>
      <c r="AC42" s="47"/>
      <c r="AD42" s="47"/>
      <c r="AE42" s="47"/>
      <c r="AF42" s="47"/>
      <c r="AG42" s="47"/>
      <c r="AH42" s="47"/>
      <c r="AI42" s="39"/>
      <c r="AJ42" s="39"/>
      <c r="AL42" s="40"/>
      <c r="AM42" s="40"/>
      <c r="AN42" s="40"/>
      <c r="AO42" s="40"/>
      <c r="AP42" s="40"/>
      <c r="AQ42" s="40"/>
      <c r="AR42" s="40"/>
    </row>
    <row r="43" spans="1:44" outlineLevel="1" x14ac:dyDescent="0.25">
      <c r="A43" s="17"/>
      <c r="B43" s="17" t="s">
        <v>77</v>
      </c>
      <c r="C43" s="19" t="s">
        <v>375</v>
      </c>
      <c r="D43" s="17">
        <v>9000000</v>
      </c>
      <c r="E43" s="18">
        <v>12</v>
      </c>
      <c r="F43" s="19">
        <v>300</v>
      </c>
      <c r="G43" s="19">
        <v>30</v>
      </c>
      <c r="H43" s="19">
        <v>16</v>
      </c>
      <c r="J43" s="20">
        <f t="shared" si="0"/>
        <v>13.8240064</v>
      </c>
      <c r="K43" s="21">
        <f t="shared" si="1"/>
        <v>15.360007111111111</v>
      </c>
      <c r="L43" s="44">
        <v>3236598</v>
      </c>
      <c r="M43" s="22">
        <v>138240064</v>
      </c>
      <c r="N43" s="45">
        <v>79.011151799999993</v>
      </c>
      <c r="O43" s="45">
        <v>81.219223900000003</v>
      </c>
      <c r="P43" s="45">
        <v>34.387143600000002</v>
      </c>
      <c r="Q43" s="45">
        <v>42.8637017</v>
      </c>
      <c r="R43" s="45">
        <v>43.366313400000003</v>
      </c>
      <c r="S43" s="45">
        <v>51.953718199999997</v>
      </c>
      <c r="T43" s="45">
        <v>33.865411299999998</v>
      </c>
      <c r="U43" s="23">
        <v>42065.701999999997</v>
      </c>
      <c r="V43" s="23">
        <v>416.08193599999998</v>
      </c>
      <c r="X43" s="20" t="str">
        <f t="shared" si="2"/>
        <v>·</v>
      </c>
      <c r="Y43" s="21" t="str">
        <f t="shared" si="3"/>
        <v>·</v>
      </c>
      <c r="Z43" s="44"/>
      <c r="AA43" s="22"/>
      <c r="AB43" s="45"/>
      <c r="AC43" s="45"/>
      <c r="AD43" s="45"/>
      <c r="AE43" s="45"/>
      <c r="AF43" s="45"/>
      <c r="AG43" s="45"/>
      <c r="AH43" s="45"/>
      <c r="AI43" s="23"/>
      <c r="AJ43" s="23"/>
      <c r="AL43" s="24"/>
      <c r="AM43" s="24"/>
      <c r="AN43" s="24"/>
      <c r="AO43" s="24"/>
      <c r="AP43" s="24"/>
      <c r="AQ43" s="24"/>
      <c r="AR43" s="24"/>
    </row>
    <row r="44" spans="1:44" ht="15.75" customHeight="1" outlineLevel="1" thickBot="1" x14ac:dyDescent="0.3">
      <c r="A44" s="25"/>
      <c r="B44" s="25" t="s">
        <v>77</v>
      </c>
      <c r="C44" s="27" t="s">
        <v>376</v>
      </c>
      <c r="D44" s="25">
        <v>9000000</v>
      </c>
      <c r="E44" s="26">
        <v>12</v>
      </c>
      <c r="F44" s="27">
        <v>300</v>
      </c>
      <c r="G44" s="27">
        <v>30</v>
      </c>
      <c r="H44" s="27">
        <v>24</v>
      </c>
      <c r="J44" s="28">
        <f t="shared" si="0"/>
        <v>24.122408</v>
      </c>
      <c r="K44" s="29">
        <f t="shared" si="1"/>
        <v>26.802675555555556</v>
      </c>
      <c r="L44" s="58">
        <v>8990766</v>
      </c>
      <c r="M44" s="30">
        <v>241224080</v>
      </c>
      <c r="N44" s="59">
        <v>999.99</v>
      </c>
      <c r="O44" s="59">
        <v>999.99</v>
      </c>
      <c r="P44" s="59">
        <v>34.981211999999999</v>
      </c>
      <c r="Q44" s="59">
        <v>42.955354800000002</v>
      </c>
      <c r="R44" s="59">
        <v>43.524833299999997</v>
      </c>
      <c r="S44" s="59">
        <v>999.99</v>
      </c>
      <c r="T44" s="59">
        <v>35.014660800000001</v>
      </c>
      <c r="U44" s="31">
        <v>34451.958400000003</v>
      </c>
      <c r="V44" s="31">
        <v>433.87552699999998</v>
      </c>
      <c r="X44" s="28" t="str">
        <f t="shared" si="2"/>
        <v>·</v>
      </c>
      <c r="Y44" s="29" t="str">
        <f t="shared" si="3"/>
        <v>·</v>
      </c>
      <c r="Z44" s="58"/>
      <c r="AA44" s="30"/>
      <c r="AB44" s="59"/>
      <c r="AC44" s="59"/>
      <c r="AD44" s="59"/>
      <c r="AE44" s="59"/>
      <c r="AF44" s="59"/>
      <c r="AG44" s="59"/>
      <c r="AH44" s="59"/>
      <c r="AI44" s="31"/>
      <c r="AJ44" s="31"/>
      <c r="AL44" s="32"/>
      <c r="AM44" s="32"/>
      <c r="AN44" s="32"/>
      <c r="AO44" s="32"/>
      <c r="AP44" s="32"/>
      <c r="AQ44" s="32"/>
      <c r="AR44" s="32"/>
    </row>
    <row r="45" spans="1:44" x14ac:dyDescent="0.25">
      <c r="B45" s="41" t="s">
        <v>7</v>
      </c>
      <c r="K45" s="42">
        <f>AVERAGE(K5:K14)</f>
        <v>11.079096928828669</v>
      </c>
      <c r="Y45" s="42" t="e">
        <f>AVERAGE(Y5:Y14)</f>
        <v>#DIV/0!</v>
      </c>
      <c r="AL45" s="5" t="e">
        <f t="shared" ref="AL45:AR45" si="4">AVERAGE(AL5:AL14)</f>
        <v>#DIV/0!</v>
      </c>
      <c r="AM45" s="5" t="e">
        <f t="shared" si="4"/>
        <v>#DIV/0!</v>
      </c>
      <c r="AN45" s="5" t="e">
        <f t="shared" si="4"/>
        <v>#DIV/0!</v>
      </c>
      <c r="AO45" s="5" t="e">
        <f t="shared" si="4"/>
        <v>#DIV/0!</v>
      </c>
      <c r="AP45" s="5" t="e">
        <f t="shared" si="4"/>
        <v>#DIV/0!</v>
      </c>
      <c r="AQ45" s="5" t="e">
        <f t="shared" si="4"/>
        <v>#DIV/0!</v>
      </c>
      <c r="AR45" s="5" t="e">
        <f t="shared" si="4"/>
        <v>#DIV/0!</v>
      </c>
    </row>
    <row r="46" spans="1:44" x14ac:dyDescent="0.25">
      <c r="B46" s="41" t="s">
        <v>8</v>
      </c>
      <c r="K46" s="42">
        <f>AVERAGE(K15:K24)</f>
        <v>9.3815827476261386</v>
      </c>
      <c r="Y46" s="42" t="e">
        <f>AVERAGE(Y15:Y24)</f>
        <v>#DIV/0!</v>
      </c>
      <c r="AL46" s="5" t="e">
        <f t="shared" ref="AL46:AR46" si="5">AVERAGE(AL15:AL24)</f>
        <v>#DIV/0!</v>
      </c>
      <c r="AM46" s="5" t="e">
        <f t="shared" si="5"/>
        <v>#DIV/0!</v>
      </c>
      <c r="AN46" s="5" t="e">
        <f t="shared" si="5"/>
        <v>#DIV/0!</v>
      </c>
      <c r="AO46" s="5" t="e">
        <f t="shared" si="5"/>
        <v>#DIV/0!</v>
      </c>
      <c r="AP46" s="5" t="e">
        <f t="shared" si="5"/>
        <v>#DIV/0!</v>
      </c>
      <c r="AQ46" s="5" t="e">
        <f t="shared" si="5"/>
        <v>#DIV/0!</v>
      </c>
      <c r="AR46" s="5" t="e">
        <f t="shared" si="5"/>
        <v>#DIV/0!</v>
      </c>
    </row>
    <row r="47" spans="1:44" x14ac:dyDescent="0.25">
      <c r="B47" s="41" t="s">
        <v>9</v>
      </c>
      <c r="K47" s="42">
        <f>AVERAGE(K25:K44)</f>
        <v>11.059571041214049</v>
      </c>
      <c r="Y47" s="42" t="e">
        <f>AVERAGE(Y25:Y44)</f>
        <v>#DIV/0!</v>
      </c>
      <c r="AL47" s="5" t="e">
        <f t="shared" ref="AL47:AR47" si="6">AVERAGE(AL25:AL44)</f>
        <v>#DIV/0!</v>
      </c>
      <c r="AM47" s="5" t="e">
        <f t="shared" si="6"/>
        <v>#DIV/0!</v>
      </c>
      <c r="AN47" s="5" t="e">
        <f t="shared" si="6"/>
        <v>#DIV/0!</v>
      </c>
      <c r="AO47" s="5" t="e">
        <f t="shared" si="6"/>
        <v>#DIV/0!</v>
      </c>
      <c r="AP47" s="5" t="e">
        <f t="shared" si="6"/>
        <v>#DIV/0!</v>
      </c>
      <c r="AQ47" s="5" t="e">
        <f t="shared" si="6"/>
        <v>#DIV/0!</v>
      </c>
      <c r="AR47" s="5" t="e">
        <f t="shared" si="6"/>
        <v>#DIV/0!</v>
      </c>
    </row>
    <row r="48" spans="1:44" x14ac:dyDescent="0.25">
      <c r="B48" s="41" t="s">
        <v>10</v>
      </c>
      <c r="K48" s="42">
        <f>AVERAGE(K5:K44)</f>
        <v>10.644955439720727</v>
      </c>
      <c r="Y48" s="42" t="e">
        <f>AVERAGE(Y5:Y44)</f>
        <v>#DIV/0!</v>
      </c>
      <c r="AL48" s="5" t="e">
        <f t="shared" ref="AL48:AR48" si="7">AVERAGE(AL5:AL44)</f>
        <v>#DIV/0!</v>
      </c>
      <c r="AM48" s="5" t="e">
        <f t="shared" si="7"/>
        <v>#DIV/0!</v>
      </c>
      <c r="AN48" s="5" t="e">
        <f t="shared" si="7"/>
        <v>#DIV/0!</v>
      </c>
      <c r="AO48" s="5" t="e">
        <f t="shared" si="7"/>
        <v>#DIV/0!</v>
      </c>
      <c r="AP48" s="5" t="e">
        <f t="shared" si="7"/>
        <v>#DIV/0!</v>
      </c>
      <c r="AQ48" s="5" t="e">
        <f t="shared" si="7"/>
        <v>#DIV/0!</v>
      </c>
      <c r="AR48" s="5" t="e">
        <f t="shared" si="7"/>
        <v>#DIV/0!</v>
      </c>
    </row>
    <row r="49" spans="1:36" x14ac:dyDescent="0.25">
      <c r="A49" s="41" t="s">
        <v>178</v>
      </c>
      <c r="B49" s="41" t="s">
        <v>179</v>
      </c>
      <c r="U49" s="43">
        <f>SUM(U5:U14,U15:U24,U25:U44)</f>
        <v>959719.76279000018</v>
      </c>
      <c r="V49" s="43">
        <f>SUM(V5:V14,V15:V24,V25:V44)</f>
        <v>9725.3201100000024</v>
      </c>
      <c r="AI49" s="43">
        <f>SUM(AI5:AI14,AI15:AI24,AI25:AI44)</f>
        <v>0</v>
      </c>
      <c r="AJ49" s="43">
        <f>SUM(AJ5:AJ14,AJ15:AJ24,AJ25:AJ44)</f>
        <v>0</v>
      </c>
    </row>
    <row r="50" spans="1:36" x14ac:dyDescent="0.25">
      <c r="B50" s="41" t="s">
        <v>180</v>
      </c>
      <c r="AI50" s="8">
        <f>AI49/U49</f>
        <v>0</v>
      </c>
      <c r="AJ50" s="8">
        <f>AJ49/V49</f>
        <v>0</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R50"/>
  <sheetViews>
    <sheetView zoomScale="80" zoomScaleNormal="80" workbookViewId="0">
      <pane xSplit="2" ySplit="4" topLeftCell="N5" activePane="bottomRight" state="frozen"/>
      <selection pane="topRight" activeCell="C1" sqref="C1"/>
      <selection pane="bottomLeft" activeCell="A5" sqref="A5"/>
      <selection pane="bottomRight" activeCell="AD49" sqref="AD49"/>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2" t="s">
        <v>377</v>
      </c>
      <c r="B1" s="61"/>
      <c r="C1" s="61"/>
      <c r="D1" s="61"/>
      <c r="E1" s="61"/>
      <c r="F1" s="61"/>
      <c r="G1" s="61"/>
      <c r="H1" s="61"/>
      <c r="J1" s="60" t="str">
        <f>Summary!C1</f>
        <v>F300_v3.0</v>
      </c>
      <c r="K1" s="61"/>
      <c r="L1" s="61"/>
      <c r="M1" s="61"/>
      <c r="N1" s="61"/>
      <c r="O1" s="61"/>
      <c r="P1" s="61"/>
      <c r="Q1" s="61"/>
      <c r="R1" s="61"/>
      <c r="S1" s="61"/>
      <c r="T1" s="61"/>
      <c r="U1" s="61"/>
      <c r="V1" s="61"/>
      <c r="X1" s="62">
        <f>Summary!C2</f>
        <v>0</v>
      </c>
      <c r="Y1" s="61"/>
      <c r="Z1" s="61"/>
      <c r="AA1" s="61"/>
      <c r="AB1" s="61"/>
      <c r="AC1" s="61"/>
      <c r="AD1" s="61"/>
      <c r="AE1" s="61"/>
      <c r="AF1" s="61"/>
      <c r="AG1" s="61"/>
      <c r="AH1" s="61"/>
      <c r="AI1" s="61"/>
      <c r="AJ1" s="61"/>
    </row>
    <row r="2" spans="1:44" ht="30" customHeight="1" x14ac:dyDescent="0.25">
      <c r="A2" s="71" t="s">
        <v>151</v>
      </c>
      <c r="B2" s="73" t="s">
        <v>152</v>
      </c>
      <c r="C2" s="71" t="s">
        <v>343</v>
      </c>
      <c r="D2" s="73" t="s">
        <v>153</v>
      </c>
      <c r="E2" s="71" t="s">
        <v>154</v>
      </c>
      <c r="F2" s="73" t="s">
        <v>155</v>
      </c>
      <c r="G2" s="71" t="s">
        <v>156</v>
      </c>
      <c r="H2" s="73" t="s">
        <v>344</v>
      </c>
      <c r="J2" s="71" t="s">
        <v>129</v>
      </c>
      <c r="K2" s="73" t="s">
        <v>133</v>
      </c>
      <c r="L2" s="71" t="s">
        <v>83</v>
      </c>
      <c r="M2" s="73" t="s">
        <v>122</v>
      </c>
      <c r="N2" s="74" t="s">
        <v>345</v>
      </c>
      <c r="O2" s="61"/>
      <c r="P2" s="61"/>
      <c r="Q2" s="61"/>
      <c r="R2" s="61"/>
      <c r="S2" s="75" t="s">
        <v>346</v>
      </c>
      <c r="T2" s="61"/>
      <c r="U2" s="71" t="s">
        <v>124</v>
      </c>
      <c r="V2" s="73" t="s">
        <v>104</v>
      </c>
      <c r="X2" s="71" t="s">
        <v>129</v>
      </c>
      <c r="Y2" s="73" t="s">
        <v>133</v>
      </c>
      <c r="Z2" s="71" t="s">
        <v>83</v>
      </c>
      <c r="AA2" s="73" t="s">
        <v>122</v>
      </c>
      <c r="AB2" s="74" t="s">
        <v>345</v>
      </c>
      <c r="AC2" s="61"/>
      <c r="AD2" s="61"/>
      <c r="AE2" s="61"/>
      <c r="AF2" s="61"/>
      <c r="AG2" s="75" t="s">
        <v>346</v>
      </c>
      <c r="AH2" s="61"/>
      <c r="AI2" s="71" t="s">
        <v>124</v>
      </c>
      <c r="AJ2" s="73" t="s">
        <v>104</v>
      </c>
      <c r="AL2" s="74" t="s">
        <v>15</v>
      </c>
      <c r="AM2" s="61"/>
      <c r="AN2" s="61"/>
      <c r="AO2" s="61"/>
      <c r="AP2" s="61"/>
      <c r="AQ2" s="75" t="s">
        <v>16</v>
      </c>
      <c r="AR2" s="61"/>
    </row>
    <row r="3" spans="1:44" ht="15.75" customHeight="1" thickBot="1" x14ac:dyDescent="0.3">
      <c r="A3" s="64"/>
      <c r="B3" s="64"/>
      <c r="C3" s="64"/>
      <c r="D3" s="64"/>
      <c r="E3" s="64"/>
      <c r="F3" s="64"/>
      <c r="G3" s="64"/>
      <c r="H3" s="64"/>
      <c r="J3" s="64"/>
      <c r="K3" s="64"/>
      <c r="L3" s="64"/>
      <c r="M3" s="64"/>
      <c r="N3" s="13" t="s">
        <v>17</v>
      </c>
      <c r="O3" s="13" t="s">
        <v>18</v>
      </c>
      <c r="P3" s="13" t="s">
        <v>19</v>
      </c>
      <c r="Q3" s="13" t="s">
        <v>20</v>
      </c>
      <c r="R3" s="13" t="s">
        <v>21</v>
      </c>
      <c r="S3" s="14" t="s">
        <v>22</v>
      </c>
      <c r="T3" s="14" t="s">
        <v>19</v>
      </c>
      <c r="U3" s="64"/>
      <c r="V3" s="64"/>
      <c r="X3" s="64"/>
      <c r="Y3" s="64"/>
      <c r="Z3" s="64"/>
      <c r="AA3" s="64"/>
      <c r="AB3" s="13" t="s">
        <v>17</v>
      </c>
      <c r="AC3" s="13" t="s">
        <v>18</v>
      </c>
      <c r="AD3" s="13" t="s">
        <v>19</v>
      </c>
      <c r="AE3" s="13" t="s">
        <v>20</v>
      </c>
      <c r="AF3" s="13" t="s">
        <v>21</v>
      </c>
      <c r="AG3" s="14" t="s">
        <v>22</v>
      </c>
      <c r="AH3" s="14" t="s">
        <v>19</v>
      </c>
      <c r="AI3" s="64"/>
      <c r="AJ3" s="64"/>
      <c r="AL3" s="13" t="s">
        <v>17</v>
      </c>
      <c r="AM3" s="13" t="s">
        <v>18</v>
      </c>
      <c r="AN3" s="13" t="s">
        <v>19</v>
      </c>
      <c r="AO3" s="13" t="s">
        <v>20</v>
      </c>
      <c r="AP3" s="13" t="s">
        <v>21</v>
      </c>
      <c r="AQ3" s="14" t="s">
        <v>22</v>
      </c>
      <c r="AR3" s="14" t="s">
        <v>19</v>
      </c>
    </row>
    <row r="4" spans="1:44" ht="53.25" hidden="1" customHeight="1" x14ac:dyDescent="0.2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44" x14ac:dyDescent="0.25">
      <c r="A5" s="17" t="s">
        <v>175</v>
      </c>
      <c r="B5" s="17" t="s">
        <v>40</v>
      </c>
      <c r="C5" s="19" t="s">
        <v>372</v>
      </c>
      <c r="D5" s="17">
        <v>11997440</v>
      </c>
      <c r="E5" s="18">
        <v>10</v>
      </c>
      <c r="F5" s="19">
        <v>300</v>
      </c>
      <c r="G5" s="19">
        <v>30</v>
      </c>
      <c r="H5" s="19">
        <v>4</v>
      </c>
      <c r="J5" s="20">
        <f t="shared" ref="J5:J44" si="0">IF(OR(ISBLANK(M5),ISBLANK(G5)),"·",M5*G5/F5/1000000)</f>
        <v>5.0161015999999998</v>
      </c>
      <c r="K5" s="21">
        <f t="shared" ref="K5:K44" si="1">IF(ISBLANK(M5),"·",M5/D5)</f>
        <v>4.180976608343113</v>
      </c>
      <c r="L5" s="44">
        <v>22725696</v>
      </c>
      <c r="M5" s="22">
        <v>50161016</v>
      </c>
      <c r="N5" s="45">
        <v>67.7200299</v>
      </c>
      <c r="O5" s="45">
        <v>68.661417200000002</v>
      </c>
      <c r="P5" s="45">
        <v>28.326764099999998</v>
      </c>
      <c r="Q5" s="45">
        <v>34.077336600000002</v>
      </c>
      <c r="R5" s="45">
        <v>33.6383382</v>
      </c>
      <c r="S5" s="45">
        <v>47.720962999999998</v>
      </c>
      <c r="T5" s="45">
        <v>26.8676967</v>
      </c>
      <c r="U5" s="23">
        <v>11475.209800000001</v>
      </c>
      <c r="V5" s="23">
        <v>110.40981499999999</v>
      </c>
      <c r="X5" s="20" t="str">
        <f t="shared" ref="X5:X44" si="2">IF(OR(ISBLANK(AA5),ISBLANK(G5)),"·",AA5*G5/F5/1000000)</f>
        <v>·</v>
      </c>
      <c r="Y5" s="21" t="str">
        <f t="shared" ref="Y5:Y44" si="3">IF(ISBLANK(AA5),"·",AA5/D5)</f>
        <v>·</v>
      </c>
      <c r="Z5" s="44"/>
      <c r="AA5" s="22"/>
      <c r="AB5" s="45"/>
      <c r="AC5" s="45"/>
      <c r="AD5" s="45"/>
      <c r="AE5" s="45"/>
      <c r="AF5" s="45"/>
      <c r="AG5" s="45"/>
      <c r="AH5" s="45"/>
      <c r="AI5" s="23"/>
      <c r="AJ5" s="23"/>
      <c r="AL5" s="24" t="str">
        <f t="array" ref="AL5">IF( OR(AND(ISBLANK(M5:M9)),AND(ISBLANK(AA5:AA9)), AND(ISBLANK(N5:N9)),AND(ISBLANK(AB5:AB9))), "·", bdRateExtend( M5:M9,N5:N9, AA5:AA9,AB5:AB9))</f>
        <v>·</v>
      </c>
      <c r="AM5" s="24" t="str">
        <f t="array" ref="AM5">IF( OR(AND(ISBLANK(M5:M9)),AND(ISBLANK(AA5:AA9)), AND(ISBLANK(O5:O9)),AND(ISBLANK(AC5:AC9))), "·", bdRateExtend( M5:M9,O5:O9, AA5:AA9,AC5:AC9))</f>
        <v>·</v>
      </c>
      <c r="AN5" s="24" t="str">
        <f t="array" ref="AN5">IF( OR(AND(ISBLANK(M5:M9)),AND(ISBLANK(AA5:AA9)), AND(ISBLANK(P5:P9)),AND(ISBLANK(AD5:AD9))), "·", bdRateExtend( M5:M9,P5:P9, AA5:AA9,AD5:AD9))</f>
        <v>·</v>
      </c>
      <c r="AO5" s="24" t="str">
        <f t="array" ref="AO5">IF( OR(AND(ISBLANK(M5:M9)),AND(ISBLANK(AA5:AA9)), AND(ISBLANK(Q5:Q9)),AND(ISBLANK(AE5:AE9))), "·", bdRateExtend( M5:M9,Q5:Q9, AA5:AA9,AE5:AE9))</f>
        <v>·</v>
      </c>
      <c r="AP5" s="24" t="str">
        <f t="array" ref="AP5">IF( OR(AND(ISBLANK(M5:M9)),AND(ISBLANK(AA5:AA9)), AND(ISBLANK(R5:R9)),AND(ISBLANK(AF5:AF9))), "·", bdRateExtend( M5:M9,R5:R9, AA5:AA9,AF5:AF9))</f>
        <v>·</v>
      </c>
      <c r="AQ5" s="24" t="str">
        <f t="array" ref="AQ5">IF( OR(AND(ISBLANK(M5:M9)),AND(ISBLANK(AA5:AA9)), AND(ISBLANK(S5:S9)),AND(ISBLANK(AG5:AG9))), "·", bdRateExtend( M5:M9,S5:S9, AA5:AA9,AG5:AG9))</f>
        <v>·</v>
      </c>
      <c r="AR5" s="24" t="str">
        <f t="array" ref="AR5">IF( OR(AND(ISBLANK(M5:M9)),AND(ISBLANK(AA5:AA9)), AND(ISBLANK(T5:T9)),AND(ISBLANK(AH5:AH9))), "·", bdRateExtend( M5:M9,T5:T9, AA5:AA9,AH5:AH9))</f>
        <v>·</v>
      </c>
    </row>
    <row r="6" spans="1:44" outlineLevel="1" x14ac:dyDescent="0.25">
      <c r="A6" s="33"/>
      <c r="B6" s="33" t="s">
        <v>40</v>
      </c>
      <c r="C6" s="35" t="s">
        <v>373</v>
      </c>
      <c r="D6" s="33">
        <v>11997440</v>
      </c>
      <c r="E6" s="34">
        <v>10</v>
      </c>
      <c r="F6" s="35">
        <v>300</v>
      </c>
      <c r="G6" s="35">
        <v>30</v>
      </c>
      <c r="H6" s="35">
        <v>8</v>
      </c>
      <c r="J6" s="36">
        <f t="shared" si="0"/>
        <v>7.2173727999999997</v>
      </c>
      <c r="K6" s="37">
        <f t="shared" si="1"/>
        <v>6.0157606956150644</v>
      </c>
      <c r="L6" s="46">
        <v>22725696</v>
      </c>
      <c r="M6" s="38">
        <v>72173728</v>
      </c>
      <c r="N6" s="47">
        <v>68.761032700000001</v>
      </c>
      <c r="O6" s="47">
        <v>69.824928200000002</v>
      </c>
      <c r="P6" s="47">
        <v>29.761143300000001</v>
      </c>
      <c r="Q6" s="47">
        <v>35.380915199999997</v>
      </c>
      <c r="R6" s="47">
        <v>35.061255500000001</v>
      </c>
      <c r="S6" s="47">
        <v>48.221004299999997</v>
      </c>
      <c r="T6" s="47">
        <v>27.927687899999999</v>
      </c>
      <c r="U6" s="39">
        <v>11508.129000000001</v>
      </c>
      <c r="V6" s="39">
        <v>113.41087400000001</v>
      </c>
      <c r="X6" s="36" t="str">
        <f t="shared" si="2"/>
        <v>·</v>
      </c>
      <c r="Y6" s="37" t="str">
        <f t="shared" si="3"/>
        <v>·</v>
      </c>
      <c r="Z6" s="46"/>
      <c r="AA6" s="38"/>
      <c r="AB6" s="47"/>
      <c r="AC6" s="47"/>
      <c r="AD6" s="47"/>
      <c r="AE6" s="47"/>
      <c r="AF6" s="47"/>
      <c r="AG6" s="47"/>
      <c r="AH6" s="47"/>
      <c r="AI6" s="39"/>
      <c r="AJ6" s="39"/>
      <c r="AL6" s="40"/>
      <c r="AM6" s="40"/>
      <c r="AN6" s="40"/>
      <c r="AO6" s="40"/>
      <c r="AP6" s="40"/>
      <c r="AQ6" s="40"/>
      <c r="AR6" s="40"/>
    </row>
    <row r="7" spans="1:44" outlineLevel="1" x14ac:dyDescent="0.25">
      <c r="A7" s="17"/>
      <c r="B7" s="17" t="s">
        <v>40</v>
      </c>
      <c r="C7" s="19" t="s">
        <v>374</v>
      </c>
      <c r="D7" s="17">
        <v>11997440</v>
      </c>
      <c r="E7" s="18">
        <v>10</v>
      </c>
      <c r="F7" s="19">
        <v>300</v>
      </c>
      <c r="G7" s="19">
        <v>30</v>
      </c>
      <c r="H7" s="19">
        <v>11</v>
      </c>
      <c r="J7" s="20">
        <f t="shared" si="0"/>
        <v>10.4045592</v>
      </c>
      <c r="K7" s="21">
        <f t="shared" si="1"/>
        <v>8.6723160941000739</v>
      </c>
      <c r="L7" s="44">
        <v>45556032</v>
      </c>
      <c r="M7" s="22">
        <v>104045592</v>
      </c>
      <c r="N7" s="45">
        <v>72.820610099999996</v>
      </c>
      <c r="O7" s="45">
        <v>74.467162099999996</v>
      </c>
      <c r="P7" s="45">
        <v>31.4217829</v>
      </c>
      <c r="Q7" s="45">
        <v>35.941370900000003</v>
      </c>
      <c r="R7" s="45">
        <v>35.684231099999998</v>
      </c>
      <c r="S7" s="45">
        <v>50.398522999999997</v>
      </c>
      <c r="T7" s="45">
        <v>29.8826714</v>
      </c>
      <c r="U7" s="23">
        <v>12624.8853</v>
      </c>
      <c r="V7" s="23">
        <v>118.61203</v>
      </c>
      <c r="X7" s="20" t="str">
        <f t="shared" si="2"/>
        <v>·</v>
      </c>
      <c r="Y7" s="21" t="str">
        <f t="shared" si="3"/>
        <v>·</v>
      </c>
      <c r="Z7" s="44"/>
      <c r="AA7" s="22"/>
      <c r="AB7" s="45"/>
      <c r="AC7" s="45"/>
      <c r="AD7" s="45"/>
      <c r="AE7" s="45"/>
      <c r="AF7" s="45"/>
      <c r="AG7" s="45"/>
      <c r="AH7" s="45"/>
      <c r="AI7" s="23"/>
      <c r="AJ7" s="23"/>
      <c r="AL7" s="24"/>
      <c r="AM7" s="24"/>
      <c r="AN7" s="24"/>
      <c r="AO7" s="24"/>
      <c r="AP7" s="24"/>
      <c r="AQ7" s="24"/>
      <c r="AR7" s="24"/>
    </row>
    <row r="8" spans="1:44" outlineLevel="1" x14ac:dyDescent="0.25">
      <c r="A8" s="33"/>
      <c r="B8" s="33" t="s">
        <v>40</v>
      </c>
      <c r="C8" s="35" t="s">
        <v>375</v>
      </c>
      <c r="D8" s="33">
        <v>11997440</v>
      </c>
      <c r="E8" s="34">
        <v>10</v>
      </c>
      <c r="F8" s="35">
        <v>300</v>
      </c>
      <c r="G8" s="35">
        <v>30</v>
      </c>
      <c r="H8" s="35">
        <v>14</v>
      </c>
      <c r="J8" s="36">
        <f t="shared" si="0"/>
        <v>14.179067199999999</v>
      </c>
      <c r="K8" s="37">
        <f t="shared" si="1"/>
        <v>11.81841059426011</v>
      </c>
      <c r="L8" s="46">
        <v>45556032</v>
      </c>
      <c r="M8" s="38">
        <v>141790672</v>
      </c>
      <c r="N8" s="47">
        <v>73.802666200000004</v>
      </c>
      <c r="O8" s="47">
        <v>75.609774400000006</v>
      </c>
      <c r="P8" s="47">
        <v>32.823709399999998</v>
      </c>
      <c r="Q8" s="47">
        <v>36.9138734</v>
      </c>
      <c r="R8" s="47">
        <v>36.657314700000001</v>
      </c>
      <c r="S8" s="47">
        <v>50.847002400000001</v>
      </c>
      <c r="T8" s="47">
        <v>30.998270300000001</v>
      </c>
      <c r="U8" s="39">
        <v>12648.5589</v>
      </c>
      <c r="V8" s="39">
        <v>119.442891</v>
      </c>
      <c r="X8" s="36" t="str">
        <f t="shared" si="2"/>
        <v>·</v>
      </c>
      <c r="Y8" s="37" t="str">
        <f t="shared" si="3"/>
        <v>·</v>
      </c>
      <c r="Z8" s="46"/>
      <c r="AA8" s="38"/>
      <c r="AB8" s="47"/>
      <c r="AC8" s="47"/>
      <c r="AD8" s="47"/>
      <c r="AE8" s="47"/>
      <c r="AF8" s="47"/>
      <c r="AG8" s="47"/>
      <c r="AH8" s="47"/>
      <c r="AI8" s="39"/>
      <c r="AJ8" s="39"/>
      <c r="AL8" s="40"/>
      <c r="AM8" s="40"/>
      <c r="AN8" s="40"/>
      <c r="AO8" s="40"/>
      <c r="AP8" s="40"/>
      <c r="AQ8" s="40"/>
      <c r="AR8" s="40"/>
    </row>
    <row r="9" spans="1:44" ht="15.75" customHeight="1" outlineLevel="1" thickBot="1" x14ac:dyDescent="0.3">
      <c r="A9" s="17"/>
      <c r="B9" s="48" t="s">
        <v>40</v>
      </c>
      <c r="C9" s="49" t="s">
        <v>376</v>
      </c>
      <c r="D9" s="48">
        <v>11997440</v>
      </c>
      <c r="E9" s="50">
        <v>10</v>
      </c>
      <c r="F9" s="49">
        <v>300</v>
      </c>
      <c r="G9" s="49">
        <v>30</v>
      </c>
      <c r="H9" s="49">
        <v>21</v>
      </c>
      <c r="J9" s="51">
        <f t="shared" si="0"/>
        <v>23.4219288</v>
      </c>
      <c r="K9" s="52">
        <f t="shared" si="1"/>
        <v>19.522438786941215</v>
      </c>
      <c r="L9" s="53">
        <v>11991502</v>
      </c>
      <c r="M9" s="54">
        <v>234219288</v>
      </c>
      <c r="N9" s="55">
        <v>999.99</v>
      </c>
      <c r="O9" s="55">
        <v>999.99</v>
      </c>
      <c r="P9" s="55">
        <v>33.402480699999998</v>
      </c>
      <c r="Q9" s="55">
        <v>37.239927100000003</v>
      </c>
      <c r="R9" s="55">
        <v>37.006722799999999</v>
      </c>
      <c r="S9" s="55">
        <v>999.99</v>
      </c>
      <c r="T9" s="55">
        <v>33.245077100000003</v>
      </c>
      <c r="U9" s="56">
        <v>9201.3498299999992</v>
      </c>
      <c r="V9" s="56">
        <v>123.42227200000001</v>
      </c>
      <c r="X9" s="51" t="str">
        <f t="shared" si="2"/>
        <v>·</v>
      </c>
      <c r="Y9" s="52" t="str">
        <f t="shared" si="3"/>
        <v>·</v>
      </c>
      <c r="Z9" s="53"/>
      <c r="AA9" s="54"/>
      <c r="AB9" s="55"/>
      <c r="AC9" s="55"/>
      <c r="AD9" s="55"/>
      <c r="AE9" s="55"/>
      <c r="AF9" s="55"/>
      <c r="AG9" s="55"/>
      <c r="AH9" s="55"/>
      <c r="AI9" s="56"/>
      <c r="AJ9" s="56"/>
      <c r="AL9" s="57"/>
      <c r="AM9" s="57"/>
      <c r="AN9" s="57"/>
      <c r="AO9" s="57"/>
      <c r="AP9" s="57"/>
      <c r="AQ9" s="57"/>
      <c r="AR9" s="57"/>
    </row>
    <row r="10" spans="1:44" x14ac:dyDescent="0.25">
      <c r="A10" s="33"/>
      <c r="B10" s="33" t="s">
        <v>48</v>
      </c>
      <c r="C10" s="35" t="s">
        <v>372</v>
      </c>
      <c r="D10" s="33">
        <v>9000000</v>
      </c>
      <c r="E10" s="34">
        <v>10</v>
      </c>
      <c r="F10" s="35">
        <v>300</v>
      </c>
      <c r="G10" s="35">
        <v>30</v>
      </c>
      <c r="H10" s="35">
        <v>4</v>
      </c>
      <c r="J10" s="36">
        <f t="shared" si="0"/>
        <v>3.1298159999999999</v>
      </c>
      <c r="K10" s="37">
        <f t="shared" si="1"/>
        <v>3.4775733333333334</v>
      </c>
      <c r="L10" s="46">
        <v>22522560</v>
      </c>
      <c r="M10" s="38">
        <v>31298160</v>
      </c>
      <c r="N10" s="47">
        <v>64.238114899999999</v>
      </c>
      <c r="O10" s="47">
        <v>64.862655000000004</v>
      </c>
      <c r="P10" s="47">
        <v>34.062113600000004</v>
      </c>
      <c r="Q10" s="47">
        <v>45.730897400000003</v>
      </c>
      <c r="R10" s="47">
        <v>46.110902199999998</v>
      </c>
      <c r="S10" s="47">
        <v>43.783516300000002</v>
      </c>
      <c r="T10" s="47">
        <v>29.824394600000002</v>
      </c>
      <c r="U10" s="39">
        <v>23279.709800000001</v>
      </c>
      <c r="V10" s="39">
        <v>97.764456899999999</v>
      </c>
      <c r="X10" s="36" t="str">
        <f t="shared" si="2"/>
        <v>·</v>
      </c>
      <c r="Y10" s="37" t="str">
        <f t="shared" si="3"/>
        <v>·</v>
      </c>
      <c r="Z10" s="46"/>
      <c r="AA10" s="38"/>
      <c r="AB10" s="47"/>
      <c r="AC10" s="47"/>
      <c r="AD10" s="47"/>
      <c r="AE10" s="47"/>
      <c r="AF10" s="47"/>
      <c r="AG10" s="47"/>
      <c r="AH10" s="47"/>
      <c r="AI10" s="39"/>
      <c r="AJ10" s="39"/>
      <c r="AL10" s="40" t="str">
        <f t="array" ref="AL10">IF( OR(AND(ISBLANK(M10:M14)),AND(ISBLANK(AA10:AA14)), AND(ISBLANK(N10:N14)),AND(ISBLANK(AB10:AB14))), "·", bdRateExtend( M10:M14,N10:N14, AA10:AA14,AB10:AB14))</f>
        <v>·</v>
      </c>
      <c r="AM10" s="40" t="str">
        <f t="array" ref="AM10">IF( OR(AND(ISBLANK(M10:M14)),AND(ISBLANK(AA10:AA14)), AND(ISBLANK(O10:O14)),AND(ISBLANK(AC10:AC14))), "·", bdRateExtend( M10:M14,O10:O14, AA10:AA14,AC10:AC14))</f>
        <v>·</v>
      </c>
      <c r="AN10" s="40" t="str">
        <f t="array" ref="AN10">IF( OR(AND(ISBLANK(M10:M14)),AND(ISBLANK(AA10:AA14)), AND(ISBLANK(P10:P14)),AND(ISBLANK(AD10:AD14))), "·", bdRateExtend( M10:M14,P10:P14, AA10:AA14,AD10:AD14))</f>
        <v>·</v>
      </c>
      <c r="AO10" s="40" t="str">
        <f t="array" ref="AO10">IF( OR(AND(ISBLANK(M10:M14)),AND(ISBLANK(AA10:AA14)), AND(ISBLANK(Q10:Q14)),AND(ISBLANK(AE10:AE14))), "·", bdRateExtend( M10:M14,Q10:Q14, AA10:AA14,AE10:AE14))</f>
        <v>·</v>
      </c>
      <c r="AP10" s="40" t="str">
        <f t="array" ref="AP10">IF( OR(AND(ISBLANK(M10:M14)),AND(ISBLANK(AA10:AA14)), AND(ISBLANK(R10:R14)),AND(ISBLANK(AF10:AF14))), "·", bdRateExtend( M10:M14,R10:R14, AA10:AA14,AF10:AF14))</f>
        <v>·</v>
      </c>
      <c r="AQ10" s="40" t="str">
        <f t="array" ref="AQ10">IF( OR(AND(ISBLANK(M10:M14)),AND(ISBLANK(AA10:AA14)), AND(ISBLANK(S10:S14)),AND(ISBLANK(AG10:AG14))), "·", bdRateExtend( M10:M14,S10:S14, AA10:AA14,AG10:AG14))</f>
        <v>·</v>
      </c>
      <c r="AR10" s="40" t="str">
        <f t="array" ref="AR10">IF( OR(AND(ISBLANK(M10:M14)),AND(ISBLANK(AA10:AA14)), AND(ISBLANK(T10:T14)),AND(ISBLANK(AH10:AH14))), "·", bdRateExtend( M10:M14,T10:T14, AA10:AA14,AH10:AH14))</f>
        <v>·</v>
      </c>
    </row>
    <row r="11" spans="1:44" outlineLevel="1" x14ac:dyDescent="0.25">
      <c r="A11" s="17"/>
      <c r="B11" s="17" t="s">
        <v>48</v>
      </c>
      <c r="C11" s="19" t="s">
        <v>373</v>
      </c>
      <c r="D11" s="17">
        <v>9000000</v>
      </c>
      <c r="E11" s="18">
        <v>10</v>
      </c>
      <c r="F11" s="19">
        <v>300</v>
      </c>
      <c r="G11" s="19">
        <v>30</v>
      </c>
      <c r="H11" s="19">
        <v>8</v>
      </c>
      <c r="J11" s="20">
        <f t="shared" si="0"/>
        <v>7.2554855999999992</v>
      </c>
      <c r="K11" s="21">
        <f t="shared" si="1"/>
        <v>8.061650666666667</v>
      </c>
      <c r="L11" s="44">
        <v>45389184</v>
      </c>
      <c r="M11" s="22">
        <v>72554856</v>
      </c>
      <c r="N11" s="45">
        <v>70.876504499999996</v>
      </c>
      <c r="O11" s="45">
        <v>72.350927499999997</v>
      </c>
      <c r="P11" s="45">
        <v>35.824269200000003</v>
      </c>
      <c r="Q11" s="45">
        <v>46.069301199999998</v>
      </c>
      <c r="R11" s="45">
        <v>46.511114900000003</v>
      </c>
      <c r="S11" s="45">
        <v>47.570204699999998</v>
      </c>
      <c r="T11" s="45">
        <v>33.187392799999998</v>
      </c>
      <c r="U11" s="23">
        <v>28651.059600000001</v>
      </c>
      <c r="V11" s="23">
        <v>106.832036</v>
      </c>
      <c r="X11" s="20" t="str">
        <f t="shared" si="2"/>
        <v>·</v>
      </c>
      <c r="Y11" s="21" t="str">
        <f t="shared" si="3"/>
        <v>·</v>
      </c>
      <c r="Z11" s="44"/>
      <c r="AA11" s="22"/>
      <c r="AB11" s="45"/>
      <c r="AC11" s="45"/>
      <c r="AD11" s="45"/>
      <c r="AE11" s="45"/>
      <c r="AF11" s="45"/>
      <c r="AG11" s="45"/>
      <c r="AH11" s="45"/>
      <c r="AI11" s="23"/>
      <c r="AJ11" s="23"/>
      <c r="AL11" s="24"/>
      <c r="AM11" s="24"/>
      <c r="AN11" s="24"/>
      <c r="AO11" s="24"/>
      <c r="AP11" s="24"/>
      <c r="AQ11" s="24"/>
      <c r="AR11" s="24"/>
    </row>
    <row r="12" spans="1:44" outlineLevel="1" x14ac:dyDescent="0.25">
      <c r="A12" s="33"/>
      <c r="B12" s="33" t="s">
        <v>48</v>
      </c>
      <c r="C12" s="35" t="s">
        <v>374</v>
      </c>
      <c r="D12" s="33">
        <v>9000000</v>
      </c>
      <c r="E12" s="34">
        <v>10</v>
      </c>
      <c r="F12" s="35">
        <v>300</v>
      </c>
      <c r="G12" s="35">
        <v>30</v>
      </c>
      <c r="H12" s="35">
        <v>11</v>
      </c>
      <c r="J12" s="36">
        <f t="shared" si="0"/>
        <v>9.3179648000000004</v>
      </c>
      <c r="K12" s="37">
        <f t="shared" si="1"/>
        <v>10.353294222222223</v>
      </c>
      <c r="L12" s="46">
        <v>45389184</v>
      </c>
      <c r="M12" s="38">
        <v>93179648</v>
      </c>
      <c r="N12" s="47">
        <v>72.140196399999994</v>
      </c>
      <c r="O12" s="47">
        <v>73.786104499999993</v>
      </c>
      <c r="P12" s="47">
        <v>36.379758299999999</v>
      </c>
      <c r="Q12" s="47">
        <v>46.424250200000003</v>
      </c>
      <c r="R12" s="47">
        <v>46.910657700000002</v>
      </c>
      <c r="S12" s="47">
        <v>48.214350500000002</v>
      </c>
      <c r="T12" s="47">
        <v>33.931330000000003</v>
      </c>
      <c r="U12" s="39">
        <v>28848.467199999999</v>
      </c>
      <c r="V12" s="39">
        <v>111.038228</v>
      </c>
      <c r="X12" s="36" t="str">
        <f t="shared" si="2"/>
        <v>·</v>
      </c>
      <c r="Y12" s="37" t="str">
        <f t="shared" si="3"/>
        <v>·</v>
      </c>
      <c r="Z12" s="46"/>
      <c r="AA12" s="38"/>
      <c r="AB12" s="47"/>
      <c r="AC12" s="47"/>
      <c r="AD12" s="47"/>
      <c r="AE12" s="47"/>
      <c r="AF12" s="47"/>
      <c r="AG12" s="47"/>
      <c r="AH12" s="47"/>
      <c r="AI12" s="39"/>
      <c r="AJ12" s="39"/>
      <c r="AL12" s="40"/>
      <c r="AM12" s="40"/>
      <c r="AN12" s="40"/>
      <c r="AO12" s="40"/>
      <c r="AP12" s="40"/>
      <c r="AQ12" s="40"/>
      <c r="AR12" s="40"/>
    </row>
    <row r="13" spans="1:44" outlineLevel="1" x14ac:dyDescent="0.25">
      <c r="A13" s="17"/>
      <c r="B13" s="17" t="s">
        <v>48</v>
      </c>
      <c r="C13" s="19" t="s">
        <v>375</v>
      </c>
      <c r="D13" s="17">
        <v>9000000</v>
      </c>
      <c r="E13" s="18">
        <v>10</v>
      </c>
      <c r="F13" s="19">
        <v>300</v>
      </c>
      <c r="G13" s="19">
        <v>30</v>
      </c>
      <c r="H13" s="19">
        <v>14</v>
      </c>
      <c r="J13" s="20">
        <f t="shared" si="0"/>
        <v>12.208532</v>
      </c>
      <c r="K13" s="21">
        <f t="shared" si="1"/>
        <v>13.565035555555555</v>
      </c>
      <c r="L13" s="44">
        <v>45389184</v>
      </c>
      <c r="M13" s="22">
        <v>122085320</v>
      </c>
      <c r="N13" s="45">
        <v>72.140196399999994</v>
      </c>
      <c r="O13" s="45">
        <v>73.786104499999993</v>
      </c>
      <c r="P13" s="45">
        <v>37.643802299999997</v>
      </c>
      <c r="Q13" s="45">
        <v>47.496704600000001</v>
      </c>
      <c r="R13" s="45">
        <v>48.080477199999997</v>
      </c>
      <c r="S13" s="45">
        <v>48.214350500000002</v>
      </c>
      <c r="T13" s="45">
        <v>34.525438299999998</v>
      </c>
      <c r="U13" s="23">
        <v>30215.7641</v>
      </c>
      <c r="V13" s="23">
        <v>113.269154</v>
      </c>
      <c r="X13" s="20" t="str">
        <f t="shared" si="2"/>
        <v>·</v>
      </c>
      <c r="Y13" s="21" t="str">
        <f t="shared" si="3"/>
        <v>·</v>
      </c>
      <c r="Z13" s="44"/>
      <c r="AA13" s="22"/>
      <c r="AB13" s="45"/>
      <c r="AC13" s="45"/>
      <c r="AD13" s="45"/>
      <c r="AE13" s="45"/>
      <c r="AF13" s="45"/>
      <c r="AG13" s="45"/>
      <c r="AH13" s="45"/>
      <c r="AI13" s="23"/>
      <c r="AJ13" s="23"/>
      <c r="AL13" s="24"/>
      <c r="AM13" s="24"/>
      <c r="AN13" s="24"/>
      <c r="AO13" s="24"/>
      <c r="AP13" s="24"/>
      <c r="AQ13" s="24"/>
      <c r="AR13" s="24"/>
    </row>
    <row r="14" spans="1:44" ht="15.75" customHeight="1" outlineLevel="1" thickBot="1" x14ac:dyDescent="0.3">
      <c r="A14" s="25"/>
      <c r="B14" s="25" t="s">
        <v>48</v>
      </c>
      <c r="C14" s="27" t="s">
        <v>376</v>
      </c>
      <c r="D14" s="25">
        <v>9000000</v>
      </c>
      <c r="E14" s="26">
        <v>10</v>
      </c>
      <c r="F14" s="27">
        <v>300</v>
      </c>
      <c r="G14" s="27">
        <v>30</v>
      </c>
      <c r="H14" s="27">
        <v>21</v>
      </c>
      <c r="J14" s="28">
        <f t="shared" si="0"/>
        <v>18.867285600000002</v>
      </c>
      <c r="K14" s="29">
        <f t="shared" si="1"/>
        <v>20.963650666666666</v>
      </c>
      <c r="L14" s="58">
        <v>45389184</v>
      </c>
      <c r="M14" s="30">
        <v>188672856</v>
      </c>
      <c r="N14" s="59">
        <v>72.343438500000005</v>
      </c>
      <c r="O14" s="59">
        <v>74.014801300000002</v>
      </c>
      <c r="P14" s="59">
        <v>39.005021399999997</v>
      </c>
      <c r="Q14" s="59">
        <v>48.5400609</v>
      </c>
      <c r="R14" s="59">
        <v>49.182705499999997</v>
      </c>
      <c r="S14" s="59">
        <v>48.312440000000002</v>
      </c>
      <c r="T14" s="59">
        <v>35.148769999999999</v>
      </c>
      <c r="U14" s="31">
        <v>32370.434099999999</v>
      </c>
      <c r="V14" s="31">
        <v>119.12541299999999</v>
      </c>
      <c r="X14" s="28" t="str">
        <f t="shared" si="2"/>
        <v>·</v>
      </c>
      <c r="Y14" s="29" t="str">
        <f t="shared" si="3"/>
        <v>·</v>
      </c>
      <c r="Z14" s="58"/>
      <c r="AA14" s="30"/>
      <c r="AB14" s="59"/>
      <c r="AC14" s="59"/>
      <c r="AD14" s="59"/>
      <c r="AE14" s="59"/>
      <c r="AF14" s="59"/>
      <c r="AG14" s="59"/>
      <c r="AH14" s="59"/>
      <c r="AI14" s="31"/>
      <c r="AJ14" s="31"/>
      <c r="AL14" s="32"/>
      <c r="AM14" s="32"/>
      <c r="AN14" s="32"/>
      <c r="AO14" s="32"/>
      <c r="AP14" s="32"/>
      <c r="AQ14" s="32"/>
      <c r="AR14" s="32"/>
    </row>
    <row r="15" spans="1:44" x14ac:dyDescent="0.25">
      <c r="A15" s="17" t="s">
        <v>176</v>
      </c>
      <c r="B15" s="17" t="s">
        <v>53</v>
      </c>
      <c r="C15" s="19" t="s">
        <v>372</v>
      </c>
      <c r="D15" s="17">
        <v>11842002</v>
      </c>
      <c r="E15" s="18">
        <v>12</v>
      </c>
      <c r="F15" s="19">
        <v>300</v>
      </c>
      <c r="G15" s="19">
        <v>30</v>
      </c>
      <c r="H15" s="19">
        <v>3</v>
      </c>
      <c r="J15" s="20">
        <f t="shared" si="0"/>
        <v>4.1111440000000004</v>
      </c>
      <c r="K15" s="21">
        <f t="shared" si="1"/>
        <v>3.4716629840123319</v>
      </c>
      <c r="L15" s="44">
        <v>22706944</v>
      </c>
      <c r="M15" s="22">
        <v>41111440</v>
      </c>
      <c r="N15" s="45">
        <v>71.225856899999997</v>
      </c>
      <c r="O15" s="45">
        <v>72.553207700000002</v>
      </c>
      <c r="P15" s="45">
        <v>37.063383799999997</v>
      </c>
      <c r="Q15" s="45">
        <v>43.483529500000003</v>
      </c>
      <c r="R15" s="45">
        <v>45.505868499999998</v>
      </c>
      <c r="S15" s="45">
        <v>45.698000499999999</v>
      </c>
      <c r="T15" s="45">
        <v>32.981529700000003</v>
      </c>
      <c r="U15" s="23">
        <v>11058.3398</v>
      </c>
      <c r="V15" s="23">
        <v>109.964609</v>
      </c>
      <c r="X15" s="20" t="str">
        <f t="shared" si="2"/>
        <v>·</v>
      </c>
      <c r="Y15" s="21" t="str">
        <f t="shared" si="3"/>
        <v>·</v>
      </c>
      <c r="Z15" s="44"/>
      <c r="AA15" s="22"/>
      <c r="AB15" s="45"/>
      <c r="AC15" s="45"/>
      <c r="AD15" s="45"/>
      <c r="AE15" s="45"/>
      <c r="AF15" s="45"/>
      <c r="AG15" s="45"/>
      <c r="AH15" s="45"/>
      <c r="AI15" s="23"/>
      <c r="AJ15" s="23"/>
      <c r="AL15" s="24" t="str">
        <f t="array" ref="AL15">IF( OR(AND(ISBLANK(M15:M19)),AND(ISBLANK(AA15:AA19)), AND(ISBLANK(N15:N19)),AND(ISBLANK(AB15:AB19))), "·", bdRateExtend( M15:M19,N15:N19, AA15:AA19,AB15:AB19))</f>
        <v>·</v>
      </c>
      <c r="AM15" s="24" t="str">
        <f t="array" ref="AM15">IF( OR(AND(ISBLANK(M15:M19)),AND(ISBLANK(AA15:AA19)), AND(ISBLANK(O15:O19)),AND(ISBLANK(AC15:AC19))), "·", bdRateExtend( M15:M19,O15:O19, AA15:AA19,AC15:AC19))</f>
        <v>·</v>
      </c>
      <c r="AN15" s="24" t="str">
        <f t="array" ref="AN15">IF( OR(AND(ISBLANK(M15:M19)),AND(ISBLANK(AA15:AA19)), AND(ISBLANK(P15:P19)),AND(ISBLANK(AD15:AD19))), "·", bdRateExtend( M15:M19,P15:P19, AA15:AA19,AD15:AD19))</f>
        <v>·</v>
      </c>
      <c r="AO15" s="24" t="str">
        <f t="array" ref="AO15">IF( OR(AND(ISBLANK(M15:M19)),AND(ISBLANK(AA15:AA19)), AND(ISBLANK(Q15:Q19)),AND(ISBLANK(AE15:AE19))), "·", bdRateExtend( M15:M19,Q15:Q19, AA15:AA19,AE15:AE19))</f>
        <v>·</v>
      </c>
      <c r="AP15" s="24" t="str">
        <f t="array" ref="AP15">IF( OR(AND(ISBLANK(M15:M19)),AND(ISBLANK(AA15:AA19)), AND(ISBLANK(R15:R19)),AND(ISBLANK(AF15:AF19))), "·", bdRateExtend( M15:M19,R15:R19, AA15:AA19,AF15:AF19))</f>
        <v>·</v>
      </c>
      <c r="AQ15" s="24" t="str">
        <f t="array" ref="AQ15">IF( OR(AND(ISBLANK(M15:M19)),AND(ISBLANK(AA15:AA19)), AND(ISBLANK(S15:S19)),AND(ISBLANK(AG15:AG19))), "·", bdRateExtend( M15:M19,S15:S19, AA15:AA19,AG15:AG19))</f>
        <v>·</v>
      </c>
      <c r="AR15" s="24" t="str">
        <f t="array" ref="AR15">IF( OR(AND(ISBLANK(M15:M19)),AND(ISBLANK(AA15:AA19)), AND(ISBLANK(T15:T19)),AND(ISBLANK(AH15:AH19))), "·", bdRateExtend( M15:M19,T15:T19, AA15:AA19,AH15:AH19))</f>
        <v>·</v>
      </c>
    </row>
    <row r="16" spans="1:44" outlineLevel="1" x14ac:dyDescent="0.25">
      <c r="A16" s="33"/>
      <c r="B16" s="33" t="s">
        <v>53</v>
      </c>
      <c r="C16" s="35" t="s">
        <v>373</v>
      </c>
      <c r="D16" s="33">
        <v>11842002</v>
      </c>
      <c r="E16" s="34">
        <v>12</v>
      </c>
      <c r="F16" s="35">
        <v>300</v>
      </c>
      <c r="G16" s="35">
        <v>30</v>
      </c>
      <c r="H16" s="35">
        <v>5</v>
      </c>
      <c r="J16" s="36">
        <f t="shared" si="0"/>
        <v>6.9691824000000002</v>
      </c>
      <c r="K16" s="37">
        <f t="shared" si="1"/>
        <v>5.8851386784092758</v>
      </c>
      <c r="L16" s="46">
        <v>45429504</v>
      </c>
      <c r="M16" s="38">
        <v>69691824</v>
      </c>
      <c r="N16" s="47">
        <v>74.969412500000004</v>
      </c>
      <c r="O16" s="47">
        <v>76.786351100000005</v>
      </c>
      <c r="P16" s="47">
        <v>39.576208100000002</v>
      </c>
      <c r="Q16" s="47">
        <v>44.165190600000003</v>
      </c>
      <c r="R16" s="47">
        <v>46.833312399999997</v>
      </c>
      <c r="S16" s="47">
        <v>47.701970299999999</v>
      </c>
      <c r="T16" s="47">
        <v>35.566772700000001</v>
      </c>
      <c r="U16" s="39">
        <v>13238.6924</v>
      </c>
      <c r="V16" s="39">
        <v>122.028251</v>
      </c>
      <c r="X16" s="36" t="str">
        <f t="shared" si="2"/>
        <v>·</v>
      </c>
      <c r="Y16" s="37" t="str">
        <f t="shared" si="3"/>
        <v>·</v>
      </c>
      <c r="Z16" s="46"/>
      <c r="AA16" s="38"/>
      <c r="AB16" s="47"/>
      <c r="AC16" s="47"/>
      <c r="AD16" s="47"/>
      <c r="AE16" s="47"/>
      <c r="AF16" s="47"/>
      <c r="AG16" s="47"/>
      <c r="AH16" s="47"/>
      <c r="AI16" s="39"/>
      <c r="AJ16" s="39"/>
      <c r="AL16" s="40"/>
      <c r="AM16" s="40"/>
      <c r="AN16" s="40"/>
      <c r="AO16" s="40"/>
      <c r="AP16" s="40"/>
      <c r="AQ16" s="40"/>
      <c r="AR16" s="40"/>
    </row>
    <row r="17" spans="1:44" outlineLevel="1" x14ac:dyDescent="0.25">
      <c r="A17" s="17"/>
      <c r="B17" s="17" t="s">
        <v>53</v>
      </c>
      <c r="C17" s="19" t="s">
        <v>374</v>
      </c>
      <c r="D17" s="17">
        <v>11842002</v>
      </c>
      <c r="E17" s="18">
        <v>12</v>
      </c>
      <c r="F17" s="19">
        <v>300</v>
      </c>
      <c r="G17" s="19">
        <v>30</v>
      </c>
      <c r="H17" s="19">
        <v>10</v>
      </c>
      <c r="J17" s="20">
        <f t="shared" si="0"/>
        <v>10.940148800000001</v>
      </c>
      <c r="K17" s="21">
        <f t="shared" si="1"/>
        <v>9.2384284346515049</v>
      </c>
      <c r="L17" s="44">
        <v>45429504</v>
      </c>
      <c r="M17" s="22">
        <v>109401488</v>
      </c>
      <c r="N17" s="45">
        <v>76.262119200000001</v>
      </c>
      <c r="O17" s="45">
        <v>78.289606500000005</v>
      </c>
      <c r="P17" s="45">
        <v>41.404291200000003</v>
      </c>
      <c r="Q17" s="45">
        <v>45.0322824</v>
      </c>
      <c r="R17" s="45">
        <v>48.426684700000003</v>
      </c>
      <c r="S17" s="45">
        <v>48.287250700000001</v>
      </c>
      <c r="T17" s="45">
        <v>36.701791</v>
      </c>
      <c r="U17" s="23">
        <v>14303.643400000001</v>
      </c>
      <c r="V17" s="23">
        <v>129.21315100000001</v>
      </c>
      <c r="X17" s="20" t="str">
        <f t="shared" si="2"/>
        <v>·</v>
      </c>
      <c r="Y17" s="21" t="str">
        <f t="shared" si="3"/>
        <v>·</v>
      </c>
      <c r="Z17" s="44"/>
      <c r="AA17" s="22"/>
      <c r="AB17" s="45"/>
      <c r="AC17" s="45"/>
      <c r="AD17" s="45"/>
      <c r="AE17" s="45"/>
      <c r="AF17" s="45"/>
      <c r="AG17" s="45"/>
      <c r="AH17" s="45"/>
      <c r="AI17" s="23"/>
      <c r="AJ17" s="23"/>
      <c r="AL17" s="24"/>
      <c r="AM17" s="24"/>
      <c r="AN17" s="24"/>
      <c r="AO17" s="24"/>
      <c r="AP17" s="24"/>
      <c r="AQ17" s="24"/>
      <c r="AR17" s="24"/>
    </row>
    <row r="18" spans="1:44" outlineLevel="1" x14ac:dyDescent="0.25">
      <c r="A18" s="33"/>
      <c r="B18" s="33" t="s">
        <v>53</v>
      </c>
      <c r="C18" s="35" t="s">
        <v>375</v>
      </c>
      <c r="D18" s="33">
        <v>11842002</v>
      </c>
      <c r="E18" s="34">
        <v>12</v>
      </c>
      <c r="F18" s="35">
        <v>300</v>
      </c>
      <c r="G18" s="35">
        <v>30</v>
      </c>
      <c r="H18" s="35">
        <v>14</v>
      </c>
      <c r="J18" s="36">
        <f t="shared" si="0"/>
        <v>16.1946048</v>
      </c>
      <c r="K18" s="37">
        <f t="shared" si="1"/>
        <v>13.675563304245346</v>
      </c>
      <c r="L18" s="46">
        <v>5680243</v>
      </c>
      <c r="M18" s="38">
        <v>161946048</v>
      </c>
      <c r="N18" s="47">
        <v>82.973471500000002</v>
      </c>
      <c r="O18" s="47">
        <v>86.486865899999998</v>
      </c>
      <c r="P18" s="47">
        <v>41.816684199999997</v>
      </c>
      <c r="Q18" s="47">
        <v>45.093176700000001</v>
      </c>
      <c r="R18" s="47">
        <v>48.518224799999999</v>
      </c>
      <c r="S18" s="47">
        <v>53.629812600000001</v>
      </c>
      <c r="T18" s="47">
        <v>39.943052100000003</v>
      </c>
      <c r="U18" s="39">
        <v>21233.637999999999</v>
      </c>
      <c r="V18" s="39">
        <v>118.42528</v>
      </c>
      <c r="X18" s="36" t="str">
        <f t="shared" si="2"/>
        <v>·</v>
      </c>
      <c r="Y18" s="37" t="str">
        <f t="shared" si="3"/>
        <v>·</v>
      </c>
      <c r="Z18" s="46"/>
      <c r="AA18" s="38"/>
      <c r="AB18" s="47"/>
      <c r="AC18" s="47"/>
      <c r="AD18" s="47"/>
      <c r="AE18" s="47"/>
      <c r="AF18" s="47"/>
      <c r="AG18" s="47"/>
      <c r="AH18" s="47"/>
      <c r="AI18" s="39"/>
      <c r="AJ18" s="39"/>
      <c r="AL18" s="40"/>
      <c r="AM18" s="40"/>
      <c r="AN18" s="40"/>
      <c r="AO18" s="40"/>
      <c r="AP18" s="40"/>
      <c r="AQ18" s="40"/>
      <c r="AR18" s="40"/>
    </row>
    <row r="19" spans="1:44" ht="15.75" customHeight="1" outlineLevel="1" thickBot="1" x14ac:dyDescent="0.3">
      <c r="A19" s="17"/>
      <c r="B19" s="48" t="s">
        <v>53</v>
      </c>
      <c r="C19" s="49" t="s">
        <v>376</v>
      </c>
      <c r="D19" s="48">
        <v>11842002</v>
      </c>
      <c r="E19" s="50">
        <v>12</v>
      </c>
      <c r="F19" s="49">
        <v>300</v>
      </c>
      <c r="G19" s="49">
        <v>30</v>
      </c>
      <c r="H19" s="49">
        <v>21</v>
      </c>
      <c r="J19" s="51">
        <f t="shared" si="0"/>
        <v>22.622292000000002</v>
      </c>
      <c r="K19" s="52">
        <f t="shared" si="1"/>
        <v>19.10343538195653</v>
      </c>
      <c r="L19" s="53">
        <v>11834390</v>
      </c>
      <c r="M19" s="54">
        <v>226222920</v>
      </c>
      <c r="N19" s="55">
        <v>999.99</v>
      </c>
      <c r="O19" s="55">
        <v>999.99</v>
      </c>
      <c r="P19" s="55">
        <v>41.804595999999997</v>
      </c>
      <c r="Q19" s="55">
        <v>44.964455200000003</v>
      </c>
      <c r="R19" s="55">
        <v>48.332704700000001</v>
      </c>
      <c r="S19" s="55">
        <v>999.99</v>
      </c>
      <c r="T19" s="55">
        <v>41.9753908</v>
      </c>
      <c r="U19" s="56">
        <v>10850.9491</v>
      </c>
      <c r="V19" s="56">
        <v>131.640218</v>
      </c>
      <c r="X19" s="51" t="str">
        <f t="shared" si="2"/>
        <v>·</v>
      </c>
      <c r="Y19" s="52" t="str">
        <f t="shared" si="3"/>
        <v>·</v>
      </c>
      <c r="Z19" s="53"/>
      <c r="AA19" s="54"/>
      <c r="AB19" s="55"/>
      <c r="AC19" s="55"/>
      <c r="AD19" s="55"/>
      <c r="AE19" s="55"/>
      <c r="AF19" s="55"/>
      <c r="AG19" s="55"/>
      <c r="AH19" s="55"/>
      <c r="AI19" s="56"/>
      <c r="AJ19" s="56"/>
      <c r="AL19" s="57"/>
      <c r="AM19" s="57"/>
      <c r="AN19" s="57"/>
      <c r="AO19" s="57"/>
      <c r="AP19" s="57"/>
      <c r="AQ19" s="57"/>
      <c r="AR19" s="57"/>
    </row>
    <row r="20" spans="1:44" x14ac:dyDescent="0.25">
      <c r="A20" s="33"/>
      <c r="B20" s="33" t="s">
        <v>58</v>
      </c>
      <c r="C20" s="35" t="s">
        <v>372</v>
      </c>
      <c r="D20" s="33">
        <v>11812090</v>
      </c>
      <c r="E20" s="34">
        <v>12</v>
      </c>
      <c r="F20" s="35">
        <v>300</v>
      </c>
      <c r="G20" s="35">
        <v>30</v>
      </c>
      <c r="H20" s="35">
        <v>3</v>
      </c>
      <c r="J20" s="36">
        <f t="shared" si="0"/>
        <v>2.9780136000000001</v>
      </c>
      <c r="K20" s="37">
        <f t="shared" si="1"/>
        <v>2.5211572211183628</v>
      </c>
      <c r="L20" s="46">
        <v>22662720</v>
      </c>
      <c r="M20" s="38">
        <v>29780136</v>
      </c>
      <c r="N20" s="47">
        <v>70.104705300000006</v>
      </c>
      <c r="O20" s="47">
        <v>71.322355900000005</v>
      </c>
      <c r="P20" s="47">
        <v>34.095477500000001</v>
      </c>
      <c r="Q20" s="47">
        <v>43.234310000000001</v>
      </c>
      <c r="R20" s="47">
        <v>44.706757899999999</v>
      </c>
      <c r="S20" s="47">
        <v>46.047230800000001</v>
      </c>
      <c r="T20" s="47">
        <v>30.9559806</v>
      </c>
      <c r="U20" s="39">
        <v>11616.3871</v>
      </c>
      <c r="V20" s="39">
        <v>116.490987</v>
      </c>
      <c r="X20" s="36" t="str">
        <f t="shared" si="2"/>
        <v>·</v>
      </c>
      <c r="Y20" s="37" t="str">
        <f t="shared" si="3"/>
        <v>·</v>
      </c>
      <c r="Z20" s="46"/>
      <c r="AA20" s="38"/>
      <c r="AB20" s="47"/>
      <c r="AC20" s="47"/>
      <c r="AD20" s="47"/>
      <c r="AE20" s="47"/>
      <c r="AF20" s="47"/>
      <c r="AG20" s="47"/>
      <c r="AH20" s="47"/>
      <c r="AI20" s="39"/>
      <c r="AJ20" s="39"/>
      <c r="AL20" s="40" t="str">
        <f t="array" ref="AL20">IF( OR(AND(ISBLANK(M20:M24)),AND(ISBLANK(AA20:AA24)), AND(ISBLANK(N20:N24)),AND(ISBLANK(AB20:AB24))), "·", bdRateExtend( M20:M24,N20:N24, AA20:AA24,AB20:AB24))</f>
        <v>·</v>
      </c>
      <c r="AM20" s="40" t="str">
        <f t="array" ref="AM20">IF( OR(AND(ISBLANK(M20:M24)),AND(ISBLANK(AA20:AA24)), AND(ISBLANK(O20:O24)),AND(ISBLANK(AC20:AC24))), "·", bdRateExtend( M20:M24,O20:O24, AA20:AA24,AC20:AC24))</f>
        <v>·</v>
      </c>
      <c r="AN20" s="40" t="str">
        <f t="array" ref="AN20">IF( OR(AND(ISBLANK(M20:M24)),AND(ISBLANK(AA20:AA24)), AND(ISBLANK(P20:P24)),AND(ISBLANK(AD20:AD24))), "·", bdRateExtend( M20:M24,P20:P24, AA20:AA24,AD20:AD24))</f>
        <v>·</v>
      </c>
      <c r="AO20" s="40" t="str">
        <f t="array" ref="AO20">IF( OR(AND(ISBLANK(M20:M24)),AND(ISBLANK(AA20:AA24)), AND(ISBLANK(Q20:Q24)),AND(ISBLANK(AE20:AE24))), "·", bdRateExtend( M20:M24,Q20:Q24, AA20:AA24,AE20:AE24))</f>
        <v>·</v>
      </c>
      <c r="AP20" s="40" t="str">
        <f t="array" ref="AP20">IF( OR(AND(ISBLANK(M20:M24)),AND(ISBLANK(AA20:AA24)), AND(ISBLANK(R20:R24)),AND(ISBLANK(AF20:AF24))), "·", bdRateExtend( M20:M24,R20:R24, AA20:AA24,AF20:AF24))</f>
        <v>·</v>
      </c>
      <c r="AQ20" s="40" t="str">
        <f t="array" ref="AQ20">IF( OR(AND(ISBLANK(M20:M24)),AND(ISBLANK(AA20:AA24)), AND(ISBLANK(S20:S24)),AND(ISBLANK(AG20:AG24))), "·", bdRateExtend( M20:M24,S20:S24, AA20:AA24,AG20:AG24))</f>
        <v>·</v>
      </c>
      <c r="AR20" s="40" t="str">
        <f t="array" ref="AR20">IF( OR(AND(ISBLANK(M20:M24)),AND(ISBLANK(AA20:AA24)), AND(ISBLANK(T20:T24)),AND(ISBLANK(AH20:AH24))), "·", bdRateExtend( M20:M24,T20:T24, AA20:AA24,AH20:AH24))</f>
        <v>·</v>
      </c>
    </row>
    <row r="21" spans="1:44" outlineLevel="1" x14ac:dyDescent="0.25">
      <c r="A21" s="17"/>
      <c r="B21" s="17" t="s">
        <v>58</v>
      </c>
      <c r="C21" s="19" t="s">
        <v>373</v>
      </c>
      <c r="D21" s="17">
        <v>11812090</v>
      </c>
      <c r="E21" s="18">
        <v>12</v>
      </c>
      <c r="F21" s="19">
        <v>300</v>
      </c>
      <c r="G21" s="19">
        <v>30</v>
      </c>
      <c r="H21" s="19">
        <v>5</v>
      </c>
      <c r="J21" s="20">
        <f t="shared" si="0"/>
        <v>4.4359327999999998</v>
      </c>
      <c r="K21" s="21">
        <f t="shared" si="1"/>
        <v>3.7554173732167637</v>
      </c>
      <c r="L21" s="44">
        <v>22662720</v>
      </c>
      <c r="M21" s="22">
        <v>44359328</v>
      </c>
      <c r="N21" s="45">
        <v>71.453618899999995</v>
      </c>
      <c r="O21" s="45">
        <v>72.824494200000004</v>
      </c>
      <c r="P21" s="45">
        <v>36.500423499999997</v>
      </c>
      <c r="Q21" s="45">
        <v>43.701707200000001</v>
      </c>
      <c r="R21" s="45">
        <v>45.557450199999998</v>
      </c>
      <c r="S21" s="45">
        <v>46.688983999999998</v>
      </c>
      <c r="T21" s="45">
        <v>32.351337100000002</v>
      </c>
      <c r="U21" s="23">
        <v>11701.719499999999</v>
      </c>
      <c r="V21" s="23">
        <v>118.068687</v>
      </c>
      <c r="X21" s="20" t="str">
        <f t="shared" si="2"/>
        <v>·</v>
      </c>
      <c r="Y21" s="21" t="str">
        <f t="shared" si="3"/>
        <v>·</v>
      </c>
      <c r="Z21" s="44"/>
      <c r="AA21" s="22"/>
      <c r="AB21" s="45"/>
      <c r="AC21" s="45"/>
      <c r="AD21" s="45"/>
      <c r="AE21" s="45"/>
      <c r="AF21" s="45"/>
      <c r="AG21" s="45"/>
      <c r="AH21" s="45"/>
      <c r="AI21" s="23"/>
      <c r="AJ21" s="23"/>
      <c r="AL21" s="24"/>
      <c r="AM21" s="24"/>
      <c r="AN21" s="24"/>
      <c r="AO21" s="24"/>
      <c r="AP21" s="24"/>
      <c r="AQ21" s="24"/>
      <c r="AR21" s="24"/>
    </row>
    <row r="22" spans="1:44" outlineLevel="1" x14ac:dyDescent="0.25">
      <c r="A22" s="33"/>
      <c r="B22" s="33" t="s">
        <v>58</v>
      </c>
      <c r="C22" s="35" t="s">
        <v>374</v>
      </c>
      <c r="D22" s="33">
        <v>11812090</v>
      </c>
      <c r="E22" s="34">
        <v>12</v>
      </c>
      <c r="F22" s="35">
        <v>300</v>
      </c>
      <c r="G22" s="35">
        <v>30</v>
      </c>
      <c r="H22" s="35">
        <v>10</v>
      </c>
      <c r="J22" s="36">
        <f t="shared" si="0"/>
        <v>7.5229447999999994</v>
      </c>
      <c r="K22" s="37">
        <f t="shared" si="1"/>
        <v>6.3688515749541361</v>
      </c>
      <c r="L22" s="46">
        <v>45333632</v>
      </c>
      <c r="M22" s="38">
        <v>75229448</v>
      </c>
      <c r="N22" s="47">
        <v>75.125894299999999</v>
      </c>
      <c r="O22" s="47">
        <v>77.010186500000003</v>
      </c>
      <c r="P22" s="47">
        <v>39.118269300000001</v>
      </c>
      <c r="Q22" s="47">
        <v>44.459069200000002</v>
      </c>
      <c r="R22" s="47">
        <v>46.862989599999999</v>
      </c>
      <c r="S22" s="47">
        <v>48.702830599999999</v>
      </c>
      <c r="T22" s="47">
        <v>34.991385200000003</v>
      </c>
      <c r="U22" s="39">
        <v>12707.2562</v>
      </c>
      <c r="V22" s="39">
        <v>122.750934</v>
      </c>
      <c r="X22" s="36" t="str">
        <f t="shared" si="2"/>
        <v>·</v>
      </c>
      <c r="Y22" s="37" t="str">
        <f t="shared" si="3"/>
        <v>·</v>
      </c>
      <c r="Z22" s="46"/>
      <c r="AA22" s="38"/>
      <c r="AB22" s="47"/>
      <c r="AC22" s="47"/>
      <c r="AD22" s="47"/>
      <c r="AE22" s="47"/>
      <c r="AF22" s="47"/>
      <c r="AG22" s="47"/>
      <c r="AH22" s="47"/>
      <c r="AI22" s="39"/>
      <c r="AJ22" s="39"/>
      <c r="AL22" s="40"/>
      <c r="AM22" s="40"/>
      <c r="AN22" s="40"/>
      <c r="AO22" s="40"/>
      <c r="AP22" s="40"/>
      <c r="AQ22" s="40"/>
      <c r="AR22" s="40"/>
    </row>
    <row r="23" spans="1:44" outlineLevel="1" x14ac:dyDescent="0.25">
      <c r="A23" s="17"/>
      <c r="B23" s="17" t="s">
        <v>58</v>
      </c>
      <c r="C23" s="19" t="s">
        <v>375</v>
      </c>
      <c r="D23" s="17">
        <v>11812090</v>
      </c>
      <c r="E23" s="18">
        <v>12</v>
      </c>
      <c r="F23" s="19">
        <v>300</v>
      </c>
      <c r="G23" s="19">
        <v>30</v>
      </c>
      <c r="H23" s="19">
        <v>14</v>
      </c>
      <c r="J23" s="20">
        <f t="shared" si="0"/>
        <v>11.9355736</v>
      </c>
      <c r="K23" s="21">
        <f t="shared" si="1"/>
        <v>10.104540009431016</v>
      </c>
      <c r="L23" s="44">
        <v>45333632</v>
      </c>
      <c r="M23" s="22">
        <v>119355736</v>
      </c>
      <c r="N23" s="45">
        <v>76.405222800000004</v>
      </c>
      <c r="O23" s="45">
        <v>78.531614200000007</v>
      </c>
      <c r="P23" s="45">
        <v>40.933462300000002</v>
      </c>
      <c r="Q23" s="45">
        <v>45.443300899999997</v>
      </c>
      <c r="R23" s="45">
        <v>48.423937000000002</v>
      </c>
      <c r="S23" s="45">
        <v>49.305910799999999</v>
      </c>
      <c r="T23" s="45">
        <v>36.148398299999997</v>
      </c>
      <c r="U23" s="23">
        <v>12927.0326</v>
      </c>
      <c r="V23" s="23">
        <v>126.372203</v>
      </c>
      <c r="X23" s="20" t="str">
        <f t="shared" si="2"/>
        <v>·</v>
      </c>
      <c r="Y23" s="21" t="str">
        <f t="shared" si="3"/>
        <v>·</v>
      </c>
      <c r="Z23" s="44"/>
      <c r="AA23" s="22"/>
      <c r="AB23" s="45"/>
      <c r="AC23" s="45"/>
      <c r="AD23" s="45"/>
      <c r="AE23" s="45"/>
      <c r="AF23" s="45"/>
      <c r="AG23" s="45"/>
      <c r="AH23" s="45"/>
      <c r="AI23" s="23"/>
      <c r="AJ23" s="23"/>
      <c r="AL23" s="24"/>
      <c r="AM23" s="24"/>
      <c r="AN23" s="24"/>
      <c r="AO23" s="24"/>
      <c r="AP23" s="24"/>
      <c r="AQ23" s="24"/>
      <c r="AR23" s="24"/>
    </row>
    <row r="24" spans="1:44" ht="15.75" customHeight="1" outlineLevel="1" thickBot="1" x14ac:dyDescent="0.3">
      <c r="A24" s="25"/>
      <c r="B24" s="25" t="s">
        <v>58</v>
      </c>
      <c r="C24" s="27" t="s">
        <v>376</v>
      </c>
      <c r="D24" s="25">
        <v>11812090</v>
      </c>
      <c r="E24" s="26">
        <v>12</v>
      </c>
      <c r="F24" s="27">
        <v>300</v>
      </c>
      <c r="G24" s="27">
        <v>30</v>
      </c>
      <c r="H24" s="27">
        <v>21</v>
      </c>
      <c r="J24" s="28">
        <f t="shared" si="0"/>
        <v>23.2461688</v>
      </c>
      <c r="K24" s="29">
        <f t="shared" si="1"/>
        <v>19.679979410925586</v>
      </c>
      <c r="L24" s="58">
        <v>11808533</v>
      </c>
      <c r="M24" s="30">
        <v>232461688</v>
      </c>
      <c r="N24" s="59">
        <v>999.99</v>
      </c>
      <c r="O24" s="59">
        <v>999.99</v>
      </c>
      <c r="P24" s="59">
        <v>41.3573983</v>
      </c>
      <c r="Q24" s="59">
        <v>45.293374700000001</v>
      </c>
      <c r="R24" s="59">
        <v>48.287964500000001</v>
      </c>
      <c r="S24" s="59">
        <v>999.99</v>
      </c>
      <c r="T24" s="59">
        <v>41.404651100000002</v>
      </c>
      <c r="U24" s="31">
        <v>10315.8953</v>
      </c>
      <c r="V24" s="31">
        <v>132.12410199999999</v>
      </c>
      <c r="X24" s="28" t="str">
        <f t="shared" si="2"/>
        <v>·</v>
      </c>
      <c r="Y24" s="29" t="str">
        <f t="shared" si="3"/>
        <v>·</v>
      </c>
      <c r="Z24" s="58"/>
      <c r="AA24" s="30"/>
      <c r="AB24" s="59"/>
      <c r="AC24" s="59"/>
      <c r="AD24" s="59"/>
      <c r="AE24" s="59"/>
      <c r="AF24" s="59"/>
      <c r="AG24" s="59"/>
      <c r="AH24" s="59"/>
      <c r="AI24" s="31"/>
      <c r="AJ24" s="31"/>
      <c r="AL24" s="32"/>
      <c r="AM24" s="32"/>
      <c r="AN24" s="32"/>
      <c r="AO24" s="32"/>
      <c r="AP24" s="32"/>
      <c r="AQ24" s="32"/>
      <c r="AR24" s="32"/>
    </row>
    <row r="25" spans="1:44" x14ac:dyDescent="0.25">
      <c r="A25" s="17" t="s">
        <v>177</v>
      </c>
      <c r="B25" s="17" t="s">
        <v>63</v>
      </c>
      <c r="C25" s="19" t="s">
        <v>372</v>
      </c>
      <c r="D25" s="17">
        <v>12000000</v>
      </c>
      <c r="E25" s="18">
        <v>12</v>
      </c>
      <c r="F25" s="19">
        <v>300</v>
      </c>
      <c r="G25" s="19">
        <v>30</v>
      </c>
      <c r="H25" s="19">
        <v>4</v>
      </c>
      <c r="J25" s="20">
        <f t="shared" si="0"/>
        <v>5.1250400000000003</v>
      </c>
      <c r="K25" s="21">
        <f t="shared" si="1"/>
        <v>4.2708666666666666</v>
      </c>
      <c r="L25" s="44">
        <v>46064000</v>
      </c>
      <c r="M25" s="22">
        <v>51250400</v>
      </c>
      <c r="N25" s="45">
        <v>73.6336412</v>
      </c>
      <c r="O25" s="45">
        <v>75.364680199999995</v>
      </c>
      <c r="P25" s="45">
        <v>31.161634100000001</v>
      </c>
      <c r="Q25" s="45">
        <v>39.837982500000003</v>
      </c>
      <c r="R25" s="45">
        <v>37.289929200000003</v>
      </c>
      <c r="S25" s="45">
        <v>45.596465799999997</v>
      </c>
      <c r="T25" s="45">
        <v>28.604604500000001</v>
      </c>
      <c r="U25" s="23">
        <v>40019.213000000003</v>
      </c>
      <c r="V25" s="23">
        <v>411.51612899999998</v>
      </c>
      <c r="X25" s="20" t="str">
        <f t="shared" si="2"/>
        <v>·</v>
      </c>
      <c r="Y25" s="21" t="str">
        <f t="shared" si="3"/>
        <v>·</v>
      </c>
      <c r="Z25" s="44"/>
      <c r="AA25" s="22"/>
      <c r="AB25" s="45"/>
      <c r="AC25" s="45"/>
      <c r="AD25" s="45"/>
      <c r="AE25" s="45"/>
      <c r="AF25" s="45"/>
      <c r="AG25" s="45"/>
      <c r="AH25" s="45"/>
      <c r="AI25" s="23"/>
      <c r="AJ25" s="23"/>
      <c r="AL25" s="24" t="str">
        <f t="array" ref="AL25">IF( OR(AND(ISBLANK(M25:M29)),AND(ISBLANK(AA25:AA29)), AND(ISBLANK(N25:N29)),AND(ISBLANK(AB25:AB29))), "·", bdRateExtend( M25:M29,N25:N29, AA25:AA29,AB25:AB29))</f>
        <v>·</v>
      </c>
      <c r="AM25" s="24" t="str">
        <f t="array" ref="AM25">IF( OR(AND(ISBLANK(M25:M29)),AND(ISBLANK(AA25:AA29)), AND(ISBLANK(O25:O29)),AND(ISBLANK(AC25:AC29))), "·", bdRateExtend( M25:M29,O25:O29, AA25:AA29,AC25:AC29))</f>
        <v>·</v>
      </c>
      <c r="AN25" s="24" t="str">
        <f t="array" ref="AN25">IF( OR(AND(ISBLANK(M25:M29)),AND(ISBLANK(AA25:AA29)), AND(ISBLANK(P25:P29)),AND(ISBLANK(AD25:AD29))), "·", bdRateExtend( M25:M29,P25:P29, AA25:AA29,AD25:AD29))</f>
        <v>·</v>
      </c>
      <c r="AO25" s="24" t="str">
        <f t="array" ref="AO25">IF( OR(AND(ISBLANK(M25:M29)),AND(ISBLANK(AA25:AA29)), AND(ISBLANK(Q25:Q29)),AND(ISBLANK(AE25:AE29))), "·", bdRateExtend( M25:M29,Q25:Q29, AA25:AA29,AE25:AE29))</f>
        <v>·</v>
      </c>
      <c r="AP25" s="24" t="str">
        <f t="array" ref="AP25">IF( OR(AND(ISBLANK(M25:M29)),AND(ISBLANK(AA25:AA29)), AND(ISBLANK(R25:R29)),AND(ISBLANK(AF25:AF29))), "·", bdRateExtend( M25:M29,R25:R29, AA25:AA29,AF25:AF29))</f>
        <v>·</v>
      </c>
      <c r="AQ25" s="24" t="str">
        <f t="array" ref="AQ25">IF( OR(AND(ISBLANK(M25:M29)),AND(ISBLANK(AA25:AA29)), AND(ISBLANK(S25:S29)),AND(ISBLANK(AG25:AG29))), "·", bdRateExtend( M25:M29,S25:S29, AA25:AA29,AG25:AG29))</f>
        <v>·</v>
      </c>
      <c r="AR25" s="24" t="str">
        <f t="array" ref="AR25">IF( OR(AND(ISBLANK(M25:M29)),AND(ISBLANK(AA25:AA29)), AND(ISBLANK(T25:T29)),AND(ISBLANK(AH25:AH29))), "·", bdRateExtend( M25:M29,T25:T29, AA25:AA29,AH25:AH29))</f>
        <v>·</v>
      </c>
    </row>
    <row r="26" spans="1:44" outlineLevel="1" x14ac:dyDescent="0.25">
      <c r="A26" s="33"/>
      <c r="B26" s="33" t="s">
        <v>63</v>
      </c>
      <c r="C26" s="35" t="s">
        <v>373</v>
      </c>
      <c r="D26" s="33">
        <v>12000000</v>
      </c>
      <c r="E26" s="34">
        <v>12</v>
      </c>
      <c r="F26" s="35">
        <v>300</v>
      </c>
      <c r="G26" s="35">
        <v>30</v>
      </c>
      <c r="H26" s="35">
        <v>8</v>
      </c>
      <c r="J26" s="36">
        <f t="shared" si="0"/>
        <v>7.2304072000000001</v>
      </c>
      <c r="K26" s="37">
        <f t="shared" si="1"/>
        <v>6.0253393333333332</v>
      </c>
      <c r="L26" s="46">
        <v>46064000</v>
      </c>
      <c r="M26" s="38">
        <v>72304072</v>
      </c>
      <c r="N26" s="47">
        <v>74.839774300000002</v>
      </c>
      <c r="O26" s="47">
        <v>76.748244200000002</v>
      </c>
      <c r="P26" s="47">
        <v>32.563449200000001</v>
      </c>
      <c r="Q26" s="47">
        <v>41.6660155</v>
      </c>
      <c r="R26" s="47">
        <v>39.327136799999998</v>
      </c>
      <c r="S26" s="47">
        <v>46.076537299999998</v>
      </c>
      <c r="T26" s="47">
        <v>29.699417700000001</v>
      </c>
      <c r="U26" s="39">
        <v>39514.613899999997</v>
      </c>
      <c r="V26" s="39">
        <v>422.01373899999999</v>
      </c>
      <c r="X26" s="36" t="str">
        <f t="shared" si="2"/>
        <v>·</v>
      </c>
      <c r="Y26" s="37" t="str">
        <f t="shared" si="3"/>
        <v>·</v>
      </c>
      <c r="Z26" s="46"/>
      <c r="AA26" s="38"/>
      <c r="AB26" s="47"/>
      <c r="AC26" s="47"/>
      <c r="AD26" s="47"/>
      <c r="AE26" s="47"/>
      <c r="AF26" s="47"/>
      <c r="AG26" s="47"/>
      <c r="AH26" s="47"/>
      <c r="AI26" s="39"/>
      <c r="AJ26" s="39"/>
      <c r="AL26" s="40"/>
      <c r="AM26" s="40"/>
      <c r="AN26" s="40"/>
      <c r="AO26" s="40"/>
      <c r="AP26" s="40"/>
      <c r="AQ26" s="40"/>
      <c r="AR26" s="40"/>
    </row>
    <row r="27" spans="1:44" outlineLevel="1" x14ac:dyDescent="0.25">
      <c r="A27" s="17"/>
      <c r="B27" s="17" t="s">
        <v>63</v>
      </c>
      <c r="C27" s="19" t="s">
        <v>374</v>
      </c>
      <c r="D27" s="17">
        <v>12000000</v>
      </c>
      <c r="E27" s="18">
        <v>12</v>
      </c>
      <c r="F27" s="19">
        <v>300</v>
      </c>
      <c r="G27" s="19">
        <v>30</v>
      </c>
      <c r="H27" s="19">
        <v>12</v>
      </c>
      <c r="J27" s="20">
        <f t="shared" si="0"/>
        <v>11.0586608</v>
      </c>
      <c r="K27" s="21">
        <f t="shared" si="1"/>
        <v>9.2155506666666671</v>
      </c>
      <c r="L27" s="44">
        <v>23036592</v>
      </c>
      <c r="M27" s="22">
        <v>110586608</v>
      </c>
      <c r="N27" s="45">
        <v>77.721451799999997</v>
      </c>
      <c r="O27" s="45">
        <v>80.197034900000006</v>
      </c>
      <c r="P27" s="45">
        <v>33.963715200000003</v>
      </c>
      <c r="Q27" s="45">
        <v>42.8632043</v>
      </c>
      <c r="R27" s="45">
        <v>40.8005937</v>
      </c>
      <c r="S27" s="45">
        <v>47.424721300000002</v>
      </c>
      <c r="T27" s="45">
        <v>31.4357723</v>
      </c>
      <c r="U27" s="23">
        <v>40763.481200000002</v>
      </c>
      <c r="V27" s="23">
        <v>427.45059700000002</v>
      </c>
      <c r="X27" s="20" t="str">
        <f t="shared" si="2"/>
        <v>·</v>
      </c>
      <c r="Y27" s="21" t="str">
        <f t="shared" si="3"/>
        <v>·</v>
      </c>
      <c r="Z27" s="44"/>
      <c r="AA27" s="22"/>
      <c r="AB27" s="45"/>
      <c r="AC27" s="45"/>
      <c r="AD27" s="45"/>
      <c r="AE27" s="45"/>
      <c r="AF27" s="45"/>
      <c r="AG27" s="45"/>
      <c r="AH27" s="45"/>
      <c r="AI27" s="23"/>
      <c r="AJ27" s="23"/>
      <c r="AL27" s="24"/>
      <c r="AM27" s="24"/>
      <c r="AN27" s="24"/>
      <c r="AO27" s="24"/>
      <c r="AP27" s="24"/>
      <c r="AQ27" s="24"/>
      <c r="AR27" s="24"/>
    </row>
    <row r="28" spans="1:44" outlineLevel="1" x14ac:dyDescent="0.25">
      <c r="A28" s="33"/>
      <c r="B28" s="33" t="s">
        <v>63</v>
      </c>
      <c r="C28" s="35" t="s">
        <v>375</v>
      </c>
      <c r="D28" s="33">
        <v>12000000</v>
      </c>
      <c r="E28" s="34">
        <v>12</v>
      </c>
      <c r="F28" s="35">
        <v>300</v>
      </c>
      <c r="G28" s="35">
        <v>30</v>
      </c>
      <c r="H28" s="35">
        <v>17</v>
      </c>
      <c r="J28" s="36">
        <f t="shared" si="0"/>
        <v>12.671836800000001</v>
      </c>
      <c r="K28" s="37">
        <f t="shared" si="1"/>
        <v>10.559863999999999</v>
      </c>
      <c r="L28" s="46">
        <v>46077536</v>
      </c>
      <c r="M28" s="38">
        <v>126718368</v>
      </c>
      <c r="N28" s="47">
        <v>79.735877299999999</v>
      </c>
      <c r="O28" s="47">
        <v>82.787117300000006</v>
      </c>
      <c r="P28" s="47">
        <v>34.232079800000001</v>
      </c>
      <c r="Q28" s="47">
        <v>42.904490000000003</v>
      </c>
      <c r="R28" s="47">
        <v>40.8960978</v>
      </c>
      <c r="S28" s="47">
        <v>48.9138752</v>
      </c>
      <c r="T28" s="47">
        <v>32.368628800000003</v>
      </c>
      <c r="U28" s="39">
        <v>44315.823900000003</v>
      </c>
      <c r="V28" s="39">
        <v>430.39397500000001</v>
      </c>
      <c r="X28" s="36" t="str">
        <f t="shared" si="2"/>
        <v>·</v>
      </c>
      <c r="Y28" s="37" t="str">
        <f t="shared" si="3"/>
        <v>·</v>
      </c>
      <c r="Z28" s="46"/>
      <c r="AA28" s="38"/>
      <c r="AB28" s="47"/>
      <c r="AC28" s="47"/>
      <c r="AD28" s="47"/>
      <c r="AE28" s="47"/>
      <c r="AF28" s="47"/>
      <c r="AG28" s="47"/>
      <c r="AH28" s="47"/>
      <c r="AI28" s="39"/>
      <c r="AJ28" s="39"/>
      <c r="AL28" s="40"/>
      <c r="AM28" s="40"/>
      <c r="AN28" s="40"/>
      <c r="AO28" s="40"/>
      <c r="AP28" s="40"/>
      <c r="AQ28" s="40"/>
      <c r="AR28" s="40"/>
    </row>
    <row r="29" spans="1:44" ht="15.75" customHeight="1" outlineLevel="1" thickBot="1" x14ac:dyDescent="0.3">
      <c r="A29" s="17"/>
      <c r="B29" s="48" t="s">
        <v>63</v>
      </c>
      <c r="C29" s="49" t="s">
        <v>376</v>
      </c>
      <c r="D29" s="48">
        <v>12000000</v>
      </c>
      <c r="E29" s="50">
        <v>12</v>
      </c>
      <c r="F29" s="49">
        <v>300</v>
      </c>
      <c r="G29" s="49">
        <v>30</v>
      </c>
      <c r="H29" s="49">
        <v>25</v>
      </c>
      <c r="J29" s="51">
        <f t="shared" si="0"/>
        <v>22.8882032</v>
      </c>
      <c r="K29" s="52">
        <f t="shared" si="1"/>
        <v>19.073502666666666</v>
      </c>
      <c r="L29" s="53">
        <v>8639869</v>
      </c>
      <c r="M29" s="54">
        <v>228882032</v>
      </c>
      <c r="N29" s="55">
        <v>86.098535100000007</v>
      </c>
      <c r="O29" s="55">
        <v>91.418547599999997</v>
      </c>
      <c r="P29" s="55">
        <v>35.645651899999997</v>
      </c>
      <c r="Q29" s="55">
        <v>43.611367899999998</v>
      </c>
      <c r="R29" s="55">
        <v>41.866160200000003</v>
      </c>
      <c r="S29" s="55">
        <v>55.569094100000001</v>
      </c>
      <c r="T29" s="55">
        <v>35.128260699999998</v>
      </c>
      <c r="U29" s="56">
        <v>56172.279600000002</v>
      </c>
      <c r="V29" s="56">
        <v>428.86538400000001</v>
      </c>
      <c r="X29" s="51" t="str">
        <f t="shared" si="2"/>
        <v>·</v>
      </c>
      <c r="Y29" s="52" t="str">
        <f t="shared" si="3"/>
        <v>·</v>
      </c>
      <c r="Z29" s="53"/>
      <c r="AA29" s="54"/>
      <c r="AB29" s="55"/>
      <c r="AC29" s="55"/>
      <c r="AD29" s="55"/>
      <c r="AE29" s="55"/>
      <c r="AF29" s="55"/>
      <c r="AG29" s="55"/>
      <c r="AH29" s="55"/>
      <c r="AI29" s="56"/>
      <c r="AJ29" s="56"/>
      <c r="AL29" s="57"/>
      <c r="AM29" s="57"/>
      <c r="AN29" s="57"/>
      <c r="AO29" s="57"/>
      <c r="AP29" s="57"/>
      <c r="AQ29" s="57"/>
      <c r="AR29" s="57"/>
    </row>
    <row r="30" spans="1:44" x14ac:dyDescent="0.25">
      <c r="A30" s="33"/>
      <c r="B30" s="33" t="s">
        <v>68</v>
      </c>
      <c r="C30" s="35" t="s">
        <v>372</v>
      </c>
      <c r="D30" s="33">
        <v>5997654</v>
      </c>
      <c r="E30" s="34">
        <v>12</v>
      </c>
      <c r="F30" s="35">
        <v>150</v>
      </c>
      <c r="G30" s="35">
        <v>30</v>
      </c>
      <c r="H30" s="35">
        <v>4</v>
      </c>
      <c r="J30" s="36">
        <f t="shared" si="0"/>
        <v>3.3596127999999998</v>
      </c>
      <c r="K30" s="37">
        <f t="shared" si="1"/>
        <v>2.8007724353555572</v>
      </c>
      <c r="L30" s="46">
        <v>11262400</v>
      </c>
      <c r="M30" s="38">
        <v>16798064</v>
      </c>
      <c r="N30" s="47">
        <v>70.187529900000001</v>
      </c>
      <c r="O30" s="47">
        <v>71.517990400000002</v>
      </c>
      <c r="P30" s="47">
        <v>36.863672399999999</v>
      </c>
      <c r="Q30" s="47">
        <v>43.712430099999999</v>
      </c>
      <c r="R30" s="47">
        <v>42.199322700000003</v>
      </c>
      <c r="S30" s="47">
        <v>46.425276099999998</v>
      </c>
      <c r="T30" s="47">
        <v>32.876400799999999</v>
      </c>
      <c r="U30" s="39">
        <v>12507.3248</v>
      </c>
      <c r="V30" s="39">
        <v>55.447232900000003</v>
      </c>
      <c r="X30" s="36" t="str">
        <f t="shared" si="2"/>
        <v>·</v>
      </c>
      <c r="Y30" s="37" t="str">
        <f t="shared" si="3"/>
        <v>·</v>
      </c>
      <c r="Z30" s="46"/>
      <c r="AA30" s="38"/>
      <c r="AB30" s="47"/>
      <c r="AC30" s="47"/>
      <c r="AD30" s="47"/>
      <c r="AE30" s="47"/>
      <c r="AF30" s="47"/>
      <c r="AG30" s="47"/>
      <c r="AH30" s="47"/>
      <c r="AI30" s="39"/>
      <c r="AJ30" s="39"/>
      <c r="AL30" s="40" t="str">
        <f t="array" ref="AL30">IF( OR(AND(ISBLANK(M30:M34)),AND(ISBLANK(AA30:AA34)), AND(ISBLANK(N30:N34)),AND(ISBLANK(AB30:AB34))), "·", bdRateExtend( M30:M34,N30:N34, AA30:AA34,AB30:AB34))</f>
        <v>·</v>
      </c>
      <c r="AM30" s="40" t="str">
        <f t="array" ref="AM30">IF( OR(AND(ISBLANK(M30:M34)),AND(ISBLANK(AA30:AA34)), AND(ISBLANK(O30:O34)),AND(ISBLANK(AC30:AC34))), "·", bdRateExtend( M30:M34,O30:O34, AA30:AA34,AC30:AC34))</f>
        <v>·</v>
      </c>
      <c r="AN30" s="40" t="str">
        <f t="array" ref="AN30">IF( OR(AND(ISBLANK(M30:M34)),AND(ISBLANK(AA30:AA34)), AND(ISBLANK(P30:P34)),AND(ISBLANK(AD30:AD34))), "·", bdRateExtend( M30:M34,P30:P34, AA30:AA34,AD30:AD34))</f>
        <v>·</v>
      </c>
      <c r="AO30" s="40" t="str">
        <f t="array" ref="AO30">IF( OR(AND(ISBLANK(M30:M34)),AND(ISBLANK(AA30:AA34)), AND(ISBLANK(Q30:Q34)),AND(ISBLANK(AE30:AE34))), "·", bdRateExtend( M30:M34,Q30:Q34, AA30:AA34,AE30:AE34))</f>
        <v>·</v>
      </c>
      <c r="AP30" s="40" t="str">
        <f t="array" ref="AP30">IF( OR(AND(ISBLANK(M30:M34)),AND(ISBLANK(AA30:AA34)), AND(ISBLANK(R30:R34)),AND(ISBLANK(AF30:AF34))), "·", bdRateExtend( M30:M34,R30:R34, AA30:AA34,AF30:AF34))</f>
        <v>·</v>
      </c>
      <c r="AQ30" s="40" t="str">
        <f t="array" ref="AQ30">IF( OR(AND(ISBLANK(M30:M34)),AND(ISBLANK(AA30:AA34)), AND(ISBLANK(S30:S34)),AND(ISBLANK(AG30:AG34))), "·", bdRateExtend( M30:M34,S30:S34, AA30:AA34,AG30:AG34))</f>
        <v>·</v>
      </c>
      <c r="AR30" s="40" t="str">
        <f t="array" ref="AR30">IF( OR(AND(ISBLANK(M30:M34)),AND(ISBLANK(AA30:AA34)), AND(ISBLANK(T30:T34)),AND(ISBLANK(AH30:AH34))), "·", bdRateExtend( M30:M34,T30:T34, AA30:AA34,AH30:AH34))</f>
        <v>·</v>
      </c>
    </row>
    <row r="31" spans="1:44" outlineLevel="1" x14ac:dyDescent="0.25">
      <c r="A31" s="17"/>
      <c r="B31" s="17" t="s">
        <v>68</v>
      </c>
      <c r="C31" s="19" t="s">
        <v>373</v>
      </c>
      <c r="D31" s="17">
        <v>5997654</v>
      </c>
      <c r="E31" s="18">
        <v>12</v>
      </c>
      <c r="F31" s="19">
        <v>150</v>
      </c>
      <c r="G31" s="19">
        <v>30</v>
      </c>
      <c r="H31" s="19">
        <v>8</v>
      </c>
      <c r="J31" s="20">
        <f t="shared" si="0"/>
        <v>7.0271359999999996</v>
      </c>
      <c r="K31" s="21">
        <f t="shared" si="1"/>
        <v>5.8582372374265006</v>
      </c>
      <c r="L31" s="44">
        <v>11450208</v>
      </c>
      <c r="M31" s="22">
        <v>35135680</v>
      </c>
      <c r="N31" s="45">
        <v>75.627571099999997</v>
      </c>
      <c r="O31" s="45">
        <v>77.631653099999994</v>
      </c>
      <c r="P31" s="45">
        <v>39.114329599999998</v>
      </c>
      <c r="Q31" s="45">
        <v>45.403961799999998</v>
      </c>
      <c r="R31" s="45">
        <v>44.2641122</v>
      </c>
      <c r="S31" s="45">
        <v>49.591940999999998</v>
      </c>
      <c r="T31" s="45">
        <v>35.9288472</v>
      </c>
      <c r="U31" s="23">
        <v>41145.170400000003</v>
      </c>
      <c r="V31" s="23">
        <v>201.34930900000001</v>
      </c>
      <c r="X31" s="20" t="str">
        <f t="shared" si="2"/>
        <v>·</v>
      </c>
      <c r="Y31" s="21" t="str">
        <f t="shared" si="3"/>
        <v>·</v>
      </c>
      <c r="Z31" s="44"/>
      <c r="AA31" s="22"/>
      <c r="AB31" s="45"/>
      <c r="AC31" s="45"/>
      <c r="AD31" s="45"/>
      <c r="AE31" s="45"/>
      <c r="AF31" s="45"/>
      <c r="AG31" s="45"/>
      <c r="AH31" s="45"/>
      <c r="AI31" s="23"/>
      <c r="AJ31" s="23"/>
      <c r="AL31" s="24"/>
      <c r="AM31" s="24"/>
      <c r="AN31" s="24"/>
      <c r="AO31" s="24"/>
      <c r="AP31" s="24"/>
      <c r="AQ31" s="24"/>
      <c r="AR31" s="24"/>
    </row>
    <row r="32" spans="1:44" outlineLevel="1" x14ac:dyDescent="0.25">
      <c r="A32" s="33"/>
      <c r="B32" s="33" t="s">
        <v>68</v>
      </c>
      <c r="C32" s="35" t="s">
        <v>374</v>
      </c>
      <c r="D32" s="33">
        <v>5997654</v>
      </c>
      <c r="E32" s="34">
        <v>12</v>
      </c>
      <c r="F32" s="35">
        <v>150</v>
      </c>
      <c r="G32" s="35">
        <v>30</v>
      </c>
      <c r="H32" s="35">
        <v>12</v>
      </c>
      <c r="J32" s="36">
        <f t="shared" si="0"/>
        <v>10.507486400000001</v>
      </c>
      <c r="K32" s="37">
        <f t="shared" si="1"/>
        <v>8.7596636951714792</v>
      </c>
      <c r="L32" s="46">
        <v>11450208</v>
      </c>
      <c r="M32" s="38">
        <v>52537432</v>
      </c>
      <c r="N32" s="47">
        <v>76.355013900000003</v>
      </c>
      <c r="O32" s="47">
        <v>78.491844200000003</v>
      </c>
      <c r="P32" s="47">
        <v>40.731980900000003</v>
      </c>
      <c r="Q32" s="47">
        <v>46.135385800000002</v>
      </c>
      <c r="R32" s="47">
        <v>45.109821199999999</v>
      </c>
      <c r="S32" s="47">
        <v>49.996583999999999</v>
      </c>
      <c r="T32" s="47">
        <v>36.858319199999997</v>
      </c>
      <c r="U32" s="39">
        <v>42266.481</v>
      </c>
      <c r="V32" s="39">
        <v>203.62353400000001</v>
      </c>
      <c r="X32" s="36" t="str">
        <f t="shared" si="2"/>
        <v>·</v>
      </c>
      <c r="Y32" s="37" t="str">
        <f t="shared" si="3"/>
        <v>·</v>
      </c>
      <c r="Z32" s="46"/>
      <c r="AA32" s="38"/>
      <c r="AB32" s="47"/>
      <c r="AC32" s="47"/>
      <c r="AD32" s="47"/>
      <c r="AE32" s="47"/>
      <c r="AF32" s="47"/>
      <c r="AG32" s="47"/>
      <c r="AH32" s="47"/>
      <c r="AI32" s="39"/>
      <c r="AJ32" s="39"/>
      <c r="AL32" s="40"/>
      <c r="AM32" s="40"/>
      <c r="AN32" s="40"/>
      <c r="AO32" s="40"/>
      <c r="AP32" s="40"/>
      <c r="AQ32" s="40"/>
      <c r="AR32" s="40"/>
    </row>
    <row r="33" spans="1:44" outlineLevel="1" x14ac:dyDescent="0.25">
      <c r="A33" s="17"/>
      <c r="B33" s="17" t="s">
        <v>68</v>
      </c>
      <c r="C33" s="19" t="s">
        <v>375</v>
      </c>
      <c r="D33" s="17">
        <v>5997654</v>
      </c>
      <c r="E33" s="18">
        <v>12</v>
      </c>
      <c r="F33" s="19">
        <v>150</v>
      </c>
      <c r="G33" s="19">
        <v>30</v>
      </c>
      <c r="H33" s="19">
        <v>17</v>
      </c>
      <c r="J33" s="20">
        <f t="shared" si="0"/>
        <v>15.2091376</v>
      </c>
      <c r="K33" s="21">
        <f t="shared" si="1"/>
        <v>12.679238915749391</v>
      </c>
      <c r="L33" s="44">
        <v>22964800</v>
      </c>
      <c r="M33" s="22">
        <v>76045688</v>
      </c>
      <c r="N33" s="45">
        <v>80.399624200000005</v>
      </c>
      <c r="O33" s="45">
        <v>83.803267700000006</v>
      </c>
      <c r="P33" s="45">
        <v>41.859419199999998</v>
      </c>
      <c r="Q33" s="45">
        <v>46.960924599999998</v>
      </c>
      <c r="R33" s="45">
        <v>46.040890400000002</v>
      </c>
      <c r="S33" s="45">
        <v>52.545529199999997</v>
      </c>
      <c r="T33" s="45">
        <v>39.245799300000002</v>
      </c>
      <c r="U33" s="23">
        <v>46191.135699999999</v>
      </c>
      <c r="V33" s="23">
        <v>213.916732</v>
      </c>
      <c r="X33" s="20" t="str">
        <f t="shared" si="2"/>
        <v>·</v>
      </c>
      <c r="Y33" s="21" t="str">
        <f t="shared" si="3"/>
        <v>·</v>
      </c>
      <c r="Z33" s="44"/>
      <c r="AA33" s="22"/>
      <c r="AB33" s="45"/>
      <c r="AC33" s="45"/>
      <c r="AD33" s="45"/>
      <c r="AE33" s="45"/>
      <c r="AF33" s="45"/>
      <c r="AG33" s="45"/>
      <c r="AH33" s="45"/>
      <c r="AI33" s="23"/>
      <c r="AJ33" s="23"/>
      <c r="AL33" s="24"/>
      <c r="AM33" s="24"/>
      <c r="AN33" s="24"/>
      <c r="AO33" s="24"/>
      <c r="AP33" s="24"/>
      <c r="AQ33" s="24"/>
      <c r="AR33" s="24"/>
    </row>
    <row r="34" spans="1:44" ht="15.75" customHeight="1" outlineLevel="1" thickBot="1" x14ac:dyDescent="0.3">
      <c r="A34" s="33"/>
      <c r="B34" s="25" t="s">
        <v>68</v>
      </c>
      <c r="C34" s="27" t="s">
        <v>376</v>
      </c>
      <c r="D34" s="25">
        <v>5997654</v>
      </c>
      <c r="E34" s="26">
        <v>12</v>
      </c>
      <c r="F34" s="27">
        <v>150</v>
      </c>
      <c r="G34" s="27">
        <v>30</v>
      </c>
      <c r="H34" s="27">
        <v>25</v>
      </c>
      <c r="J34" s="28">
        <f t="shared" si="0"/>
        <v>22.5598192</v>
      </c>
      <c r="K34" s="29">
        <f t="shared" si="1"/>
        <v>18.807202949686662</v>
      </c>
      <c r="L34" s="58">
        <v>2874802</v>
      </c>
      <c r="M34" s="30">
        <v>112799096</v>
      </c>
      <c r="N34" s="59">
        <v>82.845135900000002</v>
      </c>
      <c r="O34" s="59">
        <v>86.654004799999996</v>
      </c>
      <c r="P34" s="59">
        <v>43.046399899999997</v>
      </c>
      <c r="Q34" s="59">
        <v>47.7346936</v>
      </c>
      <c r="R34" s="59">
        <v>46.934691200000003</v>
      </c>
      <c r="S34" s="59">
        <v>54.598391399999997</v>
      </c>
      <c r="T34" s="59">
        <v>40.852017600000003</v>
      </c>
      <c r="U34" s="31">
        <v>24398.389299999999</v>
      </c>
      <c r="V34" s="31">
        <v>222.541618</v>
      </c>
      <c r="X34" s="28" t="str">
        <f t="shared" si="2"/>
        <v>·</v>
      </c>
      <c r="Y34" s="29" t="str">
        <f t="shared" si="3"/>
        <v>·</v>
      </c>
      <c r="Z34" s="58"/>
      <c r="AA34" s="30"/>
      <c r="AB34" s="59"/>
      <c r="AC34" s="59"/>
      <c r="AD34" s="59"/>
      <c r="AE34" s="59"/>
      <c r="AF34" s="59"/>
      <c r="AG34" s="59"/>
      <c r="AH34" s="59"/>
      <c r="AI34" s="31"/>
      <c r="AJ34" s="31"/>
      <c r="AL34" s="32"/>
      <c r="AM34" s="32"/>
      <c r="AN34" s="32"/>
      <c r="AO34" s="32"/>
      <c r="AP34" s="32"/>
      <c r="AQ34" s="32"/>
      <c r="AR34" s="32"/>
    </row>
    <row r="35" spans="1:44" x14ac:dyDescent="0.25">
      <c r="A35" s="17"/>
      <c r="B35" s="17" t="s">
        <v>32</v>
      </c>
      <c r="C35" s="19" t="s">
        <v>372</v>
      </c>
      <c r="D35" s="17">
        <v>9000000</v>
      </c>
      <c r="E35" s="18">
        <v>12</v>
      </c>
      <c r="F35" s="19">
        <v>300</v>
      </c>
      <c r="G35" s="19">
        <v>30</v>
      </c>
      <c r="H35" s="19">
        <v>3</v>
      </c>
      <c r="J35" s="20">
        <f t="shared" si="0"/>
        <v>2.5973055999999999</v>
      </c>
      <c r="K35" s="21">
        <f t="shared" si="1"/>
        <v>2.8858951111111111</v>
      </c>
      <c r="L35" s="44">
        <v>34433728</v>
      </c>
      <c r="M35" s="22">
        <v>25973056</v>
      </c>
      <c r="N35" s="45">
        <v>71.987158600000001</v>
      </c>
      <c r="O35" s="45">
        <v>73.543742899999998</v>
      </c>
      <c r="P35" s="45">
        <v>29.9105624</v>
      </c>
      <c r="Q35" s="45">
        <v>39.023304799999998</v>
      </c>
      <c r="R35" s="45">
        <v>38.881051599999999</v>
      </c>
      <c r="S35" s="45">
        <v>47.730697800000002</v>
      </c>
      <c r="T35" s="45">
        <v>28.9836961</v>
      </c>
      <c r="U35" s="23">
        <v>20159.108199999999</v>
      </c>
      <c r="V35" s="23">
        <v>99.005831200000003</v>
      </c>
      <c r="X35" s="20" t="str">
        <f t="shared" si="2"/>
        <v>·</v>
      </c>
      <c r="Y35" s="21" t="str">
        <f t="shared" si="3"/>
        <v>·</v>
      </c>
      <c r="Z35" s="44"/>
      <c r="AA35" s="22"/>
      <c r="AB35" s="45"/>
      <c r="AC35" s="45"/>
      <c r="AD35" s="45"/>
      <c r="AE35" s="45"/>
      <c r="AF35" s="45"/>
      <c r="AG35" s="45"/>
      <c r="AH35" s="45"/>
      <c r="AI35" s="23"/>
      <c r="AJ35" s="23"/>
      <c r="AL35" s="24" t="str">
        <f t="array" ref="AL35">IF( OR(AND(ISBLANK(M35:M39)),AND(ISBLANK(AA35:AA39)), AND(ISBLANK(N35:N39)),AND(ISBLANK(AB35:AB39))), "·", bdRateExtend( M35:M39,N35:N39, AA35:AA39,AB35:AB39))</f>
        <v>·</v>
      </c>
      <c r="AM35" s="24" t="str">
        <f t="array" ref="AM35">IF( OR(AND(ISBLANK(M35:M39)),AND(ISBLANK(AA35:AA39)), AND(ISBLANK(O35:O39)),AND(ISBLANK(AC35:AC39))), "·", bdRateExtend( M35:M39,O35:O39, AA35:AA39,AC35:AC39))</f>
        <v>·</v>
      </c>
      <c r="AN35" s="24" t="str">
        <f t="array" ref="AN35">IF( OR(AND(ISBLANK(M35:M39)),AND(ISBLANK(AA35:AA39)), AND(ISBLANK(P35:P39)),AND(ISBLANK(AD35:AD39))), "·", bdRateExtend( M35:M39,P35:P39, AA35:AA39,AD35:AD39))</f>
        <v>·</v>
      </c>
      <c r="AO35" s="24" t="str">
        <f t="array" ref="AO35">IF( OR(AND(ISBLANK(M35:M39)),AND(ISBLANK(AA35:AA39)), AND(ISBLANK(Q35:Q39)),AND(ISBLANK(AE35:AE39))), "·", bdRateExtend( M35:M39,Q35:Q39, AA35:AA39,AE35:AE39))</f>
        <v>·</v>
      </c>
      <c r="AP35" s="24" t="str">
        <f t="array" ref="AP35">IF( OR(AND(ISBLANK(M35:M39)),AND(ISBLANK(AA35:AA39)), AND(ISBLANK(R35:R39)),AND(ISBLANK(AF35:AF39))), "·", bdRateExtend( M35:M39,R35:R39, AA35:AA39,AF35:AF39))</f>
        <v>·</v>
      </c>
      <c r="AQ35" s="24" t="str">
        <f t="array" ref="AQ35">IF( OR(AND(ISBLANK(M35:M39)),AND(ISBLANK(AA35:AA39)), AND(ISBLANK(S35:S39)),AND(ISBLANK(AG35:AG39))), "·", bdRateExtend( M35:M39,S35:S39, AA35:AA39,AG35:AG39))</f>
        <v>·</v>
      </c>
      <c r="AR35" s="24" t="str">
        <f t="array" ref="AR35">IF( OR(AND(ISBLANK(M35:M39)),AND(ISBLANK(AA35:AA39)), AND(ISBLANK(T35:T39)),AND(ISBLANK(AH35:AH39))), "·", bdRateExtend( M35:M39,T35:T39, AA35:AA39,AH35:AH39))</f>
        <v>·</v>
      </c>
    </row>
    <row r="36" spans="1:44" outlineLevel="1" x14ac:dyDescent="0.25">
      <c r="A36" s="33"/>
      <c r="B36" s="33" t="s">
        <v>32</v>
      </c>
      <c r="C36" s="35" t="s">
        <v>373</v>
      </c>
      <c r="D36" s="33">
        <v>9000000</v>
      </c>
      <c r="E36" s="34">
        <v>12</v>
      </c>
      <c r="F36" s="35">
        <v>300</v>
      </c>
      <c r="G36" s="35">
        <v>30</v>
      </c>
      <c r="H36" s="35">
        <v>4</v>
      </c>
      <c r="J36" s="36">
        <f t="shared" si="0"/>
        <v>3.5435696000000001</v>
      </c>
      <c r="K36" s="37">
        <f t="shared" si="1"/>
        <v>3.9372995555555557</v>
      </c>
      <c r="L36" s="46">
        <v>34433728</v>
      </c>
      <c r="M36" s="38">
        <v>35435696</v>
      </c>
      <c r="N36" s="47">
        <v>72.924038600000003</v>
      </c>
      <c r="O36" s="47">
        <v>74.582487</v>
      </c>
      <c r="P36" s="47">
        <v>30.286233299999999</v>
      </c>
      <c r="Q36" s="47">
        <v>39.089551800000002</v>
      </c>
      <c r="R36" s="47">
        <v>39.001387999999999</v>
      </c>
      <c r="S36" s="47">
        <v>48.232374999999998</v>
      </c>
      <c r="T36" s="47">
        <v>29.335876299999999</v>
      </c>
      <c r="U36" s="39">
        <v>20927.9123</v>
      </c>
      <c r="V36" s="39">
        <v>101.90892100000001</v>
      </c>
      <c r="X36" s="36" t="str">
        <f t="shared" si="2"/>
        <v>·</v>
      </c>
      <c r="Y36" s="37" t="str">
        <f t="shared" si="3"/>
        <v>·</v>
      </c>
      <c r="Z36" s="46"/>
      <c r="AA36" s="38"/>
      <c r="AB36" s="47"/>
      <c r="AC36" s="47"/>
      <c r="AD36" s="47"/>
      <c r="AE36" s="47"/>
      <c r="AF36" s="47"/>
      <c r="AG36" s="47"/>
      <c r="AH36" s="47"/>
      <c r="AI36" s="39"/>
      <c r="AJ36" s="39"/>
      <c r="AL36" s="40"/>
      <c r="AM36" s="40"/>
      <c r="AN36" s="40"/>
      <c r="AO36" s="40"/>
      <c r="AP36" s="40"/>
      <c r="AQ36" s="40"/>
      <c r="AR36" s="40"/>
    </row>
    <row r="37" spans="1:44" outlineLevel="1" x14ac:dyDescent="0.25">
      <c r="A37" s="17"/>
      <c r="B37" s="17" t="s">
        <v>32</v>
      </c>
      <c r="C37" s="19" t="s">
        <v>374</v>
      </c>
      <c r="D37" s="17">
        <v>9000000</v>
      </c>
      <c r="E37" s="18">
        <v>12</v>
      </c>
      <c r="F37" s="19">
        <v>300</v>
      </c>
      <c r="G37" s="19">
        <v>30</v>
      </c>
      <c r="H37" s="19">
        <v>6</v>
      </c>
      <c r="J37" s="20">
        <f t="shared" si="0"/>
        <v>4.9772559999999997</v>
      </c>
      <c r="K37" s="21">
        <f t="shared" si="1"/>
        <v>5.5302844444444448</v>
      </c>
      <c r="L37" s="44">
        <v>34433728</v>
      </c>
      <c r="M37" s="22">
        <v>49772560</v>
      </c>
      <c r="N37" s="45">
        <v>75.250983399999996</v>
      </c>
      <c r="O37" s="45">
        <v>77.206507900000005</v>
      </c>
      <c r="P37" s="45">
        <v>30.960077500000001</v>
      </c>
      <c r="Q37" s="45">
        <v>39.201023599999999</v>
      </c>
      <c r="R37" s="45">
        <v>39.312732599999997</v>
      </c>
      <c r="S37" s="45">
        <v>49.419656099999997</v>
      </c>
      <c r="T37" s="45">
        <v>30.0824268</v>
      </c>
      <c r="U37" s="23">
        <v>63709.097099999999</v>
      </c>
      <c r="V37" s="23">
        <v>376.89285999999998</v>
      </c>
      <c r="X37" s="20" t="str">
        <f t="shared" si="2"/>
        <v>·</v>
      </c>
      <c r="Y37" s="21" t="str">
        <f t="shared" si="3"/>
        <v>·</v>
      </c>
      <c r="Z37" s="44"/>
      <c r="AA37" s="22"/>
      <c r="AB37" s="45"/>
      <c r="AC37" s="45"/>
      <c r="AD37" s="45"/>
      <c r="AE37" s="45"/>
      <c r="AF37" s="45"/>
      <c r="AG37" s="45"/>
      <c r="AH37" s="45"/>
      <c r="AI37" s="23"/>
      <c r="AJ37" s="23"/>
      <c r="AL37" s="24"/>
      <c r="AM37" s="24"/>
      <c r="AN37" s="24"/>
      <c r="AO37" s="24"/>
      <c r="AP37" s="24"/>
      <c r="AQ37" s="24"/>
      <c r="AR37" s="24"/>
    </row>
    <row r="38" spans="1:44" outlineLevel="1" x14ac:dyDescent="0.25">
      <c r="A38" s="33"/>
      <c r="B38" s="33" t="s">
        <v>32</v>
      </c>
      <c r="C38" s="35" t="s">
        <v>375</v>
      </c>
      <c r="D38" s="33">
        <v>9000000</v>
      </c>
      <c r="E38" s="34">
        <v>12</v>
      </c>
      <c r="F38" s="35">
        <v>300</v>
      </c>
      <c r="G38" s="35">
        <v>30</v>
      </c>
      <c r="H38" s="35">
        <v>8</v>
      </c>
      <c r="J38" s="36">
        <f t="shared" si="0"/>
        <v>7.6761623999999999</v>
      </c>
      <c r="K38" s="37">
        <f t="shared" si="1"/>
        <v>8.5290693333333341</v>
      </c>
      <c r="L38" s="46">
        <v>8976578</v>
      </c>
      <c r="M38" s="38">
        <v>76761624</v>
      </c>
      <c r="N38" s="47">
        <v>416.90911399999999</v>
      </c>
      <c r="O38" s="47">
        <v>421.17027200000001</v>
      </c>
      <c r="P38" s="47">
        <v>30.8571825</v>
      </c>
      <c r="Q38" s="47">
        <v>39.117864699999998</v>
      </c>
      <c r="R38" s="47">
        <v>39.162923800000002</v>
      </c>
      <c r="S38" s="47">
        <v>407.86007699999999</v>
      </c>
      <c r="T38" s="47">
        <v>30.828787200000001</v>
      </c>
      <c r="U38" s="39">
        <v>54925.491199999997</v>
      </c>
      <c r="V38" s="39">
        <v>377.15375499999999</v>
      </c>
      <c r="X38" s="36" t="str">
        <f t="shared" si="2"/>
        <v>·</v>
      </c>
      <c r="Y38" s="37" t="str">
        <f t="shared" si="3"/>
        <v>·</v>
      </c>
      <c r="Z38" s="46"/>
      <c r="AA38" s="38"/>
      <c r="AB38" s="47"/>
      <c r="AC38" s="47"/>
      <c r="AD38" s="47"/>
      <c r="AE38" s="47"/>
      <c r="AF38" s="47"/>
      <c r="AG38" s="47"/>
      <c r="AH38" s="47"/>
      <c r="AI38" s="39"/>
      <c r="AJ38" s="39"/>
      <c r="AL38" s="40"/>
      <c r="AM38" s="40"/>
      <c r="AN38" s="40"/>
      <c r="AO38" s="40"/>
      <c r="AP38" s="40"/>
      <c r="AQ38" s="40"/>
      <c r="AR38" s="40"/>
    </row>
    <row r="39" spans="1:44" ht="15.75" customHeight="1" outlineLevel="1" thickBot="1" x14ac:dyDescent="0.3">
      <c r="A39" s="17"/>
      <c r="B39" s="48" t="s">
        <v>32</v>
      </c>
      <c r="C39" s="49" t="s">
        <v>376</v>
      </c>
      <c r="D39" s="48">
        <v>9000000</v>
      </c>
      <c r="E39" s="50">
        <v>12</v>
      </c>
      <c r="F39" s="49">
        <v>300</v>
      </c>
      <c r="G39" s="49">
        <v>30</v>
      </c>
      <c r="H39" s="49">
        <v>12</v>
      </c>
      <c r="J39" s="51">
        <f t="shared" si="0"/>
        <v>10.593944800000001</v>
      </c>
      <c r="K39" s="52">
        <f t="shared" si="1"/>
        <v>11.771049777777778</v>
      </c>
      <c r="L39" s="53">
        <v>8976578</v>
      </c>
      <c r="M39" s="54">
        <v>105939448</v>
      </c>
      <c r="N39" s="55">
        <v>416.90911399999999</v>
      </c>
      <c r="O39" s="55">
        <v>421.17027200000001</v>
      </c>
      <c r="P39" s="55">
        <v>32.052665099999999</v>
      </c>
      <c r="Q39" s="55">
        <v>39.268830199999996</v>
      </c>
      <c r="R39" s="55">
        <v>39.444606499999999</v>
      </c>
      <c r="S39" s="55">
        <v>407.86007699999999</v>
      </c>
      <c r="T39" s="55">
        <v>32.018640599999998</v>
      </c>
      <c r="U39" s="56">
        <v>55586.114399999999</v>
      </c>
      <c r="V39" s="56">
        <v>380.19725099999999</v>
      </c>
      <c r="X39" s="51" t="str">
        <f t="shared" si="2"/>
        <v>·</v>
      </c>
      <c r="Y39" s="52" t="str">
        <f t="shared" si="3"/>
        <v>·</v>
      </c>
      <c r="Z39" s="53"/>
      <c r="AA39" s="54"/>
      <c r="AB39" s="55"/>
      <c r="AC39" s="55"/>
      <c r="AD39" s="55"/>
      <c r="AE39" s="55"/>
      <c r="AF39" s="55"/>
      <c r="AG39" s="55"/>
      <c r="AH39" s="55"/>
      <c r="AI39" s="56"/>
      <c r="AJ39" s="56"/>
      <c r="AL39" s="57"/>
      <c r="AM39" s="57"/>
      <c r="AN39" s="57"/>
      <c r="AO39" s="57"/>
      <c r="AP39" s="57"/>
      <c r="AQ39" s="57"/>
      <c r="AR39" s="57"/>
    </row>
    <row r="40" spans="1:44" x14ac:dyDescent="0.25">
      <c r="A40" s="33"/>
      <c r="B40" s="33" t="s">
        <v>77</v>
      </c>
      <c r="C40" s="35" t="s">
        <v>372</v>
      </c>
      <c r="D40" s="33">
        <v>9000000</v>
      </c>
      <c r="E40" s="34">
        <v>12</v>
      </c>
      <c r="F40" s="35">
        <v>300</v>
      </c>
      <c r="G40" s="35">
        <v>30</v>
      </c>
      <c r="H40" s="35">
        <v>3</v>
      </c>
      <c r="J40" s="36">
        <f t="shared" si="0"/>
        <v>2.6472096000000001</v>
      </c>
      <c r="K40" s="37">
        <f t="shared" si="1"/>
        <v>2.941344</v>
      </c>
      <c r="L40" s="46">
        <v>34506112</v>
      </c>
      <c r="M40" s="38">
        <v>26472096</v>
      </c>
      <c r="N40" s="47">
        <v>73.569579200000007</v>
      </c>
      <c r="O40" s="47">
        <v>75.044411199999999</v>
      </c>
      <c r="P40" s="47">
        <v>32.827108099999997</v>
      </c>
      <c r="Q40" s="47">
        <v>42.326449199999999</v>
      </c>
      <c r="R40" s="47">
        <v>42.593531400000003</v>
      </c>
      <c r="S40" s="47">
        <v>48.831391000000004</v>
      </c>
      <c r="T40" s="47">
        <v>32.0616573</v>
      </c>
      <c r="U40" s="39">
        <v>20368.8469</v>
      </c>
      <c r="V40" s="39">
        <v>102.89612</v>
      </c>
      <c r="X40" s="36" t="str">
        <f t="shared" si="2"/>
        <v>·</v>
      </c>
      <c r="Y40" s="37" t="str">
        <f t="shared" si="3"/>
        <v>·</v>
      </c>
      <c r="Z40" s="46"/>
      <c r="AA40" s="38"/>
      <c r="AB40" s="47"/>
      <c r="AC40" s="47"/>
      <c r="AD40" s="47"/>
      <c r="AE40" s="47"/>
      <c r="AF40" s="47"/>
      <c r="AG40" s="47"/>
      <c r="AH40" s="47"/>
      <c r="AI40" s="39"/>
      <c r="AJ40" s="39"/>
      <c r="AL40" s="40" t="str">
        <f t="array" ref="AL40">IF( OR(AND(ISBLANK(M40:M44)),AND(ISBLANK(AA40:AA44)), AND(ISBLANK(N40:N44)),AND(ISBLANK(AB40:AB44))), "·", bdRateExtend( M40:M44,N40:N44, AA40:AA44,AB40:AB44))</f>
        <v>·</v>
      </c>
      <c r="AM40" s="40" t="str">
        <f t="array" ref="AM40">IF( OR(AND(ISBLANK(M40:M44)),AND(ISBLANK(AA40:AA44)), AND(ISBLANK(O40:O44)),AND(ISBLANK(AC40:AC44))), "·", bdRateExtend( M40:M44,O40:O44, AA40:AA44,AC40:AC44))</f>
        <v>·</v>
      </c>
      <c r="AN40" s="40" t="str">
        <f t="array" ref="AN40">IF( OR(AND(ISBLANK(M40:M44)),AND(ISBLANK(AA40:AA44)), AND(ISBLANK(P40:P44)),AND(ISBLANK(AD40:AD44))), "·", bdRateExtend( M40:M44,P40:P44, AA40:AA44,AD40:AD44))</f>
        <v>·</v>
      </c>
      <c r="AO40" s="40" t="str">
        <f t="array" ref="AO40">IF( OR(AND(ISBLANK(M40:M44)),AND(ISBLANK(AA40:AA44)), AND(ISBLANK(Q40:Q44)),AND(ISBLANK(AE40:AE44))), "·", bdRateExtend( M40:M44,Q40:Q44, AA40:AA44,AE40:AE44))</f>
        <v>·</v>
      </c>
      <c r="AP40" s="40" t="str">
        <f t="array" ref="AP40">IF( OR(AND(ISBLANK(M40:M44)),AND(ISBLANK(AA40:AA44)), AND(ISBLANK(R40:R44)),AND(ISBLANK(AF40:AF44))), "·", bdRateExtend( M40:M44,R40:R44, AA40:AA44,AF40:AF44))</f>
        <v>·</v>
      </c>
      <c r="AQ40" s="40" t="str">
        <f t="array" ref="AQ40">IF( OR(AND(ISBLANK(M40:M44)),AND(ISBLANK(AA40:AA44)), AND(ISBLANK(S40:S44)),AND(ISBLANK(AG40:AG44))), "·", bdRateExtend( M40:M44,S40:S44, AA40:AA44,AG40:AG44))</f>
        <v>·</v>
      </c>
      <c r="AR40" s="40" t="str">
        <f t="array" ref="AR40">IF( OR(AND(ISBLANK(M40:M44)),AND(ISBLANK(AA40:AA44)), AND(ISBLANK(T40:T44)),AND(ISBLANK(AH40:AH44))), "·", bdRateExtend( M40:M44,T40:T44, AA40:AA44,AH40:AH44))</f>
        <v>·</v>
      </c>
    </row>
    <row r="41" spans="1:44" outlineLevel="1" x14ac:dyDescent="0.25">
      <c r="A41" s="17"/>
      <c r="B41" s="17" t="s">
        <v>77</v>
      </c>
      <c r="C41" s="19" t="s">
        <v>373</v>
      </c>
      <c r="D41" s="17">
        <v>9000000</v>
      </c>
      <c r="E41" s="18">
        <v>12</v>
      </c>
      <c r="F41" s="19">
        <v>300</v>
      </c>
      <c r="G41" s="19">
        <v>30</v>
      </c>
      <c r="H41" s="19">
        <v>4</v>
      </c>
      <c r="J41" s="20">
        <f t="shared" si="0"/>
        <v>3.547256</v>
      </c>
      <c r="K41" s="21">
        <f t="shared" si="1"/>
        <v>3.9413955555555558</v>
      </c>
      <c r="L41" s="44">
        <v>34506112</v>
      </c>
      <c r="M41" s="22">
        <v>35472560</v>
      </c>
      <c r="N41" s="45">
        <v>74.484053399999993</v>
      </c>
      <c r="O41" s="45">
        <v>76.067690499999998</v>
      </c>
      <c r="P41" s="45">
        <v>33.225999600000002</v>
      </c>
      <c r="Q41" s="45">
        <v>42.463259399999998</v>
      </c>
      <c r="R41" s="45">
        <v>42.787419300000003</v>
      </c>
      <c r="S41" s="45">
        <v>49.262390000000003</v>
      </c>
      <c r="T41" s="45">
        <v>32.418137100000003</v>
      </c>
      <c r="U41" s="23">
        <v>21010.370200000001</v>
      </c>
      <c r="V41" s="23">
        <v>103.34538499999999</v>
      </c>
      <c r="X41" s="20" t="str">
        <f t="shared" si="2"/>
        <v>·</v>
      </c>
      <c r="Y41" s="21" t="str">
        <f t="shared" si="3"/>
        <v>·</v>
      </c>
      <c r="Z41" s="44"/>
      <c r="AA41" s="22"/>
      <c r="AB41" s="45"/>
      <c r="AC41" s="45"/>
      <c r="AD41" s="45"/>
      <c r="AE41" s="45"/>
      <c r="AF41" s="45"/>
      <c r="AG41" s="45"/>
      <c r="AH41" s="45"/>
      <c r="AI41" s="23"/>
      <c r="AJ41" s="23"/>
      <c r="AL41" s="24"/>
      <c r="AM41" s="24"/>
      <c r="AN41" s="24"/>
      <c r="AO41" s="24"/>
      <c r="AP41" s="24"/>
      <c r="AQ41" s="24"/>
      <c r="AR41" s="24"/>
    </row>
    <row r="42" spans="1:44" outlineLevel="1" x14ac:dyDescent="0.25">
      <c r="A42" s="33"/>
      <c r="B42" s="33" t="s">
        <v>77</v>
      </c>
      <c r="C42" s="35" t="s">
        <v>374</v>
      </c>
      <c r="D42" s="33">
        <v>9000000</v>
      </c>
      <c r="E42" s="34">
        <v>12</v>
      </c>
      <c r="F42" s="35">
        <v>300</v>
      </c>
      <c r="G42" s="35">
        <v>30</v>
      </c>
      <c r="H42" s="35">
        <v>6</v>
      </c>
      <c r="J42" s="36">
        <f t="shared" si="0"/>
        <v>5.0692496</v>
      </c>
      <c r="K42" s="37">
        <f t="shared" si="1"/>
        <v>5.6324995555555555</v>
      </c>
      <c r="L42" s="46">
        <v>34506112</v>
      </c>
      <c r="M42" s="38">
        <v>50692496</v>
      </c>
      <c r="N42" s="47">
        <v>76.737674799999994</v>
      </c>
      <c r="O42" s="47">
        <v>78.681308700000002</v>
      </c>
      <c r="P42" s="47">
        <v>33.845174999999998</v>
      </c>
      <c r="Q42" s="47">
        <v>42.719063599999998</v>
      </c>
      <c r="R42" s="47">
        <v>43.107848300000001</v>
      </c>
      <c r="S42" s="47">
        <v>50.406401700000004</v>
      </c>
      <c r="T42" s="47">
        <v>33.150190500000001</v>
      </c>
      <c r="U42" s="39">
        <v>59373.234900000003</v>
      </c>
      <c r="V42" s="39">
        <v>375.22961800000002</v>
      </c>
      <c r="X42" s="36" t="str">
        <f t="shared" si="2"/>
        <v>·</v>
      </c>
      <c r="Y42" s="37" t="str">
        <f t="shared" si="3"/>
        <v>·</v>
      </c>
      <c r="Z42" s="46"/>
      <c r="AA42" s="38"/>
      <c r="AB42" s="47"/>
      <c r="AC42" s="47"/>
      <c r="AD42" s="47"/>
      <c r="AE42" s="47"/>
      <c r="AF42" s="47"/>
      <c r="AG42" s="47"/>
      <c r="AH42" s="47"/>
      <c r="AI42" s="39"/>
      <c r="AJ42" s="39"/>
      <c r="AL42" s="40"/>
      <c r="AM42" s="40"/>
      <c r="AN42" s="40"/>
      <c r="AO42" s="40"/>
      <c r="AP42" s="40"/>
      <c r="AQ42" s="40"/>
      <c r="AR42" s="40"/>
    </row>
    <row r="43" spans="1:44" outlineLevel="1" x14ac:dyDescent="0.25">
      <c r="A43" s="17"/>
      <c r="B43" s="17" t="s">
        <v>77</v>
      </c>
      <c r="C43" s="19" t="s">
        <v>375</v>
      </c>
      <c r="D43" s="17">
        <v>9000000</v>
      </c>
      <c r="E43" s="18">
        <v>12</v>
      </c>
      <c r="F43" s="19">
        <v>300</v>
      </c>
      <c r="G43" s="19">
        <v>30</v>
      </c>
      <c r="H43" s="19">
        <v>8</v>
      </c>
      <c r="J43" s="20">
        <f t="shared" si="0"/>
        <v>7.6219495999999998</v>
      </c>
      <c r="K43" s="21">
        <f t="shared" si="1"/>
        <v>8.4688328888888886</v>
      </c>
      <c r="L43" s="44">
        <v>8990680</v>
      </c>
      <c r="M43" s="22">
        <v>76219496</v>
      </c>
      <c r="N43" s="45">
        <v>458.09323599999999</v>
      </c>
      <c r="O43" s="45">
        <v>462.086523</v>
      </c>
      <c r="P43" s="45">
        <v>34.029557400000002</v>
      </c>
      <c r="Q43" s="45">
        <v>42.719142300000001</v>
      </c>
      <c r="R43" s="45">
        <v>43.186224899999999</v>
      </c>
      <c r="S43" s="45">
        <v>450.68458600000002</v>
      </c>
      <c r="T43" s="45">
        <v>34.0681528</v>
      </c>
      <c r="U43" s="23">
        <v>47713.023000000001</v>
      </c>
      <c r="V43" s="23">
        <v>366.99177700000001</v>
      </c>
      <c r="X43" s="20" t="str">
        <f t="shared" si="2"/>
        <v>·</v>
      </c>
      <c r="Y43" s="21" t="str">
        <f t="shared" si="3"/>
        <v>·</v>
      </c>
      <c r="Z43" s="44"/>
      <c r="AA43" s="22"/>
      <c r="AB43" s="45"/>
      <c r="AC43" s="45"/>
      <c r="AD43" s="45"/>
      <c r="AE43" s="45"/>
      <c r="AF43" s="45"/>
      <c r="AG43" s="45"/>
      <c r="AH43" s="45"/>
      <c r="AI43" s="23"/>
      <c r="AJ43" s="23"/>
      <c r="AL43" s="24"/>
      <c r="AM43" s="24"/>
      <c r="AN43" s="24"/>
      <c r="AO43" s="24"/>
      <c r="AP43" s="24"/>
      <c r="AQ43" s="24"/>
      <c r="AR43" s="24"/>
    </row>
    <row r="44" spans="1:44" ht="15.75" customHeight="1" outlineLevel="1" thickBot="1" x14ac:dyDescent="0.3">
      <c r="A44" s="25"/>
      <c r="B44" s="25" t="s">
        <v>77</v>
      </c>
      <c r="C44" s="27" t="s">
        <v>376</v>
      </c>
      <c r="D44" s="25">
        <v>9000000</v>
      </c>
      <c r="E44" s="26">
        <v>12</v>
      </c>
      <c r="F44" s="27">
        <v>300</v>
      </c>
      <c r="G44" s="27">
        <v>30</v>
      </c>
      <c r="H44" s="27">
        <v>12</v>
      </c>
      <c r="J44" s="28">
        <f t="shared" si="0"/>
        <v>11.2573144</v>
      </c>
      <c r="K44" s="29">
        <f t="shared" si="1"/>
        <v>12.508127111111111</v>
      </c>
      <c r="L44" s="58">
        <v>8990680</v>
      </c>
      <c r="M44" s="30">
        <v>112573144</v>
      </c>
      <c r="N44" s="59">
        <v>458.09323599999999</v>
      </c>
      <c r="O44" s="59">
        <v>462.086523</v>
      </c>
      <c r="P44" s="59">
        <v>35.308275100000003</v>
      </c>
      <c r="Q44" s="59">
        <v>43.001222300000002</v>
      </c>
      <c r="R44" s="59">
        <v>43.577489900000003</v>
      </c>
      <c r="S44" s="59">
        <v>450.68458600000002</v>
      </c>
      <c r="T44" s="59">
        <v>35.346680499999998</v>
      </c>
      <c r="U44" s="31">
        <v>51256.487699999998</v>
      </c>
      <c r="V44" s="31">
        <v>379.86494599999997</v>
      </c>
      <c r="X44" s="28" t="str">
        <f t="shared" si="2"/>
        <v>·</v>
      </c>
      <c r="Y44" s="29" t="str">
        <f t="shared" si="3"/>
        <v>·</v>
      </c>
      <c r="Z44" s="58"/>
      <c r="AA44" s="30"/>
      <c r="AB44" s="59"/>
      <c r="AC44" s="59"/>
      <c r="AD44" s="59"/>
      <c r="AE44" s="59"/>
      <c r="AF44" s="59"/>
      <c r="AG44" s="59"/>
      <c r="AH44" s="59"/>
      <c r="AI44" s="31"/>
      <c r="AJ44" s="31"/>
      <c r="AL44" s="32"/>
      <c r="AM44" s="32"/>
      <c r="AN44" s="32"/>
      <c r="AO44" s="32"/>
      <c r="AP44" s="32"/>
      <c r="AQ44" s="32"/>
      <c r="AR44" s="32"/>
    </row>
    <row r="45" spans="1:44" x14ac:dyDescent="0.25">
      <c r="B45" s="41" t="s">
        <v>7</v>
      </c>
      <c r="K45" s="42">
        <f>AVERAGE(K5:K14)</f>
        <v>10.663110722370401</v>
      </c>
      <c r="Y45" s="42" t="e">
        <f>AVERAGE(Y5:Y14)</f>
        <v>#DIV/0!</v>
      </c>
      <c r="AL45" s="5" t="e">
        <f t="shared" ref="AL45:AR45" si="4">AVERAGE(AL5:AL14)</f>
        <v>#DIV/0!</v>
      </c>
      <c r="AM45" s="5" t="e">
        <f t="shared" si="4"/>
        <v>#DIV/0!</v>
      </c>
      <c r="AN45" s="5" t="e">
        <f t="shared" si="4"/>
        <v>#DIV/0!</v>
      </c>
      <c r="AO45" s="5" t="e">
        <f t="shared" si="4"/>
        <v>#DIV/0!</v>
      </c>
      <c r="AP45" s="5" t="e">
        <f t="shared" si="4"/>
        <v>#DIV/0!</v>
      </c>
      <c r="AQ45" s="5" t="e">
        <f t="shared" si="4"/>
        <v>#DIV/0!</v>
      </c>
      <c r="AR45" s="5" t="e">
        <f t="shared" si="4"/>
        <v>#DIV/0!</v>
      </c>
    </row>
    <row r="46" spans="1:44" x14ac:dyDescent="0.25">
      <c r="B46" s="41" t="s">
        <v>8</v>
      </c>
      <c r="K46" s="42">
        <f>AVERAGE(K15:K24)</f>
        <v>9.3804174372920848</v>
      </c>
      <c r="Y46" s="42" t="e">
        <f>AVERAGE(Y15:Y24)</f>
        <v>#DIV/0!</v>
      </c>
      <c r="AL46" s="5" t="e">
        <f t="shared" ref="AL46:AR46" si="5">AVERAGE(AL15:AL24)</f>
        <v>#DIV/0!</v>
      </c>
      <c r="AM46" s="5" t="e">
        <f t="shared" si="5"/>
        <v>#DIV/0!</v>
      </c>
      <c r="AN46" s="5" t="e">
        <f t="shared" si="5"/>
        <v>#DIV/0!</v>
      </c>
      <c r="AO46" s="5" t="e">
        <f t="shared" si="5"/>
        <v>#DIV/0!</v>
      </c>
      <c r="AP46" s="5" t="e">
        <f t="shared" si="5"/>
        <v>#DIV/0!</v>
      </c>
      <c r="AQ46" s="5" t="e">
        <f t="shared" si="5"/>
        <v>#DIV/0!</v>
      </c>
      <c r="AR46" s="5" t="e">
        <f t="shared" si="5"/>
        <v>#DIV/0!</v>
      </c>
    </row>
    <row r="47" spans="1:44" x14ac:dyDescent="0.25">
      <c r="B47" s="41" t="s">
        <v>9</v>
      </c>
      <c r="K47" s="42">
        <f>AVERAGE(K25:K44)</f>
        <v>8.2098017950028144</v>
      </c>
      <c r="Y47" s="42" t="e">
        <f>AVERAGE(Y25:Y44)</f>
        <v>#DIV/0!</v>
      </c>
      <c r="AL47" s="5" t="e">
        <f t="shared" ref="AL47:AR47" si="6">AVERAGE(AL25:AL44)</f>
        <v>#DIV/0!</v>
      </c>
      <c r="AM47" s="5" t="e">
        <f t="shared" si="6"/>
        <v>#DIV/0!</v>
      </c>
      <c r="AN47" s="5" t="e">
        <f t="shared" si="6"/>
        <v>#DIV/0!</v>
      </c>
      <c r="AO47" s="5" t="e">
        <f t="shared" si="6"/>
        <v>#DIV/0!</v>
      </c>
      <c r="AP47" s="5" t="e">
        <f t="shared" si="6"/>
        <v>#DIV/0!</v>
      </c>
      <c r="AQ47" s="5" t="e">
        <f t="shared" si="6"/>
        <v>#DIV/0!</v>
      </c>
      <c r="AR47" s="5" t="e">
        <f t="shared" si="6"/>
        <v>#DIV/0!</v>
      </c>
    </row>
    <row r="48" spans="1:44" x14ac:dyDescent="0.25">
      <c r="B48" s="41" t="s">
        <v>10</v>
      </c>
      <c r="K48" s="42">
        <f>AVERAGE(K5:K44)</f>
        <v>9.1157829374170269</v>
      </c>
      <c r="Y48" s="42" t="e">
        <f>AVERAGE(Y5:Y44)</f>
        <v>#DIV/0!</v>
      </c>
      <c r="AL48" s="5" t="e">
        <f t="shared" ref="AL48:AR48" si="7">AVERAGE(AL5:AL44)</f>
        <v>#DIV/0!</v>
      </c>
      <c r="AM48" s="5" t="e">
        <f t="shared" si="7"/>
        <v>#DIV/0!</v>
      </c>
      <c r="AN48" s="5" t="e">
        <f t="shared" si="7"/>
        <v>#DIV/0!</v>
      </c>
      <c r="AO48" s="5" t="e">
        <f t="shared" si="7"/>
        <v>#DIV/0!</v>
      </c>
      <c r="AP48" s="5" t="e">
        <f t="shared" si="7"/>
        <v>#DIV/0!</v>
      </c>
      <c r="AQ48" s="5" t="e">
        <f t="shared" si="7"/>
        <v>#DIV/0!</v>
      </c>
      <c r="AR48" s="5" t="e">
        <f t="shared" si="7"/>
        <v>#DIV/0!</v>
      </c>
    </row>
    <row r="49" spans="1:36" x14ac:dyDescent="0.25">
      <c r="A49" s="41" t="s">
        <v>178</v>
      </c>
      <c r="B49" s="41" t="s">
        <v>179</v>
      </c>
      <c r="U49" s="43">
        <f>SUM(U5:U14,U15:U24,U25:U44)</f>
        <v>1133100.7197299998</v>
      </c>
      <c r="V49" s="43">
        <f>SUM(V5:V14,V15:V24,V25:V44)</f>
        <v>8041.010306000001</v>
      </c>
      <c r="AI49" s="43">
        <f>SUM(AI5:AI14,AI15:AI24,AI25:AI44)</f>
        <v>0</v>
      </c>
      <c r="AJ49" s="43">
        <f>SUM(AJ5:AJ14,AJ15:AJ24,AJ25:AJ44)</f>
        <v>0</v>
      </c>
    </row>
    <row r="50" spans="1:36" x14ac:dyDescent="0.25">
      <c r="B50" s="41" t="s">
        <v>180</v>
      </c>
      <c r="AI50" s="8">
        <f>AI49/U49</f>
        <v>0</v>
      </c>
      <c r="AJ50" s="8">
        <f>AJ49/V49</f>
        <v>0</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2023-03-07T12:52:46Z</dcterms:modified>
</cp:coreProperties>
</file>