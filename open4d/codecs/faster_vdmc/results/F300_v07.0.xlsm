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数据统计\"/>
    </mc:Choice>
  </mc:AlternateContent>
  <bookViews>
    <workbookView xWindow="-120" yWindow="-120" windowWidth="29040" windowHeight="15840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3" l="1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R20" i="3"/>
  <c r="Q20" i="3"/>
  <c r="O1" i="3"/>
  <c r="AE1" i="5"/>
  <c r="H1" i="3"/>
  <c r="J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54" i="5"/>
  <c r="AJ54" i="5"/>
  <c r="AK54" i="5"/>
  <c r="AL54" i="5"/>
  <c r="AM54" i="5"/>
  <c r="AN54" i="5"/>
  <c r="AO54" i="5"/>
  <c r="AI55" i="5"/>
  <c r="AJ55" i="5"/>
  <c r="AK55" i="5"/>
  <c r="AL55" i="5"/>
  <c r="AM55" i="5"/>
  <c r="AN55" i="5"/>
  <c r="AO55" i="5"/>
  <c r="AI56" i="5"/>
  <c r="AJ56" i="5"/>
  <c r="AK56" i="5"/>
  <c r="AL56" i="5"/>
  <c r="AM56" i="5"/>
  <c r="AN56" i="5"/>
  <c r="AO56" i="5"/>
  <c r="AI57" i="5"/>
  <c r="AJ57" i="5"/>
  <c r="AK57" i="5"/>
  <c r="AL57" i="5"/>
  <c r="AM57" i="5"/>
  <c r="AN57" i="5"/>
  <c r="AO57" i="5"/>
  <c r="AI58" i="5"/>
  <c r="AJ58" i="5"/>
  <c r="AK58" i="5"/>
  <c r="AL58" i="5"/>
  <c r="AM58" i="5"/>
  <c r="AN58" i="5"/>
  <c r="AO58" i="5"/>
  <c r="AI59" i="5"/>
  <c r="AJ59" i="5"/>
  <c r="AK59" i="5"/>
  <c r="AL59" i="5"/>
  <c r="AM59" i="5"/>
  <c r="AN59" i="5"/>
  <c r="AO59" i="5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BT44" i="5" l="1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L10" i="6" a="1"/>
  <c r="BL20" i="6" a="1"/>
  <c r="BK40" i="6" a="1"/>
  <c r="BK30" i="6" a="1"/>
  <c r="BK20" i="6" a="1"/>
  <c r="BK10" i="6" a="1"/>
  <c r="BJ40" i="6" a="1"/>
  <c r="BJ30" i="6" a="1"/>
  <c r="BJ20" i="6" a="1"/>
  <c r="BJ10" i="6" a="1"/>
  <c r="BN35" i="6" a="1"/>
  <c r="BN25" i="6" a="1"/>
  <c r="BN15" i="6" a="1"/>
  <c r="BN5" i="6" a="1"/>
  <c r="BN30" i="6" a="1"/>
  <c r="BN10" i="6" a="1"/>
  <c r="BL30" i="6" a="1"/>
  <c r="BL35" i="6" a="1"/>
  <c r="BL25" i="6" a="1"/>
  <c r="BL15" i="6" a="1"/>
  <c r="BL5" i="6" a="1"/>
  <c r="BK35" i="6" a="1"/>
  <c r="BK25" i="6" a="1"/>
  <c r="BK15" i="6" a="1"/>
  <c r="BK5" i="6" a="1"/>
  <c r="BJ35" i="6" a="1"/>
  <c r="BJ25" i="6" a="1"/>
  <c r="BJ15" i="6" a="1"/>
  <c r="BJ5" i="6" a="1"/>
  <c r="BN40" i="6" a="1"/>
  <c r="BN20" i="6" a="1"/>
  <c r="BL40" i="6" a="1"/>
  <c r="BN40" i="5" a="1"/>
  <c r="BN30" i="5" a="1"/>
  <c r="BN20" i="5" a="1"/>
  <c r="BN10" i="5" a="1"/>
  <c r="BN5" i="5" a="1"/>
  <c r="BJ15" i="5" a="1"/>
  <c r="BL40" i="5" a="1"/>
  <c r="BL30" i="5" a="1"/>
  <c r="BL20" i="5" a="1"/>
  <c r="BL10" i="5" a="1"/>
  <c r="BN35" i="5" a="1"/>
  <c r="BK15" i="5" a="1"/>
  <c r="BJ5" i="5" a="1"/>
  <c r="BK40" i="5" a="1"/>
  <c r="BK30" i="5" a="1"/>
  <c r="BK20" i="5" a="1"/>
  <c r="BK10" i="5" a="1"/>
  <c r="BN15" i="5" a="1"/>
  <c r="BK25" i="5" a="1"/>
  <c r="BJ40" i="5" a="1"/>
  <c r="BJ30" i="5" a="1"/>
  <c r="BJ20" i="5" a="1"/>
  <c r="BJ10" i="5" a="1"/>
  <c r="BN25" i="5" a="1"/>
  <c r="BK5" i="5" a="1"/>
  <c r="BJ25" i="5" a="1"/>
  <c r="BL35" i="5" a="1"/>
  <c r="BL25" i="5" a="1"/>
  <c r="BL15" i="5" a="1"/>
  <c r="BL5" i="5" a="1"/>
  <c r="BK35" i="5" a="1"/>
  <c r="BJ35" i="5" a="1"/>
  <c r="BL40" i="6" l="1"/>
  <c r="BN20" i="6"/>
  <c r="BN40" i="6"/>
  <c r="BJ5" i="6"/>
  <c r="BJ15" i="6"/>
  <c r="BJ25" i="6"/>
  <c r="BJ35" i="6"/>
  <c r="BK5" i="6"/>
  <c r="BK15" i="6"/>
  <c r="BK25" i="6"/>
  <c r="BK35" i="6"/>
  <c r="BL5" i="6"/>
  <c r="BL15" i="6"/>
  <c r="BL25" i="6"/>
  <c r="BL35" i="6"/>
  <c r="BL30" i="6"/>
  <c r="BN10" i="6"/>
  <c r="BN30" i="6"/>
  <c r="BN5" i="6"/>
  <c r="BN15" i="6"/>
  <c r="BN25" i="6"/>
  <c r="BN35" i="6"/>
  <c r="BJ10" i="6"/>
  <c r="BJ20" i="6"/>
  <c r="BJ30" i="6"/>
  <c r="BJ40" i="6"/>
  <c r="BK10" i="6"/>
  <c r="BK20" i="6"/>
  <c r="BK30" i="6"/>
  <c r="BK40" i="6"/>
  <c r="BL20" i="6"/>
  <c r="BL10" i="6"/>
  <c r="BJ35" i="5"/>
  <c r="BK35" i="5"/>
  <c r="BL5" i="5"/>
  <c r="BL15" i="5"/>
  <c r="BL25" i="5"/>
  <c r="BL35" i="5"/>
  <c r="BJ25" i="5"/>
  <c r="BK5" i="5"/>
  <c r="BN25" i="5"/>
  <c r="BJ10" i="5"/>
  <c r="BJ20" i="5"/>
  <c r="BJ30" i="5"/>
  <c r="BJ40" i="5"/>
  <c r="BK25" i="5"/>
  <c r="BN15" i="5"/>
  <c r="BK10" i="5"/>
  <c r="BK20" i="5"/>
  <c r="BK30" i="5"/>
  <c r="BK40" i="5"/>
  <c r="BJ5" i="5"/>
  <c r="BJ45" i="5" s="1"/>
  <c r="BK15" i="5"/>
  <c r="BN35" i="5"/>
  <c r="BL10" i="5"/>
  <c r="BL20" i="5"/>
  <c r="BL30" i="5"/>
  <c r="BL40" i="5"/>
  <c r="BJ15" i="5"/>
  <c r="BJ46" i="5" s="1"/>
  <c r="BN5" i="5"/>
  <c r="BN10" i="5"/>
  <c r="BN20" i="5"/>
  <c r="BN30" i="5"/>
  <c r="BN40" i="5"/>
  <c r="BT48" i="6"/>
  <c r="BT46" i="6"/>
  <c r="BT47" i="6"/>
  <c r="BT48" i="5"/>
  <c r="BT46" i="5"/>
  <c r="BT47" i="5"/>
  <c r="BT45" i="5"/>
  <c r="BT45" i="6"/>
  <c r="AH44" i="5"/>
  <c r="AG44" i="5" s="1"/>
  <c r="AH43" i="5"/>
  <c r="AG43" i="5" s="1"/>
  <c r="AH42" i="5"/>
  <c r="AG42" i="5" s="1"/>
  <c r="AH41" i="5"/>
  <c r="AG41" i="5" s="1"/>
  <c r="AH40" i="5"/>
  <c r="AG40" i="5" s="1"/>
  <c r="AH39" i="5"/>
  <c r="AG39" i="5" s="1"/>
  <c r="AH38" i="5"/>
  <c r="AG38" i="5" s="1"/>
  <c r="AH37" i="5"/>
  <c r="AG37" i="5" s="1"/>
  <c r="AH36" i="5"/>
  <c r="AG36" i="5" s="1"/>
  <c r="AH35" i="5"/>
  <c r="AG35" i="5" s="1"/>
  <c r="AH34" i="5"/>
  <c r="AG34" i="5" s="1"/>
  <c r="AH33" i="5"/>
  <c r="AG33" i="5" s="1"/>
  <c r="AH32" i="5"/>
  <c r="AG32" i="5" s="1"/>
  <c r="AH31" i="5"/>
  <c r="AG31" i="5" s="1"/>
  <c r="AH30" i="5"/>
  <c r="AG30" i="5" s="1"/>
  <c r="AH29" i="5"/>
  <c r="AG29" i="5" s="1"/>
  <c r="AH28" i="5"/>
  <c r="AG28" i="5" s="1"/>
  <c r="AH27" i="5"/>
  <c r="AG27" i="5" s="1"/>
  <c r="AH26" i="5"/>
  <c r="AG26" i="5" s="1"/>
  <c r="AH25" i="5"/>
  <c r="AG25" i="5" s="1"/>
  <c r="AH24" i="5"/>
  <c r="AG24" i="5" s="1"/>
  <c r="AH23" i="5"/>
  <c r="AG23" i="5" s="1"/>
  <c r="AH22" i="5"/>
  <c r="AG22" i="5" s="1"/>
  <c r="AH21" i="5"/>
  <c r="AG21" i="5" s="1"/>
  <c r="AH20" i="5"/>
  <c r="AG20" i="5" s="1"/>
  <c r="AH19" i="5"/>
  <c r="AG19" i="5" s="1"/>
  <c r="AH18" i="5"/>
  <c r="AG18" i="5" s="1"/>
  <c r="AH17" i="5"/>
  <c r="AG17" i="5" s="1"/>
  <c r="AH16" i="5"/>
  <c r="AG16" i="5" s="1"/>
  <c r="AH15" i="5"/>
  <c r="AG15" i="5" s="1"/>
  <c r="AH14" i="5"/>
  <c r="AG14" i="5" s="1"/>
  <c r="AH13" i="5"/>
  <c r="AG13" i="5" s="1"/>
  <c r="AH12" i="5"/>
  <c r="AG12" i="5" s="1"/>
  <c r="AH11" i="5"/>
  <c r="AG11" i="5" s="1"/>
  <c r="AH10" i="5"/>
  <c r="AG10" i="5" s="1"/>
  <c r="AH9" i="5"/>
  <c r="AG9" i="5" s="1"/>
  <c r="AH8" i="5"/>
  <c r="AG8" i="5" s="1"/>
  <c r="AH7" i="5"/>
  <c r="AG7" i="5" s="1"/>
  <c r="AH6" i="5"/>
  <c r="AG6" i="5" s="1"/>
  <c r="AH5" i="5"/>
  <c r="AG5" i="5" s="1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AH44" i="6"/>
  <c r="AG44" i="6" s="1"/>
  <c r="AH43" i="6"/>
  <c r="AG43" i="6" s="1"/>
  <c r="AH42" i="6"/>
  <c r="AG42" i="6" s="1"/>
  <c r="AH41" i="6"/>
  <c r="AG41" i="6" s="1"/>
  <c r="AH40" i="6"/>
  <c r="AG40" i="6" s="1"/>
  <c r="AH39" i="6"/>
  <c r="AG39" i="6" s="1"/>
  <c r="AH38" i="6"/>
  <c r="AG38" i="6" s="1"/>
  <c r="AH37" i="6"/>
  <c r="AG37" i="6" s="1"/>
  <c r="AH36" i="6"/>
  <c r="AG36" i="6" s="1"/>
  <c r="AH35" i="6"/>
  <c r="AG35" i="6" s="1"/>
  <c r="AH34" i="6"/>
  <c r="AG34" i="6" s="1"/>
  <c r="AH33" i="6"/>
  <c r="AG33" i="6" s="1"/>
  <c r="AH32" i="6"/>
  <c r="AG32" i="6" s="1"/>
  <c r="AH31" i="6"/>
  <c r="AG31" i="6" s="1"/>
  <c r="AH30" i="6"/>
  <c r="AG30" i="6" s="1"/>
  <c r="AH29" i="6"/>
  <c r="AG29" i="6" s="1"/>
  <c r="AH28" i="6"/>
  <c r="AG28" i="6" s="1"/>
  <c r="AH27" i="6"/>
  <c r="AG27" i="6" s="1"/>
  <c r="AH26" i="6"/>
  <c r="AG26" i="6" s="1"/>
  <c r="AH25" i="6"/>
  <c r="AG25" i="6" s="1"/>
  <c r="AH24" i="6"/>
  <c r="AG24" i="6" s="1"/>
  <c r="AH23" i="6"/>
  <c r="AG23" i="6" s="1"/>
  <c r="AH22" i="6"/>
  <c r="AG22" i="6" s="1"/>
  <c r="AH21" i="6"/>
  <c r="AG21" i="6" s="1"/>
  <c r="AH20" i="6"/>
  <c r="AG20" i="6" s="1"/>
  <c r="AH19" i="6"/>
  <c r="AG19" i="6" s="1"/>
  <c r="AH18" i="6"/>
  <c r="AG18" i="6" s="1"/>
  <c r="AH17" i="6"/>
  <c r="AG17" i="6" s="1"/>
  <c r="AH16" i="6"/>
  <c r="AG16" i="6" s="1"/>
  <c r="AH15" i="6"/>
  <c r="AG15" i="6" s="1"/>
  <c r="AH14" i="6"/>
  <c r="AG14" i="6" s="1"/>
  <c r="AH13" i="6"/>
  <c r="AG13" i="6" s="1"/>
  <c r="AH12" i="6"/>
  <c r="AG12" i="6" s="1"/>
  <c r="AH11" i="6"/>
  <c r="AG11" i="6" s="1"/>
  <c r="AH10" i="6"/>
  <c r="AG10" i="6" s="1"/>
  <c r="AH9" i="6"/>
  <c r="AG9" i="6" s="1"/>
  <c r="AH8" i="6"/>
  <c r="AG8" i="6" s="1"/>
  <c r="AH7" i="6"/>
  <c r="AG7" i="6" s="1"/>
  <c r="AH6" i="6"/>
  <c r="AG6" i="6" s="1"/>
  <c r="AH5" i="6"/>
  <c r="AG5" i="6" s="1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BN48" i="6" l="1"/>
  <c r="BN46" i="6"/>
  <c r="BN45" i="6"/>
  <c r="BK46" i="6"/>
  <c r="BL48" i="6"/>
  <c r="BL47" i="6"/>
  <c r="BJ45" i="6"/>
  <c r="BJ47" i="6"/>
  <c r="BL46" i="6"/>
  <c r="BJ46" i="6"/>
  <c r="BK48" i="6"/>
  <c r="BK47" i="6"/>
  <c r="BJ48" i="6"/>
  <c r="BL45" i="6"/>
  <c r="BK45" i="6"/>
  <c r="BN47" i="6"/>
  <c r="BL47" i="5"/>
  <c r="BN47" i="5"/>
  <c r="BK48" i="5"/>
  <c r="BN46" i="5"/>
  <c r="BN48" i="5"/>
  <c r="BJ47" i="5"/>
  <c r="BL46" i="5"/>
  <c r="BK45" i="5"/>
  <c r="BL48" i="5"/>
  <c r="BK47" i="5"/>
  <c r="BK46" i="5"/>
  <c r="BJ48" i="5"/>
  <c r="BL45" i="5"/>
  <c r="BN45" i="5"/>
  <c r="AH68" i="6"/>
  <c r="L19" i="6"/>
  <c r="AG68" i="6" s="1"/>
  <c r="AH58" i="6"/>
  <c r="L9" i="6"/>
  <c r="AG58" i="6" s="1"/>
  <c r="L17" i="6"/>
  <c r="AG66" i="6" s="1"/>
  <c r="AH66" i="6"/>
  <c r="AH74" i="6"/>
  <c r="L25" i="6"/>
  <c r="AH82" i="6"/>
  <c r="L33" i="6"/>
  <c r="AG82" i="6" s="1"/>
  <c r="AH90" i="6"/>
  <c r="L41" i="6"/>
  <c r="AG90" i="6" s="1"/>
  <c r="AH59" i="6"/>
  <c r="L10" i="6"/>
  <c r="AH84" i="6"/>
  <c r="L35" i="6"/>
  <c r="AH61" i="6"/>
  <c r="L12" i="6"/>
  <c r="AG61" i="6" s="1"/>
  <c r="AH69" i="6"/>
  <c r="L20" i="6"/>
  <c r="AH77" i="6"/>
  <c r="L28" i="6"/>
  <c r="AG77" i="6" s="1"/>
  <c r="AH85" i="6"/>
  <c r="L36" i="6"/>
  <c r="AG85" i="6" s="1"/>
  <c r="AH93" i="6"/>
  <c r="L44" i="6"/>
  <c r="AG93" i="6" s="1"/>
  <c r="AH91" i="6"/>
  <c r="L42" i="6"/>
  <c r="AG91" i="6" s="1"/>
  <c r="AH92" i="6"/>
  <c r="L43" i="6"/>
  <c r="AG92" i="6" s="1"/>
  <c r="L29" i="6"/>
  <c r="AG78" i="6" s="1"/>
  <c r="AH78" i="6"/>
  <c r="L37" i="6"/>
  <c r="AG86" i="6" s="1"/>
  <c r="AH86" i="6"/>
  <c r="AH67" i="6"/>
  <c r="L18" i="6"/>
  <c r="AG67" i="6" s="1"/>
  <c r="AH76" i="6"/>
  <c r="L27" i="6"/>
  <c r="AG76" i="6" s="1"/>
  <c r="L13" i="6"/>
  <c r="AG62" i="6" s="1"/>
  <c r="AH62" i="6"/>
  <c r="L6" i="6"/>
  <c r="AG55" i="6" s="1"/>
  <c r="AH55" i="6"/>
  <c r="L14" i="6"/>
  <c r="AG63" i="6" s="1"/>
  <c r="AH63" i="6"/>
  <c r="L22" i="6"/>
  <c r="AG71" i="6" s="1"/>
  <c r="AH71" i="6"/>
  <c r="L30" i="6"/>
  <c r="AH79" i="6"/>
  <c r="L38" i="6"/>
  <c r="AG87" i="6" s="1"/>
  <c r="AH87" i="6"/>
  <c r="AH75" i="6"/>
  <c r="L26" i="6"/>
  <c r="AG75" i="6" s="1"/>
  <c r="AH60" i="6"/>
  <c r="L11" i="6"/>
  <c r="AG60" i="6" s="1"/>
  <c r="L21" i="6"/>
  <c r="AG70" i="6" s="1"/>
  <c r="AH70" i="6"/>
  <c r="L7" i="6"/>
  <c r="AG56" i="6" s="1"/>
  <c r="AH56" i="6"/>
  <c r="L15" i="6"/>
  <c r="AH64" i="6"/>
  <c r="L23" i="6"/>
  <c r="AG72" i="6" s="1"/>
  <c r="AH72" i="6"/>
  <c r="L31" i="6"/>
  <c r="AG80" i="6" s="1"/>
  <c r="AH80" i="6"/>
  <c r="L39" i="6"/>
  <c r="AG88" i="6" s="1"/>
  <c r="AH88" i="6"/>
  <c r="AH83" i="6"/>
  <c r="L34" i="6"/>
  <c r="AG83" i="6" s="1"/>
  <c r="L5" i="6"/>
  <c r="AH54" i="6"/>
  <c r="AH57" i="6"/>
  <c r="L8" i="6"/>
  <c r="AG57" i="6" s="1"/>
  <c r="AH65" i="6"/>
  <c r="L16" i="6"/>
  <c r="AG65" i="6" s="1"/>
  <c r="AH73" i="6"/>
  <c r="L24" i="6"/>
  <c r="AG73" i="6" s="1"/>
  <c r="AH81" i="6"/>
  <c r="L32" i="6"/>
  <c r="AG81" i="6" s="1"/>
  <c r="AH89" i="6"/>
  <c r="L40" i="6"/>
  <c r="L5" i="5"/>
  <c r="AH54" i="5"/>
  <c r="L37" i="5"/>
  <c r="AG86" i="5" s="1"/>
  <c r="AH86" i="5"/>
  <c r="L6" i="5"/>
  <c r="AG55" i="5" s="1"/>
  <c r="AH55" i="5"/>
  <c r="L14" i="5"/>
  <c r="AG63" i="5" s="1"/>
  <c r="AH63" i="5"/>
  <c r="L22" i="5"/>
  <c r="AG71" i="5" s="1"/>
  <c r="AH71" i="5"/>
  <c r="L30" i="5"/>
  <c r="AH79" i="5"/>
  <c r="L38" i="5"/>
  <c r="AG87" i="5" s="1"/>
  <c r="AH87" i="5"/>
  <c r="L21" i="5"/>
  <c r="AG70" i="5" s="1"/>
  <c r="AH70" i="5"/>
  <c r="L7" i="5"/>
  <c r="AG56" i="5" s="1"/>
  <c r="AH56" i="5"/>
  <c r="AH64" i="5"/>
  <c r="L15" i="5"/>
  <c r="L23" i="5"/>
  <c r="AG72" i="5" s="1"/>
  <c r="AH72" i="5"/>
  <c r="L31" i="5"/>
  <c r="AG80" i="5" s="1"/>
  <c r="AH80" i="5"/>
  <c r="L39" i="5"/>
  <c r="AG88" i="5" s="1"/>
  <c r="AH88" i="5"/>
  <c r="L29" i="5"/>
  <c r="AG78" i="5" s="1"/>
  <c r="AH78" i="5"/>
  <c r="AH57" i="5"/>
  <c r="L8" i="5"/>
  <c r="AG57" i="5" s="1"/>
  <c r="AH65" i="5"/>
  <c r="L16" i="5"/>
  <c r="AG65" i="5" s="1"/>
  <c r="AH73" i="5"/>
  <c r="L24" i="5"/>
  <c r="AG73" i="5" s="1"/>
  <c r="AH81" i="5"/>
  <c r="L32" i="5"/>
  <c r="AG81" i="5" s="1"/>
  <c r="AH89" i="5"/>
  <c r="L40" i="5"/>
  <c r="AH74" i="5"/>
  <c r="L25" i="5"/>
  <c r="AH82" i="5"/>
  <c r="L33" i="5"/>
  <c r="AG82" i="5" s="1"/>
  <c r="AH90" i="5"/>
  <c r="L41" i="5"/>
  <c r="AG90" i="5" s="1"/>
  <c r="AH58" i="5"/>
  <c r="L9" i="5"/>
  <c r="AG58" i="5" s="1"/>
  <c r="AH59" i="5"/>
  <c r="L10" i="5"/>
  <c r="AH67" i="5"/>
  <c r="L18" i="5"/>
  <c r="AG67" i="5" s="1"/>
  <c r="AH75" i="5"/>
  <c r="L26" i="5"/>
  <c r="AG75" i="5" s="1"/>
  <c r="AH83" i="5"/>
  <c r="L34" i="5"/>
  <c r="AG83" i="5" s="1"/>
  <c r="AH91" i="5"/>
  <c r="L42" i="5"/>
  <c r="AG91" i="5" s="1"/>
  <c r="L13" i="5"/>
  <c r="AG62" i="5" s="1"/>
  <c r="AH62" i="5"/>
  <c r="AH66" i="5"/>
  <c r="L17" i="5"/>
  <c r="AG66" i="5" s="1"/>
  <c r="AH60" i="5"/>
  <c r="L11" i="5"/>
  <c r="AG60" i="5" s="1"/>
  <c r="AH68" i="5"/>
  <c r="L19" i="5"/>
  <c r="AG68" i="5" s="1"/>
  <c r="AH76" i="5"/>
  <c r="L27" i="5"/>
  <c r="AG76" i="5" s="1"/>
  <c r="AH84" i="5"/>
  <c r="L35" i="5"/>
  <c r="AH92" i="5"/>
  <c r="L43" i="5"/>
  <c r="AG92" i="5" s="1"/>
  <c r="AH61" i="5"/>
  <c r="L12" i="5"/>
  <c r="AG61" i="5" s="1"/>
  <c r="AH69" i="5"/>
  <c r="L20" i="5"/>
  <c r="AH77" i="5"/>
  <c r="L28" i="5"/>
  <c r="AG77" i="5" s="1"/>
  <c r="AH85" i="5"/>
  <c r="L36" i="5"/>
  <c r="AG85" i="5" s="1"/>
  <c r="AH93" i="5"/>
  <c r="L44" i="5"/>
  <c r="AG93" i="5" s="1"/>
  <c r="A17" i="7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AX49" i="6"/>
  <c r="AW49" i="6"/>
  <c r="AC49" i="6"/>
  <c r="AB49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J1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Q59" i="5"/>
  <c r="AP59" i="5"/>
  <c r="AV58" i="5"/>
  <c r="AU58" i="5"/>
  <c r="AT58" i="5"/>
  <c r="AS58" i="5"/>
  <c r="AR58" i="5"/>
  <c r="AQ58" i="5"/>
  <c r="AP58" i="5"/>
  <c r="AV57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S55" i="5"/>
  <c r="AR55" i="5"/>
  <c r="AQ55" i="5"/>
  <c r="AP55" i="5"/>
  <c r="AV54" i="5"/>
  <c r="AU54" i="5"/>
  <c r="AT54" i="5"/>
  <c r="AS54" i="5"/>
  <c r="AR54" i="5"/>
  <c r="AQ54" i="5"/>
  <c r="AP54" i="5"/>
  <c r="AX49" i="5"/>
  <c r="AW49" i="5"/>
  <c r="AC49" i="5"/>
  <c r="AB49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BH35" i="6" a="1"/>
  <c r="BI20" i="6" a="1"/>
  <c r="BI40" i="6" a="1"/>
  <c r="BH25" i="6" a="1"/>
  <c r="BM35" i="6" a="1"/>
  <c r="BM5" i="6" a="1"/>
  <c r="BM25" i="6" a="1"/>
  <c r="BM10" i="6" a="1"/>
  <c r="BI5" i="6" a="1"/>
  <c r="BI25" i="6" a="1"/>
  <c r="BI10" i="6" a="1"/>
  <c r="BH5" i="6" a="1"/>
  <c r="BH10" i="6" a="1"/>
  <c r="BI15" i="6" a="1"/>
  <c r="BI30" i="6" a="1"/>
  <c r="BH15" i="6" a="1"/>
  <c r="BH20" i="6" a="1"/>
  <c r="BH30" i="6" a="1"/>
  <c r="BM15" i="6" a="1"/>
  <c r="BM40" i="6" a="1"/>
  <c r="BI35" i="6" a="1"/>
  <c r="BM20" i="6" a="1"/>
  <c r="BM30" i="6" a="1"/>
  <c r="BH40" i="6" a="1"/>
  <c r="BM15" i="5" a="1"/>
  <c r="BM25" i="5" a="1"/>
  <c r="BM10" i="5" a="1"/>
  <c r="BH40" i="5" a="1"/>
  <c r="BI25" i="5" a="1"/>
  <c r="BH20" i="5" a="1"/>
  <c r="BM40" i="5" a="1"/>
  <c r="BI5" i="5" a="1"/>
  <c r="BH25" i="5" a="1"/>
  <c r="BM20" i="5" a="1"/>
  <c r="BH35" i="5" a="1"/>
  <c r="BH5" i="5" a="1"/>
  <c r="BI35" i="5" a="1"/>
  <c r="BI20" i="5" a="1"/>
  <c r="BI30" i="5" a="1"/>
  <c r="BM5" i="5" a="1"/>
  <c r="BI15" i="5" a="1"/>
  <c r="BM35" i="5" a="1"/>
  <c r="BH30" i="5" a="1"/>
  <c r="BI40" i="5" a="1"/>
  <c r="BH15" i="5" a="1"/>
  <c r="BI10" i="5" a="1"/>
  <c r="BM30" i="5" a="1"/>
  <c r="BH10" i="5" a="1"/>
  <c r="BH40" i="6" l="1"/>
  <c r="BM30" i="6"/>
  <c r="BM20" i="6"/>
  <c r="BI35" i="6"/>
  <c r="BM40" i="6"/>
  <c r="BM15" i="6"/>
  <c r="BH30" i="6"/>
  <c r="BH20" i="6"/>
  <c r="BH15" i="6"/>
  <c r="BI30" i="6"/>
  <c r="BI15" i="6"/>
  <c r="BH10" i="6"/>
  <c r="BH5" i="6"/>
  <c r="BI10" i="6"/>
  <c r="BI25" i="6"/>
  <c r="BI5" i="6"/>
  <c r="BM10" i="6"/>
  <c r="BM25" i="6"/>
  <c r="BM5" i="6"/>
  <c r="BM35" i="6"/>
  <c r="BH25" i="6"/>
  <c r="BI40" i="6"/>
  <c r="BI20" i="6"/>
  <c r="BI46" i="6" s="1"/>
  <c r="BH35" i="6"/>
  <c r="BH10" i="5"/>
  <c r="BM30" i="5"/>
  <c r="BI10" i="5"/>
  <c r="BH15" i="5"/>
  <c r="BH46" i="5" s="1"/>
  <c r="BI40" i="5"/>
  <c r="BH30" i="5"/>
  <c r="BM35" i="5"/>
  <c r="BI15" i="5"/>
  <c r="BI46" i="5" s="1"/>
  <c r="BM5" i="5"/>
  <c r="BI30" i="5"/>
  <c r="BI20" i="5"/>
  <c r="BI35" i="5"/>
  <c r="BH5" i="5"/>
  <c r="BH45" i="5" s="1"/>
  <c r="BH35" i="5"/>
  <c r="BM20" i="5"/>
  <c r="BH25" i="5"/>
  <c r="BH47" i="5" s="1"/>
  <c r="BI5" i="5"/>
  <c r="BM40" i="5"/>
  <c r="BH20" i="5"/>
  <c r="BI25" i="5"/>
  <c r="BH40" i="5"/>
  <c r="BM10" i="5"/>
  <c r="BM25" i="5"/>
  <c r="BM15" i="5"/>
  <c r="BM46" i="5" s="1"/>
  <c r="V7" i="3"/>
  <c r="V8" i="3"/>
  <c r="I14" i="3"/>
  <c r="V12" i="3"/>
  <c r="I16" i="3"/>
  <c r="V6" i="3"/>
  <c r="AG74" i="6"/>
  <c r="AG84" i="6"/>
  <c r="AG89" i="6"/>
  <c r="AG69" i="6"/>
  <c r="AG54" i="6"/>
  <c r="AG79" i="6"/>
  <c r="AG64" i="6"/>
  <c r="AG59" i="6"/>
  <c r="AG59" i="5"/>
  <c r="AG74" i="5"/>
  <c r="AG89" i="5"/>
  <c r="AG84" i="5"/>
  <c r="AG64" i="5"/>
  <c r="AG79" i="5"/>
  <c r="AG69" i="5"/>
  <c r="AG54" i="5"/>
  <c r="BI45" i="5"/>
  <c r="P14" i="3"/>
  <c r="X14" i="3"/>
  <c r="P16" i="3"/>
  <c r="V16" i="3" s="1"/>
  <c r="C12" i="1" s="1"/>
  <c r="T18" i="3"/>
  <c r="C14" i="1" s="1"/>
  <c r="P15" i="3"/>
  <c r="X15" i="3"/>
  <c r="X16" i="3"/>
  <c r="V10" i="3"/>
  <c r="S18" i="3"/>
  <c r="C13" i="1" s="1"/>
  <c r="I15" i="3"/>
  <c r="V11" i="3"/>
  <c r="BR46" i="5"/>
  <c r="K45" i="5"/>
  <c r="BS46" i="5"/>
  <c r="AF45" i="5"/>
  <c r="AX50" i="5"/>
  <c r="C24" i="1" s="1"/>
  <c r="C17" i="7" s="1"/>
  <c r="AW50" i="5"/>
  <c r="C23" i="1" s="1"/>
  <c r="C16" i="7" s="1"/>
  <c r="BP45" i="6"/>
  <c r="BP47" i="5"/>
  <c r="BQ46" i="5"/>
  <c r="BP48" i="5"/>
  <c r="BR45" i="5"/>
  <c r="BR47" i="5"/>
  <c r="BQ48" i="5"/>
  <c r="BS48" i="5"/>
  <c r="AF47" i="5"/>
  <c r="BP45" i="5"/>
  <c r="K46" i="5"/>
  <c r="BQ47" i="5"/>
  <c r="BR48" i="5"/>
  <c r="AF46" i="5"/>
  <c r="BS47" i="5"/>
  <c r="BP46" i="5"/>
  <c r="K47" i="5"/>
  <c r="AW50" i="6"/>
  <c r="C35" i="1" s="1"/>
  <c r="J16" i="7" s="1"/>
  <c r="AX50" i="6"/>
  <c r="C36" i="1" s="1"/>
  <c r="J17" i="7" s="1"/>
  <c r="K48" i="6"/>
  <c r="BR46" i="6"/>
  <c r="AF48" i="6"/>
  <c r="K47" i="6"/>
  <c r="K46" i="6"/>
  <c r="BQ47" i="6"/>
  <c r="BR47" i="6"/>
  <c r="BQ46" i="6"/>
  <c r="BQ45" i="6"/>
  <c r="BR45" i="6"/>
  <c r="BS48" i="6"/>
  <c r="BS46" i="6"/>
  <c r="AF47" i="6"/>
  <c r="BP47" i="6"/>
  <c r="BQ48" i="6"/>
  <c r="AF45" i="6"/>
  <c r="AF46" i="6"/>
  <c r="BS47" i="6"/>
  <c r="BP46" i="6"/>
  <c r="X13" i="3"/>
  <c r="K48" i="5"/>
  <c r="V5" i="3"/>
  <c r="V9" i="3"/>
  <c r="AF48" i="5"/>
  <c r="K45" i="6"/>
  <c r="BS45" i="6"/>
  <c r="BP48" i="6"/>
  <c r="BR48" i="6"/>
  <c r="BQ45" i="5"/>
  <c r="I13" i="3"/>
  <c r="BS45" i="5"/>
  <c r="P13" i="3"/>
  <c r="V13" i="3" s="1"/>
  <c r="C9" i="1" s="1"/>
  <c r="BA25" i="6" a="1"/>
  <c r="BF5" i="6" a="1"/>
  <c r="BC15" i="6" a="1"/>
  <c r="BF10" i="6" a="1"/>
  <c r="BB35" i="6" a="1"/>
  <c r="BB15" i="6" a="1"/>
  <c r="BF25" i="6" a="1"/>
  <c r="BE35" i="6" a="1"/>
  <c r="BD40" i="6" a="1"/>
  <c r="BC20" i="6" a="1"/>
  <c r="BE5" i="6" a="1"/>
  <c r="BB20" i="6" a="1"/>
  <c r="BC10" i="6" a="1"/>
  <c r="BD25" i="6" a="1"/>
  <c r="BA35" i="6" a="1"/>
  <c r="BB40" i="6" a="1"/>
  <c r="BA20" i="6" a="1"/>
  <c r="BD5" i="6" a="1"/>
  <c r="BE30" i="6" a="1"/>
  <c r="BA15" i="6" a="1"/>
  <c r="BE10" i="6" a="1"/>
  <c r="BB25" i="6" a="1"/>
  <c r="BF35" i="6" a="1"/>
  <c r="AZ40" i="6" a="1"/>
  <c r="AZ20" i="6" a="1"/>
  <c r="BA5" i="6" a="1"/>
  <c r="BB30" i="6" a="1"/>
  <c r="AZ15" i="6" a="1"/>
  <c r="BD10" i="6" a="1"/>
  <c r="BC25" i="6" a="1"/>
  <c r="BA40" i="6" a="1"/>
  <c r="BF20" i="6" a="1"/>
  <c r="AZ5" i="6" a="1"/>
  <c r="BD15" i="6" a="1"/>
  <c r="BB10" i="6" a="1"/>
  <c r="AZ10" i="6" a="1"/>
  <c r="BE15" i="6" a="1"/>
  <c r="BE25" i="6" a="1"/>
  <c r="BC5" i="6" a="1"/>
  <c r="AZ35" i="6" a="1"/>
  <c r="BA30" i="6" a="1"/>
  <c r="AZ30" i="6" a="1"/>
  <c r="BC40" i="6" a="1"/>
  <c r="BF30" i="6" a="1"/>
  <c r="AZ25" i="6" a="1"/>
  <c r="BD35" i="6" a="1"/>
  <c r="BF40" i="6" a="1"/>
  <c r="BE20" i="6" a="1"/>
  <c r="BB5" i="6" a="1"/>
  <c r="BD30" i="6" a="1"/>
  <c r="BF15" i="6" a="1"/>
  <c r="BA10" i="6" a="1"/>
  <c r="BC35" i="6" a="1"/>
  <c r="BE40" i="6" a="1"/>
  <c r="BD20" i="6" a="1"/>
  <c r="BC30" i="6" a="1"/>
  <c r="AZ10" i="5" a="1"/>
  <c r="BD30" i="5" a="1"/>
  <c r="BB25" i="5" a="1"/>
  <c r="BD35" i="5" a="1"/>
  <c r="BC30" i="5" a="1"/>
  <c r="BE5" i="5" a="1"/>
  <c r="BA10" i="5" a="1"/>
  <c r="BD25" i="5" a="1"/>
  <c r="BD40" i="5" a="1"/>
  <c r="BC35" i="5" a="1"/>
  <c r="BF15" i="5" a="1"/>
  <c r="BB30" i="5" a="1"/>
  <c r="BA20" i="5" a="1"/>
  <c r="BD5" i="5" a="1"/>
  <c r="BE10" i="5" a="1"/>
  <c r="BC40" i="5" a="1"/>
  <c r="BB35" i="5" a="1"/>
  <c r="BE15" i="5" a="1"/>
  <c r="BA30" i="5" a="1"/>
  <c r="BA25" i="5" a="1"/>
  <c r="AZ20" i="5" a="1"/>
  <c r="BC5" i="5" a="1"/>
  <c r="BF20" i="5" a="1"/>
  <c r="BD10" i="5" a="1"/>
  <c r="AZ25" i="5" a="1"/>
  <c r="BB40" i="5" a="1"/>
  <c r="BA35" i="5" a="1"/>
  <c r="BB15" i="5" a="1"/>
  <c r="AZ30" i="5" a="1"/>
  <c r="BB5" i="5" a="1"/>
  <c r="BC10" i="5" a="1"/>
  <c r="BF25" i="5" a="1"/>
  <c r="BA40" i="5" a="1"/>
  <c r="BF35" i="5" a="1"/>
  <c r="BD15" i="5" a="1"/>
  <c r="BF30" i="5" a="1"/>
  <c r="BE20" i="5" a="1"/>
  <c r="BA5" i="5" a="1"/>
  <c r="BB10" i="5" a="1"/>
  <c r="BE25" i="5" a="1"/>
  <c r="AZ40" i="5" a="1"/>
  <c r="AZ35" i="5" a="1"/>
  <c r="BC15" i="5" a="1"/>
  <c r="BE30" i="5" a="1"/>
  <c r="BD20" i="5" a="1"/>
  <c r="AZ5" i="5" a="1"/>
  <c r="BC25" i="5" a="1"/>
  <c r="BF40" i="5" a="1"/>
  <c r="BE35" i="5" a="1"/>
  <c r="BA15" i="5" a="1"/>
  <c r="BB20" i="5" a="1"/>
  <c r="BF5" i="5" a="1"/>
  <c r="BF10" i="5" a="1"/>
  <c r="BE40" i="5" a="1"/>
  <c r="AZ15" i="5" a="1"/>
  <c r="BC20" i="5" a="1"/>
  <c r="BH47" i="6" l="1"/>
  <c r="BI45" i="6"/>
  <c r="BH45" i="6"/>
  <c r="BM45" i="6"/>
  <c r="BH48" i="6"/>
  <c r="BI48" i="6"/>
  <c r="BM46" i="6"/>
  <c r="BM47" i="6"/>
  <c r="BI47" i="6"/>
  <c r="BM48" i="6"/>
  <c r="BH46" i="6"/>
  <c r="BC30" i="6"/>
  <c r="M9" i="7" s="1"/>
  <c r="BD20" i="6"/>
  <c r="N7" i="7" s="1"/>
  <c r="BE40" i="6"/>
  <c r="O11" i="7" s="1"/>
  <c r="BC35" i="6"/>
  <c r="M10" i="7" s="1"/>
  <c r="BA10" i="6"/>
  <c r="K5" i="7" s="1"/>
  <c r="BF15" i="6"/>
  <c r="P6" i="7" s="1"/>
  <c r="BD30" i="6"/>
  <c r="N9" i="7" s="1"/>
  <c r="BB5" i="6"/>
  <c r="BE20" i="6"/>
  <c r="O7" i="7" s="1"/>
  <c r="BF40" i="6"/>
  <c r="P11" i="7" s="1"/>
  <c r="BD35" i="6"/>
  <c r="N10" i="7" s="1"/>
  <c r="AZ25" i="6"/>
  <c r="J8" i="7" s="1"/>
  <c r="BF30" i="6"/>
  <c r="P9" i="7" s="1"/>
  <c r="BC40" i="6"/>
  <c r="M11" i="7" s="1"/>
  <c r="AZ30" i="6"/>
  <c r="J9" i="7" s="1"/>
  <c r="BA30" i="6"/>
  <c r="K9" i="7" s="1"/>
  <c r="AZ35" i="6"/>
  <c r="J10" i="7" s="1"/>
  <c r="BC5" i="6"/>
  <c r="M4" i="7" s="1"/>
  <c r="BE25" i="6"/>
  <c r="BE15" i="6"/>
  <c r="O6" i="7" s="1"/>
  <c r="AZ10" i="6"/>
  <c r="J5" i="7" s="1"/>
  <c r="BB10" i="6"/>
  <c r="L5" i="7" s="1"/>
  <c r="BD15" i="6"/>
  <c r="N6" i="7" s="1"/>
  <c r="AZ5" i="6"/>
  <c r="BF20" i="6"/>
  <c r="P7" i="7" s="1"/>
  <c r="BA40" i="6"/>
  <c r="K11" i="7" s="1"/>
  <c r="BC25" i="6"/>
  <c r="M8" i="7" s="1"/>
  <c r="BD10" i="6"/>
  <c r="N5" i="7" s="1"/>
  <c r="AZ15" i="6"/>
  <c r="J6" i="7" s="1"/>
  <c r="BB30" i="6"/>
  <c r="L9" i="7" s="1"/>
  <c r="BA5" i="6"/>
  <c r="AZ20" i="6"/>
  <c r="J7" i="7" s="1"/>
  <c r="AZ40" i="6"/>
  <c r="J11" i="7" s="1"/>
  <c r="BF35" i="6"/>
  <c r="P10" i="7" s="1"/>
  <c r="BB25" i="6"/>
  <c r="L8" i="7" s="1"/>
  <c r="BE10" i="6"/>
  <c r="O5" i="7" s="1"/>
  <c r="BA15" i="6"/>
  <c r="K6" i="7" s="1"/>
  <c r="BE30" i="6"/>
  <c r="O9" i="7" s="1"/>
  <c r="BD5" i="6"/>
  <c r="BA20" i="6"/>
  <c r="K7" i="7" s="1"/>
  <c r="BB40" i="6"/>
  <c r="L11" i="7" s="1"/>
  <c r="BA35" i="6"/>
  <c r="K10" i="7" s="1"/>
  <c r="BD25" i="6"/>
  <c r="N8" i="7" s="1"/>
  <c r="BC10" i="6"/>
  <c r="M5" i="7" s="1"/>
  <c r="BB20" i="6"/>
  <c r="L7" i="7" s="1"/>
  <c r="BE5" i="6"/>
  <c r="O4" i="7" s="1"/>
  <c r="BC20" i="6"/>
  <c r="M7" i="7" s="1"/>
  <c r="BD40" i="6"/>
  <c r="N11" i="7" s="1"/>
  <c r="BE35" i="6"/>
  <c r="O10" i="7" s="1"/>
  <c r="BF25" i="6"/>
  <c r="P8" i="7" s="1"/>
  <c r="BB15" i="6"/>
  <c r="BB35" i="6"/>
  <c r="L10" i="7" s="1"/>
  <c r="BF10" i="6"/>
  <c r="P5" i="7" s="1"/>
  <c r="BC15" i="6"/>
  <c r="M6" i="7" s="1"/>
  <c r="BF5" i="6"/>
  <c r="P4" i="7" s="1"/>
  <c r="BA25" i="6"/>
  <c r="K8" i="7" s="1"/>
  <c r="BI48" i="5"/>
  <c r="BM45" i="5"/>
  <c r="BI47" i="5"/>
  <c r="BH48" i="5"/>
  <c r="BM47" i="5"/>
  <c r="BM48" i="5"/>
  <c r="BC20" i="5"/>
  <c r="F7" i="7" s="1"/>
  <c r="AZ15" i="5"/>
  <c r="C6" i="7" s="1"/>
  <c r="BE40" i="5"/>
  <c r="H11" i="7" s="1"/>
  <c r="BF10" i="5"/>
  <c r="I5" i="7" s="1"/>
  <c r="BF5" i="5"/>
  <c r="I4" i="7" s="1"/>
  <c r="BB20" i="5"/>
  <c r="E7" i="7" s="1"/>
  <c r="BA15" i="5"/>
  <c r="D6" i="7" s="1"/>
  <c r="BE35" i="5"/>
  <c r="H10" i="7" s="1"/>
  <c r="BF40" i="5"/>
  <c r="I11" i="7" s="1"/>
  <c r="BC25" i="5"/>
  <c r="F8" i="7" s="1"/>
  <c r="AZ5" i="5"/>
  <c r="BD20" i="5"/>
  <c r="G7" i="7" s="1"/>
  <c r="BE30" i="5"/>
  <c r="H9" i="7" s="1"/>
  <c r="BC15" i="5"/>
  <c r="F6" i="7" s="1"/>
  <c r="AZ35" i="5"/>
  <c r="C10" i="7" s="1"/>
  <c r="AZ40" i="5"/>
  <c r="C11" i="7" s="1"/>
  <c r="BE25" i="5"/>
  <c r="H8" i="7" s="1"/>
  <c r="BB10" i="5"/>
  <c r="E5" i="7" s="1"/>
  <c r="BA5" i="5"/>
  <c r="D4" i="7" s="1"/>
  <c r="BE20" i="5"/>
  <c r="H7" i="7" s="1"/>
  <c r="BF30" i="5"/>
  <c r="I9" i="7" s="1"/>
  <c r="BD15" i="5"/>
  <c r="G6" i="7" s="1"/>
  <c r="BF35" i="5"/>
  <c r="I10" i="7" s="1"/>
  <c r="BA40" i="5"/>
  <c r="D11" i="7" s="1"/>
  <c r="BF25" i="5"/>
  <c r="I8" i="7" s="1"/>
  <c r="BC10" i="5"/>
  <c r="F5" i="7" s="1"/>
  <c r="BB5" i="5"/>
  <c r="E4" i="7" s="1"/>
  <c r="AZ30" i="5"/>
  <c r="C9" i="7" s="1"/>
  <c r="BB15" i="5"/>
  <c r="E6" i="7" s="1"/>
  <c r="BA35" i="5"/>
  <c r="D10" i="7" s="1"/>
  <c r="BB40" i="5"/>
  <c r="E11" i="7" s="1"/>
  <c r="AZ25" i="5"/>
  <c r="C8" i="7" s="1"/>
  <c r="BD10" i="5"/>
  <c r="G5" i="7" s="1"/>
  <c r="BF20" i="5"/>
  <c r="I7" i="7" s="1"/>
  <c r="BC5" i="5"/>
  <c r="F4" i="7" s="1"/>
  <c r="AZ20" i="5"/>
  <c r="C7" i="7" s="1"/>
  <c r="BA25" i="5"/>
  <c r="D8" i="7" s="1"/>
  <c r="BA30" i="5"/>
  <c r="D9" i="7" s="1"/>
  <c r="BE15" i="5"/>
  <c r="H6" i="7" s="1"/>
  <c r="BB35" i="5"/>
  <c r="E10" i="7" s="1"/>
  <c r="BC40" i="5"/>
  <c r="F11" i="7" s="1"/>
  <c r="BE10" i="5"/>
  <c r="H5" i="7" s="1"/>
  <c r="BD5" i="5"/>
  <c r="BA20" i="5"/>
  <c r="D7" i="7" s="1"/>
  <c r="BB30" i="5"/>
  <c r="E9" i="7" s="1"/>
  <c r="BF15" i="5"/>
  <c r="I6" i="7" s="1"/>
  <c r="BC35" i="5"/>
  <c r="F10" i="7" s="1"/>
  <c r="BD40" i="5"/>
  <c r="G11" i="7" s="1"/>
  <c r="BD25" i="5"/>
  <c r="G8" i="7" s="1"/>
  <c r="BA10" i="5"/>
  <c r="D5" i="7" s="1"/>
  <c r="BE5" i="5"/>
  <c r="H4" i="7" s="1"/>
  <c r="BC30" i="5"/>
  <c r="F9" i="7" s="1"/>
  <c r="BD35" i="5"/>
  <c r="G10" i="7" s="1"/>
  <c r="BB25" i="5"/>
  <c r="E8" i="7" s="1"/>
  <c r="BD30" i="5"/>
  <c r="G9" i="7" s="1"/>
  <c r="AZ10" i="5"/>
  <c r="C5" i="7" s="1"/>
  <c r="V14" i="3"/>
  <c r="C10" i="1" s="1"/>
  <c r="V15" i="3"/>
  <c r="C11" i="1" s="1"/>
  <c r="G4" i="7"/>
  <c r="C4" i="7"/>
  <c r="BA46" i="5" l="1"/>
  <c r="D20" i="1" s="1"/>
  <c r="D13" i="7" s="1"/>
  <c r="BD45" i="6"/>
  <c r="G31" i="1" s="1"/>
  <c r="N12" i="7" s="1"/>
  <c r="BB45" i="6"/>
  <c r="E31" i="1" s="1"/>
  <c r="L12" i="7" s="1"/>
  <c r="BC46" i="6"/>
  <c r="F32" i="1" s="1"/>
  <c r="M13" i="7" s="1"/>
  <c r="N4" i="7"/>
  <c r="L4" i="7"/>
  <c r="AZ47" i="6"/>
  <c r="C33" i="1" s="1"/>
  <c r="J14" i="7" s="1"/>
  <c r="BB46" i="6"/>
  <c r="E32" i="1" s="1"/>
  <c r="L13" i="7" s="1"/>
  <c r="BE47" i="6"/>
  <c r="H33" i="1" s="1"/>
  <c r="O14" i="7" s="1"/>
  <c r="BA46" i="6"/>
  <c r="D32" i="1" s="1"/>
  <c r="K13" i="7" s="1"/>
  <c r="BE45" i="6"/>
  <c r="H31" i="1" s="1"/>
  <c r="O12" i="7" s="1"/>
  <c r="BB48" i="6"/>
  <c r="E34" i="1" s="1"/>
  <c r="L15" i="7" s="1"/>
  <c r="BA47" i="6"/>
  <c r="D33" i="1" s="1"/>
  <c r="K14" i="7" s="1"/>
  <c r="BF45" i="6"/>
  <c r="I31" i="1" s="1"/>
  <c r="P12" i="7" s="1"/>
  <c r="AZ46" i="6"/>
  <c r="C32" i="1" s="1"/>
  <c r="J13" i="7" s="1"/>
  <c r="BF48" i="6"/>
  <c r="I34" i="1" s="1"/>
  <c r="P15" i="7" s="1"/>
  <c r="BC45" i="6"/>
  <c r="F31" i="1" s="1"/>
  <c r="M12" i="7" s="1"/>
  <c r="O8" i="7"/>
  <c r="L6" i="7"/>
  <c r="BE46" i="6"/>
  <c r="H32" i="1" s="1"/>
  <c r="O13" i="7" s="1"/>
  <c r="BF46" i="6"/>
  <c r="I32" i="1" s="1"/>
  <c r="P13" i="7" s="1"/>
  <c r="BD47" i="6"/>
  <c r="G33" i="1" s="1"/>
  <c r="N14" i="7" s="1"/>
  <c r="BD48" i="6"/>
  <c r="G34" i="1" s="1"/>
  <c r="N15" i="7" s="1"/>
  <c r="BC48" i="6"/>
  <c r="F34" i="1" s="1"/>
  <c r="M15" i="7" s="1"/>
  <c r="BC47" i="6"/>
  <c r="F33" i="1" s="1"/>
  <c r="M14" i="7" s="1"/>
  <c r="BF47" i="6"/>
  <c r="I33" i="1" s="1"/>
  <c r="P14" i="7" s="1"/>
  <c r="BB47" i="6"/>
  <c r="E33" i="1" s="1"/>
  <c r="L14" i="7" s="1"/>
  <c r="BD46" i="6"/>
  <c r="G32" i="1" s="1"/>
  <c r="N13" i="7" s="1"/>
  <c r="BE48" i="6"/>
  <c r="H34" i="1" s="1"/>
  <c r="O15" i="7" s="1"/>
  <c r="BB45" i="5"/>
  <c r="E19" i="1" s="1"/>
  <c r="E12" i="7" s="1"/>
  <c r="AZ45" i="5"/>
  <c r="C19" i="1" s="1"/>
  <c r="C12" i="7" s="1"/>
  <c r="BF45" i="5"/>
  <c r="I19" i="1" s="1"/>
  <c r="I12" i="7" s="1"/>
  <c r="BD46" i="5"/>
  <c r="G20" i="1" s="1"/>
  <c r="G13" i="7" s="1"/>
  <c r="BB46" i="5"/>
  <c r="E20" i="1" s="1"/>
  <c r="E13" i="7" s="1"/>
  <c r="BA48" i="5"/>
  <c r="D22" i="1" s="1"/>
  <c r="D15" i="7" s="1"/>
  <c r="BC48" i="5"/>
  <c r="F22" i="1" s="1"/>
  <c r="F15" i="7" s="1"/>
  <c r="AZ48" i="5"/>
  <c r="C22" i="1" s="1"/>
  <c r="C15" i="7" s="1"/>
  <c r="BE47" i="5"/>
  <c r="H21" i="1" s="1"/>
  <c r="H14" i="7" s="1"/>
  <c r="AZ47" i="5"/>
  <c r="C21" i="1" s="1"/>
  <c r="C14" i="7" s="1"/>
  <c r="BD47" i="5"/>
  <c r="G21" i="1" s="1"/>
  <c r="G14" i="7" s="1"/>
  <c r="BB47" i="5"/>
  <c r="E21" i="1" s="1"/>
  <c r="E14" i="7" s="1"/>
  <c r="BC45" i="5"/>
  <c r="F19" i="1" s="1"/>
  <c r="F12" i="7" s="1"/>
  <c r="BE46" i="5"/>
  <c r="H20" i="1" s="1"/>
  <c r="H13" i="7" s="1"/>
  <c r="BF47" i="5"/>
  <c r="I21" i="1" s="1"/>
  <c r="I14" i="7" s="1"/>
  <c r="BB48" i="5"/>
  <c r="E22" i="1" s="1"/>
  <c r="E15" i="7" s="1"/>
  <c r="AZ46" i="5"/>
  <c r="C20" i="1" s="1"/>
  <c r="C13" i="7" s="1"/>
  <c r="BD45" i="5"/>
  <c r="G19" i="1" s="1"/>
  <c r="G12" i="7" s="1"/>
  <c r="BA47" i="5"/>
  <c r="D21" i="1" s="1"/>
  <c r="D14" i="7" s="1"/>
  <c r="BC46" i="5"/>
  <c r="F20" i="1" s="1"/>
  <c r="F13" i="7" s="1"/>
  <c r="BC47" i="5"/>
  <c r="F21" i="1" s="1"/>
  <c r="F14" i="7" s="1"/>
  <c r="BD48" i="5"/>
  <c r="G22" i="1" s="1"/>
  <c r="G15" i="7" s="1"/>
  <c r="BE48" i="5"/>
  <c r="H22" i="1" s="1"/>
  <c r="H15" i="7" s="1"/>
  <c r="BF46" i="5"/>
  <c r="I20" i="1" s="1"/>
  <c r="I13" i="7" s="1"/>
  <c r="BF48" i="5"/>
  <c r="I22" i="1" s="1"/>
  <c r="I15" i="7" s="1"/>
  <c r="BE45" i="5"/>
  <c r="H19" i="1" s="1"/>
  <c r="H12" i="7" s="1"/>
  <c r="BA45" i="5"/>
  <c r="D19" i="1" s="1"/>
  <c r="D12" i="7" s="1"/>
  <c r="K4" i="7"/>
  <c r="BA48" i="6"/>
  <c r="D34" i="1" s="1"/>
  <c r="K15" i="7" s="1"/>
  <c r="BA45" i="6"/>
  <c r="D31" i="1" s="1"/>
  <c r="K12" i="7" s="1"/>
  <c r="J4" i="7"/>
  <c r="AZ48" i="6"/>
  <c r="C34" i="1" s="1"/>
  <c r="J15" i="7" s="1"/>
  <c r="AZ45" i="6"/>
  <c r="C31" i="1" s="1"/>
  <c r="J12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<sst xmlns="http://schemas.openxmlformats.org/spreadsheetml/2006/main" count="957" uniqueCount="430">
  <si>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</si>
  <si>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</si>
  <si>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</si>
  <si>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</si>
  <si>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</si>
  <si>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</si>
  <si>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</si>
  <si>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</si>
  <si>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</si>
  <si>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</si>
  <si>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</si>
  <si>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</si>
  <si>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</si>
  <si>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</si>
  <si>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</si>
  <si>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</si>
  <si>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</si>
  <si>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</si>
  <si>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</si>
  <si>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</si>
  <si>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</si>
  <si>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</si>
  <si>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</si>
  <si>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</si>
  <si>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</si>
  <si>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</si>
  <si>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</si>
  <si>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</si>
  <si>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</si>
  <si>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</si>
  <si>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</si>
  <si>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</si>
  <si>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</si>
  <si>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</si>
  <si>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</si>
  <si>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</si>
  <si>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</si>
  <si>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</si>
  <si>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</si>
  <si>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</si>
  <si>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</si>
  <si>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</si>
  <si>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</si>
  <si>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</si>
  <si>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</si>
  <si>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</si>
  <si>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</si>
  <si>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</si>
  <si>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</si>
  <si>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</si>
  <si>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</si>
  <si>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</si>
  <si>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</si>
  <si>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</si>
  <si>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</si>
  <si>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</si>
  <si>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</si>
  <si>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</si>
  <si>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</si>
  <si>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</si>
  <si>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</si>
  <si>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</si>
  <si>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</si>
  <si>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</si>
  <si>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</si>
  <si>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</si>
  <si>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</si>
  <si>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</si>
  <si>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</si>
  <si>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</si>
  <si>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</si>
  <si>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</si>
  <si>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</si>
  <si>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</si>
  <si>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</si>
  <si>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</si>
  <si>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</si>
  <si>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</si>
  <si>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</si>
  <si>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</si>
  <si>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</si>
  <si>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</si>
  <si>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</si>
  <si>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</si>
  <si>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</si>
  <si>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</si>
  <si>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</si>
  <si>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</si>
  <si>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</si>
  <si>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</si>
  <si>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</si>
  <si>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</si>
  <si>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</si>
  <si>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</si>
  <si>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</si>
  <si>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</si>
  <si>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</si>
  <si>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</si>
  <si>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</si>
  <si>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</si>
  <si>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</si>
  <si>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</si>
  <si>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</si>
  <si>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</si>
  <si>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</si>
  <si>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</si>
  <si>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</si>
  <si>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</si>
  <si>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</si>
  <si>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</si>
  <si>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</si>
  <si>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</si>
  <si>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</si>
  <si>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</si>
  <si>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</si>
  <si>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</si>
  <si>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</si>
  <si>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</si>
  <si>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</si>
  <si>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</si>
  <si>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</si>
  <si>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</si>
  <si>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</si>
  <si>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</si>
  <si>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</si>
  <si>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</si>
  <si>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</si>
  <si>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</si>
  <si>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</si>
  <si>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</si>
  <si>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</si>
  <si>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</si>
  <si>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</si>
  <si>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</si>
  <si>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</si>
  <si>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</si>
  <si>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</si>
  <si>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</si>
  <si>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</si>
  <si>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</si>
  <si>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</si>
  <si>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</si>
  <si>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</si>
  <si>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</si>
  <si>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</si>
  <si>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</si>
  <si>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</si>
  <si>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</si>
  <si>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</si>
  <si>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</si>
  <si>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</si>
  <si>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</si>
  <si>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</si>
  <si>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</si>
  <si>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</si>
  <si>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</si>
  <si>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</si>
  <si>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</si>
  <si>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</si>
  <si>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</si>
  <si>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</si>
  <si>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</si>
  <si>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</si>
  <si>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</si>
  <si>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</si>
  <si>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</si>
  <si>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</si>
  <si>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</si>
  <si>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</si>
  <si>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</si>
  <si>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</si>
  <si>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</si>
  <si>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</si>
  <si>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</si>
  <si>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</si>
  <si>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</si>
  <si>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</si>
  <si>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</si>
  <si>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</si>
  <si>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</si>
  <si>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</si>
  <si>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</si>
  <si>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</si>
  <si>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</si>
  <si>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</si>
  <si>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</si>
  <si>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</si>
  <si>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</si>
  <si>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</si>
  <si>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</si>
  <si>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</si>
  <si>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</si>
  <si>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</si>
  <si>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</si>
  <si>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</si>
  <si>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</si>
  <si>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</si>
  <si>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</si>
  <si>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</si>
  <si>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</si>
  <si>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</si>
  <si>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</si>
  <si>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</si>
  <si>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</si>
  <si>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</si>
  <si>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</si>
  <si>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</si>
  <si>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</si>
  <si>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</si>
  <si>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</si>
  <si>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</si>
  <si>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</si>
  <si>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</si>
  <si>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</si>
  <si>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</si>
  <si>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</si>
  <si>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</si>
  <si>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</si>
  <si>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</si>
  <si>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</si>
  <si>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</si>
  <si>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</si>
  <si>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</si>
  <si>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</si>
  <si>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</si>
  <si>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</si>
  <si>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</si>
  <si>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</si>
  <si>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</si>
  <si>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</si>
  <si>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</si>
  <si>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</si>
  <si>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</si>
  <si>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</si>
  <si>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</si>
  <si>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</si>
  <si>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</si>
  <si>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</si>
  <si>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</si>
  <si>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</si>
  <si>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</si>
  <si>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</si>
  <si>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</si>
  <si>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</si>
  <si>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</si>
  <si>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</si>
  <si>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</si>
  <si>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</si>
  <si>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</si>
  <si>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</si>
  <si>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</si>
  <si>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</si>
  <si>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</si>
  <si>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</si>
  <si>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</si>
  <si>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</si>
  <si>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</si>
  <si>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</si>
  <si>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</si>
  <si>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</si>
  <si>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</si>
  <si>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</si>
  <si>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</si>
  <si>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</si>
  <si>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</si>
  <si>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</si>
  <si>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</si>
  <si>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</si>
  <si>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</si>
  <si>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</si>
  <si>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</si>
  <si>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</si>
  <si>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</si>
  <si>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</si>
  <si>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</si>
  <si>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</si>
  <si>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</si>
  <si>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</si>
  <si>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</si>
  <si>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</si>
  <si>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</si>
  <si>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</si>
  <si>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</si>
  <si>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</si>
  <si>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</si>
  <si>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</si>
  <si>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</si>
  <si>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</si>
  <si>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</si>
  <si>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</si>
  <si>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</si>
  <si>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</si>
  <si>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</si>
  <si>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</si>
  <si>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</si>
  <si>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</si>
  <si>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</si>
  <si>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</si>
  <si>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</si>
  <si>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</si>
  <si>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</si>
  <si>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</si>
  <si>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</si>
  <si>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</si>
  <si>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</si>
  <si>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</si>
  <si>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</si>
  <si>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</si>
  <si>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</si>
  <si>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</si>
  <si>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</si>
  <si>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</si>
  <si>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</si>
  <si>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</si>
  <si>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</si>
  <si>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</si>
  <si>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</si>
  <si>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</si>
  <si>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</si>
  <si>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</si>
  <si>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</si>
  <si>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</si>
  <si>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</si>
  <si>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</si>
  <si>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</si>
  <si>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</si>
  <si>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</si>
  <si>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</si>
  <si>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</si>
  <si>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</si>
  <si>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</si>
  <si>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</si>
  <si>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</si>
  <si>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</si>
  <si>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</si>
  <si>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</si>
  <si>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</si>
  <si>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</si>
  <si>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</si>
  <si>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</si>
  <si>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</si>
  <si>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</si>
  <si>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</si>
  <si>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</si>
  <si>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</si>
  <si>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</si>
  <si>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</si>
  <si>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</si>
  <si>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</si>
  <si>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</si>
  <si>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</si>
  <si>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</si>
  <si>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</si>
  <si>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</si>
  <si>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</si>
  <si>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</si>
  <si>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</si>
  <si>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</si>
  <si>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</si>
  <si>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</si>
  <si>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</si>
  <si>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</si>
  <si>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</si>
  <si>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</si>
  <si>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</si>
  <si>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</si>
  <si>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</si>
  <si>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</si>
  <si>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</si>
  <si>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</si>
  <si>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</si>
  <si>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</si>
  <si>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</si>
  <si>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</si>
  <si>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names!$B$155:$S$155</t>
  </si>
  <si>
    <t>names!$B$91:$S$91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</si>
  <si>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</si>
  <si>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</si>
  <si>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</si>
  <si>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</si>
  <si>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</si>
  <si>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</si>
  <si>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</si>
  <si>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</si>
  <si>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</si>
  <si>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</si>
  <si>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</si>
  <si>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</si>
  <si>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</si>
  <si>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</si>
  <si>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</si>
  <si>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</si>
  <si>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</si>
  <si>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</si>
  <si>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</si>
  <si>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</si>
  <si>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</si>
  <si>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</si>
  <si>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</si>
  <si>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</si>
  <si>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</si>
  <si>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</si>
  <si>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</si>
  <si>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</si>
  <si>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</si>
  <si>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</si>
  <si>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</si>
  <si>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</si>
  <si>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</si>
  <si>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</si>
  <si>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</si>
  <si>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</si>
  <si>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</si>
  <si>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</si>
  <si>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</si>
  <si>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</si>
  <si>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</si>
  <si>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</si>
  <si>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</si>
  <si>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</si>
  <si>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</si>
  <si>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</si>
  <si>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</si>
  <si>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</si>
  <si>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</si>
  <si>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</si>
  <si>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</si>
  <si>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</si>
  <si>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</si>
  <si>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F300_v7.0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</si>
</sst>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68.275727000000003</c:v>
                </c:pt>
                <c:pt idx="1">
                  <c:v>69.848750600000002</c:v>
                </c:pt>
                <c:pt idx="2">
                  <c:v>72.289744900000002</c:v>
                </c:pt>
                <c:pt idx="3">
                  <c:v>73.1766425</c:v>
                </c:pt>
                <c:pt idx="4">
                  <c:v>74.8687635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840496"/>
        <c:axId val="1419673408"/>
      </c:scatterChart>
      <c:valAx>
        <c:axId val="194984049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419673408"/>
        <c:crosses val="autoZero"/>
        <c:crossBetween val="midCat"/>
      </c:valAx>
      <c:valAx>
        <c:axId val="141967340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498404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69.273973699999999</c:v>
                </c:pt>
                <c:pt idx="1">
                  <c:v>71.018388000000002</c:v>
                </c:pt>
                <c:pt idx="2">
                  <c:v>73.8349707</c:v>
                </c:pt>
                <c:pt idx="3">
                  <c:v>74.859253300000006</c:v>
                </c:pt>
                <c:pt idx="4">
                  <c:v>76.829963500000005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54816"/>
        <c:axId val="1953250464"/>
      </c:scatterChart>
      <c:valAx>
        <c:axId val="195325481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953250464"/>
        <c:crosses val="autoZero"/>
        <c:crossBetween val="midCat"/>
      </c:valAx>
      <c:valAx>
        <c:axId val="195325046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532548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47.847315000000002</c:v>
                </c:pt>
                <c:pt idx="1">
                  <c:v>48.723240599999997</c:v>
                </c:pt>
                <c:pt idx="2">
                  <c:v>49.958850400000003</c:v>
                </c:pt>
                <c:pt idx="3">
                  <c:v>50.679596699999998</c:v>
                </c:pt>
                <c:pt idx="4">
                  <c:v>51.581727999999998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53728"/>
        <c:axId val="1953243936"/>
      </c:scatterChart>
      <c:valAx>
        <c:axId val="195325372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953243936"/>
        <c:crosses val="autoZero"/>
        <c:crossBetween val="midCat"/>
      </c:valAx>
      <c:valAx>
        <c:axId val="195324393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532537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27.833286399999999</c:v>
                </c:pt>
                <c:pt idx="1">
                  <c:v>31.070649299999999</c:v>
                </c:pt>
                <c:pt idx="2">
                  <c:v>32.276144199999997</c:v>
                </c:pt>
                <c:pt idx="3">
                  <c:v>33.235961799999998</c:v>
                </c:pt>
                <c:pt idx="4">
                  <c:v>34.883310199999997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48288"/>
        <c:axId val="1953249376"/>
      </c:scatterChart>
      <c:valAx>
        <c:axId val="195324828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953249376"/>
        <c:crosses val="autoZero"/>
        <c:crossBetween val="midCat"/>
      </c:valAx>
      <c:valAx>
        <c:axId val="195324937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532482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33.4783884</c:v>
                </c:pt>
                <c:pt idx="1">
                  <c:v>34.6786648</c:v>
                </c:pt>
                <c:pt idx="2">
                  <c:v>36.403483000000001</c:v>
                </c:pt>
                <c:pt idx="3">
                  <c:v>36.949134000000001</c:v>
                </c:pt>
                <c:pt idx="4">
                  <c:v>38.505768099999997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41760"/>
        <c:axId val="1953243392"/>
      </c:scatterChart>
      <c:valAx>
        <c:axId val="195324176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953243392"/>
        <c:crosses val="autoZero"/>
        <c:crossBetween val="midCat"/>
      </c:valAx>
      <c:valAx>
        <c:axId val="195324339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532417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32.863341699999999</c:v>
                </c:pt>
                <c:pt idx="1">
                  <c:v>34.188760199999997</c:v>
                </c:pt>
                <c:pt idx="2">
                  <c:v>36.136976300000001</c:v>
                </c:pt>
                <c:pt idx="3">
                  <c:v>36.675849900000003</c:v>
                </c:pt>
                <c:pt idx="4">
                  <c:v>38.2021005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46112"/>
        <c:axId val="1953254272"/>
      </c:scatterChart>
      <c:valAx>
        <c:axId val="195324611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953254272"/>
        <c:crosses val="autoZero"/>
        <c:crossBetween val="midCat"/>
      </c:valAx>
      <c:valAx>
        <c:axId val="195325427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532461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4.1858303999999995</c:v>
                </c:pt>
                <c:pt idx="1">
                  <c:v>8.5226000000000006</c:v>
                </c:pt>
                <c:pt idx="2">
                  <c:v>11.720097599999999</c:v>
                </c:pt>
                <c:pt idx="3">
                  <c:v>14.767744</c:v>
                </c:pt>
                <c:pt idx="4">
                  <c:v>22.312820800000001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26.589080299999999</c:v>
                </c:pt>
                <c:pt idx="1">
                  <c:v>28.702403700000001</c:v>
                </c:pt>
                <c:pt idx="2">
                  <c:v>30.217757500000001</c:v>
                </c:pt>
                <c:pt idx="3">
                  <c:v>30.985349500000002</c:v>
                </c:pt>
                <c:pt idx="4">
                  <c:v>32.376285500000002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55360"/>
        <c:axId val="1953248832"/>
      </c:scatterChart>
      <c:valAx>
        <c:axId val="195325536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1953248832"/>
        <c:crosses val="autoZero"/>
        <c:crossBetween val="midCat"/>
      </c:valAx>
      <c:valAx>
        <c:axId val="195324883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19532553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6"/>
  <sheetViews>
    <sheetView tabSelected="1" zoomScale="90" zoomScaleNormal="90" workbookViewId="0">
      <selection activeCell="F4" sqref="F4"/>
    </sheetView>
  </sheetViews>
  <sheetFormatPr defaultColWidth="9.125" defaultRowHeight="13.5" x14ac:dyDescent="0.15"/>
  <cols>
    <col min="2" max="2" width="16.75" customWidth="1"/>
    <col min="3" max="9" width="24.75" customWidth="1"/>
  </cols>
  <sheetData>
    <row r="1" spans="2:9" x14ac:dyDescent="0.15">
      <c r="B1" t="s">
        <v>0</v>
      </c>
      <c r="C1" s="105" t="s">
        <v>429</v>
      </c>
      <c r="D1" s="105"/>
      <c r="E1" s="105"/>
    </row>
    <row r="2" spans="2:9" x14ac:dyDescent="0.15">
      <c r="B2" t="s">
        <v>1</v>
      </c>
      <c r="C2" s="106"/>
      <c r="D2" s="106"/>
      <c r="E2" s="106"/>
    </row>
    <row r="4" spans="2:9" s="1" customFormat="1" x14ac:dyDescent="0.15">
      <c r="B4" s="1" t="s">
        <v>2</v>
      </c>
    </row>
    <row r="6" spans="2:9" ht="45" customHeight="1" x14ac:dyDescent="0.15">
      <c r="B6" s="107" t="s">
        <v>3</v>
      </c>
      <c r="C6" s="2" t="s">
        <v>4</v>
      </c>
    </row>
    <row r="7" spans="2:9" x14ac:dyDescent="0.15">
      <c r="B7" s="108"/>
      <c r="C7" s="3" t="s">
        <v>5</v>
      </c>
    </row>
    <row r="8" spans="2:9" x14ac:dyDescent="0.15">
      <c r="B8" s="109"/>
      <c r="C8" s="4" t="s">
        <v>6</v>
      </c>
    </row>
    <row r="9" spans="2:9" x14ac:dyDescent="0.15">
      <c r="B9" t="s">
        <v>7</v>
      </c>
      <c r="C9" s="5" t="e">
        <f>'C0 lossless AI'!V13</f>
        <v>#DIV/0!</v>
      </c>
    </row>
    <row r="10" spans="2:9" x14ac:dyDescent="0.15">
      <c r="B10" t="s">
        <v>8</v>
      </c>
      <c r="C10" s="5" t="e">
        <f>'C0 lossless AI'!V14</f>
        <v>#DIV/0!</v>
      </c>
    </row>
    <row r="11" spans="2:9" x14ac:dyDescent="0.15">
      <c r="B11" t="s">
        <v>9</v>
      </c>
      <c r="C11" s="5" t="e">
        <f>'C0 lossless AI'!V15</f>
        <v>#DIV/0!</v>
      </c>
    </row>
    <row r="12" spans="2:9" x14ac:dyDescent="0.15">
      <c r="B12" s="6" t="s">
        <v>10</v>
      </c>
      <c r="C12" s="7" t="e">
        <f>'C0 lossless AI'!V16</f>
        <v>#DIV/0!</v>
      </c>
    </row>
    <row r="13" spans="2:9" x14ac:dyDescent="0.15">
      <c r="B13" t="s">
        <v>11</v>
      </c>
      <c r="C13" s="8">
        <f>'C0 lossless AI'!S18</f>
        <v>0</v>
      </c>
    </row>
    <row r="14" spans="2:9" x14ac:dyDescent="0.15">
      <c r="B14" s="9" t="s">
        <v>12</v>
      </c>
      <c r="C14" s="10">
        <f>'C0 lossless AI'!T18</f>
        <v>0</v>
      </c>
    </row>
    <row r="16" spans="2:9" x14ac:dyDescent="0.15">
      <c r="B16" s="107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15">
      <c r="B17" s="108"/>
      <c r="C17" s="112" t="s">
        <v>15</v>
      </c>
      <c r="D17" s="108"/>
      <c r="E17" s="108"/>
      <c r="F17" s="108"/>
      <c r="G17" s="108"/>
      <c r="H17" s="113" t="s">
        <v>16</v>
      </c>
      <c r="I17" s="108"/>
    </row>
    <row r="18" spans="2:9" x14ac:dyDescent="0.15">
      <c r="B18" s="109"/>
      <c r="C18" s="4" t="s">
        <v>17</v>
      </c>
      <c r="D18" s="4" t="s">
        <v>18</v>
      </c>
      <c r="E18" s="4" t="s">
        <v>19</v>
      </c>
      <c r="F18" s="4" t="s">
        <v>20</v>
      </c>
      <c r="G18" s="4" t="s">
        <v>21</v>
      </c>
      <c r="H18" s="11" t="s">
        <v>22</v>
      </c>
      <c r="I18" s="11" t="s">
        <v>19</v>
      </c>
    </row>
    <row r="19" spans="2:9" x14ac:dyDescent="0.15">
      <c r="B19" t="s">
        <v>7</v>
      </c>
      <c r="C19" s="5" t="e">
        <f>'C1 lossy AI'!$AZ$45:$AZ$45</f>
        <v>#DIV/0!</v>
      </c>
      <c r="D19" s="5" t="e">
        <f>'C1 lossy AI'!$BA$45:$BA$45</f>
        <v>#DIV/0!</v>
      </c>
      <c r="E19" s="5" t="e">
        <f>'C1 lossy AI'!$BB$45:$BB$45</f>
        <v>#DIV/0!</v>
      </c>
      <c r="F19" s="5" t="e">
        <f>'C1 lossy AI'!$BC$45:$BC$45</f>
        <v>#DIV/0!</v>
      </c>
      <c r="G19" s="5" t="e">
        <f>'C1 lossy AI'!$BD$45:$BD$45</f>
        <v>#DIV/0!</v>
      </c>
      <c r="H19" s="5" t="e">
        <f>'C1 lossy AI'!$BE$45:$BE$45</f>
        <v>#DIV/0!</v>
      </c>
      <c r="I19" s="5" t="e">
        <f>'C1 lossy AI'!$BF$45:$BF$45</f>
        <v>#DIV/0!</v>
      </c>
    </row>
    <row r="20" spans="2:9" x14ac:dyDescent="0.15">
      <c r="B20" t="s">
        <v>8</v>
      </c>
      <c r="C20" s="5" t="e">
        <f>'C1 lossy AI'!$AZ$46:$AZ$46</f>
        <v>#DIV/0!</v>
      </c>
      <c r="D20" s="5" t="e">
        <f>'C1 lossy AI'!$BA$46:$BA$46</f>
        <v>#DIV/0!</v>
      </c>
      <c r="E20" s="5" t="e">
        <f>'C1 lossy AI'!$BB$46:$BB$46</f>
        <v>#DIV/0!</v>
      </c>
      <c r="F20" s="5" t="e">
        <f>'C1 lossy AI'!$BC$46:$BC$46</f>
        <v>#DIV/0!</v>
      </c>
      <c r="G20" s="5" t="e">
        <f>'C1 lossy AI'!$BD$46:$BD$46</f>
        <v>#DIV/0!</v>
      </c>
      <c r="H20" s="5" t="e">
        <f>'C1 lossy AI'!$BE$46:$BE$46</f>
        <v>#DIV/0!</v>
      </c>
      <c r="I20" s="5" t="e">
        <f>'C1 lossy AI'!$BF$46:$BF$46</f>
        <v>#DIV/0!</v>
      </c>
    </row>
    <row r="21" spans="2:9" x14ac:dyDescent="0.15">
      <c r="B21" t="s">
        <v>9</v>
      </c>
      <c r="C21" s="5" t="e">
        <f>'C1 lossy AI'!$AZ$47:$AZ$47</f>
        <v>#DIV/0!</v>
      </c>
      <c r="D21" s="5" t="e">
        <f>'C1 lossy AI'!$BA$47:$BA$47</f>
        <v>#DIV/0!</v>
      </c>
      <c r="E21" s="5" t="e">
        <f>'C1 lossy AI'!$BB$47:$BB$47</f>
        <v>#DIV/0!</v>
      </c>
      <c r="F21" s="5" t="e">
        <f>'C1 lossy AI'!$BC$47:$BC$47</f>
        <v>#DIV/0!</v>
      </c>
      <c r="G21" s="5" t="e">
        <f>'C1 lossy AI'!$BD$47:$BD$47</f>
        <v>#DIV/0!</v>
      </c>
      <c r="H21" s="5" t="e">
        <f>'C1 lossy AI'!$BE$47:$BE$47</f>
        <v>#DIV/0!</v>
      </c>
      <c r="I21" s="5" t="e">
        <f>'C1 lossy AI'!$BF$47:$BF$47</f>
        <v>#DIV/0!</v>
      </c>
    </row>
    <row r="22" spans="2:9" x14ac:dyDescent="0.15">
      <c r="B22" s="6" t="s">
        <v>10</v>
      </c>
      <c r="C22" s="7" t="e">
        <f>'C1 lossy AI'!$AZ$48:$AZ$48</f>
        <v>#DIV/0!</v>
      </c>
      <c r="D22" s="7" t="e">
        <f>'C1 lossy AI'!$BA$48:$BA$48</f>
        <v>#DIV/0!</v>
      </c>
      <c r="E22" s="7" t="e">
        <f>'C1 lossy AI'!$BB$48:$BB$48</f>
        <v>#DIV/0!</v>
      </c>
      <c r="F22" s="7" t="e">
        <f>'C1 lossy AI'!$BC$48:$BC$48</f>
        <v>#DIV/0!</v>
      </c>
      <c r="G22" s="7" t="e">
        <f>'C1 lossy AI'!$BD$48:$BD$48</f>
        <v>#DIV/0!</v>
      </c>
      <c r="H22" s="7" t="e">
        <f>'C1 lossy AI'!$BE$48:$BE$48</f>
        <v>#DIV/0!</v>
      </c>
      <c r="I22" s="7" t="e">
        <f>'C1 lossy AI'!$BF$48:$BF$48</f>
        <v>#DIV/0!</v>
      </c>
    </row>
    <row r="23" spans="2:9" x14ac:dyDescent="0.15">
      <c r="B23" t="s">
        <v>11</v>
      </c>
      <c r="C23" s="114">
        <f>'C1 lossy AI'!AW50</f>
        <v>0</v>
      </c>
      <c r="D23" s="108"/>
      <c r="E23" s="108"/>
      <c r="F23" s="108"/>
      <c r="G23" s="108"/>
      <c r="H23" s="108"/>
      <c r="I23" s="108"/>
    </row>
    <row r="24" spans="2:9" x14ac:dyDescent="0.15">
      <c r="B24" s="9" t="s">
        <v>12</v>
      </c>
      <c r="C24" s="115">
        <f>'C1 lossy AI'!AX50</f>
        <v>0</v>
      </c>
      <c r="D24" s="109"/>
      <c r="E24" s="109"/>
      <c r="F24" s="109"/>
      <c r="G24" s="109"/>
      <c r="H24" s="109"/>
      <c r="I24" s="109"/>
    </row>
    <row r="26" spans="2:9" s="1" customFormat="1" x14ac:dyDescent="0.15">
      <c r="B26" s="1" t="s">
        <v>23</v>
      </c>
    </row>
    <row r="28" spans="2:9" x14ac:dyDescent="0.15">
      <c r="B28" s="107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15">
      <c r="B29" s="108"/>
      <c r="C29" s="112" t="s">
        <v>15</v>
      </c>
      <c r="D29" s="108"/>
      <c r="E29" s="108"/>
      <c r="F29" s="108"/>
      <c r="G29" s="108"/>
      <c r="H29" s="113" t="s">
        <v>16</v>
      </c>
      <c r="I29" s="108"/>
    </row>
    <row r="30" spans="2:9" x14ac:dyDescent="0.15">
      <c r="B30" s="109"/>
      <c r="C30" s="4" t="s">
        <v>17</v>
      </c>
      <c r="D30" s="4" t="s">
        <v>18</v>
      </c>
      <c r="E30" s="4" t="s">
        <v>19</v>
      </c>
      <c r="F30" s="4" t="s">
        <v>20</v>
      </c>
      <c r="G30" s="4" t="s">
        <v>21</v>
      </c>
      <c r="H30" s="11" t="s">
        <v>22</v>
      </c>
      <c r="I30" s="11" t="s">
        <v>19</v>
      </c>
    </row>
    <row r="31" spans="2:9" x14ac:dyDescent="0.15">
      <c r="B31" t="s">
        <v>7</v>
      </c>
      <c r="C31" s="5" t="e">
        <f>'C2 lossy RA'!$AZ$45:$AZ$45</f>
        <v>#DIV/0!</v>
      </c>
      <c r="D31" s="5" t="e">
        <f>'C2 lossy RA'!$BA$45:$BA$45</f>
        <v>#DIV/0!</v>
      </c>
      <c r="E31" s="5" t="e">
        <f>'C2 lossy RA'!$BB$45:$BB$45</f>
        <v>#DIV/0!</v>
      </c>
      <c r="F31" s="5" t="e">
        <f>'C2 lossy RA'!$BC$45:$BC$45</f>
        <v>#DIV/0!</v>
      </c>
      <c r="G31" s="5" t="e">
        <f>'C2 lossy RA'!$BD$45:$BD$45</f>
        <v>#DIV/0!</v>
      </c>
      <c r="H31" s="5" t="e">
        <f>'C2 lossy RA'!$BE$45:$BE$45</f>
        <v>#DIV/0!</v>
      </c>
      <c r="I31" s="5" t="e">
        <f>'C2 lossy RA'!$BF$45:$BF$45</f>
        <v>#DIV/0!</v>
      </c>
    </row>
    <row r="32" spans="2:9" x14ac:dyDescent="0.15">
      <c r="B32" t="s">
        <v>8</v>
      </c>
      <c r="C32" s="5" t="e">
        <f>'C2 lossy RA'!$AZ$46:$AZ$46</f>
        <v>#DIV/0!</v>
      </c>
      <c r="D32" s="5" t="e">
        <f>'C2 lossy RA'!$BA$46:$BA$46</f>
        <v>#DIV/0!</v>
      </c>
      <c r="E32" s="5" t="e">
        <f>'C2 lossy RA'!$BB$46:$BB$46</f>
        <v>#DIV/0!</v>
      </c>
      <c r="F32" s="5" t="e">
        <f>'C2 lossy RA'!$BC$46:$BC$46</f>
        <v>#DIV/0!</v>
      </c>
      <c r="G32" s="5" t="e">
        <f>'C2 lossy RA'!$BD$46:$BD$46</f>
        <v>#DIV/0!</v>
      </c>
      <c r="H32" s="5" t="e">
        <f>'C2 lossy RA'!$BE$46:$BE$46</f>
        <v>#DIV/0!</v>
      </c>
      <c r="I32" s="5" t="e">
        <f>'C2 lossy RA'!$BF$46:$BF$46</f>
        <v>#DIV/0!</v>
      </c>
    </row>
    <row r="33" spans="2:9" x14ac:dyDescent="0.15">
      <c r="B33" t="s">
        <v>9</v>
      </c>
      <c r="C33" s="5" t="e">
        <f>'C2 lossy RA'!$AZ$47:$AZ$47</f>
        <v>#DIV/0!</v>
      </c>
      <c r="D33" s="5" t="e">
        <f>'C2 lossy RA'!$BA$47:$BA$47</f>
        <v>#DIV/0!</v>
      </c>
      <c r="E33" s="5" t="e">
        <f>'C2 lossy RA'!$BB$47:$BB$47</f>
        <v>#DIV/0!</v>
      </c>
      <c r="F33" s="5" t="e">
        <f>'C2 lossy RA'!$BC$47:$BC$47</f>
        <v>#DIV/0!</v>
      </c>
      <c r="G33" s="5" t="e">
        <f>'C2 lossy RA'!$BD$47:$BD$47</f>
        <v>#DIV/0!</v>
      </c>
      <c r="H33" s="5" t="e">
        <f>'C2 lossy RA'!$BE$47:$BE$47</f>
        <v>#DIV/0!</v>
      </c>
      <c r="I33" s="5" t="e">
        <f>'C2 lossy RA'!$BF$47:$BF$47</f>
        <v>#DIV/0!</v>
      </c>
    </row>
    <row r="34" spans="2:9" x14ac:dyDescent="0.15">
      <c r="B34" s="6" t="s">
        <v>10</v>
      </c>
      <c r="C34" s="7" t="e">
        <f>'C2 lossy RA'!$AZ$48:$AZ$48</f>
        <v>#DIV/0!</v>
      </c>
      <c r="D34" s="7" t="e">
        <f>'C2 lossy RA'!$BA$48:$BA$48</f>
        <v>#DIV/0!</v>
      </c>
      <c r="E34" s="7" t="e">
        <f>'C2 lossy RA'!$BB$48:$BB$48</f>
        <v>#DIV/0!</v>
      </c>
      <c r="F34" s="7" t="e">
        <f>'C2 lossy RA'!$BC$48:$BC$48</f>
        <v>#DIV/0!</v>
      </c>
      <c r="G34" s="7" t="e">
        <f>'C2 lossy RA'!$BD$48:$BD$48</f>
        <v>#DIV/0!</v>
      </c>
      <c r="H34" s="7" t="e">
        <f>'C2 lossy RA'!$BE$48:$BE$48</f>
        <v>#DIV/0!</v>
      </c>
      <c r="I34" s="7" t="e">
        <f>'C2 lossy RA'!$BF$48:$BF$48</f>
        <v>#DIV/0!</v>
      </c>
    </row>
    <row r="35" spans="2:9" x14ac:dyDescent="0.15">
      <c r="B35" t="s">
        <v>11</v>
      </c>
      <c r="C35" s="114">
        <f>'C2 lossy RA'!AW50</f>
        <v>0</v>
      </c>
      <c r="D35" s="108"/>
      <c r="E35" s="108"/>
      <c r="F35" s="108"/>
      <c r="G35" s="108"/>
      <c r="H35" s="108"/>
      <c r="I35" s="108"/>
    </row>
    <row r="36" spans="2:9" x14ac:dyDescent="0.15">
      <c r="B36" s="9" t="s">
        <v>12</v>
      </c>
      <c r="C36" s="115">
        <f>'C2 lossy RA'!AX50</f>
        <v>0</v>
      </c>
      <c r="D36" s="109"/>
      <c r="E36" s="109"/>
      <c r="F36" s="109"/>
      <c r="G36" s="109"/>
      <c r="H36" s="109"/>
      <c r="I36" s="109"/>
    </row>
  </sheetData>
  <mergeCells count="15">
    <mergeCell ref="C35:I35"/>
    <mergeCell ref="C36:I36"/>
    <mergeCell ref="C23:I23"/>
    <mergeCell ref="C24:I24"/>
    <mergeCell ref="B28:B30"/>
    <mergeCell ref="C28:I28"/>
    <mergeCell ref="C29:G29"/>
    <mergeCell ref="H29:I29"/>
    <mergeCell ref="C1:E1"/>
    <mergeCell ref="C2:E2"/>
    <mergeCell ref="B6:B8"/>
    <mergeCell ref="B16:B18"/>
    <mergeCell ref="C16:I16"/>
    <mergeCell ref="C17:G17"/>
    <mergeCell ref="H17:I17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</cols>
  <sheetData>
    <row r="1" spans="1:14" x14ac:dyDescent="0.15">
      <c r="A1" t="s">
        <v>26</v>
      </c>
      <c r="B1" s="12" t="s">
        <v>30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38</v>
      </c>
      <c r="C2" t="s">
        <v>33</v>
      </c>
      <c r="I2" t="s">
        <v>34</v>
      </c>
      <c r="J2" t="s">
        <v>35</v>
      </c>
      <c r="M2" t="s">
        <v>375</v>
      </c>
      <c r="N2" t="s">
        <v>374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395</v>
      </c>
      <c r="J51" t="s">
        <v>391</v>
      </c>
    </row>
    <row r="52" spans="9:10" x14ac:dyDescent="0.15">
      <c r="I52" t="s">
        <v>396</v>
      </c>
      <c r="J52" t="s">
        <v>392</v>
      </c>
    </row>
    <row r="53" spans="9:10" x14ac:dyDescent="0.15">
      <c r="I53" t="s">
        <v>371</v>
      </c>
      <c r="J53" t="s">
        <v>393</v>
      </c>
    </row>
    <row r="54" spans="9:10" x14ac:dyDescent="0.15">
      <c r="I54" t="s">
        <v>397</v>
      </c>
      <c r="J54" t="s">
        <v>394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4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2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5" sqref="L5:M12"/>
    </sheetView>
  </sheetViews>
  <sheetFormatPr defaultColWidth="9.125" defaultRowHeight="13.5" x14ac:dyDescent="0.15"/>
  <cols>
    <col min="2" max="2" width="24.75" customWidth="1"/>
    <col min="3" max="4" width="10.75" customWidth="1"/>
    <col min="7" max="7" width="1.75" customWidth="1"/>
    <col min="9" max="9" width="10.75" customWidth="1"/>
    <col min="10" max="11" width="12.75" customWidth="1"/>
    <col min="14" max="14" width="1.75" customWidth="1"/>
    <col min="16" max="16" width="10.75" customWidth="1"/>
    <col min="17" max="18" width="12.75" customWidth="1"/>
    <col min="21" max="21" width="1.75" customWidth="1"/>
    <col min="23" max="23" width="1.75" customWidth="1"/>
  </cols>
  <sheetData>
    <row r="1" spans="1:24" x14ac:dyDescent="0.15">
      <c r="A1" s="116" t="s">
        <v>148</v>
      </c>
      <c r="B1" s="108"/>
      <c r="C1" s="108"/>
      <c r="D1" s="108"/>
      <c r="E1" s="108"/>
      <c r="F1" s="108"/>
      <c r="H1" s="105" t="str">
        <f>Summary!C1</f>
        <v>F300_v7.0</v>
      </c>
      <c r="I1" s="108"/>
      <c r="J1" s="108"/>
      <c r="K1" s="108"/>
      <c r="L1" s="108"/>
      <c r="M1" s="108"/>
      <c r="O1" s="106">
        <f>Summary!C2</f>
        <v>0</v>
      </c>
      <c r="P1" s="108"/>
      <c r="Q1" s="108"/>
      <c r="R1" s="108"/>
      <c r="S1" s="108"/>
      <c r="T1" s="108"/>
    </row>
    <row r="2" spans="1:24" ht="30" customHeight="1" thickBot="1" x14ac:dyDescent="0.2">
      <c r="A2" s="117" t="s">
        <v>149</v>
      </c>
      <c r="B2" s="118" t="s">
        <v>150</v>
      </c>
      <c r="C2" s="117" t="s">
        <v>151</v>
      </c>
      <c r="D2" s="118" t="s">
        <v>152</v>
      </c>
      <c r="E2" s="117" t="s">
        <v>153</v>
      </c>
      <c r="F2" s="118" t="s">
        <v>154</v>
      </c>
      <c r="H2" s="117" t="s">
        <v>127</v>
      </c>
      <c r="I2" s="118" t="s">
        <v>131</v>
      </c>
      <c r="J2" s="117" t="s">
        <v>120</v>
      </c>
      <c r="K2" s="87" t="s">
        <v>155</v>
      </c>
      <c r="L2" s="118" t="s">
        <v>122</v>
      </c>
      <c r="M2" s="117" t="s">
        <v>102</v>
      </c>
      <c r="O2" s="118" t="s">
        <v>127</v>
      </c>
      <c r="P2" s="117" t="s">
        <v>131</v>
      </c>
      <c r="Q2" s="118" t="s">
        <v>120</v>
      </c>
      <c r="R2" s="87" t="s">
        <v>155</v>
      </c>
      <c r="S2" s="117" t="s">
        <v>122</v>
      </c>
      <c r="T2" s="118" t="s">
        <v>102</v>
      </c>
      <c r="V2" s="117" t="s">
        <v>156</v>
      </c>
      <c r="X2" s="117" t="s">
        <v>157</v>
      </c>
    </row>
    <row r="3" spans="1:24" ht="15.75" customHeight="1" thickBot="1" x14ac:dyDescent="0.2">
      <c r="A3" s="109"/>
      <c r="B3" s="109"/>
      <c r="C3" s="109"/>
      <c r="D3" s="109"/>
      <c r="E3" s="109"/>
      <c r="F3" s="109"/>
      <c r="H3" s="109"/>
      <c r="I3" s="109"/>
      <c r="J3" s="109"/>
      <c r="K3" s="13" t="s">
        <v>426</v>
      </c>
      <c r="L3" s="109"/>
      <c r="M3" s="109"/>
      <c r="O3" s="109"/>
      <c r="P3" s="109"/>
      <c r="Q3" s="109"/>
      <c r="R3" s="13" t="s">
        <v>426</v>
      </c>
      <c r="S3" s="109"/>
      <c r="T3" s="109"/>
      <c r="V3" s="109"/>
      <c r="X3" s="109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300</v>
      </c>
      <c r="F5" s="19">
        <v>30</v>
      </c>
      <c r="H5" s="20">
        <f t="shared" ref="H5:H12" si="0">IF(OR(ISBLANK(J5),ISBLANK(F5)),"·",J5*F5/E5/1000000)</f>
        <v>865.25366559999998</v>
      </c>
      <c r="I5" s="21">
        <f t="shared" ref="I5:I12" si="1">IF(ISBLANK(J5),"·",J5/C5)</f>
        <v>721.1985770297664</v>
      </c>
      <c r="J5" s="22">
        <v>8652536656</v>
      </c>
      <c r="K5" s="22">
        <v>129579552</v>
      </c>
      <c r="L5" s="23">
        <v>19825.239321000001</v>
      </c>
      <c r="M5" s="23">
        <v>360.75529999999998</v>
      </c>
      <c r="O5" s="20" t="str">
        <f t="shared" ref="O5:O12" si="2">IF(OR(ISBLANK(Q5),ISBLANK(F5)),"·",Q5*F5/E5/1000000)</f>
        <v>·</v>
      </c>
      <c r="P5" s="21" t="str">
        <f t="shared" ref="P5:P12" si="3">IF(ISBLANK(Q5),"·",Q5/C5)</f>
        <v>·</v>
      </c>
      <c r="Q5" s="22"/>
      <c r="R5" s="22"/>
      <c r="S5" s="23"/>
      <c r="T5" s="23"/>
      <c r="V5" s="24" t="e">
        <f t="shared" ref="V5:V16" si="4">P5/I5</f>
        <v>#VALUE!</v>
      </c>
      <c r="X5" s="24" t="str">
        <f t="shared" ref="X5:X12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300</v>
      </c>
      <c r="F6" s="27">
        <v>30</v>
      </c>
      <c r="H6" s="28">
        <f t="shared" si="0"/>
        <v>626.42586320000009</v>
      </c>
      <c r="I6" s="29">
        <f t="shared" si="1"/>
        <v>696.02873688888894</v>
      </c>
      <c r="J6" s="30">
        <v>6264258632</v>
      </c>
      <c r="K6" s="30">
        <v>136843960</v>
      </c>
      <c r="L6" s="31">
        <v>18033.439794999998</v>
      </c>
      <c r="M6" s="31">
        <v>264.87836600000003</v>
      </c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300</v>
      </c>
      <c r="F7" s="19">
        <v>30</v>
      </c>
      <c r="H7" s="20">
        <f t="shared" si="0"/>
        <v>605.14568079999992</v>
      </c>
      <c r="I7" s="21">
        <f t="shared" si="1"/>
        <v>511.01636429380773</v>
      </c>
      <c r="J7" s="22">
        <v>6051456808</v>
      </c>
      <c r="K7" s="22">
        <v>153220752</v>
      </c>
      <c r="L7" s="23">
        <v>16665.8465</v>
      </c>
      <c r="M7" s="23">
        <v>242.18974600000001</v>
      </c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300</v>
      </c>
      <c r="F8" s="27">
        <v>50</v>
      </c>
      <c r="H8" s="28">
        <f t="shared" si="0"/>
        <v>993.70037733333334</v>
      </c>
      <c r="I8" s="29">
        <f t="shared" si="1"/>
        <v>504.754219109404</v>
      </c>
      <c r="J8" s="30">
        <v>5962202264</v>
      </c>
      <c r="K8" s="30">
        <v>150243640</v>
      </c>
      <c r="L8" s="31">
        <v>16413.938774999999</v>
      </c>
      <c r="M8" s="31">
        <v>284.744687</v>
      </c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300</v>
      </c>
      <c r="F9" s="19">
        <v>30</v>
      </c>
      <c r="H9" s="20">
        <f t="shared" si="0"/>
        <v>2912.6074968000003</v>
      </c>
      <c r="I9" s="21">
        <f t="shared" si="1"/>
        <v>2427.1729140000002</v>
      </c>
      <c r="J9" s="22">
        <v>29126074968</v>
      </c>
      <c r="K9" s="22">
        <v>166134856</v>
      </c>
      <c r="L9" s="23">
        <v>58921.541253000003</v>
      </c>
      <c r="M9" s="23">
        <v>979.25266099999999</v>
      </c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300</v>
      </c>
      <c r="F10" s="35">
        <v>30</v>
      </c>
      <c r="H10" s="36">
        <f t="shared" si="0"/>
        <v>1229.6033768</v>
      </c>
      <c r="I10" s="37">
        <f t="shared" si="1"/>
        <v>2050.1405662947545</v>
      </c>
      <c r="J10" s="38">
        <v>12296033768</v>
      </c>
      <c r="K10" s="38">
        <v>125285976</v>
      </c>
      <c r="L10" s="39">
        <v>34890.566889000002</v>
      </c>
      <c r="M10" s="39">
        <v>512.87244199999998</v>
      </c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300</v>
      </c>
      <c r="F11" s="19">
        <v>30</v>
      </c>
      <c r="H11" s="20">
        <f t="shared" si="0"/>
        <v>3630.7967488000004</v>
      </c>
      <c r="I11" s="21">
        <f t="shared" si="1"/>
        <v>4034.2186097777776</v>
      </c>
      <c r="J11" s="22">
        <v>36307967488</v>
      </c>
      <c r="K11" s="22">
        <v>142286992</v>
      </c>
      <c r="L11" s="23">
        <v>56632.433354000001</v>
      </c>
      <c r="M11" s="23">
        <v>1038.387988</v>
      </c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300</v>
      </c>
      <c r="F12" s="27">
        <v>30</v>
      </c>
      <c r="H12" s="28">
        <f t="shared" si="0"/>
        <v>2747.5026608000003</v>
      </c>
      <c r="I12" s="29">
        <f t="shared" si="1"/>
        <v>3052.7807342222222</v>
      </c>
      <c r="J12" s="30">
        <v>27475026608</v>
      </c>
      <c r="K12" s="30">
        <v>133623744</v>
      </c>
      <c r="L12" s="31">
        <v>50817.231984999999</v>
      </c>
      <c r="M12" s="31">
        <v>843.19587799999999</v>
      </c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x14ac:dyDescent="0.15">
      <c r="B13" s="41" t="s">
        <v>7</v>
      </c>
      <c r="I13" s="42">
        <f>AVERAGE(I5:I6)</f>
        <v>708.61365695932773</v>
      </c>
      <c r="P13" s="42" t="e">
        <f>AVERAGE(P5:P6)</f>
        <v>#DIV/0!</v>
      </c>
      <c r="V13" s="5" t="e">
        <f t="shared" si="4"/>
        <v>#DIV/0!</v>
      </c>
      <c r="X13" s="42" t="e">
        <f>AVERAGE(X5:X6)</f>
        <v>#DIV/0!</v>
      </c>
    </row>
    <row r="14" spans="1:24" x14ac:dyDescent="0.15">
      <c r="B14" s="41" t="s">
        <v>8</v>
      </c>
      <c r="I14" s="42">
        <f>AVERAGE(I7:I8)</f>
        <v>507.88529170160587</v>
      </c>
      <c r="P14" s="42" t="e">
        <f>AVERAGE(P7:P8)</f>
        <v>#DIV/0!</v>
      </c>
      <c r="V14" s="5" t="e">
        <f t="shared" si="4"/>
        <v>#DIV/0!</v>
      </c>
      <c r="X14" s="42" t="e">
        <f>AVERAGE(X7:X8)</f>
        <v>#DIV/0!</v>
      </c>
    </row>
    <row r="15" spans="1:24" x14ac:dyDescent="0.15">
      <c r="B15" s="41" t="s">
        <v>9</v>
      </c>
      <c r="I15" s="42">
        <f>AVERAGE(I9:I12)</f>
        <v>2891.0782060736888</v>
      </c>
      <c r="P15" s="42" t="e">
        <f>AVERAGE(P9:P12)</f>
        <v>#DIV/0!</v>
      </c>
      <c r="V15" s="5" t="e">
        <f t="shared" si="4"/>
        <v>#DIV/0!</v>
      </c>
      <c r="X15" s="42" t="e">
        <f>AVERAGE(X9:X12)</f>
        <v>#DIV/0!</v>
      </c>
    </row>
    <row r="16" spans="1:24" x14ac:dyDescent="0.15">
      <c r="B16" s="41" t="s">
        <v>10</v>
      </c>
      <c r="I16" s="42">
        <f>AVERAGE(I5:I12)</f>
        <v>1749.6638402020776</v>
      </c>
      <c r="P16" s="42" t="e">
        <f>AVERAGE(P5:P12)</f>
        <v>#DIV/0!</v>
      </c>
      <c r="V16" s="5" t="e">
        <f t="shared" si="4"/>
        <v>#DIV/0!</v>
      </c>
      <c r="X16" s="42" t="e">
        <f>AVERAGE(X5:X12)</f>
        <v>#DIV/0!</v>
      </c>
    </row>
    <row r="17" spans="1:20" x14ac:dyDescent="0.15">
      <c r="A17" s="41" t="s">
        <v>178</v>
      </c>
      <c r="B17" s="41" t="s">
        <v>179</v>
      </c>
      <c r="L17" s="43">
        <f>SUM(L5:L6,L7:L8,L9:L12)</f>
        <v>272200.23787200003</v>
      </c>
      <c r="M17" s="43">
        <f>SUM(M5:M6,M7:M8,M9:M12)</f>
        <v>4526.2770679999994</v>
      </c>
      <c r="S17" s="43">
        <f>SUM(S5:S6,S7:S8,S9:S12)</f>
        <v>0</v>
      </c>
      <c r="T17" s="43">
        <f>SUM(T5:T6,T7:T8,T9:T12)</f>
        <v>0</v>
      </c>
    </row>
    <row r="18" spans="1:20" x14ac:dyDescent="0.15">
      <c r="B18" s="41" t="s">
        <v>180</v>
      </c>
      <c r="S18" s="8">
        <f>S17/L17</f>
        <v>0</v>
      </c>
      <c r="T18" s="8">
        <f>T17/M17</f>
        <v>0</v>
      </c>
    </row>
    <row r="20" spans="1:20" x14ac:dyDescent="0.15">
      <c r="Q20" s="98">
        <f>Q5-J5</f>
        <v>-8652536656</v>
      </c>
      <c r="R20" s="98">
        <f>R5-K5</f>
        <v>-129579552</v>
      </c>
    </row>
    <row r="21" spans="1:20" x14ac:dyDescent="0.15">
      <c r="Q21" s="98">
        <f t="shared" ref="Q21:R21" si="6">Q6-J6</f>
        <v>-6264258632</v>
      </c>
      <c r="R21" s="98">
        <f t="shared" si="6"/>
        <v>-136843960</v>
      </c>
    </row>
    <row r="22" spans="1:20" x14ac:dyDescent="0.15">
      <c r="Q22" s="98">
        <f t="shared" ref="Q22:R22" si="7">Q7-J7</f>
        <v>-6051456808</v>
      </c>
      <c r="R22" s="98">
        <f t="shared" si="7"/>
        <v>-153220752</v>
      </c>
    </row>
    <row r="23" spans="1:20" x14ac:dyDescent="0.15">
      <c r="Q23" s="98">
        <f t="shared" ref="Q23:R23" si="8">Q8-J8</f>
        <v>-5962202264</v>
      </c>
      <c r="R23" s="98">
        <f t="shared" si="8"/>
        <v>-150243640</v>
      </c>
    </row>
    <row r="24" spans="1:20" x14ac:dyDescent="0.15">
      <c r="Q24" s="98">
        <f t="shared" ref="Q24:R24" si="9">Q9-J9</f>
        <v>-29126074968</v>
      </c>
      <c r="R24" s="98">
        <f t="shared" si="9"/>
        <v>-166134856</v>
      </c>
    </row>
    <row r="25" spans="1:20" x14ac:dyDescent="0.15">
      <c r="Q25" s="98">
        <f t="shared" ref="Q25:R25" si="10">Q10-J10</f>
        <v>-12296033768</v>
      </c>
      <c r="R25" s="98">
        <f t="shared" si="10"/>
        <v>-125285976</v>
      </c>
    </row>
    <row r="26" spans="1:20" x14ac:dyDescent="0.15">
      <c r="Q26" s="98">
        <f t="shared" ref="Q26:R26" si="11">Q11-J11</f>
        <v>-36307967488</v>
      </c>
      <c r="R26" s="98">
        <f t="shared" si="11"/>
        <v>-142286992</v>
      </c>
    </row>
    <row r="27" spans="1:20" x14ac:dyDescent="0.15">
      <c r="Q27" s="98">
        <f t="shared" ref="Q27:R27" si="12">Q12-J12</f>
        <v>-27475026608</v>
      </c>
      <c r="R27" s="98">
        <f t="shared" si="12"/>
        <v>-133623744</v>
      </c>
    </row>
    <row r="28" spans="1:20" x14ac:dyDescent="0.15">
      <c r="Q28" s="98"/>
      <c r="R28" s="98"/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5"/>
  <sheetViews>
    <sheetView topLeftCell="A115" workbookViewId="0">
      <selection activeCell="B147" sqref="B147"/>
    </sheetView>
  </sheetViews>
  <sheetFormatPr defaultColWidth="9.125" defaultRowHeight="13.5" x14ac:dyDescent="0.15"/>
  <cols>
    <col min="1" max="1" width="41.7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218</v>
      </c>
      <c r="B28">
        <v>1</v>
      </c>
    </row>
    <row r="29" spans="1:2" x14ac:dyDescent="0.15">
      <c r="A29" t="s">
        <v>219</v>
      </c>
      <c r="B29">
        <v>2</v>
      </c>
    </row>
    <row r="30" spans="1:2" x14ac:dyDescent="0.15">
      <c r="A30" t="s">
        <v>220</v>
      </c>
      <c r="B30">
        <v>3</v>
      </c>
    </row>
    <row r="31" spans="1:2" x14ac:dyDescent="0.15">
      <c r="A31" t="s">
        <v>221</v>
      </c>
      <c r="B31">
        <v>4</v>
      </c>
    </row>
    <row r="32" spans="1:2" x14ac:dyDescent="0.15">
      <c r="A32" t="s">
        <v>222</v>
      </c>
      <c r="B32">
        <v>5</v>
      </c>
    </row>
    <row r="33" spans="1:2" x14ac:dyDescent="0.15">
      <c r="A33" t="s">
        <v>223</v>
      </c>
      <c r="B33">
        <v>6</v>
      </c>
    </row>
    <row r="34" spans="1:2" x14ac:dyDescent="0.15">
      <c r="A34" t="s">
        <v>224</v>
      </c>
      <c r="B34">
        <v>7</v>
      </c>
    </row>
    <row r="35" spans="1:2" x14ac:dyDescent="0.15">
      <c r="A35" t="s">
        <v>225</v>
      </c>
      <c r="B35">
        <v>8</v>
      </c>
    </row>
    <row r="36" spans="1:2" x14ac:dyDescent="0.15">
      <c r="A36" t="s">
        <v>226</v>
      </c>
      <c r="B36">
        <v>10</v>
      </c>
    </row>
    <row r="37" spans="1:2" x14ac:dyDescent="0.15">
      <c r="A37" t="s">
        <v>227</v>
      </c>
      <c r="B37">
        <v>11</v>
      </c>
    </row>
    <row r="38" spans="1:2" x14ac:dyDescent="0.15">
      <c r="A38" t="s">
        <v>410</v>
      </c>
      <c r="B38">
        <v>13</v>
      </c>
    </row>
    <row r="39" spans="1:2" x14ac:dyDescent="0.15">
      <c r="A39" t="s">
        <v>228</v>
      </c>
      <c r="B39">
        <v>14</v>
      </c>
    </row>
    <row r="40" spans="1:2" x14ac:dyDescent="0.15">
      <c r="A40" t="s">
        <v>229</v>
      </c>
      <c r="B40">
        <v>15</v>
      </c>
    </row>
    <row r="41" spans="1:2" x14ac:dyDescent="0.15">
      <c r="A41" t="s">
        <v>409</v>
      </c>
      <c r="B41">
        <v>16</v>
      </c>
    </row>
    <row r="42" spans="1:2" x14ac:dyDescent="0.15">
      <c r="A42" t="s">
        <v>408</v>
      </c>
      <c r="B42">
        <v>17</v>
      </c>
    </row>
    <row r="43" spans="1:2" x14ac:dyDescent="0.15">
      <c r="A43" t="s">
        <v>230</v>
      </c>
      <c r="B43">
        <v>18</v>
      </c>
    </row>
    <row r="44" spans="1:2" x14ac:dyDescent="0.15">
      <c r="A44" t="s">
        <v>231</v>
      </c>
      <c r="B44">
        <v>19</v>
      </c>
    </row>
    <row r="45" spans="1:2" x14ac:dyDescent="0.15">
      <c r="A45" t="s">
        <v>373</v>
      </c>
      <c r="B45">
        <v>20</v>
      </c>
    </row>
    <row r="46" spans="1:2" x14ac:dyDescent="0.15">
      <c r="A46" t="s">
        <v>232</v>
      </c>
      <c r="B46">
        <v>21</v>
      </c>
    </row>
    <row r="47" spans="1:2" x14ac:dyDescent="0.15">
      <c r="A47" t="s">
        <v>233</v>
      </c>
      <c r="B47">
        <v>22</v>
      </c>
    </row>
    <row r="48" spans="1:2" x14ac:dyDescent="0.15">
      <c r="A48" t="s">
        <v>234</v>
      </c>
      <c r="B48">
        <v>23</v>
      </c>
    </row>
    <row r="49" spans="1:2" x14ac:dyDescent="0.15">
      <c r="A49" t="s">
        <v>235</v>
      </c>
      <c r="B49">
        <v>24</v>
      </c>
    </row>
    <row r="50" spans="1:2" x14ac:dyDescent="0.15">
      <c r="A50" t="s">
        <v>236</v>
      </c>
      <c r="B50">
        <v>25</v>
      </c>
    </row>
    <row r="51" spans="1:2" x14ac:dyDescent="0.15">
      <c r="A51" t="s">
        <v>237</v>
      </c>
      <c r="B51">
        <v>26</v>
      </c>
    </row>
    <row r="52" spans="1:2" x14ac:dyDescent="0.15">
      <c r="A52" t="s">
        <v>238</v>
      </c>
      <c r="B52">
        <v>27</v>
      </c>
    </row>
    <row r="53" spans="1:2" x14ac:dyDescent="0.15">
      <c r="A53" t="s">
        <v>239</v>
      </c>
      <c r="B53">
        <v>28</v>
      </c>
    </row>
    <row r="54" spans="1:2" x14ac:dyDescent="0.15">
      <c r="A54" t="s">
        <v>240</v>
      </c>
      <c r="B54">
        <v>29</v>
      </c>
    </row>
    <row r="55" spans="1:2" x14ac:dyDescent="0.15">
      <c r="A55" t="s">
        <v>241</v>
      </c>
      <c r="B55">
        <v>31</v>
      </c>
    </row>
    <row r="56" spans="1:2" x14ac:dyDescent="0.15">
      <c r="A56" t="s">
        <v>242</v>
      </c>
      <c r="B56">
        <v>32</v>
      </c>
    </row>
    <row r="57" spans="1:2" x14ac:dyDescent="0.15">
      <c r="A57" t="s">
        <v>404</v>
      </c>
      <c r="B57">
        <v>34</v>
      </c>
    </row>
    <row r="58" spans="1:2" x14ac:dyDescent="0.15">
      <c r="A58" t="s">
        <v>243</v>
      </c>
      <c r="B58">
        <v>35</v>
      </c>
    </row>
    <row r="59" spans="1:2" x14ac:dyDescent="0.15">
      <c r="A59" t="s">
        <v>244</v>
      </c>
      <c r="B59">
        <v>36</v>
      </c>
    </row>
    <row r="60" spans="1:2" x14ac:dyDescent="0.15">
      <c r="A60" t="s">
        <v>405</v>
      </c>
      <c r="B60">
        <v>37</v>
      </c>
    </row>
    <row r="61" spans="1:2" x14ac:dyDescent="0.15">
      <c r="A61" t="s">
        <v>406</v>
      </c>
      <c r="B61">
        <v>38</v>
      </c>
    </row>
    <row r="62" spans="1:2" x14ac:dyDescent="0.15">
      <c r="A62" t="s">
        <v>245</v>
      </c>
      <c r="B62">
        <v>39</v>
      </c>
    </row>
    <row r="63" spans="1:2" x14ac:dyDescent="0.15">
      <c r="A63" t="s">
        <v>246</v>
      </c>
      <c r="B63">
        <v>40</v>
      </c>
    </row>
    <row r="64" spans="1:2" x14ac:dyDescent="0.15">
      <c r="A64" t="s">
        <v>407</v>
      </c>
      <c r="B64">
        <v>41</v>
      </c>
    </row>
    <row r="65" spans="1:2" x14ac:dyDescent="0.15">
      <c r="A65" t="s">
        <v>247</v>
      </c>
      <c r="B65">
        <v>42</v>
      </c>
    </row>
    <row r="66" spans="1:2" x14ac:dyDescent="0.15">
      <c r="A66" t="s">
        <v>248</v>
      </c>
      <c r="B66">
        <v>43</v>
      </c>
    </row>
    <row r="67" spans="1:2" x14ac:dyDescent="0.15">
      <c r="A67" t="s">
        <v>249</v>
      </c>
      <c r="B67">
        <v>44</v>
      </c>
    </row>
    <row r="68" spans="1:2" x14ac:dyDescent="0.15">
      <c r="A68" t="s">
        <v>250</v>
      </c>
      <c r="B68">
        <v>45</v>
      </c>
    </row>
    <row r="69" spans="1:2" x14ac:dyDescent="0.15">
      <c r="A69" t="s">
        <v>251</v>
      </c>
      <c r="B69">
        <v>46</v>
      </c>
    </row>
    <row r="70" spans="1:2" x14ac:dyDescent="0.15">
      <c r="A70" t="s">
        <v>252</v>
      </c>
      <c r="B70">
        <v>47</v>
      </c>
    </row>
    <row r="71" spans="1:2" x14ac:dyDescent="0.15">
      <c r="A71" t="s">
        <v>253</v>
      </c>
      <c r="B71">
        <v>48</v>
      </c>
    </row>
    <row r="72" spans="1:2" x14ac:dyDescent="0.15">
      <c r="A72" t="s">
        <v>254</v>
      </c>
      <c r="B72">
        <v>49</v>
      </c>
    </row>
    <row r="73" spans="1:2" x14ac:dyDescent="0.15">
      <c r="A73" t="s">
        <v>255</v>
      </c>
      <c r="B73">
        <v>50</v>
      </c>
    </row>
    <row r="74" spans="1:2" x14ac:dyDescent="0.15">
      <c r="A74" t="s">
        <v>256</v>
      </c>
      <c r="B74">
        <v>52</v>
      </c>
    </row>
    <row r="75" spans="1:2" x14ac:dyDescent="0.15">
      <c r="A75" t="s">
        <v>257</v>
      </c>
      <c r="B75">
        <v>53</v>
      </c>
    </row>
    <row r="76" spans="1:2" x14ac:dyDescent="0.15">
      <c r="A76" t="s">
        <v>258</v>
      </c>
      <c r="B76">
        <v>54</v>
      </c>
    </row>
    <row r="77" spans="1:2" x14ac:dyDescent="0.15">
      <c r="A77" t="s">
        <v>259</v>
      </c>
      <c r="B77">
        <v>55</v>
      </c>
    </row>
    <row r="78" spans="1:2" x14ac:dyDescent="0.15">
      <c r="A78" t="s">
        <v>260</v>
      </c>
      <c r="B78">
        <v>56</v>
      </c>
    </row>
    <row r="79" spans="1:2" x14ac:dyDescent="0.15">
      <c r="A79" t="s">
        <v>261</v>
      </c>
      <c r="B79">
        <v>57</v>
      </c>
    </row>
    <row r="80" spans="1:2" x14ac:dyDescent="0.15">
      <c r="A80" t="s">
        <v>262</v>
      </c>
      <c r="B80">
        <v>58</v>
      </c>
    </row>
    <row r="81" spans="1:19" x14ac:dyDescent="0.15">
      <c r="A81" t="s">
        <v>263</v>
      </c>
      <c r="B81" t="s">
        <v>264</v>
      </c>
    </row>
    <row r="82" spans="1:19" x14ac:dyDescent="0.15">
      <c r="A82" t="s">
        <v>265</v>
      </c>
      <c r="B82" s="97" t="s">
        <v>427</v>
      </c>
    </row>
    <row r="83" spans="1:19" x14ac:dyDescent="0.15">
      <c r="A83" t="s">
        <v>266</v>
      </c>
      <c r="B83" s="97" t="s">
        <v>384</v>
      </c>
    </row>
    <row r="84" spans="1:19" x14ac:dyDescent="0.15">
      <c r="A84" t="s">
        <v>267</v>
      </c>
      <c r="B84" s="97" t="s">
        <v>385</v>
      </c>
    </row>
    <row r="85" spans="1:19" x14ac:dyDescent="0.15">
      <c r="A85" t="s">
        <v>268</v>
      </c>
      <c r="B85" s="97" t="s">
        <v>386</v>
      </c>
    </row>
    <row r="86" spans="1:19" x14ac:dyDescent="0.15">
      <c r="A86" t="s">
        <v>269</v>
      </c>
      <c r="B86" s="97" t="s">
        <v>387</v>
      </c>
    </row>
    <row r="87" spans="1:19" x14ac:dyDescent="0.15">
      <c r="A87" t="s">
        <v>270</v>
      </c>
      <c r="B87" s="97" t="s">
        <v>388</v>
      </c>
    </row>
    <row r="88" spans="1:19" x14ac:dyDescent="0.15">
      <c r="A88" t="s">
        <v>271</v>
      </c>
      <c r="B88" s="97" t="s">
        <v>372</v>
      </c>
    </row>
    <row r="89" spans="1:19" x14ac:dyDescent="0.15">
      <c r="A89" t="s">
        <v>272</v>
      </c>
      <c r="B89" s="97" t="s">
        <v>389</v>
      </c>
    </row>
    <row r="90" spans="1:19" x14ac:dyDescent="0.15">
      <c r="A90" t="s">
        <v>273</v>
      </c>
      <c r="B90" s="97" t="s">
        <v>390</v>
      </c>
    </row>
    <row r="91" spans="1:19" x14ac:dyDescent="0.15">
      <c r="A91" t="s">
        <v>274</v>
      </c>
      <c r="B91" t="s">
        <v>57</v>
      </c>
      <c r="C91" t="s">
        <v>101</v>
      </c>
      <c r="D91" t="s">
        <v>52</v>
      </c>
      <c r="E91" t="s">
        <v>130</v>
      </c>
      <c r="F91" t="s">
        <v>42</v>
      </c>
      <c r="G91" t="s">
        <v>47</v>
      </c>
      <c r="H91" t="s">
        <v>71</v>
      </c>
      <c r="I91" t="s">
        <v>40</v>
      </c>
      <c r="J91" t="s">
        <v>67</v>
      </c>
      <c r="K91" t="s">
        <v>119</v>
      </c>
      <c r="L91" t="s">
        <v>62</v>
      </c>
      <c r="M91" t="s">
        <v>80</v>
      </c>
      <c r="N91" t="s">
        <v>121</v>
      </c>
      <c r="O91" t="s">
        <v>146</v>
      </c>
      <c r="P91" t="s">
        <v>395</v>
      </c>
      <c r="Q91" t="s">
        <v>396</v>
      </c>
      <c r="R91" t="s">
        <v>371</v>
      </c>
      <c r="S91" t="s">
        <v>397</v>
      </c>
    </row>
    <row r="92" spans="1:19" x14ac:dyDescent="0.15">
      <c r="A92" t="s">
        <v>275</v>
      </c>
      <c r="B92">
        <v>1</v>
      </c>
    </row>
    <row r="93" spans="1:19" x14ac:dyDescent="0.15">
      <c r="A93" t="s">
        <v>276</v>
      </c>
      <c r="B93">
        <v>2</v>
      </c>
    </row>
    <row r="94" spans="1:19" x14ac:dyDescent="0.15">
      <c r="A94" t="s">
        <v>277</v>
      </c>
      <c r="B94">
        <v>3</v>
      </c>
    </row>
    <row r="95" spans="1:19" x14ac:dyDescent="0.15">
      <c r="A95" t="s">
        <v>278</v>
      </c>
      <c r="B95">
        <v>4</v>
      </c>
    </row>
    <row r="96" spans="1:19" x14ac:dyDescent="0.15">
      <c r="A96" t="s">
        <v>279</v>
      </c>
      <c r="B96">
        <v>5</v>
      </c>
    </row>
    <row r="97" spans="1:2" x14ac:dyDescent="0.15">
      <c r="A97" t="s">
        <v>280</v>
      </c>
      <c r="B97">
        <v>6</v>
      </c>
    </row>
    <row r="98" spans="1:2" x14ac:dyDescent="0.15">
      <c r="A98" t="s">
        <v>281</v>
      </c>
      <c r="B98">
        <v>7</v>
      </c>
    </row>
    <row r="99" spans="1:2" x14ac:dyDescent="0.15">
      <c r="A99" t="s">
        <v>282</v>
      </c>
      <c r="B99">
        <v>8</v>
      </c>
    </row>
    <row r="100" spans="1:2" x14ac:dyDescent="0.15">
      <c r="A100" t="s">
        <v>283</v>
      </c>
      <c r="B100">
        <v>10</v>
      </c>
    </row>
    <row r="101" spans="1:2" x14ac:dyDescent="0.15">
      <c r="A101" t="s">
        <v>284</v>
      </c>
      <c r="B101">
        <v>11</v>
      </c>
    </row>
    <row r="102" spans="1:2" x14ac:dyDescent="0.15">
      <c r="A102" t="s">
        <v>398</v>
      </c>
      <c r="B102">
        <v>13</v>
      </c>
    </row>
    <row r="103" spans="1:2" x14ac:dyDescent="0.15">
      <c r="A103" t="s">
        <v>285</v>
      </c>
      <c r="B103">
        <v>14</v>
      </c>
    </row>
    <row r="104" spans="1:2" x14ac:dyDescent="0.15">
      <c r="A104" t="s">
        <v>286</v>
      </c>
      <c r="B104">
        <v>15</v>
      </c>
    </row>
    <row r="105" spans="1:2" x14ac:dyDescent="0.15">
      <c r="A105" t="s">
        <v>399</v>
      </c>
      <c r="B105">
        <v>16</v>
      </c>
    </row>
    <row r="106" spans="1:2" x14ac:dyDescent="0.15">
      <c r="A106" t="s">
        <v>400</v>
      </c>
      <c r="B106">
        <v>17</v>
      </c>
    </row>
    <row r="107" spans="1:2" x14ac:dyDescent="0.15">
      <c r="A107" t="s">
        <v>287</v>
      </c>
      <c r="B107">
        <v>18</v>
      </c>
    </row>
    <row r="108" spans="1:2" x14ac:dyDescent="0.15">
      <c r="A108" t="s">
        <v>288</v>
      </c>
      <c r="B108">
        <v>19</v>
      </c>
    </row>
    <row r="109" spans="1:2" x14ac:dyDescent="0.15">
      <c r="A109" t="s">
        <v>369</v>
      </c>
      <c r="B109">
        <v>20</v>
      </c>
    </row>
    <row r="110" spans="1:2" x14ac:dyDescent="0.15">
      <c r="A110" t="s">
        <v>289</v>
      </c>
      <c r="B110">
        <v>21</v>
      </c>
    </row>
    <row r="111" spans="1:2" x14ac:dyDescent="0.15">
      <c r="A111" t="s">
        <v>290</v>
      </c>
      <c r="B111">
        <v>22</v>
      </c>
    </row>
    <row r="112" spans="1:2" x14ac:dyDescent="0.15">
      <c r="A112" t="s">
        <v>291</v>
      </c>
      <c r="B112">
        <v>23</v>
      </c>
    </row>
    <row r="113" spans="1:2" x14ac:dyDescent="0.15">
      <c r="A113" t="s">
        <v>292</v>
      </c>
      <c r="B113">
        <v>24</v>
      </c>
    </row>
    <row r="114" spans="1:2" x14ac:dyDescent="0.15">
      <c r="A114" t="s">
        <v>293</v>
      </c>
      <c r="B114">
        <v>25</v>
      </c>
    </row>
    <row r="115" spans="1:2" x14ac:dyDescent="0.15">
      <c r="A115" t="s">
        <v>294</v>
      </c>
      <c r="B115">
        <v>26</v>
      </c>
    </row>
    <row r="116" spans="1:2" x14ac:dyDescent="0.15">
      <c r="A116" t="s">
        <v>295</v>
      </c>
      <c r="B116">
        <v>27</v>
      </c>
    </row>
    <row r="117" spans="1:2" x14ac:dyDescent="0.15">
      <c r="A117" t="s">
        <v>296</v>
      </c>
      <c r="B117">
        <v>28</v>
      </c>
    </row>
    <row r="118" spans="1:2" x14ac:dyDescent="0.15">
      <c r="A118" t="s">
        <v>297</v>
      </c>
      <c r="B118">
        <v>29</v>
      </c>
    </row>
    <row r="119" spans="1:2" x14ac:dyDescent="0.15">
      <c r="A119" t="s">
        <v>298</v>
      </c>
      <c r="B119">
        <v>31</v>
      </c>
    </row>
    <row r="120" spans="1:2" x14ac:dyDescent="0.15">
      <c r="A120" t="s">
        <v>299</v>
      </c>
      <c r="B120">
        <v>32</v>
      </c>
    </row>
    <row r="121" spans="1:2" x14ac:dyDescent="0.15">
      <c r="A121" t="s">
        <v>401</v>
      </c>
      <c r="B121">
        <v>34</v>
      </c>
    </row>
    <row r="122" spans="1:2" x14ac:dyDescent="0.15">
      <c r="A122" t="s">
        <v>300</v>
      </c>
      <c r="B122">
        <v>35</v>
      </c>
    </row>
    <row r="123" spans="1:2" x14ac:dyDescent="0.15">
      <c r="A123" t="s">
        <v>301</v>
      </c>
      <c r="B123">
        <v>36</v>
      </c>
    </row>
    <row r="124" spans="1:2" x14ac:dyDescent="0.15">
      <c r="A124" t="s">
        <v>402</v>
      </c>
      <c r="B124">
        <v>37</v>
      </c>
    </row>
    <row r="125" spans="1:2" x14ac:dyDescent="0.15">
      <c r="A125" t="s">
        <v>403</v>
      </c>
      <c r="B125">
        <v>38</v>
      </c>
    </row>
    <row r="126" spans="1:2" x14ac:dyDescent="0.15">
      <c r="A126" t="s">
        <v>302</v>
      </c>
      <c r="B126">
        <v>39</v>
      </c>
    </row>
    <row r="127" spans="1:2" x14ac:dyDescent="0.15">
      <c r="A127" t="s">
        <v>303</v>
      </c>
      <c r="B127">
        <v>40</v>
      </c>
    </row>
    <row r="128" spans="1:2" x14ac:dyDescent="0.15">
      <c r="A128" t="s">
        <v>370</v>
      </c>
      <c r="B128">
        <v>41</v>
      </c>
    </row>
    <row r="129" spans="1:2" x14ac:dyDescent="0.15">
      <c r="A129" t="s">
        <v>304</v>
      </c>
      <c r="B129">
        <v>42</v>
      </c>
    </row>
    <row r="130" spans="1:2" x14ac:dyDescent="0.15">
      <c r="A130" t="s">
        <v>305</v>
      </c>
      <c r="B130">
        <v>43</v>
      </c>
    </row>
    <row r="131" spans="1:2" x14ac:dyDescent="0.15">
      <c r="A131" t="s">
        <v>306</v>
      </c>
      <c r="B131">
        <v>44</v>
      </c>
    </row>
    <row r="132" spans="1:2" x14ac:dyDescent="0.15">
      <c r="A132" t="s">
        <v>307</v>
      </c>
      <c r="B132">
        <v>45</v>
      </c>
    </row>
    <row r="133" spans="1:2" x14ac:dyDescent="0.15">
      <c r="A133" t="s">
        <v>308</v>
      </c>
      <c r="B133">
        <v>46</v>
      </c>
    </row>
    <row r="134" spans="1:2" x14ac:dyDescent="0.15">
      <c r="A134" t="s">
        <v>309</v>
      </c>
      <c r="B134">
        <v>47</v>
      </c>
    </row>
    <row r="135" spans="1:2" x14ac:dyDescent="0.15">
      <c r="A135" t="s">
        <v>310</v>
      </c>
      <c r="B135">
        <v>48</v>
      </c>
    </row>
    <row r="136" spans="1:2" x14ac:dyDescent="0.15">
      <c r="A136" t="s">
        <v>311</v>
      </c>
      <c r="B136">
        <v>49</v>
      </c>
    </row>
    <row r="137" spans="1:2" x14ac:dyDescent="0.15">
      <c r="A137" t="s">
        <v>312</v>
      </c>
      <c r="B137">
        <v>50</v>
      </c>
    </row>
    <row r="138" spans="1:2" x14ac:dyDescent="0.15">
      <c r="A138" t="s">
        <v>313</v>
      </c>
      <c r="B138">
        <v>52</v>
      </c>
    </row>
    <row r="139" spans="1:2" x14ac:dyDescent="0.15">
      <c r="A139" t="s">
        <v>314</v>
      </c>
      <c r="B139">
        <v>53</v>
      </c>
    </row>
    <row r="140" spans="1:2" x14ac:dyDescent="0.15">
      <c r="A140" t="s">
        <v>315</v>
      </c>
      <c r="B140">
        <v>54</v>
      </c>
    </row>
    <row r="141" spans="1:2" x14ac:dyDescent="0.15">
      <c r="A141" t="s">
        <v>316</v>
      </c>
      <c r="B141">
        <v>55</v>
      </c>
    </row>
    <row r="142" spans="1:2" x14ac:dyDescent="0.15">
      <c r="A142" t="s">
        <v>317</v>
      </c>
      <c r="B142">
        <v>56</v>
      </c>
    </row>
    <row r="143" spans="1:2" x14ac:dyDescent="0.15">
      <c r="A143" t="s">
        <v>318</v>
      </c>
      <c r="B143">
        <v>57</v>
      </c>
    </row>
    <row r="144" spans="1:2" x14ac:dyDescent="0.15">
      <c r="A144" t="s">
        <v>319</v>
      </c>
      <c r="B144">
        <v>58</v>
      </c>
    </row>
    <row r="145" spans="1:19" x14ac:dyDescent="0.15">
      <c r="A145" t="s">
        <v>320</v>
      </c>
      <c r="B145" t="s">
        <v>321</v>
      </c>
    </row>
    <row r="146" spans="1:19" x14ac:dyDescent="0.15">
      <c r="A146" t="s">
        <v>322</v>
      </c>
      <c r="B146" s="97" t="s">
        <v>428</v>
      </c>
    </row>
    <row r="147" spans="1:19" x14ac:dyDescent="0.15">
      <c r="A147" t="s">
        <v>323</v>
      </c>
      <c r="B147" s="97" t="s">
        <v>376</v>
      </c>
    </row>
    <row r="148" spans="1:19" x14ac:dyDescent="0.15">
      <c r="A148" t="s">
        <v>324</v>
      </c>
      <c r="B148" s="97" t="s">
        <v>377</v>
      </c>
    </row>
    <row r="149" spans="1:19" x14ac:dyDescent="0.15">
      <c r="A149" t="s">
        <v>325</v>
      </c>
      <c r="B149" s="97" t="s">
        <v>378</v>
      </c>
    </row>
    <row r="150" spans="1:19" x14ac:dyDescent="0.15">
      <c r="A150" t="s">
        <v>326</v>
      </c>
      <c r="B150" s="97" t="s">
        <v>379</v>
      </c>
    </row>
    <row r="151" spans="1:19" x14ac:dyDescent="0.15">
      <c r="A151" t="s">
        <v>327</v>
      </c>
      <c r="B151" s="97" t="s">
        <v>380</v>
      </c>
    </row>
    <row r="152" spans="1:19" x14ac:dyDescent="0.15">
      <c r="A152" t="s">
        <v>328</v>
      </c>
      <c r="B152" s="97" t="s">
        <v>381</v>
      </c>
    </row>
    <row r="153" spans="1:19" x14ac:dyDescent="0.15">
      <c r="A153" t="s">
        <v>329</v>
      </c>
      <c r="B153" s="97" t="s">
        <v>382</v>
      </c>
    </row>
    <row r="154" spans="1:19" x14ac:dyDescent="0.15">
      <c r="A154" t="s">
        <v>330</v>
      </c>
      <c r="B154" s="97" t="s">
        <v>383</v>
      </c>
    </row>
    <row r="155" spans="1:19" x14ac:dyDescent="0.15">
      <c r="A155" t="s">
        <v>331</v>
      </c>
      <c r="B155" t="s">
        <v>57</v>
      </c>
      <c r="C155" t="s">
        <v>101</v>
      </c>
      <c r="D155" t="s">
        <v>52</v>
      </c>
      <c r="E155" t="s">
        <v>130</v>
      </c>
      <c r="F155" t="s">
        <v>42</v>
      </c>
      <c r="G155" t="s">
        <v>47</v>
      </c>
      <c r="H155" t="s">
        <v>71</v>
      </c>
      <c r="I155" t="s">
        <v>40</v>
      </c>
      <c r="J155" t="s">
        <v>67</v>
      </c>
      <c r="K155" t="s">
        <v>119</v>
      </c>
      <c r="L155" t="s">
        <v>62</v>
      </c>
      <c r="M155" t="s">
        <v>80</v>
      </c>
      <c r="N155" t="s">
        <v>121</v>
      </c>
      <c r="O155" t="s">
        <v>146</v>
      </c>
      <c r="P155" t="s">
        <v>395</v>
      </c>
      <c r="Q155" t="s">
        <v>396</v>
      </c>
      <c r="R155" t="s">
        <v>371</v>
      </c>
      <c r="S155" t="s">
        <v>397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3"/>
  <sheetViews>
    <sheetView zoomScale="85" zoomScaleNormal="85" workbookViewId="0">
      <pane xSplit="2" ySplit="4" topLeftCell="J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16" t="s">
        <v>332</v>
      </c>
      <c r="B1" s="108"/>
      <c r="C1" s="108"/>
      <c r="D1" s="108"/>
      <c r="E1" s="108"/>
      <c r="F1" s="108"/>
      <c r="G1" s="108"/>
      <c r="H1" s="108"/>
      <c r="J1" s="105" t="str">
        <f>Summary!C1</f>
        <v>F300_v7.0</v>
      </c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E1" s="106">
        <f>Summary!C2</f>
        <v>0</v>
      </c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</row>
    <row r="2" spans="1:72" ht="33" customHeight="1" thickBot="1" x14ac:dyDescent="0.2">
      <c r="A2" s="117" t="s">
        <v>149</v>
      </c>
      <c r="B2" s="118" t="s">
        <v>150</v>
      </c>
      <c r="C2" s="117" t="s">
        <v>333</v>
      </c>
      <c r="D2" s="118" t="s">
        <v>151</v>
      </c>
      <c r="E2" s="117" t="s">
        <v>152</v>
      </c>
      <c r="F2" s="118" t="s">
        <v>153</v>
      </c>
      <c r="G2" s="117" t="s">
        <v>154</v>
      </c>
      <c r="H2" s="118" t="s">
        <v>334</v>
      </c>
      <c r="J2" s="117" t="s">
        <v>127</v>
      </c>
      <c r="K2" s="118" t="s">
        <v>131</v>
      </c>
      <c r="L2" s="119" t="s">
        <v>120</v>
      </c>
      <c r="M2" s="118" t="s">
        <v>368</v>
      </c>
      <c r="N2" s="117" t="s">
        <v>81</v>
      </c>
      <c r="O2" s="121" t="s">
        <v>120</v>
      </c>
      <c r="P2" s="121" t="s">
        <v>421</v>
      </c>
      <c r="Q2" s="121" t="s">
        <v>422</v>
      </c>
      <c r="R2" s="121" t="s">
        <v>423</v>
      </c>
      <c r="S2" s="121" t="s">
        <v>424</v>
      </c>
      <c r="T2" s="121" t="s">
        <v>425</v>
      </c>
      <c r="U2" s="122" t="s">
        <v>335</v>
      </c>
      <c r="V2" s="108"/>
      <c r="W2" s="108"/>
      <c r="X2" s="108"/>
      <c r="Y2" s="108"/>
      <c r="Z2" s="121" t="s">
        <v>336</v>
      </c>
      <c r="AA2" s="108"/>
      <c r="AB2" s="117" t="s">
        <v>122</v>
      </c>
      <c r="AC2" s="118" t="s">
        <v>102</v>
      </c>
      <c r="AE2" s="117" t="s">
        <v>127</v>
      </c>
      <c r="AF2" s="118" t="s">
        <v>131</v>
      </c>
      <c r="AG2" s="119" t="s">
        <v>120</v>
      </c>
      <c r="AH2" s="118" t="s">
        <v>368</v>
      </c>
      <c r="AI2" s="117" t="s">
        <v>81</v>
      </c>
      <c r="AJ2" s="118" t="s">
        <v>120</v>
      </c>
      <c r="AK2" s="121" t="s">
        <v>421</v>
      </c>
      <c r="AL2" s="121" t="s">
        <v>422</v>
      </c>
      <c r="AM2" s="121" t="s">
        <v>423</v>
      </c>
      <c r="AN2" s="121" t="s">
        <v>424</v>
      </c>
      <c r="AO2" s="121" t="s">
        <v>425</v>
      </c>
      <c r="AP2" s="122" t="s">
        <v>335</v>
      </c>
      <c r="AQ2" s="108"/>
      <c r="AR2" s="108"/>
      <c r="AS2" s="108"/>
      <c r="AT2" s="108"/>
      <c r="AU2" s="121" t="s">
        <v>336</v>
      </c>
      <c r="AV2" s="108"/>
      <c r="AW2" s="117" t="s">
        <v>122</v>
      </c>
      <c r="AX2" s="118" t="s">
        <v>102</v>
      </c>
      <c r="AZ2" s="122" t="s">
        <v>15</v>
      </c>
      <c r="BA2" s="108"/>
      <c r="BB2" s="108"/>
      <c r="BC2" s="108"/>
      <c r="BD2" s="108"/>
      <c r="BE2" s="121" t="s">
        <v>16</v>
      </c>
      <c r="BF2" s="108"/>
      <c r="BH2" s="122" t="s">
        <v>411</v>
      </c>
      <c r="BI2" s="122"/>
      <c r="BJ2" s="123" t="s">
        <v>412</v>
      </c>
      <c r="BK2" s="123"/>
      <c r="BL2" s="123"/>
      <c r="BM2" s="117" t="s">
        <v>415</v>
      </c>
      <c r="BN2" s="118" t="s">
        <v>414</v>
      </c>
      <c r="BP2" s="117" t="s">
        <v>416</v>
      </c>
      <c r="BQ2" s="117" t="s">
        <v>417</v>
      </c>
      <c r="BR2" s="117" t="s">
        <v>419</v>
      </c>
      <c r="BS2" s="117" t="s">
        <v>418</v>
      </c>
      <c r="BT2" s="117" t="s">
        <v>420</v>
      </c>
    </row>
    <row r="3" spans="1:72" ht="33" customHeight="1" thickBot="1" x14ac:dyDescent="0.2">
      <c r="A3" s="109"/>
      <c r="B3" s="109"/>
      <c r="C3" s="109"/>
      <c r="D3" s="109"/>
      <c r="E3" s="109"/>
      <c r="F3" s="109"/>
      <c r="G3" s="109"/>
      <c r="H3" s="109"/>
      <c r="J3" s="109"/>
      <c r="K3" s="109"/>
      <c r="L3" s="120"/>
      <c r="M3" s="109"/>
      <c r="N3" s="109"/>
      <c r="O3" s="118"/>
      <c r="P3" s="118"/>
      <c r="Q3" s="118"/>
      <c r="R3" s="118"/>
      <c r="S3" s="118"/>
      <c r="T3" s="118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9"/>
      <c r="AC3" s="109"/>
      <c r="AE3" s="109"/>
      <c r="AF3" s="109"/>
      <c r="AG3" s="120"/>
      <c r="AH3" s="109"/>
      <c r="AI3" s="109"/>
      <c r="AJ3" s="109"/>
      <c r="AK3" s="118"/>
      <c r="AL3" s="118"/>
      <c r="AM3" s="118"/>
      <c r="AN3" s="118"/>
      <c r="AO3" s="118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9"/>
      <c r="AX3" s="109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8"/>
      <c r="BP3" s="109"/>
      <c r="BQ3" s="109"/>
      <c r="BR3" s="109"/>
      <c r="BS3" s="109"/>
      <c r="BT3" s="109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5.2907495999999998</v>
      </c>
      <c r="K5" s="21">
        <f t="shared" ref="K5:K44" si="1">IF(ISBLANK(O5),"·",O5/D5)</f>
        <v>4.4098987784060597</v>
      </c>
      <c r="L5" s="19">
        <f t="shared" ref="L5:L44" si="2">IF(OR(ISBLANK(M5),ISBLANK(S5),ISBLANK(T5)),".",M5+S5+T5)</f>
        <v>52907496</v>
      </c>
      <c r="M5" s="19">
        <f t="shared" ref="M5:M44" si="3">IF(OR(ISBLANK(Q5),ISBLANK(P5),ISBLANK(R5)),".",P5+Q5+R5)</f>
        <v>16658824</v>
      </c>
      <c r="N5" s="44">
        <v>22725696</v>
      </c>
      <c r="O5" s="22">
        <v>52907496</v>
      </c>
      <c r="P5" s="22">
        <v>8005224</v>
      </c>
      <c r="Q5" s="22">
        <v>0</v>
      </c>
      <c r="R5" s="22">
        <v>8653600</v>
      </c>
      <c r="S5" s="22">
        <v>36186664</v>
      </c>
      <c r="T5" s="22">
        <v>62008</v>
      </c>
      <c r="U5" s="45">
        <v>69.253398500000003</v>
      </c>
      <c r="V5" s="45">
        <v>70.360156799999999</v>
      </c>
      <c r="W5" s="45">
        <v>28.7882262</v>
      </c>
      <c r="X5" s="45">
        <v>33.8745476</v>
      </c>
      <c r="Y5" s="45">
        <v>33.312724799999998</v>
      </c>
      <c r="Z5" s="45">
        <v>48.388006300000001</v>
      </c>
      <c r="AA5" s="45">
        <v>27.3565808</v>
      </c>
      <c r="AB5" s="23">
        <v>5533.7127739999996</v>
      </c>
      <c r="AC5" s="23">
        <v>49.112121999999999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9</v>
      </c>
      <c r="J6" s="36">
        <f t="shared" si="0"/>
        <v>9.6739280000000001</v>
      </c>
      <c r="K6" s="37">
        <f t="shared" si="1"/>
        <v>8.063326843059853</v>
      </c>
      <c r="L6" s="35">
        <f t="shared" si="2"/>
        <v>96739280</v>
      </c>
      <c r="M6" s="35">
        <f t="shared" si="3"/>
        <v>19435760</v>
      </c>
      <c r="N6" s="46">
        <v>22725696</v>
      </c>
      <c r="O6" s="38">
        <v>96739280</v>
      </c>
      <c r="P6" s="38">
        <v>8640216</v>
      </c>
      <c r="Q6" s="38">
        <v>0</v>
      </c>
      <c r="R6" s="38">
        <v>10795544</v>
      </c>
      <c r="S6" s="38">
        <v>77241512</v>
      </c>
      <c r="T6" s="38">
        <v>62008</v>
      </c>
      <c r="U6" s="47">
        <v>69.884382000000002</v>
      </c>
      <c r="V6" s="47">
        <v>71.059410200000002</v>
      </c>
      <c r="W6" s="47">
        <v>31.504628</v>
      </c>
      <c r="X6" s="47">
        <v>35.088019099999997</v>
      </c>
      <c r="Y6" s="47">
        <v>34.636233300000001</v>
      </c>
      <c r="Z6" s="47">
        <v>48.762555399999997</v>
      </c>
      <c r="AA6" s="47">
        <v>28.892961199999998</v>
      </c>
      <c r="AB6" s="39">
        <v>6625.4884789999996</v>
      </c>
      <c r="AC6" s="39">
        <v>57.301828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12</v>
      </c>
      <c r="J7" s="20">
        <f t="shared" si="0"/>
        <v>12.9771392</v>
      </c>
      <c r="K7" s="21">
        <f t="shared" si="1"/>
        <v>10.816590205910595</v>
      </c>
      <c r="L7" s="19">
        <f t="shared" si="2"/>
        <v>129771392</v>
      </c>
      <c r="M7" s="19">
        <f t="shared" si="3"/>
        <v>20848872</v>
      </c>
      <c r="N7" s="44">
        <v>45556032</v>
      </c>
      <c r="O7" s="22">
        <v>129771392</v>
      </c>
      <c r="P7" s="22">
        <v>12465016</v>
      </c>
      <c r="Q7" s="22">
        <v>0</v>
      </c>
      <c r="R7" s="22">
        <v>8383856</v>
      </c>
      <c r="S7" s="22">
        <v>108858032</v>
      </c>
      <c r="T7" s="22">
        <v>64488</v>
      </c>
      <c r="U7" s="45">
        <v>71.473868699999997</v>
      </c>
      <c r="V7" s="45">
        <v>72.918945699999995</v>
      </c>
      <c r="W7" s="45">
        <v>32.640814599999999</v>
      </c>
      <c r="X7" s="45">
        <v>36.888071400000001</v>
      </c>
      <c r="Y7" s="45">
        <v>36.606555100000001</v>
      </c>
      <c r="Z7" s="45">
        <v>49.548388299999999</v>
      </c>
      <c r="AA7" s="45">
        <v>30.1555322</v>
      </c>
      <c r="AB7" s="23">
        <v>18120.80486</v>
      </c>
      <c r="AC7" s="23">
        <v>174.53957800000001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15</v>
      </c>
      <c r="J8" s="36">
        <f t="shared" si="0"/>
        <v>16.286944800000001</v>
      </c>
      <c r="K8" s="37">
        <f t="shared" si="1"/>
        <v>13.575350074682598</v>
      </c>
      <c r="L8" s="35">
        <f t="shared" si="2"/>
        <v>162869448</v>
      </c>
      <c r="M8" s="35">
        <f t="shared" si="3"/>
        <v>28305584</v>
      </c>
      <c r="N8" s="46">
        <v>45556032</v>
      </c>
      <c r="O8" s="38">
        <v>162869448</v>
      </c>
      <c r="P8" s="38">
        <v>13630168</v>
      </c>
      <c r="Q8" s="38">
        <v>0</v>
      </c>
      <c r="R8" s="38">
        <v>14675416</v>
      </c>
      <c r="S8" s="38">
        <v>134499376</v>
      </c>
      <c r="T8" s="38">
        <v>64488</v>
      </c>
      <c r="U8" s="47">
        <v>73.408986499999997</v>
      </c>
      <c r="V8" s="47">
        <v>75.107572300000001</v>
      </c>
      <c r="W8" s="47">
        <v>33.618844500000002</v>
      </c>
      <c r="X8" s="47">
        <v>37.416690600000003</v>
      </c>
      <c r="Y8" s="47">
        <v>37.139767200000001</v>
      </c>
      <c r="Z8" s="47">
        <v>50.5847014</v>
      </c>
      <c r="AA8" s="47">
        <v>31.2777031</v>
      </c>
      <c r="AB8" s="39">
        <v>18383.969776000002</v>
      </c>
      <c r="AC8" s="39">
        <v>197.766481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22</v>
      </c>
      <c r="J9" s="51">
        <f t="shared" si="0"/>
        <v>23.614209600000002</v>
      </c>
      <c r="K9" s="52">
        <f t="shared" si="1"/>
        <v>19.682706977488532</v>
      </c>
      <c r="L9" s="49">
        <f t="shared" si="2"/>
        <v>236142096</v>
      </c>
      <c r="M9" s="49">
        <f t="shared" si="3"/>
        <v>46605464</v>
      </c>
      <c r="N9" s="53">
        <v>91604096</v>
      </c>
      <c r="O9" s="54">
        <v>236142096</v>
      </c>
      <c r="P9" s="54">
        <v>20319872</v>
      </c>
      <c r="Q9" s="54">
        <v>0</v>
      </c>
      <c r="R9" s="54">
        <v>26285592</v>
      </c>
      <c r="S9" s="54">
        <v>189469744</v>
      </c>
      <c r="T9" s="54">
        <v>66888</v>
      </c>
      <c r="U9" s="55">
        <v>76.340294599999993</v>
      </c>
      <c r="V9" s="55">
        <v>78.643427299999999</v>
      </c>
      <c r="W9" s="55">
        <v>34.977978399999998</v>
      </c>
      <c r="X9" s="55">
        <v>38.518044500000002</v>
      </c>
      <c r="Y9" s="55">
        <v>38.221257700000002</v>
      </c>
      <c r="Z9" s="55">
        <v>52.4078576</v>
      </c>
      <c r="AA9" s="55">
        <v>32.973194300000003</v>
      </c>
      <c r="AB9" s="56">
        <v>20726.689189000001</v>
      </c>
      <c r="AC9" s="56">
        <v>234.194143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5</v>
      </c>
      <c r="J10" s="36">
        <f t="shared" si="0"/>
        <v>5.1458184000000005</v>
      </c>
      <c r="K10" s="37">
        <f t="shared" si="1"/>
        <v>5.7175760000000002</v>
      </c>
      <c r="L10" s="35">
        <f t="shared" si="2"/>
        <v>51458184</v>
      </c>
      <c r="M10" s="35">
        <f t="shared" si="3"/>
        <v>15281880</v>
      </c>
      <c r="N10" s="46">
        <v>22538688</v>
      </c>
      <c r="O10" s="38">
        <v>51458184</v>
      </c>
      <c r="P10" s="38">
        <v>8448384</v>
      </c>
      <c r="Q10" s="38">
        <v>0</v>
      </c>
      <c r="R10" s="38">
        <v>6833496</v>
      </c>
      <c r="S10" s="38">
        <v>36114216</v>
      </c>
      <c r="T10" s="38">
        <v>62088</v>
      </c>
      <c r="U10" s="47">
        <v>65.430650400000005</v>
      </c>
      <c r="V10" s="47">
        <v>66.123661400000003</v>
      </c>
      <c r="W10" s="47">
        <v>32.198841299999998</v>
      </c>
      <c r="X10" s="47">
        <v>44.9245211</v>
      </c>
      <c r="Y10" s="47">
        <v>45.208162399999999</v>
      </c>
      <c r="Z10" s="47">
        <v>44.308475199999997</v>
      </c>
      <c r="AA10" s="47">
        <v>29.621753300000002</v>
      </c>
      <c r="AB10" s="39">
        <v>18452.084944999999</v>
      </c>
      <c r="AC10" s="39">
        <v>168.91518400000001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9</v>
      </c>
      <c r="J11" s="20">
        <f t="shared" si="0"/>
        <v>9.2401688000000011</v>
      </c>
      <c r="K11" s="21">
        <f t="shared" si="1"/>
        <v>10.266854222222221</v>
      </c>
      <c r="L11" s="19">
        <f t="shared" si="2"/>
        <v>92401688</v>
      </c>
      <c r="M11" s="19">
        <f t="shared" si="3"/>
        <v>24642176</v>
      </c>
      <c r="N11" s="44">
        <v>45393792</v>
      </c>
      <c r="O11" s="22">
        <v>92401688</v>
      </c>
      <c r="P11" s="22">
        <v>13225864</v>
      </c>
      <c r="Q11" s="22">
        <v>0</v>
      </c>
      <c r="R11" s="22">
        <v>11416312</v>
      </c>
      <c r="S11" s="22">
        <v>67695024</v>
      </c>
      <c r="T11" s="22">
        <v>64488</v>
      </c>
      <c r="U11" s="45">
        <v>70.034069099999996</v>
      </c>
      <c r="V11" s="45">
        <v>71.360101599999993</v>
      </c>
      <c r="W11" s="45">
        <v>34.907159900000003</v>
      </c>
      <c r="X11" s="45">
        <v>45.563373300000002</v>
      </c>
      <c r="Y11" s="45">
        <v>45.940837999999999</v>
      </c>
      <c r="Z11" s="45">
        <v>46.889974000000002</v>
      </c>
      <c r="AA11" s="45">
        <v>32.3557463</v>
      </c>
      <c r="AB11" s="23">
        <v>19864.935246000001</v>
      </c>
      <c r="AC11" s="23">
        <v>195.47675599999999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12</v>
      </c>
      <c r="J12" s="36">
        <f t="shared" si="0"/>
        <v>12.3902056</v>
      </c>
      <c r="K12" s="37">
        <f t="shared" si="1"/>
        <v>13.766895111111111</v>
      </c>
      <c r="L12" s="35">
        <f t="shared" si="2"/>
        <v>123902056</v>
      </c>
      <c r="M12" s="35">
        <f t="shared" si="3"/>
        <v>38398848</v>
      </c>
      <c r="N12" s="46">
        <v>45393792</v>
      </c>
      <c r="O12" s="38">
        <v>123902056</v>
      </c>
      <c r="P12" s="38">
        <v>13225864</v>
      </c>
      <c r="Q12" s="38">
        <v>0</v>
      </c>
      <c r="R12" s="38">
        <v>25172984</v>
      </c>
      <c r="S12" s="38">
        <v>85438720</v>
      </c>
      <c r="T12" s="38">
        <v>64488</v>
      </c>
      <c r="U12" s="47">
        <v>72.372702500000003</v>
      </c>
      <c r="V12" s="47">
        <v>74.012638999999993</v>
      </c>
      <c r="W12" s="47">
        <v>35.973347500000003</v>
      </c>
      <c r="X12" s="47">
        <v>45.888900399999997</v>
      </c>
      <c r="Y12" s="47">
        <v>46.311828200000001</v>
      </c>
      <c r="Z12" s="47">
        <v>48.2385679</v>
      </c>
      <c r="AA12" s="47">
        <v>33.662381400000001</v>
      </c>
      <c r="AB12" s="39">
        <v>19319.677821000001</v>
      </c>
      <c r="AC12" s="39">
        <v>185.57574600000001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15</v>
      </c>
      <c r="J13" s="20">
        <f t="shared" si="0"/>
        <v>15.4011584</v>
      </c>
      <c r="K13" s="21">
        <f t="shared" si="1"/>
        <v>17.112398222222222</v>
      </c>
      <c r="L13" s="19">
        <f t="shared" si="2"/>
        <v>154011584</v>
      </c>
      <c r="M13" s="19">
        <f t="shared" si="3"/>
        <v>45876632</v>
      </c>
      <c r="N13" s="44">
        <v>91443328</v>
      </c>
      <c r="O13" s="22">
        <v>154011584</v>
      </c>
      <c r="P13" s="22">
        <v>21730056</v>
      </c>
      <c r="Q13" s="22">
        <v>0</v>
      </c>
      <c r="R13" s="22">
        <v>24146576</v>
      </c>
      <c r="S13" s="22">
        <v>108068064</v>
      </c>
      <c r="T13" s="22">
        <v>66888</v>
      </c>
      <c r="U13" s="45">
        <v>74.263857700000003</v>
      </c>
      <c r="V13" s="45">
        <v>76.255174800000006</v>
      </c>
      <c r="W13" s="45">
        <v>37.076339099999998</v>
      </c>
      <c r="X13" s="45">
        <v>46.6859143</v>
      </c>
      <c r="Y13" s="45">
        <v>47.2113814</v>
      </c>
      <c r="Z13" s="45">
        <v>49.366958699999998</v>
      </c>
      <c r="AA13" s="45">
        <v>34.872164400000003</v>
      </c>
      <c r="AB13" s="23">
        <v>23573.401271999999</v>
      </c>
      <c r="AC13" s="23">
        <v>180.78463400000001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22</v>
      </c>
      <c r="J14" s="28">
        <f t="shared" si="0"/>
        <v>22.662808800000001</v>
      </c>
      <c r="K14" s="29">
        <f t="shared" si="1"/>
        <v>25.180898666666668</v>
      </c>
      <c r="L14" s="27">
        <f t="shared" si="2"/>
        <v>226628088</v>
      </c>
      <c r="M14" s="27">
        <f t="shared" si="3"/>
        <v>57622904</v>
      </c>
      <c r="N14" s="58">
        <v>91443328</v>
      </c>
      <c r="O14" s="30">
        <v>226628088</v>
      </c>
      <c r="P14" s="30">
        <v>23964760</v>
      </c>
      <c r="Q14" s="30">
        <v>0</v>
      </c>
      <c r="R14" s="30">
        <v>33658144</v>
      </c>
      <c r="S14" s="30">
        <v>168938296</v>
      </c>
      <c r="T14" s="30">
        <v>66888</v>
      </c>
      <c r="U14" s="59">
        <v>75.359341000000001</v>
      </c>
      <c r="V14" s="59">
        <v>77.592769500000003</v>
      </c>
      <c r="W14" s="59">
        <v>38.781297600000002</v>
      </c>
      <c r="X14" s="59">
        <v>47.739124400000001</v>
      </c>
      <c r="Y14" s="59">
        <v>48.370107400000002</v>
      </c>
      <c r="Z14" s="59">
        <v>50.059799300000002</v>
      </c>
      <c r="AA14" s="59">
        <v>36.169963799999998</v>
      </c>
      <c r="AB14" s="31">
        <v>24008.134918</v>
      </c>
      <c r="AC14" s="31">
        <v>193.80491799999999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3.1593976000000001</v>
      </c>
      <c r="K15" s="21">
        <f t="shared" si="1"/>
        <v>2.6679590157137283</v>
      </c>
      <c r="L15" s="19">
        <f t="shared" si="2"/>
        <v>31593976</v>
      </c>
      <c r="M15" s="19">
        <f t="shared" si="3"/>
        <v>12043496</v>
      </c>
      <c r="N15" s="44">
        <v>22706944</v>
      </c>
      <c r="O15" s="22">
        <v>31593976</v>
      </c>
      <c r="P15" s="22">
        <v>6608032</v>
      </c>
      <c r="Q15" s="22">
        <v>0</v>
      </c>
      <c r="R15" s="22">
        <v>5435464</v>
      </c>
      <c r="S15" s="22">
        <v>19488392</v>
      </c>
      <c r="T15" s="22">
        <v>62088</v>
      </c>
      <c r="U15" s="45">
        <v>70.718938800000004</v>
      </c>
      <c r="V15" s="45">
        <v>72.021186200000002</v>
      </c>
      <c r="W15" s="45">
        <v>35.698051100000001</v>
      </c>
      <c r="X15" s="45">
        <v>43.294794699999997</v>
      </c>
      <c r="Y15" s="45">
        <v>45.134129700000003</v>
      </c>
      <c r="Z15" s="45">
        <v>45.262974200000002</v>
      </c>
      <c r="AA15" s="45">
        <v>32.351719199999998</v>
      </c>
      <c r="AB15" s="23">
        <v>15112.030731000001</v>
      </c>
      <c r="AC15" s="23">
        <v>153.537961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5.2740016000000001</v>
      </c>
      <c r="K16" s="37">
        <f t="shared" si="1"/>
        <v>4.4536401868535407</v>
      </c>
      <c r="L16" s="35">
        <f t="shared" si="2"/>
        <v>52740016</v>
      </c>
      <c r="M16" s="35">
        <f t="shared" si="3"/>
        <v>15327192</v>
      </c>
      <c r="N16" s="46">
        <v>22706944</v>
      </c>
      <c r="O16" s="38">
        <v>52740016</v>
      </c>
      <c r="P16" s="38">
        <v>7187624</v>
      </c>
      <c r="Q16" s="38">
        <v>0</v>
      </c>
      <c r="R16" s="38">
        <v>8139568</v>
      </c>
      <c r="S16" s="38">
        <v>37350736</v>
      </c>
      <c r="T16" s="38">
        <v>62088</v>
      </c>
      <c r="U16" s="47">
        <v>72.330683699999994</v>
      </c>
      <c r="V16" s="47">
        <v>73.8060598</v>
      </c>
      <c r="W16" s="47">
        <v>38.476600300000001</v>
      </c>
      <c r="X16" s="47">
        <v>43.9249163</v>
      </c>
      <c r="Y16" s="47">
        <v>46.3693332</v>
      </c>
      <c r="Z16" s="47">
        <v>46.150093900000002</v>
      </c>
      <c r="AA16" s="47">
        <v>34.003185000000002</v>
      </c>
      <c r="AB16" s="39">
        <v>12869.219519</v>
      </c>
      <c r="AC16" s="39">
        <v>169.662295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10.335523199999999</v>
      </c>
      <c r="K17" s="21">
        <f t="shared" si="1"/>
        <v>8.7278512535295967</v>
      </c>
      <c r="L17" s="19">
        <f t="shared" si="2"/>
        <v>103355232</v>
      </c>
      <c r="M17" s="19">
        <f t="shared" si="3"/>
        <v>30315808</v>
      </c>
      <c r="N17" s="44">
        <v>45429504</v>
      </c>
      <c r="O17" s="22">
        <v>103355232</v>
      </c>
      <c r="P17" s="22">
        <v>12024536</v>
      </c>
      <c r="Q17" s="22">
        <v>0</v>
      </c>
      <c r="R17" s="22">
        <v>18291272</v>
      </c>
      <c r="S17" s="22">
        <v>72974936</v>
      </c>
      <c r="T17" s="22">
        <v>64488</v>
      </c>
      <c r="U17" s="45">
        <v>77.378353599999997</v>
      </c>
      <c r="V17" s="45">
        <v>79.647094999999993</v>
      </c>
      <c r="W17" s="45">
        <v>41.162423199999999</v>
      </c>
      <c r="X17" s="45">
        <v>44.803027</v>
      </c>
      <c r="Y17" s="45">
        <v>48.027635699999998</v>
      </c>
      <c r="Z17" s="45">
        <v>48.846992100000001</v>
      </c>
      <c r="AA17" s="45">
        <v>37.208539399999999</v>
      </c>
      <c r="AB17" s="23">
        <v>14252.173247999999</v>
      </c>
      <c r="AC17" s="23">
        <v>191.47471200000001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14.6240896</v>
      </c>
      <c r="K18" s="37">
        <f t="shared" si="1"/>
        <v>12.34933890401302</v>
      </c>
      <c r="L18" s="35">
        <f t="shared" si="2"/>
        <v>146240896</v>
      </c>
      <c r="M18" s="35">
        <f t="shared" si="3"/>
        <v>40397696</v>
      </c>
      <c r="N18" s="46">
        <v>90872832</v>
      </c>
      <c r="O18" s="38">
        <v>146240896</v>
      </c>
      <c r="P18" s="38">
        <v>20640312</v>
      </c>
      <c r="Q18" s="38">
        <v>0</v>
      </c>
      <c r="R18" s="38">
        <v>19757384</v>
      </c>
      <c r="S18" s="38">
        <v>105776312</v>
      </c>
      <c r="T18" s="38">
        <v>66888</v>
      </c>
      <c r="U18" s="47">
        <v>78.946957400000002</v>
      </c>
      <c r="V18" s="47">
        <v>81.669782699999999</v>
      </c>
      <c r="W18" s="47">
        <v>42.193720499999998</v>
      </c>
      <c r="X18" s="47">
        <v>45.499282399999998</v>
      </c>
      <c r="Y18" s="47">
        <v>49.182009600000001</v>
      </c>
      <c r="Z18" s="47">
        <v>49.904045199999999</v>
      </c>
      <c r="AA18" s="47">
        <v>38.376528999999998</v>
      </c>
      <c r="AB18" s="39">
        <v>19370.129917999999</v>
      </c>
      <c r="AC18" s="39">
        <v>214.27335299999999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21.817494399999998</v>
      </c>
      <c r="K19" s="52">
        <f t="shared" si="1"/>
        <v>18.423822593510792</v>
      </c>
      <c r="L19" s="49">
        <f t="shared" si="2"/>
        <v>218174944</v>
      </c>
      <c r="M19" s="49">
        <f t="shared" si="3"/>
        <v>42722088</v>
      </c>
      <c r="N19" s="53">
        <v>90872832</v>
      </c>
      <c r="O19" s="54">
        <v>218174944</v>
      </c>
      <c r="P19" s="54">
        <v>20640312</v>
      </c>
      <c r="Q19" s="54">
        <v>0</v>
      </c>
      <c r="R19" s="54">
        <v>22081776</v>
      </c>
      <c r="S19" s="54">
        <v>175385968</v>
      </c>
      <c r="T19" s="54">
        <v>66888</v>
      </c>
      <c r="U19" s="55">
        <v>79.324033700000001</v>
      </c>
      <c r="V19" s="55">
        <v>82.182234300000005</v>
      </c>
      <c r="W19" s="55">
        <v>43.238780200000001</v>
      </c>
      <c r="X19" s="55">
        <v>46.450453099999997</v>
      </c>
      <c r="Y19" s="55">
        <v>50.4739316</v>
      </c>
      <c r="Z19" s="55">
        <v>50.126721699999997</v>
      </c>
      <c r="AA19" s="55">
        <v>38.941903400000001</v>
      </c>
      <c r="AB19" s="56">
        <v>20433.693711</v>
      </c>
      <c r="AC19" s="56">
        <v>230.47137900000001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2.9981063999999997</v>
      </c>
      <c r="K20" s="37">
        <f t="shared" si="1"/>
        <v>2.5381675893089199</v>
      </c>
      <c r="L20" s="35">
        <f t="shared" si="2"/>
        <v>29981064</v>
      </c>
      <c r="M20" s="35">
        <f t="shared" si="3"/>
        <v>11556352</v>
      </c>
      <c r="N20" s="46">
        <v>22662720</v>
      </c>
      <c r="O20" s="38">
        <v>29981064</v>
      </c>
      <c r="P20" s="38">
        <v>6455352</v>
      </c>
      <c r="Q20" s="38">
        <v>0</v>
      </c>
      <c r="R20" s="38">
        <v>5101000</v>
      </c>
      <c r="S20" s="38">
        <v>18362704</v>
      </c>
      <c r="T20" s="38">
        <v>62008</v>
      </c>
      <c r="U20" s="47">
        <v>70.980242200000006</v>
      </c>
      <c r="V20" s="47">
        <v>72.332693599999999</v>
      </c>
      <c r="W20" s="47">
        <v>34.604269700000003</v>
      </c>
      <c r="X20" s="47">
        <v>42.722962899999999</v>
      </c>
      <c r="Y20" s="47">
        <v>44.108136999999999</v>
      </c>
      <c r="Z20" s="47">
        <v>46.300672400000003</v>
      </c>
      <c r="AA20" s="47">
        <v>31.478847600000002</v>
      </c>
      <c r="AB20" s="39">
        <v>5751.3365270000004</v>
      </c>
      <c r="AC20" s="39">
        <v>45.077558000000003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5.0382335999999999</v>
      </c>
      <c r="K21" s="21">
        <f t="shared" si="1"/>
        <v>4.265319346533933</v>
      </c>
      <c r="L21" s="19">
        <f t="shared" si="2"/>
        <v>50382336</v>
      </c>
      <c r="M21" s="19">
        <f t="shared" si="3"/>
        <v>12117848</v>
      </c>
      <c r="N21" s="44">
        <v>22662720</v>
      </c>
      <c r="O21" s="22">
        <v>50382336</v>
      </c>
      <c r="P21" s="22">
        <v>6455352</v>
      </c>
      <c r="Q21" s="22">
        <v>0</v>
      </c>
      <c r="R21" s="22">
        <v>5662496</v>
      </c>
      <c r="S21" s="22">
        <v>38202400</v>
      </c>
      <c r="T21" s="22">
        <v>62088</v>
      </c>
      <c r="U21" s="45">
        <v>71.397178400000001</v>
      </c>
      <c r="V21" s="45">
        <v>72.797496100000004</v>
      </c>
      <c r="W21" s="45">
        <v>37.378207400000001</v>
      </c>
      <c r="X21" s="45">
        <v>43.929364100000001</v>
      </c>
      <c r="Y21" s="45">
        <v>45.968375000000002</v>
      </c>
      <c r="Z21" s="45">
        <v>46.524139699999999</v>
      </c>
      <c r="AA21" s="45">
        <v>32.680625599999999</v>
      </c>
      <c r="AB21" s="23">
        <v>14419.046361000001</v>
      </c>
      <c r="AC21" s="23">
        <v>149.680948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10.276975199999999</v>
      </c>
      <c r="K22" s="37">
        <f t="shared" si="1"/>
        <v>8.7003868070764785</v>
      </c>
      <c r="L22" s="35">
        <f t="shared" si="2"/>
        <v>102769752</v>
      </c>
      <c r="M22" s="35">
        <f t="shared" si="3"/>
        <v>28213920</v>
      </c>
      <c r="N22" s="46">
        <v>45333632</v>
      </c>
      <c r="O22" s="38">
        <v>102769752</v>
      </c>
      <c r="P22" s="38">
        <v>10702888</v>
      </c>
      <c r="Q22" s="38">
        <v>0</v>
      </c>
      <c r="R22" s="38">
        <v>17511032</v>
      </c>
      <c r="S22" s="38">
        <v>74491344</v>
      </c>
      <c r="T22" s="38">
        <v>64488</v>
      </c>
      <c r="U22" s="47">
        <v>77.400720000000007</v>
      </c>
      <c r="V22" s="47">
        <v>79.785985699999998</v>
      </c>
      <c r="W22" s="47">
        <v>40.386718399999999</v>
      </c>
      <c r="X22" s="47">
        <v>45.188160000000003</v>
      </c>
      <c r="Y22" s="47">
        <v>48.059732599999997</v>
      </c>
      <c r="Z22" s="47">
        <v>49.700312599999997</v>
      </c>
      <c r="AA22" s="47">
        <v>36.493458099999998</v>
      </c>
      <c r="AB22" s="39">
        <v>15895.470028</v>
      </c>
      <c r="AC22" s="39">
        <v>202.85635600000001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14.462664</v>
      </c>
      <c r="K23" s="21">
        <f t="shared" si="1"/>
        <v>12.24395005456274</v>
      </c>
      <c r="L23" s="19">
        <f t="shared" si="2"/>
        <v>144626640</v>
      </c>
      <c r="M23" s="19">
        <f t="shared" si="3"/>
        <v>38808448</v>
      </c>
      <c r="N23" s="44">
        <v>90678336</v>
      </c>
      <c r="O23" s="22">
        <v>144626640</v>
      </c>
      <c r="P23" s="22">
        <v>22494568</v>
      </c>
      <c r="Q23" s="22">
        <v>0</v>
      </c>
      <c r="R23" s="22">
        <v>16313880</v>
      </c>
      <c r="S23" s="22">
        <v>105751304</v>
      </c>
      <c r="T23" s="22">
        <v>66888</v>
      </c>
      <c r="U23" s="45">
        <v>78.654663200000002</v>
      </c>
      <c r="V23" s="45">
        <v>81.410769700000003</v>
      </c>
      <c r="W23" s="45">
        <v>41.468777099999997</v>
      </c>
      <c r="X23" s="45">
        <v>45.719305599999998</v>
      </c>
      <c r="Y23" s="45">
        <v>48.817221799999999</v>
      </c>
      <c r="Z23" s="45">
        <v>50.748803700000003</v>
      </c>
      <c r="AA23" s="45">
        <v>37.557576599999997</v>
      </c>
      <c r="AB23" s="23">
        <v>16516.099732999999</v>
      </c>
      <c r="AC23" s="23">
        <v>221.75612899999999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21.5023208</v>
      </c>
      <c r="K24" s="29">
        <f t="shared" si="1"/>
        <v>18.20365473002661</v>
      </c>
      <c r="L24" s="27">
        <f t="shared" si="2"/>
        <v>215023208</v>
      </c>
      <c r="M24" s="27">
        <f t="shared" si="3"/>
        <v>41097624</v>
      </c>
      <c r="N24" s="58">
        <v>90678336</v>
      </c>
      <c r="O24" s="30">
        <v>215023208</v>
      </c>
      <c r="P24" s="30">
        <v>20303168</v>
      </c>
      <c r="Q24" s="30">
        <v>0</v>
      </c>
      <c r="R24" s="30">
        <v>20794456</v>
      </c>
      <c r="S24" s="30">
        <v>173858696</v>
      </c>
      <c r="T24" s="30">
        <v>66888</v>
      </c>
      <c r="U24" s="59">
        <v>79.380622700000004</v>
      </c>
      <c r="V24" s="59">
        <v>82.437371499999998</v>
      </c>
      <c r="W24" s="59">
        <v>42.481943700000002</v>
      </c>
      <c r="X24" s="59">
        <v>46.793750600000003</v>
      </c>
      <c r="Y24" s="59">
        <v>50.185800899999997</v>
      </c>
      <c r="Z24" s="59">
        <v>51.133430199999999</v>
      </c>
      <c r="AA24" s="59">
        <v>38.317725699999997</v>
      </c>
      <c r="AB24" s="31">
        <v>19844.268411000001</v>
      </c>
      <c r="AC24" s="31">
        <v>240.262291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4.2617144000000007</v>
      </c>
      <c r="K25" s="21">
        <f t="shared" si="1"/>
        <v>3.5514286666666668</v>
      </c>
      <c r="L25" s="19">
        <f t="shared" si="2"/>
        <v>42617144</v>
      </c>
      <c r="M25" s="19">
        <f t="shared" si="3"/>
        <v>11462856</v>
      </c>
      <c r="N25" s="44">
        <v>23021184</v>
      </c>
      <c r="O25" s="22">
        <v>42617144</v>
      </c>
      <c r="P25" s="22">
        <v>6404696</v>
      </c>
      <c r="Q25" s="22">
        <v>0</v>
      </c>
      <c r="R25" s="22">
        <v>5058160</v>
      </c>
      <c r="S25" s="22">
        <v>31092280</v>
      </c>
      <c r="T25" s="22">
        <v>62008</v>
      </c>
      <c r="U25" s="45">
        <v>73.192573600000003</v>
      </c>
      <c r="V25" s="45">
        <v>74.916504000000003</v>
      </c>
      <c r="W25" s="45">
        <v>31.075080199999999</v>
      </c>
      <c r="X25" s="45">
        <v>39.900908000000001</v>
      </c>
      <c r="Y25" s="45">
        <v>36.595500999999999</v>
      </c>
      <c r="Z25" s="45">
        <v>44.799953899999998</v>
      </c>
      <c r="AA25" s="45">
        <v>27.962405</v>
      </c>
      <c r="AB25" s="23">
        <v>8551.6819379999997</v>
      </c>
      <c r="AC25" s="23">
        <v>50.659709999999997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8.5001960000000008</v>
      </c>
      <c r="K26" s="37">
        <f t="shared" si="1"/>
        <v>7.083496666666667</v>
      </c>
      <c r="L26" s="35">
        <f t="shared" si="2"/>
        <v>85001960</v>
      </c>
      <c r="M26" s="35">
        <f t="shared" si="3"/>
        <v>18796480</v>
      </c>
      <c r="N26" s="46">
        <v>46064000</v>
      </c>
      <c r="O26" s="38">
        <v>85001960</v>
      </c>
      <c r="P26" s="38">
        <v>10720296</v>
      </c>
      <c r="Q26" s="38">
        <v>0</v>
      </c>
      <c r="R26" s="38">
        <v>8076184</v>
      </c>
      <c r="S26" s="38">
        <v>66140992</v>
      </c>
      <c r="T26" s="38">
        <v>64488</v>
      </c>
      <c r="U26" s="47">
        <v>76.613840999999994</v>
      </c>
      <c r="V26" s="47">
        <v>78.892491500000006</v>
      </c>
      <c r="W26" s="47">
        <v>33.4398695</v>
      </c>
      <c r="X26" s="47">
        <v>41.834822799999998</v>
      </c>
      <c r="Y26" s="47">
        <v>39.442651499999997</v>
      </c>
      <c r="Z26" s="47">
        <v>46.460173900000001</v>
      </c>
      <c r="AA26" s="47">
        <v>30.6961093</v>
      </c>
      <c r="AB26" s="39">
        <v>17940.375171</v>
      </c>
      <c r="AC26" s="39">
        <v>173.73996399999999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12.685043199999999</v>
      </c>
      <c r="K27" s="21">
        <f t="shared" si="1"/>
        <v>10.570869333333333</v>
      </c>
      <c r="L27" s="19">
        <f t="shared" si="2"/>
        <v>126850432</v>
      </c>
      <c r="M27" s="19">
        <f t="shared" si="3"/>
        <v>27915288</v>
      </c>
      <c r="N27" s="44">
        <v>92146368</v>
      </c>
      <c r="O27" s="22">
        <v>126850432</v>
      </c>
      <c r="P27" s="22">
        <v>20260304</v>
      </c>
      <c r="Q27" s="22">
        <v>0</v>
      </c>
      <c r="R27" s="22">
        <v>7654984</v>
      </c>
      <c r="S27" s="22">
        <v>98868096</v>
      </c>
      <c r="T27" s="22">
        <v>67048</v>
      </c>
      <c r="U27" s="45">
        <v>78.4513879</v>
      </c>
      <c r="V27" s="45">
        <v>81.144647699999993</v>
      </c>
      <c r="W27" s="45">
        <v>34.499800399999998</v>
      </c>
      <c r="X27" s="45">
        <v>43.201407400000001</v>
      </c>
      <c r="Y27" s="45">
        <v>41.247081399999999</v>
      </c>
      <c r="Z27" s="45">
        <v>47.908385199999998</v>
      </c>
      <c r="AA27" s="45">
        <v>32.0382076</v>
      </c>
      <c r="AB27" s="23">
        <v>48819.839916999998</v>
      </c>
      <c r="AC27" s="23">
        <v>584.14843699999994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17.9149648</v>
      </c>
      <c r="K28" s="37">
        <f t="shared" si="1"/>
        <v>14.929137333333333</v>
      </c>
      <c r="L28" s="35">
        <f t="shared" si="2"/>
        <v>179149648</v>
      </c>
      <c r="M28" s="35">
        <f t="shared" si="3"/>
        <v>45636216</v>
      </c>
      <c r="N28" s="46">
        <v>184310144</v>
      </c>
      <c r="O28" s="38">
        <v>179149648</v>
      </c>
      <c r="P28" s="38">
        <v>39527832</v>
      </c>
      <c r="Q28" s="38">
        <v>0</v>
      </c>
      <c r="R28" s="38">
        <v>6108384</v>
      </c>
      <c r="S28" s="38">
        <v>133446304</v>
      </c>
      <c r="T28" s="38">
        <v>67128</v>
      </c>
      <c r="U28" s="47">
        <v>80.306608600000004</v>
      </c>
      <c r="V28" s="47">
        <v>83.621289300000001</v>
      </c>
      <c r="W28" s="47">
        <v>35.316507999999999</v>
      </c>
      <c r="X28" s="47">
        <v>43.5584025</v>
      </c>
      <c r="Y28" s="47">
        <v>41.746963999999998</v>
      </c>
      <c r="Z28" s="47">
        <v>49.599159200000003</v>
      </c>
      <c r="AA28" s="47">
        <v>33.262898399999997</v>
      </c>
      <c r="AB28" s="39">
        <v>49406.091310000003</v>
      </c>
      <c r="AC28" s="39">
        <v>687.83483699999999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26.575051999999999</v>
      </c>
      <c r="K29" s="52">
        <f t="shared" si="1"/>
        <v>22.145876666666666</v>
      </c>
      <c r="L29" s="49">
        <f t="shared" si="2"/>
        <v>265750520</v>
      </c>
      <c r="M29" s="49">
        <f t="shared" si="3"/>
        <v>74177224</v>
      </c>
      <c r="N29" s="53">
        <v>368630976</v>
      </c>
      <c r="O29" s="54">
        <v>265750520</v>
      </c>
      <c r="P29" s="54">
        <v>70015000</v>
      </c>
      <c r="Q29" s="54">
        <v>0</v>
      </c>
      <c r="R29" s="54">
        <v>4162224</v>
      </c>
      <c r="S29" s="54">
        <v>191503768</v>
      </c>
      <c r="T29" s="54">
        <v>69528</v>
      </c>
      <c r="U29" s="55">
        <v>82.823952000000006</v>
      </c>
      <c r="V29" s="55">
        <v>87.275297199999997</v>
      </c>
      <c r="W29" s="55">
        <v>36.045166199999997</v>
      </c>
      <c r="X29" s="55">
        <v>44.1835892</v>
      </c>
      <c r="Y29" s="55">
        <v>42.5757403</v>
      </c>
      <c r="Z29" s="55">
        <v>52.065268500000002</v>
      </c>
      <c r="AA29" s="55">
        <v>34.706557699999998</v>
      </c>
      <c r="AB29" s="56">
        <v>62016.173122</v>
      </c>
      <c r="AC29" s="56">
        <v>725.55213800000001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2.1511952000000001</v>
      </c>
      <c r="K30" s="37">
        <f t="shared" si="1"/>
        <v>3.5867277438811911</v>
      </c>
      <c r="L30" s="35">
        <f t="shared" si="2"/>
        <v>21511952</v>
      </c>
      <c r="M30" s="35">
        <f t="shared" si="3"/>
        <v>7047744</v>
      </c>
      <c r="N30" s="46">
        <v>11261056</v>
      </c>
      <c r="O30" s="38">
        <v>21511952</v>
      </c>
      <c r="P30" s="38">
        <v>3601480</v>
      </c>
      <c r="Q30" s="38">
        <v>0</v>
      </c>
      <c r="R30" s="38">
        <v>3446264</v>
      </c>
      <c r="S30" s="38">
        <v>14433160</v>
      </c>
      <c r="T30" s="38">
        <v>31048</v>
      </c>
      <c r="U30" s="47">
        <v>72.7267011</v>
      </c>
      <c r="V30" s="47">
        <v>74.335206299999996</v>
      </c>
      <c r="W30" s="47">
        <v>37.560264599999996</v>
      </c>
      <c r="X30" s="47">
        <v>44.021227600000003</v>
      </c>
      <c r="Y30" s="47">
        <v>42.619335200000002</v>
      </c>
      <c r="Z30" s="47">
        <v>47.566679100000002</v>
      </c>
      <c r="AA30" s="47">
        <v>34.131964600000003</v>
      </c>
      <c r="AB30" s="39">
        <v>6278.4893439999996</v>
      </c>
      <c r="AC30" s="39">
        <v>77.901764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4.3166840000000004</v>
      </c>
      <c r="K31" s="21">
        <f t="shared" si="1"/>
        <v>7.197287472735173</v>
      </c>
      <c r="L31" s="19">
        <f t="shared" si="2"/>
        <v>43166840</v>
      </c>
      <c r="M31" s="19">
        <f t="shared" si="3"/>
        <v>10016360</v>
      </c>
      <c r="N31" s="44">
        <v>11261056</v>
      </c>
      <c r="O31" s="22">
        <v>43166840</v>
      </c>
      <c r="P31" s="22">
        <v>3601480</v>
      </c>
      <c r="Q31" s="22">
        <v>0</v>
      </c>
      <c r="R31" s="22">
        <v>6414880</v>
      </c>
      <c r="S31" s="22">
        <v>33119432</v>
      </c>
      <c r="T31" s="22">
        <v>31048</v>
      </c>
      <c r="U31" s="45">
        <v>74.827307500000003</v>
      </c>
      <c r="V31" s="45">
        <v>76.689064700000003</v>
      </c>
      <c r="W31" s="45">
        <v>39.947948799999999</v>
      </c>
      <c r="X31" s="45">
        <v>45.724543400000002</v>
      </c>
      <c r="Y31" s="45">
        <v>44.563123099999999</v>
      </c>
      <c r="Z31" s="45">
        <v>48.868478000000003</v>
      </c>
      <c r="AA31" s="45">
        <v>35.8629538</v>
      </c>
      <c r="AB31" s="23">
        <v>8003.4158900000002</v>
      </c>
      <c r="AC31" s="23">
        <v>83.473984999999999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6.3675615999999993</v>
      </c>
      <c r="K32" s="37">
        <f t="shared" si="1"/>
        <v>10.616753817409274</v>
      </c>
      <c r="L32" s="35">
        <f t="shared" si="2"/>
        <v>63675616</v>
      </c>
      <c r="M32" s="35">
        <f t="shared" si="3"/>
        <v>15742184</v>
      </c>
      <c r="N32" s="46">
        <v>11450400</v>
      </c>
      <c r="O32" s="38">
        <v>63675616</v>
      </c>
      <c r="P32" s="38">
        <v>9518216</v>
      </c>
      <c r="Q32" s="38">
        <v>0</v>
      </c>
      <c r="R32" s="38">
        <v>6223968</v>
      </c>
      <c r="S32" s="38">
        <v>47902464</v>
      </c>
      <c r="T32" s="38">
        <v>30968</v>
      </c>
      <c r="U32" s="47">
        <v>78.252144700000002</v>
      </c>
      <c r="V32" s="47">
        <v>80.827622099999999</v>
      </c>
      <c r="W32" s="47">
        <v>41.311705099999998</v>
      </c>
      <c r="X32" s="47">
        <v>46.470437199999999</v>
      </c>
      <c r="Y32" s="47">
        <v>45.435465200000003</v>
      </c>
      <c r="Z32" s="47">
        <v>51.095794499999997</v>
      </c>
      <c r="AA32" s="47">
        <v>37.7954638</v>
      </c>
      <c r="AB32" s="39">
        <v>8767.3358690000005</v>
      </c>
      <c r="AC32" s="39">
        <v>105.02971700000001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9.0606439999999999</v>
      </c>
      <c r="K33" s="21">
        <f t="shared" si="1"/>
        <v>15.106980162576901</v>
      </c>
      <c r="L33" s="19">
        <f t="shared" si="2"/>
        <v>90606440</v>
      </c>
      <c r="M33" s="19">
        <f t="shared" si="3"/>
        <v>18469408</v>
      </c>
      <c r="N33" s="44">
        <v>11450400</v>
      </c>
      <c r="O33" s="22">
        <v>90606440</v>
      </c>
      <c r="P33" s="22">
        <v>9518216</v>
      </c>
      <c r="Q33" s="22">
        <v>0</v>
      </c>
      <c r="R33" s="22">
        <v>8951192</v>
      </c>
      <c r="S33" s="22">
        <v>72105984</v>
      </c>
      <c r="T33" s="22">
        <v>31048</v>
      </c>
      <c r="U33" s="45">
        <v>79.348536600000003</v>
      </c>
      <c r="V33" s="45">
        <v>82.3574859</v>
      </c>
      <c r="W33" s="45">
        <v>42.227609700000002</v>
      </c>
      <c r="X33" s="45">
        <v>47.607064100000002</v>
      </c>
      <c r="Y33" s="45">
        <v>46.769819900000002</v>
      </c>
      <c r="Z33" s="45">
        <v>51.836261100000002</v>
      </c>
      <c r="AA33" s="45">
        <v>38.889469699999999</v>
      </c>
      <c r="AB33" s="23">
        <v>26652.516405999999</v>
      </c>
      <c r="AC33" s="23">
        <v>304.55534799999998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13.110766400000001</v>
      </c>
      <c r="K34" s="29">
        <f t="shared" si="1"/>
        <v>21.859824524722502</v>
      </c>
      <c r="L34" s="27">
        <f t="shared" si="2"/>
        <v>131107664</v>
      </c>
      <c r="M34" s="27">
        <f t="shared" si="3"/>
        <v>30132384</v>
      </c>
      <c r="N34" s="58">
        <v>34479248</v>
      </c>
      <c r="O34" s="30">
        <v>131107664</v>
      </c>
      <c r="P34" s="30">
        <v>21727520</v>
      </c>
      <c r="Q34" s="30">
        <v>0</v>
      </c>
      <c r="R34" s="30">
        <v>8404864</v>
      </c>
      <c r="S34" s="30">
        <v>100943032</v>
      </c>
      <c r="T34" s="30">
        <v>32248</v>
      </c>
      <c r="U34" s="59">
        <v>82.068789199999998</v>
      </c>
      <c r="V34" s="59">
        <v>86.215744900000004</v>
      </c>
      <c r="W34" s="59">
        <v>43.276460999999998</v>
      </c>
      <c r="X34" s="59">
        <v>48.351374999999997</v>
      </c>
      <c r="Y34" s="59">
        <v>47.605915799999998</v>
      </c>
      <c r="Z34" s="59">
        <v>53.7564724</v>
      </c>
      <c r="AA34" s="59">
        <v>40.787960300000002</v>
      </c>
      <c r="AB34" s="31">
        <v>29712.149353000001</v>
      </c>
      <c r="AC34" s="31">
        <v>292.70175599999999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4</v>
      </c>
      <c r="J35" s="20">
        <f t="shared" si="0"/>
        <v>4.0724879999999999</v>
      </c>
      <c r="K35" s="21">
        <f t="shared" si="1"/>
        <v>4.5249866666666669</v>
      </c>
      <c r="L35" s="19">
        <f t="shared" si="2"/>
        <v>40724880</v>
      </c>
      <c r="M35" s="19">
        <f t="shared" si="3"/>
        <v>14876480</v>
      </c>
      <c r="N35" s="44">
        <v>17191488</v>
      </c>
      <c r="O35" s="22">
        <v>40724880</v>
      </c>
      <c r="P35" s="22">
        <v>5923616</v>
      </c>
      <c r="Q35" s="22">
        <v>0</v>
      </c>
      <c r="R35" s="22">
        <v>8952864</v>
      </c>
      <c r="S35" s="22">
        <v>25786392</v>
      </c>
      <c r="T35" s="22">
        <v>62008</v>
      </c>
      <c r="U35" s="45">
        <v>71.045239600000002</v>
      </c>
      <c r="V35" s="45">
        <v>72.407255699999993</v>
      </c>
      <c r="W35" s="45">
        <v>29.657207799999998</v>
      </c>
      <c r="X35" s="45">
        <v>38.761815499999997</v>
      </c>
      <c r="Y35" s="45">
        <v>38.428664099999999</v>
      </c>
      <c r="Z35" s="45">
        <v>47.0256969</v>
      </c>
      <c r="AA35" s="45">
        <v>28.403564299999999</v>
      </c>
      <c r="AB35" s="23">
        <v>7692.8125840000002</v>
      </c>
      <c r="AC35" s="23">
        <v>43.807761999999997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6</v>
      </c>
      <c r="J36" s="36">
        <f t="shared" si="0"/>
        <v>6.1365624000000007</v>
      </c>
      <c r="K36" s="37">
        <f t="shared" si="1"/>
        <v>6.8184026666666666</v>
      </c>
      <c r="L36" s="35">
        <f t="shared" si="2"/>
        <v>61365624</v>
      </c>
      <c r="M36" s="35">
        <f t="shared" si="3"/>
        <v>17547168</v>
      </c>
      <c r="N36" s="46">
        <v>34432704</v>
      </c>
      <c r="O36" s="38">
        <v>61365624</v>
      </c>
      <c r="P36" s="38">
        <v>9023528</v>
      </c>
      <c r="Q36" s="38">
        <v>0</v>
      </c>
      <c r="R36" s="38">
        <v>8523640</v>
      </c>
      <c r="S36" s="38">
        <v>43756448</v>
      </c>
      <c r="T36" s="38">
        <v>62008</v>
      </c>
      <c r="U36" s="47">
        <v>73.431147100000004</v>
      </c>
      <c r="V36" s="47">
        <v>75.132092599999993</v>
      </c>
      <c r="W36" s="47">
        <v>30.302759500000001</v>
      </c>
      <c r="X36" s="47">
        <v>38.938018499999998</v>
      </c>
      <c r="Y36" s="47">
        <v>38.705050200000002</v>
      </c>
      <c r="Z36" s="47">
        <v>48.0918207</v>
      </c>
      <c r="AA36" s="47">
        <v>28.844621799999999</v>
      </c>
      <c r="AB36" s="39">
        <v>8840.2781510000004</v>
      </c>
      <c r="AC36" s="39">
        <v>73.387347000000005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11</v>
      </c>
      <c r="J37" s="20">
        <f t="shared" si="0"/>
        <v>11.255040800000002</v>
      </c>
      <c r="K37" s="21">
        <f t="shared" si="1"/>
        <v>12.505600888888889</v>
      </c>
      <c r="L37" s="19">
        <f t="shared" si="2"/>
        <v>112550408</v>
      </c>
      <c r="M37" s="19">
        <f t="shared" si="3"/>
        <v>22082712</v>
      </c>
      <c r="N37" s="44">
        <v>68915264</v>
      </c>
      <c r="O37" s="22">
        <v>112550408</v>
      </c>
      <c r="P37" s="22">
        <v>15250384</v>
      </c>
      <c r="Q37" s="22">
        <v>0</v>
      </c>
      <c r="R37" s="22">
        <v>6832328</v>
      </c>
      <c r="S37" s="22">
        <v>90403048</v>
      </c>
      <c r="T37" s="22">
        <v>64648</v>
      </c>
      <c r="U37" s="45">
        <v>74.626011300000002</v>
      </c>
      <c r="V37" s="45">
        <v>76.489590100000001</v>
      </c>
      <c r="W37" s="45">
        <v>31.266069099999999</v>
      </c>
      <c r="X37" s="45">
        <v>39.169075900000003</v>
      </c>
      <c r="Y37" s="45">
        <v>39.293423300000001</v>
      </c>
      <c r="Z37" s="45">
        <v>48.920929200000003</v>
      </c>
      <c r="AA37" s="45">
        <v>30.160001999999999</v>
      </c>
      <c r="AB37" s="23">
        <v>54827.530398000003</v>
      </c>
      <c r="AC37" s="23">
        <v>648.80296499999997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16</v>
      </c>
      <c r="J38" s="36">
        <f t="shared" si="0"/>
        <v>16.418647199999999</v>
      </c>
      <c r="K38" s="37">
        <f t="shared" si="1"/>
        <v>18.242941333333334</v>
      </c>
      <c r="L38" s="35">
        <f t="shared" si="2"/>
        <v>164186472</v>
      </c>
      <c r="M38" s="35">
        <f t="shared" si="3"/>
        <v>28572392</v>
      </c>
      <c r="N38" s="46">
        <v>68915264</v>
      </c>
      <c r="O38" s="38">
        <v>164186472</v>
      </c>
      <c r="P38" s="38">
        <v>16880000</v>
      </c>
      <c r="Q38" s="38">
        <v>0</v>
      </c>
      <c r="R38" s="38">
        <v>11692392</v>
      </c>
      <c r="S38" s="38">
        <v>135549432</v>
      </c>
      <c r="T38" s="38">
        <v>64648</v>
      </c>
      <c r="U38" s="47">
        <v>76.512400200000002</v>
      </c>
      <c r="V38" s="47">
        <v>78.6686105</v>
      </c>
      <c r="W38" s="47">
        <v>31.956842200000001</v>
      </c>
      <c r="X38" s="47">
        <v>39.241337000000001</v>
      </c>
      <c r="Y38" s="47">
        <v>39.423084699999997</v>
      </c>
      <c r="Z38" s="47">
        <v>50.036904999999997</v>
      </c>
      <c r="AA38" s="47">
        <v>30.892690200000001</v>
      </c>
      <c r="AB38" s="39">
        <v>54541.162931999999</v>
      </c>
      <c r="AC38" s="39">
        <v>665.62730499999998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24</v>
      </c>
      <c r="J39" s="51">
        <f t="shared" si="0"/>
        <v>24.541290399999998</v>
      </c>
      <c r="K39" s="52">
        <f t="shared" si="1"/>
        <v>27.268100444444446</v>
      </c>
      <c r="L39" s="49">
        <f t="shared" si="2"/>
        <v>245412904</v>
      </c>
      <c r="M39" s="49">
        <f t="shared" si="3"/>
        <v>39844608</v>
      </c>
      <c r="N39" s="53">
        <v>137868480</v>
      </c>
      <c r="O39" s="54">
        <v>245412904</v>
      </c>
      <c r="P39" s="54">
        <v>29561640</v>
      </c>
      <c r="Q39" s="54">
        <v>0</v>
      </c>
      <c r="R39" s="54">
        <v>10282968</v>
      </c>
      <c r="S39" s="54">
        <v>205501248</v>
      </c>
      <c r="T39" s="54">
        <v>67048</v>
      </c>
      <c r="U39" s="55">
        <v>78.574865000000003</v>
      </c>
      <c r="V39" s="55">
        <v>81.162200200000001</v>
      </c>
      <c r="W39" s="55">
        <v>32.7735488</v>
      </c>
      <c r="X39" s="55">
        <v>39.325917599999997</v>
      </c>
      <c r="Y39" s="55">
        <v>39.578284500000002</v>
      </c>
      <c r="Z39" s="55">
        <v>51.387932399999997</v>
      </c>
      <c r="AA39" s="55">
        <v>31.746352999999999</v>
      </c>
      <c r="AB39" s="56">
        <v>59635.749067999997</v>
      </c>
      <c r="AC39" s="56">
        <v>627.34096699999998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4</v>
      </c>
      <c r="J40" s="36">
        <f t="shared" si="0"/>
        <v>4.1214056000000001</v>
      </c>
      <c r="K40" s="37">
        <f t="shared" si="1"/>
        <v>4.5793395555555554</v>
      </c>
      <c r="L40" s="35">
        <f t="shared" si="2"/>
        <v>41214056</v>
      </c>
      <c r="M40" s="35">
        <f t="shared" si="3"/>
        <v>12726632</v>
      </c>
      <c r="N40" s="46">
        <v>17235840</v>
      </c>
      <c r="O40" s="38">
        <v>41214056</v>
      </c>
      <c r="P40" s="38">
        <v>5182664</v>
      </c>
      <c r="Q40" s="38">
        <v>0</v>
      </c>
      <c r="R40" s="38">
        <v>7543968</v>
      </c>
      <c r="S40" s="38">
        <v>28425336</v>
      </c>
      <c r="T40" s="38">
        <v>62088</v>
      </c>
      <c r="U40" s="47">
        <v>71.692374999999998</v>
      </c>
      <c r="V40" s="47">
        <v>72.937015200000005</v>
      </c>
      <c r="W40" s="47">
        <v>32.523943899999999</v>
      </c>
      <c r="X40" s="47">
        <v>42.255343699999997</v>
      </c>
      <c r="Y40" s="47">
        <v>42.497800900000001</v>
      </c>
      <c r="Z40" s="47">
        <v>47.446735199999999</v>
      </c>
      <c r="AA40" s="47">
        <v>31.608187300000001</v>
      </c>
      <c r="AB40" s="39">
        <v>17357.44844</v>
      </c>
      <c r="AC40" s="39">
        <v>156.933528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6</v>
      </c>
      <c r="J41" s="20">
        <f t="shared" si="0"/>
        <v>6.2211344000000004</v>
      </c>
      <c r="K41" s="21">
        <f t="shared" si="1"/>
        <v>6.9123715555555556</v>
      </c>
      <c r="L41" s="19">
        <f t="shared" si="2"/>
        <v>62211344</v>
      </c>
      <c r="M41" s="19">
        <f t="shared" si="3"/>
        <v>13990000</v>
      </c>
      <c r="N41" s="44">
        <v>17235840</v>
      </c>
      <c r="O41" s="22">
        <v>62211344</v>
      </c>
      <c r="P41" s="22">
        <v>5606792</v>
      </c>
      <c r="Q41" s="22">
        <v>0</v>
      </c>
      <c r="R41" s="22">
        <v>8383208</v>
      </c>
      <c r="S41" s="22">
        <v>48159176</v>
      </c>
      <c r="T41" s="22">
        <v>62168</v>
      </c>
      <c r="U41" s="45">
        <v>72.101627800000003</v>
      </c>
      <c r="V41" s="45">
        <v>73.387659999999997</v>
      </c>
      <c r="W41" s="45">
        <v>33.192498700000002</v>
      </c>
      <c r="X41" s="45">
        <v>42.511432999999997</v>
      </c>
      <c r="Y41" s="45">
        <v>42.789515199999997</v>
      </c>
      <c r="Z41" s="45">
        <v>47.713052900000001</v>
      </c>
      <c r="AA41" s="45">
        <v>32.0386837</v>
      </c>
      <c r="AB41" s="23">
        <v>49937.007296000003</v>
      </c>
      <c r="AC41" s="23">
        <v>609.95579799999996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11</v>
      </c>
      <c r="J42" s="36">
        <f t="shared" si="0"/>
        <v>11.115031199999999</v>
      </c>
      <c r="K42" s="37">
        <f t="shared" si="1"/>
        <v>12.350034666666666</v>
      </c>
      <c r="L42" s="35">
        <f t="shared" si="2"/>
        <v>111150312</v>
      </c>
      <c r="M42" s="35">
        <f t="shared" si="3"/>
        <v>23383176</v>
      </c>
      <c r="N42" s="46">
        <v>69038976</v>
      </c>
      <c r="O42" s="38">
        <v>111150312</v>
      </c>
      <c r="P42" s="38">
        <v>14742120</v>
      </c>
      <c r="Q42" s="38">
        <v>0</v>
      </c>
      <c r="R42" s="38">
        <v>8641056</v>
      </c>
      <c r="S42" s="38">
        <v>87702488</v>
      </c>
      <c r="T42" s="38">
        <v>64648</v>
      </c>
      <c r="U42" s="47">
        <v>76.057821000000004</v>
      </c>
      <c r="V42" s="47">
        <v>77.8467713</v>
      </c>
      <c r="W42" s="47">
        <v>34.1809546</v>
      </c>
      <c r="X42" s="47">
        <v>42.855579599999999</v>
      </c>
      <c r="Y42" s="47">
        <v>43.329818299999999</v>
      </c>
      <c r="Z42" s="47">
        <v>49.995727799999997</v>
      </c>
      <c r="AA42" s="47">
        <v>33.2849662</v>
      </c>
      <c r="AB42" s="39">
        <v>48697.099576000001</v>
      </c>
      <c r="AC42" s="39">
        <v>520.83953299999996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16</v>
      </c>
      <c r="J43" s="20">
        <f t="shared" si="0"/>
        <v>16.236136800000001</v>
      </c>
      <c r="K43" s="21">
        <f t="shared" si="1"/>
        <v>18.040151999999999</v>
      </c>
      <c r="L43" s="19">
        <f t="shared" si="2"/>
        <v>162361368</v>
      </c>
      <c r="M43" s="19">
        <f t="shared" si="3"/>
        <v>27402968</v>
      </c>
      <c r="N43" s="44">
        <v>69038976</v>
      </c>
      <c r="O43" s="22">
        <v>162361368</v>
      </c>
      <c r="P43" s="22">
        <v>16359856</v>
      </c>
      <c r="Q43" s="22">
        <v>0</v>
      </c>
      <c r="R43" s="22">
        <v>11043112</v>
      </c>
      <c r="S43" s="22">
        <v>134893752</v>
      </c>
      <c r="T43" s="22">
        <v>64648</v>
      </c>
      <c r="U43" s="45">
        <v>77.068098699999993</v>
      </c>
      <c r="V43" s="45">
        <v>79.021387099999998</v>
      </c>
      <c r="W43" s="45">
        <v>34.851443000000003</v>
      </c>
      <c r="X43" s="45">
        <v>42.988690400000003</v>
      </c>
      <c r="Y43" s="45">
        <v>43.5231675</v>
      </c>
      <c r="Z43" s="45">
        <v>50.592011900000003</v>
      </c>
      <c r="AA43" s="45">
        <v>33.880410599999998</v>
      </c>
      <c r="AB43" s="23">
        <v>53450.167865000003</v>
      </c>
      <c r="AC43" s="23">
        <v>550.62240899999995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24</v>
      </c>
      <c r="J44" s="28">
        <f t="shared" si="0"/>
        <v>24.4411816</v>
      </c>
      <c r="K44" s="29">
        <f t="shared" si="1"/>
        <v>27.156868444444445</v>
      </c>
      <c r="L44" s="27">
        <f t="shared" si="2"/>
        <v>244411816</v>
      </c>
      <c r="M44" s="27">
        <f t="shared" si="3"/>
        <v>38503400</v>
      </c>
      <c r="N44" s="58">
        <v>138091776</v>
      </c>
      <c r="O44" s="30">
        <v>244411816</v>
      </c>
      <c r="P44" s="30">
        <v>25563760</v>
      </c>
      <c r="Q44" s="30">
        <v>0</v>
      </c>
      <c r="R44" s="30">
        <v>12939640</v>
      </c>
      <c r="S44" s="30">
        <v>205841368</v>
      </c>
      <c r="T44" s="30">
        <v>67048</v>
      </c>
      <c r="U44" s="59">
        <v>79.230934199999993</v>
      </c>
      <c r="V44" s="59">
        <v>81.675128999999998</v>
      </c>
      <c r="W44" s="59">
        <v>35.697686300000001</v>
      </c>
      <c r="X44" s="59">
        <v>43.120299000000003</v>
      </c>
      <c r="Y44" s="59">
        <v>43.718105799999996</v>
      </c>
      <c r="Z44" s="59">
        <v>51.949742299999997</v>
      </c>
      <c r="AA44" s="59">
        <v>34.806952500000001</v>
      </c>
      <c r="AB44" s="31">
        <v>58392.733648000001</v>
      </c>
      <c r="AC44" s="31">
        <v>605.36476100000004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12.859249510176985</v>
      </c>
      <c r="L45" s="42"/>
      <c r="M45" s="42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9.2574090481129367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12.752359030510696</v>
      </c>
      <c r="L47" s="42"/>
      <c r="M47" s="42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11.90534415482783</v>
      </c>
      <c r="L48" s="42"/>
      <c r="M48" s="42"/>
      <c r="AF48" s="42" t="e">
        <f>AVERAGE(AF5:AF44)</f>
        <v>#DIV/0!</v>
      </c>
      <c r="AG48" s="42"/>
      <c r="AH48" s="42"/>
      <c r="AJ48" s="98"/>
      <c r="AK48" s="98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1008592.4257450001</v>
      </c>
      <c r="AC49" s="43">
        <f>SUM(AC5:AC14,AC15:AC24,AC25:AC44)</f>
        <v>11044.804403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W50" s="8">
        <f>AW49/AB49</f>
        <v>0</v>
      </c>
      <c r="AX50" s="8">
        <f>AX49/AC49</f>
        <v>0</v>
      </c>
    </row>
    <row r="53" spans="1:50" ht="15.75" customHeight="1" thickBot="1" x14ac:dyDescent="0.2"/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-22725696</v>
      </c>
      <c r="AJ54" s="88">
        <f t="shared" ref="AJ54:AJ93" si="23">AJ5-O5</f>
        <v>-52907496</v>
      </c>
      <c r="AK54" s="88">
        <f t="shared" ref="AK54:AK93" si="24">AK5-P5</f>
        <v>-8005224</v>
      </c>
      <c r="AL54" s="88">
        <f t="shared" ref="AL54:AL93" si="25">AL5-Q5</f>
        <v>0</v>
      </c>
      <c r="AM54" s="88">
        <f t="shared" ref="AM54:AM93" si="26">AM5-R5</f>
        <v>-8653600</v>
      </c>
      <c r="AN54" s="88">
        <f t="shared" ref="AN54:AN93" si="27">AN5-S5</f>
        <v>-36186664</v>
      </c>
      <c r="AO54" s="88">
        <f t="shared" ref="AO54:AO93" si="28">AO5-T5</f>
        <v>-62008</v>
      </c>
      <c r="AP54" s="88">
        <f t="shared" ref="AP54:AP93" si="29">AP5-U5</f>
        <v>-69.253398500000003</v>
      </c>
      <c r="AQ54" s="89">
        <f t="shared" ref="AQ54:AQ93" si="30">AQ5-V5</f>
        <v>-70.360156799999999</v>
      </c>
      <c r="AR54" s="89">
        <f t="shared" ref="AR54:AR93" si="31">AR5-W5</f>
        <v>-28.7882262</v>
      </c>
      <c r="AS54" s="89">
        <f t="shared" ref="AS54:AS93" si="32">AS5-X5</f>
        <v>-33.8745476</v>
      </c>
      <c r="AT54" s="89">
        <f t="shared" ref="AT54:AT93" si="33">AT5-Y5</f>
        <v>-33.312724799999998</v>
      </c>
      <c r="AU54" s="89">
        <f t="shared" ref="AU54:AU93" si="34">AU5-Z5</f>
        <v>-48.388006300000001</v>
      </c>
      <c r="AV54" s="90">
        <f t="shared" ref="AV54:AV93" si="35">AV5-AA5</f>
        <v>-27.3565808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-22725696</v>
      </c>
      <c r="AJ55" s="91">
        <f t="shared" si="23"/>
        <v>-96739280</v>
      </c>
      <c r="AK55" s="91">
        <f t="shared" si="24"/>
        <v>-8640216</v>
      </c>
      <c r="AL55" s="91">
        <f t="shared" si="25"/>
        <v>0</v>
      </c>
      <c r="AM55" s="91">
        <f t="shared" si="26"/>
        <v>-10795544</v>
      </c>
      <c r="AN55" s="91">
        <f t="shared" si="27"/>
        <v>-77241512</v>
      </c>
      <c r="AO55" s="91">
        <f t="shared" si="28"/>
        <v>-62008</v>
      </c>
      <c r="AP55" s="91">
        <f t="shared" si="29"/>
        <v>-69.884382000000002</v>
      </c>
      <c r="AQ55" s="92">
        <f t="shared" si="30"/>
        <v>-71.059410200000002</v>
      </c>
      <c r="AR55" s="92">
        <f t="shared" si="31"/>
        <v>-31.504628</v>
      </c>
      <c r="AS55" s="92">
        <f t="shared" si="32"/>
        <v>-35.088019099999997</v>
      </c>
      <c r="AT55" s="92">
        <f t="shared" si="33"/>
        <v>-34.636233300000001</v>
      </c>
      <c r="AU55" s="92">
        <f t="shared" si="34"/>
        <v>-48.762555399999997</v>
      </c>
      <c r="AV55" s="93">
        <f t="shared" si="35"/>
        <v>-28.892961199999998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-45556032</v>
      </c>
      <c r="AJ56" s="91">
        <f t="shared" si="23"/>
        <v>-129771392</v>
      </c>
      <c r="AK56" s="91">
        <f t="shared" si="24"/>
        <v>-12465016</v>
      </c>
      <c r="AL56" s="91">
        <f t="shared" si="25"/>
        <v>0</v>
      </c>
      <c r="AM56" s="91">
        <f t="shared" si="26"/>
        <v>-8383856</v>
      </c>
      <c r="AN56" s="91">
        <f t="shared" si="27"/>
        <v>-108858032</v>
      </c>
      <c r="AO56" s="91">
        <f t="shared" si="28"/>
        <v>-64488</v>
      </c>
      <c r="AP56" s="91">
        <f t="shared" si="29"/>
        <v>-71.473868699999997</v>
      </c>
      <c r="AQ56" s="92">
        <f t="shared" si="30"/>
        <v>-72.918945699999995</v>
      </c>
      <c r="AR56" s="92">
        <f t="shared" si="31"/>
        <v>-32.640814599999999</v>
      </c>
      <c r="AS56" s="92">
        <f t="shared" si="32"/>
        <v>-36.888071400000001</v>
      </c>
      <c r="AT56" s="92">
        <f t="shared" si="33"/>
        <v>-36.606555100000001</v>
      </c>
      <c r="AU56" s="92">
        <f t="shared" si="34"/>
        <v>-49.548388299999999</v>
      </c>
      <c r="AV56" s="93">
        <f t="shared" si="35"/>
        <v>-30.1555322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-45556032</v>
      </c>
      <c r="AJ57" s="91">
        <f t="shared" si="23"/>
        <v>-162869448</v>
      </c>
      <c r="AK57" s="91">
        <f t="shared" si="24"/>
        <v>-13630168</v>
      </c>
      <c r="AL57" s="91">
        <f t="shared" si="25"/>
        <v>0</v>
      </c>
      <c r="AM57" s="91">
        <f t="shared" si="26"/>
        <v>-14675416</v>
      </c>
      <c r="AN57" s="91">
        <f t="shared" si="27"/>
        <v>-134499376</v>
      </c>
      <c r="AO57" s="91">
        <f t="shared" si="28"/>
        <v>-64488</v>
      </c>
      <c r="AP57" s="91">
        <f t="shared" si="29"/>
        <v>-73.408986499999997</v>
      </c>
      <c r="AQ57" s="92">
        <f t="shared" si="30"/>
        <v>-75.107572300000001</v>
      </c>
      <c r="AR57" s="92">
        <f t="shared" si="31"/>
        <v>-33.618844500000002</v>
      </c>
      <c r="AS57" s="92">
        <f t="shared" si="32"/>
        <v>-37.416690600000003</v>
      </c>
      <c r="AT57" s="92">
        <f t="shared" si="33"/>
        <v>-37.139767200000001</v>
      </c>
      <c r="AU57" s="92">
        <f t="shared" si="34"/>
        <v>-50.5847014</v>
      </c>
      <c r="AV57" s="93">
        <f t="shared" si="35"/>
        <v>-31.2777031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-91604096</v>
      </c>
      <c r="AJ58" s="91">
        <f t="shared" si="23"/>
        <v>-236142096</v>
      </c>
      <c r="AK58" s="91">
        <f t="shared" si="24"/>
        <v>-20319872</v>
      </c>
      <c r="AL58" s="91">
        <f t="shared" si="25"/>
        <v>0</v>
      </c>
      <c r="AM58" s="91">
        <f t="shared" si="26"/>
        <v>-26285592</v>
      </c>
      <c r="AN58" s="91">
        <f t="shared" si="27"/>
        <v>-189469744</v>
      </c>
      <c r="AO58" s="91">
        <f t="shared" si="28"/>
        <v>-66888</v>
      </c>
      <c r="AP58" s="91">
        <f t="shared" si="29"/>
        <v>-76.340294599999993</v>
      </c>
      <c r="AQ58" s="92">
        <f t="shared" si="30"/>
        <v>-78.643427299999999</v>
      </c>
      <c r="AR58" s="92">
        <f t="shared" si="31"/>
        <v>-34.977978399999998</v>
      </c>
      <c r="AS58" s="92">
        <f t="shared" si="32"/>
        <v>-38.518044500000002</v>
      </c>
      <c r="AT58" s="92">
        <f t="shared" si="33"/>
        <v>-38.221257700000002</v>
      </c>
      <c r="AU58" s="92">
        <f t="shared" si="34"/>
        <v>-52.4078576</v>
      </c>
      <c r="AV58" s="93">
        <f t="shared" si="35"/>
        <v>-32.973194300000003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-22538688</v>
      </c>
      <c r="AJ59" s="91">
        <f t="shared" si="23"/>
        <v>-51458184</v>
      </c>
      <c r="AK59" s="91">
        <f t="shared" si="24"/>
        <v>-8448384</v>
      </c>
      <c r="AL59" s="91">
        <f t="shared" si="25"/>
        <v>0</v>
      </c>
      <c r="AM59" s="91">
        <f t="shared" si="26"/>
        <v>-6833496</v>
      </c>
      <c r="AN59" s="91">
        <f t="shared" si="27"/>
        <v>-36114216</v>
      </c>
      <c r="AO59" s="91">
        <f t="shared" si="28"/>
        <v>-62088</v>
      </c>
      <c r="AP59" s="91">
        <f t="shared" si="29"/>
        <v>-65.430650400000005</v>
      </c>
      <c r="AQ59" s="92">
        <f t="shared" si="30"/>
        <v>-66.123661400000003</v>
      </c>
      <c r="AR59" s="92">
        <f t="shared" si="31"/>
        <v>-32.198841299999998</v>
      </c>
      <c r="AS59" s="92">
        <f t="shared" si="32"/>
        <v>-44.9245211</v>
      </c>
      <c r="AT59" s="92">
        <f t="shared" si="33"/>
        <v>-45.208162399999999</v>
      </c>
      <c r="AU59" s="92">
        <f t="shared" si="34"/>
        <v>-44.308475199999997</v>
      </c>
      <c r="AV59" s="93">
        <f t="shared" si="35"/>
        <v>-29.621753300000002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-45393792</v>
      </c>
      <c r="AJ60" s="91">
        <f t="shared" si="23"/>
        <v>-92401688</v>
      </c>
      <c r="AK60" s="91">
        <f t="shared" si="24"/>
        <v>-13225864</v>
      </c>
      <c r="AL60" s="91">
        <f t="shared" si="25"/>
        <v>0</v>
      </c>
      <c r="AM60" s="91">
        <f t="shared" si="26"/>
        <v>-11416312</v>
      </c>
      <c r="AN60" s="91">
        <f t="shared" si="27"/>
        <v>-67695024</v>
      </c>
      <c r="AO60" s="91">
        <f t="shared" si="28"/>
        <v>-64488</v>
      </c>
      <c r="AP60" s="91">
        <f t="shared" si="29"/>
        <v>-70.034069099999996</v>
      </c>
      <c r="AQ60" s="92">
        <f t="shared" si="30"/>
        <v>-71.360101599999993</v>
      </c>
      <c r="AR60" s="92">
        <f t="shared" si="31"/>
        <v>-34.907159900000003</v>
      </c>
      <c r="AS60" s="92">
        <f t="shared" si="32"/>
        <v>-45.563373300000002</v>
      </c>
      <c r="AT60" s="92">
        <f t="shared" si="33"/>
        <v>-45.940837999999999</v>
      </c>
      <c r="AU60" s="92">
        <f t="shared" si="34"/>
        <v>-46.889974000000002</v>
      </c>
      <c r="AV60" s="93">
        <f t="shared" si="35"/>
        <v>-32.3557463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-45393792</v>
      </c>
      <c r="AJ61" s="91">
        <f t="shared" si="23"/>
        <v>-123902056</v>
      </c>
      <c r="AK61" s="91">
        <f t="shared" si="24"/>
        <v>-13225864</v>
      </c>
      <c r="AL61" s="91">
        <f t="shared" si="25"/>
        <v>0</v>
      </c>
      <c r="AM61" s="91">
        <f t="shared" si="26"/>
        <v>-25172984</v>
      </c>
      <c r="AN61" s="91">
        <f t="shared" si="27"/>
        <v>-85438720</v>
      </c>
      <c r="AO61" s="91">
        <f t="shared" si="28"/>
        <v>-64488</v>
      </c>
      <c r="AP61" s="91">
        <f t="shared" si="29"/>
        <v>-72.372702500000003</v>
      </c>
      <c r="AQ61" s="92">
        <f t="shared" si="30"/>
        <v>-74.012638999999993</v>
      </c>
      <c r="AR61" s="92">
        <f t="shared" si="31"/>
        <v>-35.973347500000003</v>
      </c>
      <c r="AS61" s="92">
        <f t="shared" si="32"/>
        <v>-45.888900399999997</v>
      </c>
      <c r="AT61" s="92">
        <f t="shared" si="33"/>
        <v>-46.311828200000001</v>
      </c>
      <c r="AU61" s="92">
        <f t="shared" si="34"/>
        <v>-48.2385679</v>
      </c>
      <c r="AV61" s="93">
        <f t="shared" si="35"/>
        <v>-33.662381400000001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-91443328</v>
      </c>
      <c r="AJ62" s="91">
        <f t="shared" si="23"/>
        <v>-154011584</v>
      </c>
      <c r="AK62" s="91">
        <f t="shared" si="24"/>
        <v>-21730056</v>
      </c>
      <c r="AL62" s="91">
        <f t="shared" si="25"/>
        <v>0</v>
      </c>
      <c r="AM62" s="91">
        <f t="shared" si="26"/>
        <v>-24146576</v>
      </c>
      <c r="AN62" s="91">
        <f t="shared" si="27"/>
        <v>-108068064</v>
      </c>
      <c r="AO62" s="91">
        <f t="shared" si="28"/>
        <v>-66888</v>
      </c>
      <c r="AP62" s="91">
        <f t="shared" si="29"/>
        <v>-74.263857700000003</v>
      </c>
      <c r="AQ62" s="92">
        <f t="shared" si="30"/>
        <v>-76.255174800000006</v>
      </c>
      <c r="AR62" s="92">
        <f t="shared" si="31"/>
        <v>-37.076339099999998</v>
      </c>
      <c r="AS62" s="92">
        <f t="shared" si="32"/>
        <v>-46.6859143</v>
      </c>
      <c r="AT62" s="92">
        <f t="shared" si="33"/>
        <v>-47.2113814</v>
      </c>
      <c r="AU62" s="92">
        <f t="shared" si="34"/>
        <v>-49.366958699999998</v>
      </c>
      <c r="AV62" s="93">
        <f t="shared" si="35"/>
        <v>-34.872164400000003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-91443328</v>
      </c>
      <c r="AJ63" s="91">
        <f t="shared" si="23"/>
        <v>-226628088</v>
      </c>
      <c r="AK63" s="91">
        <f t="shared" si="24"/>
        <v>-23964760</v>
      </c>
      <c r="AL63" s="91">
        <f t="shared" si="25"/>
        <v>0</v>
      </c>
      <c r="AM63" s="91">
        <f t="shared" si="26"/>
        <v>-33658144</v>
      </c>
      <c r="AN63" s="91">
        <f t="shared" si="27"/>
        <v>-168938296</v>
      </c>
      <c r="AO63" s="91">
        <f t="shared" si="28"/>
        <v>-66888</v>
      </c>
      <c r="AP63" s="91">
        <f t="shared" si="29"/>
        <v>-75.359341000000001</v>
      </c>
      <c r="AQ63" s="92">
        <f t="shared" si="30"/>
        <v>-77.592769500000003</v>
      </c>
      <c r="AR63" s="92">
        <f t="shared" si="31"/>
        <v>-38.781297600000002</v>
      </c>
      <c r="AS63" s="92">
        <f t="shared" si="32"/>
        <v>-47.739124400000001</v>
      </c>
      <c r="AT63" s="92">
        <f t="shared" si="33"/>
        <v>-48.370107400000002</v>
      </c>
      <c r="AU63" s="92">
        <f t="shared" si="34"/>
        <v>-50.059799300000002</v>
      </c>
      <c r="AV63" s="93">
        <f t="shared" si="35"/>
        <v>-36.169963799999998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-22706944</v>
      </c>
      <c r="AJ64" s="91">
        <f t="shared" si="23"/>
        <v>-31593976</v>
      </c>
      <c r="AK64" s="91">
        <f t="shared" si="24"/>
        <v>-6608032</v>
      </c>
      <c r="AL64" s="91">
        <f t="shared" si="25"/>
        <v>0</v>
      </c>
      <c r="AM64" s="91">
        <f t="shared" si="26"/>
        <v>-5435464</v>
      </c>
      <c r="AN64" s="91">
        <f t="shared" si="27"/>
        <v>-19488392</v>
      </c>
      <c r="AO64" s="91">
        <f t="shared" si="28"/>
        <v>-62088</v>
      </c>
      <c r="AP64" s="91">
        <f t="shared" si="29"/>
        <v>-70.718938800000004</v>
      </c>
      <c r="AQ64" s="92">
        <f t="shared" si="30"/>
        <v>-72.021186200000002</v>
      </c>
      <c r="AR64" s="92">
        <f t="shared" si="31"/>
        <v>-35.698051100000001</v>
      </c>
      <c r="AS64" s="92">
        <f t="shared" si="32"/>
        <v>-43.294794699999997</v>
      </c>
      <c r="AT64" s="92">
        <f t="shared" si="33"/>
        <v>-45.134129700000003</v>
      </c>
      <c r="AU64" s="92">
        <f t="shared" si="34"/>
        <v>-45.262974200000002</v>
      </c>
      <c r="AV64" s="93">
        <f t="shared" si="35"/>
        <v>-32.351719199999998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-22706944</v>
      </c>
      <c r="AJ65" s="91">
        <f t="shared" si="23"/>
        <v>-52740016</v>
      </c>
      <c r="AK65" s="91">
        <f t="shared" si="24"/>
        <v>-7187624</v>
      </c>
      <c r="AL65" s="91">
        <f t="shared" si="25"/>
        <v>0</v>
      </c>
      <c r="AM65" s="91">
        <f t="shared" si="26"/>
        <v>-8139568</v>
      </c>
      <c r="AN65" s="91">
        <f t="shared" si="27"/>
        <v>-37350736</v>
      </c>
      <c r="AO65" s="91">
        <f t="shared" si="28"/>
        <v>-62088</v>
      </c>
      <c r="AP65" s="91">
        <f t="shared" si="29"/>
        <v>-72.330683699999994</v>
      </c>
      <c r="AQ65" s="92">
        <f t="shared" si="30"/>
        <v>-73.8060598</v>
      </c>
      <c r="AR65" s="92">
        <f t="shared" si="31"/>
        <v>-38.476600300000001</v>
      </c>
      <c r="AS65" s="92">
        <f t="shared" si="32"/>
        <v>-43.9249163</v>
      </c>
      <c r="AT65" s="92">
        <f t="shared" si="33"/>
        <v>-46.3693332</v>
      </c>
      <c r="AU65" s="92">
        <f t="shared" si="34"/>
        <v>-46.150093900000002</v>
      </c>
      <c r="AV65" s="93">
        <f t="shared" si="35"/>
        <v>-34.003185000000002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-45429504</v>
      </c>
      <c r="AJ66" s="91">
        <f t="shared" si="23"/>
        <v>-103355232</v>
      </c>
      <c r="AK66" s="91">
        <f t="shared" si="24"/>
        <v>-12024536</v>
      </c>
      <c r="AL66" s="91">
        <f t="shared" si="25"/>
        <v>0</v>
      </c>
      <c r="AM66" s="91">
        <f t="shared" si="26"/>
        <v>-18291272</v>
      </c>
      <c r="AN66" s="91">
        <f t="shared" si="27"/>
        <v>-72974936</v>
      </c>
      <c r="AO66" s="91">
        <f t="shared" si="28"/>
        <v>-64488</v>
      </c>
      <c r="AP66" s="91">
        <f t="shared" si="29"/>
        <v>-77.378353599999997</v>
      </c>
      <c r="AQ66" s="92">
        <f t="shared" si="30"/>
        <v>-79.647094999999993</v>
      </c>
      <c r="AR66" s="92">
        <f t="shared" si="31"/>
        <v>-41.162423199999999</v>
      </c>
      <c r="AS66" s="92">
        <f t="shared" si="32"/>
        <v>-44.803027</v>
      </c>
      <c r="AT66" s="92">
        <f t="shared" si="33"/>
        <v>-48.027635699999998</v>
      </c>
      <c r="AU66" s="92">
        <f t="shared" si="34"/>
        <v>-48.846992100000001</v>
      </c>
      <c r="AV66" s="93">
        <f t="shared" si="35"/>
        <v>-37.208539399999999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-90872832</v>
      </c>
      <c r="AJ67" s="91">
        <f t="shared" si="23"/>
        <v>-146240896</v>
      </c>
      <c r="AK67" s="91">
        <f t="shared" si="24"/>
        <v>-20640312</v>
      </c>
      <c r="AL67" s="91">
        <f t="shared" si="25"/>
        <v>0</v>
      </c>
      <c r="AM67" s="91">
        <f t="shared" si="26"/>
        <v>-19757384</v>
      </c>
      <c r="AN67" s="91">
        <f t="shared" si="27"/>
        <v>-105776312</v>
      </c>
      <c r="AO67" s="91">
        <f t="shared" si="28"/>
        <v>-66888</v>
      </c>
      <c r="AP67" s="91">
        <f t="shared" si="29"/>
        <v>-78.946957400000002</v>
      </c>
      <c r="AQ67" s="92">
        <f t="shared" si="30"/>
        <v>-81.669782699999999</v>
      </c>
      <c r="AR67" s="92">
        <f t="shared" si="31"/>
        <v>-42.193720499999998</v>
      </c>
      <c r="AS67" s="92">
        <f t="shared" si="32"/>
        <v>-45.499282399999998</v>
      </c>
      <c r="AT67" s="92">
        <f t="shared" si="33"/>
        <v>-49.182009600000001</v>
      </c>
      <c r="AU67" s="92">
        <f t="shared" si="34"/>
        <v>-49.904045199999999</v>
      </c>
      <c r="AV67" s="93">
        <f t="shared" si="35"/>
        <v>-38.376528999999998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-90872832</v>
      </c>
      <c r="AJ68" s="91">
        <f t="shared" si="23"/>
        <v>-218174944</v>
      </c>
      <c r="AK68" s="91">
        <f t="shared" si="24"/>
        <v>-20640312</v>
      </c>
      <c r="AL68" s="91">
        <f t="shared" si="25"/>
        <v>0</v>
      </c>
      <c r="AM68" s="91">
        <f t="shared" si="26"/>
        <v>-22081776</v>
      </c>
      <c r="AN68" s="91">
        <f t="shared" si="27"/>
        <v>-175385968</v>
      </c>
      <c r="AO68" s="91">
        <f t="shared" si="28"/>
        <v>-66888</v>
      </c>
      <c r="AP68" s="91">
        <f t="shared" si="29"/>
        <v>-79.324033700000001</v>
      </c>
      <c r="AQ68" s="92">
        <f t="shared" si="30"/>
        <v>-82.182234300000005</v>
      </c>
      <c r="AR68" s="92">
        <f t="shared" si="31"/>
        <v>-43.238780200000001</v>
      </c>
      <c r="AS68" s="92">
        <f t="shared" si="32"/>
        <v>-46.450453099999997</v>
      </c>
      <c r="AT68" s="92">
        <f t="shared" si="33"/>
        <v>-50.4739316</v>
      </c>
      <c r="AU68" s="92">
        <f t="shared" si="34"/>
        <v>-50.126721699999997</v>
      </c>
      <c r="AV68" s="93">
        <f t="shared" si="35"/>
        <v>-38.941903400000001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-22662720</v>
      </c>
      <c r="AJ69" s="91">
        <f t="shared" si="23"/>
        <v>-29981064</v>
      </c>
      <c r="AK69" s="91">
        <f t="shared" si="24"/>
        <v>-6455352</v>
      </c>
      <c r="AL69" s="91">
        <f t="shared" si="25"/>
        <v>0</v>
      </c>
      <c r="AM69" s="91">
        <f t="shared" si="26"/>
        <v>-5101000</v>
      </c>
      <c r="AN69" s="91">
        <f t="shared" si="27"/>
        <v>-18362704</v>
      </c>
      <c r="AO69" s="91">
        <f t="shared" si="28"/>
        <v>-62008</v>
      </c>
      <c r="AP69" s="91">
        <f t="shared" si="29"/>
        <v>-70.980242200000006</v>
      </c>
      <c r="AQ69" s="92">
        <f t="shared" si="30"/>
        <v>-72.332693599999999</v>
      </c>
      <c r="AR69" s="92">
        <f t="shared" si="31"/>
        <v>-34.604269700000003</v>
      </c>
      <c r="AS69" s="92">
        <f t="shared" si="32"/>
        <v>-42.722962899999999</v>
      </c>
      <c r="AT69" s="92">
        <f t="shared" si="33"/>
        <v>-44.108136999999999</v>
      </c>
      <c r="AU69" s="92">
        <f t="shared" si="34"/>
        <v>-46.300672400000003</v>
      </c>
      <c r="AV69" s="93">
        <f t="shared" si="35"/>
        <v>-31.478847600000002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-22662720</v>
      </c>
      <c r="AJ70" s="91">
        <f t="shared" si="23"/>
        <v>-50382336</v>
      </c>
      <c r="AK70" s="91">
        <f t="shared" si="24"/>
        <v>-6455352</v>
      </c>
      <c r="AL70" s="91">
        <f t="shared" si="25"/>
        <v>0</v>
      </c>
      <c r="AM70" s="91">
        <f t="shared" si="26"/>
        <v>-5662496</v>
      </c>
      <c r="AN70" s="91">
        <f t="shared" si="27"/>
        <v>-38202400</v>
      </c>
      <c r="AO70" s="91">
        <f t="shared" si="28"/>
        <v>-62088</v>
      </c>
      <c r="AP70" s="91">
        <f t="shared" si="29"/>
        <v>-71.397178400000001</v>
      </c>
      <c r="AQ70" s="92">
        <f t="shared" si="30"/>
        <v>-72.797496100000004</v>
      </c>
      <c r="AR70" s="92">
        <f t="shared" si="31"/>
        <v>-37.378207400000001</v>
      </c>
      <c r="AS70" s="92">
        <f t="shared" si="32"/>
        <v>-43.929364100000001</v>
      </c>
      <c r="AT70" s="92">
        <f t="shared" si="33"/>
        <v>-45.968375000000002</v>
      </c>
      <c r="AU70" s="92">
        <f t="shared" si="34"/>
        <v>-46.524139699999999</v>
      </c>
      <c r="AV70" s="93">
        <f t="shared" si="35"/>
        <v>-32.680625599999999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-45333632</v>
      </c>
      <c r="AJ71" s="91">
        <f t="shared" si="23"/>
        <v>-102769752</v>
      </c>
      <c r="AK71" s="91">
        <f t="shared" si="24"/>
        <v>-10702888</v>
      </c>
      <c r="AL71" s="91">
        <f t="shared" si="25"/>
        <v>0</v>
      </c>
      <c r="AM71" s="91">
        <f t="shared" si="26"/>
        <v>-17511032</v>
      </c>
      <c r="AN71" s="91">
        <f t="shared" si="27"/>
        <v>-74491344</v>
      </c>
      <c r="AO71" s="91">
        <f t="shared" si="28"/>
        <v>-64488</v>
      </c>
      <c r="AP71" s="91">
        <f t="shared" si="29"/>
        <v>-77.400720000000007</v>
      </c>
      <c r="AQ71" s="92">
        <f t="shared" si="30"/>
        <v>-79.785985699999998</v>
      </c>
      <c r="AR71" s="92">
        <f t="shared" si="31"/>
        <v>-40.386718399999999</v>
      </c>
      <c r="AS71" s="92">
        <f t="shared" si="32"/>
        <v>-45.188160000000003</v>
      </c>
      <c r="AT71" s="92">
        <f t="shared" si="33"/>
        <v>-48.059732599999997</v>
      </c>
      <c r="AU71" s="92">
        <f t="shared" si="34"/>
        <v>-49.700312599999997</v>
      </c>
      <c r="AV71" s="93">
        <f t="shared" si="35"/>
        <v>-36.493458099999998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-90678336</v>
      </c>
      <c r="AJ72" s="91">
        <f t="shared" si="23"/>
        <v>-144626640</v>
      </c>
      <c r="AK72" s="91">
        <f t="shared" si="24"/>
        <v>-22494568</v>
      </c>
      <c r="AL72" s="91">
        <f t="shared" si="25"/>
        <v>0</v>
      </c>
      <c r="AM72" s="91">
        <f t="shared" si="26"/>
        <v>-16313880</v>
      </c>
      <c r="AN72" s="91">
        <f t="shared" si="27"/>
        <v>-105751304</v>
      </c>
      <c r="AO72" s="91">
        <f t="shared" si="28"/>
        <v>-66888</v>
      </c>
      <c r="AP72" s="91">
        <f t="shared" si="29"/>
        <v>-78.654663200000002</v>
      </c>
      <c r="AQ72" s="92">
        <f t="shared" si="30"/>
        <v>-81.410769700000003</v>
      </c>
      <c r="AR72" s="92">
        <f t="shared" si="31"/>
        <v>-41.468777099999997</v>
      </c>
      <c r="AS72" s="92">
        <f t="shared" si="32"/>
        <v>-45.719305599999998</v>
      </c>
      <c r="AT72" s="92">
        <f t="shared" si="33"/>
        <v>-48.817221799999999</v>
      </c>
      <c r="AU72" s="92">
        <f t="shared" si="34"/>
        <v>-50.748803700000003</v>
      </c>
      <c r="AV72" s="93">
        <f t="shared" si="35"/>
        <v>-37.557576599999997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-90678336</v>
      </c>
      <c r="AJ73" s="91">
        <f t="shared" si="23"/>
        <v>-215023208</v>
      </c>
      <c r="AK73" s="91">
        <f t="shared" si="24"/>
        <v>-20303168</v>
      </c>
      <c r="AL73" s="91">
        <f t="shared" si="25"/>
        <v>0</v>
      </c>
      <c r="AM73" s="91">
        <f t="shared" si="26"/>
        <v>-20794456</v>
      </c>
      <c r="AN73" s="91">
        <f t="shared" si="27"/>
        <v>-173858696</v>
      </c>
      <c r="AO73" s="91">
        <f t="shared" si="28"/>
        <v>-66888</v>
      </c>
      <c r="AP73" s="91">
        <f t="shared" si="29"/>
        <v>-79.380622700000004</v>
      </c>
      <c r="AQ73" s="92">
        <f t="shared" si="30"/>
        <v>-82.437371499999998</v>
      </c>
      <c r="AR73" s="92">
        <f t="shared" si="31"/>
        <v>-42.481943700000002</v>
      </c>
      <c r="AS73" s="92">
        <f t="shared" si="32"/>
        <v>-46.793750600000003</v>
      </c>
      <c r="AT73" s="92">
        <f t="shared" si="33"/>
        <v>-50.185800899999997</v>
      </c>
      <c r="AU73" s="92">
        <f t="shared" si="34"/>
        <v>-51.133430199999999</v>
      </c>
      <c r="AV73" s="93">
        <f t="shared" si="35"/>
        <v>-38.317725699999997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-42617144</v>
      </c>
      <c r="AK74" s="91">
        <f t="shared" si="24"/>
        <v>-6404696</v>
      </c>
      <c r="AL74" s="91">
        <f t="shared" si="25"/>
        <v>0</v>
      </c>
      <c r="AM74" s="91">
        <f t="shared" si="26"/>
        <v>-5058160</v>
      </c>
      <c r="AN74" s="91">
        <f t="shared" si="27"/>
        <v>-31092280</v>
      </c>
      <c r="AO74" s="91">
        <f t="shared" si="28"/>
        <v>-62008</v>
      </c>
      <c r="AP74" s="91">
        <f t="shared" si="29"/>
        <v>-73.192573600000003</v>
      </c>
      <c r="AQ74" s="92">
        <f t="shared" si="30"/>
        <v>-74.916504000000003</v>
      </c>
      <c r="AR74" s="92">
        <f t="shared" si="31"/>
        <v>-31.075080199999999</v>
      </c>
      <c r="AS74" s="92">
        <f t="shared" si="32"/>
        <v>-39.900908000000001</v>
      </c>
      <c r="AT74" s="92">
        <f t="shared" si="33"/>
        <v>-36.595500999999999</v>
      </c>
      <c r="AU74" s="92">
        <f t="shared" si="34"/>
        <v>-44.799953899999998</v>
      </c>
      <c r="AV74" s="93">
        <f t="shared" si="35"/>
        <v>-27.962405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-85001960</v>
      </c>
      <c r="AK75" s="91">
        <f t="shared" si="24"/>
        <v>-10720296</v>
      </c>
      <c r="AL75" s="91">
        <f t="shared" si="25"/>
        <v>0</v>
      </c>
      <c r="AM75" s="91">
        <f t="shared" si="26"/>
        <v>-8076184</v>
      </c>
      <c r="AN75" s="91">
        <f t="shared" si="27"/>
        <v>-66140992</v>
      </c>
      <c r="AO75" s="91">
        <f t="shared" si="28"/>
        <v>-64488</v>
      </c>
      <c r="AP75" s="91">
        <f t="shared" si="29"/>
        <v>-76.613840999999994</v>
      </c>
      <c r="AQ75" s="92">
        <f t="shared" si="30"/>
        <v>-78.892491500000006</v>
      </c>
      <c r="AR75" s="92">
        <f t="shared" si="31"/>
        <v>-33.4398695</v>
      </c>
      <c r="AS75" s="92">
        <f t="shared" si="32"/>
        <v>-41.834822799999998</v>
      </c>
      <c r="AT75" s="92">
        <f t="shared" si="33"/>
        <v>-39.442651499999997</v>
      </c>
      <c r="AU75" s="92">
        <f t="shared" si="34"/>
        <v>-46.460173900000001</v>
      </c>
      <c r="AV75" s="93">
        <f t="shared" si="35"/>
        <v>-30.6961093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-126850432</v>
      </c>
      <c r="AK76" s="91">
        <f t="shared" si="24"/>
        <v>-20260304</v>
      </c>
      <c r="AL76" s="91">
        <f t="shared" si="25"/>
        <v>0</v>
      </c>
      <c r="AM76" s="91">
        <f t="shared" si="26"/>
        <v>-7654984</v>
      </c>
      <c r="AN76" s="91">
        <f t="shared" si="27"/>
        <v>-98868096</v>
      </c>
      <c r="AO76" s="91">
        <f t="shared" si="28"/>
        <v>-67048</v>
      </c>
      <c r="AP76" s="91">
        <f t="shared" si="29"/>
        <v>-78.4513879</v>
      </c>
      <c r="AQ76" s="92">
        <f t="shared" si="30"/>
        <v>-81.144647699999993</v>
      </c>
      <c r="AR76" s="92">
        <f t="shared" si="31"/>
        <v>-34.499800399999998</v>
      </c>
      <c r="AS76" s="92">
        <f t="shared" si="32"/>
        <v>-43.201407400000001</v>
      </c>
      <c r="AT76" s="92">
        <f t="shared" si="33"/>
        <v>-41.247081399999999</v>
      </c>
      <c r="AU76" s="92">
        <f t="shared" si="34"/>
        <v>-47.908385199999998</v>
      </c>
      <c r="AV76" s="93">
        <f t="shared" si="35"/>
        <v>-32.0382076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-179149648</v>
      </c>
      <c r="AK77" s="91">
        <f t="shared" si="24"/>
        <v>-39527832</v>
      </c>
      <c r="AL77" s="91">
        <f t="shared" si="25"/>
        <v>0</v>
      </c>
      <c r="AM77" s="91">
        <f t="shared" si="26"/>
        <v>-6108384</v>
      </c>
      <c r="AN77" s="91">
        <f t="shared" si="27"/>
        <v>-133446304</v>
      </c>
      <c r="AO77" s="91">
        <f t="shared" si="28"/>
        <v>-67128</v>
      </c>
      <c r="AP77" s="91">
        <f t="shared" si="29"/>
        <v>-80.306608600000004</v>
      </c>
      <c r="AQ77" s="92">
        <f t="shared" si="30"/>
        <v>-83.621289300000001</v>
      </c>
      <c r="AR77" s="92">
        <f t="shared" si="31"/>
        <v>-35.316507999999999</v>
      </c>
      <c r="AS77" s="92">
        <f t="shared" si="32"/>
        <v>-43.5584025</v>
      </c>
      <c r="AT77" s="92">
        <f t="shared" si="33"/>
        <v>-41.746963999999998</v>
      </c>
      <c r="AU77" s="92">
        <f t="shared" si="34"/>
        <v>-49.599159200000003</v>
      </c>
      <c r="AV77" s="93">
        <f t="shared" si="35"/>
        <v>-33.262898399999997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-368630976</v>
      </c>
      <c r="AJ78" s="91">
        <f t="shared" si="23"/>
        <v>-265750520</v>
      </c>
      <c r="AK78" s="91">
        <f t="shared" si="24"/>
        <v>-70015000</v>
      </c>
      <c r="AL78" s="91">
        <f t="shared" si="25"/>
        <v>0</v>
      </c>
      <c r="AM78" s="91">
        <f t="shared" si="26"/>
        <v>-4162224</v>
      </c>
      <c r="AN78" s="91">
        <f t="shared" si="27"/>
        <v>-191503768</v>
      </c>
      <c r="AO78" s="91">
        <f t="shared" si="28"/>
        <v>-69528</v>
      </c>
      <c r="AP78" s="91">
        <f t="shared" si="29"/>
        <v>-82.823952000000006</v>
      </c>
      <c r="AQ78" s="92">
        <f t="shared" si="30"/>
        <v>-87.275297199999997</v>
      </c>
      <c r="AR78" s="92">
        <f t="shared" si="31"/>
        <v>-36.045166199999997</v>
      </c>
      <c r="AS78" s="92">
        <f t="shared" si="32"/>
        <v>-44.1835892</v>
      </c>
      <c r="AT78" s="92">
        <f t="shared" si="33"/>
        <v>-42.5757403</v>
      </c>
      <c r="AU78" s="92">
        <f t="shared" si="34"/>
        <v>-52.065268500000002</v>
      </c>
      <c r="AV78" s="93">
        <f t="shared" si="35"/>
        <v>-34.706557699999998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-11261056</v>
      </c>
      <c r="AJ79" s="91">
        <f t="shared" si="23"/>
        <v>-21511952</v>
      </c>
      <c r="AK79" s="91">
        <f t="shared" si="24"/>
        <v>-3601480</v>
      </c>
      <c r="AL79" s="91">
        <f t="shared" si="25"/>
        <v>0</v>
      </c>
      <c r="AM79" s="91">
        <f t="shared" si="26"/>
        <v>-3446264</v>
      </c>
      <c r="AN79" s="91">
        <f t="shared" si="27"/>
        <v>-14433160</v>
      </c>
      <c r="AO79" s="91">
        <f t="shared" si="28"/>
        <v>-31048</v>
      </c>
      <c r="AP79" s="91">
        <f t="shared" si="29"/>
        <v>-72.7267011</v>
      </c>
      <c r="AQ79" s="92">
        <f t="shared" si="30"/>
        <v>-74.335206299999996</v>
      </c>
      <c r="AR79" s="92">
        <f t="shared" si="31"/>
        <v>-37.560264599999996</v>
      </c>
      <c r="AS79" s="92">
        <f t="shared" si="32"/>
        <v>-44.021227600000003</v>
      </c>
      <c r="AT79" s="92">
        <f t="shared" si="33"/>
        <v>-42.619335200000002</v>
      </c>
      <c r="AU79" s="92">
        <f t="shared" si="34"/>
        <v>-47.566679100000002</v>
      </c>
      <c r="AV79" s="93">
        <f t="shared" si="35"/>
        <v>-34.131964600000003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-11261056</v>
      </c>
      <c r="AJ80" s="91">
        <f t="shared" si="23"/>
        <v>-43166840</v>
      </c>
      <c r="AK80" s="91">
        <f t="shared" si="24"/>
        <v>-3601480</v>
      </c>
      <c r="AL80" s="91">
        <f t="shared" si="25"/>
        <v>0</v>
      </c>
      <c r="AM80" s="91">
        <f t="shared" si="26"/>
        <v>-6414880</v>
      </c>
      <c r="AN80" s="91">
        <f t="shared" si="27"/>
        <v>-33119432</v>
      </c>
      <c r="AO80" s="91">
        <f t="shared" si="28"/>
        <v>-31048</v>
      </c>
      <c r="AP80" s="91">
        <f t="shared" si="29"/>
        <v>-74.827307500000003</v>
      </c>
      <c r="AQ80" s="92">
        <f t="shared" si="30"/>
        <v>-76.689064700000003</v>
      </c>
      <c r="AR80" s="92">
        <f t="shared" si="31"/>
        <v>-39.947948799999999</v>
      </c>
      <c r="AS80" s="92">
        <f t="shared" si="32"/>
        <v>-45.724543400000002</v>
      </c>
      <c r="AT80" s="92">
        <f t="shared" si="33"/>
        <v>-44.563123099999999</v>
      </c>
      <c r="AU80" s="92">
        <f t="shared" si="34"/>
        <v>-48.868478000000003</v>
      </c>
      <c r="AV80" s="93">
        <f t="shared" si="35"/>
        <v>-35.8629538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-11450400</v>
      </c>
      <c r="AJ81" s="91">
        <f t="shared" si="23"/>
        <v>-63675616</v>
      </c>
      <c r="AK81" s="91">
        <f t="shared" si="24"/>
        <v>-9518216</v>
      </c>
      <c r="AL81" s="91">
        <f t="shared" si="25"/>
        <v>0</v>
      </c>
      <c r="AM81" s="91">
        <f t="shared" si="26"/>
        <v>-6223968</v>
      </c>
      <c r="AN81" s="91">
        <f t="shared" si="27"/>
        <v>-47902464</v>
      </c>
      <c r="AO81" s="91">
        <f t="shared" si="28"/>
        <v>-30968</v>
      </c>
      <c r="AP81" s="91">
        <f t="shared" si="29"/>
        <v>-78.252144700000002</v>
      </c>
      <c r="AQ81" s="92">
        <f t="shared" si="30"/>
        <v>-80.827622099999999</v>
      </c>
      <c r="AR81" s="92">
        <f t="shared" si="31"/>
        <v>-41.311705099999998</v>
      </c>
      <c r="AS81" s="92">
        <f t="shared" si="32"/>
        <v>-46.470437199999999</v>
      </c>
      <c r="AT81" s="92">
        <f t="shared" si="33"/>
        <v>-45.435465200000003</v>
      </c>
      <c r="AU81" s="92">
        <f t="shared" si="34"/>
        <v>-51.095794499999997</v>
      </c>
      <c r="AV81" s="93">
        <f t="shared" si="35"/>
        <v>-37.7954638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-11450400</v>
      </c>
      <c r="AJ82" s="91">
        <f t="shared" si="23"/>
        <v>-90606440</v>
      </c>
      <c r="AK82" s="91">
        <f t="shared" si="24"/>
        <v>-9518216</v>
      </c>
      <c r="AL82" s="91">
        <f t="shared" si="25"/>
        <v>0</v>
      </c>
      <c r="AM82" s="91">
        <f t="shared" si="26"/>
        <v>-8951192</v>
      </c>
      <c r="AN82" s="91">
        <f t="shared" si="27"/>
        <v>-72105984</v>
      </c>
      <c r="AO82" s="91">
        <f t="shared" si="28"/>
        <v>-31048</v>
      </c>
      <c r="AP82" s="91">
        <f t="shared" si="29"/>
        <v>-79.348536600000003</v>
      </c>
      <c r="AQ82" s="92">
        <f t="shared" si="30"/>
        <v>-82.3574859</v>
      </c>
      <c r="AR82" s="92">
        <f t="shared" si="31"/>
        <v>-42.227609700000002</v>
      </c>
      <c r="AS82" s="92">
        <f t="shared" si="32"/>
        <v>-47.607064100000002</v>
      </c>
      <c r="AT82" s="92">
        <f t="shared" si="33"/>
        <v>-46.769819900000002</v>
      </c>
      <c r="AU82" s="92">
        <f t="shared" si="34"/>
        <v>-51.836261100000002</v>
      </c>
      <c r="AV82" s="93">
        <f t="shared" si="35"/>
        <v>-38.889469699999999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-34479248</v>
      </c>
      <c r="AJ83" s="91">
        <f t="shared" si="23"/>
        <v>-131107664</v>
      </c>
      <c r="AK83" s="91">
        <f t="shared" si="24"/>
        <v>-21727520</v>
      </c>
      <c r="AL83" s="91">
        <f t="shared" si="25"/>
        <v>0</v>
      </c>
      <c r="AM83" s="91">
        <f t="shared" si="26"/>
        <v>-8404864</v>
      </c>
      <c r="AN83" s="91">
        <f t="shared" si="27"/>
        <v>-100943032</v>
      </c>
      <c r="AO83" s="91">
        <f t="shared" si="28"/>
        <v>-32248</v>
      </c>
      <c r="AP83" s="91">
        <f t="shared" si="29"/>
        <v>-82.068789199999998</v>
      </c>
      <c r="AQ83" s="92">
        <f t="shared" si="30"/>
        <v>-86.215744900000004</v>
      </c>
      <c r="AR83" s="92">
        <f t="shared" si="31"/>
        <v>-43.276460999999998</v>
      </c>
      <c r="AS83" s="92">
        <f t="shared" si="32"/>
        <v>-48.351374999999997</v>
      </c>
      <c r="AT83" s="92">
        <f t="shared" si="33"/>
        <v>-47.605915799999998</v>
      </c>
      <c r="AU83" s="92">
        <f t="shared" si="34"/>
        <v>-53.7564724</v>
      </c>
      <c r="AV83" s="93">
        <f t="shared" si="35"/>
        <v>-40.787960300000002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-17191488</v>
      </c>
      <c r="AJ84" s="91">
        <f t="shared" si="23"/>
        <v>-40724880</v>
      </c>
      <c r="AK84" s="91">
        <f t="shared" si="24"/>
        <v>-5923616</v>
      </c>
      <c r="AL84" s="91">
        <f t="shared" si="25"/>
        <v>0</v>
      </c>
      <c r="AM84" s="91">
        <f t="shared" si="26"/>
        <v>-8952864</v>
      </c>
      <c r="AN84" s="91">
        <f t="shared" si="27"/>
        <v>-25786392</v>
      </c>
      <c r="AO84" s="91">
        <f t="shared" si="28"/>
        <v>-62008</v>
      </c>
      <c r="AP84" s="91">
        <f t="shared" si="29"/>
        <v>-71.045239600000002</v>
      </c>
      <c r="AQ84" s="92">
        <f t="shared" si="30"/>
        <v>-72.407255699999993</v>
      </c>
      <c r="AR84" s="92">
        <f t="shared" si="31"/>
        <v>-29.657207799999998</v>
      </c>
      <c r="AS84" s="92">
        <f t="shared" si="32"/>
        <v>-38.761815499999997</v>
      </c>
      <c r="AT84" s="92">
        <f t="shared" si="33"/>
        <v>-38.428664099999999</v>
      </c>
      <c r="AU84" s="92">
        <f t="shared" si="34"/>
        <v>-47.0256969</v>
      </c>
      <c r="AV84" s="93">
        <f t="shared" si="35"/>
        <v>-28.403564299999999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-34432704</v>
      </c>
      <c r="AJ85" s="91">
        <f t="shared" si="23"/>
        <v>-61365624</v>
      </c>
      <c r="AK85" s="91">
        <f t="shared" si="24"/>
        <v>-9023528</v>
      </c>
      <c r="AL85" s="91">
        <f t="shared" si="25"/>
        <v>0</v>
      </c>
      <c r="AM85" s="91">
        <f t="shared" si="26"/>
        <v>-8523640</v>
      </c>
      <c r="AN85" s="91">
        <f t="shared" si="27"/>
        <v>-43756448</v>
      </c>
      <c r="AO85" s="91">
        <f t="shared" si="28"/>
        <v>-62008</v>
      </c>
      <c r="AP85" s="91">
        <f t="shared" si="29"/>
        <v>-73.431147100000004</v>
      </c>
      <c r="AQ85" s="92">
        <f t="shared" si="30"/>
        <v>-75.132092599999993</v>
      </c>
      <c r="AR85" s="92">
        <f t="shared" si="31"/>
        <v>-30.302759500000001</v>
      </c>
      <c r="AS85" s="92">
        <f t="shared" si="32"/>
        <v>-38.938018499999998</v>
      </c>
      <c r="AT85" s="92">
        <f t="shared" si="33"/>
        <v>-38.705050200000002</v>
      </c>
      <c r="AU85" s="92">
        <f t="shared" si="34"/>
        <v>-48.0918207</v>
      </c>
      <c r="AV85" s="93">
        <f t="shared" si="35"/>
        <v>-28.844621799999999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-68915264</v>
      </c>
      <c r="AJ86" s="91">
        <f t="shared" si="23"/>
        <v>-112550408</v>
      </c>
      <c r="AK86" s="91">
        <f t="shared" si="24"/>
        <v>-15250384</v>
      </c>
      <c r="AL86" s="91">
        <f t="shared" si="25"/>
        <v>0</v>
      </c>
      <c r="AM86" s="91">
        <f t="shared" si="26"/>
        <v>-6832328</v>
      </c>
      <c r="AN86" s="91">
        <f t="shared" si="27"/>
        <v>-90403048</v>
      </c>
      <c r="AO86" s="91">
        <f t="shared" si="28"/>
        <v>-64648</v>
      </c>
      <c r="AP86" s="91">
        <f t="shared" si="29"/>
        <v>-74.626011300000002</v>
      </c>
      <c r="AQ86" s="92">
        <f t="shared" si="30"/>
        <v>-76.489590100000001</v>
      </c>
      <c r="AR86" s="92">
        <f t="shared" si="31"/>
        <v>-31.266069099999999</v>
      </c>
      <c r="AS86" s="92">
        <f t="shared" si="32"/>
        <v>-39.169075900000003</v>
      </c>
      <c r="AT86" s="92">
        <f t="shared" si="33"/>
        <v>-39.293423300000001</v>
      </c>
      <c r="AU86" s="92">
        <f t="shared" si="34"/>
        <v>-48.920929200000003</v>
      </c>
      <c r="AV86" s="93">
        <f t="shared" si="35"/>
        <v>-30.160001999999999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-68915264</v>
      </c>
      <c r="AJ87" s="91">
        <f t="shared" si="23"/>
        <v>-164186472</v>
      </c>
      <c r="AK87" s="91">
        <f t="shared" si="24"/>
        <v>-16880000</v>
      </c>
      <c r="AL87" s="91">
        <f t="shared" si="25"/>
        <v>0</v>
      </c>
      <c r="AM87" s="91">
        <f t="shared" si="26"/>
        <v>-11692392</v>
      </c>
      <c r="AN87" s="91">
        <f t="shared" si="27"/>
        <v>-135549432</v>
      </c>
      <c r="AO87" s="91">
        <f t="shared" si="28"/>
        <v>-64648</v>
      </c>
      <c r="AP87" s="91">
        <f t="shared" si="29"/>
        <v>-76.512400200000002</v>
      </c>
      <c r="AQ87" s="92">
        <f t="shared" si="30"/>
        <v>-78.6686105</v>
      </c>
      <c r="AR87" s="92">
        <f t="shared" si="31"/>
        <v>-31.956842200000001</v>
      </c>
      <c r="AS87" s="92">
        <f t="shared" si="32"/>
        <v>-39.241337000000001</v>
      </c>
      <c r="AT87" s="92">
        <f t="shared" si="33"/>
        <v>-39.423084699999997</v>
      </c>
      <c r="AU87" s="92">
        <f t="shared" si="34"/>
        <v>-50.036904999999997</v>
      </c>
      <c r="AV87" s="93">
        <f t="shared" si="35"/>
        <v>-30.892690200000001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-137868480</v>
      </c>
      <c r="AJ88" s="91">
        <f t="shared" si="23"/>
        <v>-245412904</v>
      </c>
      <c r="AK88" s="91">
        <f t="shared" si="24"/>
        <v>-29561640</v>
      </c>
      <c r="AL88" s="91">
        <f t="shared" si="25"/>
        <v>0</v>
      </c>
      <c r="AM88" s="91">
        <f t="shared" si="26"/>
        <v>-10282968</v>
      </c>
      <c r="AN88" s="91">
        <f t="shared" si="27"/>
        <v>-205501248</v>
      </c>
      <c r="AO88" s="91">
        <f t="shared" si="28"/>
        <v>-67048</v>
      </c>
      <c r="AP88" s="91">
        <f t="shared" si="29"/>
        <v>-78.574865000000003</v>
      </c>
      <c r="AQ88" s="92">
        <f t="shared" si="30"/>
        <v>-81.162200200000001</v>
      </c>
      <c r="AR88" s="92">
        <f t="shared" si="31"/>
        <v>-32.7735488</v>
      </c>
      <c r="AS88" s="92">
        <f t="shared" si="32"/>
        <v>-39.325917599999997</v>
      </c>
      <c r="AT88" s="92">
        <f t="shared" si="33"/>
        <v>-39.578284500000002</v>
      </c>
      <c r="AU88" s="92">
        <f t="shared" si="34"/>
        <v>-51.387932399999997</v>
      </c>
      <c r="AV88" s="93">
        <f t="shared" si="35"/>
        <v>-31.746352999999999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-17235840</v>
      </c>
      <c r="AJ89" s="91">
        <f t="shared" si="23"/>
        <v>-41214056</v>
      </c>
      <c r="AK89" s="91">
        <f t="shared" si="24"/>
        <v>-5182664</v>
      </c>
      <c r="AL89" s="91">
        <f t="shared" si="25"/>
        <v>0</v>
      </c>
      <c r="AM89" s="91">
        <f t="shared" si="26"/>
        <v>-7543968</v>
      </c>
      <c r="AN89" s="91">
        <f t="shared" si="27"/>
        <v>-28425336</v>
      </c>
      <c r="AO89" s="91">
        <f t="shared" si="28"/>
        <v>-62088</v>
      </c>
      <c r="AP89" s="91">
        <f t="shared" si="29"/>
        <v>-71.692374999999998</v>
      </c>
      <c r="AQ89" s="92">
        <f t="shared" si="30"/>
        <v>-72.937015200000005</v>
      </c>
      <c r="AR89" s="92">
        <f t="shared" si="31"/>
        <v>-32.523943899999999</v>
      </c>
      <c r="AS89" s="92">
        <f t="shared" si="32"/>
        <v>-42.255343699999997</v>
      </c>
      <c r="AT89" s="92">
        <f t="shared" si="33"/>
        <v>-42.497800900000001</v>
      </c>
      <c r="AU89" s="92">
        <f t="shared" si="34"/>
        <v>-47.446735199999999</v>
      </c>
      <c r="AV89" s="93">
        <f t="shared" si="35"/>
        <v>-31.608187300000001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-17235840</v>
      </c>
      <c r="AJ90" s="91">
        <f t="shared" si="23"/>
        <v>-62211344</v>
      </c>
      <c r="AK90" s="91">
        <f t="shared" si="24"/>
        <v>-5606792</v>
      </c>
      <c r="AL90" s="91">
        <f t="shared" si="25"/>
        <v>0</v>
      </c>
      <c r="AM90" s="91">
        <f t="shared" si="26"/>
        <v>-8383208</v>
      </c>
      <c r="AN90" s="91">
        <f t="shared" si="27"/>
        <v>-48159176</v>
      </c>
      <c r="AO90" s="91">
        <f t="shared" si="28"/>
        <v>-62168</v>
      </c>
      <c r="AP90" s="91">
        <f t="shared" si="29"/>
        <v>-72.101627800000003</v>
      </c>
      <c r="AQ90" s="92">
        <f t="shared" si="30"/>
        <v>-73.387659999999997</v>
      </c>
      <c r="AR90" s="92">
        <f t="shared" si="31"/>
        <v>-33.192498700000002</v>
      </c>
      <c r="AS90" s="92">
        <f t="shared" si="32"/>
        <v>-42.511432999999997</v>
      </c>
      <c r="AT90" s="92">
        <f t="shared" si="33"/>
        <v>-42.789515199999997</v>
      </c>
      <c r="AU90" s="92">
        <f t="shared" si="34"/>
        <v>-47.713052900000001</v>
      </c>
      <c r="AV90" s="93">
        <f t="shared" si="35"/>
        <v>-32.0386837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-69038976</v>
      </c>
      <c r="AJ91" s="91">
        <f t="shared" si="23"/>
        <v>-111150312</v>
      </c>
      <c r="AK91" s="91">
        <f t="shared" si="24"/>
        <v>-14742120</v>
      </c>
      <c r="AL91" s="91">
        <f t="shared" si="25"/>
        <v>0</v>
      </c>
      <c r="AM91" s="91">
        <f t="shared" si="26"/>
        <v>-8641056</v>
      </c>
      <c r="AN91" s="91">
        <f t="shared" si="27"/>
        <v>-87702488</v>
      </c>
      <c r="AO91" s="91">
        <f t="shared" si="28"/>
        <v>-64648</v>
      </c>
      <c r="AP91" s="91">
        <f t="shared" si="29"/>
        <v>-76.057821000000004</v>
      </c>
      <c r="AQ91" s="92">
        <f t="shared" si="30"/>
        <v>-77.8467713</v>
      </c>
      <c r="AR91" s="92">
        <f t="shared" si="31"/>
        <v>-34.1809546</v>
      </c>
      <c r="AS91" s="92">
        <f t="shared" si="32"/>
        <v>-42.855579599999999</v>
      </c>
      <c r="AT91" s="92">
        <f t="shared" si="33"/>
        <v>-43.329818299999999</v>
      </c>
      <c r="AU91" s="92">
        <f t="shared" si="34"/>
        <v>-49.995727799999997</v>
      </c>
      <c r="AV91" s="93">
        <f t="shared" si="35"/>
        <v>-33.2849662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-69038976</v>
      </c>
      <c r="AJ92" s="91">
        <f t="shared" si="23"/>
        <v>-162361368</v>
      </c>
      <c r="AK92" s="91">
        <f t="shared" si="24"/>
        <v>-16359856</v>
      </c>
      <c r="AL92" s="91">
        <f t="shared" si="25"/>
        <v>0</v>
      </c>
      <c r="AM92" s="91">
        <f t="shared" si="26"/>
        <v>-11043112</v>
      </c>
      <c r="AN92" s="91">
        <f t="shared" si="27"/>
        <v>-134893752</v>
      </c>
      <c r="AO92" s="91">
        <f t="shared" si="28"/>
        <v>-64648</v>
      </c>
      <c r="AP92" s="91">
        <f t="shared" si="29"/>
        <v>-77.068098699999993</v>
      </c>
      <c r="AQ92" s="92">
        <f t="shared" si="30"/>
        <v>-79.021387099999998</v>
      </c>
      <c r="AR92" s="92">
        <f t="shared" si="31"/>
        <v>-34.851443000000003</v>
      </c>
      <c r="AS92" s="92">
        <f t="shared" si="32"/>
        <v>-42.988690400000003</v>
      </c>
      <c r="AT92" s="92">
        <f t="shared" si="33"/>
        <v>-43.5231675</v>
      </c>
      <c r="AU92" s="92">
        <f t="shared" si="34"/>
        <v>-50.592011900000003</v>
      </c>
      <c r="AV92" s="93">
        <f t="shared" si="35"/>
        <v>-33.880410599999998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-138091776</v>
      </c>
      <c r="AJ93" s="94">
        <f t="shared" si="23"/>
        <v>-244411816</v>
      </c>
      <c r="AK93" s="94">
        <f t="shared" si="24"/>
        <v>-25563760</v>
      </c>
      <c r="AL93" s="94">
        <f t="shared" si="25"/>
        <v>0</v>
      </c>
      <c r="AM93" s="94">
        <f t="shared" si="26"/>
        <v>-12939640</v>
      </c>
      <c r="AN93" s="94">
        <f t="shared" si="27"/>
        <v>-205841368</v>
      </c>
      <c r="AO93" s="94">
        <f t="shared" si="28"/>
        <v>-67048</v>
      </c>
      <c r="AP93" s="94">
        <f t="shared" si="29"/>
        <v>-79.230934199999993</v>
      </c>
      <c r="AQ93" s="95">
        <f t="shared" si="30"/>
        <v>-81.675128999999998</v>
      </c>
      <c r="AR93" s="95">
        <f t="shared" si="31"/>
        <v>-35.697686300000001</v>
      </c>
      <c r="AS93" s="95">
        <f t="shared" si="32"/>
        <v>-43.120299000000003</v>
      </c>
      <c r="AT93" s="95">
        <f t="shared" si="33"/>
        <v>-43.718105799999996</v>
      </c>
      <c r="AU93" s="95">
        <f t="shared" si="34"/>
        <v>-51.949742299999997</v>
      </c>
      <c r="AV93" s="96">
        <f t="shared" si="35"/>
        <v>-34.806952500000001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G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3"/>
  <sheetViews>
    <sheetView zoomScale="80" zoomScaleNormal="80" workbookViewId="0">
      <pane xSplit="2" ySplit="4" topLeftCell="K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16" t="s">
        <v>367</v>
      </c>
      <c r="B1" s="108"/>
      <c r="C1" s="108"/>
      <c r="D1" s="108"/>
      <c r="E1" s="108"/>
      <c r="F1" s="108"/>
      <c r="G1" s="108"/>
      <c r="H1" s="108"/>
      <c r="J1" s="105" t="str">
        <f>Summary!C1</f>
        <v>F300_v7.0</v>
      </c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E1" s="106">
        <f>Summary!C2</f>
        <v>0</v>
      </c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</row>
    <row r="2" spans="1:72" ht="33" customHeight="1" thickBot="1" x14ac:dyDescent="0.2">
      <c r="A2" s="117" t="s">
        <v>149</v>
      </c>
      <c r="B2" s="118" t="s">
        <v>150</v>
      </c>
      <c r="C2" s="117" t="s">
        <v>333</v>
      </c>
      <c r="D2" s="118" t="s">
        <v>151</v>
      </c>
      <c r="E2" s="117" t="s">
        <v>152</v>
      </c>
      <c r="F2" s="118" t="s">
        <v>153</v>
      </c>
      <c r="G2" s="117" t="s">
        <v>154</v>
      </c>
      <c r="H2" s="118" t="s">
        <v>334</v>
      </c>
      <c r="J2" s="117" t="s">
        <v>127</v>
      </c>
      <c r="K2" s="118" t="s">
        <v>131</v>
      </c>
      <c r="L2" s="119" t="s">
        <v>120</v>
      </c>
      <c r="M2" s="118" t="s">
        <v>368</v>
      </c>
      <c r="N2" s="117" t="s">
        <v>81</v>
      </c>
      <c r="O2" s="118" t="s">
        <v>120</v>
      </c>
      <c r="P2" s="121" t="s">
        <v>421</v>
      </c>
      <c r="Q2" s="121" t="s">
        <v>422</v>
      </c>
      <c r="R2" s="121" t="s">
        <v>423</v>
      </c>
      <c r="S2" s="121" t="s">
        <v>424</v>
      </c>
      <c r="T2" s="121" t="s">
        <v>425</v>
      </c>
      <c r="U2" s="122" t="s">
        <v>335</v>
      </c>
      <c r="V2" s="108"/>
      <c r="W2" s="108"/>
      <c r="X2" s="108"/>
      <c r="Y2" s="108"/>
      <c r="Z2" s="121" t="s">
        <v>336</v>
      </c>
      <c r="AA2" s="108"/>
      <c r="AB2" s="117" t="s">
        <v>122</v>
      </c>
      <c r="AC2" s="118" t="s">
        <v>102</v>
      </c>
      <c r="AE2" s="117" t="s">
        <v>127</v>
      </c>
      <c r="AF2" s="118" t="s">
        <v>131</v>
      </c>
      <c r="AG2" s="119" t="s">
        <v>120</v>
      </c>
      <c r="AH2" s="118" t="s">
        <v>368</v>
      </c>
      <c r="AI2" s="117" t="s">
        <v>81</v>
      </c>
      <c r="AJ2" s="118" t="s">
        <v>120</v>
      </c>
      <c r="AK2" s="121" t="s">
        <v>421</v>
      </c>
      <c r="AL2" s="121" t="s">
        <v>422</v>
      </c>
      <c r="AM2" s="121" t="s">
        <v>423</v>
      </c>
      <c r="AN2" s="121" t="s">
        <v>424</v>
      </c>
      <c r="AO2" s="121" t="s">
        <v>425</v>
      </c>
      <c r="AP2" s="122" t="s">
        <v>335</v>
      </c>
      <c r="AQ2" s="108"/>
      <c r="AR2" s="108"/>
      <c r="AS2" s="108"/>
      <c r="AT2" s="108"/>
      <c r="AU2" s="121" t="s">
        <v>336</v>
      </c>
      <c r="AV2" s="108"/>
      <c r="AW2" s="117" t="s">
        <v>122</v>
      </c>
      <c r="AX2" s="118" t="s">
        <v>102</v>
      </c>
      <c r="AZ2" s="122" t="s">
        <v>15</v>
      </c>
      <c r="BA2" s="108"/>
      <c r="BB2" s="108"/>
      <c r="BC2" s="108"/>
      <c r="BD2" s="108"/>
      <c r="BE2" s="121" t="s">
        <v>16</v>
      </c>
      <c r="BF2" s="108"/>
      <c r="BH2" s="122" t="s">
        <v>411</v>
      </c>
      <c r="BI2" s="122"/>
      <c r="BJ2" s="123" t="s">
        <v>412</v>
      </c>
      <c r="BK2" s="123"/>
      <c r="BL2" s="123"/>
      <c r="BM2" s="117" t="s">
        <v>413</v>
      </c>
      <c r="BN2" s="118" t="s">
        <v>414</v>
      </c>
      <c r="BP2" s="117" t="s">
        <v>416</v>
      </c>
      <c r="BQ2" s="117" t="s">
        <v>417</v>
      </c>
      <c r="BR2" s="117" t="s">
        <v>419</v>
      </c>
      <c r="BS2" s="117" t="s">
        <v>418</v>
      </c>
      <c r="BT2" s="117" t="s">
        <v>420</v>
      </c>
    </row>
    <row r="3" spans="1:72" ht="33" customHeight="1" thickBot="1" x14ac:dyDescent="0.2">
      <c r="A3" s="109"/>
      <c r="B3" s="109"/>
      <c r="C3" s="109"/>
      <c r="D3" s="109"/>
      <c r="E3" s="109"/>
      <c r="F3" s="109"/>
      <c r="G3" s="109"/>
      <c r="H3" s="109"/>
      <c r="J3" s="109"/>
      <c r="K3" s="109"/>
      <c r="L3" s="120"/>
      <c r="M3" s="109"/>
      <c r="N3" s="109"/>
      <c r="O3" s="109"/>
      <c r="P3" s="118"/>
      <c r="Q3" s="118"/>
      <c r="R3" s="118"/>
      <c r="S3" s="118"/>
      <c r="T3" s="118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9"/>
      <c r="AC3" s="109"/>
      <c r="AE3" s="109"/>
      <c r="AF3" s="109"/>
      <c r="AG3" s="120"/>
      <c r="AH3" s="109"/>
      <c r="AI3" s="109"/>
      <c r="AJ3" s="109"/>
      <c r="AK3" s="118"/>
      <c r="AL3" s="118"/>
      <c r="AM3" s="118"/>
      <c r="AN3" s="118"/>
      <c r="AO3" s="118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9"/>
      <c r="AX3" s="109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8"/>
      <c r="BP3" s="109"/>
      <c r="BQ3" s="109"/>
      <c r="BR3" s="109"/>
      <c r="BS3" s="109"/>
      <c r="BT3" s="109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4.1858303999999995</v>
      </c>
      <c r="K5" s="21">
        <f t="shared" ref="K5:K44" si="1">IF(ISBLANK(O5),"·",O5/D5)</f>
        <v>3.4889363064120347</v>
      </c>
      <c r="L5" s="19">
        <f t="shared" ref="L5:L44" si="2">IF(OR(ISBLANK(M5),ISBLANK(S5),ISBLANK(T5)),".",M5+S5+T5)</f>
        <v>41858304</v>
      </c>
      <c r="M5" s="19">
        <f t="shared" ref="M5:M44" si="3">IF(OR(ISBLANK(Q5),ISBLANK(P5),ISBLANK(R5)),".",P5+Q5+R5)</f>
        <v>14128136</v>
      </c>
      <c r="N5" s="44">
        <v>22725696</v>
      </c>
      <c r="O5" s="22">
        <v>41858304</v>
      </c>
      <c r="P5" s="22">
        <v>8005224</v>
      </c>
      <c r="Q5" s="22">
        <v>0</v>
      </c>
      <c r="R5" s="22">
        <v>6122912</v>
      </c>
      <c r="S5" s="22">
        <v>27676880</v>
      </c>
      <c r="T5" s="22">
        <v>53288</v>
      </c>
      <c r="U5" s="45">
        <v>68.275727000000003</v>
      </c>
      <c r="V5" s="45">
        <v>69.273973699999999</v>
      </c>
      <c r="W5" s="45">
        <v>27.833286399999999</v>
      </c>
      <c r="X5" s="45">
        <v>33.4783884</v>
      </c>
      <c r="Y5" s="45">
        <v>32.863341699999999</v>
      </c>
      <c r="Z5" s="45">
        <v>47.847315000000002</v>
      </c>
      <c r="AA5" s="45">
        <v>26.589080299999999</v>
      </c>
      <c r="AB5" s="23">
        <v>11701.929461</v>
      </c>
      <c r="AC5" s="23">
        <v>51.324168999999998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8</v>
      </c>
      <c r="J6" s="36">
        <f t="shared" si="0"/>
        <v>8.5226000000000006</v>
      </c>
      <c r="K6" s="37">
        <f t="shared" si="1"/>
        <v>7.1036821188520216</v>
      </c>
      <c r="L6" s="35">
        <f t="shared" si="2"/>
        <v>85226000</v>
      </c>
      <c r="M6" s="35">
        <f t="shared" si="3"/>
        <v>18801688</v>
      </c>
      <c r="N6" s="46">
        <v>22725696</v>
      </c>
      <c r="O6" s="38">
        <v>85226000</v>
      </c>
      <c r="P6" s="38">
        <v>8005224</v>
      </c>
      <c r="Q6" s="38">
        <v>0</v>
      </c>
      <c r="R6" s="38">
        <v>10796464</v>
      </c>
      <c r="S6" s="38">
        <v>66371024</v>
      </c>
      <c r="T6" s="38">
        <v>53288</v>
      </c>
      <c r="U6" s="47">
        <v>69.848750600000002</v>
      </c>
      <c r="V6" s="47">
        <v>71.018388000000002</v>
      </c>
      <c r="W6" s="47">
        <v>31.070649299999999</v>
      </c>
      <c r="X6" s="47">
        <v>34.6786648</v>
      </c>
      <c r="Y6" s="47">
        <v>34.188760199999997</v>
      </c>
      <c r="Z6" s="47">
        <v>48.723240599999997</v>
      </c>
      <c r="AA6" s="47">
        <v>28.702403700000001</v>
      </c>
      <c r="AB6" s="39">
        <v>10826.437948999999</v>
      </c>
      <c r="AC6" s="39">
        <v>46.881577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11</v>
      </c>
      <c r="J7" s="20">
        <f t="shared" si="0"/>
        <v>11.720097599999999</v>
      </c>
      <c r="K7" s="21">
        <f t="shared" si="1"/>
        <v>9.7688320174970666</v>
      </c>
      <c r="L7" s="19">
        <f t="shared" si="2"/>
        <v>117200976</v>
      </c>
      <c r="M7" s="19">
        <f t="shared" si="3"/>
        <v>22986696</v>
      </c>
      <c r="N7" s="44">
        <v>45556032</v>
      </c>
      <c r="O7" s="22">
        <v>117200976</v>
      </c>
      <c r="P7" s="22">
        <v>12465016</v>
      </c>
      <c r="Q7" s="22">
        <v>0</v>
      </c>
      <c r="R7" s="22">
        <v>10521680</v>
      </c>
      <c r="S7" s="22">
        <v>94161272</v>
      </c>
      <c r="T7" s="22">
        <v>53008</v>
      </c>
      <c r="U7" s="45">
        <v>72.289744900000002</v>
      </c>
      <c r="V7" s="45">
        <v>73.8349707</v>
      </c>
      <c r="W7" s="45">
        <v>32.276144199999997</v>
      </c>
      <c r="X7" s="45">
        <v>36.403483000000001</v>
      </c>
      <c r="Y7" s="45">
        <v>36.136976300000001</v>
      </c>
      <c r="Z7" s="45">
        <v>49.958850400000003</v>
      </c>
      <c r="AA7" s="45">
        <v>30.217757500000001</v>
      </c>
      <c r="AB7" s="23">
        <v>32904.459871999999</v>
      </c>
      <c r="AC7" s="23">
        <v>158.964304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14</v>
      </c>
      <c r="J8" s="36">
        <f t="shared" si="0"/>
        <v>14.767744</v>
      </c>
      <c r="K8" s="37">
        <f t="shared" si="1"/>
        <v>12.309079270244318</v>
      </c>
      <c r="L8" s="35">
        <f t="shared" si="2"/>
        <v>147677440</v>
      </c>
      <c r="M8" s="35">
        <f t="shared" si="3"/>
        <v>29450816</v>
      </c>
      <c r="N8" s="46">
        <v>91604096</v>
      </c>
      <c r="O8" s="38">
        <v>147677440</v>
      </c>
      <c r="P8" s="38">
        <v>20319872</v>
      </c>
      <c r="Q8" s="38">
        <v>0</v>
      </c>
      <c r="R8" s="38">
        <v>9130944</v>
      </c>
      <c r="S8" s="38">
        <v>118173568</v>
      </c>
      <c r="T8" s="38">
        <v>53056</v>
      </c>
      <c r="U8" s="47">
        <v>73.1766425</v>
      </c>
      <c r="V8" s="47">
        <v>74.859253300000006</v>
      </c>
      <c r="W8" s="47">
        <v>33.235961799999998</v>
      </c>
      <c r="X8" s="47">
        <v>36.949134000000001</v>
      </c>
      <c r="Y8" s="47">
        <v>36.675849900000003</v>
      </c>
      <c r="Z8" s="47">
        <v>50.679596699999998</v>
      </c>
      <c r="AA8" s="47">
        <v>30.985349500000002</v>
      </c>
      <c r="AB8" s="39">
        <v>35722.620511000001</v>
      </c>
      <c r="AC8" s="39">
        <v>171.04929799999999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21</v>
      </c>
      <c r="J9" s="51">
        <f t="shared" si="0"/>
        <v>22.312820800000001</v>
      </c>
      <c r="K9" s="52">
        <f t="shared" si="1"/>
        <v>18.597984903446068</v>
      </c>
      <c r="L9" s="49">
        <f t="shared" si="2"/>
        <v>223128208</v>
      </c>
      <c r="M9" s="49">
        <f t="shared" si="3"/>
        <v>36743144</v>
      </c>
      <c r="N9" s="53">
        <v>91604096</v>
      </c>
      <c r="O9" s="54">
        <v>223128208</v>
      </c>
      <c r="P9" s="54">
        <v>20319872</v>
      </c>
      <c r="Q9" s="54">
        <v>0</v>
      </c>
      <c r="R9" s="54">
        <v>16423272</v>
      </c>
      <c r="S9" s="54">
        <v>186332008</v>
      </c>
      <c r="T9" s="54">
        <v>53056</v>
      </c>
      <c r="U9" s="55">
        <v>74.8687635</v>
      </c>
      <c r="V9" s="55">
        <v>76.829963500000005</v>
      </c>
      <c r="W9" s="55">
        <v>34.883310199999997</v>
      </c>
      <c r="X9" s="55">
        <v>38.505768099999997</v>
      </c>
      <c r="Y9" s="55">
        <v>38.2021005</v>
      </c>
      <c r="Z9" s="55">
        <v>51.581727999999998</v>
      </c>
      <c r="AA9" s="55">
        <v>32.376285500000002</v>
      </c>
      <c r="AB9" s="56">
        <v>40560.447066000001</v>
      </c>
      <c r="AC9" s="56">
        <v>181.87486200000001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4</v>
      </c>
      <c r="J10" s="36">
        <f t="shared" si="0"/>
        <v>5.0142264000000001</v>
      </c>
      <c r="K10" s="37">
        <f t="shared" si="1"/>
        <v>5.5713626666666665</v>
      </c>
      <c r="L10" s="35">
        <f t="shared" si="2"/>
        <v>50142264</v>
      </c>
      <c r="M10" s="35">
        <f t="shared" si="3"/>
        <v>10261120</v>
      </c>
      <c r="N10" s="46">
        <v>5600912</v>
      </c>
      <c r="O10" s="38">
        <v>50142264</v>
      </c>
      <c r="P10" s="38">
        <v>1235992</v>
      </c>
      <c r="Q10" s="38">
        <v>1175920</v>
      </c>
      <c r="R10" s="38">
        <v>7849208</v>
      </c>
      <c r="S10" s="38">
        <v>39838520</v>
      </c>
      <c r="T10" s="38">
        <v>42624</v>
      </c>
      <c r="U10" s="47">
        <v>63.959860599999999</v>
      </c>
      <c r="V10" s="47">
        <v>64.550441300000003</v>
      </c>
      <c r="W10" s="47">
        <v>35.1861745</v>
      </c>
      <c r="X10" s="47">
        <v>46.737936400000002</v>
      </c>
      <c r="Y10" s="47">
        <v>47.241604000000002</v>
      </c>
      <c r="Z10" s="47">
        <v>43.412145500000001</v>
      </c>
      <c r="AA10" s="47">
        <v>30.047520200000001</v>
      </c>
      <c r="AB10" s="39">
        <v>33982.834854000001</v>
      </c>
      <c r="AC10" s="39">
        <v>135.25777299999999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8</v>
      </c>
      <c r="J11" s="20">
        <f t="shared" si="0"/>
        <v>9.5343208000000015</v>
      </c>
      <c r="K11" s="21">
        <f t="shared" si="1"/>
        <v>10.593689777777778</v>
      </c>
      <c r="L11" s="19">
        <f t="shared" si="2"/>
        <v>95343208</v>
      </c>
      <c r="M11" s="19">
        <f t="shared" si="3"/>
        <v>21837456</v>
      </c>
      <c r="N11" s="44">
        <v>11334992</v>
      </c>
      <c r="O11" s="22">
        <v>95343208</v>
      </c>
      <c r="P11" s="22">
        <v>5065856</v>
      </c>
      <c r="Q11" s="22">
        <v>715040</v>
      </c>
      <c r="R11" s="22">
        <v>16056560</v>
      </c>
      <c r="S11" s="22">
        <v>73459728</v>
      </c>
      <c r="T11" s="22">
        <v>46024</v>
      </c>
      <c r="U11" s="45">
        <v>69.669221899999997</v>
      </c>
      <c r="V11" s="45">
        <v>70.891032499999994</v>
      </c>
      <c r="W11" s="45">
        <v>37.322697300000002</v>
      </c>
      <c r="X11" s="45">
        <v>47.478973500000002</v>
      </c>
      <c r="Y11" s="45">
        <v>48.0799089</v>
      </c>
      <c r="Z11" s="45">
        <v>46.546056700000001</v>
      </c>
      <c r="AA11" s="45">
        <v>33.264581900000003</v>
      </c>
      <c r="AB11" s="23">
        <v>39724.547256999998</v>
      </c>
      <c r="AC11" s="23">
        <v>130.57396600000001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11</v>
      </c>
      <c r="J12" s="36">
        <f t="shared" si="0"/>
        <v>12.187483199999999</v>
      </c>
      <c r="K12" s="37">
        <f t="shared" si="1"/>
        <v>13.541648</v>
      </c>
      <c r="L12" s="35">
        <f t="shared" si="2"/>
        <v>121874832</v>
      </c>
      <c r="M12" s="35">
        <f t="shared" si="3"/>
        <v>23700904</v>
      </c>
      <c r="N12" s="46">
        <v>11334992</v>
      </c>
      <c r="O12" s="38">
        <v>121874832</v>
      </c>
      <c r="P12" s="38">
        <v>5475656</v>
      </c>
      <c r="Q12" s="38">
        <v>1347800</v>
      </c>
      <c r="R12" s="38">
        <v>16877448</v>
      </c>
      <c r="S12" s="38">
        <v>98127904</v>
      </c>
      <c r="T12" s="38">
        <v>46024</v>
      </c>
      <c r="U12" s="47">
        <v>69.741307500000005</v>
      </c>
      <c r="V12" s="47">
        <v>70.970520100000002</v>
      </c>
      <c r="W12" s="47">
        <v>37.977927600000001</v>
      </c>
      <c r="X12" s="47">
        <v>47.812651500000001</v>
      </c>
      <c r="Y12" s="47">
        <v>48.427833200000002</v>
      </c>
      <c r="Z12" s="47">
        <v>46.5646676</v>
      </c>
      <c r="AA12" s="47">
        <v>33.494094500000003</v>
      </c>
      <c r="AB12" s="39">
        <v>39578.323877000003</v>
      </c>
      <c r="AC12" s="39">
        <v>131.99618599999999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14</v>
      </c>
      <c r="J13" s="20">
        <f t="shared" si="0"/>
        <v>15.720365599999999</v>
      </c>
      <c r="K13" s="21">
        <f t="shared" si="1"/>
        <v>17.46707288888889</v>
      </c>
      <c r="L13" s="19">
        <f t="shared" si="2"/>
        <v>157203656</v>
      </c>
      <c r="M13" s="19">
        <f t="shared" si="3"/>
        <v>23700904</v>
      </c>
      <c r="N13" s="44">
        <v>11334992</v>
      </c>
      <c r="O13" s="22">
        <v>157203656</v>
      </c>
      <c r="P13" s="22">
        <v>5475656</v>
      </c>
      <c r="Q13" s="22">
        <v>1347800</v>
      </c>
      <c r="R13" s="22">
        <v>16877448</v>
      </c>
      <c r="S13" s="22">
        <v>133456728</v>
      </c>
      <c r="T13" s="22">
        <v>46024</v>
      </c>
      <c r="U13" s="45">
        <v>69.741307500000005</v>
      </c>
      <c r="V13" s="45">
        <v>70.970520100000002</v>
      </c>
      <c r="W13" s="45">
        <v>38.508439199999998</v>
      </c>
      <c r="X13" s="45">
        <v>48.529692900000001</v>
      </c>
      <c r="Y13" s="45">
        <v>49.172558299999999</v>
      </c>
      <c r="Z13" s="45">
        <v>46.5646676</v>
      </c>
      <c r="AA13" s="45">
        <v>33.635736299999998</v>
      </c>
      <c r="AB13" s="23">
        <v>43641.637586999997</v>
      </c>
      <c r="AC13" s="23">
        <v>140.84477100000001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21</v>
      </c>
      <c r="J14" s="28">
        <f t="shared" si="0"/>
        <v>21.6877256</v>
      </c>
      <c r="K14" s="29">
        <f t="shared" si="1"/>
        <v>24.097472888888888</v>
      </c>
      <c r="L14" s="27">
        <f t="shared" si="2"/>
        <v>216877256</v>
      </c>
      <c r="M14" s="27">
        <f t="shared" si="3"/>
        <v>48450992</v>
      </c>
      <c r="N14" s="58">
        <v>22859728</v>
      </c>
      <c r="O14" s="30">
        <v>216877256</v>
      </c>
      <c r="P14" s="30">
        <v>17155224</v>
      </c>
      <c r="Q14" s="30">
        <v>1174152</v>
      </c>
      <c r="R14" s="30">
        <v>30121616</v>
      </c>
      <c r="S14" s="30">
        <v>168376944</v>
      </c>
      <c r="T14" s="30">
        <v>49320</v>
      </c>
      <c r="U14" s="59">
        <v>73.897161800000006</v>
      </c>
      <c r="V14" s="59">
        <v>75.816325500000005</v>
      </c>
      <c r="W14" s="59">
        <v>39.2847066</v>
      </c>
      <c r="X14" s="59">
        <v>48.548770400000002</v>
      </c>
      <c r="Y14" s="59">
        <v>49.218477</v>
      </c>
      <c r="Z14" s="59">
        <v>49.007581399999999</v>
      </c>
      <c r="AA14" s="59">
        <v>35.916703800000001</v>
      </c>
      <c r="AB14" s="31">
        <v>53923.357218999998</v>
      </c>
      <c r="AC14" s="31">
        <v>149.65993900000001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3.1071800000000001</v>
      </c>
      <c r="K15" s="21">
        <f t="shared" si="1"/>
        <v>2.6238637689809545</v>
      </c>
      <c r="L15" s="19">
        <f t="shared" si="2"/>
        <v>31071800</v>
      </c>
      <c r="M15" s="19">
        <f t="shared" si="3"/>
        <v>12002000</v>
      </c>
      <c r="N15" s="44">
        <v>22706944</v>
      </c>
      <c r="O15" s="22">
        <v>31071800</v>
      </c>
      <c r="P15" s="22">
        <v>6608032</v>
      </c>
      <c r="Q15" s="22">
        <v>0</v>
      </c>
      <c r="R15" s="22">
        <v>5393968</v>
      </c>
      <c r="S15" s="22">
        <v>19019464</v>
      </c>
      <c r="T15" s="22">
        <v>50336</v>
      </c>
      <c r="U15" s="45">
        <v>70.718938800000004</v>
      </c>
      <c r="V15" s="45">
        <v>72.021186200000002</v>
      </c>
      <c r="W15" s="45">
        <v>35.677519099999998</v>
      </c>
      <c r="X15" s="45">
        <v>43.309228900000001</v>
      </c>
      <c r="Y15" s="45">
        <v>45.103541999999997</v>
      </c>
      <c r="Z15" s="45">
        <v>45.262974200000002</v>
      </c>
      <c r="AA15" s="45">
        <v>32.3428003</v>
      </c>
      <c r="AB15" s="23">
        <v>25711.500382999999</v>
      </c>
      <c r="AC15" s="23">
        <v>155.16282200000001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5.1411072000000004</v>
      </c>
      <c r="K16" s="37">
        <f t="shared" si="1"/>
        <v>4.3414172704919318</v>
      </c>
      <c r="L16" s="35">
        <f t="shared" si="2"/>
        <v>51411072</v>
      </c>
      <c r="M16" s="35">
        <f t="shared" si="3"/>
        <v>15287136</v>
      </c>
      <c r="N16" s="46">
        <v>22706944</v>
      </c>
      <c r="O16" s="38">
        <v>51411072</v>
      </c>
      <c r="P16" s="38">
        <v>7187624</v>
      </c>
      <c r="Q16" s="38">
        <v>0</v>
      </c>
      <c r="R16" s="38">
        <v>8099512</v>
      </c>
      <c r="S16" s="38">
        <v>36073600</v>
      </c>
      <c r="T16" s="38">
        <v>50336</v>
      </c>
      <c r="U16" s="47">
        <v>72.330683699999994</v>
      </c>
      <c r="V16" s="47">
        <v>73.8060598</v>
      </c>
      <c r="W16" s="47">
        <v>38.463403599999999</v>
      </c>
      <c r="X16" s="47">
        <v>43.935251200000003</v>
      </c>
      <c r="Y16" s="47">
        <v>46.358117300000004</v>
      </c>
      <c r="Z16" s="47">
        <v>46.150093900000002</v>
      </c>
      <c r="AA16" s="47">
        <v>33.999183199999997</v>
      </c>
      <c r="AB16" s="39">
        <v>29819.453533</v>
      </c>
      <c r="AC16" s="39">
        <v>135.80790999999999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10.039930400000001</v>
      </c>
      <c r="K17" s="21">
        <f t="shared" si="1"/>
        <v>8.4782373791188341</v>
      </c>
      <c r="L17" s="19">
        <f t="shared" si="2"/>
        <v>100399304</v>
      </c>
      <c r="M17" s="19">
        <f t="shared" si="3"/>
        <v>30225328</v>
      </c>
      <c r="N17" s="44">
        <v>45429504</v>
      </c>
      <c r="O17" s="22">
        <v>100399304</v>
      </c>
      <c r="P17" s="22">
        <v>12024536</v>
      </c>
      <c r="Q17" s="22">
        <v>0</v>
      </c>
      <c r="R17" s="22">
        <v>18200792</v>
      </c>
      <c r="S17" s="22">
        <v>70122736</v>
      </c>
      <c r="T17" s="22">
        <v>51240</v>
      </c>
      <c r="U17" s="45">
        <v>77.378353599999997</v>
      </c>
      <c r="V17" s="45">
        <v>79.647094999999993</v>
      </c>
      <c r="W17" s="45">
        <v>41.159374300000003</v>
      </c>
      <c r="X17" s="45">
        <v>44.805216799999997</v>
      </c>
      <c r="Y17" s="45">
        <v>48.034359899999998</v>
      </c>
      <c r="Z17" s="45">
        <v>48.846992100000001</v>
      </c>
      <c r="AA17" s="45">
        <v>37.207588899999998</v>
      </c>
      <c r="AB17" s="23">
        <v>33347.343090000002</v>
      </c>
      <c r="AC17" s="23">
        <v>150.67627200000001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14.195919999999999</v>
      </c>
      <c r="K18" s="37">
        <f t="shared" si="1"/>
        <v>11.987770311134891</v>
      </c>
      <c r="L18" s="35">
        <f t="shared" si="2"/>
        <v>141959200</v>
      </c>
      <c r="M18" s="35">
        <f t="shared" si="3"/>
        <v>40315472</v>
      </c>
      <c r="N18" s="46">
        <v>90872832</v>
      </c>
      <c r="O18" s="38">
        <v>141959200</v>
      </c>
      <c r="P18" s="38">
        <v>20640312</v>
      </c>
      <c r="Q18" s="38">
        <v>0</v>
      </c>
      <c r="R18" s="38">
        <v>19675160</v>
      </c>
      <c r="S18" s="38">
        <v>101591080</v>
      </c>
      <c r="T18" s="38">
        <v>52648</v>
      </c>
      <c r="U18" s="47">
        <v>78.946957400000002</v>
      </c>
      <c r="V18" s="47">
        <v>81.669782699999999</v>
      </c>
      <c r="W18" s="47">
        <v>42.193310500000003</v>
      </c>
      <c r="X18" s="47">
        <v>45.501038399999999</v>
      </c>
      <c r="Y18" s="47">
        <v>49.1884783</v>
      </c>
      <c r="Z18" s="47">
        <v>49.904045199999999</v>
      </c>
      <c r="AA18" s="47">
        <v>38.376597699999998</v>
      </c>
      <c r="AB18" s="39">
        <v>37584.905890000002</v>
      </c>
      <c r="AC18" s="39">
        <v>171.84898000000001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21.101807999999998</v>
      </c>
      <c r="K19" s="52">
        <f t="shared" si="1"/>
        <v>17.819459919023828</v>
      </c>
      <c r="L19" s="49">
        <f t="shared" si="2"/>
        <v>211018080</v>
      </c>
      <c r="M19" s="49">
        <f t="shared" si="3"/>
        <v>42640224</v>
      </c>
      <c r="N19" s="53">
        <v>90872832</v>
      </c>
      <c r="O19" s="54">
        <v>211018080</v>
      </c>
      <c r="P19" s="54">
        <v>20640312</v>
      </c>
      <c r="Q19" s="54">
        <v>0</v>
      </c>
      <c r="R19" s="54">
        <v>21999912</v>
      </c>
      <c r="S19" s="54">
        <v>168325208</v>
      </c>
      <c r="T19" s="54">
        <v>52648</v>
      </c>
      <c r="U19" s="55">
        <v>79.324033700000001</v>
      </c>
      <c r="V19" s="55">
        <v>82.182234300000005</v>
      </c>
      <c r="W19" s="55">
        <v>43.241498200000002</v>
      </c>
      <c r="X19" s="55">
        <v>46.450886500000003</v>
      </c>
      <c r="Y19" s="55">
        <v>50.469091300000002</v>
      </c>
      <c r="Z19" s="55">
        <v>50.126721699999997</v>
      </c>
      <c r="AA19" s="55">
        <v>38.943195500000002</v>
      </c>
      <c r="AB19" s="56">
        <v>36218.95635</v>
      </c>
      <c r="AC19" s="56">
        <v>197.872578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2.9685264</v>
      </c>
      <c r="K20" s="37">
        <f t="shared" si="1"/>
        <v>2.513125450280179</v>
      </c>
      <c r="L20" s="35">
        <f t="shared" si="2"/>
        <v>29685264</v>
      </c>
      <c r="M20" s="35">
        <f t="shared" si="3"/>
        <v>11511544</v>
      </c>
      <c r="N20" s="46">
        <v>22662720</v>
      </c>
      <c r="O20" s="38">
        <v>29685264</v>
      </c>
      <c r="P20" s="38">
        <v>6455352</v>
      </c>
      <c r="Q20" s="38">
        <v>0</v>
      </c>
      <c r="R20" s="38">
        <v>5056192</v>
      </c>
      <c r="S20" s="38">
        <v>18123424</v>
      </c>
      <c r="T20" s="38">
        <v>50296</v>
      </c>
      <c r="U20" s="47">
        <v>70.980242200000006</v>
      </c>
      <c r="V20" s="47">
        <v>72.332693599999999</v>
      </c>
      <c r="W20" s="47">
        <v>34.574706399999997</v>
      </c>
      <c r="X20" s="47">
        <v>42.774623300000002</v>
      </c>
      <c r="Y20" s="47">
        <v>44.133561700000001</v>
      </c>
      <c r="Z20" s="47">
        <v>46.300672400000003</v>
      </c>
      <c r="AA20" s="47">
        <v>31.468105699999999</v>
      </c>
      <c r="AB20" s="39">
        <v>8542.5236000000004</v>
      </c>
      <c r="AC20" s="39">
        <v>47.965885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4.9779808000000001</v>
      </c>
      <c r="K21" s="21">
        <f t="shared" si="1"/>
        <v>4.214309914672171</v>
      </c>
      <c r="L21" s="19">
        <f t="shared" si="2"/>
        <v>49779808</v>
      </c>
      <c r="M21" s="19">
        <f t="shared" si="3"/>
        <v>12611104</v>
      </c>
      <c r="N21" s="44">
        <v>22662720</v>
      </c>
      <c r="O21" s="22">
        <v>49779808</v>
      </c>
      <c r="P21" s="22">
        <v>7025896</v>
      </c>
      <c r="Q21" s="22">
        <v>0</v>
      </c>
      <c r="R21" s="22">
        <v>5585208</v>
      </c>
      <c r="S21" s="22">
        <v>37118328</v>
      </c>
      <c r="T21" s="22">
        <v>50376</v>
      </c>
      <c r="U21" s="45">
        <v>71.439026799999994</v>
      </c>
      <c r="V21" s="45">
        <v>72.842425700000007</v>
      </c>
      <c r="W21" s="45">
        <v>37.377462199999997</v>
      </c>
      <c r="X21" s="45">
        <v>43.9521163</v>
      </c>
      <c r="Y21" s="45">
        <v>45.991829000000003</v>
      </c>
      <c r="Z21" s="45">
        <v>46.556418100000002</v>
      </c>
      <c r="AA21" s="45">
        <v>32.706097100000001</v>
      </c>
      <c r="AB21" s="23">
        <v>29218.153941</v>
      </c>
      <c r="AC21" s="23">
        <v>132.224277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10.017979199999999</v>
      </c>
      <c r="K22" s="37">
        <f t="shared" si="1"/>
        <v>8.4811233236455195</v>
      </c>
      <c r="L22" s="35">
        <f t="shared" si="2"/>
        <v>100179792</v>
      </c>
      <c r="M22" s="35">
        <f t="shared" si="3"/>
        <v>28141016</v>
      </c>
      <c r="N22" s="46">
        <v>45333632</v>
      </c>
      <c r="O22" s="38">
        <v>100179792</v>
      </c>
      <c r="P22" s="38">
        <v>10702888</v>
      </c>
      <c r="Q22" s="38">
        <v>0</v>
      </c>
      <c r="R22" s="38">
        <v>17438128</v>
      </c>
      <c r="S22" s="38">
        <v>71987440</v>
      </c>
      <c r="T22" s="38">
        <v>51336</v>
      </c>
      <c r="U22" s="47">
        <v>77.400720000000007</v>
      </c>
      <c r="V22" s="47">
        <v>79.785985699999998</v>
      </c>
      <c r="W22" s="47">
        <v>40.382721699999998</v>
      </c>
      <c r="X22" s="47">
        <v>45.194178899999997</v>
      </c>
      <c r="Y22" s="47">
        <v>48.086500999999998</v>
      </c>
      <c r="Z22" s="47">
        <v>49.700312599999997</v>
      </c>
      <c r="AA22" s="47">
        <v>36.492410300000003</v>
      </c>
      <c r="AB22" s="39">
        <v>32532.101353999999</v>
      </c>
      <c r="AC22" s="39">
        <v>146.544578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14.0903072</v>
      </c>
      <c r="K23" s="21">
        <f t="shared" si="1"/>
        <v>11.928716425289682</v>
      </c>
      <c r="L23" s="19">
        <f t="shared" si="2"/>
        <v>140903072</v>
      </c>
      <c r="M23" s="19">
        <f t="shared" si="3"/>
        <v>38722616</v>
      </c>
      <c r="N23" s="44">
        <v>90678336</v>
      </c>
      <c r="O23" s="22">
        <v>140903072</v>
      </c>
      <c r="P23" s="22">
        <v>22494568</v>
      </c>
      <c r="Q23" s="22">
        <v>0</v>
      </c>
      <c r="R23" s="22">
        <v>16228048</v>
      </c>
      <c r="S23" s="22">
        <v>102127912</v>
      </c>
      <c r="T23" s="22">
        <v>52544</v>
      </c>
      <c r="U23" s="45">
        <v>78.654663200000002</v>
      </c>
      <c r="V23" s="45">
        <v>81.410769700000003</v>
      </c>
      <c r="W23" s="45">
        <v>41.469273800000003</v>
      </c>
      <c r="X23" s="45">
        <v>45.724676000000002</v>
      </c>
      <c r="Y23" s="45">
        <v>48.830521099999999</v>
      </c>
      <c r="Z23" s="45">
        <v>50.748803700000003</v>
      </c>
      <c r="AA23" s="45">
        <v>37.557549000000002</v>
      </c>
      <c r="AB23" s="23">
        <v>32956.381731000001</v>
      </c>
      <c r="AC23" s="23">
        <v>179.87840199999999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20.867418399999998</v>
      </c>
      <c r="K24" s="29">
        <f t="shared" si="1"/>
        <v>17.666152560639141</v>
      </c>
      <c r="L24" s="27">
        <f t="shared" si="2"/>
        <v>208674184</v>
      </c>
      <c r="M24" s="27">
        <f t="shared" si="3"/>
        <v>41014216</v>
      </c>
      <c r="N24" s="58">
        <v>90678336</v>
      </c>
      <c r="O24" s="30">
        <v>208674184</v>
      </c>
      <c r="P24" s="30">
        <v>20303168</v>
      </c>
      <c r="Q24" s="30">
        <v>0</v>
      </c>
      <c r="R24" s="30">
        <v>20711048</v>
      </c>
      <c r="S24" s="30">
        <v>167607424</v>
      </c>
      <c r="T24" s="30">
        <v>52544</v>
      </c>
      <c r="U24" s="59">
        <v>79.380622700000004</v>
      </c>
      <c r="V24" s="59">
        <v>82.437371499999998</v>
      </c>
      <c r="W24" s="59">
        <v>42.484262299999997</v>
      </c>
      <c r="X24" s="59">
        <v>46.796408399999997</v>
      </c>
      <c r="Y24" s="59">
        <v>50.182545500000003</v>
      </c>
      <c r="Z24" s="59">
        <v>51.133430199999999</v>
      </c>
      <c r="AA24" s="59">
        <v>38.318524699999998</v>
      </c>
      <c r="AB24" s="31">
        <v>38666.146493</v>
      </c>
      <c r="AC24" s="31">
        <v>173.339403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4.2155448</v>
      </c>
      <c r="K25" s="21">
        <f t="shared" si="1"/>
        <v>3.5129540000000001</v>
      </c>
      <c r="L25" s="19">
        <f t="shared" si="2"/>
        <v>42155448</v>
      </c>
      <c r="M25" s="19">
        <f t="shared" si="3"/>
        <v>11420816</v>
      </c>
      <c r="N25" s="44">
        <v>23021184</v>
      </c>
      <c r="O25" s="22">
        <v>42155448</v>
      </c>
      <c r="P25" s="22">
        <v>6404696</v>
      </c>
      <c r="Q25" s="22">
        <v>0</v>
      </c>
      <c r="R25" s="22">
        <v>5016120</v>
      </c>
      <c r="S25" s="22">
        <v>30686536</v>
      </c>
      <c r="T25" s="22">
        <v>48096</v>
      </c>
      <c r="U25" s="45">
        <v>73.192573600000003</v>
      </c>
      <c r="V25" s="45">
        <v>74.916504000000003</v>
      </c>
      <c r="W25" s="45">
        <v>31.056350699999999</v>
      </c>
      <c r="X25" s="45">
        <v>39.916843200000002</v>
      </c>
      <c r="Y25" s="45">
        <v>36.595318499999998</v>
      </c>
      <c r="Z25" s="45">
        <v>44.799953899999998</v>
      </c>
      <c r="AA25" s="45">
        <v>27.955214000000002</v>
      </c>
      <c r="AB25" s="23">
        <v>11090.780741</v>
      </c>
      <c r="AC25" s="23">
        <v>48.655464000000002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8.3142519999999998</v>
      </c>
      <c r="K26" s="37">
        <f t="shared" si="1"/>
        <v>6.9285433333333337</v>
      </c>
      <c r="L26" s="35">
        <f t="shared" si="2"/>
        <v>83142520</v>
      </c>
      <c r="M26" s="35">
        <f t="shared" si="3"/>
        <v>18728936</v>
      </c>
      <c r="N26" s="46">
        <v>46064000</v>
      </c>
      <c r="O26" s="38">
        <v>83142520</v>
      </c>
      <c r="P26" s="38">
        <v>10720296</v>
      </c>
      <c r="Q26" s="38">
        <v>0</v>
      </c>
      <c r="R26" s="38">
        <v>8008640</v>
      </c>
      <c r="S26" s="38">
        <v>64365584</v>
      </c>
      <c r="T26" s="38">
        <v>48000</v>
      </c>
      <c r="U26" s="47">
        <v>76.613840999999994</v>
      </c>
      <c r="V26" s="47">
        <v>78.892491500000006</v>
      </c>
      <c r="W26" s="47">
        <v>33.4362548</v>
      </c>
      <c r="X26" s="47">
        <v>41.8237746</v>
      </c>
      <c r="Y26" s="47">
        <v>39.4409803</v>
      </c>
      <c r="Z26" s="47">
        <v>46.460173900000001</v>
      </c>
      <c r="AA26" s="47">
        <v>30.694327699999999</v>
      </c>
      <c r="AB26" s="39">
        <v>33586.755037000003</v>
      </c>
      <c r="AC26" s="39">
        <v>151.321912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12.218399199999999</v>
      </c>
      <c r="K27" s="21">
        <f t="shared" si="1"/>
        <v>10.181999333333334</v>
      </c>
      <c r="L27" s="19">
        <f t="shared" si="2"/>
        <v>122183992</v>
      </c>
      <c r="M27" s="19">
        <f t="shared" si="3"/>
        <v>27826488</v>
      </c>
      <c r="N27" s="44">
        <v>92146368</v>
      </c>
      <c r="O27" s="22">
        <v>122183992</v>
      </c>
      <c r="P27" s="22">
        <v>20260304</v>
      </c>
      <c r="Q27" s="22">
        <v>0</v>
      </c>
      <c r="R27" s="22">
        <v>7566184</v>
      </c>
      <c r="S27" s="22">
        <v>94309544</v>
      </c>
      <c r="T27" s="22">
        <v>47960</v>
      </c>
      <c r="U27" s="45">
        <v>78.4513879</v>
      </c>
      <c r="V27" s="45">
        <v>81.144647699999993</v>
      </c>
      <c r="W27" s="45">
        <v>34.500007099999998</v>
      </c>
      <c r="X27" s="45">
        <v>43.188624699999998</v>
      </c>
      <c r="Y27" s="45">
        <v>41.240663099999999</v>
      </c>
      <c r="Z27" s="45">
        <v>47.908385199999998</v>
      </c>
      <c r="AA27" s="45">
        <v>32.038738299999999</v>
      </c>
      <c r="AB27" s="23">
        <v>92151.538941999999</v>
      </c>
      <c r="AC27" s="23">
        <v>491.56257199999999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17.280296</v>
      </c>
      <c r="K28" s="37">
        <f t="shared" si="1"/>
        <v>14.400246666666666</v>
      </c>
      <c r="L28" s="35">
        <f t="shared" si="2"/>
        <v>172802960</v>
      </c>
      <c r="M28" s="35">
        <f t="shared" si="3"/>
        <v>45504936</v>
      </c>
      <c r="N28" s="46">
        <v>184310144</v>
      </c>
      <c r="O28" s="38">
        <v>172802960</v>
      </c>
      <c r="P28" s="38">
        <v>39527832</v>
      </c>
      <c r="Q28" s="38">
        <v>0</v>
      </c>
      <c r="R28" s="38">
        <v>5977104</v>
      </c>
      <c r="S28" s="38">
        <v>127250448</v>
      </c>
      <c r="T28" s="38">
        <v>47576</v>
      </c>
      <c r="U28" s="47">
        <v>80.306608600000004</v>
      </c>
      <c r="V28" s="47">
        <v>83.621289300000001</v>
      </c>
      <c r="W28" s="47">
        <v>35.317871799999999</v>
      </c>
      <c r="X28" s="47">
        <v>43.541873299999999</v>
      </c>
      <c r="Y28" s="47">
        <v>41.741081299999998</v>
      </c>
      <c r="Z28" s="47">
        <v>49.599159200000003</v>
      </c>
      <c r="AA28" s="47">
        <v>33.263449299999998</v>
      </c>
      <c r="AB28" s="39">
        <v>106048.699847</v>
      </c>
      <c r="AC28" s="39">
        <v>529.399719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25.465078399999999</v>
      </c>
      <c r="K29" s="52">
        <f t="shared" si="1"/>
        <v>21.220898666666667</v>
      </c>
      <c r="L29" s="49">
        <f t="shared" si="2"/>
        <v>254650784</v>
      </c>
      <c r="M29" s="49">
        <f t="shared" si="3"/>
        <v>93171096</v>
      </c>
      <c r="N29" s="53">
        <v>138237904</v>
      </c>
      <c r="O29" s="54">
        <v>254650784</v>
      </c>
      <c r="P29" s="54">
        <v>85444624</v>
      </c>
      <c r="Q29" s="54">
        <v>0</v>
      </c>
      <c r="R29" s="54">
        <v>7726472</v>
      </c>
      <c r="S29" s="54">
        <v>161433504</v>
      </c>
      <c r="T29" s="54">
        <v>46184</v>
      </c>
      <c r="U29" s="55">
        <v>84.882569099999998</v>
      </c>
      <c r="V29" s="55">
        <v>90.099770899999996</v>
      </c>
      <c r="W29" s="55">
        <v>36.064513900000001</v>
      </c>
      <c r="X29" s="55">
        <v>43.881551799999997</v>
      </c>
      <c r="Y29" s="55">
        <v>42.224532600000003</v>
      </c>
      <c r="Z29" s="55">
        <v>53.017958299999997</v>
      </c>
      <c r="AA29" s="55">
        <v>35.144566099999999</v>
      </c>
      <c r="AB29" s="56">
        <v>127893.271054</v>
      </c>
      <c r="AC29" s="56">
        <v>519.28479700000003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2.0776072000000001</v>
      </c>
      <c r="K30" s="37">
        <f t="shared" si="1"/>
        <v>3.4640331036101784</v>
      </c>
      <c r="L30" s="35">
        <f t="shared" si="2"/>
        <v>20776072</v>
      </c>
      <c r="M30" s="35">
        <f t="shared" si="3"/>
        <v>5678296</v>
      </c>
      <c r="N30" s="46">
        <v>11256640</v>
      </c>
      <c r="O30" s="38">
        <v>20776072</v>
      </c>
      <c r="P30" s="38">
        <v>2412088</v>
      </c>
      <c r="Q30" s="38">
        <v>219328</v>
      </c>
      <c r="R30" s="38">
        <v>3046880</v>
      </c>
      <c r="S30" s="38">
        <v>15072072</v>
      </c>
      <c r="T30" s="38">
        <v>25704</v>
      </c>
      <c r="U30" s="47">
        <v>72.555680899999999</v>
      </c>
      <c r="V30" s="47">
        <v>74.135942900000003</v>
      </c>
      <c r="W30" s="47">
        <v>38.164670000000001</v>
      </c>
      <c r="X30" s="47">
        <v>44.364320200000002</v>
      </c>
      <c r="Y30" s="47">
        <v>42.994854699999998</v>
      </c>
      <c r="Z30" s="47">
        <v>47.462221200000002</v>
      </c>
      <c r="AA30" s="47">
        <v>34.268929300000003</v>
      </c>
      <c r="AB30" s="39">
        <v>15025.907719999999</v>
      </c>
      <c r="AC30" s="39">
        <v>74.944394000000003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4.0993328</v>
      </c>
      <c r="K31" s="21">
        <f t="shared" si="1"/>
        <v>6.8348937768000617</v>
      </c>
      <c r="L31" s="19">
        <f t="shared" si="2"/>
        <v>40993328</v>
      </c>
      <c r="M31" s="19">
        <f t="shared" si="3"/>
        <v>8801216</v>
      </c>
      <c r="N31" s="44">
        <v>5692000</v>
      </c>
      <c r="O31" s="22">
        <v>40993328</v>
      </c>
      <c r="P31" s="22">
        <v>4060032</v>
      </c>
      <c r="Q31" s="22">
        <v>327392</v>
      </c>
      <c r="R31" s="22">
        <v>4413792</v>
      </c>
      <c r="S31" s="22">
        <v>32167008</v>
      </c>
      <c r="T31" s="22">
        <v>25104</v>
      </c>
      <c r="U31" s="45">
        <v>75.852644600000005</v>
      </c>
      <c r="V31" s="45">
        <v>77.900467699999993</v>
      </c>
      <c r="W31" s="45">
        <v>40.477159700000001</v>
      </c>
      <c r="X31" s="45">
        <v>45.780246499999997</v>
      </c>
      <c r="Y31" s="45">
        <v>44.629582200000002</v>
      </c>
      <c r="Z31" s="45">
        <v>49.564350400000002</v>
      </c>
      <c r="AA31" s="45">
        <v>36.374431600000001</v>
      </c>
      <c r="AB31" s="23">
        <v>15571.321402</v>
      </c>
      <c r="AC31" s="23">
        <v>82.025462000000005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6.1544160000000003</v>
      </c>
      <c r="K32" s="37">
        <f t="shared" si="1"/>
        <v>10.261372196528843</v>
      </c>
      <c r="L32" s="35">
        <f t="shared" si="2"/>
        <v>61544160</v>
      </c>
      <c r="M32" s="35">
        <f t="shared" si="3"/>
        <v>17184136</v>
      </c>
      <c r="N32" s="46">
        <v>22964896</v>
      </c>
      <c r="O32" s="38">
        <v>61544160</v>
      </c>
      <c r="P32" s="38">
        <v>12192568</v>
      </c>
      <c r="Q32" s="38">
        <v>763848</v>
      </c>
      <c r="R32" s="38">
        <v>4227720</v>
      </c>
      <c r="S32" s="38">
        <v>44334320</v>
      </c>
      <c r="T32" s="38">
        <v>25704</v>
      </c>
      <c r="U32" s="47">
        <v>79.260757100000006</v>
      </c>
      <c r="V32" s="47">
        <v>82.079137200000005</v>
      </c>
      <c r="W32" s="47">
        <v>41.577876699999997</v>
      </c>
      <c r="X32" s="47">
        <v>46.548623300000003</v>
      </c>
      <c r="Y32" s="47">
        <v>45.590533299999997</v>
      </c>
      <c r="Z32" s="47">
        <v>51.559130000000003</v>
      </c>
      <c r="AA32" s="47">
        <v>38.457915</v>
      </c>
      <c r="AB32" s="39">
        <v>53708.826147</v>
      </c>
      <c r="AC32" s="39">
        <v>272.59524599999997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8.6039448000000007</v>
      </c>
      <c r="K33" s="21">
        <f t="shared" si="1"/>
        <v>14.345517097184999</v>
      </c>
      <c r="L33" s="19">
        <f t="shared" si="2"/>
        <v>86039448</v>
      </c>
      <c r="M33" s="19">
        <f t="shared" si="3"/>
        <v>22561704</v>
      </c>
      <c r="N33" s="44">
        <v>22964896</v>
      </c>
      <c r="O33" s="22">
        <v>86039448</v>
      </c>
      <c r="P33" s="22">
        <v>12192568</v>
      </c>
      <c r="Q33" s="22">
        <v>763848</v>
      </c>
      <c r="R33" s="22">
        <v>9605288</v>
      </c>
      <c r="S33" s="22">
        <v>63452040</v>
      </c>
      <c r="T33" s="22">
        <v>25704</v>
      </c>
      <c r="U33" s="45">
        <v>80.979841399999998</v>
      </c>
      <c r="V33" s="45">
        <v>84.673123899999993</v>
      </c>
      <c r="W33" s="45">
        <v>42.492365800000002</v>
      </c>
      <c r="X33" s="45">
        <v>47.645994000000002</v>
      </c>
      <c r="Y33" s="45">
        <v>46.801686400000001</v>
      </c>
      <c r="Z33" s="45">
        <v>53.004546499999996</v>
      </c>
      <c r="AA33" s="45">
        <v>39.869949300000002</v>
      </c>
      <c r="AB33" s="23">
        <v>56677.333411</v>
      </c>
      <c r="AC33" s="23">
        <v>293.77205600000002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11.837945599999999</v>
      </c>
      <c r="K34" s="29">
        <f t="shared" si="1"/>
        <v>19.737626745390781</v>
      </c>
      <c r="L34" s="27">
        <f t="shared" si="2"/>
        <v>118379456</v>
      </c>
      <c r="M34" s="27">
        <f t="shared" si="3"/>
        <v>33167480</v>
      </c>
      <c r="N34" s="58">
        <v>57516368</v>
      </c>
      <c r="O34" s="30">
        <v>118379456</v>
      </c>
      <c r="P34" s="30">
        <v>26610360</v>
      </c>
      <c r="Q34" s="30">
        <v>4259296</v>
      </c>
      <c r="R34" s="30">
        <v>2297824</v>
      </c>
      <c r="S34" s="30">
        <v>85186264</v>
      </c>
      <c r="T34" s="30">
        <v>25712</v>
      </c>
      <c r="U34" s="59">
        <v>84.369723199999996</v>
      </c>
      <c r="V34" s="59">
        <v>88.954052599999997</v>
      </c>
      <c r="W34" s="59">
        <v>43.452504300000001</v>
      </c>
      <c r="X34" s="59">
        <v>48.342449299999998</v>
      </c>
      <c r="Y34" s="59">
        <v>47.605689400000003</v>
      </c>
      <c r="Z34" s="59">
        <v>56.709893000000001</v>
      </c>
      <c r="AA34" s="59">
        <v>42.391147199999999</v>
      </c>
      <c r="AB34" s="31">
        <v>68030.511954000001</v>
      </c>
      <c r="AC34" s="31">
        <v>288.920344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3</v>
      </c>
      <c r="J35" s="20">
        <f t="shared" si="0"/>
        <v>2.8112352</v>
      </c>
      <c r="K35" s="21">
        <f t="shared" si="1"/>
        <v>3.1235946666666665</v>
      </c>
      <c r="L35" s="19">
        <f t="shared" si="2"/>
        <v>28112352</v>
      </c>
      <c r="M35" s="19">
        <f t="shared" si="3"/>
        <v>8098560</v>
      </c>
      <c r="N35" s="44">
        <v>34432960</v>
      </c>
      <c r="O35" s="22">
        <v>28112352</v>
      </c>
      <c r="P35" s="22">
        <v>3550184</v>
      </c>
      <c r="Q35" s="22">
        <v>796416</v>
      </c>
      <c r="R35" s="22">
        <v>3751960</v>
      </c>
      <c r="S35" s="22">
        <v>19965880</v>
      </c>
      <c r="T35" s="22">
        <v>47912</v>
      </c>
      <c r="U35" s="45">
        <v>72.562299199999998</v>
      </c>
      <c r="V35" s="45">
        <v>74.174459499999998</v>
      </c>
      <c r="W35" s="45">
        <v>30.184791300000001</v>
      </c>
      <c r="X35" s="45">
        <v>38.963403499999998</v>
      </c>
      <c r="Y35" s="45">
        <v>38.996823200000001</v>
      </c>
      <c r="Z35" s="45">
        <v>47.622628599999999</v>
      </c>
      <c r="AA35" s="45">
        <v>29.203115700000001</v>
      </c>
      <c r="AB35" s="23">
        <v>67400.121039999998</v>
      </c>
      <c r="AC35" s="23">
        <v>481.50587899999999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4</v>
      </c>
      <c r="J36" s="36">
        <f t="shared" si="0"/>
        <v>3.9035967999999999</v>
      </c>
      <c r="K36" s="37">
        <f t="shared" si="1"/>
        <v>4.3373297777777777</v>
      </c>
      <c r="L36" s="35">
        <f t="shared" si="2"/>
        <v>39035968</v>
      </c>
      <c r="M36" s="35">
        <f t="shared" si="3"/>
        <v>9451616</v>
      </c>
      <c r="N36" s="46">
        <v>68916352</v>
      </c>
      <c r="O36" s="38">
        <v>39035968</v>
      </c>
      <c r="P36" s="38">
        <v>5962672</v>
      </c>
      <c r="Q36" s="38">
        <v>1411200</v>
      </c>
      <c r="R36" s="38">
        <v>2077744</v>
      </c>
      <c r="S36" s="38">
        <v>29535648</v>
      </c>
      <c r="T36" s="38">
        <v>48704</v>
      </c>
      <c r="U36" s="47">
        <v>72.998955800000005</v>
      </c>
      <c r="V36" s="47">
        <v>74.667849399999994</v>
      </c>
      <c r="W36" s="47">
        <v>30.650729200000001</v>
      </c>
      <c r="X36" s="47">
        <v>39.0783506</v>
      </c>
      <c r="Y36" s="47">
        <v>39.159635100000003</v>
      </c>
      <c r="Z36" s="47">
        <v>48.048964900000001</v>
      </c>
      <c r="AA36" s="47">
        <v>29.5295472</v>
      </c>
      <c r="AB36" s="39">
        <v>78092.186868999997</v>
      </c>
      <c r="AC36" s="39">
        <v>534.60339399999998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6</v>
      </c>
      <c r="J37" s="20">
        <f t="shared" si="0"/>
        <v>5.8870719999999999</v>
      </c>
      <c r="K37" s="21">
        <f t="shared" si="1"/>
        <v>6.541191111111111</v>
      </c>
      <c r="L37" s="19">
        <f t="shared" si="2"/>
        <v>58870720</v>
      </c>
      <c r="M37" s="19">
        <f t="shared" si="3"/>
        <v>13764096</v>
      </c>
      <c r="N37" s="44">
        <v>68916352</v>
      </c>
      <c r="O37" s="22">
        <v>58870720</v>
      </c>
      <c r="P37" s="22">
        <v>5962672</v>
      </c>
      <c r="Q37" s="22">
        <v>1411200</v>
      </c>
      <c r="R37" s="22">
        <v>6390224</v>
      </c>
      <c r="S37" s="22">
        <v>45057920</v>
      </c>
      <c r="T37" s="22">
        <v>48704</v>
      </c>
      <c r="U37" s="45">
        <v>76.054534599999997</v>
      </c>
      <c r="V37" s="45">
        <v>78.139505099999994</v>
      </c>
      <c r="W37" s="45">
        <v>31.309906699999999</v>
      </c>
      <c r="X37" s="45">
        <v>39.173248200000003</v>
      </c>
      <c r="Y37" s="45">
        <v>39.308333500000003</v>
      </c>
      <c r="Z37" s="45">
        <v>49.758910100000001</v>
      </c>
      <c r="AA37" s="45">
        <v>30.389581400000001</v>
      </c>
      <c r="AB37" s="23">
        <v>80310.274233000004</v>
      </c>
      <c r="AC37" s="23">
        <v>589.52588600000001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8</v>
      </c>
      <c r="J38" s="36">
        <f t="shared" si="0"/>
        <v>8.0988936000000002</v>
      </c>
      <c r="K38" s="37">
        <f t="shared" si="1"/>
        <v>8.9987706666666671</v>
      </c>
      <c r="L38" s="35">
        <f t="shared" si="2"/>
        <v>80988936</v>
      </c>
      <c r="M38" s="35">
        <f t="shared" si="3"/>
        <v>22225888</v>
      </c>
      <c r="N38" s="46">
        <v>137868352</v>
      </c>
      <c r="O38" s="38">
        <v>80988936</v>
      </c>
      <c r="P38" s="38">
        <v>12267232</v>
      </c>
      <c r="Q38" s="38">
        <v>3249264</v>
      </c>
      <c r="R38" s="38">
        <v>6709392</v>
      </c>
      <c r="S38" s="38">
        <v>58714160</v>
      </c>
      <c r="T38" s="38">
        <v>48888</v>
      </c>
      <c r="U38" s="47">
        <v>78.591679999999997</v>
      </c>
      <c r="V38" s="47">
        <v>81.187390399999998</v>
      </c>
      <c r="W38" s="47">
        <v>31.766963499999999</v>
      </c>
      <c r="X38" s="47">
        <v>39.267846599999999</v>
      </c>
      <c r="Y38" s="47">
        <v>39.480094999999999</v>
      </c>
      <c r="Z38" s="47">
        <v>51.4058779</v>
      </c>
      <c r="AA38" s="47">
        <v>31.030483100000001</v>
      </c>
      <c r="AB38" s="39">
        <v>87856.839670000001</v>
      </c>
      <c r="AC38" s="39">
        <v>562.02535399999999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12</v>
      </c>
      <c r="J39" s="51">
        <f t="shared" si="0"/>
        <v>11.877684</v>
      </c>
      <c r="K39" s="52">
        <f t="shared" si="1"/>
        <v>13.197426666666667</v>
      </c>
      <c r="L39" s="49">
        <f t="shared" si="2"/>
        <v>118776840</v>
      </c>
      <c r="M39" s="49">
        <f t="shared" si="3"/>
        <v>27655920</v>
      </c>
      <c r="N39" s="53">
        <v>206805632</v>
      </c>
      <c r="O39" s="54">
        <v>118776840</v>
      </c>
      <c r="P39" s="54">
        <v>17570704</v>
      </c>
      <c r="Q39" s="54">
        <v>4563576</v>
      </c>
      <c r="R39" s="54">
        <v>5521640</v>
      </c>
      <c r="S39" s="54">
        <v>91071320</v>
      </c>
      <c r="T39" s="54">
        <v>49600</v>
      </c>
      <c r="U39" s="55">
        <v>80.284611900000002</v>
      </c>
      <c r="V39" s="55">
        <v>83.276772399999999</v>
      </c>
      <c r="W39" s="55">
        <v>32.502218499999998</v>
      </c>
      <c r="X39" s="55">
        <v>39.345535300000002</v>
      </c>
      <c r="Y39" s="55">
        <v>39.607991400000003</v>
      </c>
      <c r="Z39" s="55">
        <v>52.5433369</v>
      </c>
      <c r="AA39" s="55">
        <v>31.785795</v>
      </c>
      <c r="AB39" s="56">
        <v>87828.215117999993</v>
      </c>
      <c r="AC39" s="56">
        <v>596.72492999999997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3</v>
      </c>
      <c r="J40" s="36">
        <f t="shared" si="0"/>
        <v>3.1009224</v>
      </c>
      <c r="K40" s="37">
        <f t="shared" si="1"/>
        <v>3.4454693333333335</v>
      </c>
      <c r="L40" s="35">
        <f t="shared" si="2"/>
        <v>31009224</v>
      </c>
      <c r="M40" s="35">
        <f t="shared" si="3"/>
        <v>7419128</v>
      </c>
      <c r="N40" s="46">
        <v>34505856</v>
      </c>
      <c r="O40" s="38">
        <v>31009224</v>
      </c>
      <c r="P40" s="38">
        <v>3289792</v>
      </c>
      <c r="Q40" s="38">
        <v>271984</v>
      </c>
      <c r="R40" s="38">
        <v>3857352</v>
      </c>
      <c r="S40" s="38">
        <v>23540280</v>
      </c>
      <c r="T40" s="38">
        <v>49816</v>
      </c>
      <c r="U40" s="47">
        <v>73.660334300000002</v>
      </c>
      <c r="V40" s="47">
        <v>75.149964299999994</v>
      </c>
      <c r="W40" s="47">
        <v>33.286399199999998</v>
      </c>
      <c r="X40" s="47">
        <v>42.552126399999999</v>
      </c>
      <c r="Y40" s="47">
        <v>42.870520300000003</v>
      </c>
      <c r="Z40" s="47">
        <v>48.556269299999997</v>
      </c>
      <c r="AA40" s="47">
        <v>32.342732300000002</v>
      </c>
      <c r="AB40" s="39">
        <v>71359.078406000001</v>
      </c>
      <c r="AC40" s="39">
        <v>483.00262600000002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4</v>
      </c>
      <c r="J41" s="20">
        <f t="shared" si="0"/>
        <v>4.0882303999999996</v>
      </c>
      <c r="K41" s="21">
        <f t="shared" si="1"/>
        <v>4.542478222222222</v>
      </c>
      <c r="L41" s="19">
        <f t="shared" si="2"/>
        <v>40882304</v>
      </c>
      <c r="M41" s="19">
        <f t="shared" si="3"/>
        <v>12012544</v>
      </c>
      <c r="N41" s="44">
        <v>69039040</v>
      </c>
      <c r="O41" s="22">
        <v>40882304</v>
      </c>
      <c r="P41" s="22">
        <v>6189784</v>
      </c>
      <c r="Q41" s="22">
        <v>982632</v>
      </c>
      <c r="R41" s="22">
        <v>4840128</v>
      </c>
      <c r="S41" s="22">
        <v>28821080</v>
      </c>
      <c r="T41" s="22">
        <v>48680</v>
      </c>
      <c r="U41" s="45">
        <v>76.123173800000004</v>
      </c>
      <c r="V41" s="45">
        <v>77.921557399999998</v>
      </c>
      <c r="W41" s="45">
        <v>33.654200400000001</v>
      </c>
      <c r="X41" s="45">
        <v>42.731513800000002</v>
      </c>
      <c r="Y41" s="45">
        <v>43.152044099999998</v>
      </c>
      <c r="Z41" s="45">
        <v>50.034363999999997</v>
      </c>
      <c r="AA41" s="45">
        <v>32.9406848</v>
      </c>
      <c r="AB41" s="23">
        <v>74329.015903000007</v>
      </c>
      <c r="AC41" s="23">
        <v>491.661385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6</v>
      </c>
      <c r="J42" s="36">
        <f t="shared" si="0"/>
        <v>6.256812</v>
      </c>
      <c r="K42" s="37">
        <f t="shared" si="1"/>
        <v>6.9520133333333334</v>
      </c>
      <c r="L42" s="35">
        <f t="shared" si="2"/>
        <v>62568120</v>
      </c>
      <c r="M42" s="35">
        <f t="shared" si="3"/>
        <v>16731392</v>
      </c>
      <c r="N42" s="46">
        <v>138089664</v>
      </c>
      <c r="O42" s="38">
        <v>62568120</v>
      </c>
      <c r="P42" s="38">
        <v>11187704</v>
      </c>
      <c r="Q42" s="38">
        <v>1776752</v>
      </c>
      <c r="R42" s="38">
        <v>3766936</v>
      </c>
      <c r="S42" s="38">
        <v>45787856</v>
      </c>
      <c r="T42" s="38">
        <v>48872</v>
      </c>
      <c r="U42" s="47">
        <v>77.914964499999996</v>
      </c>
      <c r="V42" s="47">
        <v>79.986573399999997</v>
      </c>
      <c r="W42" s="47">
        <v>34.289687000000001</v>
      </c>
      <c r="X42" s="47">
        <v>42.891935199999999</v>
      </c>
      <c r="Y42" s="47">
        <v>43.392719900000003</v>
      </c>
      <c r="Z42" s="47">
        <v>51.148906099999998</v>
      </c>
      <c r="AA42" s="47">
        <v>33.626810200000001</v>
      </c>
      <c r="AB42" s="39">
        <v>82642.366093000004</v>
      </c>
      <c r="AC42" s="39">
        <v>585.86148100000003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8</v>
      </c>
      <c r="J43" s="20">
        <f t="shared" si="0"/>
        <v>8.1982375999999988</v>
      </c>
      <c r="K43" s="21">
        <f t="shared" si="1"/>
        <v>9.1091528888888895</v>
      </c>
      <c r="L43" s="19">
        <f t="shared" si="2"/>
        <v>81982376</v>
      </c>
      <c r="M43" s="19">
        <f t="shared" si="3"/>
        <v>20762296</v>
      </c>
      <c r="N43" s="44">
        <v>138089664</v>
      </c>
      <c r="O43" s="22">
        <v>81982376</v>
      </c>
      <c r="P43" s="22">
        <v>11187704</v>
      </c>
      <c r="Q43" s="22">
        <v>1776752</v>
      </c>
      <c r="R43" s="22">
        <v>7797840</v>
      </c>
      <c r="S43" s="22">
        <v>61171368</v>
      </c>
      <c r="T43" s="22">
        <v>48712</v>
      </c>
      <c r="U43" s="45">
        <v>79.369485699999998</v>
      </c>
      <c r="V43" s="45">
        <v>81.8163883</v>
      </c>
      <c r="W43" s="45">
        <v>34.355138699999998</v>
      </c>
      <c r="X43" s="45">
        <v>43.022352499999997</v>
      </c>
      <c r="Y43" s="45">
        <v>43.560820700000001</v>
      </c>
      <c r="Z43" s="45">
        <v>52.063888900000002</v>
      </c>
      <c r="AA43" s="45">
        <v>33.786118299999998</v>
      </c>
      <c r="AB43" s="23">
        <v>35583.096856999997</v>
      </c>
      <c r="AC43" s="23">
        <v>183.41706600000001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12</v>
      </c>
      <c r="J44" s="28">
        <f t="shared" si="0"/>
        <v>12.2775496</v>
      </c>
      <c r="K44" s="29">
        <f t="shared" si="1"/>
        <v>13.641721777777779</v>
      </c>
      <c r="L44" s="27">
        <f t="shared" si="2"/>
        <v>122775496</v>
      </c>
      <c r="M44" s="27">
        <f t="shared" si="3"/>
        <v>25285688</v>
      </c>
      <c r="N44" s="58">
        <v>207140672</v>
      </c>
      <c r="O44" s="30">
        <v>122775496</v>
      </c>
      <c r="P44" s="30">
        <v>15914584</v>
      </c>
      <c r="Q44" s="30">
        <v>2523464</v>
      </c>
      <c r="R44" s="30">
        <v>6847640</v>
      </c>
      <c r="S44" s="30">
        <v>97440280</v>
      </c>
      <c r="T44" s="30">
        <v>49528</v>
      </c>
      <c r="U44" s="59">
        <v>80.846575799999997</v>
      </c>
      <c r="V44" s="59">
        <v>83.642658999999995</v>
      </c>
      <c r="W44" s="59">
        <v>34.932203100000002</v>
      </c>
      <c r="X44" s="59">
        <v>43.129460299999998</v>
      </c>
      <c r="Y44" s="59">
        <v>43.723371100000001</v>
      </c>
      <c r="Z44" s="59">
        <v>53.091126799999998</v>
      </c>
      <c r="AA44" s="59">
        <v>34.381243599999998</v>
      </c>
      <c r="AB44" s="31">
        <v>47451.953984</v>
      </c>
      <c r="AC44" s="31">
        <v>217.91283999999999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12.253976083867373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9.0054176323277115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9.2388616681979663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9.9342792631477543</v>
      </c>
      <c r="L48" s="42"/>
      <c r="M48" s="42"/>
      <c r="AF48" s="42" t="e">
        <f>AVERAGE(AF5:AF44)</f>
        <v>#DIV/0!</v>
      </c>
      <c r="AG48" s="42"/>
      <c r="AH48" s="42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1939802.1564459999</v>
      </c>
      <c r="AC49" s="43">
        <f>SUM(AC5:AC14,AC15:AC24,AC25:AC44)</f>
        <v>10268.470759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-22725696</v>
      </c>
      <c r="AJ54" s="88">
        <f t="shared" ref="AJ54:AJ93" si="23">AJ5-O5</f>
        <v>-41858304</v>
      </c>
      <c r="AK54" s="88">
        <f t="shared" ref="AK54:AK93" si="24">AK5-P5</f>
        <v>-8005224</v>
      </c>
      <c r="AL54" s="88">
        <f t="shared" ref="AL54:AL93" si="25">AL5-Q5</f>
        <v>0</v>
      </c>
      <c r="AM54" s="88">
        <f t="shared" ref="AM54:AM93" si="26">AM5-R5</f>
        <v>-6122912</v>
      </c>
      <c r="AN54" s="88">
        <f t="shared" ref="AN54:AN93" si="27">AN5-S5</f>
        <v>-27676880</v>
      </c>
      <c r="AO54" s="88">
        <f t="shared" ref="AO54:AO93" si="28">AO5-T5</f>
        <v>-53288</v>
      </c>
      <c r="AP54" s="88">
        <f t="shared" ref="AP54:AP93" si="29">AP5-U5</f>
        <v>-68.275727000000003</v>
      </c>
      <c r="AQ54" s="89">
        <f t="shared" ref="AQ54:AQ93" si="30">AQ5-V5</f>
        <v>-69.273973699999999</v>
      </c>
      <c r="AR54" s="89">
        <f t="shared" ref="AR54:AR93" si="31">AR5-W5</f>
        <v>-27.833286399999999</v>
      </c>
      <c r="AS54" s="89">
        <f t="shared" ref="AS54:AS93" si="32">AS5-X5</f>
        <v>-33.4783884</v>
      </c>
      <c r="AT54" s="89">
        <f t="shared" ref="AT54:AT93" si="33">AT5-Y5</f>
        <v>-32.863341699999999</v>
      </c>
      <c r="AU54" s="89">
        <f t="shared" ref="AU54:AU93" si="34">AU5-Z5</f>
        <v>-47.847315000000002</v>
      </c>
      <c r="AV54" s="90">
        <f t="shared" ref="AV54:AV93" si="35">AV5-AA5</f>
        <v>-26.589080299999999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-22725696</v>
      </c>
      <c r="AJ55" s="91">
        <f t="shared" si="23"/>
        <v>-85226000</v>
      </c>
      <c r="AK55" s="91">
        <f t="shared" si="24"/>
        <v>-8005224</v>
      </c>
      <c r="AL55" s="91">
        <f t="shared" si="25"/>
        <v>0</v>
      </c>
      <c r="AM55" s="91">
        <f t="shared" si="26"/>
        <v>-10796464</v>
      </c>
      <c r="AN55" s="91">
        <f t="shared" si="27"/>
        <v>-66371024</v>
      </c>
      <c r="AO55" s="91">
        <f t="shared" si="28"/>
        <v>-53288</v>
      </c>
      <c r="AP55" s="91">
        <f t="shared" si="29"/>
        <v>-69.848750600000002</v>
      </c>
      <c r="AQ55" s="92">
        <f t="shared" si="30"/>
        <v>-71.018388000000002</v>
      </c>
      <c r="AR55" s="92">
        <f t="shared" si="31"/>
        <v>-31.070649299999999</v>
      </c>
      <c r="AS55" s="92">
        <f t="shared" si="32"/>
        <v>-34.6786648</v>
      </c>
      <c r="AT55" s="92">
        <f t="shared" si="33"/>
        <v>-34.188760199999997</v>
      </c>
      <c r="AU55" s="92">
        <f t="shared" si="34"/>
        <v>-48.723240599999997</v>
      </c>
      <c r="AV55" s="93">
        <f t="shared" si="35"/>
        <v>-28.702403700000001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-45556032</v>
      </c>
      <c r="AJ56" s="91">
        <f t="shared" si="23"/>
        <v>-117200976</v>
      </c>
      <c r="AK56" s="91">
        <f t="shared" si="24"/>
        <v>-12465016</v>
      </c>
      <c r="AL56" s="91">
        <f t="shared" si="25"/>
        <v>0</v>
      </c>
      <c r="AM56" s="91">
        <f t="shared" si="26"/>
        <v>-10521680</v>
      </c>
      <c r="AN56" s="91">
        <f t="shared" si="27"/>
        <v>-94161272</v>
      </c>
      <c r="AO56" s="91">
        <f t="shared" si="28"/>
        <v>-53008</v>
      </c>
      <c r="AP56" s="91">
        <f t="shared" si="29"/>
        <v>-72.289744900000002</v>
      </c>
      <c r="AQ56" s="92">
        <f t="shared" si="30"/>
        <v>-73.8349707</v>
      </c>
      <c r="AR56" s="92">
        <f t="shared" si="31"/>
        <v>-32.276144199999997</v>
      </c>
      <c r="AS56" s="92">
        <f t="shared" si="32"/>
        <v>-36.403483000000001</v>
      </c>
      <c r="AT56" s="92">
        <f t="shared" si="33"/>
        <v>-36.136976300000001</v>
      </c>
      <c r="AU56" s="92">
        <f t="shared" si="34"/>
        <v>-49.958850400000003</v>
      </c>
      <c r="AV56" s="93">
        <f t="shared" si="35"/>
        <v>-30.217757500000001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-91604096</v>
      </c>
      <c r="AJ57" s="91">
        <f t="shared" si="23"/>
        <v>-147677440</v>
      </c>
      <c r="AK57" s="91">
        <f t="shared" si="24"/>
        <v>-20319872</v>
      </c>
      <c r="AL57" s="91">
        <f t="shared" si="25"/>
        <v>0</v>
      </c>
      <c r="AM57" s="91">
        <f t="shared" si="26"/>
        <v>-9130944</v>
      </c>
      <c r="AN57" s="91">
        <f t="shared" si="27"/>
        <v>-118173568</v>
      </c>
      <c r="AO57" s="91">
        <f t="shared" si="28"/>
        <v>-53056</v>
      </c>
      <c r="AP57" s="91">
        <f t="shared" si="29"/>
        <v>-73.1766425</v>
      </c>
      <c r="AQ57" s="92">
        <f t="shared" si="30"/>
        <v>-74.859253300000006</v>
      </c>
      <c r="AR57" s="92">
        <f t="shared" si="31"/>
        <v>-33.235961799999998</v>
      </c>
      <c r="AS57" s="92">
        <f t="shared" si="32"/>
        <v>-36.949134000000001</v>
      </c>
      <c r="AT57" s="92">
        <f t="shared" si="33"/>
        <v>-36.675849900000003</v>
      </c>
      <c r="AU57" s="92">
        <f t="shared" si="34"/>
        <v>-50.679596699999998</v>
      </c>
      <c r="AV57" s="93">
        <f t="shared" si="35"/>
        <v>-30.985349500000002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-91604096</v>
      </c>
      <c r="AJ58" s="91">
        <f t="shared" si="23"/>
        <v>-223128208</v>
      </c>
      <c r="AK58" s="91">
        <f t="shared" si="24"/>
        <v>-20319872</v>
      </c>
      <c r="AL58" s="91">
        <f t="shared" si="25"/>
        <v>0</v>
      </c>
      <c r="AM58" s="91">
        <f t="shared" si="26"/>
        <v>-16423272</v>
      </c>
      <c r="AN58" s="91">
        <f t="shared" si="27"/>
        <v>-186332008</v>
      </c>
      <c r="AO58" s="91">
        <f t="shared" si="28"/>
        <v>-53056</v>
      </c>
      <c r="AP58" s="91">
        <f t="shared" si="29"/>
        <v>-74.8687635</v>
      </c>
      <c r="AQ58" s="92">
        <f t="shared" si="30"/>
        <v>-76.829963500000005</v>
      </c>
      <c r="AR58" s="92">
        <f t="shared" si="31"/>
        <v>-34.883310199999997</v>
      </c>
      <c r="AS58" s="92">
        <f t="shared" si="32"/>
        <v>-38.505768099999997</v>
      </c>
      <c r="AT58" s="92">
        <f t="shared" si="33"/>
        <v>-38.2021005</v>
      </c>
      <c r="AU58" s="92">
        <f t="shared" si="34"/>
        <v>-51.581727999999998</v>
      </c>
      <c r="AV58" s="93">
        <f t="shared" si="35"/>
        <v>-32.376285500000002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-5600912</v>
      </c>
      <c r="AJ59" s="91">
        <f t="shared" si="23"/>
        <v>-50142264</v>
      </c>
      <c r="AK59" s="91">
        <f t="shared" si="24"/>
        <v>-1235992</v>
      </c>
      <c r="AL59" s="91">
        <f t="shared" si="25"/>
        <v>-1175920</v>
      </c>
      <c r="AM59" s="91">
        <f t="shared" si="26"/>
        <v>-7849208</v>
      </c>
      <c r="AN59" s="91">
        <f t="shared" si="27"/>
        <v>-39838520</v>
      </c>
      <c r="AO59" s="91">
        <f t="shared" si="28"/>
        <v>-42624</v>
      </c>
      <c r="AP59" s="91">
        <f t="shared" si="29"/>
        <v>-63.959860599999999</v>
      </c>
      <c r="AQ59" s="92">
        <f t="shared" si="30"/>
        <v>-64.550441300000003</v>
      </c>
      <c r="AR59" s="92">
        <f t="shared" si="31"/>
        <v>-35.1861745</v>
      </c>
      <c r="AS59" s="92">
        <f t="shared" si="32"/>
        <v>-46.737936400000002</v>
      </c>
      <c r="AT59" s="92">
        <f t="shared" si="33"/>
        <v>-47.241604000000002</v>
      </c>
      <c r="AU59" s="92">
        <f t="shared" si="34"/>
        <v>-43.412145500000001</v>
      </c>
      <c r="AV59" s="93">
        <f t="shared" si="35"/>
        <v>-30.047520200000001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-11334992</v>
      </c>
      <c r="AJ60" s="91">
        <f t="shared" si="23"/>
        <v>-95343208</v>
      </c>
      <c r="AK60" s="91">
        <f t="shared" si="24"/>
        <v>-5065856</v>
      </c>
      <c r="AL60" s="91">
        <f t="shared" si="25"/>
        <v>-715040</v>
      </c>
      <c r="AM60" s="91">
        <f t="shared" si="26"/>
        <v>-16056560</v>
      </c>
      <c r="AN60" s="91">
        <f t="shared" si="27"/>
        <v>-73459728</v>
      </c>
      <c r="AO60" s="91">
        <f t="shared" si="28"/>
        <v>-46024</v>
      </c>
      <c r="AP60" s="91">
        <f t="shared" si="29"/>
        <v>-69.669221899999997</v>
      </c>
      <c r="AQ60" s="92">
        <f t="shared" si="30"/>
        <v>-70.891032499999994</v>
      </c>
      <c r="AR60" s="92">
        <f t="shared" si="31"/>
        <v>-37.322697300000002</v>
      </c>
      <c r="AS60" s="92">
        <f t="shared" si="32"/>
        <v>-47.478973500000002</v>
      </c>
      <c r="AT60" s="92">
        <f t="shared" si="33"/>
        <v>-48.0799089</v>
      </c>
      <c r="AU60" s="92">
        <f t="shared" si="34"/>
        <v>-46.546056700000001</v>
      </c>
      <c r="AV60" s="93">
        <f t="shared" si="35"/>
        <v>-33.264581900000003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-11334992</v>
      </c>
      <c r="AJ61" s="91">
        <f t="shared" si="23"/>
        <v>-121874832</v>
      </c>
      <c r="AK61" s="91">
        <f t="shared" si="24"/>
        <v>-5475656</v>
      </c>
      <c r="AL61" s="91">
        <f t="shared" si="25"/>
        <v>-1347800</v>
      </c>
      <c r="AM61" s="91">
        <f t="shared" si="26"/>
        <v>-16877448</v>
      </c>
      <c r="AN61" s="91">
        <f t="shared" si="27"/>
        <v>-98127904</v>
      </c>
      <c r="AO61" s="91">
        <f t="shared" si="28"/>
        <v>-46024</v>
      </c>
      <c r="AP61" s="91">
        <f t="shared" si="29"/>
        <v>-69.741307500000005</v>
      </c>
      <c r="AQ61" s="92">
        <f t="shared" si="30"/>
        <v>-70.970520100000002</v>
      </c>
      <c r="AR61" s="92">
        <f t="shared" si="31"/>
        <v>-37.977927600000001</v>
      </c>
      <c r="AS61" s="92">
        <f t="shared" si="32"/>
        <v>-47.812651500000001</v>
      </c>
      <c r="AT61" s="92">
        <f t="shared" si="33"/>
        <v>-48.427833200000002</v>
      </c>
      <c r="AU61" s="92">
        <f t="shared" si="34"/>
        <v>-46.5646676</v>
      </c>
      <c r="AV61" s="93">
        <f t="shared" si="35"/>
        <v>-33.494094500000003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-11334992</v>
      </c>
      <c r="AJ62" s="91">
        <f t="shared" si="23"/>
        <v>-157203656</v>
      </c>
      <c r="AK62" s="91">
        <f t="shared" si="24"/>
        <v>-5475656</v>
      </c>
      <c r="AL62" s="91">
        <f t="shared" si="25"/>
        <v>-1347800</v>
      </c>
      <c r="AM62" s="91">
        <f t="shared" si="26"/>
        <v>-16877448</v>
      </c>
      <c r="AN62" s="91">
        <f t="shared" si="27"/>
        <v>-133456728</v>
      </c>
      <c r="AO62" s="91">
        <f t="shared" si="28"/>
        <v>-46024</v>
      </c>
      <c r="AP62" s="91">
        <f t="shared" si="29"/>
        <v>-69.741307500000005</v>
      </c>
      <c r="AQ62" s="92">
        <f t="shared" si="30"/>
        <v>-70.970520100000002</v>
      </c>
      <c r="AR62" s="92">
        <f t="shared" si="31"/>
        <v>-38.508439199999998</v>
      </c>
      <c r="AS62" s="92">
        <f t="shared" si="32"/>
        <v>-48.529692900000001</v>
      </c>
      <c r="AT62" s="92">
        <f t="shared" si="33"/>
        <v>-49.172558299999999</v>
      </c>
      <c r="AU62" s="92">
        <f t="shared" si="34"/>
        <v>-46.5646676</v>
      </c>
      <c r="AV62" s="93">
        <f t="shared" si="35"/>
        <v>-33.635736299999998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-22859728</v>
      </c>
      <c r="AJ63" s="91">
        <f t="shared" si="23"/>
        <v>-216877256</v>
      </c>
      <c r="AK63" s="91">
        <f t="shared" si="24"/>
        <v>-17155224</v>
      </c>
      <c r="AL63" s="91">
        <f t="shared" si="25"/>
        <v>-1174152</v>
      </c>
      <c r="AM63" s="91">
        <f t="shared" si="26"/>
        <v>-30121616</v>
      </c>
      <c r="AN63" s="91">
        <f t="shared" si="27"/>
        <v>-168376944</v>
      </c>
      <c r="AO63" s="91">
        <f t="shared" si="28"/>
        <v>-49320</v>
      </c>
      <c r="AP63" s="91">
        <f t="shared" si="29"/>
        <v>-73.897161800000006</v>
      </c>
      <c r="AQ63" s="92">
        <f t="shared" si="30"/>
        <v>-75.816325500000005</v>
      </c>
      <c r="AR63" s="92">
        <f t="shared" si="31"/>
        <v>-39.2847066</v>
      </c>
      <c r="AS63" s="92">
        <f t="shared" si="32"/>
        <v>-48.548770400000002</v>
      </c>
      <c r="AT63" s="92">
        <f t="shared" si="33"/>
        <v>-49.218477</v>
      </c>
      <c r="AU63" s="92">
        <f t="shared" si="34"/>
        <v>-49.007581399999999</v>
      </c>
      <c r="AV63" s="93">
        <f t="shared" si="35"/>
        <v>-35.916703800000001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-22706944</v>
      </c>
      <c r="AJ64" s="91">
        <f t="shared" si="23"/>
        <v>-31071800</v>
      </c>
      <c r="AK64" s="91">
        <f t="shared" si="24"/>
        <v>-6608032</v>
      </c>
      <c r="AL64" s="91">
        <f t="shared" si="25"/>
        <v>0</v>
      </c>
      <c r="AM64" s="91">
        <f t="shared" si="26"/>
        <v>-5393968</v>
      </c>
      <c r="AN64" s="91">
        <f t="shared" si="27"/>
        <v>-19019464</v>
      </c>
      <c r="AO64" s="91">
        <f t="shared" si="28"/>
        <v>-50336</v>
      </c>
      <c r="AP64" s="91">
        <f t="shared" si="29"/>
        <v>-70.718938800000004</v>
      </c>
      <c r="AQ64" s="92">
        <f t="shared" si="30"/>
        <v>-72.021186200000002</v>
      </c>
      <c r="AR64" s="92">
        <f t="shared" si="31"/>
        <v>-35.677519099999998</v>
      </c>
      <c r="AS64" s="92">
        <f t="shared" si="32"/>
        <v>-43.309228900000001</v>
      </c>
      <c r="AT64" s="92">
        <f t="shared" si="33"/>
        <v>-45.103541999999997</v>
      </c>
      <c r="AU64" s="92">
        <f t="shared" si="34"/>
        <v>-45.262974200000002</v>
      </c>
      <c r="AV64" s="93">
        <f t="shared" si="35"/>
        <v>-32.3428003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-22706944</v>
      </c>
      <c r="AJ65" s="91">
        <f t="shared" si="23"/>
        <v>-51411072</v>
      </c>
      <c r="AK65" s="91">
        <f t="shared" si="24"/>
        <v>-7187624</v>
      </c>
      <c r="AL65" s="91">
        <f t="shared" si="25"/>
        <v>0</v>
      </c>
      <c r="AM65" s="91">
        <f t="shared" si="26"/>
        <v>-8099512</v>
      </c>
      <c r="AN65" s="91">
        <f t="shared" si="27"/>
        <v>-36073600</v>
      </c>
      <c r="AO65" s="91">
        <f t="shared" si="28"/>
        <v>-50336</v>
      </c>
      <c r="AP65" s="91">
        <f t="shared" si="29"/>
        <v>-72.330683699999994</v>
      </c>
      <c r="AQ65" s="92">
        <f t="shared" si="30"/>
        <v>-73.8060598</v>
      </c>
      <c r="AR65" s="92">
        <f t="shared" si="31"/>
        <v>-38.463403599999999</v>
      </c>
      <c r="AS65" s="92">
        <f t="shared" si="32"/>
        <v>-43.935251200000003</v>
      </c>
      <c r="AT65" s="92">
        <f t="shared" si="33"/>
        <v>-46.358117300000004</v>
      </c>
      <c r="AU65" s="92">
        <f t="shared" si="34"/>
        <v>-46.150093900000002</v>
      </c>
      <c r="AV65" s="93">
        <f t="shared" si="35"/>
        <v>-33.999183199999997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-45429504</v>
      </c>
      <c r="AJ66" s="91">
        <f t="shared" si="23"/>
        <v>-100399304</v>
      </c>
      <c r="AK66" s="91">
        <f t="shared" si="24"/>
        <v>-12024536</v>
      </c>
      <c r="AL66" s="91">
        <f t="shared" si="25"/>
        <v>0</v>
      </c>
      <c r="AM66" s="91">
        <f t="shared" si="26"/>
        <v>-18200792</v>
      </c>
      <c r="AN66" s="91">
        <f t="shared" si="27"/>
        <v>-70122736</v>
      </c>
      <c r="AO66" s="91">
        <f t="shared" si="28"/>
        <v>-51240</v>
      </c>
      <c r="AP66" s="91">
        <f t="shared" si="29"/>
        <v>-77.378353599999997</v>
      </c>
      <c r="AQ66" s="92">
        <f t="shared" si="30"/>
        <v>-79.647094999999993</v>
      </c>
      <c r="AR66" s="92">
        <f t="shared" si="31"/>
        <v>-41.159374300000003</v>
      </c>
      <c r="AS66" s="92">
        <f t="shared" si="32"/>
        <v>-44.805216799999997</v>
      </c>
      <c r="AT66" s="92">
        <f t="shared" si="33"/>
        <v>-48.034359899999998</v>
      </c>
      <c r="AU66" s="92">
        <f t="shared" si="34"/>
        <v>-48.846992100000001</v>
      </c>
      <c r="AV66" s="93">
        <f t="shared" si="35"/>
        <v>-37.207588899999998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-90872832</v>
      </c>
      <c r="AJ67" s="91">
        <f t="shared" si="23"/>
        <v>-141959200</v>
      </c>
      <c r="AK67" s="91">
        <f t="shared" si="24"/>
        <v>-20640312</v>
      </c>
      <c r="AL67" s="91">
        <f t="shared" si="25"/>
        <v>0</v>
      </c>
      <c r="AM67" s="91">
        <f t="shared" si="26"/>
        <v>-19675160</v>
      </c>
      <c r="AN67" s="91">
        <f t="shared" si="27"/>
        <v>-101591080</v>
      </c>
      <c r="AO67" s="91">
        <f t="shared" si="28"/>
        <v>-52648</v>
      </c>
      <c r="AP67" s="91">
        <f t="shared" si="29"/>
        <v>-78.946957400000002</v>
      </c>
      <c r="AQ67" s="92">
        <f t="shared" si="30"/>
        <v>-81.669782699999999</v>
      </c>
      <c r="AR67" s="92">
        <f t="shared" si="31"/>
        <v>-42.193310500000003</v>
      </c>
      <c r="AS67" s="92">
        <f t="shared" si="32"/>
        <v>-45.501038399999999</v>
      </c>
      <c r="AT67" s="92">
        <f t="shared" si="33"/>
        <v>-49.1884783</v>
      </c>
      <c r="AU67" s="92">
        <f t="shared" si="34"/>
        <v>-49.904045199999999</v>
      </c>
      <c r="AV67" s="93">
        <f t="shared" si="35"/>
        <v>-38.376597699999998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-90872832</v>
      </c>
      <c r="AJ68" s="91">
        <f t="shared" si="23"/>
        <v>-211018080</v>
      </c>
      <c r="AK68" s="91">
        <f t="shared" si="24"/>
        <v>-20640312</v>
      </c>
      <c r="AL68" s="91">
        <f t="shared" si="25"/>
        <v>0</v>
      </c>
      <c r="AM68" s="91">
        <f t="shared" si="26"/>
        <v>-21999912</v>
      </c>
      <c r="AN68" s="91">
        <f t="shared" si="27"/>
        <v>-168325208</v>
      </c>
      <c r="AO68" s="91">
        <f t="shared" si="28"/>
        <v>-52648</v>
      </c>
      <c r="AP68" s="91">
        <f t="shared" si="29"/>
        <v>-79.324033700000001</v>
      </c>
      <c r="AQ68" s="92">
        <f t="shared" si="30"/>
        <v>-82.182234300000005</v>
      </c>
      <c r="AR68" s="92">
        <f t="shared" si="31"/>
        <v>-43.241498200000002</v>
      </c>
      <c r="AS68" s="92">
        <f t="shared" si="32"/>
        <v>-46.450886500000003</v>
      </c>
      <c r="AT68" s="92">
        <f t="shared" si="33"/>
        <v>-50.469091300000002</v>
      </c>
      <c r="AU68" s="92">
        <f t="shared" si="34"/>
        <v>-50.126721699999997</v>
      </c>
      <c r="AV68" s="93">
        <f t="shared" si="35"/>
        <v>-38.943195500000002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-22662720</v>
      </c>
      <c r="AJ69" s="91">
        <f t="shared" si="23"/>
        <v>-29685264</v>
      </c>
      <c r="AK69" s="91">
        <f t="shared" si="24"/>
        <v>-6455352</v>
      </c>
      <c r="AL69" s="91">
        <f t="shared" si="25"/>
        <v>0</v>
      </c>
      <c r="AM69" s="91">
        <f t="shared" si="26"/>
        <v>-5056192</v>
      </c>
      <c r="AN69" s="91">
        <f t="shared" si="27"/>
        <v>-18123424</v>
      </c>
      <c r="AO69" s="91">
        <f t="shared" si="28"/>
        <v>-50296</v>
      </c>
      <c r="AP69" s="91">
        <f t="shared" si="29"/>
        <v>-70.980242200000006</v>
      </c>
      <c r="AQ69" s="92">
        <f t="shared" si="30"/>
        <v>-72.332693599999999</v>
      </c>
      <c r="AR69" s="92">
        <f t="shared" si="31"/>
        <v>-34.574706399999997</v>
      </c>
      <c r="AS69" s="92">
        <f t="shared" si="32"/>
        <v>-42.774623300000002</v>
      </c>
      <c r="AT69" s="92">
        <f t="shared" si="33"/>
        <v>-44.133561700000001</v>
      </c>
      <c r="AU69" s="92">
        <f t="shared" si="34"/>
        <v>-46.300672400000003</v>
      </c>
      <c r="AV69" s="93">
        <f t="shared" si="35"/>
        <v>-31.468105699999999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-22662720</v>
      </c>
      <c r="AJ70" s="91">
        <f t="shared" si="23"/>
        <v>-49779808</v>
      </c>
      <c r="AK70" s="91">
        <f t="shared" si="24"/>
        <v>-7025896</v>
      </c>
      <c r="AL70" s="91">
        <f t="shared" si="25"/>
        <v>0</v>
      </c>
      <c r="AM70" s="91">
        <f t="shared" si="26"/>
        <v>-5585208</v>
      </c>
      <c r="AN70" s="91">
        <f t="shared" si="27"/>
        <v>-37118328</v>
      </c>
      <c r="AO70" s="91">
        <f t="shared" si="28"/>
        <v>-50376</v>
      </c>
      <c r="AP70" s="91">
        <f t="shared" si="29"/>
        <v>-71.439026799999994</v>
      </c>
      <c r="AQ70" s="92">
        <f t="shared" si="30"/>
        <v>-72.842425700000007</v>
      </c>
      <c r="AR70" s="92">
        <f t="shared" si="31"/>
        <v>-37.377462199999997</v>
      </c>
      <c r="AS70" s="92">
        <f t="shared" si="32"/>
        <v>-43.9521163</v>
      </c>
      <c r="AT70" s="92">
        <f t="shared" si="33"/>
        <v>-45.991829000000003</v>
      </c>
      <c r="AU70" s="92">
        <f t="shared" si="34"/>
        <v>-46.556418100000002</v>
      </c>
      <c r="AV70" s="93">
        <f t="shared" si="35"/>
        <v>-32.706097100000001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-45333632</v>
      </c>
      <c r="AJ71" s="91">
        <f t="shared" si="23"/>
        <v>-100179792</v>
      </c>
      <c r="AK71" s="91">
        <f t="shared" si="24"/>
        <v>-10702888</v>
      </c>
      <c r="AL71" s="91">
        <f t="shared" si="25"/>
        <v>0</v>
      </c>
      <c r="AM71" s="91">
        <f t="shared" si="26"/>
        <v>-17438128</v>
      </c>
      <c r="AN71" s="91">
        <f t="shared" si="27"/>
        <v>-71987440</v>
      </c>
      <c r="AO71" s="91">
        <f t="shared" si="28"/>
        <v>-51336</v>
      </c>
      <c r="AP71" s="91">
        <f t="shared" si="29"/>
        <v>-77.400720000000007</v>
      </c>
      <c r="AQ71" s="92">
        <f t="shared" si="30"/>
        <v>-79.785985699999998</v>
      </c>
      <c r="AR71" s="92">
        <f t="shared" si="31"/>
        <v>-40.382721699999998</v>
      </c>
      <c r="AS71" s="92">
        <f t="shared" si="32"/>
        <v>-45.194178899999997</v>
      </c>
      <c r="AT71" s="92">
        <f t="shared" si="33"/>
        <v>-48.086500999999998</v>
      </c>
      <c r="AU71" s="92">
        <f t="shared" si="34"/>
        <v>-49.700312599999997</v>
      </c>
      <c r="AV71" s="93">
        <f t="shared" si="35"/>
        <v>-36.492410300000003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-90678336</v>
      </c>
      <c r="AJ72" s="91">
        <f t="shared" si="23"/>
        <v>-140903072</v>
      </c>
      <c r="AK72" s="91">
        <f t="shared" si="24"/>
        <v>-22494568</v>
      </c>
      <c r="AL72" s="91">
        <f t="shared" si="25"/>
        <v>0</v>
      </c>
      <c r="AM72" s="91">
        <f t="shared" si="26"/>
        <v>-16228048</v>
      </c>
      <c r="AN72" s="91">
        <f t="shared" si="27"/>
        <v>-102127912</v>
      </c>
      <c r="AO72" s="91">
        <f t="shared" si="28"/>
        <v>-52544</v>
      </c>
      <c r="AP72" s="91">
        <f t="shared" si="29"/>
        <v>-78.654663200000002</v>
      </c>
      <c r="AQ72" s="92">
        <f t="shared" si="30"/>
        <v>-81.410769700000003</v>
      </c>
      <c r="AR72" s="92">
        <f t="shared" si="31"/>
        <v>-41.469273800000003</v>
      </c>
      <c r="AS72" s="92">
        <f t="shared" si="32"/>
        <v>-45.724676000000002</v>
      </c>
      <c r="AT72" s="92">
        <f t="shared" si="33"/>
        <v>-48.830521099999999</v>
      </c>
      <c r="AU72" s="92">
        <f t="shared" si="34"/>
        <v>-50.748803700000003</v>
      </c>
      <c r="AV72" s="93">
        <f t="shared" si="35"/>
        <v>-37.557549000000002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-90678336</v>
      </c>
      <c r="AJ73" s="91">
        <f t="shared" si="23"/>
        <v>-208674184</v>
      </c>
      <c r="AK73" s="91">
        <f t="shared" si="24"/>
        <v>-20303168</v>
      </c>
      <c r="AL73" s="91">
        <f t="shared" si="25"/>
        <v>0</v>
      </c>
      <c r="AM73" s="91">
        <f t="shared" si="26"/>
        <v>-20711048</v>
      </c>
      <c r="AN73" s="91">
        <f t="shared" si="27"/>
        <v>-167607424</v>
      </c>
      <c r="AO73" s="91">
        <f t="shared" si="28"/>
        <v>-52544</v>
      </c>
      <c r="AP73" s="91">
        <f t="shared" si="29"/>
        <v>-79.380622700000004</v>
      </c>
      <c r="AQ73" s="92">
        <f t="shared" si="30"/>
        <v>-82.437371499999998</v>
      </c>
      <c r="AR73" s="92">
        <f t="shared" si="31"/>
        <v>-42.484262299999997</v>
      </c>
      <c r="AS73" s="92">
        <f t="shared" si="32"/>
        <v>-46.796408399999997</v>
      </c>
      <c r="AT73" s="92">
        <f t="shared" si="33"/>
        <v>-50.182545500000003</v>
      </c>
      <c r="AU73" s="92">
        <f t="shared" si="34"/>
        <v>-51.133430199999999</v>
      </c>
      <c r="AV73" s="93">
        <f t="shared" si="35"/>
        <v>-38.318524699999998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-42155448</v>
      </c>
      <c r="AK74" s="91">
        <f t="shared" si="24"/>
        <v>-6404696</v>
      </c>
      <c r="AL74" s="91">
        <f t="shared" si="25"/>
        <v>0</v>
      </c>
      <c r="AM74" s="91">
        <f t="shared" si="26"/>
        <v>-5016120</v>
      </c>
      <c r="AN74" s="91">
        <f t="shared" si="27"/>
        <v>-30686536</v>
      </c>
      <c r="AO74" s="91">
        <f t="shared" si="28"/>
        <v>-48096</v>
      </c>
      <c r="AP74" s="91">
        <f t="shared" si="29"/>
        <v>-73.192573600000003</v>
      </c>
      <c r="AQ74" s="92">
        <f t="shared" si="30"/>
        <v>-74.916504000000003</v>
      </c>
      <c r="AR74" s="92">
        <f t="shared" si="31"/>
        <v>-31.056350699999999</v>
      </c>
      <c r="AS74" s="92">
        <f t="shared" si="32"/>
        <v>-39.916843200000002</v>
      </c>
      <c r="AT74" s="92">
        <f t="shared" si="33"/>
        <v>-36.595318499999998</v>
      </c>
      <c r="AU74" s="92">
        <f t="shared" si="34"/>
        <v>-44.799953899999998</v>
      </c>
      <c r="AV74" s="93">
        <f t="shared" si="35"/>
        <v>-27.955214000000002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-83142520</v>
      </c>
      <c r="AK75" s="91">
        <f t="shared" si="24"/>
        <v>-10720296</v>
      </c>
      <c r="AL75" s="91">
        <f t="shared" si="25"/>
        <v>0</v>
      </c>
      <c r="AM75" s="91">
        <f t="shared" si="26"/>
        <v>-8008640</v>
      </c>
      <c r="AN75" s="91">
        <f t="shared" si="27"/>
        <v>-64365584</v>
      </c>
      <c r="AO75" s="91">
        <f t="shared" si="28"/>
        <v>-48000</v>
      </c>
      <c r="AP75" s="91">
        <f t="shared" si="29"/>
        <v>-76.613840999999994</v>
      </c>
      <c r="AQ75" s="92">
        <f t="shared" si="30"/>
        <v>-78.892491500000006</v>
      </c>
      <c r="AR75" s="92">
        <f t="shared" si="31"/>
        <v>-33.4362548</v>
      </c>
      <c r="AS75" s="92">
        <f t="shared" si="32"/>
        <v>-41.8237746</v>
      </c>
      <c r="AT75" s="92">
        <f t="shared" si="33"/>
        <v>-39.4409803</v>
      </c>
      <c r="AU75" s="92">
        <f t="shared" si="34"/>
        <v>-46.460173900000001</v>
      </c>
      <c r="AV75" s="93">
        <f t="shared" si="35"/>
        <v>-30.694327699999999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-122183992</v>
      </c>
      <c r="AK76" s="91">
        <f t="shared" si="24"/>
        <v>-20260304</v>
      </c>
      <c r="AL76" s="91">
        <f t="shared" si="25"/>
        <v>0</v>
      </c>
      <c r="AM76" s="91">
        <f t="shared" si="26"/>
        <v>-7566184</v>
      </c>
      <c r="AN76" s="91">
        <f t="shared" si="27"/>
        <v>-94309544</v>
      </c>
      <c r="AO76" s="91">
        <f t="shared" si="28"/>
        <v>-47960</v>
      </c>
      <c r="AP76" s="91">
        <f t="shared" si="29"/>
        <v>-78.4513879</v>
      </c>
      <c r="AQ76" s="92">
        <f t="shared" si="30"/>
        <v>-81.144647699999993</v>
      </c>
      <c r="AR76" s="92">
        <f t="shared" si="31"/>
        <v>-34.500007099999998</v>
      </c>
      <c r="AS76" s="92">
        <f t="shared" si="32"/>
        <v>-43.188624699999998</v>
      </c>
      <c r="AT76" s="92">
        <f t="shared" si="33"/>
        <v>-41.240663099999999</v>
      </c>
      <c r="AU76" s="92">
        <f t="shared" si="34"/>
        <v>-47.908385199999998</v>
      </c>
      <c r="AV76" s="93">
        <f t="shared" si="35"/>
        <v>-32.038738299999999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-172802960</v>
      </c>
      <c r="AK77" s="91">
        <f t="shared" si="24"/>
        <v>-39527832</v>
      </c>
      <c r="AL77" s="91">
        <f t="shared" si="25"/>
        <v>0</v>
      </c>
      <c r="AM77" s="91">
        <f t="shared" si="26"/>
        <v>-5977104</v>
      </c>
      <c r="AN77" s="91">
        <f t="shared" si="27"/>
        <v>-127250448</v>
      </c>
      <c r="AO77" s="91">
        <f t="shared" si="28"/>
        <v>-47576</v>
      </c>
      <c r="AP77" s="91">
        <f t="shared" si="29"/>
        <v>-80.306608600000004</v>
      </c>
      <c r="AQ77" s="92">
        <f t="shared" si="30"/>
        <v>-83.621289300000001</v>
      </c>
      <c r="AR77" s="92">
        <f t="shared" si="31"/>
        <v>-35.317871799999999</v>
      </c>
      <c r="AS77" s="92">
        <f t="shared" si="32"/>
        <v>-43.541873299999999</v>
      </c>
      <c r="AT77" s="92">
        <f t="shared" si="33"/>
        <v>-41.741081299999998</v>
      </c>
      <c r="AU77" s="92">
        <f t="shared" si="34"/>
        <v>-49.599159200000003</v>
      </c>
      <c r="AV77" s="93">
        <f t="shared" si="35"/>
        <v>-33.263449299999998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-138237904</v>
      </c>
      <c r="AJ78" s="91">
        <f t="shared" si="23"/>
        <v>-254650784</v>
      </c>
      <c r="AK78" s="91">
        <f t="shared" si="24"/>
        <v>-85444624</v>
      </c>
      <c r="AL78" s="91">
        <f t="shared" si="25"/>
        <v>0</v>
      </c>
      <c r="AM78" s="91">
        <f t="shared" si="26"/>
        <v>-7726472</v>
      </c>
      <c r="AN78" s="91">
        <f t="shared" si="27"/>
        <v>-161433504</v>
      </c>
      <c r="AO78" s="91">
        <f t="shared" si="28"/>
        <v>-46184</v>
      </c>
      <c r="AP78" s="91">
        <f t="shared" si="29"/>
        <v>-84.882569099999998</v>
      </c>
      <c r="AQ78" s="92">
        <f t="shared" si="30"/>
        <v>-90.099770899999996</v>
      </c>
      <c r="AR78" s="92">
        <f t="shared" si="31"/>
        <v>-36.064513900000001</v>
      </c>
      <c r="AS78" s="92">
        <f t="shared" si="32"/>
        <v>-43.881551799999997</v>
      </c>
      <c r="AT78" s="92">
        <f t="shared" si="33"/>
        <v>-42.224532600000003</v>
      </c>
      <c r="AU78" s="92">
        <f t="shared" si="34"/>
        <v>-53.017958299999997</v>
      </c>
      <c r="AV78" s="93">
        <f t="shared" si="35"/>
        <v>-35.144566099999999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-11256640</v>
      </c>
      <c r="AJ79" s="91">
        <f t="shared" si="23"/>
        <v>-20776072</v>
      </c>
      <c r="AK79" s="91">
        <f t="shared" si="24"/>
        <v>-2412088</v>
      </c>
      <c r="AL79" s="91">
        <f t="shared" si="25"/>
        <v>-219328</v>
      </c>
      <c r="AM79" s="91">
        <f t="shared" si="26"/>
        <v>-3046880</v>
      </c>
      <c r="AN79" s="91">
        <f t="shared" si="27"/>
        <v>-15072072</v>
      </c>
      <c r="AO79" s="91">
        <f t="shared" si="28"/>
        <v>-25704</v>
      </c>
      <c r="AP79" s="91">
        <f t="shared" si="29"/>
        <v>-72.555680899999999</v>
      </c>
      <c r="AQ79" s="92">
        <f t="shared" si="30"/>
        <v>-74.135942900000003</v>
      </c>
      <c r="AR79" s="92">
        <f t="shared" si="31"/>
        <v>-38.164670000000001</v>
      </c>
      <c r="AS79" s="92">
        <f t="shared" si="32"/>
        <v>-44.364320200000002</v>
      </c>
      <c r="AT79" s="92">
        <f t="shared" si="33"/>
        <v>-42.994854699999998</v>
      </c>
      <c r="AU79" s="92">
        <f t="shared" si="34"/>
        <v>-47.462221200000002</v>
      </c>
      <c r="AV79" s="93">
        <f t="shared" si="35"/>
        <v>-34.268929300000003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-5692000</v>
      </c>
      <c r="AJ80" s="91">
        <f t="shared" si="23"/>
        <v>-40993328</v>
      </c>
      <c r="AK80" s="91">
        <f t="shared" si="24"/>
        <v>-4060032</v>
      </c>
      <c r="AL80" s="91">
        <f t="shared" si="25"/>
        <v>-327392</v>
      </c>
      <c r="AM80" s="91">
        <f t="shared" si="26"/>
        <v>-4413792</v>
      </c>
      <c r="AN80" s="91">
        <f t="shared" si="27"/>
        <v>-32167008</v>
      </c>
      <c r="AO80" s="91">
        <f t="shared" si="28"/>
        <v>-25104</v>
      </c>
      <c r="AP80" s="91">
        <f t="shared" si="29"/>
        <v>-75.852644600000005</v>
      </c>
      <c r="AQ80" s="92">
        <f t="shared" si="30"/>
        <v>-77.900467699999993</v>
      </c>
      <c r="AR80" s="92">
        <f t="shared" si="31"/>
        <v>-40.477159700000001</v>
      </c>
      <c r="AS80" s="92">
        <f t="shared" si="32"/>
        <v>-45.780246499999997</v>
      </c>
      <c r="AT80" s="92">
        <f t="shared" si="33"/>
        <v>-44.629582200000002</v>
      </c>
      <c r="AU80" s="92">
        <f t="shared" si="34"/>
        <v>-49.564350400000002</v>
      </c>
      <c r="AV80" s="93">
        <f t="shared" si="35"/>
        <v>-36.374431600000001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-22964896</v>
      </c>
      <c r="AJ81" s="91">
        <f t="shared" si="23"/>
        <v>-61544160</v>
      </c>
      <c r="AK81" s="91">
        <f t="shared" si="24"/>
        <v>-12192568</v>
      </c>
      <c r="AL81" s="91">
        <f t="shared" si="25"/>
        <v>-763848</v>
      </c>
      <c r="AM81" s="91">
        <f t="shared" si="26"/>
        <v>-4227720</v>
      </c>
      <c r="AN81" s="91">
        <f t="shared" si="27"/>
        <v>-44334320</v>
      </c>
      <c r="AO81" s="91">
        <f t="shared" si="28"/>
        <v>-25704</v>
      </c>
      <c r="AP81" s="91">
        <f t="shared" si="29"/>
        <v>-79.260757100000006</v>
      </c>
      <c r="AQ81" s="92">
        <f t="shared" si="30"/>
        <v>-82.079137200000005</v>
      </c>
      <c r="AR81" s="92">
        <f t="shared" si="31"/>
        <v>-41.577876699999997</v>
      </c>
      <c r="AS81" s="92">
        <f t="shared" si="32"/>
        <v>-46.548623300000003</v>
      </c>
      <c r="AT81" s="92">
        <f t="shared" si="33"/>
        <v>-45.590533299999997</v>
      </c>
      <c r="AU81" s="92">
        <f t="shared" si="34"/>
        <v>-51.559130000000003</v>
      </c>
      <c r="AV81" s="93">
        <f t="shared" si="35"/>
        <v>-38.457915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-22964896</v>
      </c>
      <c r="AJ82" s="91">
        <f t="shared" si="23"/>
        <v>-86039448</v>
      </c>
      <c r="AK82" s="91">
        <f t="shared" si="24"/>
        <v>-12192568</v>
      </c>
      <c r="AL82" s="91">
        <f t="shared" si="25"/>
        <v>-763848</v>
      </c>
      <c r="AM82" s="91">
        <f t="shared" si="26"/>
        <v>-9605288</v>
      </c>
      <c r="AN82" s="91">
        <f t="shared" si="27"/>
        <v>-63452040</v>
      </c>
      <c r="AO82" s="91">
        <f t="shared" si="28"/>
        <v>-25704</v>
      </c>
      <c r="AP82" s="91">
        <f t="shared" si="29"/>
        <v>-80.979841399999998</v>
      </c>
      <c r="AQ82" s="92">
        <f t="shared" si="30"/>
        <v>-84.673123899999993</v>
      </c>
      <c r="AR82" s="92">
        <f t="shared" si="31"/>
        <v>-42.492365800000002</v>
      </c>
      <c r="AS82" s="92">
        <f t="shared" si="32"/>
        <v>-47.645994000000002</v>
      </c>
      <c r="AT82" s="92">
        <f t="shared" si="33"/>
        <v>-46.801686400000001</v>
      </c>
      <c r="AU82" s="92">
        <f t="shared" si="34"/>
        <v>-53.004546499999996</v>
      </c>
      <c r="AV82" s="93">
        <f t="shared" si="35"/>
        <v>-39.869949300000002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-57516368</v>
      </c>
      <c r="AJ83" s="91">
        <f t="shared" si="23"/>
        <v>-118379456</v>
      </c>
      <c r="AK83" s="91">
        <f t="shared" si="24"/>
        <v>-26610360</v>
      </c>
      <c r="AL83" s="91">
        <f t="shared" si="25"/>
        <v>-4259296</v>
      </c>
      <c r="AM83" s="91">
        <f t="shared" si="26"/>
        <v>-2297824</v>
      </c>
      <c r="AN83" s="91">
        <f t="shared" si="27"/>
        <v>-85186264</v>
      </c>
      <c r="AO83" s="91">
        <f t="shared" si="28"/>
        <v>-25712</v>
      </c>
      <c r="AP83" s="91">
        <f t="shared" si="29"/>
        <v>-84.369723199999996</v>
      </c>
      <c r="AQ83" s="92">
        <f t="shared" si="30"/>
        <v>-88.954052599999997</v>
      </c>
      <c r="AR83" s="92">
        <f t="shared" si="31"/>
        <v>-43.452504300000001</v>
      </c>
      <c r="AS83" s="92">
        <f t="shared" si="32"/>
        <v>-48.342449299999998</v>
      </c>
      <c r="AT83" s="92">
        <f t="shared" si="33"/>
        <v>-47.605689400000003</v>
      </c>
      <c r="AU83" s="92">
        <f t="shared" si="34"/>
        <v>-56.709893000000001</v>
      </c>
      <c r="AV83" s="93">
        <f t="shared" si="35"/>
        <v>-42.391147199999999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-34432960</v>
      </c>
      <c r="AJ84" s="91">
        <f t="shared" si="23"/>
        <v>-28112352</v>
      </c>
      <c r="AK84" s="91">
        <f t="shared" si="24"/>
        <v>-3550184</v>
      </c>
      <c r="AL84" s="91">
        <f t="shared" si="25"/>
        <v>-796416</v>
      </c>
      <c r="AM84" s="91">
        <f t="shared" si="26"/>
        <v>-3751960</v>
      </c>
      <c r="AN84" s="91">
        <f t="shared" si="27"/>
        <v>-19965880</v>
      </c>
      <c r="AO84" s="91">
        <f t="shared" si="28"/>
        <v>-47912</v>
      </c>
      <c r="AP84" s="91">
        <f t="shared" si="29"/>
        <v>-72.562299199999998</v>
      </c>
      <c r="AQ84" s="92">
        <f t="shared" si="30"/>
        <v>-74.174459499999998</v>
      </c>
      <c r="AR84" s="92">
        <f t="shared" si="31"/>
        <v>-30.184791300000001</v>
      </c>
      <c r="AS84" s="92">
        <f t="shared" si="32"/>
        <v>-38.963403499999998</v>
      </c>
      <c r="AT84" s="92">
        <f t="shared" si="33"/>
        <v>-38.996823200000001</v>
      </c>
      <c r="AU84" s="92">
        <f t="shared" si="34"/>
        <v>-47.622628599999999</v>
      </c>
      <c r="AV84" s="93">
        <f t="shared" si="35"/>
        <v>-29.203115700000001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-68916352</v>
      </c>
      <c r="AJ85" s="91">
        <f t="shared" si="23"/>
        <v>-39035968</v>
      </c>
      <c r="AK85" s="91">
        <f t="shared" si="24"/>
        <v>-5962672</v>
      </c>
      <c r="AL85" s="91">
        <f t="shared" si="25"/>
        <v>-1411200</v>
      </c>
      <c r="AM85" s="91">
        <f t="shared" si="26"/>
        <v>-2077744</v>
      </c>
      <c r="AN85" s="91">
        <f t="shared" si="27"/>
        <v>-29535648</v>
      </c>
      <c r="AO85" s="91">
        <f t="shared" si="28"/>
        <v>-48704</v>
      </c>
      <c r="AP85" s="91">
        <f t="shared" si="29"/>
        <v>-72.998955800000005</v>
      </c>
      <c r="AQ85" s="92">
        <f t="shared" si="30"/>
        <v>-74.667849399999994</v>
      </c>
      <c r="AR85" s="92">
        <f t="shared" si="31"/>
        <v>-30.650729200000001</v>
      </c>
      <c r="AS85" s="92">
        <f t="shared" si="32"/>
        <v>-39.0783506</v>
      </c>
      <c r="AT85" s="92">
        <f t="shared" si="33"/>
        <v>-39.159635100000003</v>
      </c>
      <c r="AU85" s="92">
        <f t="shared" si="34"/>
        <v>-48.048964900000001</v>
      </c>
      <c r="AV85" s="93">
        <f t="shared" si="35"/>
        <v>-29.5295472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-68916352</v>
      </c>
      <c r="AJ86" s="91">
        <f t="shared" si="23"/>
        <v>-58870720</v>
      </c>
      <c r="AK86" s="91">
        <f t="shared" si="24"/>
        <v>-5962672</v>
      </c>
      <c r="AL86" s="91">
        <f t="shared" si="25"/>
        <v>-1411200</v>
      </c>
      <c r="AM86" s="91">
        <f t="shared" si="26"/>
        <v>-6390224</v>
      </c>
      <c r="AN86" s="91">
        <f t="shared" si="27"/>
        <v>-45057920</v>
      </c>
      <c r="AO86" s="91">
        <f t="shared" si="28"/>
        <v>-48704</v>
      </c>
      <c r="AP86" s="91">
        <f t="shared" si="29"/>
        <v>-76.054534599999997</v>
      </c>
      <c r="AQ86" s="92">
        <f t="shared" si="30"/>
        <v>-78.139505099999994</v>
      </c>
      <c r="AR86" s="92">
        <f t="shared" si="31"/>
        <v>-31.309906699999999</v>
      </c>
      <c r="AS86" s="92">
        <f t="shared" si="32"/>
        <v>-39.173248200000003</v>
      </c>
      <c r="AT86" s="92">
        <f t="shared" si="33"/>
        <v>-39.308333500000003</v>
      </c>
      <c r="AU86" s="92">
        <f t="shared" si="34"/>
        <v>-49.758910100000001</v>
      </c>
      <c r="AV86" s="93">
        <f t="shared" si="35"/>
        <v>-30.389581400000001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-137868352</v>
      </c>
      <c r="AJ87" s="91">
        <f t="shared" si="23"/>
        <v>-80988936</v>
      </c>
      <c r="AK87" s="91">
        <f t="shared" si="24"/>
        <v>-12267232</v>
      </c>
      <c r="AL87" s="91">
        <f t="shared" si="25"/>
        <v>-3249264</v>
      </c>
      <c r="AM87" s="91">
        <f t="shared" si="26"/>
        <v>-6709392</v>
      </c>
      <c r="AN87" s="91">
        <f t="shared" si="27"/>
        <v>-58714160</v>
      </c>
      <c r="AO87" s="91">
        <f t="shared" si="28"/>
        <v>-48888</v>
      </c>
      <c r="AP87" s="91">
        <f t="shared" si="29"/>
        <v>-78.591679999999997</v>
      </c>
      <c r="AQ87" s="92">
        <f t="shared" si="30"/>
        <v>-81.187390399999998</v>
      </c>
      <c r="AR87" s="92">
        <f t="shared" si="31"/>
        <v>-31.766963499999999</v>
      </c>
      <c r="AS87" s="92">
        <f t="shared" si="32"/>
        <v>-39.267846599999999</v>
      </c>
      <c r="AT87" s="92">
        <f t="shared" si="33"/>
        <v>-39.480094999999999</v>
      </c>
      <c r="AU87" s="92">
        <f t="shared" si="34"/>
        <v>-51.4058779</v>
      </c>
      <c r="AV87" s="93">
        <f t="shared" si="35"/>
        <v>-31.030483100000001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-206805632</v>
      </c>
      <c r="AJ88" s="91">
        <f t="shared" si="23"/>
        <v>-118776840</v>
      </c>
      <c r="AK88" s="91">
        <f t="shared" si="24"/>
        <v>-17570704</v>
      </c>
      <c r="AL88" s="91">
        <f t="shared" si="25"/>
        <v>-4563576</v>
      </c>
      <c r="AM88" s="91">
        <f t="shared" si="26"/>
        <v>-5521640</v>
      </c>
      <c r="AN88" s="91">
        <f t="shared" si="27"/>
        <v>-91071320</v>
      </c>
      <c r="AO88" s="91">
        <f t="shared" si="28"/>
        <v>-49600</v>
      </c>
      <c r="AP88" s="91">
        <f t="shared" si="29"/>
        <v>-80.284611900000002</v>
      </c>
      <c r="AQ88" s="92">
        <f t="shared" si="30"/>
        <v>-83.276772399999999</v>
      </c>
      <c r="AR88" s="92">
        <f t="shared" si="31"/>
        <v>-32.502218499999998</v>
      </c>
      <c r="AS88" s="92">
        <f t="shared" si="32"/>
        <v>-39.345535300000002</v>
      </c>
      <c r="AT88" s="92">
        <f t="shared" si="33"/>
        <v>-39.607991400000003</v>
      </c>
      <c r="AU88" s="92">
        <f t="shared" si="34"/>
        <v>-52.5433369</v>
      </c>
      <c r="AV88" s="93">
        <f t="shared" si="35"/>
        <v>-31.785795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-34505856</v>
      </c>
      <c r="AJ89" s="91">
        <f t="shared" si="23"/>
        <v>-31009224</v>
      </c>
      <c r="AK89" s="91">
        <f t="shared" si="24"/>
        <v>-3289792</v>
      </c>
      <c r="AL89" s="91">
        <f t="shared" si="25"/>
        <v>-271984</v>
      </c>
      <c r="AM89" s="91">
        <f t="shared" si="26"/>
        <v>-3857352</v>
      </c>
      <c r="AN89" s="91">
        <f t="shared" si="27"/>
        <v>-23540280</v>
      </c>
      <c r="AO89" s="91">
        <f t="shared" si="28"/>
        <v>-49816</v>
      </c>
      <c r="AP89" s="91">
        <f t="shared" si="29"/>
        <v>-73.660334300000002</v>
      </c>
      <c r="AQ89" s="92">
        <f t="shared" si="30"/>
        <v>-75.149964299999994</v>
      </c>
      <c r="AR89" s="92">
        <f t="shared" si="31"/>
        <v>-33.286399199999998</v>
      </c>
      <c r="AS89" s="92">
        <f t="shared" si="32"/>
        <v>-42.552126399999999</v>
      </c>
      <c r="AT89" s="92">
        <f t="shared" si="33"/>
        <v>-42.870520300000003</v>
      </c>
      <c r="AU89" s="92">
        <f t="shared" si="34"/>
        <v>-48.556269299999997</v>
      </c>
      <c r="AV89" s="93">
        <f t="shared" si="35"/>
        <v>-32.342732300000002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-69039040</v>
      </c>
      <c r="AJ90" s="91">
        <f t="shared" si="23"/>
        <v>-40882304</v>
      </c>
      <c r="AK90" s="91">
        <f t="shared" si="24"/>
        <v>-6189784</v>
      </c>
      <c r="AL90" s="91">
        <f t="shared" si="25"/>
        <v>-982632</v>
      </c>
      <c r="AM90" s="91">
        <f t="shared" si="26"/>
        <v>-4840128</v>
      </c>
      <c r="AN90" s="91">
        <f t="shared" si="27"/>
        <v>-28821080</v>
      </c>
      <c r="AO90" s="91">
        <f t="shared" si="28"/>
        <v>-48680</v>
      </c>
      <c r="AP90" s="91">
        <f t="shared" si="29"/>
        <v>-76.123173800000004</v>
      </c>
      <c r="AQ90" s="92">
        <f t="shared" si="30"/>
        <v>-77.921557399999998</v>
      </c>
      <c r="AR90" s="92">
        <f t="shared" si="31"/>
        <v>-33.654200400000001</v>
      </c>
      <c r="AS90" s="92">
        <f t="shared" si="32"/>
        <v>-42.731513800000002</v>
      </c>
      <c r="AT90" s="92">
        <f t="shared" si="33"/>
        <v>-43.152044099999998</v>
      </c>
      <c r="AU90" s="92">
        <f t="shared" si="34"/>
        <v>-50.034363999999997</v>
      </c>
      <c r="AV90" s="93">
        <f t="shared" si="35"/>
        <v>-32.9406848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-138089664</v>
      </c>
      <c r="AJ91" s="91">
        <f t="shared" si="23"/>
        <v>-62568120</v>
      </c>
      <c r="AK91" s="91">
        <f t="shared" si="24"/>
        <v>-11187704</v>
      </c>
      <c r="AL91" s="91">
        <f t="shared" si="25"/>
        <v>-1776752</v>
      </c>
      <c r="AM91" s="91">
        <f t="shared" si="26"/>
        <v>-3766936</v>
      </c>
      <c r="AN91" s="91">
        <f t="shared" si="27"/>
        <v>-45787856</v>
      </c>
      <c r="AO91" s="91">
        <f t="shared" si="28"/>
        <v>-48872</v>
      </c>
      <c r="AP91" s="91">
        <f t="shared" si="29"/>
        <v>-77.914964499999996</v>
      </c>
      <c r="AQ91" s="92">
        <f t="shared" si="30"/>
        <v>-79.986573399999997</v>
      </c>
      <c r="AR91" s="92">
        <f t="shared" si="31"/>
        <v>-34.289687000000001</v>
      </c>
      <c r="AS91" s="92">
        <f t="shared" si="32"/>
        <v>-42.891935199999999</v>
      </c>
      <c r="AT91" s="92">
        <f t="shared" si="33"/>
        <v>-43.392719900000003</v>
      </c>
      <c r="AU91" s="92">
        <f t="shared" si="34"/>
        <v>-51.148906099999998</v>
      </c>
      <c r="AV91" s="93">
        <f t="shared" si="35"/>
        <v>-33.626810200000001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-138089664</v>
      </c>
      <c r="AJ92" s="91">
        <f t="shared" si="23"/>
        <v>-81982376</v>
      </c>
      <c r="AK92" s="91">
        <f t="shared" si="24"/>
        <v>-11187704</v>
      </c>
      <c r="AL92" s="91">
        <f t="shared" si="25"/>
        <v>-1776752</v>
      </c>
      <c r="AM92" s="91">
        <f t="shared" si="26"/>
        <v>-7797840</v>
      </c>
      <c r="AN92" s="91">
        <f t="shared" si="27"/>
        <v>-61171368</v>
      </c>
      <c r="AO92" s="91">
        <f t="shared" si="28"/>
        <v>-48712</v>
      </c>
      <c r="AP92" s="91">
        <f t="shared" si="29"/>
        <v>-79.369485699999998</v>
      </c>
      <c r="AQ92" s="92">
        <f t="shared" si="30"/>
        <v>-81.8163883</v>
      </c>
      <c r="AR92" s="92">
        <f t="shared" si="31"/>
        <v>-34.355138699999998</v>
      </c>
      <c r="AS92" s="92">
        <f t="shared" si="32"/>
        <v>-43.022352499999997</v>
      </c>
      <c r="AT92" s="92">
        <f t="shared" si="33"/>
        <v>-43.560820700000001</v>
      </c>
      <c r="AU92" s="92">
        <f t="shared" si="34"/>
        <v>-52.063888900000002</v>
      </c>
      <c r="AV92" s="93">
        <f t="shared" si="35"/>
        <v>-33.786118299999998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-207140672</v>
      </c>
      <c r="AJ93" s="94">
        <f t="shared" si="23"/>
        <v>-122775496</v>
      </c>
      <c r="AK93" s="94">
        <f t="shared" si="24"/>
        <v>-15914584</v>
      </c>
      <c r="AL93" s="94">
        <f t="shared" si="25"/>
        <v>-2523464</v>
      </c>
      <c r="AM93" s="94">
        <f t="shared" si="26"/>
        <v>-6847640</v>
      </c>
      <c r="AN93" s="94">
        <f t="shared" si="27"/>
        <v>-97440280</v>
      </c>
      <c r="AO93" s="94">
        <f t="shared" si="28"/>
        <v>-49528</v>
      </c>
      <c r="AP93" s="94">
        <f t="shared" si="29"/>
        <v>-80.846575799999997</v>
      </c>
      <c r="AQ93" s="95">
        <f t="shared" si="30"/>
        <v>-83.642658999999995</v>
      </c>
      <c r="AR93" s="95">
        <f t="shared" si="31"/>
        <v>-34.932203100000002</v>
      </c>
      <c r="AS93" s="95">
        <f t="shared" si="32"/>
        <v>-43.129460299999998</v>
      </c>
      <c r="AT93" s="95">
        <f t="shared" si="33"/>
        <v>-43.723371100000001</v>
      </c>
      <c r="AU93" s="95">
        <f t="shared" si="34"/>
        <v>-53.091126799999998</v>
      </c>
      <c r="AV93" s="96">
        <f t="shared" si="35"/>
        <v>-34.381243599999998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G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36" t="s">
        <v>332</v>
      </c>
      <c r="D1" s="137"/>
      <c r="E1" s="137"/>
      <c r="F1" s="137"/>
      <c r="G1" s="137"/>
      <c r="H1" s="137"/>
      <c r="I1" s="135"/>
      <c r="J1" s="136" t="s">
        <v>367</v>
      </c>
      <c r="K1" s="137"/>
      <c r="L1" s="137"/>
      <c r="M1" s="137"/>
      <c r="N1" s="137"/>
      <c r="O1" s="137"/>
      <c r="P1" s="135"/>
    </row>
    <row r="2" spans="1:16" ht="15.75" customHeight="1" thickBot="1" x14ac:dyDescent="0.2">
      <c r="A2" s="138" t="s">
        <v>149</v>
      </c>
      <c r="B2" s="140" t="s">
        <v>150</v>
      </c>
      <c r="C2" s="141" t="s">
        <v>15</v>
      </c>
      <c r="D2" s="125"/>
      <c r="E2" s="125"/>
      <c r="F2" s="125"/>
      <c r="G2" s="125"/>
      <c r="H2" s="142" t="s">
        <v>16</v>
      </c>
      <c r="I2" s="143"/>
      <c r="J2" s="141" t="s">
        <v>15</v>
      </c>
      <c r="K2" s="125"/>
      <c r="L2" s="125"/>
      <c r="M2" s="125"/>
      <c r="N2" s="125"/>
      <c r="O2" s="142" t="s">
        <v>16</v>
      </c>
      <c r="P2" s="143"/>
    </row>
    <row r="3" spans="1:16" ht="30.75" customHeight="1" thickBot="1" x14ac:dyDescent="0.2">
      <c r="A3" s="139"/>
      <c r="B3" s="128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x14ac:dyDescent="0.15">
      <c r="A12" s="130" t="str">
        <f>Summary!B19</f>
        <v>Cat1-A average</v>
      </c>
      <c r="B12" s="126"/>
      <c r="C12" s="75" t="e">
        <f>Summary!C19</f>
        <v>#DIV/0!</v>
      </c>
      <c r="D12" s="75" t="e">
        <f>Summary!D19</f>
        <v>#DIV/0!</v>
      </c>
      <c r="E12" s="75" t="e">
        <f>Summary!E19</f>
        <v>#DIV/0!</v>
      </c>
      <c r="F12" s="75" t="e">
        <f>Summary!F19</f>
        <v>#DIV/0!</v>
      </c>
      <c r="G12" s="75" t="e">
        <f>Summary!G19</f>
        <v>#DIV/0!</v>
      </c>
      <c r="H12" s="75" t="e">
        <f>Summary!H19</f>
        <v>#DIV/0!</v>
      </c>
      <c r="I12" s="75" t="e">
        <f>Summary!I19</f>
        <v>#DIV/0!</v>
      </c>
      <c r="J12" s="76" t="e">
        <f>Summary!C31</f>
        <v>#DIV/0!</v>
      </c>
      <c r="K12" s="77" t="e">
        <f>Summary!D31</f>
        <v>#DIV/0!</v>
      </c>
      <c r="L12" s="77" t="e">
        <f>Summary!E31</f>
        <v>#DIV/0!</v>
      </c>
      <c r="M12" s="77" t="e">
        <f>Summary!F31</f>
        <v>#DIV/0!</v>
      </c>
      <c r="N12" s="77" t="e">
        <f>Summary!G31</f>
        <v>#DIV/0!</v>
      </c>
      <c r="O12" s="77" t="e">
        <f>Summary!H31</f>
        <v>#DIV/0!</v>
      </c>
      <c r="P12" s="78" t="e">
        <f>Summary!I31</f>
        <v>#DIV/0!</v>
      </c>
    </row>
    <row r="13" spans="1:16" x14ac:dyDescent="0.15">
      <c r="A13" s="131" t="str">
        <f>Summary!B20</f>
        <v>Cat1-B average</v>
      </c>
      <c r="B13" s="132"/>
      <c r="C13" s="79" t="e">
        <f>Summary!C20</f>
        <v>#DIV/0!</v>
      </c>
      <c r="D13" s="79" t="e">
        <f>Summary!D20</f>
        <v>#DIV/0!</v>
      </c>
      <c r="E13" s="79" t="e">
        <f>Summary!E20</f>
        <v>#DIV/0!</v>
      </c>
      <c r="F13" s="79" t="e">
        <f>Summary!F20</f>
        <v>#DIV/0!</v>
      </c>
      <c r="G13" s="79" t="e">
        <f>Summary!G20</f>
        <v>#DIV/0!</v>
      </c>
      <c r="H13" s="79" t="e">
        <f>Summary!H20</f>
        <v>#DIV/0!</v>
      </c>
      <c r="I13" s="79" t="e">
        <f>Summary!I20</f>
        <v>#DIV/0!</v>
      </c>
      <c r="J13" s="80" t="e">
        <f>Summary!C32</f>
        <v>#DIV/0!</v>
      </c>
      <c r="K13" s="79" t="e">
        <f>Summary!D32</f>
        <v>#DIV/0!</v>
      </c>
      <c r="L13" s="79" t="e">
        <f>Summary!E32</f>
        <v>#DIV/0!</v>
      </c>
      <c r="M13" s="79" t="e">
        <f>Summary!F32</f>
        <v>#DIV/0!</v>
      </c>
      <c r="N13" s="79" t="e">
        <f>Summary!G32</f>
        <v>#DIV/0!</v>
      </c>
      <c r="O13" s="79" t="e">
        <f>Summary!H32</f>
        <v>#DIV/0!</v>
      </c>
      <c r="P13" s="81" t="e">
        <f>Summary!I32</f>
        <v>#DIV/0!</v>
      </c>
    </row>
    <row r="14" spans="1:16" ht="15.75" customHeight="1" thickBot="1" x14ac:dyDescent="0.2">
      <c r="A14" s="133" t="str">
        <f>Summary!B21</f>
        <v>Cat1-C average</v>
      </c>
      <c r="B14" s="132"/>
      <c r="C14" s="75" t="e">
        <f>Summary!C21</f>
        <v>#DIV/0!</v>
      </c>
      <c r="D14" s="75" t="e">
        <f>Summary!D21</f>
        <v>#DIV/0!</v>
      </c>
      <c r="E14" s="75" t="e">
        <f>Summary!E21</f>
        <v>#DIV/0!</v>
      </c>
      <c r="F14" s="75" t="e">
        <f>Summary!F21</f>
        <v>#DIV/0!</v>
      </c>
      <c r="G14" s="75" t="e">
        <f>Summary!G21</f>
        <v>#DIV/0!</v>
      </c>
      <c r="H14" s="75" t="e">
        <f>Summary!H21</f>
        <v>#DIV/0!</v>
      </c>
      <c r="I14" s="75" t="e">
        <f>Summary!I21</f>
        <v>#DIV/0!</v>
      </c>
      <c r="J14" s="82" t="e">
        <f>Summary!C33</f>
        <v>#DIV/0!</v>
      </c>
      <c r="K14" s="75" t="e">
        <f>Summary!D33</f>
        <v>#DIV/0!</v>
      </c>
      <c r="L14" s="75" t="e">
        <f>Summary!E33</f>
        <v>#DIV/0!</v>
      </c>
      <c r="M14" s="75" t="e">
        <f>Summary!F33</f>
        <v>#DIV/0!</v>
      </c>
      <c r="N14" s="75" t="e">
        <f>Summary!G33</f>
        <v>#DIV/0!</v>
      </c>
      <c r="O14" s="75" t="e">
        <f>Summary!H33</f>
        <v>#DIV/0!</v>
      </c>
      <c r="P14" s="83" t="e">
        <f>Summary!I33</f>
        <v>#DIV/0!</v>
      </c>
    </row>
    <row r="15" spans="1:16" ht="15.75" customHeight="1" thickBot="1" x14ac:dyDescent="0.2">
      <c r="A15" s="134" t="str">
        <f>Summary!B22</f>
        <v>Overall average</v>
      </c>
      <c r="B15" s="135"/>
      <c r="C15" s="84" t="e">
        <f>Summary!C22</f>
        <v>#DIV/0!</v>
      </c>
      <c r="D15" s="84" t="e">
        <f>Summary!D22</f>
        <v>#DIV/0!</v>
      </c>
      <c r="E15" s="84" t="e">
        <f>Summary!E22</f>
        <v>#DIV/0!</v>
      </c>
      <c r="F15" s="84" t="e">
        <f>Summary!F22</f>
        <v>#DIV/0!</v>
      </c>
      <c r="G15" s="84" t="e">
        <f>Summary!G22</f>
        <v>#DIV/0!</v>
      </c>
      <c r="H15" s="84" t="e">
        <f>Summary!H22</f>
        <v>#DIV/0!</v>
      </c>
      <c r="I15" s="84" t="e">
        <f>Summary!I22</f>
        <v>#DIV/0!</v>
      </c>
      <c r="J15" s="85" t="e">
        <f>Summary!C34</f>
        <v>#DIV/0!</v>
      </c>
      <c r="K15" s="84" t="e">
        <f>Summary!D34</f>
        <v>#DIV/0!</v>
      </c>
      <c r="L15" s="84" t="e">
        <f>Summary!E34</f>
        <v>#DIV/0!</v>
      </c>
      <c r="M15" s="84" t="e">
        <f>Summary!F34</f>
        <v>#DIV/0!</v>
      </c>
      <c r="N15" s="84" t="e">
        <f>Summary!G34</f>
        <v>#DIV/0!</v>
      </c>
      <c r="O15" s="84" t="e">
        <f>Summary!H34</f>
        <v>#DIV/0!</v>
      </c>
      <c r="P15" s="86" t="e">
        <f>Summary!I34</f>
        <v>#DIV/0!</v>
      </c>
    </row>
    <row r="16" spans="1:16" x14ac:dyDescent="0.15">
      <c r="A16" s="133" t="str">
        <f>Summary!B23</f>
        <v>Avg. Enc Time [%]</v>
      </c>
      <c r="B16" s="132"/>
      <c r="C16" s="124">
        <f>Summary!C23</f>
        <v>0</v>
      </c>
      <c r="D16" s="125"/>
      <c r="E16" s="125"/>
      <c r="F16" s="125"/>
      <c r="G16" s="125"/>
      <c r="H16" s="125"/>
      <c r="I16" s="126"/>
      <c r="J16" s="124">
        <f>Summary!C35</f>
        <v>0</v>
      </c>
      <c r="K16" s="125"/>
      <c r="L16" s="125"/>
      <c r="M16" s="125"/>
      <c r="N16" s="125"/>
      <c r="O16" s="125"/>
      <c r="P16" s="126"/>
    </row>
    <row r="17" spans="1:16" ht="15.75" customHeight="1" thickBot="1" x14ac:dyDescent="0.2">
      <c r="A17" s="127" t="str">
        <f>Summary!B24</f>
        <v>Avg. Dec Time [%]</v>
      </c>
      <c r="B17" s="128"/>
      <c r="C17" s="129">
        <f>Summary!C24</f>
        <v>0</v>
      </c>
      <c r="D17" s="109"/>
      <c r="E17" s="109"/>
      <c r="F17" s="109"/>
      <c r="G17" s="109"/>
      <c r="H17" s="109"/>
      <c r="I17" s="128"/>
      <c r="J17" s="129">
        <f>Summary!C36</f>
        <v>0</v>
      </c>
      <c r="K17" s="109"/>
      <c r="L17" s="109"/>
      <c r="M17" s="109"/>
      <c r="N17" s="109"/>
      <c r="O17" s="109"/>
      <c r="P17" s="128"/>
    </row>
  </sheetData>
  <mergeCells count="18">
    <mergeCell ref="C1:I1"/>
    <mergeCell ref="J1:P1"/>
    <mergeCell ref="A2:A3"/>
    <mergeCell ref="B2:B3"/>
    <mergeCell ref="C2:G2"/>
    <mergeCell ref="H2:I2"/>
    <mergeCell ref="J2:N2"/>
    <mergeCell ref="O2:P2"/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Jay</cp:lastModifiedBy>
  <dcterms:created xsi:type="dcterms:W3CDTF">2021-10-29T10:34:58Z</dcterms:created>
  <dcterms:modified xsi:type="dcterms:W3CDTF">2024-03-14T09:45:34Z</dcterms:modified>
</cp:coreProperties>
</file>