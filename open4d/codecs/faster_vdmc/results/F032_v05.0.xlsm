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176428E6-CC11-C334-683E-B6102A28F97D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G:\mesh_software\tm-v5.0\v5.0_test1\results\"/>
    </mc:Choice>
  </mc:AlternateContent>
  <xr:revisionPtr revIDLastSave="0" documentId="13_ncr:1_{970F792D-F8C6-449C-A030-B36E811F8902}" xr6:coauthVersionLast="47" xr6:coauthVersionMax="47" xr10:uidLastSave="{00000000-0000-0000-0000-000000000000}"/>
  <bookViews>
    <workbookView xWindow="-120" yWindow="-16320" windowWidth="29040" windowHeight="16440" activeTab="2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7" i="7" l="1"/>
  <c r="A16" i="7"/>
  <c r="A15" i="7"/>
  <c r="A14" i="7"/>
  <c r="A13" i="7"/>
  <c r="A12" i="7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W50" i="6" s="1"/>
  <c r="C35" i="1" s="1"/>
  <c r="J16" i="7" s="1"/>
  <c r="AC49" i="6"/>
  <c r="AB49" i="6"/>
  <c r="BT44" i="6"/>
  <c r="BS44" i="6"/>
  <c r="BR44" i="6"/>
  <c r="BQ44" i="6"/>
  <c r="BP44" i="6"/>
  <c r="AH44" i="6"/>
  <c r="AG44" i="6" s="1"/>
  <c r="AF44" i="6"/>
  <c r="AE44" i="6"/>
  <c r="M44" i="6"/>
  <c r="K44" i="6"/>
  <c r="J44" i="6"/>
  <c r="BT43" i="6"/>
  <c r="BS43" i="6"/>
  <c r="BR43" i="6"/>
  <c r="BQ43" i="6"/>
  <c r="BP43" i="6"/>
  <c r="AH43" i="6"/>
  <c r="AF43" i="6"/>
  <c r="AE43" i="6"/>
  <c r="M43" i="6"/>
  <c r="L43" i="6"/>
  <c r="K43" i="6"/>
  <c r="J43" i="6"/>
  <c r="BT42" i="6"/>
  <c r="BS42" i="6"/>
  <c r="BR42" i="6"/>
  <c r="BQ42" i="6"/>
  <c r="BP42" i="6"/>
  <c r="AH42" i="6"/>
  <c r="AF42" i="6"/>
  <c r="AE42" i="6"/>
  <c r="M42" i="6"/>
  <c r="K42" i="6"/>
  <c r="J42" i="6"/>
  <c r="BT41" i="6"/>
  <c r="BS41" i="6"/>
  <c r="BR41" i="6"/>
  <c r="BQ41" i="6"/>
  <c r="BP41" i="6"/>
  <c r="AH41" i="6"/>
  <c r="AF41" i="6"/>
  <c r="AE41" i="6"/>
  <c r="M41" i="6"/>
  <c r="L41" i="6" s="1"/>
  <c r="K41" i="6"/>
  <c r="J41" i="6"/>
  <c r="BT40" i="6"/>
  <c r="BS40" i="6"/>
  <c r="BR40" i="6"/>
  <c r="BQ40" i="6"/>
  <c r="BP40" i="6"/>
  <c r="BN40" i="6" a="1"/>
  <c r="BN40" i="6" s="1"/>
  <c r="BL40" i="6" a="1"/>
  <c r="BL40" i="6" s="1"/>
  <c r="BK40" i="6" a="1"/>
  <c r="BK40" i="6" s="1"/>
  <c r="BJ40" i="6" a="1"/>
  <c r="BJ40" i="6" s="1"/>
  <c r="AH40" i="6"/>
  <c r="AF40" i="6"/>
  <c r="AE40" i="6"/>
  <c r="M40" i="6"/>
  <c r="L40" i="6" s="1"/>
  <c r="K40" i="6"/>
  <c r="J40" i="6"/>
  <c r="BT39" i="6"/>
  <c r="BS39" i="6"/>
  <c r="BR39" i="6"/>
  <c r="BQ39" i="6"/>
  <c r="BP39" i="6"/>
  <c r="AH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G37" i="6" s="1"/>
  <c r="AF37" i="6"/>
  <c r="AE37" i="6"/>
  <c r="M37" i="6"/>
  <c r="L37" i="6" s="1"/>
  <c r="K37" i="6"/>
  <c r="J37" i="6"/>
  <c r="BT36" i="6"/>
  <c r="BS36" i="6"/>
  <c r="BR36" i="6"/>
  <c r="BQ36" i="6"/>
  <c r="BP36" i="6"/>
  <c r="AH36" i="6"/>
  <c r="AG36" i="6" s="1"/>
  <c r="AF36" i="6"/>
  <c r="AE36" i="6"/>
  <c r="M36" i="6"/>
  <c r="K36" i="6"/>
  <c r="J36" i="6"/>
  <c r="BT35" i="6"/>
  <c r="BS35" i="6"/>
  <c r="BR35" i="6"/>
  <c r="BQ35" i="6"/>
  <c r="BP35" i="6"/>
  <c r="BN35" i="6" a="1"/>
  <c r="BN35" i="6" s="1"/>
  <c r="BL35" i="6" a="1"/>
  <c r="BL35" i="6" s="1"/>
  <c r="BK35" i="6" a="1"/>
  <c r="BK35" i="6" s="1"/>
  <c r="BJ35" i="6" a="1"/>
  <c r="BJ35" i="6" s="1"/>
  <c r="AH35" i="6"/>
  <c r="AG35" i="6" s="1"/>
  <c r="AF35" i="6"/>
  <c r="AE35" i="6"/>
  <c r="M35" i="6"/>
  <c r="L35" i="6" s="1"/>
  <c r="K35" i="6"/>
  <c r="J35" i="6"/>
  <c r="BT34" i="6"/>
  <c r="BS34" i="6"/>
  <c r="BR34" i="6"/>
  <c r="BQ34" i="6"/>
  <c r="BP34" i="6"/>
  <c r="AH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G33" i="6" s="1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AF32" i="6"/>
  <c r="AE32" i="6"/>
  <c r="M32" i="6"/>
  <c r="L32" i="6" s="1"/>
  <c r="K32" i="6"/>
  <c r="J32" i="6"/>
  <c r="BT31" i="6"/>
  <c r="BS31" i="6"/>
  <c r="BR31" i="6"/>
  <c r="BQ31" i="6"/>
  <c r="BP31" i="6"/>
  <c r="AH31" i="6"/>
  <c r="AG31" i="6" s="1"/>
  <c r="AF31" i="6"/>
  <c r="AE31" i="6"/>
  <c r="M31" i="6"/>
  <c r="L31" i="6" s="1"/>
  <c r="K31" i="6"/>
  <c r="J31" i="6"/>
  <c r="BT30" i="6"/>
  <c r="BS30" i="6"/>
  <c r="BR30" i="6"/>
  <c r="BQ30" i="6"/>
  <c r="BP30" i="6"/>
  <c r="BN30" i="6" a="1"/>
  <c r="BN30" i="6" s="1"/>
  <c r="BL30" i="6" a="1"/>
  <c r="BL30" i="6" s="1"/>
  <c r="BK30" i="6" a="1"/>
  <c r="BK30" i="6" s="1"/>
  <c r="BJ30" i="6" a="1"/>
  <c r="BJ30" i="6" s="1"/>
  <c r="AH30" i="6"/>
  <c r="AF30" i="6"/>
  <c r="AE30" i="6"/>
  <c r="M30" i="6"/>
  <c r="K30" i="6"/>
  <c r="J30" i="6"/>
  <c r="BT29" i="6"/>
  <c r="BS29" i="6"/>
  <c r="BR29" i="6"/>
  <c r="BQ29" i="6"/>
  <c r="BP29" i="6"/>
  <c r="AH29" i="6"/>
  <c r="AF29" i="6"/>
  <c r="AE29" i="6"/>
  <c r="M29" i="6"/>
  <c r="L29" i="6" s="1"/>
  <c r="K29" i="6"/>
  <c r="J29" i="6"/>
  <c r="BT28" i="6"/>
  <c r="BS28" i="6"/>
  <c r="BR28" i="6"/>
  <c r="BQ28" i="6"/>
  <c r="BP28" i="6"/>
  <c r="AH28" i="6"/>
  <c r="AG28" i="6" s="1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G26" i="6" s="1"/>
  <c r="AF26" i="6"/>
  <c r="AE26" i="6"/>
  <c r="M26" i="6"/>
  <c r="K26" i="6"/>
  <c r="J26" i="6"/>
  <c r="BT25" i="6"/>
  <c r="BS25" i="6"/>
  <c r="BR25" i="6"/>
  <c r="BQ25" i="6"/>
  <c r="BP25" i="6"/>
  <c r="BN25" i="6" a="1"/>
  <c r="BN25" i="6" s="1"/>
  <c r="BL25" i="6" a="1"/>
  <c r="BL25" i="6" s="1"/>
  <c r="BK25" i="6" a="1"/>
  <c r="BK25" i="6" s="1"/>
  <c r="BJ25" i="6" a="1"/>
  <c r="BJ25" i="6" s="1"/>
  <c r="AH25" i="6"/>
  <c r="AG25" i="6" s="1"/>
  <c r="AF25" i="6"/>
  <c r="AE25" i="6"/>
  <c r="M25" i="6"/>
  <c r="L25" i="6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 s="1"/>
  <c r="AF23" i="6"/>
  <c r="AE23" i="6"/>
  <c r="M23" i="6"/>
  <c r="L23" i="6" s="1"/>
  <c r="K23" i="6"/>
  <c r="J23" i="6"/>
  <c r="BT22" i="6"/>
  <c r="BS22" i="6"/>
  <c r="BR22" i="6"/>
  <c r="BQ22" i="6"/>
  <c r="BP22" i="6"/>
  <c r="AH22" i="6"/>
  <c r="AG22" i="6" s="1"/>
  <c r="AF22" i="6"/>
  <c r="AE22" i="6"/>
  <c r="M22" i="6"/>
  <c r="L22" i="6" s="1"/>
  <c r="K22" i="6"/>
  <c r="J22" i="6"/>
  <c r="BT21" i="6"/>
  <c r="BS21" i="6"/>
  <c r="BR21" i="6"/>
  <c r="BQ21" i="6"/>
  <c r="BP21" i="6"/>
  <c r="AH21" i="6"/>
  <c r="AG21" i="6" s="1"/>
  <c r="AF21" i="6"/>
  <c r="AE21" i="6"/>
  <c r="M21" i="6"/>
  <c r="L21" i="6" s="1"/>
  <c r="K21" i="6"/>
  <c r="J21" i="6"/>
  <c r="BT20" i="6"/>
  <c r="BS20" i="6"/>
  <c r="BR20" i="6"/>
  <c r="BQ20" i="6"/>
  <c r="BP20" i="6"/>
  <c r="BN20" i="6" a="1"/>
  <c r="BN20" i="6" s="1"/>
  <c r="BL20" i="6" a="1"/>
  <c r="BL20" i="6" s="1"/>
  <c r="BK20" i="6" a="1"/>
  <c r="BK20" i="6" s="1"/>
  <c r="BJ20" i="6" a="1"/>
  <c r="BJ20" i="6" s="1"/>
  <c r="AH20" i="6"/>
  <c r="AG20" i="6" s="1"/>
  <c r="AF20" i="6"/>
  <c r="AE20" i="6"/>
  <c r="M20" i="6"/>
  <c r="L20" i="6" s="1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 s="1"/>
  <c r="AF16" i="6"/>
  <c r="AE16" i="6"/>
  <c r="M16" i="6"/>
  <c r="L16" i="6"/>
  <c r="K16" i="6"/>
  <c r="J16" i="6"/>
  <c r="BT15" i="6"/>
  <c r="BS15" i="6"/>
  <c r="BR15" i="6"/>
  <c r="BQ15" i="6"/>
  <c r="BP15" i="6"/>
  <c r="BN15" i="6" a="1"/>
  <c r="BN15" i="6" s="1"/>
  <c r="BN46" i="6" s="1"/>
  <c r="BL15" i="6" a="1"/>
  <c r="BL15" i="6" s="1"/>
  <c r="BK15" i="6" a="1"/>
  <c r="BK15" i="6" s="1"/>
  <c r="BK46" i="6" s="1"/>
  <c r="BJ15" i="6" a="1"/>
  <c r="BJ15" i="6" s="1"/>
  <c r="AH15" i="6"/>
  <c r="AG15" i="6" s="1"/>
  <c r="AF15" i="6"/>
  <c r="AE15" i="6"/>
  <c r="M15" i="6"/>
  <c r="K15" i="6"/>
  <c r="J15" i="6"/>
  <c r="BT14" i="6"/>
  <c r="BS14" i="6"/>
  <c r="BR14" i="6"/>
  <c r="BQ14" i="6"/>
  <c r="BP14" i="6"/>
  <c r="AH14" i="6"/>
  <c r="AG14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 s="1"/>
  <c r="AF13" i="6"/>
  <c r="AE13" i="6"/>
  <c r="M13" i="6"/>
  <c r="L13" i="6"/>
  <c r="K13" i="6"/>
  <c r="J13" i="6"/>
  <c r="BT12" i="6"/>
  <c r="BS12" i="6"/>
  <c r="BR12" i="6"/>
  <c r="BQ12" i="6"/>
  <c r="BP12" i="6"/>
  <c r="AH12" i="6"/>
  <c r="AG12" i="6" s="1"/>
  <c r="AF12" i="6"/>
  <c r="AE12" i="6"/>
  <c r="M12" i="6"/>
  <c r="L12" i="6" s="1"/>
  <c r="K12" i="6"/>
  <c r="J12" i="6"/>
  <c r="BT11" i="6"/>
  <c r="BS11" i="6"/>
  <c r="BR11" i="6"/>
  <c r="BQ11" i="6"/>
  <c r="BP11" i="6"/>
  <c r="AH11" i="6"/>
  <c r="AF11" i="6"/>
  <c r="AE11" i="6"/>
  <c r="M11" i="6"/>
  <c r="L11" i="6" s="1"/>
  <c r="K11" i="6"/>
  <c r="J11" i="6"/>
  <c r="BT10" i="6"/>
  <c r="BS10" i="6"/>
  <c r="BR10" i="6"/>
  <c r="BQ10" i="6"/>
  <c r="BP10" i="6"/>
  <c r="BN10" i="6" a="1"/>
  <c r="BN10" i="6" s="1"/>
  <c r="BL10" i="6" a="1"/>
  <c r="BL10" i="6" s="1"/>
  <c r="BK10" i="6" a="1"/>
  <c r="BK10" i="6" s="1"/>
  <c r="BJ10" i="6" a="1"/>
  <c r="BJ10" i="6" s="1"/>
  <c r="AH10" i="6"/>
  <c r="AG10" i="6" s="1"/>
  <c r="AF10" i="6"/>
  <c r="AE10" i="6"/>
  <c r="M10" i="6"/>
  <c r="K10" i="6"/>
  <c r="J10" i="6"/>
  <c r="BT9" i="6"/>
  <c r="BS9" i="6"/>
  <c r="BR9" i="6"/>
  <c r="BQ9" i="6"/>
  <c r="BP9" i="6"/>
  <c r="AH9" i="6"/>
  <c r="AG9" i="6" s="1"/>
  <c r="AF9" i="6"/>
  <c r="AE9" i="6"/>
  <c r="M9" i="6"/>
  <c r="L9" i="6" s="1"/>
  <c r="K9" i="6"/>
  <c r="J9" i="6"/>
  <c r="BT8" i="6"/>
  <c r="BS8" i="6"/>
  <c r="BR8" i="6"/>
  <c r="BQ8" i="6"/>
  <c r="BP8" i="6"/>
  <c r="AH8" i="6"/>
  <c r="AG8" i="6" s="1"/>
  <c r="AF8" i="6"/>
  <c r="AE8" i="6"/>
  <c r="M8" i="6"/>
  <c r="L8" i="6" s="1"/>
  <c r="K8" i="6"/>
  <c r="J8" i="6"/>
  <c r="BT7" i="6"/>
  <c r="BS7" i="6"/>
  <c r="BR7" i="6"/>
  <c r="BQ7" i="6"/>
  <c r="BP7" i="6"/>
  <c r="AH7" i="6"/>
  <c r="AF7" i="6"/>
  <c r="AE7" i="6"/>
  <c r="M7" i="6"/>
  <c r="L7" i="6" s="1"/>
  <c r="K7" i="6"/>
  <c r="J7" i="6"/>
  <c r="BT6" i="6"/>
  <c r="BS6" i="6"/>
  <c r="BR6" i="6"/>
  <c r="BQ6" i="6"/>
  <c r="BP6" i="6"/>
  <c r="AH6" i="6"/>
  <c r="AF6" i="6"/>
  <c r="AE6" i="6"/>
  <c r="M6" i="6"/>
  <c r="L6" i="6" s="1"/>
  <c r="K6" i="6"/>
  <c r="J6" i="6"/>
  <c r="BT5" i="6"/>
  <c r="BS5" i="6"/>
  <c r="BR5" i="6"/>
  <c r="BQ5" i="6"/>
  <c r="BP5" i="6"/>
  <c r="BN5" i="6" a="1"/>
  <c r="BN5" i="6" s="1"/>
  <c r="BL5" i="6" a="1"/>
  <c r="BL5" i="6" s="1"/>
  <c r="BK5" i="6" a="1"/>
  <c r="BK5" i="6" s="1"/>
  <c r="BJ5" i="6" a="1"/>
  <c r="BJ5" i="6" s="1"/>
  <c r="AH5" i="6"/>
  <c r="AG5" i="6" s="1"/>
  <c r="AF5" i="6"/>
  <c r="AE5" i="6"/>
  <c r="M5" i="6"/>
  <c r="L5" i="6" s="1"/>
  <c r="K5" i="6"/>
  <c r="J5" i="6"/>
  <c r="AE1" i="6"/>
  <c r="J1" i="6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X49" i="5"/>
  <c r="AW49" i="5"/>
  <c r="AC49" i="5"/>
  <c r="AB49" i="5"/>
  <c r="BT44" i="5"/>
  <c r="BS44" i="5"/>
  <c r="BR44" i="5"/>
  <c r="BQ44" i="5"/>
  <c r="BP44" i="5"/>
  <c r="AH44" i="5"/>
  <c r="AG44" i="5" s="1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 s="1"/>
  <c r="AF43" i="5"/>
  <c r="AE43" i="5"/>
  <c r="M43" i="5"/>
  <c r="L43" i="5" s="1"/>
  <c r="K43" i="5"/>
  <c r="J43" i="5"/>
  <c r="BT42" i="5"/>
  <c r="BS42" i="5"/>
  <c r="BR42" i="5"/>
  <c r="BQ42" i="5"/>
  <c r="BP42" i="5"/>
  <c r="AH42" i="5"/>
  <c r="AG42" i="5" s="1"/>
  <c r="AF42" i="5"/>
  <c r="AE42" i="5"/>
  <c r="M42" i="5"/>
  <c r="L42" i="5" s="1"/>
  <c r="K42" i="5"/>
  <c r="J42" i="5"/>
  <c r="BT41" i="5"/>
  <c r="BS41" i="5"/>
  <c r="BR41" i="5"/>
  <c r="BQ41" i="5"/>
  <c r="BP41" i="5"/>
  <c r="AH41" i="5"/>
  <c r="AG41" i="5" s="1"/>
  <c r="AF41" i="5"/>
  <c r="AE41" i="5"/>
  <c r="M41" i="5"/>
  <c r="L41" i="5" s="1"/>
  <c r="K41" i="5"/>
  <c r="J41" i="5"/>
  <c r="BT40" i="5"/>
  <c r="BS40" i="5"/>
  <c r="BR40" i="5"/>
  <c r="BQ40" i="5"/>
  <c r="BP40" i="5"/>
  <c r="BN40" i="5" a="1"/>
  <c r="BN40" i="5" s="1"/>
  <c r="BL40" i="5" a="1"/>
  <c r="BL40" i="5" s="1"/>
  <c r="BK40" i="5" a="1"/>
  <c r="BK40" i="5" s="1"/>
  <c r="BJ40" i="5" a="1"/>
  <c r="BJ40" i="5" s="1"/>
  <c r="AH40" i="5"/>
  <c r="AG40" i="5" s="1"/>
  <c r="AF40" i="5"/>
  <c r="AE40" i="5"/>
  <c r="M40" i="5"/>
  <c r="K40" i="5"/>
  <c r="J40" i="5"/>
  <c r="BT39" i="5"/>
  <c r="BS39" i="5"/>
  <c r="BR39" i="5"/>
  <c r="BQ39" i="5"/>
  <c r="BP39" i="5"/>
  <c r="AH39" i="5"/>
  <c r="AG39" i="5" s="1"/>
  <c r="AF39" i="5"/>
  <c r="AE39" i="5"/>
  <c r="M39" i="5"/>
  <c r="L39" i="5" s="1"/>
  <c r="K39" i="5"/>
  <c r="J39" i="5"/>
  <c r="BT38" i="5"/>
  <c r="BS38" i="5"/>
  <c r="BR38" i="5"/>
  <c r="BQ38" i="5"/>
  <c r="BP38" i="5"/>
  <c r="AH38" i="5"/>
  <c r="AG38" i="5" s="1"/>
  <c r="AF38" i="5"/>
  <c r="AE38" i="5"/>
  <c r="M38" i="5"/>
  <c r="L38" i="5" s="1"/>
  <c r="K38" i="5"/>
  <c r="J38" i="5"/>
  <c r="BT37" i="5"/>
  <c r="BS37" i="5"/>
  <c r="BR37" i="5"/>
  <c r="BQ37" i="5"/>
  <c r="BP37" i="5"/>
  <c r="AH37" i="5"/>
  <c r="AG37" i="5" s="1"/>
  <c r="AF37" i="5"/>
  <c r="AE37" i="5"/>
  <c r="M37" i="5"/>
  <c r="L37" i="5"/>
  <c r="K37" i="5"/>
  <c r="J37" i="5"/>
  <c r="BT36" i="5"/>
  <c r="BS36" i="5"/>
  <c r="BR36" i="5"/>
  <c r="BQ36" i="5"/>
  <c r="BP36" i="5"/>
  <c r="AH36" i="5"/>
  <c r="AF36" i="5"/>
  <c r="AE36" i="5"/>
  <c r="M36" i="5"/>
  <c r="L36" i="5" s="1"/>
  <c r="K36" i="5"/>
  <c r="J36" i="5"/>
  <c r="BT35" i="5"/>
  <c r="BS35" i="5"/>
  <c r="BR35" i="5"/>
  <c r="BQ35" i="5"/>
  <c r="BP35" i="5"/>
  <c r="BN35" i="5" a="1"/>
  <c r="BN35" i="5" s="1"/>
  <c r="BL35" i="5" a="1"/>
  <c r="BL35" i="5" s="1"/>
  <c r="BK35" i="5" a="1"/>
  <c r="BK35" i="5" s="1"/>
  <c r="BJ35" i="5" a="1"/>
  <c r="BJ35" i="5" s="1"/>
  <c r="AH35" i="5"/>
  <c r="AG35" i="5" s="1"/>
  <c r="AF35" i="5"/>
  <c r="AE35" i="5"/>
  <c r="M35" i="5"/>
  <c r="K35" i="5"/>
  <c r="J35" i="5"/>
  <c r="BT34" i="5"/>
  <c r="BS34" i="5"/>
  <c r="BR34" i="5"/>
  <c r="BQ34" i="5"/>
  <c r="BP34" i="5"/>
  <c r="AH34" i="5"/>
  <c r="AG34" i="5" s="1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E33" i="5"/>
  <c r="M33" i="5"/>
  <c r="L33" i="5" s="1"/>
  <c r="K33" i="5"/>
  <c r="J33" i="5"/>
  <c r="BT32" i="5"/>
  <c r="BS32" i="5"/>
  <c r="BR32" i="5"/>
  <c r="BQ32" i="5"/>
  <c r="BP32" i="5"/>
  <c r="AH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F31" i="5"/>
  <c r="AE31" i="5"/>
  <c r="M31" i="5"/>
  <c r="L31" i="5" s="1"/>
  <c r="K31" i="5"/>
  <c r="J31" i="5"/>
  <c r="BT30" i="5"/>
  <c r="BS30" i="5"/>
  <c r="BR30" i="5"/>
  <c r="BQ30" i="5"/>
  <c r="BP30" i="5"/>
  <c r="BN30" i="5" a="1"/>
  <c r="BN30" i="5" s="1"/>
  <c r="BL30" i="5" a="1"/>
  <c r="BL30" i="5" s="1"/>
  <c r="BK30" i="5" a="1"/>
  <c r="BK30" i="5" s="1"/>
  <c r="BJ30" i="5" a="1"/>
  <c r="BJ30" i="5" s="1"/>
  <c r="AH30" i="5"/>
  <c r="AG30" i="5" s="1"/>
  <c r="AF30" i="5"/>
  <c r="AE30" i="5"/>
  <c r="M30" i="5"/>
  <c r="L30" i="5" s="1"/>
  <c r="K30" i="5"/>
  <c r="J30" i="5"/>
  <c r="BT29" i="5"/>
  <c r="BS29" i="5"/>
  <c r="BR29" i="5"/>
  <c r="BQ29" i="5"/>
  <c r="BP29" i="5"/>
  <c r="AH29" i="5"/>
  <c r="AG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F28" i="5"/>
  <c r="AE28" i="5"/>
  <c r="M28" i="5"/>
  <c r="L28" i="5" s="1"/>
  <c r="K28" i="5"/>
  <c r="J28" i="5"/>
  <c r="BT27" i="5"/>
  <c r="BS27" i="5"/>
  <c r="BR27" i="5"/>
  <c r="BQ27" i="5"/>
  <c r="BP27" i="5"/>
  <c r="AH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E26" i="5"/>
  <c r="M26" i="5"/>
  <c r="L26" i="5" s="1"/>
  <c r="K26" i="5"/>
  <c r="J26" i="5"/>
  <c r="BT25" i="5"/>
  <c r="BS25" i="5"/>
  <c r="BR25" i="5"/>
  <c r="BQ25" i="5"/>
  <c r="BP25" i="5"/>
  <c r="BN25" i="5" a="1"/>
  <c r="BN25" i="5" s="1"/>
  <c r="BL25" i="5" a="1"/>
  <c r="BL25" i="5" s="1"/>
  <c r="BK25" i="5" a="1"/>
  <c r="BK25" i="5" s="1"/>
  <c r="BJ25" i="5" a="1"/>
  <c r="BJ25" i="5" s="1"/>
  <c r="AH25" i="5"/>
  <c r="AG25" i="5" s="1"/>
  <c r="AF25" i="5"/>
  <c r="AE25" i="5"/>
  <c r="M25" i="5"/>
  <c r="K25" i="5"/>
  <c r="J25" i="5"/>
  <c r="BT24" i="5"/>
  <c r="BS24" i="5"/>
  <c r="BR24" i="5"/>
  <c r="BQ24" i="5"/>
  <c r="BP24" i="5"/>
  <c r="AH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F23" i="5"/>
  <c r="AE23" i="5"/>
  <c r="M23" i="5"/>
  <c r="L23" i="5" s="1"/>
  <c r="K23" i="5"/>
  <c r="J23" i="5"/>
  <c r="BT22" i="5"/>
  <c r="BS22" i="5"/>
  <c r="BR22" i="5"/>
  <c r="BQ22" i="5"/>
  <c r="BP22" i="5"/>
  <c r="AH22" i="5"/>
  <c r="AF22" i="5"/>
  <c r="AE22" i="5"/>
  <c r="M22" i="5"/>
  <c r="L22" i="5"/>
  <c r="K22" i="5"/>
  <c r="J22" i="5"/>
  <c r="BT21" i="5"/>
  <c r="BS21" i="5"/>
  <c r="BR21" i="5"/>
  <c r="BQ21" i="5"/>
  <c r="BP21" i="5"/>
  <c r="AH21" i="5"/>
  <c r="AH70" i="5" s="1"/>
  <c r="AF21" i="5"/>
  <c r="AE21" i="5"/>
  <c r="M21" i="5"/>
  <c r="L21" i="5" s="1"/>
  <c r="K21" i="5"/>
  <c r="J21" i="5"/>
  <c r="BT20" i="5"/>
  <c r="BS20" i="5"/>
  <c r="BR20" i="5"/>
  <c r="BQ20" i="5"/>
  <c r="BP20" i="5"/>
  <c r="BN20" i="5" a="1"/>
  <c r="BN20" i="5" s="1"/>
  <c r="BL20" i="5" a="1"/>
  <c r="BL20" i="5" s="1"/>
  <c r="BK20" i="5" a="1"/>
  <c r="BK20" i="5" s="1"/>
  <c r="BJ20" i="5" a="1"/>
  <c r="BJ20" i="5" s="1"/>
  <c r="AH20" i="5"/>
  <c r="AF20" i="5"/>
  <c r="AE20" i="5"/>
  <c r="M20" i="5"/>
  <c r="L20" i="5" s="1"/>
  <c r="K20" i="5"/>
  <c r="J20" i="5"/>
  <c r="BT19" i="5"/>
  <c r="BS19" i="5"/>
  <c r="BR19" i="5"/>
  <c r="BQ19" i="5"/>
  <c r="BP19" i="5"/>
  <c r="AH19" i="5"/>
  <c r="AF19" i="5"/>
  <c r="AE19" i="5"/>
  <c r="M19" i="5"/>
  <c r="L19" i="5" s="1"/>
  <c r="K19" i="5"/>
  <c r="J19" i="5"/>
  <c r="BT18" i="5"/>
  <c r="BS18" i="5"/>
  <c r="BR18" i="5"/>
  <c r="BQ18" i="5"/>
  <c r="BP18" i="5"/>
  <c r="AH18" i="5"/>
  <c r="AF18" i="5"/>
  <c r="AE18" i="5"/>
  <c r="M18" i="5"/>
  <c r="K18" i="5"/>
  <c r="J18" i="5"/>
  <c r="BT17" i="5"/>
  <c r="BS17" i="5"/>
  <c r="BR17" i="5"/>
  <c r="BQ17" i="5"/>
  <c r="BP17" i="5"/>
  <c r="AH17" i="5"/>
  <c r="AG17" i="5" s="1"/>
  <c r="AF17" i="5"/>
  <c r="AE17" i="5"/>
  <c r="M17" i="5"/>
  <c r="L17" i="5" s="1"/>
  <c r="K17" i="5"/>
  <c r="J17" i="5"/>
  <c r="BT16" i="5"/>
  <c r="BS16" i="5"/>
  <c r="BR16" i="5"/>
  <c r="BQ16" i="5"/>
  <c r="BP16" i="5"/>
  <c r="AH16" i="5"/>
  <c r="AG16" i="5" s="1"/>
  <c r="AF16" i="5"/>
  <c r="AE16" i="5"/>
  <c r="M16" i="5"/>
  <c r="K16" i="5"/>
  <c r="J16" i="5"/>
  <c r="BT15" i="5"/>
  <c r="BS15" i="5"/>
  <c r="BR15" i="5"/>
  <c r="BQ15" i="5"/>
  <c r="BP15" i="5"/>
  <c r="BN15" i="5" a="1"/>
  <c r="BN15" i="5" s="1"/>
  <c r="BN46" i="5" s="1"/>
  <c r="BL15" i="5" a="1"/>
  <c r="BL15" i="5" s="1"/>
  <c r="BK15" i="5" a="1"/>
  <c r="BK15" i="5" s="1"/>
  <c r="BJ15" i="5" a="1"/>
  <c r="BJ15" i="5" s="1"/>
  <c r="AH15" i="5"/>
  <c r="AF15" i="5"/>
  <c r="AE15" i="5"/>
  <c r="M15" i="5"/>
  <c r="L15" i="5"/>
  <c r="K15" i="5"/>
  <c r="J15" i="5"/>
  <c r="BT14" i="5"/>
  <c r="BS14" i="5"/>
  <c r="BR14" i="5"/>
  <c r="BQ14" i="5"/>
  <c r="BP14" i="5"/>
  <c r="AH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/>
  <c r="AF13" i="5"/>
  <c r="AE13" i="5"/>
  <c r="M13" i="5"/>
  <c r="L13" i="5" s="1"/>
  <c r="K13" i="5"/>
  <c r="J13" i="5"/>
  <c r="BT12" i="5"/>
  <c r="BS12" i="5"/>
  <c r="BR12" i="5"/>
  <c r="BQ12" i="5"/>
  <c r="BP12" i="5"/>
  <c r="AH12" i="5"/>
  <c r="AG12" i="5"/>
  <c r="AF12" i="5"/>
  <c r="AE12" i="5"/>
  <c r="M12" i="5"/>
  <c r="L12" i="5" s="1"/>
  <c r="K12" i="5"/>
  <c r="J12" i="5"/>
  <c r="BT11" i="5"/>
  <c r="BS11" i="5"/>
  <c r="BR11" i="5"/>
  <c r="BQ11" i="5"/>
  <c r="BP11" i="5"/>
  <c r="AH11" i="5"/>
  <c r="AG11" i="5"/>
  <c r="AF11" i="5"/>
  <c r="AE11" i="5"/>
  <c r="M11" i="5"/>
  <c r="K11" i="5"/>
  <c r="J11" i="5"/>
  <c r="BT10" i="5"/>
  <c r="BS10" i="5"/>
  <c r="BR10" i="5"/>
  <c r="BQ10" i="5"/>
  <c r="BP10" i="5"/>
  <c r="BN10" i="5" a="1"/>
  <c r="BN10" i="5" s="1"/>
  <c r="BL10" i="5" a="1"/>
  <c r="BL10" i="5" s="1"/>
  <c r="BK10" i="5" a="1"/>
  <c r="BK10" i="5" s="1"/>
  <c r="BJ10" i="5" a="1"/>
  <c r="BJ10" i="5" s="1"/>
  <c r="AH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G8" i="5" s="1"/>
  <c r="AF8" i="5"/>
  <c r="AE8" i="5"/>
  <c r="M8" i="5"/>
  <c r="L8" i="5" s="1"/>
  <c r="K8" i="5"/>
  <c r="J8" i="5"/>
  <c r="BT7" i="5"/>
  <c r="BS7" i="5"/>
  <c r="BR7" i="5"/>
  <c r="BQ7" i="5"/>
  <c r="BP7" i="5"/>
  <c r="AH7" i="5"/>
  <c r="AG7" i="5" s="1"/>
  <c r="AF7" i="5"/>
  <c r="AE7" i="5"/>
  <c r="M7" i="5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BN5" i="5" a="1"/>
  <c r="BN5" i="5" s="1"/>
  <c r="BL5" i="5" a="1"/>
  <c r="BL5" i="5" s="1"/>
  <c r="BK5" i="5" a="1"/>
  <c r="BK5" i="5" s="1"/>
  <c r="BJ5" i="5" a="1"/>
  <c r="BJ5" i="5" s="1"/>
  <c r="AH5" i="5"/>
  <c r="AG5" i="5" s="1"/>
  <c r="AF5" i="5"/>
  <c r="AE5" i="5"/>
  <c r="M5" i="5"/>
  <c r="L5" i="5" s="1"/>
  <c r="K5" i="5"/>
  <c r="J5" i="5"/>
  <c r="AE1" i="5"/>
  <c r="J1" i="5"/>
  <c r="R27" i="3"/>
  <c r="Q27" i="3"/>
  <c r="R26" i="3"/>
  <c r="Q26" i="3"/>
  <c r="R25" i="3"/>
  <c r="Q25" i="3"/>
  <c r="R24" i="3"/>
  <c r="Q24" i="3"/>
  <c r="R23" i="3"/>
  <c r="Q23" i="3"/>
  <c r="R22" i="3"/>
  <c r="Q22" i="3"/>
  <c r="R21" i="3"/>
  <c r="Q21" i="3"/>
  <c r="R20" i="3"/>
  <c r="Q20" i="3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I14" i="3" s="1"/>
  <c r="H7" i="3"/>
  <c r="X6" i="3"/>
  <c r="P6" i="3"/>
  <c r="V6" i="3" s="1"/>
  <c r="O6" i="3"/>
  <c r="I6" i="3"/>
  <c r="H6" i="3"/>
  <c r="X5" i="3"/>
  <c r="P5" i="3"/>
  <c r="P13" i="3" s="1"/>
  <c r="O5" i="3"/>
  <c r="I5" i="3"/>
  <c r="H5" i="3"/>
  <c r="O1" i="3"/>
  <c r="H1" i="3"/>
  <c r="T18" i="3" l="1"/>
  <c r="C14" i="1" s="1"/>
  <c r="V12" i="3"/>
  <c r="BN47" i="6"/>
  <c r="BJ45" i="5"/>
  <c r="BK47" i="5"/>
  <c r="BL47" i="5"/>
  <c r="BN47" i="5"/>
  <c r="BJ46" i="6"/>
  <c r="BL46" i="6"/>
  <c r="BJ47" i="6"/>
  <c r="BK47" i="6"/>
  <c r="BL47" i="6"/>
  <c r="AH93" i="6"/>
  <c r="AX50" i="6"/>
  <c r="C36" i="1" s="1"/>
  <c r="J17" i="7" s="1"/>
  <c r="AX50" i="5"/>
  <c r="C24" i="1" s="1"/>
  <c r="C17" i="7" s="1"/>
  <c r="AF46" i="5"/>
  <c r="BK48" i="5"/>
  <c r="AG82" i="5"/>
  <c r="BJ46" i="5"/>
  <c r="BN48" i="5"/>
  <c r="BK46" i="5"/>
  <c r="BL46" i="5"/>
  <c r="BJ47" i="5"/>
  <c r="AG90" i="5"/>
  <c r="AG21" i="5"/>
  <c r="AF45" i="5"/>
  <c r="AG63" i="6"/>
  <c r="AH58" i="6"/>
  <c r="BI10" i="6" a="1"/>
  <c r="BI10" i="6" s="1"/>
  <c r="AG86" i="6"/>
  <c r="AH88" i="6"/>
  <c r="AH73" i="6"/>
  <c r="AH76" i="6"/>
  <c r="K45" i="6"/>
  <c r="AG58" i="6"/>
  <c r="BI30" i="6" a="1"/>
  <c r="BI30" i="6" s="1"/>
  <c r="AG54" i="6"/>
  <c r="AH55" i="6"/>
  <c r="AH86" i="6"/>
  <c r="AG62" i="6"/>
  <c r="AH67" i="6"/>
  <c r="AH69" i="6"/>
  <c r="L44" i="6"/>
  <c r="AG93" i="6" s="1"/>
  <c r="AH62" i="6"/>
  <c r="BH20" i="6" a="1"/>
  <c r="BH20" i="6" s="1"/>
  <c r="AG70" i="6"/>
  <c r="AH74" i="6"/>
  <c r="AG80" i="6"/>
  <c r="AG82" i="6"/>
  <c r="AG84" i="6"/>
  <c r="AH90" i="6"/>
  <c r="AH82" i="6"/>
  <c r="AH84" i="6"/>
  <c r="AH70" i="6"/>
  <c r="BH10" i="6" a="1"/>
  <c r="BH10" i="6" s="1"/>
  <c r="BM10" i="6" a="1"/>
  <c r="BM10" i="6" s="1"/>
  <c r="AG66" i="6"/>
  <c r="BP46" i="6"/>
  <c r="AG71" i="6"/>
  <c r="BS47" i="6"/>
  <c r="AH78" i="6"/>
  <c r="L30" i="6"/>
  <c r="AH91" i="5"/>
  <c r="BM25" i="5" a="1"/>
  <c r="BM25" i="5" s="1"/>
  <c r="AG92" i="5"/>
  <c r="BP46" i="5"/>
  <c r="AH66" i="5"/>
  <c r="BH15" i="5" a="1"/>
  <c r="BH15" i="5" s="1"/>
  <c r="BM20" i="5" a="1"/>
  <c r="BM20" i="5" s="1"/>
  <c r="AH71" i="5"/>
  <c r="AH87" i="5"/>
  <c r="AH59" i="5"/>
  <c r="AH62" i="5"/>
  <c r="BR46" i="5"/>
  <c r="L25" i="5"/>
  <c r="AH76" i="5"/>
  <c r="BS47" i="5"/>
  <c r="L18" i="5"/>
  <c r="BI10" i="5" a="1"/>
  <c r="BI10" i="5" s="1"/>
  <c r="AG83" i="5"/>
  <c r="AG62" i="5"/>
  <c r="AH58" i="5"/>
  <c r="AH67" i="5"/>
  <c r="AH83" i="5"/>
  <c r="BH35" i="5" a="1"/>
  <c r="BH35" i="5" s="1"/>
  <c r="AG86" i="5"/>
  <c r="AG58" i="5"/>
  <c r="BM10" i="5" a="1"/>
  <c r="BM10" i="5" s="1"/>
  <c r="K46" i="5"/>
  <c r="BH20" i="5" a="1"/>
  <c r="BH20" i="5" s="1"/>
  <c r="AG70" i="5"/>
  <c r="AG55" i="5"/>
  <c r="AG57" i="5"/>
  <c r="AH63" i="5"/>
  <c r="BR47" i="5"/>
  <c r="AH75" i="5"/>
  <c r="AG79" i="5"/>
  <c r="AH80" i="5"/>
  <c r="BQ46" i="5"/>
  <c r="AG54" i="5"/>
  <c r="BQ45" i="5"/>
  <c r="AH54" i="5"/>
  <c r="BS45" i="5"/>
  <c r="BS48" i="5"/>
  <c r="AG66" i="5"/>
  <c r="AW50" i="5"/>
  <c r="C23" i="1" s="1"/>
  <c r="C16" i="7" s="1"/>
  <c r="P14" i="3"/>
  <c r="V14" i="3" s="1"/>
  <c r="C10" i="1" s="1"/>
  <c r="V8" i="3"/>
  <c r="X13" i="3"/>
  <c r="X15" i="3"/>
  <c r="S18" i="3"/>
  <c r="C13" i="1" s="1"/>
  <c r="V11" i="3"/>
  <c r="V10" i="3"/>
  <c r="P15" i="3"/>
  <c r="BR48" i="5"/>
  <c r="BR45" i="5"/>
  <c r="AH68" i="5"/>
  <c r="AG19" i="5"/>
  <c r="AG68" i="5" s="1"/>
  <c r="BT47" i="5"/>
  <c r="L7" i="5"/>
  <c r="AZ5" i="5" s="1" a="1"/>
  <c r="AZ5" i="5" s="1"/>
  <c r="BH5" i="5" a="1"/>
  <c r="BH5" i="5" s="1"/>
  <c r="BM5" i="5" a="1"/>
  <c r="BM5" i="5" s="1"/>
  <c r="BS46" i="5"/>
  <c r="AH72" i="5"/>
  <c r="AG23" i="5"/>
  <c r="AG72" i="5" s="1"/>
  <c r="AH85" i="5"/>
  <c r="AG36" i="5"/>
  <c r="AG85" i="5" s="1"/>
  <c r="AG87" i="5"/>
  <c r="I16" i="3"/>
  <c r="V5" i="3"/>
  <c r="I13" i="3"/>
  <c r="AG56" i="5"/>
  <c r="AH64" i="5"/>
  <c r="AG15" i="5"/>
  <c r="AG64" i="5" s="1"/>
  <c r="BT46" i="5"/>
  <c r="AH69" i="5"/>
  <c r="AG20" i="5"/>
  <c r="AG69" i="5" s="1"/>
  <c r="AG78" i="5"/>
  <c r="AG91" i="5"/>
  <c r="AG93" i="5"/>
  <c r="BD30" i="5" a="1"/>
  <c r="BD30" i="5" s="1"/>
  <c r="G9" i="7" s="1"/>
  <c r="V9" i="3"/>
  <c r="I15" i="3"/>
  <c r="K48" i="5"/>
  <c r="K45" i="5"/>
  <c r="BI5" i="5" a="1"/>
  <c r="BI5" i="5" s="1"/>
  <c r="V13" i="3"/>
  <c r="C9" i="1" s="1"/>
  <c r="AF48" i="5"/>
  <c r="P16" i="3"/>
  <c r="BP45" i="5"/>
  <c r="AG61" i="5"/>
  <c r="K47" i="5"/>
  <c r="BP47" i="5"/>
  <c r="AH77" i="5"/>
  <c r="AG28" i="5"/>
  <c r="AG77" i="5" s="1"/>
  <c r="L40" i="5"/>
  <c r="AG89" i="5" s="1"/>
  <c r="BM40" i="5" a="1"/>
  <c r="BM40" i="5" s="1"/>
  <c r="BI40" i="5" a="1"/>
  <c r="BI40" i="5" s="1"/>
  <c r="BH40" i="5" a="1"/>
  <c r="BH40" i="5" s="1"/>
  <c r="X14" i="3"/>
  <c r="X16" i="3"/>
  <c r="BL45" i="5"/>
  <c r="BL48" i="5"/>
  <c r="BQ48" i="5"/>
  <c r="BH10" i="5" a="1"/>
  <c r="BH10" i="5" s="1"/>
  <c r="L11" i="5"/>
  <c r="L16" i="5"/>
  <c r="BM15" i="5" a="1"/>
  <c r="BM15" i="5" s="1"/>
  <c r="BI15" i="5" a="1"/>
  <c r="BI15" i="5" s="1"/>
  <c r="AH73" i="5"/>
  <c r="AG24" i="5"/>
  <c r="AG73" i="5" s="1"/>
  <c r="AG74" i="5"/>
  <c r="AH81" i="5"/>
  <c r="AG32" i="5"/>
  <c r="AG81" i="5" s="1"/>
  <c r="AG88" i="5"/>
  <c r="BL48" i="6"/>
  <c r="BL45" i="6"/>
  <c r="BC5" i="5" a="1"/>
  <c r="BC5" i="5" s="1"/>
  <c r="BI35" i="5" a="1"/>
  <c r="BI35" i="5" s="1"/>
  <c r="BM35" i="5" a="1"/>
  <c r="BM35" i="5" s="1"/>
  <c r="BN45" i="5"/>
  <c r="K46" i="6"/>
  <c r="AH92" i="6"/>
  <c r="AG43" i="6"/>
  <c r="AG92" i="6" s="1"/>
  <c r="V7" i="3"/>
  <c r="BT48" i="5"/>
  <c r="AH55" i="5"/>
  <c r="BI20" i="5" a="1"/>
  <c r="BI20" i="5" s="1"/>
  <c r="AG27" i="5"/>
  <c r="AG76" i="5" s="1"/>
  <c r="AH79" i="5"/>
  <c r="BH30" i="5" a="1"/>
  <c r="BH30" i="5" s="1"/>
  <c r="AG31" i="5"/>
  <c r="AG80" i="5" s="1"/>
  <c r="L35" i="5"/>
  <c r="BJ48" i="5"/>
  <c r="AH56" i="6"/>
  <c r="AG7" i="6"/>
  <c r="AG56" i="6" s="1"/>
  <c r="AG61" i="6"/>
  <c r="L15" i="6"/>
  <c r="AG64" i="6" s="1"/>
  <c r="BM15" i="6" a="1"/>
  <c r="BM15" i="6" s="1"/>
  <c r="BI15" i="6" a="1"/>
  <c r="BI15" i="6" s="1"/>
  <c r="BH15" i="6" a="1"/>
  <c r="BH15" i="6" s="1"/>
  <c r="BH46" i="6" s="1"/>
  <c r="L36" i="6"/>
  <c r="BH35" i="6" a="1"/>
  <c r="BH35" i="6" s="1"/>
  <c r="AG39" i="6"/>
  <c r="AG88" i="6" s="1"/>
  <c r="L42" i="6"/>
  <c r="BI40" i="6" a="1"/>
  <c r="BI40" i="6" s="1"/>
  <c r="BH40" i="6" a="1"/>
  <c r="BH40" i="6" s="1"/>
  <c r="BM40" i="6" a="1"/>
  <c r="BM40" i="6" s="1"/>
  <c r="AH61" i="5"/>
  <c r="AH65" i="5"/>
  <c r="BI30" i="5" a="1"/>
  <c r="BI30" i="5" s="1"/>
  <c r="BM30" i="5" a="1"/>
  <c r="BM30" i="5" s="1"/>
  <c r="AH89" i="5"/>
  <c r="AH93" i="5"/>
  <c r="BH5" i="6" a="1"/>
  <c r="BH5" i="6" s="1"/>
  <c r="BP45" i="6"/>
  <c r="BS46" i="6"/>
  <c r="AG65" i="6"/>
  <c r="AG24" i="6"/>
  <c r="AG73" i="6" s="1"/>
  <c r="K47" i="6"/>
  <c r="AG81" i="6"/>
  <c r="BA5" i="5" a="1"/>
  <c r="BA5" i="5" s="1"/>
  <c r="BE5" i="5" a="1"/>
  <c r="BE5" i="5" s="1"/>
  <c r="AG10" i="5"/>
  <c r="AG59" i="5" s="1"/>
  <c r="AG14" i="5"/>
  <c r="AG63" i="5" s="1"/>
  <c r="AG18" i="5"/>
  <c r="AG67" i="5" s="1"/>
  <c r="AG22" i="5"/>
  <c r="AG71" i="5" s="1"/>
  <c r="AH74" i="5"/>
  <c r="BH25" i="5" a="1"/>
  <c r="BH25" i="5" s="1"/>
  <c r="AG26" i="5"/>
  <c r="AG75" i="5" s="1"/>
  <c r="AH78" i="5"/>
  <c r="AH82" i="5"/>
  <c r="AH86" i="5"/>
  <c r="AH90" i="5"/>
  <c r="BQ45" i="6"/>
  <c r="BQ48" i="6"/>
  <c r="AG27" i="6"/>
  <c r="AG76" i="6" s="1"/>
  <c r="BM35" i="6" a="1"/>
  <c r="BM35" i="6" s="1"/>
  <c r="AH57" i="5"/>
  <c r="BK45" i="5"/>
  <c r="BT45" i="5"/>
  <c r="AF45" i="6"/>
  <c r="AF48" i="6"/>
  <c r="BR45" i="6"/>
  <c r="BR48" i="6"/>
  <c r="AG57" i="6"/>
  <c r="AH60" i="6"/>
  <c r="AG11" i="6"/>
  <c r="AG60" i="6" s="1"/>
  <c r="L26" i="6"/>
  <c r="BM25" i="6" a="1"/>
  <c r="BM25" i="6" s="1"/>
  <c r="BI25" i="6" a="1"/>
  <c r="BI25" i="6" s="1"/>
  <c r="BH25" i="6" a="1"/>
  <c r="BH25" i="6" s="1"/>
  <c r="BH47" i="6" s="1"/>
  <c r="AF47" i="5"/>
  <c r="BQ47" i="5"/>
  <c r="AG69" i="6"/>
  <c r="BP48" i="5"/>
  <c r="BB5" i="5" a="1"/>
  <c r="BB5" i="5" s="1"/>
  <c r="AH56" i="5"/>
  <c r="AH60" i="5"/>
  <c r="BI25" i="5" a="1"/>
  <c r="BI25" i="5" s="1"/>
  <c r="AH84" i="5"/>
  <c r="AH88" i="5"/>
  <c r="AH92" i="5"/>
  <c r="BK48" i="6"/>
  <c r="BK45" i="6"/>
  <c r="BP47" i="6"/>
  <c r="AH54" i="6"/>
  <c r="BS45" i="6"/>
  <c r="BS48" i="6"/>
  <c r="AG6" i="6"/>
  <c r="AG55" i="6" s="1"/>
  <c r="L10" i="6"/>
  <c r="AG59" i="6" s="1"/>
  <c r="AF46" i="6"/>
  <c r="BQ46" i="6"/>
  <c r="AH66" i="6"/>
  <c r="BQ47" i="6"/>
  <c r="AG29" i="6"/>
  <c r="AG78" i="6" s="1"/>
  <c r="AH80" i="6"/>
  <c r="BT48" i="6"/>
  <c r="BT45" i="6"/>
  <c r="BR46" i="6"/>
  <c r="AG68" i="6"/>
  <c r="BI20" i="6" a="1"/>
  <c r="BI20" i="6" s="1"/>
  <c r="BM20" i="6" a="1"/>
  <c r="BM20" i="6" s="1"/>
  <c r="AG72" i="6"/>
  <c r="BR47" i="6"/>
  <c r="AG75" i="6"/>
  <c r="AG85" i="6"/>
  <c r="AH91" i="6"/>
  <c r="AG42" i="6"/>
  <c r="AG91" i="6" s="1"/>
  <c r="K48" i="6"/>
  <c r="BI5" i="6" a="1"/>
  <c r="BI5" i="6" s="1"/>
  <c r="BM5" i="6" a="1"/>
  <c r="BM5" i="6" s="1"/>
  <c r="AH64" i="6"/>
  <c r="AH68" i="6"/>
  <c r="AH72" i="6"/>
  <c r="AF47" i="6"/>
  <c r="AH75" i="6"/>
  <c r="BH30" i="6" a="1"/>
  <c r="BH30" i="6" s="1"/>
  <c r="BM30" i="6" a="1"/>
  <c r="BM30" i="6" s="1"/>
  <c r="AH85" i="6"/>
  <c r="AH87" i="6"/>
  <c r="AG38" i="6"/>
  <c r="AG87" i="6" s="1"/>
  <c r="BJ45" i="6"/>
  <c r="BJ48" i="6"/>
  <c r="BN45" i="6"/>
  <c r="BN48" i="6"/>
  <c r="AH57" i="6"/>
  <c r="AH61" i="6"/>
  <c r="BT46" i="6"/>
  <c r="AH65" i="6"/>
  <c r="AG74" i="6"/>
  <c r="BT47" i="6"/>
  <c r="AG77" i="6"/>
  <c r="AH89" i="6"/>
  <c r="AG40" i="6"/>
  <c r="AG89" i="6" s="1"/>
  <c r="BA5" i="6" a="1"/>
  <c r="BA5" i="6" s="1"/>
  <c r="AG18" i="6"/>
  <c r="AG67" i="6" s="1"/>
  <c r="AH77" i="6"/>
  <c r="BP48" i="6"/>
  <c r="AH59" i="6"/>
  <c r="AH63" i="6"/>
  <c r="AH71" i="6"/>
  <c r="AH79" i="6"/>
  <c r="AG30" i="6"/>
  <c r="AG79" i="6" s="1"/>
  <c r="AH81" i="6"/>
  <c r="AH83" i="6"/>
  <c r="AG34" i="6"/>
  <c r="AG83" i="6" s="1"/>
  <c r="BI35" i="6" a="1"/>
  <c r="BI35" i="6" s="1"/>
  <c r="AG41" i="6"/>
  <c r="AG90" i="6" s="1"/>
  <c r="V16" i="3" l="1"/>
  <c r="C12" i="1" s="1"/>
  <c r="BI47" i="6"/>
  <c r="AZ35" i="6" a="1"/>
  <c r="AZ35" i="6" s="1"/>
  <c r="J10" i="7" s="1"/>
  <c r="BD35" i="6" a="1"/>
  <c r="BD35" i="6" s="1"/>
  <c r="N10" i="7" s="1"/>
  <c r="BC20" i="6" a="1"/>
  <c r="BC20" i="6" s="1"/>
  <c r="M7" i="7" s="1"/>
  <c r="BM47" i="6"/>
  <c r="BI46" i="6"/>
  <c r="BM46" i="6"/>
  <c r="BF20" i="6" a="1"/>
  <c r="BF20" i="6" s="1"/>
  <c r="P7" i="7" s="1"/>
  <c r="BE5" i="6" a="1"/>
  <c r="BE5" i="6" s="1"/>
  <c r="BD5" i="6" a="1"/>
  <c r="BD5" i="6" s="1"/>
  <c r="BC5" i="6" a="1"/>
  <c r="BC5" i="6" s="1"/>
  <c r="AZ5" i="6" a="1"/>
  <c r="AZ5" i="6" s="1"/>
  <c r="BC25" i="6" a="1"/>
  <c r="BC25" i="6" s="1"/>
  <c r="M8" i="7" s="1"/>
  <c r="BH46" i="5"/>
  <c r="BI46" i="5"/>
  <c r="BM46" i="5"/>
  <c r="BI47" i="5"/>
  <c r="BH47" i="5"/>
  <c r="BM47" i="5"/>
  <c r="AZ20" i="5" a="1"/>
  <c r="AZ20" i="5" s="1"/>
  <c r="C7" i="7" s="1"/>
  <c r="BC10" i="5" a="1"/>
  <c r="BC10" i="5" s="1"/>
  <c r="F5" i="7" s="1"/>
  <c r="BE15" i="5" a="1"/>
  <c r="BE15" i="5" s="1"/>
  <c r="H4" i="7"/>
  <c r="BE30" i="6" a="1"/>
  <c r="BE30" i="6" s="1"/>
  <c r="O9" i="7" s="1"/>
  <c r="BC25" i="5" a="1"/>
  <c r="BC25" i="5" s="1"/>
  <c r="BD20" i="5" a="1"/>
  <c r="BD20" i="5" s="1"/>
  <c r="G7" i="7" s="1"/>
  <c r="BE30" i="5" a="1"/>
  <c r="BE30" i="5" s="1"/>
  <c r="H9" i="7" s="1"/>
  <c r="C4" i="7"/>
  <c r="O4" i="7"/>
  <c r="BE25" i="5" a="1"/>
  <c r="BE25" i="5" s="1"/>
  <c r="BB25" i="5" a="1"/>
  <c r="BB25" i="5" s="1"/>
  <c r="D4" i="7"/>
  <c r="BE35" i="6" a="1"/>
  <c r="BE35" i="6" s="1"/>
  <c r="O10" i="7" s="1"/>
  <c r="BM45" i="6"/>
  <c r="BM48" i="6"/>
  <c r="BF30" i="6" a="1"/>
  <c r="BF30" i="6" s="1"/>
  <c r="P9" i="7" s="1"/>
  <c r="BC30" i="6" a="1"/>
  <c r="BC30" i="6" s="1"/>
  <c r="M9" i="7" s="1"/>
  <c r="BA15" i="5" a="1"/>
  <c r="BA15" i="5" s="1"/>
  <c r="BD30" i="6" a="1"/>
  <c r="BD30" i="6" s="1"/>
  <c r="N9" i="7" s="1"/>
  <c r="BD15" i="6" a="1"/>
  <c r="BD15" i="6" s="1"/>
  <c r="AZ15" i="6" a="1"/>
  <c r="AZ15" i="6" s="1"/>
  <c r="BC15" i="6" a="1"/>
  <c r="BC15" i="6" s="1"/>
  <c r="BF15" i="6" a="1"/>
  <c r="BF15" i="6" s="1"/>
  <c r="BB15" i="6" a="1"/>
  <c r="BB15" i="6" s="1"/>
  <c r="BA15" i="6" a="1"/>
  <c r="BA15" i="6" s="1"/>
  <c r="BE15" i="6" a="1"/>
  <c r="BE15" i="6" s="1"/>
  <c r="AZ20" i="6" a="1"/>
  <c r="AZ20" i="6" s="1"/>
  <c r="J7" i="7" s="1"/>
  <c r="BF5" i="6" a="1"/>
  <c r="BF5" i="6" s="1"/>
  <c r="BF25" i="5" a="1"/>
  <c r="BF25" i="5" s="1"/>
  <c r="BF15" i="5" a="1"/>
  <c r="BF15" i="5" s="1"/>
  <c r="BB15" i="5" a="1"/>
  <c r="BB15" i="5" s="1"/>
  <c r="BC15" i="5" a="1"/>
  <c r="BC15" i="5" s="1"/>
  <c r="BA20" i="5" a="1"/>
  <c r="BA20" i="5" s="1"/>
  <c r="D7" i="7" s="1"/>
  <c r="K4" i="7"/>
  <c r="BH45" i="5"/>
  <c r="BH48" i="5"/>
  <c r="BB35" i="6" a="1"/>
  <c r="BB35" i="6" s="1"/>
  <c r="L10" i="7" s="1"/>
  <c r="BB30" i="6" a="1"/>
  <c r="BB30" i="6" s="1"/>
  <c r="L9" i="7" s="1"/>
  <c r="BI45" i="6"/>
  <c r="BI48" i="6"/>
  <c r="BA30" i="6" a="1"/>
  <c r="BA30" i="6" s="1"/>
  <c r="K9" i="7" s="1"/>
  <c r="BD40" i="6" a="1"/>
  <c r="BD40" i="6" s="1"/>
  <c r="N11" i="7" s="1"/>
  <c r="BF25" i="6" a="1"/>
  <c r="BF25" i="6" s="1"/>
  <c r="BB40" i="6" a="1"/>
  <c r="BB40" i="6" s="1"/>
  <c r="L11" i="7" s="1"/>
  <c r="BD20" i="6" a="1"/>
  <c r="BD20" i="6" s="1"/>
  <c r="N7" i="7" s="1"/>
  <c r="BB10" i="5" a="1"/>
  <c r="BB10" i="5" s="1"/>
  <c r="E5" i="7" s="1"/>
  <c r="BF10" i="5" a="1"/>
  <c r="BF10" i="5" s="1"/>
  <c r="I5" i="7" s="1"/>
  <c r="BD10" i="5" a="1"/>
  <c r="BD10" i="5" s="1"/>
  <c r="G5" i="7" s="1"/>
  <c r="AZ10" i="5" a="1"/>
  <c r="AZ10" i="5" s="1"/>
  <c r="C5" i="7" s="1"/>
  <c r="BE20" i="5" a="1"/>
  <c r="BE20" i="5" s="1"/>
  <c r="H7" i="7" s="1"/>
  <c r="AG65" i="5"/>
  <c r="V15" i="3"/>
  <c r="C11" i="1" s="1"/>
  <c r="BA25" i="6" a="1"/>
  <c r="BA25" i="6" s="1"/>
  <c r="BC35" i="5" a="1"/>
  <c r="BC35" i="5" s="1"/>
  <c r="F10" i="7" s="1"/>
  <c r="BA35" i="5" a="1"/>
  <c r="BA35" i="5" s="1"/>
  <c r="D10" i="7" s="1"/>
  <c r="BE35" i="5" a="1"/>
  <c r="BE35" i="5" s="1"/>
  <c r="H10" i="7" s="1"/>
  <c r="BF35" i="5" a="1"/>
  <c r="BF35" i="5" s="1"/>
  <c r="I10" i="7" s="1"/>
  <c r="BB35" i="5" a="1"/>
  <c r="BB35" i="5" s="1"/>
  <c r="E10" i="7" s="1"/>
  <c r="BD35" i="5" a="1"/>
  <c r="BD35" i="5" s="1"/>
  <c r="G10" i="7" s="1"/>
  <c r="AZ35" i="5" a="1"/>
  <c r="AZ35" i="5" s="1"/>
  <c r="C10" i="7" s="1"/>
  <c r="H6" i="7"/>
  <c r="M4" i="7"/>
  <c r="AZ30" i="6" a="1"/>
  <c r="AZ30" i="6" s="1"/>
  <c r="J9" i="7" s="1"/>
  <c r="BF35" i="6" a="1"/>
  <c r="BF35" i="6" s="1"/>
  <c r="P10" i="7" s="1"/>
  <c r="BF40" i="6" a="1"/>
  <c r="BF40" i="6" s="1"/>
  <c r="P11" i="7" s="1"/>
  <c r="BB25" i="6" a="1"/>
  <c r="BB25" i="6" s="1"/>
  <c r="BD15" i="5" a="1"/>
  <c r="BD15" i="5" s="1"/>
  <c r="BA20" i="6" a="1"/>
  <c r="BA20" i="6" s="1"/>
  <c r="K7" i="7" s="1"/>
  <c r="AZ25" i="5" a="1"/>
  <c r="AZ25" i="5" s="1"/>
  <c r="BB20" i="5" a="1"/>
  <c r="BB20" i="5" s="1"/>
  <c r="E7" i="7" s="1"/>
  <c r="BB5" i="6" a="1"/>
  <c r="BB5" i="6" s="1"/>
  <c r="AG84" i="5"/>
  <c r="AG60" i="5"/>
  <c r="BF30" i="5" a="1"/>
  <c r="BF30" i="5" s="1"/>
  <c r="I9" i="7" s="1"/>
  <c r="BI45" i="5"/>
  <c r="BI48" i="5"/>
  <c r="BH45" i="6"/>
  <c r="BH48" i="6"/>
  <c r="BA30" i="5" a="1"/>
  <c r="BA30" i="5" s="1"/>
  <c r="D9" i="7" s="1"/>
  <c r="BA35" i="6" a="1"/>
  <c r="BA35" i="6" s="1"/>
  <c r="K10" i="7" s="1"/>
  <c r="BC10" i="6" a="1"/>
  <c r="BC10" i="6" s="1"/>
  <c r="M5" i="7" s="1"/>
  <c r="BF10" i="6" a="1"/>
  <c r="BF10" i="6" s="1"/>
  <c r="P5" i="7" s="1"/>
  <c r="BB10" i="6" a="1"/>
  <c r="BB10" i="6" s="1"/>
  <c r="L5" i="7" s="1"/>
  <c r="BE10" i="6" a="1"/>
  <c r="BE10" i="6" s="1"/>
  <c r="O5" i="7" s="1"/>
  <c r="BA10" i="6" a="1"/>
  <c r="BA10" i="6" s="1"/>
  <c r="K5" i="7" s="1"/>
  <c r="BD10" i="6" a="1"/>
  <c r="BD10" i="6" s="1"/>
  <c r="N5" i="7" s="1"/>
  <c r="AZ10" i="6" a="1"/>
  <c r="AZ10" i="6" s="1"/>
  <c r="J5" i="7" s="1"/>
  <c r="J4" i="7"/>
  <c r="E4" i="7"/>
  <c r="BB45" i="5"/>
  <c r="E19" i="1" s="1"/>
  <c r="E12" i="7" s="1"/>
  <c r="AZ40" i="6" a="1"/>
  <c r="AZ40" i="6" s="1"/>
  <c r="J11" i="7" s="1"/>
  <c r="AZ15" i="5" a="1"/>
  <c r="AZ15" i="5" s="1"/>
  <c r="BE10" i="5" a="1"/>
  <c r="BE10" i="5" s="1"/>
  <c r="H5" i="7" s="1"/>
  <c r="BE20" i="6" a="1"/>
  <c r="BE20" i="6" s="1"/>
  <c r="O7" i="7" s="1"/>
  <c r="BD25" i="5" a="1"/>
  <c r="BD25" i="5" s="1"/>
  <c r="BD40" i="5" a="1"/>
  <c r="BD40" i="5" s="1"/>
  <c r="G11" i="7" s="1"/>
  <c r="AZ40" i="5" a="1"/>
  <c r="AZ40" i="5" s="1"/>
  <c r="C11" i="7" s="1"/>
  <c r="BC40" i="5" a="1"/>
  <c r="BC40" i="5" s="1"/>
  <c r="F11" i="7" s="1"/>
  <c r="BF40" i="5" a="1"/>
  <c r="BF40" i="5" s="1"/>
  <c r="I11" i="7" s="1"/>
  <c r="BB40" i="5" a="1"/>
  <c r="BB40" i="5" s="1"/>
  <c r="E11" i="7" s="1"/>
  <c r="BE40" i="5" a="1"/>
  <c r="BE40" i="5" s="1"/>
  <c r="H11" i="7" s="1"/>
  <c r="BA40" i="5" a="1"/>
  <c r="BA40" i="5" s="1"/>
  <c r="D11" i="7" s="1"/>
  <c r="BF20" i="5" a="1"/>
  <c r="BF20" i="5" s="1"/>
  <c r="I7" i="7" s="1"/>
  <c r="BC30" i="5" a="1"/>
  <c r="BC30" i="5" s="1"/>
  <c r="F9" i="7" s="1"/>
  <c r="BF5" i="5" a="1"/>
  <c r="BF5" i="5" s="1"/>
  <c r="BC20" i="5" a="1"/>
  <c r="BC20" i="5" s="1"/>
  <c r="F7" i="7" s="1"/>
  <c r="BE40" i="6" a="1"/>
  <c r="BE40" i="6" s="1"/>
  <c r="O11" i="7" s="1"/>
  <c r="BM48" i="5"/>
  <c r="BM45" i="5"/>
  <c r="BE25" i="6" a="1"/>
  <c r="BE25" i="6" s="1"/>
  <c r="BD45" i="6"/>
  <c r="G31" i="1" s="1"/>
  <c r="N12" i="7" s="1"/>
  <c r="N4" i="7"/>
  <c r="AZ25" i="6" a="1"/>
  <c r="AZ25" i="6" s="1"/>
  <c r="BA40" i="6" a="1"/>
  <c r="BA40" i="6" s="1"/>
  <c r="K11" i="7" s="1"/>
  <c r="BD25" i="6" a="1"/>
  <c r="BD25" i="6" s="1"/>
  <c r="BC35" i="6" a="1"/>
  <c r="BC35" i="6" s="1"/>
  <c r="M10" i="7" s="1"/>
  <c r="BA10" i="5" a="1"/>
  <c r="BA10" i="5" s="1"/>
  <c r="D5" i="7" s="1"/>
  <c r="BB20" i="6" a="1"/>
  <c r="BB20" i="6" s="1"/>
  <c r="L7" i="7" s="1"/>
  <c r="F4" i="7"/>
  <c r="BA25" i="5" a="1"/>
  <c r="BA25" i="5" s="1"/>
  <c r="BC40" i="6" a="1"/>
  <c r="BC40" i="6" s="1"/>
  <c r="M11" i="7" s="1"/>
  <c r="AZ30" i="5" a="1"/>
  <c r="AZ30" i="5" s="1"/>
  <c r="C9" i="7" s="1"/>
  <c r="BB30" i="5" a="1"/>
  <c r="BB30" i="5" s="1"/>
  <c r="E9" i="7" s="1"/>
  <c r="BD5" i="5" a="1"/>
  <c r="BD5" i="5" s="1"/>
  <c r="AZ48" i="6" l="1"/>
  <c r="C34" i="1" s="1"/>
  <c r="J15" i="7" s="1"/>
  <c r="AZ45" i="5"/>
  <c r="C19" i="1" s="1"/>
  <c r="C12" i="7" s="1"/>
  <c r="BB48" i="5"/>
  <c r="E22" i="1" s="1"/>
  <c r="E15" i="7" s="1"/>
  <c r="BE45" i="6"/>
  <c r="H31" i="1" s="1"/>
  <c r="O12" i="7" s="1"/>
  <c r="BC47" i="6"/>
  <c r="F33" i="1" s="1"/>
  <c r="M14" i="7" s="1"/>
  <c r="BD48" i="6"/>
  <c r="G34" i="1" s="1"/>
  <c r="N15" i="7" s="1"/>
  <c r="BA48" i="6"/>
  <c r="D34" i="1" s="1"/>
  <c r="K15" i="7" s="1"/>
  <c r="AZ45" i="6"/>
  <c r="C31" i="1" s="1"/>
  <c r="J12" i="7" s="1"/>
  <c r="BC45" i="6"/>
  <c r="F31" i="1" s="1"/>
  <c r="M12" i="7" s="1"/>
  <c r="BA45" i="6"/>
  <c r="D31" i="1" s="1"/>
  <c r="K12" i="7" s="1"/>
  <c r="BC48" i="6"/>
  <c r="F34" i="1" s="1"/>
  <c r="M15" i="7" s="1"/>
  <c r="BE48" i="6"/>
  <c r="H34" i="1" s="1"/>
  <c r="O15" i="7" s="1"/>
  <c r="BE45" i="5"/>
  <c r="H19" i="1" s="1"/>
  <c r="H12" i="7" s="1"/>
  <c r="BA48" i="5"/>
  <c r="D22" i="1" s="1"/>
  <c r="D15" i="7" s="1"/>
  <c r="BE48" i="5"/>
  <c r="H22" i="1" s="1"/>
  <c r="H15" i="7" s="1"/>
  <c r="BA45" i="5"/>
  <c r="D19" i="1" s="1"/>
  <c r="D12" i="7" s="1"/>
  <c r="AZ48" i="5"/>
  <c r="C22" i="1" s="1"/>
  <c r="C15" i="7" s="1"/>
  <c r="BC48" i="5"/>
  <c r="F22" i="1" s="1"/>
  <c r="F15" i="7" s="1"/>
  <c r="BC45" i="5"/>
  <c r="F19" i="1" s="1"/>
  <c r="F12" i="7" s="1"/>
  <c r="BE46" i="5"/>
  <c r="H20" i="1" s="1"/>
  <c r="H13" i="7" s="1"/>
  <c r="BB46" i="6"/>
  <c r="E32" i="1" s="1"/>
  <c r="L13" i="7" s="1"/>
  <c r="L6" i="7"/>
  <c r="G8" i="7"/>
  <c r="BD47" i="5"/>
  <c r="G21" i="1" s="1"/>
  <c r="G14" i="7" s="1"/>
  <c r="L8" i="7"/>
  <c r="BB47" i="6"/>
  <c r="E33" i="1" s="1"/>
  <c r="L14" i="7" s="1"/>
  <c r="K8" i="7"/>
  <c r="BA47" i="6"/>
  <c r="D33" i="1" s="1"/>
  <c r="K14" i="7" s="1"/>
  <c r="E6" i="7"/>
  <c r="BB46" i="5"/>
  <c r="E20" i="1" s="1"/>
  <c r="E13" i="7" s="1"/>
  <c r="P6" i="7"/>
  <c r="BF46" i="6"/>
  <c r="I32" i="1" s="1"/>
  <c r="P13" i="7" s="1"/>
  <c r="BC47" i="5"/>
  <c r="F21" i="1" s="1"/>
  <c r="F14" i="7" s="1"/>
  <c r="F8" i="7"/>
  <c r="F6" i="7"/>
  <c r="BC46" i="5"/>
  <c r="F20" i="1" s="1"/>
  <c r="F13" i="7" s="1"/>
  <c r="H8" i="7"/>
  <c r="BE47" i="5"/>
  <c r="H21" i="1" s="1"/>
  <c r="H14" i="7" s="1"/>
  <c r="G4" i="7"/>
  <c r="BD48" i="5"/>
  <c r="G22" i="1" s="1"/>
  <c r="G15" i="7" s="1"/>
  <c r="BD45" i="5"/>
  <c r="G19" i="1" s="1"/>
  <c r="G12" i="7" s="1"/>
  <c r="BE47" i="6"/>
  <c r="H33" i="1" s="1"/>
  <c r="O14" i="7" s="1"/>
  <c r="O8" i="7"/>
  <c r="I6" i="7"/>
  <c r="BF46" i="5"/>
  <c r="I20" i="1" s="1"/>
  <c r="I13" i="7" s="1"/>
  <c r="BC46" i="6"/>
  <c r="F32" i="1" s="1"/>
  <c r="M13" i="7" s="1"/>
  <c r="M6" i="7"/>
  <c r="BF47" i="6"/>
  <c r="I33" i="1" s="1"/>
  <c r="P14" i="7" s="1"/>
  <c r="P8" i="7"/>
  <c r="I8" i="7"/>
  <c r="BF47" i="5"/>
  <c r="I21" i="1" s="1"/>
  <c r="I14" i="7" s="1"/>
  <c r="AZ46" i="6"/>
  <c r="C32" i="1" s="1"/>
  <c r="J13" i="7" s="1"/>
  <c r="J6" i="7"/>
  <c r="G6" i="7"/>
  <c r="BD46" i="5"/>
  <c r="G20" i="1" s="1"/>
  <c r="G13" i="7" s="1"/>
  <c r="BD47" i="6"/>
  <c r="G33" i="1" s="1"/>
  <c r="N14" i="7" s="1"/>
  <c r="N8" i="7"/>
  <c r="C6" i="7"/>
  <c r="AZ46" i="5"/>
  <c r="C20" i="1" s="1"/>
  <c r="C13" i="7" s="1"/>
  <c r="L4" i="7"/>
  <c r="BB48" i="6"/>
  <c r="E34" i="1" s="1"/>
  <c r="L15" i="7" s="1"/>
  <c r="BB45" i="6"/>
  <c r="E31" i="1" s="1"/>
  <c r="L12" i="7" s="1"/>
  <c r="P4" i="7"/>
  <c r="BF48" i="6"/>
  <c r="I34" i="1" s="1"/>
  <c r="P15" i="7" s="1"/>
  <c r="BF45" i="6"/>
  <c r="I31" i="1" s="1"/>
  <c r="P12" i="7" s="1"/>
  <c r="BD46" i="6"/>
  <c r="G32" i="1" s="1"/>
  <c r="N13" i="7" s="1"/>
  <c r="N6" i="7"/>
  <c r="J8" i="7"/>
  <c r="AZ47" i="6"/>
  <c r="C33" i="1" s="1"/>
  <c r="J14" i="7" s="1"/>
  <c r="C8" i="7"/>
  <c r="AZ47" i="5"/>
  <c r="C21" i="1" s="1"/>
  <c r="C14" i="7" s="1"/>
  <c r="O6" i="7"/>
  <c r="BE46" i="6"/>
  <c r="H32" i="1" s="1"/>
  <c r="O13" i="7" s="1"/>
  <c r="D6" i="7"/>
  <c r="BA46" i="5"/>
  <c r="D20" i="1" s="1"/>
  <c r="D13" i="7" s="1"/>
  <c r="D8" i="7"/>
  <c r="BA47" i="5"/>
  <c r="D21" i="1" s="1"/>
  <c r="D14" i="7" s="1"/>
  <c r="I4" i="7"/>
  <c r="BF48" i="5"/>
  <c r="I22" i="1" s="1"/>
  <c r="I15" i="7" s="1"/>
  <c r="BF45" i="5"/>
  <c r="I19" i="1" s="1"/>
  <c r="I12" i="7" s="1"/>
  <c r="K6" i="7"/>
  <c r="BA46" i="6"/>
  <c r="D32" i="1" s="1"/>
  <c r="K13" i="7" s="1"/>
  <c r="E8" i="7"/>
  <c r="BB47" i="5"/>
  <c r="E21" i="1" s="1"/>
  <c r="E14" i="7" s="1"/>
</calcChain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<sst xmlns="http://schemas.openxmlformats.org/spreadsheetml/2006/main" count="957" uniqueCount="430">
  <si>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</si>
  <si>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</si>
  <si>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</si>
  <si>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</si>
  <si>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</si>
  <si>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</si>
  <si>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</si>
  <si>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</si>
  <si>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</si>
  <si>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</si>
  <si>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</si>
  <si>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</si>
  <si>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</si>
  <si>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</si>
  <si>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</si>
  <si>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</si>
  <si>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</si>
  <si>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</si>
  <si>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</si>
  <si>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</si>
  <si>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</si>
  <si>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</si>
  <si>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</si>
  <si>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</si>
  <si>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</si>
  <si>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</si>
  <si>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</si>
  <si>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C2 lossy RA</t>
  </si>
  <si>
    <t>← Select this …</t>
  </si>
  <si>
    <t>Columns</t>
  </si>
  <si>
    <t>C1 lossy AI</t>
  </si>
  <si>
    <t>Sequence:</t>
  </si>
  <si>
    <t>longdress_voxelised</t>
  </si>
  <si>
    <t>← … then this</t>
  </si>
  <si>
    <t>dec.cb-hpsnr</t>
  </si>
  <si>
    <t>Chroma Cb EtE Hausdorff PSNR [dB]</t>
  </si>
  <si>
    <t>names!$B$91:$S$91</t>
  </si>
  <si>
    <t>names!$B$155:$S$155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</si>
  <si>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</si>
  <si>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</si>
  <si>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</si>
  <si>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</si>
  <si>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</si>
  <si>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</si>
  <si>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</si>
  <si>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</si>
  <si>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</si>
  <si>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</si>
  <si>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</si>
  <si>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</si>
  <si>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</si>
  <si>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</si>
  <si>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</si>
  <si>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</si>
  <si>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</si>
  <si>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</si>
  <si>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</si>
  <si>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</si>
  <si>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</si>
  <si>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</si>
  <si>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</si>
  <si>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</si>
  <si>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</si>
  <si>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</si>
  <si>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</si>
  <si>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</si>
  <si>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</si>
  <si>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</si>
  <si>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</si>
  <si>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</si>
  <si>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</si>
  <si>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</si>
  <si>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</si>
  <si>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</si>
  <si>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</si>
  <si>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</si>
  <si>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</si>
  <si>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</si>
  <si>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</si>
  <si>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</si>
  <si>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</si>
  <si>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</si>
  <si>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</si>
  <si>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</si>
  <si>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</si>
  <si>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</si>
  <si>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</si>
  <si>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</si>
  <si>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</si>
  <si>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</si>
  <si>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</si>
  <si>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</si>
  <si>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</si>
  <si>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</si>
  <si>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</si>
  <si>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</si>
  <si>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</si>
  <si>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</si>
  <si>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</si>
  <si>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</si>
  <si>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</si>
  <si>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</si>
  <si>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</si>
  <si>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</si>
  <si>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</si>
  <si>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</si>
  <si>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</si>
  <si>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</si>
  <si>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</si>
  <si>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</si>
  <si>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</si>
  <si>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</si>
  <si>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</si>
  <si>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</si>
  <si>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</si>
  <si>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</si>
  <si>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</si>
  <si>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</si>
  <si>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</si>
  <si>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</si>
  <si>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</si>
  <si>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</si>
  <si>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</si>
  <si>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</si>
  <si>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</si>
  <si>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</si>
  <si>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</si>
  <si>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</si>
  <si>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</si>
  <si>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</si>
  <si>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</si>
  <si>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</si>
  <si>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</si>
  <si>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</si>
  <si>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</si>
  <si>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</si>
  <si>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</si>
  <si>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</si>
  <si>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</si>
  <si>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</si>
  <si>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</si>
  <si>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</si>
  <si>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</si>
  <si>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</si>
  <si>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</si>
  <si>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</si>
  <si>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</si>
  <si>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</si>
  <si>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</si>
  <si>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</si>
  <si>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</si>
  <si>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</si>
  <si>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</si>
  <si>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</si>
  <si>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</si>
  <si>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</si>
  <si>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</si>
  <si>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</si>
  <si>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</si>
  <si>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</si>
  <si>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</si>
  <si>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</si>
  <si>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</si>
  <si>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</si>
  <si>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</si>
  <si>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</si>
  <si>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</si>
  <si>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</si>
  <si>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</si>
  <si>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</si>
  <si>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</si>
  <si>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</si>
  <si>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</si>
  <si>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</si>
  <si>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</si>
  <si>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</si>
  <si>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</si>
  <si>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</si>
  <si>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</si>
  <si>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</si>
  <si>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</si>
  <si>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</si>
  <si>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</si>
  <si>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</si>
  <si>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</si>
  <si>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</si>
  <si>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</si>
  <si>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</si>
  <si>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</si>
  <si>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</si>
  <si>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</si>
  <si>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</si>
  <si>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</si>
  <si>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</si>
  <si>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</si>
  <si>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</si>
  <si>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</si>
  <si>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</si>
  <si>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</si>
  <si>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</si>
  <si>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</si>
  <si>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</si>
  <si>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</si>
  <si>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</si>
  <si>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</si>
  <si>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</si>
  <si>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</si>
  <si>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</si>
  <si>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</si>
  <si>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</si>
  <si>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</si>
  <si>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</si>
  <si>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</si>
  <si>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</si>
  <si>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</si>
  <si>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</si>
  <si>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</si>
  <si>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</si>
  <si>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</si>
  <si>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</si>
  <si>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</si>
  <si>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</si>
  <si>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</si>
  <si>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</si>
  <si>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</si>
  <si>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</si>
  <si>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</si>
  <si>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</si>
  <si>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</si>
  <si>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</si>
  <si>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</si>
  <si>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</si>
  <si>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</si>
  <si>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</si>
  <si>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</si>
  <si>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</si>
  <si>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</si>
  <si>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</si>
  <si>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</si>
  <si>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</si>
  <si>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</si>
  <si>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</si>
  <si>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</si>
  <si>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</si>
  <si>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</si>
  <si>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</si>
  <si>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</si>
  <si>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</si>
  <si>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</si>
  <si>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</si>
  <si>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</si>
  <si>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</si>
  <si>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</si>
  <si>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</si>
  <si>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</si>
  <si>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</si>
  <si>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</si>
  <si>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</si>
  <si>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</si>
  <si>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</si>
  <si>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</si>
  <si>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</si>
  <si>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</si>
  <si>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</si>
  <si>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</si>
  <si>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</si>
  <si>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</si>
  <si>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</si>
  <si>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</si>
  <si>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</si>
  <si>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</si>
  <si>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</si>
  <si>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</si>
  <si>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</si>
  <si>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</si>
  <si>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</si>
  <si>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</si>
  <si>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</si>
  <si>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</si>
  <si>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</si>
  <si>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</si>
  <si>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</si>
  <si>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</si>
  <si>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</si>
  <si>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</si>
  <si>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</si>
  <si>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</si>
  <si>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</si>
  <si>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</si>
  <si>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</si>
  <si>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</si>
  <si>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</si>
  <si>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</si>
  <si>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</si>
  <si>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</si>
  <si>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</si>
  <si>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</si>
  <si>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</si>
  <si>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</si>
  <si>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</si>
  <si>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</si>
  <si>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</si>
  <si>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</si>
  <si>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</si>
  <si>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</si>
  <si>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</si>
  <si>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</si>
  <si>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</si>
  <si>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</si>
  <si>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</si>
  <si>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</si>
  <si>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</si>
  <si>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</si>
  <si>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</si>
  <si>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</si>
  <si>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</si>
  <si>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</si>
  <si>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</si>
  <si>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</si>
  <si>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</si>
  <si>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</si>
  <si>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</si>
  <si>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</si>
  <si>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</si>
  <si>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</si>
  <si>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</si>
  <si>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</si>
  <si>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</si>
  <si>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</si>
  <si>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</si>
  <si>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</si>
  <si>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</si>
  <si>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</si>
  <si>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</si>
  <si>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</si>
  <si>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</si>
  <si>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</si>
  <si>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</si>
  <si>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</si>
  <si>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</si>
  <si>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</si>
  <si>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</si>
  <si>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</si>
  <si>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</si>
  <si>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</si>
  <si>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</si>
  <si>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</si>
  <si>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</si>
  <si>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</si>
  <si>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</si>
  <si>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</si>
  <si>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</si>
  <si>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</si>
  <si>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</si>
  <si>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</si>
  <si>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</si>
  <si>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</si>
  <si>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</si>
  <si>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</si>
  <si>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</si>
  <si>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</si>
  <si>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</si>
  <si>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</si>
  <si>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</si>
  <si>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</si>
  <si>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</si>
  <si>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</si>
  <si>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</si>
  <si>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</si>
  <si>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</si>
  <si>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</si>
  <si>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</si>
  <si>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</si>
  <si>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</si>
  <si>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</si>
  <si>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</si>
  <si>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</si>
  <si>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</si>
  <si>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</si>
  <si>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</si>
  <si>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</si>
  <si>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</si>
  <si>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</si>
  <si>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</si>
  <si>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</si>
  <si>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</si>
  <si>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</si>
  <si>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</si>
  <si>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</si>
  <si>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</si>
  <si>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</si>
  <si>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</si>
  <si>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</si>
  <si>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</si>
  <si>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</si>
  <si>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</si>
  <si>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</si>
  <si>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</si>
  <si>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</si>
  <si>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</si>
  <si>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</si>
  <si>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</si>
  <si>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</si>
  <si>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</si>
  <si>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</si>
  <si>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</si>
  <si>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</si>
  <si>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</si>
  <si>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</si>
  <si>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</si>
  <si>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</si>
  <si>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</si>
  <si>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</si>
  <si>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</si>
  <si>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</si>
  <si>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</si>
  <si>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</si>
  <si>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</si>
  <si>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</si>
  <si>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</si>
  <si>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</si>
  <si>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</si>
  <si>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</si>
  <si>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</si>
  <si>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</si>
  <si>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</si>
  <si>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</si>
  <si>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</si>
  <si>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</si>
  <si>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v5.0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</si>
</sst>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176" fontId="0" fillId="0" borderId="0" xfId="0" applyNumberFormat="1" applyAlignment="1">
      <alignment horizontal="center"/>
    </xf>
    <xf numFmtId="176" fontId="0" fillId="0" borderId="4" xfId="0" applyNumberFormat="1" applyBorder="1" applyAlignment="1">
      <alignment horizontal="center"/>
    </xf>
    <xf numFmtId="177" fontId="0" fillId="8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177" fontId="0" fillId="10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2" borderId="0" xfId="0" applyFont="1" applyFill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0" fillId="14" borderId="16" xfId="0" applyFill="1" applyBorder="1" applyAlignment="1">
      <alignment horizontal="left"/>
    </xf>
    <xf numFmtId="0" fontId="0" fillId="0" borderId="12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9" fontId="0" fillId="15" borderId="15" xfId="0" applyNumberFormat="1" applyFill="1" applyBorder="1" applyAlignment="1">
      <alignment horizontal="center"/>
    </xf>
    <xf numFmtId="0" fontId="0" fillId="0" borderId="10" xfId="0" applyBorder="1"/>
    <xf numFmtId="0" fontId="0" fillId="15" borderId="16" xfId="0" applyFill="1" applyBorder="1" applyAlignment="1">
      <alignment horizontal="left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0" fontId="0" fillId="14" borderId="13" xfId="0" applyFill="1" applyBorder="1" applyAlignment="1">
      <alignment horizontal="left"/>
    </xf>
    <xf numFmtId="0" fontId="0" fillId="0" borderId="8" xfId="0" applyBorder="1"/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0" fillId="15" borderId="15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1" fillId="13" borderId="7" xfId="0" applyFont="1" applyFill="1" applyBorder="1" applyAlignment="1">
      <alignment horizontal="center" wrapText="1"/>
    </xf>
    <xf numFmtId="0" fontId="1" fillId="13" borderId="6" xfId="0" applyFont="1" applyFill="1" applyBorder="1" applyAlignment="1">
      <alignment horizontal="center" wrapText="1"/>
    </xf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67.341315100000003</c:v>
                </c:pt>
                <c:pt idx="1">
                  <c:v>68.182687400000006</c:v>
                </c:pt>
                <c:pt idx="2">
                  <c:v>71.367810500000004</c:v>
                </c:pt>
                <c:pt idx="3">
                  <c:v>72.726140299999997</c:v>
                </c:pt>
                <c:pt idx="4">
                  <c:v>74.177725899999999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83-4E02-845B-0CD97452DBDA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83-4E02-845B-0CD97452D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68.227850900000007</c:v>
                </c:pt>
                <c:pt idx="1">
                  <c:v>69.140467900000004</c:v>
                </c:pt>
                <c:pt idx="2">
                  <c:v>72.807171800000006</c:v>
                </c:pt>
                <c:pt idx="3">
                  <c:v>74.361612800000003</c:v>
                </c:pt>
                <c:pt idx="4">
                  <c:v>76.060440099999994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7F-42A0-93C9-0AC3DE7CC42F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7F-42A0-93C9-0AC3DE7CC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48.349942400000003</c:v>
                </c:pt>
                <c:pt idx="1">
                  <c:v>48.590665199999997</c:v>
                </c:pt>
                <c:pt idx="2">
                  <c:v>50.661255599999997</c:v>
                </c:pt>
                <c:pt idx="3">
                  <c:v>51.776615200000002</c:v>
                </c:pt>
                <c:pt idx="4">
                  <c:v>52.518857500000003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F-4C3A-BAD0-0983DF53C98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F-4C3A-BAD0-0983DF53C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27.9029934</c:v>
                </c:pt>
                <c:pt idx="1">
                  <c:v>31.035873200000001</c:v>
                </c:pt>
                <c:pt idx="2">
                  <c:v>32.2592991</c:v>
                </c:pt>
                <c:pt idx="3">
                  <c:v>33.293441000000001</c:v>
                </c:pt>
                <c:pt idx="4">
                  <c:v>34.904362999999996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2-40DB-9AD9-2D3ED66F2A30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62-40DB-9AD9-2D3ED66F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33.587809</c:v>
                </c:pt>
                <c:pt idx="1">
                  <c:v>34.771977300000003</c:v>
                </c:pt>
                <c:pt idx="2">
                  <c:v>36.433701399999997</c:v>
                </c:pt>
                <c:pt idx="3">
                  <c:v>37.037046500000002</c:v>
                </c:pt>
                <c:pt idx="4">
                  <c:v>38.573305900000001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E-4365-A17C-E6B0D9773DD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1E-4365-A17C-E6B0D977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32.986580699999998</c:v>
                </c:pt>
                <c:pt idx="1">
                  <c:v>34.287061399999999</c:v>
                </c:pt>
                <c:pt idx="2">
                  <c:v>36.167659100000002</c:v>
                </c:pt>
                <c:pt idx="3">
                  <c:v>36.775956299999997</c:v>
                </c:pt>
                <c:pt idx="4">
                  <c:v>38.281372900000001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6B-4D41-81AC-A5D8B6477829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6B-4D41-81AC-A5D8B6477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v5.0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4.0211550000000003</c:v>
                </c:pt>
                <c:pt idx="1">
                  <c:v>8.0382599999999993</c:v>
                </c:pt>
                <c:pt idx="2">
                  <c:v>11.300392499999999</c:v>
                </c:pt>
                <c:pt idx="3">
                  <c:v>14.4930375</c:v>
                </c:pt>
                <c:pt idx="4">
                  <c:v>21.825585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26.605538500000002</c:v>
                </c:pt>
                <c:pt idx="1">
                  <c:v>28.366655999999999</c:v>
                </c:pt>
                <c:pt idx="2">
                  <c:v>30.141860900000001</c:v>
                </c:pt>
                <c:pt idx="3">
                  <c:v>31.059021399999999</c:v>
                </c:pt>
                <c:pt idx="4">
                  <c:v>32.340027800000001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BA-4741-905B-C3BABC07EE62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BA-4741-905B-C3BABC07E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topLeftCell="A7" zoomScale="90" zoomScaleNormal="90" workbookViewId="0">
      <selection activeCell="E8" sqref="E8"/>
    </sheetView>
  </sheetViews>
  <sheetFormatPr defaultColWidth="9.1796875" defaultRowHeight="14" x14ac:dyDescent="0.25"/>
  <cols>
    <col min="2" max="2" width="16.7265625" style="52" customWidth="1"/>
    <col min="3" max="9" width="24.7265625" style="52" customWidth="1"/>
  </cols>
  <sheetData>
    <row r="1" spans="2:9" x14ac:dyDescent="0.25">
      <c r="B1" t="s">
        <v>0</v>
      </c>
      <c r="C1" s="109" t="s">
        <v>429</v>
      </c>
      <c r="D1" s="107"/>
      <c r="E1" s="107"/>
    </row>
    <row r="2" spans="2:9" x14ac:dyDescent="0.25">
      <c r="B2" t="s">
        <v>1</v>
      </c>
      <c r="C2" s="115"/>
      <c r="D2" s="107"/>
      <c r="E2" s="107"/>
    </row>
    <row r="4" spans="2:9" s="1" customFormat="1" x14ac:dyDescent="0.25">
      <c r="B4" s="1" t="s">
        <v>2</v>
      </c>
    </row>
    <row r="6" spans="2:9" ht="45" customHeight="1" x14ac:dyDescent="0.25">
      <c r="B6" s="106" t="s">
        <v>3</v>
      </c>
      <c r="C6" s="54" t="s">
        <v>4</v>
      </c>
    </row>
    <row r="7" spans="2:9" x14ac:dyDescent="0.25">
      <c r="B7" s="107"/>
      <c r="C7" s="55" t="s">
        <v>5</v>
      </c>
    </row>
    <row r="8" spans="2:9" x14ac:dyDescent="0.25">
      <c r="B8" s="108"/>
      <c r="C8" s="2" t="s">
        <v>6</v>
      </c>
    </row>
    <row r="9" spans="2:9" x14ac:dyDescent="0.25">
      <c r="B9" t="s">
        <v>7</v>
      </c>
      <c r="C9" s="61" t="e">
        <f>'C0 lossless AI'!V13</f>
        <v>#DIV/0!</v>
      </c>
    </row>
    <row r="10" spans="2:9" x14ac:dyDescent="0.25">
      <c r="B10" t="s">
        <v>8</v>
      </c>
      <c r="C10" s="61" t="e">
        <f>'C0 lossless AI'!V14</f>
        <v>#DIV/0!</v>
      </c>
    </row>
    <row r="11" spans="2:9" x14ac:dyDescent="0.25">
      <c r="B11" t="s">
        <v>9</v>
      </c>
      <c r="C11" s="61" t="e">
        <f>'C0 lossless AI'!V15</f>
        <v>#DIV/0!</v>
      </c>
    </row>
    <row r="12" spans="2:9" x14ac:dyDescent="0.25">
      <c r="B12" s="3" t="s">
        <v>10</v>
      </c>
      <c r="C12" s="62" t="e">
        <f>'C0 lossless AI'!V16</f>
        <v>#DIV/0!</v>
      </c>
    </row>
    <row r="13" spans="2:9" x14ac:dyDescent="0.25">
      <c r="B13" t="s">
        <v>11</v>
      </c>
      <c r="C13" s="56">
        <f>'C0 lossless AI'!S18</f>
        <v>0</v>
      </c>
    </row>
    <row r="14" spans="2:9" x14ac:dyDescent="0.25">
      <c r="B14" s="53" t="s">
        <v>12</v>
      </c>
      <c r="C14" s="57">
        <f>'C0 lossless AI'!T18</f>
        <v>0</v>
      </c>
    </row>
    <row r="16" spans="2:9" x14ac:dyDescent="0.25">
      <c r="B16" s="106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25">
      <c r="B17" s="107"/>
      <c r="C17" s="116" t="s">
        <v>15</v>
      </c>
      <c r="D17" s="107"/>
      <c r="E17" s="107"/>
      <c r="F17" s="107"/>
      <c r="G17" s="107"/>
      <c r="H17" s="114" t="s">
        <v>16</v>
      </c>
      <c r="I17" s="107"/>
    </row>
    <row r="18" spans="2:9" x14ac:dyDescent="0.25">
      <c r="B18" s="108"/>
      <c r="C18" s="2" t="s">
        <v>17</v>
      </c>
      <c r="D18" s="2" t="s">
        <v>18</v>
      </c>
      <c r="E18" s="2" t="s">
        <v>19</v>
      </c>
      <c r="F18" s="2" t="s">
        <v>20</v>
      </c>
      <c r="G18" s="2" t="s">
        <v>21</v>
      </c>
      <c r="H18" s="4" t="s">
        <v>22</v>
      </c>
      <c r="I18" s="4" t="s">
        <v>19</v>
      </c>
    </row>
    <row r="19" spans="2:9" x14ac:dyDescent="0.25">
      <c r="B19" t="s">
        <v>7</v>
      </c>
      <c r="C19" s="61" t="e">
        <f>'C1 lossy AI'!$AZ$45:$AZ$45</f>
        <v>#DIV/0!</v>
      </c>
      <c r="D19" s="61" t="e">
        <f>'C1 lossy AI'!$BA$45:$BA$45</f>
        <v>#DIV/0!</v>
      </c>
      <c r="E19" s="61" t="e">
        <f>'C1 lossy AI'!$BB$45:$BB$45</f>
        <v>#DIV/0!</v>
      </c>
      <c r="F19" s="61" t="e">
        <f>'C1 lossy AI'!$BC$45:$BC$45</f>
        <v>#DIV/0!</v>
      </c>
      <c r="G19" s="61" t="e">
        <f>'C1 lossy AI'!$BD$45:$BD$45</f>
        <v>#DIV/0!</v>
      </c>
      <c r="H19" s="61" t="e">
        <f>'C1 lossy AI'!$BE$45:$BE$45</f>
        <v>#DIV/0!</v>
      </c>
      <c r="I19" s="61" t="e">
        <f>'C1 lossy AI'!$BF$45:$BF$45</f>
        <v>#DIV/0!</v>
      </c>
    </row>
    <row r="20" spans="2:9" x14ac:dyDescent="0.25">
      <c r="B20" t="s">
        <v>8</v>
      </c>
      <c r="C20" s="61" t="e">
        <f>'C1 lossy AI'!$AZ$46:$AZ$46</f>
        <v>#DIV/0!</v>
      </c>
      <c r="D20" s="61" t="e">
        <f>'C1 lossy AI'!$BA$46:$BA$46</f>
        <v>#DIV/0!</v>
      </c>
      <c r="E20" s="61" t="e">
        <f>'C1 lossy AI'!$BB$46:$BB$46</f>
        <v>#DIV/0!</v>
      </c>
      <c r="F20" s="61" t="e">
        <f>'C1 lossy AI'!$BC$46:$BC$46</f>
        <v>#DIV/0!</v>
      </c>
      <c r="G20" s="61" t="e">
        <f>'C1 lossy AI'!$BD$46:$BD$46</f>
        <v>#DIV/0!</v>
      </c>
      <c r="H20" s="61" t="e">
        <f>'C1 lossy AI'!$BE$46:$BE$46</f>
        <v>#DIV/0!</v>
      </c>
      <c r="I20" s="61" t="e">
        <f>'C1 lossy AI'!$BF$46:$BF$46</f>
        <v>#DIV/0!</v>
      </c>
    </row>
    <row r="21" spans="2:9" x14ac:dyDescent="0.25">
      <c r="B21" t="s">
        <v>9</v>
      </c>
      <c r="C21" s="61" t="e">
        <f>'C1 lossy AI'!$AZ$47:$AZ$47</f>
        <v>#DIV/0!</v>
      </c>
      <c r="D21" s="61" t="e">
        <f>'C1 lossy AI'!$BA$47:$BA$47</f>
        <v>#DIV/0!</v>
      </c>
      <c r="E21" s="61" t="e">
        <f>'C1 lossy AI'!$BB$47:$BB$47</f>
        <v>#DIV/0!</v>
      </c>
      <c r="F21" s="61" t="e">
        <f>'C1 lossy AI'!$BC$47:$BC$47</f>
        <v>#DIV/0!</v>
      </c>
      <c r="G21" s="61" t="e">
        <f>'C1 lossy AI'!$BD$47:$BD$47</f>
        <v>#DIV/0!</v>
      </c>
      <c r="H21" s="61" t="e">
        <f>'C1 lossy AI'!$BE$47:$BE$47</f>
        <v>#DIV/0!</v>
      </c>
      <c r="I21" s="61" t="e">
        <f>'C1 lossy AI'!$BF$47:$BF$47</f>
        <v>#DIV/0!</v>
      </c>
    </row>
    <row r="22" spans="2:9" x14ac:dyDescent="0.25">
      <c r="B22" s="3" t="s">
        <v>10</v>
      </c>
      <c r="C22" s="62" t="e">
        <f>'C1 lossy AI'!$AZ$48:$AZ$48</f>
        <v>#DIV/0!</v>
      </c>
      <c r="D22" s="62" t="e">
        <f>'C1 lossy AI'!$BA$48:$BA$48</f>
        <v>#DIV/0!</v>
      </c>
      <c r="E22" s="62" t="e">
        <f>'C1 lossy AI'!$BB$48:$BB$48</f>
        <v>#DIV/0!</v>
      </c>
      <c r="F22" s="62" t="e">
        <f>'C1 lossy AI'!$BC$48:$BC$48</f>
        <v>#DIV/0!</v>
      </c>
      <c r="G22" s="62" t="e">
        <f>'C1 lossy AI'!$BD$48:$BD$48</f>
        <v>#DIV/0!</v>
      </c>
      <c r="H22" s="62" t="e">
        <f>'C1 lossy AI'!$BE$48:$BE$48</f>
        <v>#DIV/0!</v>
      </c>
      <c r="I22" s="62" t="e">
        <f>'C1 lossy AI'!$BF$48:$BF$48</f>
        <v>#DIV/0!</v>
      </c>
    </row>
    <row r="23" spans="2:9" x14ac:dyDescent="0.25">
      <c r="B23" t="s">
        <v>11</v>
      </c>
      <c r="C23" s="112">
        <f>'C1 lossy AI'!AW50</f>
        <v>0</v>
      </c>
      <c r="D23" s="107"/>
      <c r="E23" s="107"/>
      <c r="F23" s="107"/>
      <c r="G23" s="107"/>
      <c r="H23" s="107"/>
      <c r="I23" s="107"/>
    </row>
    <row r="24" spans="2:9" x14ac:dyDescent="0.25">
      <c r="B24" s="53" t="s">
        <v>12</v>
      </c>
      <c r="C24" s="113">
        <f>'C1 lossy AI'!AX50</f>
        <v>0</v>
      </c>
      <c r="D24" s="108"/>
      <c r="E24" s="108"/>
      <c r="F24" s="108"/>
      <c r="G24" s="108"/>
      <c r="H24" s="108"/>
      <c r="I24" s="108"/>
    </row>
    <row r="26" spans="2:9" s="1" customFormat="1" x14ac:dyDescent="0.25">
      <c r="B26" s="1" t="s">
        <v>23</v>
      </c>
    </row>
    <row r="28" spans="2:9" x14ac:dyDescent="0.25">
      <c r="B28" s="106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25">
      <c r="B29" s="107"/>
      <c r="C29" s="116" t="s">
        <v>15</v>
      </c>
      <c r="D29" s="107"/>
      <c r="E29" s="107"/>
      <c r="F29" s="107"/>
      <c r="G29" s="107"/>
      <c r="H29" s="114" t="s">
        <v>16</v>
      </c>
      <c r="I29" s="107"/>
    </row>
    <row r="30" spans="2:9" x14ac:dyDescent="0.25">
      <c r="B30" s="108"/>
      <c r="C30" s="2" t="s">
        <v>17</v>
      </c>
      <c r="D30" s="2" t="s">
        <v>18</v>
      </c>
      <c r="E30" s="2" t="s">
        <v>19</v>
      </c>
      <c r="F30" s="2" t="s">
        <v>20</v>
      </c>
      <c r="G30" s="2" t="s">
        <v>21</v>
      </c>
      <c r="H30" s="4" t="s">
        <v>22</v>
      </c>
      <c r="I30" s="4" t="s">
        <v>19</v>
      </c>
    </row>
    <row r="31" spans="2:9" x14ac:dyDescent="0.25">
      <c r="B31" t="s">
        <v>7</v>
      </c>
      <c r="C31" s="61" t="e">
        <f>'C2 lossy RA'!$AZ$45:$AZ$45</f>
        <v>#DIV/0!</v>
      </c>
      <c r="D31" s="61" t="e">
        <f>'C2 lossy RA'!$BA$45:$BA$45</f>
        <v>#DIV/0!</v>
      </c>
      <c r="E31" s="61" t="e">
        <f>'C2 lossy RA'!$BB$45:$BB$45</f>
        <v>#DIV/0!</v>
      </c>
      <c r="F31" s="61" t="e">
        <f>'C2 lossy RA'!$BC$45:$BC$45</f>
        <v>#DIV/0!</v>
      </c>
      <c r="G31" s="61" t="e">
        <f>'C2 lossy RA'!$BD$45:$BD$45</f>
        <v>#DIV/0!</v>
      </c>
      <c r="H31" s="61" t="e">
        <f>'C2 lossy RA'!$BE$45:$BE$45</f>
        <v>#DIV/0!</v>
      </c>
      <c r="I31" s="61" t="e">
        <f>'C2 lossy RA'!$BF$45:$BF$45</f>
        <v>#DIV/0!</v>
      </c>
    </row>
    <row r="32" spans="2:9" x14ac:dyDescent="0.25">
      <c r="B32" t="s">
        <v>8</v>
      </c>
      <c r="C32" s="61" t="e">
        <f>'C2 lossy RA'!$AZ$46:$AZ$46</f>
        <v>#DIV/0!</v>
      </c>
      <c r="D32" s="61" t="e">
        <f>'C2 lossy RA'!$BA$46:$BA$46</f>
        <v>#DIV/0!</v>
      </c>
      <c r="E32" s="61" t="e">
        <f>'C2 lossy RA'!$BB$46:$BB$46</f>
        <v>#DIV/0!</v>
      </c>
      <c r="F32" s="61" t="e">
        <f>'C2 lossy RA'!$BC$46:$BC$46</f>
        <v>#DIV/0!</v>
      </c>
      <c r="G32" s="61" t="e">
        <f>'C2 lossy RA'!$BD$46:$BD$46</f>
        <v>#DIV/0!</v>
      </c>
      <c r="H32" s="61" t="e">
        <f>'C2 lossy RA'!$BE$46:$BE$46</f>
        <v>#DIV/0!</v>
      </c>
      <c r="I32" s="61" t="e">
        <f>'C2 lossy RA'!$BF$46:$BF$46</f>
        <v>#DIV/0!</v>
      </c>
    </row>
    <row r="33" spans="2:9" x14ac:dyDescent="0.25">
      <c r="B33" t="s">
        <v>9</v>
      </c>
      <c r="C33" s="61" t="e">
        <f>'C2 lossy RA'!$AZ$47:$AZ$47</f>
        <v>#DIV/0!</v>
      </c>
      <c r="D33" s="61" t="e">
        <f>'C2 lossy RA'!$BA$47:$BA$47</f>
        <v>#DIV/0!</v>
      </c>
      <c r="E33" s="61" t="e">
        <f>'C2 lossy RA'!$BB$47:$BB$47</f>
        <v>#DIV/0!</v>
      </c>
      <c r="F33" s="61" t="e">
        <f>'C2 lossy RA'!$BC$47:$BC$47</f>
        <v>#DIV/0!</v>
      </c>
      <c r="G33" s="61" t="e">
        <f>'C2 lossy RA'!$BD$47:$BD$47</f>
        <v>#DIV/0!</v>
      </c>
      <c r="H33" s="61" t="e">
        <f>'C2 lossy RA'!$BE$47:$BE$47</f>
        <v>#DIV/0!</v>
      </c>
      <c r="I33" s="61" t="e">
        <f>'C2 lossy RA'!$BF$47:$BF$47</f>
        <v>#DIV/0!</v>
      </c>
    </row>
    <row r="34" spans="2:9" x14ac:dyDescent="0.25">
      <c r="B34" s="3" t="s">
        <v>10</v>
      </c>
      <c r="C34" s="62" t="e">
        <f>'C2 lossy RA'!$AZ$48:$AZ$48</f>
        <v>#DIV/0!</v>
      </c>
      <c r="D34" s="62" t="e">
        <f>'C2 lossy RA'!$BA$48:$BA$48</f>
        <v>#DIV/0!</v>
      </c>
      <c r="E34" s="62" t="e">
        <f>'C2 lossy RA'!$BB$48:$BB$48</f>
        <v>#DIV/0!</v>
      </c>
      <c r="F34" s="62" t="e">
        <f>'C2 lossy RA'!$BC$48:$BC$48</f>
        <v>#DIV/0!</v>
      </c>
      <c r="G34" s="62" t="e">
        <f>'C2 lossy RA'!$BD$48:$BD$48</f>
        <v>#DIV/0!</v>
      </c>
      <c r="H34" s="62" t="e">
        <f>'C2 lossy RA'!$BE$48:$BE$48</f>
        <v>#DIV/0!</v>
      </c>
      <c r="I34" s="62" t="e">
        <f>'C2 lossy RA'!$BF$48:$BF$48</f>
        <v>#DIV/0!</v>
      </c>
    </row>
    <row r="35" spans="2:9" x14ac:dyDescent="0.25">
      <c r="B35" t="s">
        <v>11</v>
      </c>
      <c r="C35" s="112">
        <f>'C2 lossy RA'!AW50</f>
        <v>0</v>
      </c>
      <c r="D35" s="107"/>
      <c r="E35" s="107"/>
      <c r="F35" s="107"/>
      <c r="G35" s="107"/>
      <c r="H35" s="107"/>
      <c r="I35" s="107"/>
    </row>
    <row r="36" spans="2:9" x14ac:dyDescent="0.25">
      <c r="B36" s="53" t="s">
        <v>12</v>
      </c>
      <c r="C36" s="113">
        <f>'C2 lossy RA'!AX50</f>
        <v>0</v>
      </c>
      <c r="D36" s="108"/>
      <c r="E36" s="108"/>
      <c r="F36" s="108"/>
      <c r="G36" s="108"/>
      <c r="H36" s="108"/>
      <c r="I36" s="108"/>
    </row>
  </sheetData>
  <mergeCells count="15">
    <mergeCell ref="B6:B8"/>
    <mergeCell ref="C1:E1"/>
    <mergeCell ref="C28:I28"/>
    <mergeCell ref="C23:I23"/>
    <mergeCell ref="C36:I36"/>
    <mergeCell ref="H17:I17"/>
    <mergeCell ref="C2:E2"/>
    <mergeCell ref="C16:I16"/>
    <mergeCell ref="C35:I35"/>
    <mergeCell ref="C29:G29"/>
    <mergeCell ref="B16:B18"/>
    <mergeCell ref="C24:I24"/>
    <mergeCell ref="H29:I29"/>
    <mergeCell ref="C17:G17"/>
    <mergeCell ref="B28:B30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796875" defaultRowHeight="14" x14ac:dyDescent="0.25"/>
  <cols>
    <col min="1" max="1" width="12.7265625" style="52" customWidth="1"/>
    <col min="2" max="2" width="24.7265625" style="52" customWidth="1"/>
    <col min="4" max="4" width="24.7265625" style="52" customWidth="1"/>
    <col min="9" max="9" width="16.7265625" style="52" customWidth="1"/>
  </cols>
  <sheetData>
    <row r="1" spans="1:14" x14ac:dyDescent="0.25">
      <c r="A1" t="s">
        <v>26</v>
      </c>
      <c r="B1" s="5" t="s">
        <v>27</v>
      </c>
      <c r="C1" t="s">
        <v>28</v>
      </c>
      <c r="I1" t="s">
        <v>29</v>
      </c>
      <c r="M1" t="s">
        <v>30</v>
      </c>
      <c r="N1" t="s">
        <v>27</v>
      </c>
    </row>
    <row r="2" spans="1:14" x14ac:dyDescent="0.25">
      <c r="A2" t="s">
        <v>31</v>
      </c>
      <c r="B2" s="5" t="s">
        <v>32</v>
      </c>
      <c r="C2" t="s">
        <v>33</v>
      </c>
      <c r="I2" t="s">
        <v>34</v>
      </c>
      <c r="J2" t="s">
        <v>35</v>
      </c>
      <c r="M2" t="s">
        <v>36</v>
      </c>
      <c r="N2" t="s">
        <v>37</v>
      </c>
    </row>
    <row r="3" spans="1:14" x14ac:dyDescent="0.25">
      <c r="I3" t="s">
        <v>38</v>
      </c>
      <c r="J3" t="s">
        <v>39</v>
      </c>
      <c r="M3" t="s">
        <v>32</v>
      </c>
      <c r="N3" t="s">
        <v>32</v>
      </c>
    </row>
    <row r="4" spans="1:14" x14ac:dyDescent="0.25">
      <c r="A4" t="s">
        <v>40</v>
      </c>
      <c r="B4" s="5" t="s">
        <v>41</v>
      </c>
      <c r="C4" t="s">
        <v>42</v>
      </c>
      <c r="D4" s="5" t="s">
        <v>43</v>
      </c>
      <c r="E4" t="s">
        <v>44</v>
      </c>
      <c r="I4" t="s">
        <v>45</v>
      </c>
      <c r="J4" t="s">
        <v>46</v>
      </c>
      <c r="M4" t="s">
        <v>47</v>
      </c>
      <c r="N4" t="s">
        <v>47</v>
      </c>
    </row>
    <row r="5" spans="1:14" x14ac:dyDescent="0.25">
      <c r="A5" t="s">
        <v>40</v>
      </c>
      <c r="B5" s="5" t="s">
        <v>41</v>
      </c>
      <c r="C5" t="s">
        <v>42</v>
      </c>
      <c r="D5" s="5" t="s">
        <v>48</v>
      </c>
      <c r="E5" t="s">
        <v>49</v>
      </c>
      <c r="I5" t="s">
        <v>50</v>
      </c>
      <c r="J5" t="s">
        <v>51</v>
      </c>
      <c r="M5" t="s">
        <v>52</v>
      </c>
      <c r="N5" t="s">
        <v>52</v>
      </c>
    </row>
    <row r="6" spans="1:14" x14ac:dyDescent="0.25">
      <c r="A6" t="s">
        <v>40</v>
      </c>
      <c r="B6" s="5" t="s">
        <v>41</v>
      </c>
      <c r="C6" t="s">
        <v>42</v>
      </c>
      <c r="D6" s="5" t="s">
        <v>53</v>
      </c>
      <c r="E6" t="s">
        <v>54</v>
      </c>
      <c r="I6" t="s">
        <v>55</v>
      </c>
      <c r="J6" t="s">
        <v>56</v>
      </c>
      <c r="M6" t="s">
        <v>57</v>
      </c>
      <c r="N6" t="s">
        <v>57</v>
      </c>
    </row>
    <row r="7" spans="1:14" x14ac:dyDescent="0.25">
      <c r="A7" t="s">
        <v>40</v>
      </c>
      <c r="B7" s="5" t="s">
        <v>41</v>
      </c>
      <c r="C7" t="s">
        <v>42</v>
      </c>
      <c r="D7" s="5" t="s">
        <v>58</v>
      </c>
      <c r="E7" t="s">
        <v>59</v>
      </c>
      <c r="I7" t="s">
        <v>60</v>
      </c>
      <c r="J7" t="s">
        <v>61</v>
      </c>
      <c r="M7" t="s">
        <v>62</v>
      </c>
      <c r="N7" t="s">
        <v>62</v>
      </c>
    </row>
    <row r="8" spans="1:14" x14ac:dyDescent="0.25">
      <c r="A8" t="s">
        <v>40</v>
      </c>
      <c r="B8" s="5" t="s">
        <v>41</v>
      </c>
      <c r="C8" t="s">
        <v>42</v>
      </c>
      <c r="D8" s="5" t="s">
        <v>63</v>
      </c>
      <c r="E8" t="s">
        <v>64</v>
      </c>
      <c r="I8" t="s">
        <v>65</v>
      </c>
      <c r="J8" t="s">
        <v>66</v>
      </c>
      <c r="M8" t="s">
        <v>67</v>
      </c>
      <c r="N8" t="s">
        <v>67</v>
      </c>
    </row>
    <row r="9" spans="1:14" x14ac:dyDescent="0.25">
      <c r="A9" t="s">
        <v>40</v>
      </c>
      <c r="B9" s="5" t="s">
        <v>41</v>
      </c>
      <c r="C9" t="s">
        <v>42</v>
      </c>
      <c r="D9" s="5" t="s">
        <v>68</v>
      </c>
      <c r="E9" t="s">
        <v>69</v>
      </c>
      <c r="I9" t="s">
        <v>70</v>
      </c>
      <c r="J9" t="s">
        <v>71</v>
      </c>
      <c r="M9" t="s">
        <v>72</v>
      </c>
      <c r="N9" t="s">
        <v>72</v>
      </c>
    </row>
    <row r="10" spans="1:14" x14ac:dyDescent="0.25">
      <c r="A10" t="s">
        <v>40</v>
      </c>
      <c r="B10" s="5" t="s">
        <v>41</v>
      </c>
      <c r="C10" t="s">
        <v>42</v>
      </c>
      <c r="D10" s="5" t="s">
        <v>73</v>
      </c>
      <c r="E10" t="s">
        <v>74</v>
      </c>
      <c r="I10" t="s">
        <v>75</v>
      </c>
      <c r="J10" t="s">
        <v>76</v>
      </c>
      <c r="M10" t="s">
        <v>77</v>
      </c>
      <c r="N10" t="s">
        <v>77</v>
      </c>
    </row>
    <row r="11" spans="1:14" x14ac:dyDescent="0.25">
      <c r="I11" t="s">
        <v>53</v>
      </c>
      <c r="J11" t="s">
        <v>78</v>
      </c>
    </row>
    <row r="12" spans="1:14" x14ac:dyDescent="0.25">
      <c r="I12" t="s">
        <v>73</v>
      </c>
      <c r="J12" t="s">
        <v>79</v>
      </c>
    </row>
    <row r="13" spans="1:14" x14ac:dyDescent="0.25">
      <c r="I13" t="s">
        <v>80</v>
      </c>
      <c r="J13" t="s">
        <v>81</v>
      </c>
    </row>
    <row r="14" spans="1:14" x14ac:dyDescent="0.25">
      <c r="I14" t="s">
        <v>82</v>
      </c>
      <c r="J14" t="s">
        <v>83</v>
      </c>
    </row>
    <row r="15" spans="1:14" x14ac:dyDescent="0.25">
      <c r="I15" t="s">
        <v>84</v>
      </c>
      <c r="J15" t="s">
        <v>85</v>
      </c>
    </row>
    <row r="16" spans="1:14" x14ac:dyDescent="0.25">
      <c r="I16" t="s">
        <v>86</v>
      </c>
      <c r="J16" t="s">
        <v>87</v>
      </c>
    </row>
    <row r="17" spans="9:10" x14ac:dyDescent="0.25">
      <c r="I17" t="s">
        <v>63</v>
      </c>
      <c r="J17" t="s">
        <v>88</v>
      </c>
    </row>
    <row r="18" spans="9:10" x14ac:dyDescent="0.25">
      <c r="I18" t="s">
        <v>68</v>
      </c>
      <c r="J18" t="s">
        <v>89</v>
      </c>
    </row>
    <row r="19" spans="9:10" x14ac:dyDescent="0.25">
      <c r="I19" t="s">
        <v>43</v>
      </c>
      <c r="J19" t="s">
        <v>90</v>
      </c>
    </row>
    <row r="20" spans="9:10" x14ac:dyDescent="0.25">
      <c r="I20" t="s">
        <v>48</v>
      </c>
      <c r="J20" t="s">
        <v>91</v>
      </c>
    </row>
    <row r="21" spans="9:10" x14ac:dyDescent="0.25">
      <c r="I21" t="s">
        <v>58</v>
      </c>
      <c r="J21" t="s">
        <v>92</v>
      </c>
    </row>
    <row r="22" spans="9:10" x14ac:dyDescent="0.25">
      <c r="I22" t="s">
        <v>93</v>
      </c>
      <c r="J22" t="s">
        <v>94</v>
      </c>
    </row>
    <row r="23" spans="9:10" x14ac:dyDescent="0.25">
      <c r="I23" t="s">
        <v>95</v>
      </c>
      <c r="J23" t="s">
        <v>96</v>
      </c>
    </row>
    <row r="24" spans="9:10" x14ac:dyDescent="0.25">
      <c r="I24" t="s">
        <v>97</v>
      </c>
      <c r="J24" t="s">
        <v>98</v>
      </c>
    </row>
    <row r="25" spans="9:10" x14ac:dyDescent="0.25">
      <c r="I25" t="s">
        <v>99</v>
      </c>
      <c r="J25" t="s">
        <v>100</v>
      </c>
    </row>
    <row r="26" spans="9:10" x14ac:dyDescent="0.25">
      <c r="I26" t="s">
        <v>101</v>
      </c>
      <c r="J26" t="s">
        <v>102</v>
      </c>
    </row>
    <row r="27" spans="9:10" x14ac:dyDescent="0.25">
      <c r="I27" t="s">
        <v>103</v>
      </c>
      <c r="J27" t="s">
        <v>104</v>
      </c>
    </row>
    <row r="28" spans="9:10" x14ac:dyDescent="0.25">
      <c r="I28" t="s">
        <v>105</v>
      </c>
      <c r="J28" t="s">
        <v>106</v>
      </c>
    </row>
    <row r="29" spans="9:10" x14ac:dyDescent="0.25">
      <c r="I29" t="s">
        <v>107</v>
      </c>
      <c r="J29" t="s">
        <v>108</v>
      </c>
    </row>
    <row r="30" spans="9:10" x14ac:dyDescent="0.25">
      <c r="I30" t="s">
        <v>109</v>
      </c>
      <c r="J30" t="s">
        <v>110</v>
      </c>
    </row>
    <row r="31" spans="9:10" x14ac:dyDescent="0.25">
      <c r="I31" t="s">
        <v>111</v>
      </c>
      <c r="J31" t="s">
        <v>112</v>
      </c>
    </row>
    <row r="32" spans="9:10" x14ac:dyDescent="0.25">
      <c r="I32" t="s">
        <v>113</v>
      </c>
      <c r="J32" t="s">
        <v>114</v>
      </c>
    </row>
    <row r="33" spans="9:10" x14ac:dyDescent="0.25">
      <c r="I33" t="s">
        <v>115</v>
      </c>
      <c r="J33" t="s">
        <v>116</v>
      </c>
    </row>
    <row r="34" spans="9:10" x14ac:dyDescent="0.25">
      <c r="I34" t="s">
        <v>117</v>
      </c>
      <c r="J34" t="s">
        <v>118</v>
      </c>
    </row>
    <row r="35" spans="9:10" x14ac:dyDescent="0.25">
      <c r="I35" t="s">
        <v>119</v>
      </c>
      <c r="J35" t="s">
        <v>120</v>
      </c>
    </row>
    <row r="36" spans="9:10" x14ac:dyDescent="0.25">
      <c r="I36" t="s">
        <v>121</v>
      </c>
      <c r="J36" t="s">
        <v>122</v>
      </c>
    </row>
    <row r="37" spans="9:10" x14ac:dyDescent="0.25">
      <c r="I37" t="s">
        <v>123</v>
      </c>
      <c r="J37" t="s">
        <v>124</v>
      </c>
    </row>
    <row r="38" spans="9:10" x14ac:dyDescent="0.25">
      <c r="I38" t="s">
        <v>125</v>
      </c>
      <c r="J38" t="s">
        <v>126</v>
      </c>
    </row>
    <row r="39" spans="9:10" x14ac:dyDescent="0.25">
      <c r="I39" t="s">
        <v>127</v>
      </c>
      <c r="J39" t="s">
        <v>128</v>
      </c>
    </row>
    <row r="40" spans="9:10" x14ac:dyDescent="0.25">
      <c r="I40" t="s">
        <v>41</v>
      </c>
      <c r="J40" t="s">
        <v>129</v>
      </c>
    </row>
    <row r="41" spans="9:10" x14ac:dyDescent="0.25">
      <c r="I41" t="s">
        <v>130</v>
      </c>
      <c r="J41" t="s">
        <v>131</v>
      </c>
    </row>
    <row r="42" spans="9:10" x14ac:dyDescent="0.25">
      <c r="I42" t="s">
        <v>132</v>
      </c>
      <c r="J42" t="s">
        <v>133</v>
      </c>
    </row>
    <row r="43" spans="9:10" x14ac:dyDescent="0.25">
      <c r="I43" t="s">
        <v>134</v>
      </c>
      <c r="J43" t="s">
        <v>135</v>
      </c>
    </row>
    <row r="44" spans="9:10" x14ac:dyDescent="0.25">
      <c r="I44" t="s">
        <v>136</v>
      </c>
      <c r="J44" t="s">
        <v>137</v>
      </c>
    </row>
    <row r="45" spans="9:10" x14ac:dyDescent="0.25">
      <c r="I45" t="s">
        <v>138</v>
      </c>
      <c r="J45" t="s">
        <v>139</v>
      </c>
    </row>
    <row r="46" spans="9:10" x14ac:dyDescent="0.25">
      <c r="I46" t="s">
        <v>140</v>
      </c>
      <c r="J46" t="s">
        <v>141</v>
      </c>
    </row>
    <row r="47" spans="9:10" x14ac:dyDescent="0.25">
      <c r="I47" t="s">
        <v>142</v>
      </c>
      <c r="J47" t="s">
        <v>143</v>
      </c>
    </row>
    <row r="48" spans="9:10" x14ac:dyDescent="0.25">
      <c r="I48" t="s">
        <v>144</v>
      </c>
      <c r="J48" t="s">
        <v>145</v>
      </c>
    </row>
    <row r="49" spans="9:10" x14ac:dyDescent="0.25">
      <c r="I49" t="s">
        <v>146</v>
      </c>
      <c r="J49" t="s">
        <v>147</v>
      </c>
    </row>
    <row r="50" spans="9:10" x14ac:dyDescent="0.25">
      <c r="I50" t="s">
        <v>148</v>
      </c>
      <c r="J50" t="s">
        <v>149</v>
      </c>
    </row>
    <row r="51" spans="9:10" x14ac:dyDescent="0.25">
      <c r="I51" t="s">
        <v>150</v>
      </c>
      <c r="J51" t="s">
        <v>151</v>
      </c>
    </row>
    <row r="52" spans="9:10" x14ac:dyDescent="0.25">
      <c r="I52" t="s">
        <v>152</v>
      </c>
      <c r="J52" t="s">
        <v>153</v>
      </c>
    </row>
    <row r="53" spans="9:10" x14ac:dyDescent="0.25">
      <c r="I53" t="s">
        <v>154</v>
      </c>
      <c r="J53" t="s">
        <v>155</v>
      </c>
    </row>
    <row r="54" spans="9:10" x14ac:dyDescent="0.25">
      <c r="I54" t="s">
        <v>156</v>
      </c>
      <c r="J54" t="s">
        <v>157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B5 B6 B7 B8 B9 B10 D4 D5 D6 D7 D8 D9 D10">
    <cfRule type="expression" dxfId="154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2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P18" sqref="P18"/>
    </sheetView>
  </sheetViews>
  <sheetFormatPr defaultColWidth="9.1796875" defaultRowHeight="14" x14ac:dyDescent="0.25"/>
  <cols>
    <col min="2" max="2" width="24.7265625" style="52" customWidth="1"/>
    <col min="3" max="4" width="10.7265625" style="52" customWidth="1"/>
    <col min="7" max="7" width="1.7265625" style="52" customWidth="1"/>
    <col min="9" max="9" width="10.7265625" style="52" customWidth="1"/>
    <col min="10" max="11" width="12.7265625" style="52" customWidth="1"/>
    <col min="14" max="14" width="1.7265625" style="52" customWidth="1"/>
    <col min="16" max="16" width="10.7265625" style="52" customWidth="1"/>
    <col min="17" max="18" width="12.7265625" style="52" customWidth="1"/>
    <col min="21" max="21" width="1.7265625" style="52" customWidth="1"/>
    <col min="23" max="23" width="1.7265625" style="52" customWidth="1"/>
  </cols>
  <sheetData>
    <row r="1" spans="1:24" x14ac:dyDescent="0.25">
      <c r="A1" s="119" t="s">
        <v>158</v>
      </c>
      <c r="B1" s="107"/>
      <c r="C1" s="107"/>
      <c r="D1" s="107"/>
      <c r="E1" s="107"/>
      <c r="F1" s="107"/>
      <c r="H1" s="109" t="str">
        <f>Summary!C1</f>
        <v>v5.0</v>
      </c>
      <c r="I1" s="107"/>
      <c r="J1" s="107"/>
      <c r="K1" s="107"/>
      <c r="L1" s="107"/>
      <c r="M1" s="107"/>
      <c r="O1" s="115">
        <f>Summary!C2</f>
        <v>0</v>
      </c>
      <c r="P1" s="107"/>
      <c r="Q1" s="107"/>
      <c r="R1" s="107"/>
      <c r="S1" s="107"/>
      <c r="T1" s="107"/>
    </row>
    <row r="2" spans="1:24" ht="30" customHeight="1" thickBot="1" x14ac:dyDescent="0.3">
      <c r="A2" s="117" t="s">
        <v>159</v>
      </c>
      <c r="B2" s="118" t="s">
        <v>160</v>
      </c>
      <c r="C2" s="117" t="s">
        <v>161</v>
      </c>
      <c r="D2" s="118" t="s">
        <v>162</v>
      </c>
      <c r="E2" s="117" t="s">
        <v>163</v>
      </c>
      <c r="F2" s="118" t="s">
        <v>164</v>
      </c>
      <c r="H2" s="117" t="s">
        <v>129</v>
      </c>
      <c r="I2" s="118" t="s">
        <v>133</v>
      </c>
      <c r="J2" s="117" t="s">
        <v>122</v>
      </c>
      <c r="K2" s="60" t="s">
        <v>165</v>
      </c>
      <c r="L2" s="118" t="s">
        <v>124</v>
      </c>
      <c r="M2" s="117" t="s">
        <v>104</v>
      </c>
      <c r="O2" s="118" t="s">
        <v>129</v>
      </c>
      <c r="P2" s="117" t="s">
        <v>133</v>
      </c>
      <c r="Q2" s="118" t="s">
        <v>122</v>
      </c>
      <c r="R2" s="60" t="s">
        <v>165</v>
      </c>
      <c r="S2" s="117" t="s">
        <v>124</v>
      </c>
      <c r="T2" s="118" t="s">
        <v>104</v>
      </c>
      <c r="V2" s="117" t="s">
        <v>166</v>
      </c>
      <c r="X2" s="117" t="s">
        <v>167</v>
      </c>
    </row>
    <row r="3" spans="1:24" ht="15.75" customHeight="1" thickBot="1" x14ac:dyDescent="0.3">
      <c r="A3" s="108"/>
      <c r="B3" s="108"/>
      <c r="C3" s="108"/>
      <c r="D3" s="108"/>
      <c r="E3" s="108"/>
      <c r="F3" s="108"/>
      <c r="H3" s="108"/>
      <c r="I3" s="108"/>
      <c r="J3" s="108"/>
      <c r="K3" s="58" t="s">
        <v>168</v>
      </c>
      <c r="L3" s="108"/>
      <c r="M3" s="108"/>
      <c r="O3" s="108"/>
      <c r="P3" s="108"/>
      <c r="Q3" s="108"/>
      <c r="R3" s="58" t="s">
        <v>168</v>
      </c>
      <c r="S3" s="108"/>
      <c r="T3" s="108"/>
      <c r="V3" s="108"/>
      <c r="X3" s="108"/>
    </row>
    <row r="4" spans="1:24" ht="48.75" hidden="1" customHeight="1" thickBot="1" x14ac:dyDescent="0.3">
      <c r="A4" s="6" t="s">
        <v>169</v>
      </c>
      <c r="B4" s="7" t="s">
        <v>170</v>
      </c>
      <c r="C4" s="6" t="s">
        <v>171</v>
      </c>
      <c r="D4" s="7" t="s">
        <v>172</v>
      </c>
      <c r="E4" s="6" t="s">
        <v>173</v>
      </c>
      <c r="F4" s="7" t="s">
        <v>174</v>
      </c>
      <c r="H4" s="6" t="s">
        <v>175</v>
      </c>
      <c r="I4" s="7" t="s">
        <v>176</v>
      </c>
      <c r="J4" s="6" t="s">
        <v>177</v>
      </c>
      <c r="K4" s="6"/>
      <c r="L4" s="7" t="s">
        <v>178</v>
      </c>
      <c r="M4" s="6" t="s">
        <v>179</v>
      </c>
      <c r="O4" s="7" t="s">
        <v>180</v>
      </c>
      <c r="P4" s="6" t="s">
        <v>181</v>
      </c>
      <c r="Q4" s="7" t="s">
        <v>182</v>
      </c>
      <c r="R4" s="7"/>
      <c r="S4" s="6" t="s">
        <v>183</v>
      </c>
      <c r="T4" s="7" t="s">
        <v>184</v>
      </c>
      <c r="V4" s="6" t="s">
        <v>185</v>
      </c>
    </row>
    <row r="5" spans="1:24" collapsed="1" x14ac:dyDescent="0.25">
      <c r="A5" s="8" t="s">
        <v>186</v>
      </c>
      <c r="B5" s="8" t="s">
        <v>32</v>
      </c>
      <c r="C5" s="8">
        <v>11997440</v>
      </c>
      <c r="D5" s="9">
        <v>10</v>
      </c>
      <c r="E5" s="10">
        <v>32</v>
      </c>
      <c r="F5" s="10">
        <v>30</v>
      </c>
      <c r="H5" s="63">
        <f t="shared" ref="H5:H12" si="0">IF(OR(ISBLANK(J5),ISBLANK(F5)),"·",J5*F5/E5/1000000)</f>
        <v>842.79510749999997</v>
      </c>
      <c r="I5" s="11">
        <f t="shared" ref="I5:I12" si="1">IF(ISBLANK(J5),"·",J5/C5)</f>
        <v>74.931105969273446</v>
      </c>
      <c r="J5" s="12">
        <v>898981448</v>
      </c>
      <c r="K5" s="12">
        <v>15133160</v>
      </c>
      <c r="L5" s="64">
        <v>1936.860351</v>
      </c>
      <c r="M5" s="64">
        <v>17.860593999999999</v>
      </c>
      <c r="O5" s="63" t="str">
        <f t="shared" ref="O5:O12" si="2">IF(OR(ISBLANK(Q5),ISBLANK(F5)),"·",Q5*F5/E5/1000000)</f>
        <v>·</v>
      </c>
      <c r="P5" s="11" t="str">
        <f t="shared" ref="P5:P12" si="3">IF(ISBLANK(Q5),"·",Q5/C5)</f>
        <v>·</v>
      </c>
      <c r="Q5" s="12"/>
      <c r="R5" s="12"/>
      <c r="S5" s="64"/>
      <c r="T5" s="64"/>
      <c r="V5" s="65" t="e">
        <f t="shared" ref="V5:V16" si="4">P5/I5</f>
        <v>#VALUE!</v>
      </c>
      <c r="X5" s="65" t="str">
        <f t="shared" ref="X5:X12" si="5">IF(OR(ISBLANK(R5),ISBLANK(K5)),".",R5/K5-1)</f>
        <v>.</v>
      </c>
    </row>
    <row r="6" spans="1:24" ht="15.75" customHeight="1" collapsed="1" thickBot="1" x14ac:dyDescent="0.3">
      <c r="A6" s="13"/>
      <c r="B6" s="13" t="s">
        <v>47</v>
      </c>
      <c r="C6" s="13">
        <v>9000000</v>
      </c>
      <c r="D6" s="14">
        <v>10</v>
      </c>
      <c r="E6" s="15">
        <v>32</v>
      </c>
      <c r="F6" s="15">
        <v>30</v>
      </c>
      <c r="H6" s="66">
        <f t="shared" si="0"/>
        <v>632.39558250000005</v>
      </c>
      <c r="I6" s="16">
        <f t="shared" si="1"/>
        <v>74.950587555555558</v>
      </c>
      <c r="J6" s="17">
        <v>674555288</v>
      </c>
      <c r="K6" s="17">
        <v>16366808</v>
      </c>
      <c r="L6" s="67">
        <v>1666.9309860000001</v>
      </c>
      <c r="M6" s="67">
        <v>15.471626000000001</v>
      </c>
      <c r="O6" s="66" t="str">
        <f t="shared" si="2"/>
        <v>·</v>
      </c>
      <c r="P6" s="16" t="str">
        <f t="shared" si="3"/>
        <v>·</v>
      </c>
      <c r="Q6" s="17"/>
      <c r="R6" s="17"/>
      <c r="S6" s="67"/>
      <c r="T6" s="67"/>
      <c r="V6" s="68" t="e">
        <f t="shared" si="4"/>
        <v>#VALUE!</v>
      </c>
      <c r="X6" s="68" t="str">
        <f t="shared" si="5"/>
        <v>.</v>
      </c>
    </row>
    <row r="7" spans="1:24" collapsed="1" x14ac:dyDescent="0.25">
      <c r="A7" s="8" t="s">
        <v>187</v>
      </c>
      <c r="B7" s="8" t="s">
        <v>52</v>
      </c>
      <c r="C7" s="8">
        <v>11842002</v>
      </c>
      <c r="D7" s="9">
        <v>12</v>
      </c>
      <c r="E7" s="10">
        <v>32</v>
      </c>
      <c r="F7" s="10">
        <v>30</v>
      </c>
      <c r="H7" s="63">
        <f t="shared" si="0"/>
        <v>597.22000500000001</v>
      </c>
      <c r="I7" s="11">
        <f t="shared" si="1"/>
        <v>53.794508056999149</v>
      </c>
      <c r="J7" s="12">
        <v>637034672</v>
      </c>
      <c r="K7" s="12">
        <v>17278168</v>
      </c>
      <c r="L7" s="64">
        <v>1334.283696</v>
      </c>
      <c r="M7" s="64">
        <v>14.035403000000001</v>
      </c>
      <c r="O7" s="63" t="str">
        <f t="shared" si="2"/>
        <v>·</v>
      </c>
      <c r="P7" s="11" t="str">
        <f t="shared" si="3"/>
        <v>·</v>
      </c>
      <c r="Q7" s="12"/>
      <c r="R7" s="12"/>
      <c r="S7" s="64"/>
      <c r="T7" s="64"/>
      <c r="V7" s="65" t="e">
        <f t="shared" si="4"/>
        <v>#VALUE!</v>
      </c>
      <c r="X7" s="65" t="str">
        <f t="shared" si="5"/>
        <v>.</v>
      </c>
    </row>
    <row r="8" spans="1:24" ht="15.75" customHeight="1" collapsed="1" thickBot="1" x14ac:dyDescent="0.3">
      <c r="A8" s="13"/>
      <c r="B8" s="13" t="s">
        <v>57</v>
      </c>
      <c r="C8" s="13">
        <v>11812090</v>
      </c>
      <c r="D8" s="14">
        <v>12</v>
      </c>
      <c r="E8" s="15">
        <v>32</v>
      </c>
      <c r="F8" s="15">
        <v>50</v>
      </c>
      <c r="H8" s="66">
        <f t="shared" si="0"/>
        <v>972.39546250000001</v>
      </c>
      <c r="I8" s="16">
        <f t="shared" si="1"/>
        <v>52.686111941239865</v>
      </c>
      <c r="J8" s="17">
        <v>622333096</v>
      </c>
      <c r="K8" s="17">
        <v>17038696</v>
      </c>
      <c r="L8" s="67">
        <v>1313.422374</v>
      </c>
      <c r="M8" s="67">
        <v>13.822303</v>
      </c>
      <c r="O8" s="66" t="str">
        <f t="shared" si="2"/>
        <v>·</v>
      </c>
      <c r="P8" s="16" t="str">
        <f t="shared" si="3"/>
        <v>·</v>
      </c>
      <c r="Q8" s="17"/>
      <c r="R8" s="17"/>
      <c r="S8" s="67"/>
      <c r="T8" s="67"/>
      <c r="V8" s="68" t="e">
        <f t="shared" si="4"/>
        <v>#VALUE!</v>
      </c>
      <c r="X8" s="68" t="str">
        <f t="shared" si="5"/>
        <v>.</v>
      </c>
    </row>
    <row r="9" spans="1:24" collapsed="1" x14ac:dyDescent="0.25">
      <c r="A9" s="8" t="s">
        <v>188</v>
      </c>
      <c r="B9" s="8" t="s">
        <v>62</v>
      </c>
      <c r="C9" s="8">
        <v>12000000</v>
      </c>
      <c r="D9" s="9">
        <v>12</v>
      </c>
      <c r="E9" s="10">
        <v>32</v>
      </c>
      <c r="F9" s="10">
        <v>30</v>
      </c>
      <c r="H9" s="63">
        <f t="shared" si="0"/>
        <v>2855.97525</v>
      </c>
      <c r="I9" s="11">
        <f t="shared" si="1"/>
        <v>253.86446666666666</v>
      </c>
      <c r="J9" s="12">
        <v>3046373600</v>
      </c>
      <c r="K9" s="12">
        <v>22605768</v>
      </c>
      <c r="L9" s="64">
        <v>7004.4745650000004</v>
      </c>
      <c r="M9" s="64">
        <v>60.379792999999999</v>
      </c>
      <c r="O9" s="63" t="str">
        <f t="shared" si="2"/>
        <v>·</v>
      </c>
      <c r="P9" s="11" t="str">
        <f t="shared" si="3"/>
        <v>·</v>
      </c>
      <c r="Q9" s="12"/>
      <c r="R9" s="12"/>
      <c r="S9" s="64"/>
      <c r="T9" s="64"/>
      <c r="V9" s="65" t="e">
        <f t="shared" si="4"/>
        <v>#VALUE!</v>
      </c>
      <c r="X9" s="65" t="str">
        <f t="shared" si="5"/>
        <v>.</v>
      </c>
    </row>
    <row r="10" spans="1:24" collapsed="1" x14ac:dyDescent="0.25">
      <c r="A10" s="18"/>
      <c r="B10" s="18" t="s">
        <v>67</v>
      </c>
      <c r="C10" s="18">
        <v>5997654</v>
      </c>
      <c r="D10" s="19">
        <v>12</v>
      </c>
      <c r="E10" s="20">
        <v>32</v>
      </c>
      <c r="F10" s="20">
        <v>30</v>
      </c>
      <c r="H10" s="69">
        <f t="shared" si="0"/>
        <v>2411.207175</v>
      </c>
      <c r="I10" s="21">
        <f t="shared" si="1"/>
        <v>428.82672458264517</v>
      </c>
      <c r="J10" s="22">
        <v>2571954320</v>
      </c>
      <c r="K10" s="22">
        <v>51978352</v>
      </c>
      <c r="L10" s="70">
        <v>7805.616599</v>
      </c>
      <c r="M10" s="70">
        <v>60.922162999999998</v>
      </c>
      <c r="O10" s="69" t="str">
        <f t="shared" si="2"/>
        <v>·</v>
      </c>
      <c r="P10" s="21" t="str">
        <f t="shared" si="3"/>
        <v>·</v>
      </c>
      <c r="Q10" s="22"/>
      <c r="R10" s="22"/>
      <c r="S10" s="70"/>
      <c r="T10" s="70"/>
      <c r="V10" s="71" t="e">
        <f t="shared" si="4"/>
        <v>#VALUE!</v>
      </c>
      <c r="X10" s="71" t="str">
        <f t="shared" si="5"/>
        <v>.</v>
      </c>
    </row>
    <row r="11" spans="1:24" collapsed="1" x14ac:dyDescent="0.25">
      <c r="A11" s="8"/>
      <c r="B11" s="8" t="s">
        <v>72</v>
      </c>
      <c r="C11" s="8">
        <v>9000000</v>
      </c>
      <c r="D11" s="9">
        <v>12</v>
      </c>
      <c r="E11" s="10">
        <v>32</v>
      </c>
      <c r="F11" s="10">
        <v>30</v>
      </c>
      <c r="H11" s="63">
        <f t="shared" si="0"/>
        <v>3548.0343674999999</v>
      </c>
      <c r="I11" s="11">
        <f t="shared" si="1"/>
        <v>420.50777688888888</v>
      </c>
      <c r="J11" s="12">
        <v>3784569992</v>
      </c>
      <c r="K11" s="12">
        <v>16046512</v>
      </c>
      <c r="L11" s="64">
        <v>11254.499895999999</v>
      </c>
      <c r="M11" s="64">
        <v>59.566057000000001</v>
      </c>
      <c r="O11" s="63" t="str">
        <f t="shared" si="2"/>
        <v>·</v>
      </c>
      <c r="P11" s="11" t="str">
        <f t="shared" si="3"/>
        <v>·</v>
      </c>
      <c r="Q11" s="12"/>
      <c r="R11" s="12"/>
      <c r="S11" s="64"/>
      <c r="T11" s="64"/>
      <c r="V11" s="65" t="e">
        <f t="shared" si="4"/>
        <v>#VALUE!</v>
      </c>
      <c r="X11" s="65" t="str">
        <f t="shared" si="5"/>
        <v>.</v>
      </c>
    </row>
    <row r="12" spans="1:24" ht="15.75" customHeight="1" collapsed="1" thickBot="1" x14ac:dyDescent="0.3">
      <c r="A12" s="13"/>
      <c r="B12" s="13" t="s">
        <v>77</v>
      </c>
      <c r="C12" s="13">
        <v>9000000</v>
      </c>
      <c r="D12" s="14">
        <v>12</v>
      </c>
      <c r="E12" s="15">
        <v>32</v>
      </c>
      <c r="F12" s="15">
        <v>30</v>
      </c>
      <c r="H12" s="66">
        <f t="shared" si="0"/>
        <v>2568.5518350000002</v>
      </c>
      <c r="I12" s="16">
        <f t="shared" si="1"/>
        <v>304.42095822222223</v>
      </c>
      <c r="J12" s="17">
        <v>2739788624</v>
      </c>
      <c r="K12" s="17">
        <v>15378568</v>
      </c>
      <c r="L12" s="67">
        <v>5415.1366870000002</v>
      </c>
      <c r="M12" s="67">
        <v>52.611787999999997</v>
      </c>
      <c r="O12" s="66" t="str">
        <f t="shared" si="2"/>
        <v>·</v>
      </c>
      <c r="P12" s="16" t="str">
        <f t="shared" si="3"/>
        <v>·</v>
      </c>
      <c r="Q12" s="17"/>
      <c r="R12" s="17"/>
      <c r="S12" s="67"/>
      <c r="T12" s="67"/>
      <c r="V12" s="68" t="e">
        <f t="shared" si="4"/>
        <v>#VALUE!</v>
      </c>
      <c r="X12" s="68" t="str">
        <f t="shared" si="5"/>
        <v>.</v>
      </c>
    </row>
    <row r="13" spans="1:24" x14ac:dyDescent="0.25">
      <c r="B13" s="23" t="s">
        <v>7</v>
      </c>
      <c r="I13" s="24">
        <f>AVERAGE(I5:I6)</f>
        <v>74.940846762414509</v>
      </c>
      <c r="P13" s="24" t="e">
        <f>AVERAGE(P5:P6)</f>
        <v>#DIV/0!</v>
      </c>
      <c r="V13" s="61" t="e">
        <f t="shared" si="4"/>
        <v>#DIV/0!</v>
      </c>
      <c r="X13" s="24" t="e">
        <f>AVERAGE(X5:X6)</f>
        <v>#DIV/0!</v>
      </c>
    </row>
    <row r="14" spans="1:24" x14ac:dyDescent="0.25">
      <c r="B14" s="23" t="s">
        <v>8</v>
      </c>
      <c r="I14" s="24">
        <f>AVERAGE(I7:I8)</f>
        <v>53.240309999119503</v>
      </c>
      <c r="P14" s="24" t="e">
        <f>AVERAGE(P7:P8)</f>
        <v>#DIV/0!</v>
      </c>
      <c r="V14" s="61" t="e">
        <f t="shared" si="4"/>
        <v>#DIV/0!</v>
      </c>
      <c r="X14" s="24" t="e">
        <f>AVERAGE(X7:X8)</f>
        <v>#DIV/0!</v>
      </c>
    </row>
    <row r="15" spans="1:24" x14ac:dyDescent="0.25">
      <c r="B15" s="23" t="s">
        <v>9</v>
      </c>
      <c r="I15" s="24">
        <f>AVERAGE(I9:I12)</f>
        <v>351.90498159010571</v>
      </c>
      <c r="P15" s="24" t="e">
        <f>AVERAGE(P9:P12)</f>
        <v>#DIV/0!</v>
      </c>
      <c r="V15" s="61" t="e">
        <f t="shared" si="4"/>
        <v>#DIV/0!</v>
      </c>
      <c r="X15" s="24" t="e">
        <f>AVERAGE(X9:X12)</f>
        <v>#DIV/0!</v>
      </c>
    </row>
    <row r="16" spans="1:24" x14ac:dyDescent="0.25">
      <c r="B16" s="23" t="s">
        <v>10</v>
      </c>
      <c r="I16" s="24">
        <f>AVERAGE(I5:I12)</f>
        <v>207.99777998543638</v>
      </c>
      <c r="P16" s="24" t="e">
        <f>AVERAGE(P5:P12)</f>
        <v>#DIV/0!</v>
      </c>
      <c r="V16" s="61" t="e">
        <f t="shared" si="4"/>
        <v>#DIV/0!</v>
      </c>
      <c r="X16" s="24" t="e">
        <f>AVERAGE(X5:X12)</f>
        <v>#DIV/0!</v>
      </c>
    </row>
    <row r="17" spans="1:20" x14ac:dyDescent="0.25">
      <c r="A17" s="23" t="s">
        <v>189</v>
      </c>
      <c r="B17" s="23" t="s">
        <v>190</v>
      </c>
      <c r="L17" s="72">
        <f>SUM(L5:L6,L7:L8,L9:L12)</f>
        <v>37731.225154</v>
      </c>
      <c r="M17" s="72">
        <f>SUM(M5:M6,M7:M8,M9:M12)</f>
        <v>294.66972699999997</v>
      </c>
      <c r="S17" s="72">
        <f>SUM(S5:S6,S7:S8,S9:S12)</f>
        <v>0</v>
      </c>
      <c r="T17" s="72">
        <f>SUM(T5:T6,T7:T8,T9:T12)</f>
        <v>0</v>
      </c>
    </row>
    <row r="18" spans="1:20" x14ac:dyDescent="0.25">
      <c r="B18" s="23" t="s">
        <v>191</v>
      </c>
      <c r="S18" s="56">
        <f>S17/L17</f>
        <v>0</v>
      </c>
      <c r="T18" s="56">
        <f>T17/M17</f>
        <v>0</v>
      </c>
    </row>
    <row r="20" spans="1:20" x14ac:dyDescent="0.25">
      <c r="Q20" s="48">
        <f t="shared" ref="Q20:R27" si="6">Q5-J5</f>
        <v>-898981448</v>
      </c>
      <c r="R20" s="48">
        <f t="shared" si="6"/>
        <v>-15133160</v>
      </c>
    </row>
    <row r="21" spans="1:20" x14ac:dyDescent="0.25">
      <c r="Q21" s="48">
        <f t="shared" si="6"/>
        <v>-674555288</v>
      </c>
      <c r="R21" s="48">
        <f t="shared" si="6"/>
        <v>-16366808</v>
      </c>
    </row>
    <row r="22" spans="1:20" x14ac:dyDescent="0.25">
      <c r="Q22" s="48">
        <f t="shared" si="6"/>
        <v>-637034672</v>
      </c>
      <c r="R22" s="48">
        <f t="shared" si="6"/>
        <v>-17278168</v>
      </c>
    </row>
    <row r="23" spans="1:20" x14ac:dyDescent="0.25">
      <c r="Q23" s="48">
        <f t="shared" si="6"/>
        <v>-622333096</v>
      </c>
      <c r="R23" s="48">
        <f t="shared" si="6"/>
        <v>-17038696</v>
      </c>
    </row>
    <row r="24" spans="1:20" x14ac:dyDescent="0.25">
      <c r="Q24" s="48">
        <f t="shared" si="6"/>
        <v>-3046373600</v>
      </c>
      <c r="R24" s="48">
        <f t="shared" si="6"/>
        <v>-22605768</v>
      </c>
    </row>
    <row r="25" spans="1:20" x14ac:dyDescent="0.25">
      <c r="Q25" s="48">
        <f t="shared" si="6"/>
        <v>-2571954320</v>
      </c>
      <c r="R25" s="48">
        <f t="shared" si="6"/>
        <v>-51978352</v>
      </c>
    </row>
    <row r="26" spans="1:20" x14ac:dyDescent="0.25">
      <c r="Q26" s="48">
        <f t="shared" si="6"/>
        <v>-3784569992</v>
      </c>
      <c r="R26" s="48">
        <f t="shared" si="6"/>
        <v>-16046512</v>
      </c>
    </row>
    <row r="27" spans="1:20" x14ac:dyDescent="0.25">
      <c r="Q27" s="48">
        <f t="shared" si="6"/>
        <v>-2739788624</v>
      </c>
      <c r="R27" s="48">
        <f t="shared" si="6"/>
        <v>-15378568</v>
      </c>
    </row>
    <row r="28" spans="1:20" x14ac:dyDescent="0.25">
      <c r="Q28" s="48"/>
      <c r="R28" s="48"/>
    </row>
  </sheetData>
  <mergeCells count="21">
    <mergeCell ref="A2:A3"/>
    <mergeCell ref="F2:F3"/>
    <mergeCell ref="A1:F1"/>
    <mergeCell ref="C2:C3"/>
    <mergeCell ref="H1:M1"/>
    <mergeCell ref="O1:T1"/>
    <mergeCell ref="I2:I3"/>
    <mergeCell ref="P2:P3"/>
    <mergeCell ref="O2:O3"/>
    <mergeCell ref="L2:L3"/>
    <mergeCell ref="Q2:Q3"/>
    <mergeCell ref="S2:S3"/>
    <mergeCell ref="T2:T3"/>
    <mergeCell ref="J2:J3"/>
    <mergeCell ref="X2:X3"/>
    <mergeCell ref="B2:B3"/>
    <mergeCell ref="M2:M3"/>
    <mergeCell ref="E2:E3"/>
    <mergeCell ref="H2:H3"/>
    <mergeCell ref="D2:D3"/>
    <mergeCell ref="V2:V3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15" workbookViewId="0">
      <selection activeCell="B147" sqref="B147"/>
    </sheetView>
  </sheetViews>
  <sheetFormatPr defaultColWidth="9.1796875" defaultRowHeight="14" x14ac:dyDescent="0.25"/>
  <cols>
    <col min="1" max="1" width="41.7265625" style="52" bestFit="1" customWidth="1"/>
  </cols>
  <sheetData>
    <row r="1" spans="1:2" x14ac:dyDescent="0.25">
      <c r="A1" t="s">
        <v>192</v>
      </c>
      <c r="B1">
        <v>1</v>
      </c>
    </row>
    <row r="2" spans="1:2" x14ac:dyDescent="0.25">
      <c r="A2" t="s">
        <v>193</v>
      </c>
      <c r="B2">
        <v>2</v>
      </c>
    </row>
    <row r="3" spans="1:2" x14ac:dyDescent="0.25">
      <c r="A3" t="s">
        <v>194</v>
      </c>
      <c r="B3">
        <v>3</v>
      </c>
    </row>
    <row r="4" spans="1:2" x14ac:dyDescent="0.25">
      <c r="A4" t="s">
        <v>195</v>
      </c>
      <c r="B4">
        <v>4</v>
      </c>
    </row>
    <row r="5" spans="1:2" x14ac:dyDescent="0.25">
      <c r="A5" t="s">
        <v>196</v>
      </c>
      <c r="B5">
        <v>5</v>
      </c>
    </row>
    <row r="6" spans="1:2" x14ac:dyDescent="0.25">
      <c r="A6" t="s">
        <v>197</v>
      </c>
      <c r="B6">
        <v>6</v>
      </c>
    </row>
    <row r="7" spans="1:2" x14ac:dyDescent="0.25">
      <c r="A7" t="s">
        <v>198</v>
      </c>
      <c r="B7">
        <v>8</v>
      </c>
    </row>
    <row r="8" spans="1:2" x14ac:dyDescent="0.25">
      <c r="A8" t="s">
        <v>199</v>
      </c>
      <c r="B8">
        <v>9</v>
      </c>
    </row>
    <row r="9" spans="1:2" x14ac:dyDescent="0.25">
      <c r="A9" t="s">
        <v>200</v>
      </c>
      <c r="B9">
        <v>10</v>
      </c>
    </row>
    <row r="10" spans="1:2" x14ac:dyDescent="0.25">
      <c r="A10" t="s">
        <v>201</v>
      </c>
      <c r="B10">
        <v>11</v>
      </c>
    </row>
    <row r="11" spans="1:2" x14ac:dyDescent="0.25">
      <c r="A11" t="s">
        <v>202</v>
      </c>
      <c r="B11">
        <v>12</v>
      </c>
    </row>
    <row r="12" spans="1:2" x14ac:dyDescent="0.25">
      <c r="A12" t="s">
        <v>203</v>
      </c>
      <c r="B12">
        <v>14</v>
      </c>
    </row>
    <row r="13" spans="1:2" x14ac:dyDescent="0.25">
      <c r="A13" t="s">
        <v>204</v>
      </c>
      <c r="B13">
        <v>15</v>
      </c>
    </row>
    <row r="14" spans="1:2" x14ac:dyDescent="0.25">
      <c r="A14" t="s">
        <v>205</v>
      </c>
      <c r="B14">
        <v>16</v>
      </c>
    </row>
    <row r="15" spans="1:2" x14ac:dyDescent="0.25">
      <c r="A15" t="s">
        <v>206</v>
      </c>
      <c r="B15">
        <v>17</v>
      </c>
    </row>
    <row r="16" spans="1:2" x14ac:dyDescent="0.25">
      <c r="A16" t="s">
        <v>207</v>
      </c>
      <c r="B16">
        <v>18</v>
      </c>
    </row>
    <row r="17" spans="1:2" x14ac:dyDescent="0.25">
      <c r="A17" t="s">
        <v>208</v>
      </c>
      <c r="B17">
        <v>20</v>
      </c>
    </row>
    <row r="18" spans="1:2" x14ac:dyDescent="0.25">
      <c r="A18" t="s">
        <v>209</v>
      </c>
      <c r="B18" t="s">
        <v>210</v>
      </c>
    </row>
    <row r="19" spans="1:2" x14ac:dyDescent="0.25">
      <c r="A19" t="s">
        <v>211</v>
      </c>
      <c r="B19" t="s">
        <v>212</v>
      </c>
    </row>
    <row r="20" spans="1:2" x14ac:dyDescent="0.25">
      <c r="A20" t="s">
        <v>213</v>
      </c>
      <c r="B20" t="s">
        <v>214</v>
      </c>
    </row>
    <row r="21" spans="1:2" x14ac:dyDescent="0.25">
      <c r="A21" t="s">
        <v>215</v>
      </c>
      <c r="B21" t="s">
        <v>216</v>
      </c>
    </row>
    <row r="22" spans="1:2" x14ac:dyDescent="0.25">
      <c r="A22" t="s">
        <v>217</v>
      </c>
      <c r="B22" t="s">
        <v>218</v>
      </c>
    </row>
    <row r="23" spans="1:2" x14ac:dyDescent="0.25">
      <c r="A23" t="s">
        <v>219</v>
      </c>
      <c r="B23" t="s">
        <v>220</v>
      </c>
    </row>
    <row r="24" spans="1:2" x14ac:dyDescent="0.25">
      <c r="A24" t="s">
        <v>221</v>
      </c>
      <c r="B24" t="s">
        <v>222</v>
      </c>
    </row>
    <row r="25" spans="1:2" x14ac:dyDescent="0.25">
      <c r="A25" t="s">
        <v>223</v>
      </c>
      <c r="B25" t="s">
        <v>224</v>
      </c>
    </row>
    <row r="26" spans="1:2" x14ac:dyDescent="0.25">
      <c r="A26" t="s">
        <v>225</v>
      </c>
      <c r="B26" t="s">
        <v>226</v>
      </c>
    </row>
    <row r="27" spans="1:2" x14ac:dyDescent="0.25">
      <c r="A27" t="s">
        <v>227</v>
      </c>
      <c r="B27" t="s">
        <v>228</v>
      </c>
    </row>
    <row r="28" spans="1:2" x14ac:dyDescent="0.25">
      <c r="A28" t="s">
        <v>229</v>
      </c>
      <c r="B28">
        <v>1</v>
      </c>
    </row>
    <row r="29" spans="1:2" x14ac:dyDescent="0.25">
      <c r="A29" t="s">
        <v>230</v>
      </c>
      <c r="B29">
        <v>2</v>
      </c>
    </row>
    <row r="30" spans="1:2" x14ac:dyDescent="0.25">
      <c r="A30" t="s">
        <v>231</v>
      </c>
      <c r="B30">
        <v>3</v>
      </c>
    </row>
    <row r="31" spans="1:2" x14ac:dyDescent="0.25">
      <c r="A31" t="s">
        <v>232</v>
      </c>
      <c r="B31">
        <v>4</v>
      </c>
    </row>
    <row r="32" spans="1:2" x14ac:dyDescent="0.25">
      <c r="A32" t="s">
        <v>233</v>
      </c>
      <c r="B32">
        <v>5</v>
      </c>
    </row>
    <row r="33" spans="1:2" x14ac:dyDescent="0.25">
      <c r="A33" t="s">
        <v>234</v>
      </c>
      <c r="B33">
        <v>6</v>
      </c>
    </row>
    <row r="34" spans="1:2" x14ac:dyDescent="0.25">
      <c r="A34" t="s">
        <v>235</v>
      </c>
      <c r="B34">
        <v>7</v>
      </c>
    </row>
    <row r="35" spans="1:2" x14ac:dyDescent="0.25">
      <c r="A35" t="s">
        <v>236</v>
      </c>
      <c r="B35">
        <v>8</v>
      </c>
    </row>
    <row r="36" spans="1:2" x14ac:dyDescent="0.25">
      <c r="A36" t="s">
        <v>237</v>
      </c>
      <c r="B36">
        <v>10</v>
      </c>
    </row>
    <row r="37" spans="1:2" x14ac:dyDescent="0.25">
      <c r="A37" t="s">
        <v>238</v>
      </c>
      <c r="B37">
        <v>11</v>
      </c>
    </row>
    <row r="38" spans="1:2" x14ac:dyDescent="0.25">
      <c r="A38" t="s">
        <v>239</v>
      </c>
      <c r="B38">
        <v>13</v>
      </c>
    </row>
    <row r="39" spans="1:2" x14ac:dyDescent="0.25">
      <c r="A39" t="s">
        <v>240</v>
      </c>
      <c r="B39">
        <v>14</v>
      </c>
    </row>
    <row r="40" spans="1:2" x14ac:dyDescent="0.25">
      <c r="A40" t="s">
        <v>241</v>
      </c>
      <c r="B40">
        <v>15</v>
      </c>
    </row>
    <row r="41" spans="1:2" x14ac:dyDescent="0.25">
      <c r="A41" t="s">
        <v>242</v>
      </c>
      <c r="B41">
        <v>16</v>
      </c>
    </row>
    <row r="42" spans="1:2" x14ac:dyDescent="0.25">
      <c r="A42" t="s">
        <v>243</v>
      </c>
      <c r="B42">
        <v>17</v>
      </c>
    </row>
    <row r="43" spans="1:2" x14ac:dyDescent="0.25">
      <c r="A43" t="s">
        <v>244</v>
      </c>
      <c r="B43">
        <v>18</v>
      </c>
    </row>
    <row r="44" spans="1:2" x14ac:dyDescent="0.25">
      <c r="A44" t="s">
        <v>245</v>
      </c>
      <c r="B44">
        <v>19</v>
      </c>
    </row>
    <row r="45" spans="1:2" x14ac:dyDescent="0.25">
      <c r="A45" t="s">
        <v>246</v>
      </c>
      <c r="B45">
        <v>20</v>
      </c>
    </row>
    <row r="46" spans="1:2" x14ac:dyDescent="0.25">
      <c r="A46" t="s">
        <v>247</v>
      </c>
      <c r="B46">
        <v>21</v>
      </c>
    </row>
    <row r="47" spans="1:2" x14ac:dyDescent="0.25">
      <c r="A47" t="s">
        <v>248</v>
      </c>
      <c r="B47">
        <v>22</v>
      </c>
    </row>
    <row r="48" spans="1:2" x14ac:dyDescent="0.25">
      <c r="A48" t="s">
        <v>249</v>
      </c>
      <c r="B48">
        <v>23</v>
      </c>
    </row>
    <row r="49" spans="1:2" x14ac:dyDescent="0.25">
      <c r="A49" t="s">
        <v>250</v>
      </c>
      <c r="B49">
        <v>24</v>
      </c>
    </row>
    <row r="50" spans="1:2" x14ac:dyDescent="0.25">
      <c r="A50" t="s">
        <v>251</v>
      </c>
      <c r="B50">
        <v>25</v>
      </c>
    </row>
    <row r="51" spans="1:2" x14ac:dyDescent="0.25">
      <c r="A51" t="s">
        <v>252</v>
      </c>
      <c r="B51">
        <v>26</v>
      </c>
    </row>
    <row r="52" spans="1:2" x14ac:dyDescent="0.25">
      <c r="A52" t="s">
        <v>253</v>
      </c>
      <c r="B52">
        <v>27</v>
      </c>
    </row>
    <row r="53" spans="1:2" x14ac:dyDescent="0.25">
      <c r="A53" t="s">
        <v>254</v>
      </c>
      <c r="B53">
        <v>28</v>
      </c>
    </row>
    <row r="54" spans="1:2" x14ac:dyDescent="0.25">
      <c r="A54" t="s">
        <v>255</v>
      </c>
      <c r="B54">
        <v>29</v>
      </c>
    </row>
    <row r="55" spans="1:2" x14ac:dyDescent="0.25">
      <c r="A55" t="s">
        <v>256</v>
      </c>
      <c r="B55">
        <v>31</v>
      </c>
    </row>
    <row r="56" spans="1:2" x14ac:dyDescent="0.25">
      <c r="A56" t="s">
        <v>257</v>
      </c>
      <c r="B56">
        <v>32</v>
      </c>
    </row>
    <row r="57" spans="1:2" x14ac:dyDescent="0.25">
      <c r="A57" t="s">
        <v>258</v>
      </c>
      <c r="B57">
        <v>34</v>
      </c>
    </row>
    <row r="58" spans="1:2" x14ac:dyDescent="0.25">
      <c r="A58" t="s">
        <v>259</v>
      </c>
      <c r="B58">
        <v>35</v>
      </c>
    </row>
    <row r="59" spans="1:2" x14ac:dyDescent="0.25">
      <c r="A59" t="s">
        <v>260</v>
      </c>
      <c r="B59">
        <v>36</v>
      </c>
    </row>
    <row r="60" spans="1:2" x14ac:dyDescent="0.25">
      <c r="A60" t="s">
        <v>261</v>
      </c>
      <c r="B60">
        <v>37</v>
      </c>
    </row>
    <row r="61" spans="1:2" x14ac:dyDescent="0.25">
      <c r="A61" t="s">
        <v>262</v>
      </c>
      <c r="B61">
        <v>38</v>
      </c>
    </row>
    <row r="62" spans="1:2" x14ac:dyDescent="0.25">
      <c r="A62" t="s">
        <v>263</v>
      </c>
      <c r="B62">
        <v>39</v>
      </c>
    </row>
    <row r="63" spans="1:2" x14ac:dyDescent="0.25">
      <c r="A63" t="s">
        <v>264</v>
      </c>
      <c r="B63">
        <v>40</v>
      </c>
    </row>
    <row r="64" spans="1:2" x14ac:dyDescent="0.25">
      <c r="A64" t="s">
        <v>265</v>
      </c>
      <c r="B64">
        <v>41</v>
      </c>
    </row>
    <row r="65" spans="1:2" x14ac:dyDescent="0.25">
      <c r="A65" t="s">
        <v>266</v>
      </c>
      <c r="B65">
        <v>42</v>
      </c>
    </row>
    <row r="66" spans="1:2" x14ac:dyDescent="0.25">
      <c r="A66" t="s">
        <v>267</v>
      </c>
      <c r="B66">
        <v>43</v>
      </c>
    </row>
    <row r="67" spans="1:2" x14ac:dyDescent="0.25">
      <c r="A67" t="s">
        <v>268</v>
      </c>
      <c r="B67">
        <v>44</v>
      </c>
    </row>
    <row r="68" spans="1:2" x14ac:dyDescent="0.25">
      <c r="A68" t="s">
        <v>269</v>
      </c>
      <c r="B68">
        <v>45</v>
      </c>
    </row>
    <row r="69" spans="1:2" x14ac:dyDescent="0.25">
      <c r="A69" t="s">
        <v>270</v>
      </c>
      <c r="B69">
        <v>46</v>
      </c>
    </row>
    <row r="70" spans="1:2" x14ac:dyDescent="0.25">
      <c r="A70" t="s">
        <v>271</v>
      </c>
      <c r="B70">
        <v>47</v>
      </c>
    </row>
    <row r="71" spans="1:2" x14ac:dyDescent="0.25">
      <c r="A71" t="s">
        <v>272</v>
      </c>
      <c r="B71">
        <v>48</v>
      </c>
    </row>
    <row r="72" spans="1:2" x14ac:dyDescent="0.25">
      <c r="A72" t="s">
        <v>273</v>
      </c>
      <c r="B72">
        <v>49</v>
      </c>
    </row>
    <row r="73" spans="1:2" x14ac:dyDescent="0.25">
      <c r="A73" t="s">
        <v>274</v>
      </c>
      <c r="B73">
        <v>50</v>
      </c>
    </row>
    <row r="74" spans="1:2" x14ac:dyDescent="0.25">
      <c r="A74" t="s">
        <v>275</v>
      </c>
      <c r="B74">
        <v>52</v>
      </c>
    </row>
    <row r="75" spans="1:2" x14ac:dyDescent="0.25">
      <c r="A75" t="s">
        <v>276</v>
      </c>
      <c r="B75">
        <v>53</v>
      </c>
    </row>
    <row r="76" spans="1:2" x14ac:dyDescent="0.25">
      <c r="A76" t="s">
        <v>277</v>
      </c>
      <c r="B76">
        <v>54</v>
      </c>
    </row>
    <row r="77" spans="1:2" x14ac:dyDescent="0.25">
      <c r="A77" t="s">
        <v>278</v>
      </c>
      <c r="B77">
        <v>55</v>
      </c>
    </row>
    <row r="78" spans="1:2" x14ac:dyDescent="0.25">
      <c r="A78" t="s">
        <v>279</v>
      </c>
      <c r="B78">
        <v>56</v>
      </c>
    </row>
    <row r="79" spans="1:2" x14ac:dyDescent="0.25">
      <c r="A79" t="s">
        <v>280</v>
      </c>
      <c r="B79">
        <v>57</v>
      </c>
    </row>
    <row r="80" spans="1:2" x14ac:dyDescent="0.25">
      <c r="A80" t="s">
        <v>281</v>
      </c>
      <c r="B80">
        <v>58</v>
      </c>
    </row>
    <row r="81" spans="1:19" x14ac:dyDescent="0.25">
      <c r="A81" t="s">
        <v>282</v>
      </c>
      <c r="B81" t="s">
        <v>283</v>
      </c>
    </row>
    <row r="82" spans="1:19" x14ac:dyDescent="0.25">
      <c r="A82" t="s">
        <v>284</v>
      </c>
      <c r="B82" s="47" t="s">
        <v>285</v>
      </c>
    </row>
    <row r="83" spans="1:19" x14ac:dyDescent="0.25">
      <c r="A83" t="s">
        <v>286</v>
      </c>
      <c r="B83" s="47" t="s">
        <v>287</v>
      </c>
    </row>
    <row r="84" spans="1:19" x14ac:dyDescent="0.25">
      <c r="A84" t="s">
        <v>288</v>
      </c>
      <c r="B84" s="47" t="s">
        <v>289</v>
      </c>
    </row>
    <row r="85" spans="1:19" x14ac:dyDescent="0.25">
      <c r="A85" t="s">
        <v>290</v>
      </c>
      <c r="B85" s="47" t="s">
        <v>291</v>
      </c>
    </row>
    <row r="86" spans="1:19" x14ac:dyDescent="0.25">
      <c r="A86" t="s">
        <v>292</v>
      </c>
      <c r="B86" s="47" t="s">
        <v>293</v>
      </c>
    </row>
    <row r="87" spans="1:19" x14ac:dyDescent="0.25">
      <c r="A87" t="s">
        <v>294</v>
      </c>
      <c r="B87" s="47" t="s">
        <v>295</v>
      </c>
    </row>
    <row r="88" spans="1:19" x14ac:dyDescent="0.25">
      <c r="A88" t="s">
        <v>296</v>
      </c>
      <c r="B88" s="47" t="s">
        <v>297</v>
      </c>
    </row>
    <row r="89" spans="1:19" x14ac:dyDescent="0.25">
      <c r="A89" t="s">
        <v>298</v>
      </c>
      <c r="B89" s="47" t="s">
        <v>299</v>
      </c>
    </row>
    <row r="90" spans="1:19" x14ac:dyDescent="0.25">
      <c r="A90" t="s">
        <v>300</v>
      </c>
      <c r="B90" s="47" t="s">
        <v>301</v>
      </c>
    </row>
    <row r="91" spans="1:19" x14ac:dyDescent="0.25">
      <c r="A91" t="s">
        <v>302</v>
      </c>
      <c r="B91" t="s">
        <v>58</v>
      </c>
      <c r="C91" t="s">
        <v>103</v>
      </c>
      <c r="D91" t="s">
        <v>53</v>
      </c>
      <c r="E91" t="s">
        <v>132</v>
      </c>
      <c r="F91" t="s">
        <v>43</v>
      </c>
      <c r="G91" t="s">
        <v>48</v>
      </c>
      <c r="H91" t="s">
        <v>73</v>
      </c>
      <c r="I91" t="s">
        <v>41</v>
      </c>
      <c r="J91" t="s">
        <v>68</v>
      </c>
      <c r="K91" t="s">
        <v>121</v>
      </c>
      <c r="L91" t="s">
        <v>63</v>
      </c>
      <c r="M91" t="s">
        <v>82</v>
      </c>
      <c r="N91" t="s">
        <v>123</v>
      </c>
      <c r="O91" t="s">
        <v>148</v>
      </c>
      <c r="P91" t="s">
        <v>150</v>
      </c>
      <c r="Q91" t="s">
        <v>152</v>
      </c>
      <c r="R91" t="s">
        <v>154</v>
      </c>
      <c r="S91" t="s">
        <v>156</v>
      </c>
    </row>
    <row r="92" spans="1:19" x14ac:dyDescent="0.25">
      <c r="A92" t="s">
        <v>303</v>
      </c>
      <c r="B92">
        <v>1</v>
      </c>
    </row>
    <row r="93" spans="1:19" x14ac:dyDescent="0.25">
      <c r="A93" t="s">
        <v>304</v>
      </c>
      <c r="B93">
        <v>2</v>
      </c>
    </row>
    <row r="94" spans="1:19" x14ac:dyDescent="0.25">
      <c r="A94" t="s">
        <v>305</v>
      </c>
      <c r="B94">
        <v>3</v>
      </c>
    </row>
    <row r="95" spans="1:19" x14ac:dyDescent="0.25">
      <c r="A95" t="s">
        <v>306</v>
      </c>
      <c r="B95">
        <v>4</v>
      </c>
    </row>
    <row r="96" spans="1:19" x14ac:dyDescent="0.25">
      <c r="A96" t="s">
        <v>307</v>
      </c>
      <c r="B96">
        <v>5</v>
      </c>
    </row>
    <row r="97" spans="1:2" x14ac:dyDescent="0.25">
      <c r="A97" t="s">
        <v>308</v>
      </c>
      <c r="B97">
        <v>6</v>
      </c>
    </row>
    <row r="98" spans="1:2" x14ac:dyDescent="0.25">
      <c r="A98" t="s">
        <v>309</v>
      </c>
      <c r="B98">
        <v>7</v>
      </c>
    </row>
    <row r="99" spans="1:2" x14ac:dyDescent="0.25">
      <c r="A99" t="s">
        <v>310</v>
      </c>
      <c r="B99">
        <v>8</v>
      </c>
    </row>
    <row r="100" spans="1:2" x14ac:dyDescent="0.25">
      <c r="A100" t="s">
        <v>311</v>
      </c>
      <c r="B100">
        <v>10</v>
      </c>
    </row>
    <row r="101" spans="1:2" x14ac:dyDescent="0.25">
      <c r="A101" t="s">
        <v>312</v>
      </c>
      <c r="B101">
        <v>11</v>
      </c>
    </row>
    <row r="102" spans="1:2" x14ac:dyDescent="0.25">
      <c r="A102" t="s">
        <v>313</v>
      </c>
      <c r="B102">
        <v>13</v>
      </c>
    </row>
    <row r="103" spans="1:2" x14ac:dyDescent="0.25">
      <c r="A103" t="s">
        <v>314</v>
      </c>
      <c r="B103">
        <v>14</v>
      </c>
    </row>
    <row r="104" spans="1:2" x14ac:dyDescent="0.25">
      <c r="A104" t="s">
        <v>315</v>
      </c>
      <c r="B104">
        <v>15</v>
      </c>
    </row>
    <row r="105" spans="1:2" x14ac:dyDescent="0.25">
      <c r="A105" t="s">
        <v>316</v>
      </c>
      <c r="B105">
        <v>16</v>
      </c>
    </row>
    <row r="106" spans="1:2" x14ac:dyDescent="0.25">
      <c r="A106" t="s">
        <v>317</v>
      </c>
      <c r="B106">
        <v>17</v>
      </c>
    </row>
    <row r="107" spans="1:2" x14ac:dyDescent="0.25">
      <c r="A107" t="s">
        <v>318</v>
      </c>
      <c r="B107">
        <v>18</v>
      </c>
    </row>
    <row r="108" spans="1:2" x14ac:dyDescent="0.25">
      <c r="A108" t="s">
        <v>319</v>
      </c>
      <c r="B108">
        <v>19</v>
      </c>
    </row>
    <row r="109" spans="1:2" x14ac:dyDescent="0.25">
      <c r="A109" t="s">
        <v>320</v>
      </c>
      <c r="B109">
        <v>20</v>
      </c>
    </row>
    <row r="110" spans="1:2" x14ac:dyDescent="0.25">
      <c r="A110" t="s">
        <v>321</v>
      </c>
      <c r="B110">
        <v>21</v>
      </c>
    </row>
    <row r="111" spans="1:2" x14ac:dyDescent="0.25">
      <c r="A111" t="s">
        <v>322</v>
      </c>
      <c r="B111">
        <v>22</v>
      </c>
    </row>
    <row r="112" spans="1:2" x14ac:dyDescent="0.25">
      <c r="A112" t="s">
        <v>323</v>
      </c>
      <c r="B112">
        <v>23</v>
      </c>
    </row>
    <row r="113" spans="1:2" x14ac:dyDescent="0.25">
      <c r="A113" t="s">
        <v>324</v>
      </c>
      <c r="B113">
        <v>24</v>
      </c>
    </row>
    <row r="114" spans="1:2" x14ac:dyDescent="0.25">
      <c r="A114" t="s">
        <v>325</v>
      </c>
      <c r="B114">
        <v>25</v>
      </c>
    </row>
    <row r="115" spans="1:2" x14ac:dyDescent="0.25">
      <c r="A115" t="s">
        <v>326</v>
      </c>
      <c r="B115">
        <v>26</v>
      </c>
    </row>
    <row r="116" spans="1:2" x14ac:dyDescent="0.25">
      <c r="A116" t="s">
        <v>327</v>
      </c>
      <c r="B116">
        <v>27</v>
      </c>
    </row>
    <row r="117" spans="1:2" x14ac:dyDescent="0.25">
      <c r="A117" t="s">
        <v>328</v>
      </c>
      <c r="B117">
        <v>28</v>
      </c>
    </row>
    <row r="118" spans="1:2" x14ac:dyDescent="0.25">
      <c r="A118" t="s">
        <v>329</v>
      </c>
      <c r="B118">
        <v>29</v>
      </c>
    </row>
    <row r="119" spans="1:2" x14ac:dyDescent="0.25">
      <c r="A119" t="s">
        <v>330</v>
      </c>
      <c r="B119">
        <v>31</v>
      </c>
    </row>
    <row r="120" spans="1:2" x14ac:dyDescent="0.25">
      <c r="A120" t="s">
        <v>331</v>
      </c>
      <c r="B120">
        <v>32</v>
      </c>
    </row>
    <row r="121" spans="1:2" x14ac:dyDescent="0.25">
      <c r="A121" t="s">
        <v>332</v>
      </c>
      <c r="B121">
        <v>34</v>
      </c>
    </row>
    <row r="122" spans="1:2" x14ac:dyDescent="0.25">
      <c r="A122" t="s">
        <v>333</v>
      </c>
      <c r="B122">
        <v>35</v>
      </c>
    </row>
    <row r="123" spans="1:2" x14ac:dyDescent="0.25">
      <c r="A123" t="s">
        <v>334</v>
      </c>
      <c r="B123">
        <v>36</v>
      </c>
    </row>
    <row r="124" spans="1:2" x14ac:dyDescent="0.25">
      <c r="A124" t="s">
        <v>335</v>
      </c>
      <c r="B124">
        <v>37</v>
      </c>
    </row>
    <row r="125" spans="1:2" x14ac:dyDescent="0.25">
      <c r="A125" t="s">
        <v>336</v>
      </c>
      <c r="B125">
        <v>38</v>
      </c>
    </row>
    <row r="126" spans="1:2" x14ac:dyDescent="0.25">
      <c r="A126" t="s">
        <v>337</v>
      </c>
      <c r="B126">
        <v>39</v>
      </c>
    </row>
    <row r="127" spans="1:2" x14ac:dyDescent="0.25">
      <c r="A127" t="s">
        <v>338</v>
      </c>
      <c r="B127">
        <v>40</v>
      </c>
    </row>
    <row r="128" spans="1:2" x14ac:dyDescent="0.25">
      <c r="A128" t="s">
        <v>339</v>
      </c>
      <c r="B128">
        <v>41</v>
      </c>
    </row>
    <row r="129" spans="1:2" x14ac:dyDescent="0.25">
      <c r="A129" t="s">
        <v>340</v>
      </c>
      <c r="B129">
        <v>42</v>
      </c>
    </row>
    <row r="130" spans="1:2" x14ac:dyDescent="0.25">
      <c r="A130" t="s">
        <v>341</v>
      </c>
      <c r="B130">
        <v>43</v>
      </c>
    </row>
    <row r="131" spans="1:2" x14ac:dyDescent="0.25">
      <c r="A131" t="s">
        <v>342</v>
      </c>
      <c r="B131">
        <v>44</v>
      </c>
    </row>
    <row r="132" spans="1:2" x14ac:dyDescent="0.25">
      <c r="A132" t="s">
        <v>343</v>
      </c>
      <c r="B132">
        <v>45</v>
      </c>
    </row>
    <row r="133" spans="1:2" x14ac:dyDescent="0.25">
      <c r="A133" t="s">
        <v>344</v>
      </c>
      <c r="B133">
        <v>46</v>
      </c>
    </row>
    <row r="134" spans="1:2" x14ac:dyDescent="0.25">
      <c r="A134" t="s">
        <v>345</v>
      </c>
      <c r="B134">
        <v>47</v>
      </c>
    </row>
    <row r="135" spans="1:2" x14ac:dyDescent="0.25">
      <c r="A135" t="s">
        <v>346</v>
      </c>
      <c r="B135">
        <v>48</v>
      </c>
    </row>
    <row r="136" spans="1:2" x14ac:dyDescent="0.25">
      <c r="A136" t="s">
        <v>347</v>
      </c>
      <c r="B136">
        <v>49</v>
      </c>
    </row>
    <row r="137" spans="1:2" x14ac:dyDescent="0.25">
      <c r="A137" t="s">
        <v>348</v>
      </c>
      <c r="B137">
        <v>50</v>
      </c>
    </row>
    <row r="138" spans="1:2" x14ac:dyDescent="0.25">
      <c r="A138" t="s">
        <v>349</v>
      </c>
      <c r="B138">
        <v>52</v>
      </c>
    </row>
    <row r="139" spans="1:2" x14ac:dyDescent="0.25">
      <c r="A139" t="s">
        <v>350</v>
      </c>
      <c r="B139">
        <v>53</v>
      </c>
    </row>
    <row r="140" spans="1:2" x14ac:dyDescent="0.25">
      <c r="A140" t="s">
        <v>351</v>
      </c>
      <c r="B140">
        <v>54</v>
      </c>
    </row>
    <row r="141" spans="1:2" x14ac:dyDescent="0.25">
      <c r="A141" t="s">
        <v>352</v>
      </c>
      <c r="B141">
        <v>55</v>
      </c>
    </row>
    <row r="142" spans="1:2" x14ac:dyDescent="0.25">
      <c r="A142" t="s">
        <v>353</v>
      </c>
      <c r="B142">
        <v>56</v>
      </c>
    </row>
    <row r="143" spans="1:2" x14ac:dyDescent="0.25">
      <c r="A143" t="s">
        <v>354</v>
      </c>
      <c r="B143">
        <v>57</v>
      </c>
    </row>
    <row r="144" spans="1:2" x14ac:dyDescent="0.25">
      <c r="A144" t="s">
        <v>355</v>
      </c>
      <c r="B144">
        <v>58</v>
      </c>
    </row>
    <row r="145" spans="1:19" x14ac:dyDescent="0.25">
      <c r="A145" t="s">
        <v>356</v>
      </c>
      <c r="B145" t="s">
        <v>357</v>
      </c>
    </row>
    <row r="146" spans="1:19" x14ac:dyDescent="0.25">
      <c r="A146" t="s">
        <v>358</v>
      </c>
      <c r="B146" s="47" t="s">
        <v>359</v>
      </c>
    </row>
    <row r="147" spans="1:19" x14ac:dyDescent="0.25">
      <c r="A147" t="s">
        <v>360</v>
      </c>
      <c r="B147" s="47" t="s">
        <v>361</v>
      </c>
    </row>
    <row r="148" spans="1:19" x14ac:dyDescent="0.25">
      <c r="A148" t="s">
        <v>362</v>
      </c>
      <c r="B148" s="47" t="s">
        <v>363</v>
      </c>
    </row>
    <row r="149" spans="1:19" x14ac:dyDescent="0.25">
      <c r="A149" t="s">
        <v>364</v>
      </c>
      <c r="B149" s="47" t="s">
        <v>365</v>
      </c>
    </row>
    <row r="150" spans="1:19" x14ac:dyDescent="0.25">
      <c r="A150" t="s">
        <v>366</v>
      </c>
      <c r="B150" s="47" t="s">
        <v>367</v>
      </c>
    </row>
    <row r="151" spans="1:19" x14ac:dyDescent="0.25">
      <c r="A151" t="s">
        <v>368</v>
      </c>
      <c r="B151" s="47" t="s">
        <v>369</v>
      </c>
    </row>
    <row r="152" spans="1:19" x14ac:dyDescent="0.25">
      <c r="A152" t="s">
        <v>370</v>
      </c>
      <c r="B152" s="47" t="s">
        <v>371</v>
      </c>
    </row>
    <row r="153" spans="1:19" x14ac:dyDescent="0.25">
      <c r="A153" t="s">
        <v>372</v>
      </c>
      <c r="B153" s="47" t="s">
        <v>373</v>
      </c>
    </row>
    <row r="154" spans="1:19" x14ac:dyDescent="0.25">
      <c r="A154" t="s">
        <v>374</v>
      </c>
      <c r="B154" s="47" t="s">
        <v>375</v>
      </c>
    </row>
    <row r="155" spans="1:19" x14ac:dyDescent="0.25">
      <c r="A155" t="s">
        <v>376</v>
      </c>
      <c r="B155" t="s">
        <v>58</v>
      </c>
      <c r="C155" t="s">
        <v>103</v>
      </c>
      <c r="D155" t="s">
        <v>53</v>
      </c>
      <c r="E155" t="s">
        <v>132</v>
      </c>
      <c r="F155" t="s">
        <v>43</v>
      </c>
      <c r="G155" t="s">
        <v>48</v>
      </c>
      <c r="H155" t="s">
        <v>73</v>
      </c>
      <c r="I155" t="s">
        <v>41</v>
      </c>
      <c r="J155" t="s">
        <v>68</v>
      </c>
      <c r="K155" t="s">
        <v>121</v>
      </c>
      <c r="L155" t="s">
        <v>63</v>
      </c>
      <c r="M155" t="s">
        <v>82</v>
      </c>
      <c r="N155" t="s">
        <v>123</v>
      </c>
      <c r="O155" t="s">
        <v>148</v>
      </c>
      <c r="P155" t="s">
        <v>150</v>
      </c>
      <c r="Q155" t="s">
        <v>152</v>
      </c>
      <c r="R155" t="s">
        <v>154</v>
      </c>
      <c r="S155" t="s">
        <v>156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80" zoomScaleNormal="80" workbookViewId="0">
      <pane xSplit="2" ySplit="4" topLeftCell="J5" activePane="bottomRight" state="frozen"/>
      <selection pane="topRight" activeCell="C1" sqref="C1"/>
      <selection pane="bottomLeft" activeCell="A5" sqref="A5"/>
      <selection pane="bottomRight" activeCell="AA18" sqref="AA18"/>
    </sheetView>
  </sheetViews>
  <sheetFormatPr defaultColWidth="9.1796875" defaultRowHeight="14" outlineLevelRow="1" x14ac:dyDescent="0.25"/>
  <cols>
    <col min="2" max="2" width="24.7265625" style="52" customWidth="1"/>
    <col min="4" max="5" width="10.7265625" style="52" customWidth="1"/>
    <col min="9" max="9" width="1.7265625" style="52" customWidth="1"/>
    <col min="11" max="11" width="10.7265625" style="52" customWidth="1"/>
    <col min="12" max="13" width="12.54296875" style="52" customWidth="1"/>
    <col min="14" max="14" width="10.7265625" style="52" customWidth="1"/>
    <col min="15" max="20" width="12.7265625" style="52" customWidth="1"/>
    <col min="21" max="27" width="11.7265625" style="52" customWidth="1"/>
    <col min="30" max="30" width="1.7265625" style="52" customWidth="1"/>
    <col min="32" max="32" width="10.7265625" style="52" customWidth="1"/>
    <col min="33" max="34" width="12.54296875" style="52" customWidth="1"/>
    <col min="35" max="35" width="10.7265625" style="52" customWidth="1"/>
    <col min="36" max="41" width="12.7265625" style="52" customWidth="1"/>
    <col min="42" max="48" width="11.7265625" style="52" customWidth="1"/>
    <col min="51" max="51" width="1.7265625" style="52" customWidth="1"/>
    <col min="54" max="58" width="11.7265625" style="52" customWidth="1"/>
    <col min="59" max="59" width="1.7265625" style="52" customWidth="1"/>
    <col min="62" max="66" width="11.7265625" style="52" customWidth="1"/>
    <col min="67" max="67" width="1.7265625" style="52" customWidth="1"/>
  </cols>
  <sheetData>
    <row r="1" spans="1:72" x14ac:dyDescent="0.25">
      <c r="A1" s="119" t="s">
        <v>377</v>
      </c>
      <c r="B1" s="107"/>
      <c r="C1" s="107"/>
      <c r="D1" s="107"/>
      <c r="E1" s="107"/>
      <c r="F1" s="107"/>
      <c r="G1" s="107"/>
      <c r="H1" s="107"/>
      <c r="J1" s="109" t="str">
        <f>Summary!C1</f>
        <v>v5.0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15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3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22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1" t="s">
        <v>386</v>
      </c>
      <c r="V2" s="107"/>
      <c r="W2" s="107"/>
      <c r="X2" s="107"/>
      <c r="Y2" s="107"/>
      <c r="Z2" s="120" t="s">
        <v>387</v>
      </c>
      <c r="AA2" s="107"/>
      <c r="AB2" s="117" t="s">
        <v>124</v>
      </c>
      <c r="AC2" s="118" t="s">
        <v>104</v>
      </c>
      <c r="AE2" s="117" t="s">
        <v>129</v>
      </c>
      <c r="AF2" s="118" t="s">
        <v>133</v>
      </c>
      <c r="AG2" s="122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1" t="s">
        <v>386</v>
      </c>
      <c r="AQ2" s="107"/>
      <c r="AR2" s="107"/>
      <c r="AS2" s="107"/>
      <c r="AT2" s="107"/>
      <c r="AU2" s="120" t="s">
        <v>387</v>
      </c>
      <c r="AV2" s="107"/>
      <c r="AW2" s="117" t="s">
        <v>124</v>
      </c>
      <c r="AX2" s="118" t="s">
        <v>104</v>
      </c>
      <c r="AZ2" s="121" t="s">
        <v>15</v>
      </c>
      <c r="BA2" s="107"/>
      <c r="BB2" s="107"/>
      <c r="BC2" s="107"/>
      <c r="BD2" s="107"/>
      <c r="BE2" s="120" t="s">
        <v>16</v>
      </c>
      <c r="BF2" s="107"/>
      <c r="BH2" s="121" t="s">
        <v>388</v>
      </c>
      <c r="BI2" s="107"/>
      <c r="BJ2" s="123" t="s">
        <v>389</v>
      </c>
      <c r="BK2" s="107"/>
      <c r="BL2" s="107"/>
      <c r="BM2" s="117" t="s">
        <v>390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3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58" t="s">
        <v>17</v>
      </c>
      <c r="V3" s="58" t="s">
        <v>18</v>
      </c>
      <c r="W3" s="58" t="s">
        <v>19</v>
      </c>
      <c r="X3" s="58" t="s">
        <v>20</v>
      </c>
      <c r="Y3" s="58" t="s">
        <v>21</v>
      </c>
      <c r="Z3" s="59" t="s">
        <v>22</v>
      </c>
      <c r="AA3" s="59" t="s">
        <v>19</v>
      </c>
      <c r="AB3" s="108"/>
      <c r="AC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58" t="s">
        <v>17</v>
      </c>
      <c r="AQ3" s="58" t="s">
        <v>18</v>
      </c>
      <c r="AR3" s="58" t="s">
        <v>19</v>
      </c>
      <c r="AS3" s="58" t="s">
        <v>20</v>
      </c>
      <c r="AT3" s="58" t="s">
        <v>21</v>
      </c>
      <c r="AU3" s="59" t="s">
        <v>22</v>
      </c>
      <c r="AV3" s="59" t="s">
        <v>19</v>
      </c>
      <c r="AW3" s="108"/>
      <c r="AX3" s="108"/>
      <c r="AZ3" s="58" t="s">
        <v>17</v>
      </c>
      <c r="BA3" s="58" t="s">
        <v>18</v>
      </c>
      <c r="BB3" s="58" t="s">
        <v>19</v>
      </c>
      <c r="BC3" s="58" t="s">
        <v>20</v>
      </c>
      <c r="BD3" s="58" t="s">
        <v>21</v>
      </c>
      <c r="BE3" s="59" t="s">
        <v>22</v>
      </c>
      <c r="BF3" s="59" t="s">
        <v>19</v>
      </c>
      <c r="BH3" s="58" t="s">
        <v>17</v>
      </c>
      <c r="BI3" s="58" t="s">
        <v>18</v>
      </c>
      <c r="BJ3" s="39" t="s">
        <v>19</v>
      </c>
      <c r="BK3" s="39" t="s">
        <v>20</v>
      </c>
      <c r="BL3" s="39" t="s">
        <v>21</v>
      </c>
      <c r="BM3" s="108"/>
      <c r="BN3" s="108"/>
      <c r="BP3" s="108"/>
      <c r="BQ3" s="108"/>
      <c r="BR3" s="108"/>
      <c r="BS3" s="108"/>
      <c r="BT3" s="108"/>
    </row>
    <row r="4" spans="1:72" ht="1.5" hidden="1" customHeight="1" thickBot="1" x14ac:dyDescent="0.3">
      <c r="A4" s="6" t="s">
        <v>169</v>
      </c>
      <c r="B4" s="7" t="s">
        <v>170</v>
      </c>
      <c r="C4" s="6" t="s">
        <v>397</v>
      </c>
      <c r="D4" s="7" t="s">
        <v>171</v>
      </c>
      <c r="E4" s="6" t="s">
        <v>172</v>
      </c>
      <c r="F4" s="7" t="s">
        <v>173</v>
      </c>
      <c r="G4" s="6" t="s">
        <v>174</v>
      </c>
      <c r="H4" s="7" t="s">
        <v>398</v>
      </c>
      <c r="J4" s="6" t="s">
        <v>175</v>
      </c>
      <c r="K4" s="7" t="s">
        <v>176</v>
      </c>
      <c r="L4" s="7"/>
      <c r="M4" s="7"/>
      <c r="N4" s="6" t="s">
        <v>399</v>
      </c>
      <c r="O4" s="7" t="s">
        <v>177</v>
      </c>
      <c r="P4" s="7"/>
      <c r="Q4" s="7"/>
      <c r="R4" s="7"/>
      <c r="S4" s="7"/>
      <c r="T4" s="7"/>
      <c r="U4" s="6" t="s">
        <v>400</v>
      </c>
      <c r="V4" s="6" t="s">
        <v>401</v>
      </c>
      <c r="W4" s="6" t="s">
        <v>402</v>
      </c>
      <c r="X4" s="6" t="s">
        <v>403</v>
      </c>
      <c r="Y4" s="6" t="s">
        <v>404</v>
      </c>
      <c r="Z4" s="7" t="s">
        <v>405</v>
      </c>
      <c r="AA4" s="7" t="s">
        <v>406</v>
      </c>
      <c r="AB4" s="6" t="s">
        <v>178</v>
      </c>
      <c r="AC4" s="7" t="s">
        <v>179</v>
      </c>
      <c r="AE4" s="6" t="s">
        <v>180</v>
      </c>
      <c r="AF4" s="7" t="s">
        <v>181</v>
      </c>
      <c r="AG4" s="7"/>
      <c r="AH4" s="7"/>
      <c r="AI4" s="6" t="s">
        <v>407</v>
      </c>
      <c r="AJ4" s="7" t="s">
        <v>182</v>
      </c>
      <c r="AK4" s="7"/>
      <c r="AL4" s="7"/>
      <c r="AM4" s="7"/>
      <c r="AN4" s="7"/>
      <c r="AO4" s="7"/>
      <c r="AP4" s="6" t="s">
        <v>408</v>
      </c>
      <c r="AQ4" s="6" t="s">
        <v>409</v>
      </c>
      <c r="AR4" s="6" t="s">
        <v>410</v>
      </c>
      <c r="AS4" s="6" t="s">
        <v>411</v>
      </c>
      <c r="AT4" s="6" t="s">
        <v>412</v>
      </c>
      <c r="AU4" s="7" t="s">
        <v>413</v>
      </c>
      <c r="AV4" s="7" t="s">
        <v>414</v>
      </c>
      <c r="AW4" s="6" t="s">
        <v>183</v>
      </c>
      <c r="AX4" s="7" t="s">
        <v>184</v>
      </c>
      <c r="AZ4" s="6" t="s">
        <v>415</v>
      </c>
      <c r="BA4" s="6" t="s">
        <v>416</v>
      </c>
      <c r="BB4" s="6" t="s">
        <v>417</v>
      </c>
      <c r="BC4" s="6" t="s">
        <v>418</v>
      </c>
      <c r="BD4" s="6" t="s">
        <v>419</v>
      </c>
      <c r="BE4" s="7" t="s">
        <v>420</v>
      </c>
      <c r="BF4" s="7" t="s">
        <v>421</v>
      </c>
      <c r="BH4" s="6" t="s">
        <v>415</v>
      </c>
      <c r="BI4" s="6" t="s">
        <v>416</v>
      </c>
      <c r="BJ4" s="6" t="s">
        <v>417</v>
      </c>
      <c r="BK4" s="6" t="s">
        <v>418</v>
      </c>
      <c r="BL4" s="6" t="s">
        <v>419</v>
      </c>
      <c r="BM4" s="7" t="s">
        <v>420</v>
      </c>
      <c r="BN4" s="7" t="s">
        <v>421</v>
      </c>
    </row>
    <row r="5" spans="1:72" ht="15" customHeight="1" x14ac:dyDescent="0.25">
      <c r="A5" s="8" t="s">
        <v>186</v>
      </c>
      <c r="B5" s="8" t="s">
        <v>32</v>
      </c>
      <c r="C5" s="10" t="s">
        <v>422</v>
      </c>
      <c r="D5" s="8">
        <v>11997440</v>
      </c>
      <c r="E5" s="9">
        <v>10</v>
      </c>
      <c r="F5" s="10">
        <v>32</v>
      </c>
      <c r="G5" s="10">
        <v>30</v>
      </c>
      <c r="H5" s="10">
        <v>4</v>
      </c>
      <c r="J5" s="63">
        <f t="shared" ref="J5:J44" si="0">IF(OR(ISBLANK(O5),ISBLANK(G5)),"·",O5*G5/F5/1000000)</f>
        <v>4.9744275</v>
      </c>
      <c r="K5" s="11">
        <f t="shared" ref="K5:K44" si="1">IF(ISBLANK(O5),"·",O5/D5)</f>
        <v>0.44226568334578042</v>
      </c>
      <c r="L5" s="10">
        <f t="shared" ref="L5:L44" si="2">IF(OR(ISBLANK(M5),ISBLANK(S5),ISBLANK(T5)),".",M5+S5+T5)</f>
        <v>5306056</v>
      </c>
      <c r="M5" s="10">
        <f t="shared" ref="M5:M44" si="3">IF(OR(ISBLANK(Q5),ISBLANK(P5),ISBLANK(R5)),".",P5+Q5+R5)</f>
        <v>1590072</v>
      </c>
      <c r="N5" s="25">
        <v>603968</v>
      </c>
      <c r="O5" s="12">
        <v>5306056</v>
      </c>
      <c r="P5" s="12">
        <v>839968</v>
      </c>
      <c r="Q5" s="12">
        <v>0</v>
      </c>
      <c r="R5" s="12">
        <v>750104</v>
      </c>
      <c r="S5" s="12">
        <v>3708960</v>
      </c>
      <c r="T5" s="12">
        <v>7024</v>
      </c>
      <c r="U5" s="26">
        <v>67.922765600000005</v>
      </c>
      <c r="V5" s="26">
        <v>68.861665500000001</v>
      </c>
      <c r="W5" s="26">
        <v>28.818558700000001</v>
      </c>
      <c r="X5" s="26">
        <v>33.972001599999999</v>
      </c>
      <c r="Y5" s="26">
        <v>33.419396200000001</v>
      </c>
      <c r="Z5" s="26">
        <v>48.503596100000003</v>
      </c>
      <c r="AA5" s="26">
        <v>27.252334399999999</v>
      </c>
      <c r="AB5" s="64">
        <v>344.24288899999999</v>
      </c>
      <c r="AC5" s="64">
        <v>2.1381600000000001</v>
      </c>
      <c r="AE5" s="63" t="str">
        <f t="shared" ref="AE5:AE44" si="4">IF(OR(ISBLANK(AJ5),ISBLANK(G5)),"·",AJ5*G5/F5/1000000)</f>
        <v>·</v>
      </c>
      <c r="AF5" s="11" t="str">
        <f t="shared" ref="AF5:AF44" si="5">IF(ISBLANK(AJ5),"·",AJ5/D5)</f>
        <v>·</v>
      </c>
      <c r="AG5" s="10" t="str">
        <f t="shared" ref="AG5:AG44" si="6">IF(OR(ISBLANK(AH5),ISBLANK(AN5),ISBLANK(AO5)),".",AH5+AN5+AO5)</f>
        <v>.</v>
      </c>
      <c r="AH5" s="10" t="str">
        <f t="shared" ref="AH5:AH44" si="7">IF(OR(ISBLANK(AL5),ISBLANK(AK5),ISBLANK(AM5)),".",AK5+AL5+AM5)</f>
        <v>.</v>
      </c>
      <c r="AI5" s="25"/>
      <c r="AJ5" s="12"/>
      <c r="AK5" s="12"/>
      <c r="AL5" s="12"/>
      <c r="AM5" s="12"/>
      <c r="AN5" s="12"/>
      <c r="AO5" s="12"/>
      <c r="AP5" s="26"/>
      <c r="AQ5" s="26"/>
      <c r="AR5" s="26"/>
      <c r="AS5" s="26"/>
      <c r="AT5" s="26"/>
      <c r="AU5" s="26"/>
      <c r="AV5" s="26"/>
      <c r="AW5" s="64"/>
      <c r="AX5" s="64"/>
      <c r="AZ5" s="65" t="str">
        <f t="array" ref="AZ5">IF( OR(AND(ISBLANK(L5:L9)),AND(ISBLANK(AG5:AG9)), AND(ISBLANK(U5:U9)),AND(ISBLANK(AP5:AP9))), "·", bdRateExtend( L5:L9,U5:U9, AG5:AG9,AP5:AP9))</f>
        <v>·</v>
      </c>
      <c r="BA5" s="65" t="str">
        <f t="array" ref="BA5">IF( OR(AND(ISBLANK(L5:L9)),AND(ISBLANK(AG5:AG9)), AND(ISBLANK(V5:V9)),AND(ISBLANK(AQ5:AQ9))), "·", bdRateExtend( L5:L9,V5:V9, AG5:AG9,AQ5:AQ9))</f>
        <v>·</v>
      </c>
      <c r="BB5" s="65" t="str">
        <f t="array" ref="BB5">IF( OR(AND(ISBLANK(L5:L9)),AND(ISBLANK(AG5:AG9)), AND(ISBLANK(W5:W9)),AND(ISBLANK(AR5:AR9))), "·", bdRateExtend( L5:L9,W5:W9, AG5:AG9,AR5:AR9))</f>
        <v>·</v>
      </c>
      <c r="BC5" s="65" t="str">
        <f t="array" ref="BC5">IF( OR(AND(ISBLANK(L5:L9)),AND(ISBLANK(AG5:AG9)), AND(ISBLANK(X5:X9)),AND(ISBLANK(AS5:AS9))), "·", bdRateExtend( L5:L9,X5:X9, AG5:AG9,AS5:AS9))</f>
        <v>·</v>
      </c>
      <c r="BD5" s="65" t="str">
        <f t="array" ref="BD5">IF( OR(AND(ISBLANK(L5:L9)),AND(ISBLANK(AG5:AG9)), AND(ISBLANK(Y5:Y9)),AND(ISBLANK(AT5:AT9))), "·", bdRateExtend( L5:L9,Y5:Y9, AG5:AG9,AT5:AT9))</f>
        <v>·</v>
      </c>
      <c r="BE5" s="65" t="str">
        <f t="array" ref="BE5">IF( OR(AND(ISBLANK(L5:L9)),AND(ISBLANK(AG5:AG9)), AND(ISBLANK(Z5:Z9)),AND(ISBLANK(AU5:AU9))), "·", bdRateExtend( L5:L9,Z5:Z9, AG5:AG9,AU5:AU9))</f>
        <v>·</v>
      </c>
      <c r="BF5" s="65" t="str">
        <f t="array" ref="BF5">IF( OR(AND(ISBLANK(L5:L9)),AND(ISBLANK(AG5:AG9)), AND(ISBLANK(AA5:AA9)),AND(ISBLANK(AV5:AV9))), "·", bdRateExtend( L5:L9,AA5:AA9, AG5:AG9,AV5:AV9))</f>
        <v>·</v>
      </c>
      <c r="BH5" s="65" t="str">
        <f t="array" ref="BH5">IF( OR(AND(ISBLANK(M5:M9)),AND(ISBLANK(AH5:AH9)), AND(ISBLANK(U5:U9)),AND(ISBLANK(AP5:AP9))), "·", bdRateExtend( M5:M9,U5:U9, AH5:AH9,AP5:AP9))</f>
        <v>·</v>
      </c>
      <c r="BI5" s="65" t="str">
        <f t="array" ref="BI5">IF( OR(AND(ISBLANK(M5:M9)),AND(ISBLANK(AH5:AH9)), AND(ISBLANK(V5:V9)),AND(ISBLANK(AQ5:AQ9))), "·", bdRateExtend( M5:M9,V5:V9, AH5:AH9,AQ5:AQ9))</f>
        <v>·</v>
      </c>
      <c r="BJ5" s="65" t="str">
        <f t="array" ref="BJ5">IF( OR(AND(ISBLANK(S5:S9)),AND(ISBLANK(AN5:AN9)), AND(ISBLANK(W5:W9)),AND(ISBLANK(AR5:AR9))), "·", bdRateExtend( S5:S9,W5:W9, AN5:AN9,AR5:AR9))</f>
        <v>·</v>
      </c>
      <c r="BK5" s="65" t="str">
        <f t="array" ref="BK5">IF( OR(AND(ISBLANK(S5:S9)),AND(ISBLANK(AN5:AN9)), AND(ISBLANK(X5:X9)),AND(ISBLANK(AS5:AS9))), "·", bdRateExtend( S5:S9,X5:X9, AN5:AN9,AS5:AS9))</f>
        <v>·</v>
      </c>
      <c r="BL5" s="65" t="str">
        <f t="array" ref="BL5">IF( OR(AND(ISBLANK(S5:S9)),AND(ISBLANK(AN5:AN9)), AND(ISBLANK(Y5:Y9)),AND(ISBLANK(AT5:AT9))), "·", bdRateExtend( S5:S9,Y5:Y9, AN5:AN9,AT5:AT9))</f>
        <v>·</v>
      </c>
      <c r="BM5" s="65" t="str">
        <f t="array" ref="BM5">IF( OR(AND(ISBLANK(M5:M9)),AND(ISBLANK(AH5:AH9)), AND(ISBLANK(Z5:Z9)),AND(ISBLANK(AU5:AU9))), "·", bdRateExtend( M5:M9,Z5:Z9, AH5:AH9,AU5:AU9))</f>
        <v>·</v>
      </c>
      <c r="BN5" s="65" t="str">
        <f t="array" ref="BN5">IF( OR(AND(ISBLANK(S5:S9)),AND(ISBLANK(AN5:AN9)), AND(ISBLANK(AA5:AA9)),AND(ISBLANK(AV5:AV9))), "·", bdRateExtend( S5:S9,AA5:AA9, AN5:AN9,AV5:AV9))</f>
        <v>·</v>
      </c>
      <c r="BP5" s="65">
        <f t="shared" ref="BP5:BP44" si="8">IF(AND(AK5=0,AK5=0),0,AK5/P5-1)</f>
        <v>0</v>
      </c>
      <c r="BQ5" s="65">
        <f t="shared" ref="BQ5:BQ44" si="9">IF(AND(AL5=0,AL5=0),0,AL5/Q5-1)</f>
        <v>0</v>
      </c>
      <c r="BR5" s="65">
        <f t="shared" ref="BR5:BR44" si="10">IF(AND(AM5=0,AM5=0),0,AM5/R5-1)</f>
        <v>0</v>
      </c>
      <c r="BS5" s="65">
        <f t="shared" ref="BS5:BS44" si="11">IF(AND(AN5=0,AN5=0),0,AN5/S5-1)</f>
        <v>0</v>
      </c>
      <c r="BT5" s="65">
        <f t="shared" ref="BT5:BT44" si="12">IF(AND(AO5=0,AO5=0),0,AO5/T5-1)</f>
        <v>0</v>
      </c>
    </row>
    <row r="6" spans="1:72" ht="15" customHeight="1" outlineLevel="1" x14ac:dyDescent="0.25">
      <c r="A6" s="18"/>
      <c r="B6" s="18" t="s">
        <v>32</v>
      </c>
      <c r="C6" s="20" t="s">
        <v>423</v>
      </c>
      <c r="D6" s="18">
        <v>11997440</v>
      </c>
      <c r="E6" s="19">
        <v>10</v>
      </c>
      <c r="F6" s="20">
        <v>32</v>
      </c>
      <c r="G6" s="20">
        <v>30</v>
      </c>
      <c r="H6" s="20">
        <v>9</v>
      </c>
      <c r="J6" s="69">
        <f t="shared" si="0"/>
        <v>9.0768225000000005</v>
      </c>
      <c r="K6" s="21">
        <f t="shared" si="1"/>
        <v>0.80700082684305985</v>
      </c>
      <c r="L6" s="20">
        <f t="shared" si="2"/>
        <v>9681944</v>
      </c>
      <c r="M6" s="20">
        <f t="shared" si="3"/>
        <v>1765960</v>
      </c>
      <c r="N6" s="27">
        <v>603968</v>
      </c>
      <c r="O6" s="22">
        <v>9681944</v>
      </c>
      <c r="P6" s="22">
        <v>905264</v>
      </c>
      <c r="Q6" s="22">
        <v>0</v>
      </c>
      <c r="R6" s="22">
        <v>860696</v>
      </c>
      <c r="S6" s="22">
        <v>7908960</v>
      </c>
      <c r="T6" s="22">
        <v>7024</v>
      </c>
      <c r="U6" s="28">
        <v>68.203765000000004</v>
      </c>
      <c r="V6" s="28">
        <v>69.163967499999998</v>
      </c>
      <c r="W6" s="28">
        <v>31.441848499999999</v>
      </c>
      <c r="X6" s="28">
        <v>35.184246999999999</v>
      </c>
      <c r="Y6" s="28">
        <v>34.722486000000004</v>
      </c>
      <c r="Z6" s="28">
        <v>48.604328000000002</v>
      </c>
      <c r="AA6" s="28">
        <v>28.525618000000001</v>
      </c>
      <c r="AB6" s="70">
        <v>374.372007</v>
      </c>
      <c r="AC6" s="70">
        <v>3.9092180000000001</v>
      </c>
      <c r="AE6" s="69" t="str">
        <f t="shared" si="4"/>
        <v>·</v>
      </c>
      <c r="AF6" s="21" t="str">
        <f t="shared" si="5"/>
        <v>·</v>
      </c>
      <c r="AG6" s="20" t="str">
        <f t="shared" si="6"/>
        <v>.</v>
      </c>
      <c r="AH6" s="20" t="str">
        <f t="shared" si="7"/>
        <v>.</v>
      </c>
      <c r="AI6" s="27"/>
      <c r="AJ6" s="22"/>
      <c r="AK6" s="22"/>
      <c r="AL6" s="22"/>
      <c r="AM6" s="22"/>
      <c r="AN6" s="22"/>
      <c r="AO6" s="22"/>
      <c r="AP6" s="28"/>
      <c r="AQ6" s="28"/>
      <c r="AR6" s="28"/>
      <c r="AS6" s="28"/>
      <c r="AT6" s="28"/>
      <c r="AU6" s="28"/>
      <c r="AV6" s="28"/>
      <c r="AW6" s="70"/>
      <c r="AX6" s="70"/>
      <c r="AZ6" s="71"/>
      <c r="BA6" s="71"/>
      <c r="BB6" s="71"/>
      <c r="BC6" s="71"/>
      <c r="BD6" s="71"/>
      <c r="BE6" s="71"/>
      <c r="BF6" s="71"/>
      <c r="BH6" s="73"/>
      <c r="BI6" s="73"/>
      <c r="BJ6" s="73"/>
      <c r="BK6" s="73"/>
      <c r="BL6" s="73"/>
      <c r="BM6" s="73"/>
      <c r="BN6" s="73"/>
      <c r="BP6" s="71">
        <f t="shared" si="8"/>
        <v>0</v>
      </c>
      <c r="BQ6" s="71">
        <f t="shared" si="9"/>
        <v>0</v>
      </c>
      <c r="BR6" s="71">
        <f t="shared" si="10"/>
        <v>0</v>
      </c>
      <c r="BS6" s="71">
        <f t="shared" si="11"/>
        <v>0</v>
      </c>
      <c r="BT6" s="71">
        <f t="shared" si="12"/>
        <v>0</v>
      </c>
    </row>
    <row r="7" spans="1:72" ht="15" customHeight="1" outlineLevel="1" x14ac:dyDescent="0.25">
      <c r="A7" s="8"/>
      <c r="B7" s="8" t="s">
        <v>32</v>
      </c>
      <c r="C7" s="10" t="s">
        <v>424</v>
      </c>
      <c r="D7" s="8">
        <v>11997440</v>
      </c>
      <c r="E7" s="9">
        <v>10</v>
      </c>
      <c r="F7" s="10">
        <v>32</v>
      </c>
      <c r="G7" s="10">
        <v>30</v>
      </c>
      <c r="H7" s="10">
        <v>12</v>
      </c>
      <c r="J7" s="63">
        <f t="shared" si="0"/>
        <v>12.3944925</v>
      </c>
      <c r="K7" s="11">
        <f t="shared" si="1"/>
        <v>1.1019677531206657</v>
      </c>
      <c r="L7" s="10">
        <f t="shared" si="2"/>
        <v>13220792</v>
      </c>
      <c r="M7" s="10">
        <f t="shared" si="3"/>
        <v>2158800</v>
      </c>
      <c r="N7" s="25">
        <v>1217920</v>
      </c>
      <c r="O7" s="12">
        <v>13220792</v>
      </c>
      <c r="P7" s="12">
        <v>1333944</v>
      </c>
      <c r="Q7" s="12">
        <v>0</v>
      </c>
      <c r="R7" s="12">
        <v>824856</v>
      </c>
      <c r="S7" s="12">
        <v>11054960</v>
      </c>
      <c r="T7" s="12">
        <v>7032</v>
      </c>
      <c r="U7" s="26">
        <v>70.673121499999993</v>
      </c>
      <c r="V7" s="26">
        <v>72.026999200000006</v>
      </c>
      <c r="W7" s="26">
        <v>32.612256600000002</v>
      </c>
      <c r="X7" s="26">
        <v>36.915419200000002</v>
      </c>
      <c r="Y7" s="26">
        <v>36.636276199999998</v>
      </c>
      <c r="Z7" s="26">
        <v>50.438966700000002</v>
      </c>
      <c r="AA7" s="26">
        <v>30.0880793</v>
      </c>
      <c r="AB7" s="64">
        <v>1047.8996770000001</v>
      </c>
      <c r="AC7" s="64">
        <v>7.8121409999999996</v>
      </c>
      <c r="AE7" s="63" t="str">
        <f t="shared" si="4"/>
        <v>·</v>
      </c>
      <c r="AF7" s="11" t="str">
        <f t="shared" si="5"/>
        <v>·</v>
      </c>
      <c r="AG7" s="10" t="str">
        <f t="shared" si="6"/>
        <v>.</v>
      </c>
      <c r="AH7" s="10" t="str">
        <f t="shared" si="7"/>
        <v>.</v>
      </c>
      <c r="AI7" s="25"/>
      <c r="AJ7" s="12"/>
      <c r="AK7" s="12"/>
      <c r="AL7" s="12"/>
      <c r="AM7" s="12"/>
      <c r="AN7" s="12"/>
      <c r="AO7" s="12"/>
      <c r="AP7" s="26"/>
      <c r="AQ7" s="26"/>
      <c r="AR7" s="26"/>
      <c r="AS7" s="26"/>
      <c r="AT7" s="26"/>
      <c r="AU7" s="26"/>
      <c r="AV7" s="26"/>
      <c r="AW7" s="64"/>
      <c r="AX7" s="64"/>
      <c r="AZ7" s="65"/>
      <c r="BA7" s="65"/>
      <c r="BB7" s="65"/>
      <c r="BC7" s="65"/>
      <c r="BD7" s="65"/>
      <c r="BE7" s="65"/>
      <c r="BF7" s="65"/>
      <c r="BH7" s="74"/>
      <c r="BI7" s="74"/>
      <c r="BJ7" s="74"/>
      <c r="BK7" s="74"/>
      <c r="BL7" s="74"/>
      <c r="BM7" s="74"/>
      <c r="BN7" s="74"/>
      <c r="BP7" s="65">
        <f t="shared" si="8"/>
        <v>0</v>
      </c>
      <c r="BQ7" s="65">
        <f t="shared" si="9"/>
        <v>0</v>
      </c>
      <c r="BR7" s="65">
        <f t="shared" si="10"/>
        <v>0</v>
      </c>
      <c r="BS7" s="65">
        <f t="shared" si="11"/>
        <v>0</v>
      </c>
      <c r="BT7" s="65">
        <f t="shared" si="12"/>
        <v>0</v>
      </c>
    </row>
    <row r="8" spans="1:72" ht="15" customHeight="1" outlineLevel="1" x14ac:dyDescent="0.25">
      <c r="A8" s="18"/>
      <c r="B8" s="18" t="s">
        <v>32</v>
      </c>
      <c r="C8" s="20" t="s">
        <v>425</v>
      </c>
      <c r="D8" s="18">
        <v>11997440</v>
      </c>
      <c r="E8" s="19">
        <v>10</v>
      </c>
      <c r="F8" s="20">
        <v>32</v>
      </c>
      <c r="G8" s="20">
        <v>30</v>
      </c>
      <c r="H8" s="20">
        <v>15</v>
      </c>
      <c r="J8" s="69">
        <f t="shared" si="0"/>
        <v>15.42741</v>
      </c>
      <c r="K8" s="21">
        <f t="shared" si="1"/>
        <v>1.3716179451616344</v>
      </c>
      <c r="L8" s="20">
        <f t="shared" si="2"/>
        <v>16455904</v>
      </c>
      <c r="M8" s="20">
        <f t="shared" si="3"/>
        <v>2812392</v>
      </c>
      <c r="N8" s="27">
        <v>1217920</v>
      </c>
      <c r="O8" s="22">
        <v>16455904</v>
      </c>
      <c r="P8" s="22">
        <v>1456656</v>
      </c>
      <c r="Q8" s="22">
        <v>0</v>
      </c>
      <c r="R8" s="22">
        <v>1355736</v>
      </c>
      <c r="S8" s="22">
        <v>13636488</v>
      </c>
      <c r="T8" s="22">
        <v>7024</v>
      </c>
      <c r="U8" s="28">
        <v>72.199853500000003</v>
      </c>
      <c r="V8" s="28">
        <v>73.732992699999997</v>
      </c>
      <c r="W8" s="28">
        <v>33.563337199999999</v>
      </c>
      <c r="X8" s="28">
        <v>37.431180099999999</v>
      </c>
      <c r="Y8" s="28">
        <v>37.157933399999997</v>
      </c>
      <c r="Z8" s="28">
        <v>50.957138800000003</v>
      </c>
      <c r="AA8" s="28">
        <v>31.075825999999999</v>
      </c>
      <c r="AB8" s="70">
        <v>891.00793999999996</v>
      </c>
      <c r="AC8" s="70">
        <v>13.286346</v>
      </c>
      <c r="AE8" s="69" t="str">
        <f t="shared" si="4"/>
        <v>·</v>
      </c>
      <c r="AF8" s="21" t="str">
        <f t="shared" si="5"/>
        <v>·</v>
      </c>
      <c r="AG8" s="20" t="str">
        <f t="shared" si="6"/>
        <v>.</v>
      </c>
      <c r="AH8" s="20" t="str">
        <f t="shared" si="7"/>
        <v>.</v>
      </c>
      <c r="AI8" s="27"/>
      <c r="AJ8" s="22"/>
      <c r="AK8" s="22"/>
      <c r="AL8" s="22"/>
      <c r="AM8" s="22"/>
      <c r="AN8" s="22"/>
      <c r="AO8" s="22"/>
      <c r="AP8" s="28"/>
      <c r="AQ8" s="28"/>
      <c r="AR8" s="28"/>
      <c r="AS8" s="28"/>
      <c r="AT8" s="28"/>
      <c r="AU8" s="28"/>
      <c r="AV8" s="28"/>
      <c r="AW8" s="70"/>
      <c r="AX8" s="70"/>
      <c r="AZ8" s="71"/>
      <c r="BA8" s="71"/>
      <c r="BB8" s="71"/>
      <c r="BC8" s="71"/>
      <c r="BD8" s="71"/>
      <c r="BE8" s="71"/>
      <c r="BF8" s="71"/>
      <c r="BH8" s="73"/>
      <c r="BI8" s="73"/>
      <c r="BJ8" s="73"/>
      <c r="BK8" s="73"/>
      <c r="BL8" s="73"/>
      <c r="BM8" s="73"/>
      <c r="BN8" s="73"/>
      <c r="BP8" s="71">
        <f t="shared" si="8"/>
        <v>0</v>
      </c>
      <c r="BQ8" s="71">
        <f t="shared" si="9"/>
        <v>0</v>
      </c>
      <c r="BR8" s="71">
        <f t="shared" si="10"/>
        <v>0</v>
      </c>
      <c r="BS8" s="71">
        <f t="shared" si="11"/>
        <v>0</v>
      </c>
      <c r="BT8" s="71">
        <f t="shared" si="12"/>
        <v>0</v>
      </c>
    </row>
    <row r="9" spans="1:72" ht="15.75" customHeight="1" outlineLevel="1" thickBot="1" x14ac:dyDescent="0.3">
      <c r="A9" s="8"/>
      <c r="B9" s="29" t="s">
        <v>32</v>
      </c>
      <c r="C9" s="30" t="s">
        <v>426</v>
      </c>
      <c r="D9" s="29">
        <v>11997440</v>
      </c>
      <c r="E9" s="31">
        <v>10</v>
      </c>
      <c r="F9" s="30">
        <v>32</v>
      </c>
      <c r="G9" s="30">
        <v>30</v>
      </c>
      <c r="H9" s="30">
        <v>22</v>
      </c>
      <c r="J9" s="75">
        <f t="shared" si="0"/>
        <v>22.6471725</v>
      </c>
      <c r="K9" s="32">
        <f t="shared" si="1"/>
        <v>2.0135115491304814</v>
      </c>
      <c r="L9" s="30">
        <f t="shared" si="2"/>
        <v>24156984</v>
      </c>
      <c r="M9" s="30">
        <f t="shared" si="3"/>
        <v>4680768</v>
      </c>
      <c r="N9" s="33">
        <v>2446416</v>
      </c>
      <c r="O9" s="34">
        <v>24156984</v>
      </c>
      <c r="P9" s="34">
        <v>2202296</v>
      </c>
      <c r="Q9" s="34">
        <v>0</v>
      </c>
      <c r="R9" s="34">
        <v>2478472</v>
      </c>
      <c r="S9" s="34">
        <v>19468936</v>
      </c>
      <c r="T9" s="34">
        <v>7280</v>
      </c>
      <c r="U9" s="35">
        <v>75.416377600000004</v>
      </c>
      <c r="V9" s="35">
        <v>77.545934299999999</v>
      </c>
      <c r="W9" s="35">
        <v>35.005271200000003</v>
      </c>
      <c r="X9" s="35">
        <v>38.585872100000003</v>
      </c>
      <c r="Y9" s="35">
        <v>38.3047355</v>
      </c>
      <c r="Z9" s="35">
        <v>52.949748999999997</v>
      </c>
      <c r="AA9" s="35">
        <v>32.855478900000001</v>
      </c>
      <c r="AB9" s="76">
        <v>1387.9951160000001</v>
      </c>
      <c r="AC9" s="76">
        <v>14.756470999999999</v>
      </c>
      <c r="AE9" s="75" t="str">
        <f t="shared" si="4"/>
        <v>·</v>
      </c>
      <c r="AF9" s="32" t="str">
        <f t="shared" si="5"/>
        <v>·</v>
      </c>
      <c r="AG9" s="30" t="str">
        <f t="shared" si="6"/>
        <v>.</v>
      </c>
      <c r="AH9" s="30" t="str">
        <f t="shared" si="7"/>
        <v>.</v>
      </c>
      <c r="AI9" s="33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76"/>
      <c r="AX9" s="76"/>
      <c r="AZ9" s="77"/>
      <c r="BA9" s="77"/>
      <c r="BB9" s="77"/>
      <c r="BC9" s="77"/>
      <c r="BD9" s="77"/>
      <c r="BE9" s="77"/>
      <c r="BF9" s="77"/>
      <c r="BH9" s="78"/>
      <c r="BI9" s="78"/>
      <c r="BJ9" s="78"/>
      <c r="BK9" s="78"/>
      <c r="BL9" s="78"/>
      <c r="BM9" s="78"/>
      <c r="BN9" s="78"/>
      <c r="BP9" s="77">
        <f t="shared" si="8"/>
        <v>0</v>
      </c>
      <c r="BQ9" s="77">
        <f t="shared" si="9"/>
        <v>0</v>
      </c>
      <c r="BR9" s="77">
        <f t="shared" si="10"/>
        <v>0</v>
      </c>
      <c r="BS9" s="77">
        <f t="shared" si="11"/>
        <v>0</v>
      </c>
      <c r="BT9" s="77">
        <f t="shared" si="12"/>
        <v>0</v>
      </c>
    </row>
    <row r="10" spans="1:72" ht="15" customHeight="1" x14ac:dyDescent="0.25">
      <c r="A10" s="18"/>
      <c r="B10" s="18" t="s">
        <v>47</v>
      </c>
      <c r="C10" s="20" t="s">
        <v>422</v>
      </c>
      <c r="D10" s="18">
        <v>9000000</v>
      </c>
      <c r="E10" s="19">
        <v>10</v>
      </c>
      <c r="F10" s="20">
        <v>32</v>
      </c>
      <c r="G10" s="20">
        <v>30</v>
      </c>
      <c r="H10" s="20">
        <v>5</v>
      </c>
      <c r="J10" s="69">
        <f t="shared" si="0"/>
        <v>5.0773950000000001</v>
      </c>
      <c r="K10" s="21">
        <f t="shared" si="1"/>
        <v>0.60176533333333337</v>
      </c>
      <c r="L10" s="20">
        <f t="shared" si="2"/>
        <v>5415888</v>
      </c>
      <c r="M10" s="20">
        <f t="shared" si="3"/>
        <v>1535592</v>
      </c>
      <c r="N10" s="27">
        <v>598416</v>
      </c>
      <c r="O10" s="22">
        <v>5415888</v>
      </c>
      <c r="P10" s="22">
        <v>907520</v>
      </c>
      <c r="Q10" s="22">
        <v>0</v>
      </c>
      <c r="R10" s="22">
        <v>628072</v>
      </c>
      <c r="S10" s="22">
        <v>3873264</v>
      </c>
      <c r="T10" s="22">
        <v>7032</v>
      </c>
      <c r="U10" s="28">
        <v>64.1644802</v>
      </c>
      <c r="V10" s="28">
        <v>64.725161400000005</v>
      </c>
      <c r="W10" s="28">
        <v>31.994658600000001</v>
      </c>
      <c r="X10" s="28">
        <v>44.814062399999997</v>
      </c>
      <c r="Y10" s="28">
        <v>45.12529</v>
      </c>
      <c r="Z10" s="28">
        <v>43.179799099999997</v>
      </c>
      <c r="AA10" s="28">
        <v>29.084105300000001</v>
      </c>
      <c r="AB10" s="70">
        <v>926.36105699999996</v>
      </c>
      <c r="AC10" s="70">
        <v>7.6744570000000003</v>
      </c>
      <c r="AE10" s="69" t="str">
        <f t="shared" si="4"/>
        <v>·</v>
      </c>
      <c r="AF10" s="21" t="str">
        <f t="shared" si="5"/>
        <v>·</v>
      </c>
      <c r="AG10" s="20" t="str">
        <f t="shared" si="6"/>
        <v>.</v>
      </c>
      <c r="AH10" s="20" t="str">
        <f t="shared" si="7"/>
        <v>.</v>
      </c>
      <c r="AI10" s="27"/>
      <c r="AJ10" s="22"/>
      <c r="AK10" s="22"/>
      <c r="AL10" s="22"/>
      <c r="AM10" s="22"/>
      <c r="AN10" s="22"/>
      <c r="AO10" s="22"/>
      <c r="AP10" s="28"/>
      <c r="AQ10" s="28"/>
      <c r="AR10" s="28"/>
      <c r="AS10" s="28"/>
      <c r="AT10" s="28"/>
      <c r="AU10" s="28"/>
      <c r="AV10" s="28"/>
      <c r="AW10" s="70"/>
      <c r="AX10" s="70"/>
      <c r="AZ10" s="71" t="str">
        <f t="array" ref="AZ10">IF( OR(AND(ISBLANK(L10:L14)),AND(ISBLANK(AG10:AG14)), AND(ISBLANK(U10:U14)),AND(ISBLANK(AP10:AP14))), "·", bdRateExtend( L10:L14,U10:U14, AG10:AG14,AP10:AP14))</f>
        <v>·</v>
      </c>
      <c r="BA10" s="71" t="str">
        <f t="array" ref="BA10">IF( OR(AND(ISBLANK(L10:L14)),AND(ISBLANK(AG10:AG14)), AND(ISBLANK(V10:V14)),AND(ISBLANK(AQ10:AQ14))), "·", bdRateExtend( L10:L14,V10:V14, AG10:AG14,AQ10:AQ14))</f>
        <v>·</v>
      </c>
      <c r="BB10" s="71" t="str">
        <f t="array" ref="BB10">IF( OR(AND(ISBLANK(L10:L14)),AND(ISBLANK(AG10:AG14)), AND(ISBLANK(W10:W14)),AND(ISBLANK(AR10:AR14))), "·", bdRateExtend( L10:L14,W10:W14, AG10:AG14,AR10:AR14))</f>
        <v>·</v>
      </c>
      <c r="BC10" s="71" t="str">
        <f t="array" ref="BC10">IF( OR(AND(ISBLANK(L10:L14)),AND(ISBLANK(AG10:AG14)), AND(ISBLANK(X10:X14)),AND(ISBLANK(AS10:AS14))), "·", bdRateExtend( L10:L14,X10:X14, AG10:AG14,AS10:AS14))</f>
        <v>·</v>
      </c>
      <c r="BD10" s="71" t="str">
        <f t="array" ref="BD10">IF( OR(AND(ISBLANK(L10:L14)),AND(ISBLANK(AG10:AG14)), AND(ISBLANK(Y10:Y14)),AND(ISBLANK(AT10:AT14))), "·", bdRateExtend( L10:L14,Y10:Y14, AG10:AG14,AT10:AT14))</f>
        <v>·</v>
      </c>
      <c r="BE10" s="71" t="str">
        <f t="array" ref="BE10">IF( OR(AND(ISBLANK(L10:L14)),AND(ISBLANK(AG10:AG14)), AND(ISBLANK(Z10:Z14)),AND(ISBLANK(AU10:AU14))), "·", bdRateExtend( L10:L14,Z10:Z14, AG10:AG14,AU10:AU14))</f>
        <v>·</v>
      </c>
      <c r="BF10" s="71" t="str">
        <f t="array" ref="BF10">IF( OR(AND(ISBLANK(L10:L14)),AND(ISBLANK(AG10:AG14)), AND(ISBLANK(AA10:AA14)),AND(ISBLANK(AV10:AV14))), "·", bdRateExtend( L10:L14,AA10:AA14, AG10:AG14,AV10:AV14))</f>
        <v>·</v>
      </c>
      <c r="BH10" s="71" t="str">
        <f t="array" ref="BH10">IF( OR(AND(ISBLANK(M10:M14)),AND(ISBLANK(AH10:AH14)), AND(ISBLANK(U10:U14)),AND(ISBLANK(AP10:AP14))), "·", bdRateExtend( M10:M14,U10:U14, AH10:AH14,AP10:AP14))</f>
        <v>·</v>
      </c>
      <c r="BI10" s="71" t="str">
        <f t="array" ref="BI10">IF( OR(AND(ISBLANK(M10:M14)),AND(ISBLANK(AH10:AH14)), AND(ISBLANK(V10:V14)),AND(ISBLANK(AQ10:AQ14))), "·", bdRateExtend( M10:M14,V10:V14, AH10:AH14,AQ10:AQ14))</f>
        <v>·</v>
      </c>
      <c r="BJ10" s="71" t="str">
        <f t="array" ref="BJ10">IF( OR(AND(ISBLANK(S10:S14)),AND(ISBLANK(AN10:AN14)), AND(ISBLANK(W10:W14)),AND(ISBLANK(AR10:AR14))), "·", bdRateExtend( S10:S14,W10:W14, AN10:AN14,AR10:AR14))</f>
        <v>·</v>
      </c>
      <c r="BK10" s="71" t="str">
        <f t="array" ref="BK10">IF( OR(AND(ISBLANK(S10:S14)),AND(ISBLANK(AN10:AN14)), AND(ISBLANK(X10:X14)),AND(ISBLANK(AS10:AS14))), "·", bdRateExtend( S10:S14,X10:X14, AN10:AN14,AS10:AS14))</f>
        <v>·</v>
      </c>
      <c r="BL10" s="71" t="str">
        <f t="array" ref="BL10">IF( OR(AND(ISBLANK(S10:S14)),AND(ISBLANK(AN10:AN14)), AND(ISBLANK(Y10:Y14)),AND(ISBLANK(AT10:AT14))), "·", bdRateExtend( S10:S14,Y10:Y14, AN10:AN14,AT10:AT14))</f>
        <v>·</v>
      </c>
      <c r="BM10" s="71" t="str">
        <f t="array" ref="BM10">IF( OR(AND(ISBLANK(M10:M14)),AND(ISBLANK(AH10:AH14)), AND(ISBLANK(Z10:Z14)),AND(ISBLANK(AU10:AU14))), "·", bdRateExtend( M10:M14,Z10:Z14, AH10:AH14,AU10:AU14))</f>
        <v>·</v>
      </c>
      <c r="BN10" s="71" t="str">
        <f t="array" ref="BN10">IF( OR(AND(ISBLANK(S10:S14)),AND(ISBLANK(AN10:AN14)), AND(ISBLANK(AA10:AA14)),AND(ISBLANK(AV10:AV14))), "·", bdRateExtend( S10:S14,AA10:AA14, AN10:AN14,AV10:AV14))</f>
        <v>·</v>
      </c>
      <c r="BP10" s="71">
        <f t="shared" si="8"/>
        <v>0</v>
      </c>
      <c r="BQ10" s="71">
        <f t="shared" si="9"/>
        <v>0</v>
      </c>
      <c r="BR10" s="71">
        <f t="shared" si="10"/>
        <v>0</v>
      </c>
      <c r="BS10" s="71">
        <f t="shared" si="11"/>
        <v>0</v>
      </c>
      <c r="BT10" s="71">
        <f t="shared" si="12"/>
        <v>0</v>
      </c>
    </row>
    <row r="11" spans="1:72" ht="15" customHeight="1" outlineLevel="1" x14ac:dyDescent="0.25">
      <c r="A11" s="8"/>
      <c r="B11" s="8" t="s">
        <v>47</v>
      </c>
      <c r="C11" s="10" t="s">
        <v>423</v>
      </c>
      <c r="D11" s="8">
        <v>9000000</v>
      </c>
      <c r="E11" s="9">
        <v>10</v>
      </c>
      <c r="F11" s="10">
        <v>32</v>
      </c>
      <c r="G11" s="10">
        <v>30</v>
      </c>
      <c r="H11" s="10">
        <v>9</v>
      </c>
      <c r="J11" s="63">
        <f t="shared" si="0"/>
        <v>9.2476874999999996</v>
      </c>
      <c r="K11" s="11">
        <f t="shared" si="1"/>
        <v>1.0960222222222222</v>
      </c>
      <c r="L11" s="10">
        <f t="shared" si="2"/>
        <v>9864200</v>
      </c>
      <c r="M11" s="10">
        <f t="shared" si="3"/>
        <v>2552064</v>
      </c>
      <c r="N11" s="25">
        <v>1211920</v>
      </c>
      <c r="O11" s="12">
        <v>9864200</v>
      </c>
      <c r="P11" s="12">
        <v>1444776</v>
      </c>
      <c r="Q11" s="12">
        <v>0</v>
      </c>
      <c r="R11" s="12">
        <v>1107288</v>
      </c>
      <c r="S11" s="12">
        <v>7305104</v>
      </c>
      <c r="T11" s="12">
        <v>7032</v>
      </c>
      <c r="U11" s="26">
        <v>68.996142800000001</v>
      </c>
      <c r="V11" s="26">
        <v>70.167931600000003</v>
      </c>
      <c r="W11" s="26">
        <v>34.740796099999997</v>
      </c>
      <c r="X11" s="26">
        <v>45.455940200000001</v>
      </c>
      <c r="Y11" s="26">
        <v>45.884190799999999</v>
      </c>
      <c r="Z11" s="26">
        <v>46.310364800000002</v>
      </c>
      <c r="AA11" s="26">
        <v>31.8664919</v>
      </c>
      <c r="AB11" s="64">
        <v>1124.1967279999999</v>
      </c>
      <c r="AC11" s="64">
        <v>13.227536000000001</v>
      </c>
      <c r="AE11" s="63" t="str">
        <f t="shared" si="4"/>
        <v>·</v>
      </c>
      <c r="AF11" s="11" t="str">
        <f t="shared" si="5"/>
        <v>·</v>
      </c>
      <c r="AG11" s="10" t="str">
        <f t="shared" si="6"/>
        <v>.</v>
      </c>
      <c r="AH11" s="10" t="str">
        <f t="shared" si="7"/>
        <v>.</v>
      </c>
      <c r="AI11" s="25"/>
      <c r="AJ11" s="12"/>
      <c r="AK11" s="12"/>
      <c r="AL11" s="12"/>
      <c r="AM11" s="12"/>
      <c r="AN11" s="12"/>
      <c r="AO11" s="12"/>
      <c r="AP11" s="26"/>
      <c r="AQ11" s="26"/>
      <c r="AR11" s="26"/>
      <c r="AS11" s="26"/>
      <c r="AT11" s="26"/>
      <c r="AU11" s="26"/>
      <c r="AV11" s="26"/>
      <c r="AW11" s="64"/>
      <c r="AX11" s="64"/>
      <c r="AZ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N11" s="65"/>
      <c r="BP11" s="65">
        <f t="shared" si="8"/>
        <v>0</v>
      </c>
      <c r="BQ11" s="65">
        <f t="shared" si="9"/>
        <v>0</v>
      </c>
      <c r="BR11" s="65">
        <f t="shared" si="10"/>
        <v>0</v>
      </c>
      <c r="BS11" s="65">
        <f t="shared" si="11"/>
        <v>0</v>
      </c>
      <c r="BT11" s="65">
        <f t="shared" si="12"/>
        <v>0</v>
      </c>
    </row>
    <row r="12" spans="1:72" ht="15" customHeight="1" outlineLevel="1" x14ac:dyDescent="0.25">
      <c r="A12" s="18"/>
      <c r="B12" s="18" t="s">
        <v>47</v>
      </c>
      <c r="C12" s="20" t="s">
        <v>424</v>
      </c>
      <c r="D12" s="18">
        <v>9000000</v>
      </c>
      <c r="E12" s="19">
        <v>10</v>
      </c>
      <c r="F12" s="20">
        <v>32</v>
      </c>
      <c r="G12" s="20">
        <v>30</v>
      </c>
      <c r="H12" s="20">
        <v>12</v>
      </c>
      <c r="J12" s="69">
        <f t="shared" si="0"/>
        <v>11.7860625</v>
      </c>
      <c r="K12" s="21">
        <f t="shared" si="1"/>
        <v>1.3968666666666667</v>
      </c>
      <c r="L12" s="20">
        <f t="shared" si="2"/>
        <v>12571800</v>
      </c>
      <c r="M12" s="20">
        <f t="shared" si="3"/>
        <v>3344024</v>
      </c>
      <c r="N12" s="27">
        <v>1211920</v>
      </c>
      <c r="O12" s="22">
        <v>12571800</v>
      </c>
      <c r="P12" s="22">
        <v>1444776</v>
      </c>
      <c r="Q12" s="22">
        <v>0</v>
      </c>
      <c r="R12" s="22">
        <v>1899248</v>
      </c>
      <c r="S12" s="22">
        <v>9220752</v>
      </c>
      <c r="T12" s="22">
        <v>7024</v>
      </c>
      <c r="U12" s="28">
        <v>70.283272999999994</v>
      </c>
      <c r="V12" s="28">
        <v>71.582474700000006</v>
      </c>
      <c r="W12" s="28">
        <v>35.729256100000001</v>
      </c>
      <c r="X12" s="28">
        <v>45.765061500000002</v>
      </c>
      <c r="Y12" s="28">
        <v>46.233988799999999</v>
      </c>
      <c r="Z12" s="28">
        <v>46.682316</v>
      </c>
      <c r="AA12" s="28">
        <v>32.716406599999999</v>
      </c>
      <c r="AB12" s="70">
        <v>1035.2045660000001</v>
      </c>
      <c r="AC12" s="70">
        <v>13.083435</v>
      </c>
      <c r="AE12" s="69" t="str">
        <f t="shared" si="4"/>
        <v>·</v>
      </c>
      <c r="AF12" s="21" t="str">
        <f t="shared" si="5"/>
        <v>·</v>
      </c>
      <c r="AG12" s="20" t="str">
        <f t="shared" si="6"/>
        <v>.</v>
      </c>
      <c r="AH12" s="20" t="str">
        <f t="shared" si="7"/>
        <v>.</v>
      </c>
      <c r="AI12" s="27"/>
      <c r="AJ12" s="22"/>
      <c r="AK12" s="22"/>
      <c r="AL12" s="22"/>
      <c r="AM12" s="22"/>
      <c r="AN12" s="22"/>
      <c r="AO12" s="22"/>
      <c r="AP12" s="28"/>
      <c r="AQ12" s="28"/>
      <c r="AR12" s="28"/>
      <c r="AS12" s="28"/>
      <c r="AT12" s="28"/>
      <c r="AU12" s="28"/>
      <c r="AV12" s="28"/>
      <c r="AW12" s="70"/>
      <c r="AX12" s="70"/>
      <c r="AZ12" s="71"/>
      <c r="BA12" s="71"/>
      <c r="BB12" s="71"/>
      <c r="BC12" s="71"/>
      <c r="BD12" s="71"/>
      <c r="BE12" s="71"/>
      <c r="BF12" s="71"/>
      <c r="BH12" s="71"/>
      <c r="BI12" s="71"/>
      <c r="BJ12" s="71"/>
      <c r="BK12" s="71"/>
      <c r="BL12" s="71"/>
      <c r="BM12" s="71"/>
      <c r="BN12" s="71"/>
      <c r="BP12" s="71">
        <f t="shared" si="8"/>
        <v>0</v>
      </c>
      <c r="BQ12" s="71">
        <f t="shared" si="9"/>
        <v>0</v>
      </c>
      <c r="BR12" s="71">
        <f t="shared" si="10"/>
        <v>0</v>
      </c>
      <c r="BS12" s="71">
        <f t="shared" si="11"/>
        <v>0</v>
      </c>
      <c r="BT12" s="71">
        <f t="shared" si="12"/>
        <v>0</v>
      </c>
    </row>
    <row r="13" spans="1:72" ht="15" customHeight="1" outlineLevel="1" x14ac:dyDescent="0.25">
      <c r="A13" s="8"/>
      <c r="B13" s="8" t="s">
        <v>47</v>
      </c>
      <c r="C13" s="10" t="s">
        <v>425</v>
      </c>
      <c r="D13" s="8">
        <v>9000000</v>
      </c>
      <c r="E13" s="9">
        <v>10</v>
      </c>
      <c r="F13" s="10">
        <v>32</v>
      </c>
      <c r="G13" s="10">
        <v>30</v>
      </c>
      <c r="H13" s="10">
        <v>15</v>
      </c>
      <c r="J13" s="63">
        <f t="shared" si="0"/>
        <v>15.3695325</v>
      </c>
      <c r="K13" s="11">
        <f t="shared" si="1"/>
        <v>1.8215742222222222</v>
      </c>
      <c r="L13" s="10">
        <f t="shared" si="2"/>
        <v>16394168</v>
      </c>
      <c r="M13" s="10">
        <f t="shared" si="3"/>
        <v>4703560</v>
      </c>
      <c r="N13" s="25">
        <v>2440288</v>
      </c>
      <c r="O13" s="12">
        <v>16394168</v>
      </c>
      <c r="P13" s="12">
        <v>2376280</v>
      </c>
      <c r="Q13" s="12">
        <v>0</v>
      </c>
      <c r="R13" s="12">
        <v>2327280</v>
      </c>
      <c r="S13" s="12">
        <v>11683328</v>
      </c>
      <c r="T13" s="12">
        <v>7280</v>
      </c>
      <c r="U13" s="26">
        <v>73.272954499999997</v>
      </c>
      <c r="V13" s="26">
        <v>75.097127</v>
      </c>
      <c r="W13" s="26">
        <v>36.895463599999999</v>
      </c>
      <c r="X13" s="26">
        <v>46.538924899999998</v>
      </c>
      <c r="Y13" s="26">
        <v>47.108391699999999</v>
      </c>
      <c r="Z13" s="26">
        <v>48.715064300000002</v>
      </c>
      <c r="AA13" s="26">
        <v>34.415023699999999</v>
      </c>
      <c r="AB13" s="64">
        <v>1530.2892770000001</v>
      </c>
      <c r="AC13" s="64">
        <v>9.1745140000000003</v>
      </c>
      <c r="AE13" s="63" t="str">
        <f t="shared" si="4"/>
        <v>·</v>
      </c>
      <c r="AF13" s="11" t="str">
        <f t="shared" si="5"/>
        <v>·</v>
      </c>
      <c r="AG13" s="10" t="str">
        <f t="shared" si="6"/>
        <v>.</v>
      </c>
      <c r="AH13" s="10" t="str">
        <f t="shared" si="7"/>
        <v>.</v>
      </c>
      <c r="AI13" s="25"/>
      <c r="AJ13" s="12"/>
      <c r="AK13" s="12"/>
      <c r="AL13" s="12"/>
      <c r="AM13" s="12"/>
      <c r="AN13" s="12"/>
      <c r="AO13" s="12"/>
      <c r="AP13" s="26"/>
      <c r="AQ13" s="26"/>
      <c r="AR13" s="26"/>
      <c r="AS13" s="26"/>
      <c r="AT13" s="26"/>
      <c r="AU13" s="26"/>
      <c r="AV13" s="26"/>
      <c r="AW13" s="64"/>
      <c r="AX13" s="64"/>
      <c r="AZ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N13" s="65"/>
      <c r="BP13" s="65">
        <f t="shared" si="8"/>
        <v>0</v>
      </c>
      <c r="BQ13" s="65">
        <f t="shared" si="9"/>
        <v>0</v>
      </c>
      <c r="BR13" s="65">
        <f t="shared" si="10"/>
        <v>0</v>
      </c>
      <c r="BS13" s="65">
        <f t="shared" si="11"/>
        <v>0</v>
      </c>
      <c r="BT13" s="65">
        <f t="shared" si="12"/>
        <v>0</v>
      </c>
    </row>
    <row r="14" spans="1:72" ht="15.75" customHeight="1" outlineLevel="1" thickBot="1" x14ac:dyDescent="0.3">
      <c r="A14" s="13"/>
      <c r="B14" s="13" t="s">
        <v>47</v>
      </c>
      <c r="C14" s="15" t="s">
        <v>426</v>
      </c>
      <c r="D14" s="13">
        <v>9000000</v>
      </c>
      <c r="E14" s="14">
        <v>10</v>
      </c>
      <c r="F14" s="15">
        <v>32</v>
      </c>
      <c r="G14" s="15">
        <v>30</v>
      </c>
      <c r="H14" s="15">
        <v>22</v>
      </c>
      <c r="J14" s="66">
        <f t="shared" si="0"/>
        <v>22.401367499999999</v>
      </c>
      <c r="K14" s="16">
        <f t="shared" si="1"/>
        <v>2.6549768888888887</v>
      </c>
      <c r="L14" s="15">
        <f t="shared" si="2"/>
        <v>23894792</v>
      </c>
      <c r="M14" s="15">
        <f t="shared" si="3"/>
        <v>5585432</v>
      </c>
      <c r="N14" s="36">
        <v>2440288</v>
      </c>
      <c r="O14" s="17">
        <v>23894792</v>
      </c>
      <c r="P14" s="17">
        <v>2615784</v>
      </c>
      <c r="Q14" s="17">
        <v>0</v>
      </c>
      <c r="R14" s="17">
        <v>2969648</v>
      </c>
      <c r="S14" s="17">
        <v>18302080</v>
      </c>
      <c r="T14" s="17">
        <v>7280</v>
      </c>
      <c r="U14" s="37">
        <v>74.024726400000006</v>
      </c>
      <c r="V14" s="37">
        <v>75.965511800000002</v>
      </c>
      <c r="W14" s="37">
        <v>38.5264703</v>
      </c>
      <c r="X14" s="37">
        <v>47.566265799999996</v>
      </c>
      <c r="Y14" s="37">
        <v>48.225527</v>
      </c>
      <c r="Z14" s="37">
        <v>48.895150299999997</v>
      </c>
      <c r="AA14" s="37">
        <v>35.4495152</v>
      </c>
      <c r="AB14" s="67">
        <v>1230.3576009999999</v>
      </c>
      <c r="AC14" s="67">
        <v>9.9476829999999996</v>
      </c>
      <c r="AE14" s="66" t="str">
        <f t="shared" si="4"/>
        <v>·</v>
      </c>
      <c r="AF14" s="16" t="str">
        <f t="shared" si="5"/>
        <v>·</v>
      </c>
      <c r="AG14" s="15" t="str">
        <f t="shared" si="6"/>
        <v>.</v>
      </c>
      <c r="AH14" s="15" t="str">
        <f t="shared" si="7"/>
        <v>.</v>
      </c>
      <c r="AI14" s="36"/>
      <c r="AJ14" s="17"/>
      <c r="AK14" s="17"/>
      <c r="AL14" s="17"/>
      <c r="AM14" s="17"/>
      <c r="AN14" s="17"/>
      <c r="AO14" s="17"/>
      <c r="AP14" s="37"/>
      <c r="AQ14" s="37"/>
      <c r="AR14" s="37"/>
      <c r="AS14" s="37"/>
      <c r="AT14" s="37"/>
      <c r="AU14" s="37"/>
      <c r="AV14" s="37"/>
      <c r="AW14" s="67"/>
      <c r="AX14" s="67"/>
      <c r="AZ14" s="68"/>
      <c r="BA14" s="68"/>
      <c r="BB14" s="68"/>
      <c r="BC14" s="68"/>
      <c r="BD14" s="68"/>
      <c r="BE14" s="68"/>
      <c r="BF14" s="68"/>
      <c r="BH14" s="68"/>
      <c r="BI14" s="68"/>
      <c r="BJ14" s="68"/>
      <c r="BK14" s="68"/>
      <c r="BL14" s="68"/>
      <c r="BM14" s="68"/>
      <c r="BN14" s="68"/>
      <c r="BP14" s="68">
        <f t="shared" si="8"/>
        <v>0</v>
      </c>
      <c r="BQ14" s="68">
        <f t="shared" si="9"/>
        <v>0</v>
      </c>
      <c r="BR14" s="68">
        <f t="shared" si="10"/>
        <v>0</v>
      </c>
      <c r="BS14" s="68">
        <f t="shared" si="11"/>
        <v>0</v>
      </c>
      <c r="BT14" s="68">
        <f t="shared" si="12"/>
        <v>0</v>
      </c>
    </row>
    <row r="15" spans="1:72" ht="15" customHeight="1" x14ac:dyDescent="0.25">
      <c r="A15" s="8" t="s">
        <v>187</v>
      </c>
      <c r="B15" s="8" t="s">
        <v>52</v>
      </c>
      <c r="C15" s="10" t="s">
        <v>422</v>
      </c>
      <c r="D15" s="8">
        <v>11842002</v>
      </c>
      <c r="E15" s="9">
        <v>12</v>
      </c>
      <c r="F15" s="10">
        <v>32</v>
      </c>
      <c r="G15" s="10">
        <v>30</v>
      </c>
      <c r="H15" s="10">
        <v>3</v>
      </c>
      <c r="J15" s="63">
        <f t="shared" si="0"/>
        <v>3.0436874999999999</v>
      </c>
      <c r="K15" s="11">
        <f t="shared" si="1"/>
        <v>0.27415972400612665</v>
      </c>
      <c r="L15" s="10">
        <f t="shared" si="2"/>
        <v>3246600</v>
      </c>
      <c r="M15" s="10">
        <f t="shared" si="3"/>
        <v>1245456</v>
      </c>
      <c r="N15" s="25">
        <v>604864</v>
      </c>
      <c r="O15" s="12">
        <v>3246600</v>
      </c>
      <c r="P15" s="12">
        <v>719064</v>
      </c>
      <c r="Q15" s="12">
        <v>0</v>
      </c>
      <c r="R15" s="12">
        <v>526392</v>
      </c>
      <c r="S15" s="12">
        <v>1994112</v>
      </c>
      <c r="T15" s="12">
        <v>7032</v>
      </c>
      <c r="U15" s="26">
        <v>70.230566300000007</v>
      </c>
      <c r="V15" s="26">
        <v>71.345111900000006</v>
      </c>
      <c r="W15" s="26">
        <v>35.520437999999999</v>
      </c>
      <c r="X15" s="26">
        <v>43.390419799999997</v>
      </c>
      <c r="Y15" s="26">
        <v>45.001812000000001</v>
      </c>
      <c r="Z15" s="26">
        <v>44.986571699999999</v>
      </c>
      <c r="AA15" s="26">
        <v>31.843251200000001</v>
      </c>
      <c r="AB15" s="64">
        <v>735.55970000000002</v>
      </c>
      <c r="AC15" s="64">
        <v>6.4523539999999997</v>
      </c>
      <c r="AE15" s="63" t="str">
        <f t="shared" si="4"/>
        <v>·</v>
      </c>
      <c r="AF15" s="11" t="str">
        <f t="shared" si="5"/>
        <v>·</v>
      </c>
      <c r="AG15" s="10" t="str">
        <f t="shared" si="6"/>
        <v>.</v>
      </c>
      <c r="AH15" s="10" t="str">
        <f t="shared" si="7"/>
        <v>.</v>
      </c>
      <c r="AI15" s="25"/>
      <c r="AJ15" s="12"/>
      <c r="AK15" s="12"/>
      <c r="AL15" s="12"/>
      <c r="AM15" s="12"/>
      <c r="AN15" s="12"/>
      <c r="AO15" s="12"/>
      <c r="AP15" s="26"/>
      <c r="AQ15" s="26"/>
      <c r="AR15" s="26"/>
      <c r="AS15" s="26"/>
      <c r="AT15" s="26"/>
      <c r="AU15" s="26"/>
      <c r="AV15" s="26"/>
      <c r="AW15" s="64"/>
      <c r="AX15" s="64"/>
      <c r="AZ15" s="65" t="str">
        <f t="array" ref="AZ15">IF( OR(AND(ISBLANK(L15:L19)),AND(ISBLANK(AG15:AG19)), AND(ISBLANK(U15:U19)),AND(ISBLANK(AP15:AP19))), "·", bdRateExtend( L15:L19,U15:U19, AG15:AG19,AP15:AP19))</f>
        <v>·</v>
      </c>
      <c r="BA15" s="65" t="str">
        <f t="array" ref="BA15">IF( OR(AND(ISBLANK(L15:L19)),AND(ISBLANK(AG15:AG19)), AND(ISBLANK(V15:V19)),AND(ISBLANK(AQ15:AQ19))), "·", bdRateExtend( L15:L19,V15:V19, AG15:AG19,AQ15:AQ19))</f>
        <v>·</v>
      </c>
      <c r="BB15" s="65" t="str">
        <f t="array" ref="BB15">IF( OR(AND(ISBLANK(L15:L19)),AND(ISBLANK(AG15:AG19)), AND(ISBLANK(W15:W19)),AND(ISBLANK(AR15:AR19))), "·", bdRateExtend( L15:L19,W15:W19, AG15:AG19,AR15:AR19))</f>
        <v>·</v>
      </c>
      <c r="BC15" s="65" t="str">
        <f t="array" ref="BC15">IF( OR(AND(ISBLANK(L15:L19)),AND(ISBLANK(AG15:AG19)), AND(ISBLANK(X15:X19)),AND(ISBLANK(AS15:AS19))), "·", bdRateExtend( L15:L19,X15:X19, AG15:AG19,AS15:AS19))</f>
        <v>·</v>
      </c>
      <c r="BD15" s="65" t="str">
        <f t="array" ref="BD15">IF( OR(AND(ISBLANK(L15:L19)),AND(ISBLANK(AG15:AG19)), AND(ISBLANK(Y15:Y19)),AND(ISBLANK(AT15:AT19))), "·", bdRateExtend( L15:L19,Y15:Y19, AG15:AG19,AT15:AT19))</f>
        <v>·</v>
      </c>
      <c r="BE15" s="65" t="str">
        <f t="array" ref="BE15">IF( OR(AND(ISBLANK(L15:L19)),AND(ISBLANK(AG15:AG19)), AND(ISBLANK(Z15:Z19)),AND(ISBLANK(AU15:AU19))), "·", bdRateExtend( L15:L19,Z15:Z19, AG15:AG19,AU15:AU19))</f>
        <v>·</v>
      </c>
      <c r="BF15" s="65" t="str">
        <f t="array" ref="BF15">IF( OR(AND(ISBLANK(L15:L19)),AND(ISBLANK(AG15:AG19)), AND(ISBLANK(AA15:AA19)),AND(ISBLANK(AV15:AV19))), "·", bdRateExtend( L15:L19,AA15:AA19, AG15:AG19,AV15:AV19))</f>
        <v>·</v>
      </c>
      <c r="BH15" s="65" t="str">
        <f t="array" ref="BH15">IF( OR(AND(ISBLANK(M15:M19)),AND(ISBLANK(AH15:AH19)), AND(ISBLANK(U15:U19)),AND(ISBLANK(AP15:AP19))), "·", bdRateExtend( M15:M19,U15:U19, AH15:AH19,AP15:AP19))</f>
        <v>·</v>
      </c>
      <c r="BI15" s="65" t="str">
        <f t="array" ref="BI15">IF( OR(AND(ISBLANK(M15:M19)),AND(ISBLANK(AH15:AH19)), AND(ISBLANK(V15:V19)),AND(ISBLANK(AQ15:AQ19))), "·", bdRateExtend( M15:M19,V15:V19, AH15:AH19,AQ15:AQ19))</f>
        <v>·</v>
      </c>
      <c r="BJ15" s="65" t="str">
        <f t="array" ref="BJ15">IF( OR(AND(ISBLANK(S15:S19)),AND(ISBLANK(AN15:AN19)), AND(ISBLANK(W15:W19)),AND(ISBLANK(AR15:AR19))), "·", bdRateExtend( S15:S19,W15:W19, AN15:AN19,AR15:AR19))</f>
        <v>·</v>
      </c>
      <c r="BK15" s="65" t="str">
        <f t="array" ref="BK15">IF( OR(AND(ISBLANK(S15:S19)),AND(ISBLANK(AN15:AN19)), AND(ISBLANK(X15:X19)),AND(ISBLANK(AS15:AS19))), "·", bdRateExtend( S15:S19,X15:X19, AN15:AN19,AS15:AS19))</f>
        <v>·</v>
      </c>
      <c r="BL15" s="65" t="str">
        <f t="array" ref="BL15">IF( OR(AND(ISBLANK(S15:S19)),AND(ISBLANK(AN15:AN19)), AND(ISBLANK(Y15:Y19)),AND(ISBLANK(AT15:AT19))), "·", bdRateExtend( S15:S19,Y15:Y19, AN15:AN19,AT15:AT19))</f>
        <v>·</v>
      </c>
      <c r="BM15" s="65" t="str">
        <f t="array" ref="BM15">IF( OR(AND(ISBLANK(M15:M19)),AND(ISBLANK(AH15:AH19)), AND(ISBLANK(Z15:Z19)),AND(ISBLANK(AU15:AU19))), "·", bdRateExtend( M15:M19,Z15:Z19, AH15:AH19,AU15:AU19))</f>
        <v>·</v>
      </c>
      <c r="BN15" s="65" t="str">
        <f t="array" ref="BN15">IF( OR(AND(ISBLANK(S15:S19)),AND(ISBLANK(AN15:AN19)), AND(ISBLANK(AA15:AA19)),AND(ISBLANK(AV15:AV19))), "·", bdRateExtend( S15:S19,AA15:AA19, AN15:AN19,AV15:AV19))</f>
        <v>·</v>
      </c>
      <c r="BP15" s="65">
        <f t="shared" si="8"/>
        <v>0</v>
      </c>
      <c r="BQ15" s="65">
        <f t="shared" si="9"/>
        <v>0</v>
      </c>
      <c r="BR15" s="65">
        <f t="shared" si="10"/>
        <v>0</v>
      </c>
      <c r="BS15" s="65">
        <f t="shared" si="11"/>
        <v>0</v>
      </c>
      <c r="BT15" s="65">
        <f t="shared" si="12"/>
        <v>0</v>
      </c>
    </row>
    <row r="16" spans="1:72" ht="15" customHeight="1" outlineLevel="1" x14ac:dyDescent="0.25">
      <c r="A16" s="18"/>
      <c r="B16" s="18" t="s">
        <v>52</v>
      </c>
      <c r="C16" s="20" t="s">
        <v>423</v>
      </c>
      <c r="D16" s="18">
        <v>11842002</v>
      </c>
      <c r="E16" s="19">
        <v>12</v>
      </c>
      <c r="F16" s="20">
        <v>32</v>
      </c>
      <c r="G16" s="20">
        <v>30</v>
      </c>
      <c r="H16" s="20">
        <v>5</v>
      </c>
      <c r="J16" s="69">
        <f t="shared" si="0"/>
        <v>5.0398500000000004</v>
      </c>
      <c r="K16" s="21">
        <f t="shared" si="1"/>
        <v>0.45396378078639066</v>
      </c>
      <c r="L16" s="20">
        <f t="shared" si="2"/>
        <v>5375840</v>
      </c>
      <c r="M16" s="20">
        <f t="shared" si="3"/>
        <v>1523232</v>
      </c>
      <c r="N16" s="27">
        <v>604864</v>
      </c>
      <c r="O16" s="22">
        <v>5375840</v>
      </c>
      <c r="P16" s="22">
        <v>780696</v>
      </c>
      <c r="Q16" s="22">
        <v>0</v>
      </c>
      <c r="R16" s="22">
        <v>742536</v>
      </c>
      <c r="S16" s="22">
        <v>3845584</v>
      </c>
      <c r="T16" s="22">
        <v>7024</v>
      </c>
      <c r="U16" s="28">
        <v>71.428668599999995</v>
      </c>
      <c r="V16" s="28">
        <v>72.643240300000002</v>
      </c>
      <c r="W16" s="28">
        <v>38.1653333</v>
      </c>
      <c r="X16" s="28">
        <v>44.044943099999998</v>
      </c>
      <c r="Y16" s="28">
        <v>46.295114400000003</v>
      </c>
      <c r="Z16" s="28">
        <v>45.3721149</v>
      </c>
      <c r="AA16" s="28">
        <v>33.060022699999998</v>
      </c>
      <c r="AB16" s="70">
        <v>840.48571800000002</v>
      </c>
      <c r="AC16" s="70">
        <v>8.4514150000000008</v>
      </c>
      <c r="AE16" s="69" t="str">
        <f t="shared" si="4"/>
        <v>·</v>
      </c>
      <c r="AF16" s="21" t="str">
        <f t="shared" si="5"/>
        <v>·</v>
      </c>
      <c r="AG16" s="20" t="str">
        <f t="shared" si="6"/>
        <v>.</v>
      </c>
      <c r="AH16" s="20" t="str">
        <f t="shared" si="7"/>
        <v>.</v>
      </c>
      <c r="AI16" s="27"/>
      <c r="AJ16" s="22"/>
      <c r="AK16" s="22"/>
      <c r="AL16" s="22"/>
      <c r="AM16" s="22"/>
      <c r="AN16" s="22"/>
      <c r="AO16" s="22"/>
      <c r="AP16" s="28"/>
      <c r="AQ16" s="28"/>
      <c r="AR16" s="28"/>
      <c r="AS16" s="28"/>
      <c r="AT16" s="28"/>
      <c r="AU16" s="28"/>
      <c r="AV16" s="28"/>
      <c r="AW16" s="70"/>
      <c r="AX16" s="70"/>
      <c r="AZ16" s="71"/>
      <c r="BA16" s="71"/>
      <c r="BB16" s="71"/>
      <c r="BC16" s="71"/>
      <c r="BD16" s="71"/>
      <c r="BE16" s="71"/>
      <c r="BF16" s="71"/>
      <c r="BH16" s="71"/>
      <c r="BI16" s="71"/>
      <c r="BJ16" s="71"/>
      <c r="BK16" s="71"/>
      <c r="BL16" s="71"/>
      <c r="BM16" s="71"/>
      <c r="BN16" s="71"/>
      <c r="BP16" s="71">
        <f t="shared" si="8"/>
        <v>0</v>
      </c>
      <c r="BQ16" s="71">
        <f t="shared" si="9"/>
        <v>0</v>
      </c>
      <c r="BR16" s="71">
        <f t="shared" si="10"/>
        <v>0</v>
      </c>
      <c r="BS16" s="71">
        <f t="shared" si="11"/>
        <v>0</v>
      </c>
      <c r="BT16" s="71">
        <f t="shared" si="12"/>
        <v>0</v>
      </c>
    </row>
    <row r="17" spans="1:72" ht="15" customHeight="1" outlineLevel="1" x14ac:dyDescent="0.25">
      <c r="A17" s="8"/>
      <c r="B17" s="8" t="s">
        <v>52</v>
      </c>
      <c r="C17" s="10" t="s">
        <v>424</v>
      </c>
      <c r="D17" s="8">
        <v>11842002</v>
      </c>
      <c r="E17" s="9">
        <v>12</v>
      </c>
      <c r="F17" s="10">
        <v>32</v>
      </c>
      <c r="G17" s="10">
        <v>30</v>
      </c>
      <c r="H17" s="10">
        <v>10</v>
      </c>
      <c r="J17" s="63">
        <f t="shared" si="0"/>
        <v>9.9937950000000004</v>
      </c>
      <c r="K17" s="11">
        <f t="shared" si="1"/>
        <v>0.9001896807651274</v>
      </c>
      <c r="L17" s="10">
        <f t="shared" si="2"/>
        <v>10660048</v>
      </c>
      <c r="M17" s="10">
        <f t="shared" si="3"/>
        <v>2892808</v>
      </c>
      <c r="N17" s="25">
        <v>1210368</v>
      </c>
      <c r="O17" s="12">
        <v>10660048</v>
      </c>
      <c r="P17" s="12">
        <v>1304520</v>
      </c>
      <c r="Q17" s="12">
        <v>0</v>
      </c>
      <c r="R17" s="12">
        <v>1588288</v>
      </c>
      <c r="S17" s="12">
        <v>7760216</v>
      </c>
      <c r="T17" s="12">
        <v>7024</v>
      </c>
      <c r="U17" s="26">
        <v>76.293598900000006</v>
      </c>
      <c r="V17" s="26">
        <v>78.149547200000001</v>
      </c>
      <c r="W17" s="26">
        <v>40.854629199999998</v>
      </c>
      <c r="X17" s="26">
        <v>44.954704900000003</v>
      </c>
      <c r="Y17" s="26">
        <v>48.020862000000001</v>
      </c>
      <c r="Z17" s="26">
        <v>47.791286499999998</v>
      </c>
      <c r="AA17" s="26">
        <v>36.229222200000002</v>
      </c>
      <c r="AB17" s="64">
        <v>1039.900995</v>
      </c>
      <c r="AC17" s="64">
        <v>13.278492</v>
      </c>
      <c r="AE17" s="63" t="str">
        <f t="shared" si="4"/>
        <v>·</v>
      </c>
      <c r="AF17" s="11" t="str">
        <f t="shared" si="5"/>
        <v>·</v>
      </c>
      <c r="AG17" s="10" t="str">
        <f t="shared" si="6"/>
        <v>.</v>
      </c>
      <c r="AH17" s="10" t="str">
        <f t="shared" si="7"/>
        <v>.</v>
      </c>
      <c r="AI17" s="25"/>
      <c r="AJ17" s="12"/>
      <c r="AK17" s="12"/>
      <c r="AL17" s="12"/>
      <c r="AM17" s="12"/>
      <c r="AN17" s="12"/>
      <c r="AO17" s="12"/>
      <c r="AP17" s="26"/>
      <c r="AQ17" s="26"/>
      <c r="AR17" s="26"/>
      <c r="AS17" s="26"/>
      <c r="AT17" s="26"/>
      <c r="AU17" s="26"/>
      <c r="AV17" s="26"/>
      <c r="AW17" s="64"/>
      <c r="AX17" s="64"/>
      <c r="AZ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N17" s="65"/>
      <c r="BP17" s="65">
        <f t="shared" si="8"/>
        <v>0</v>
      </c>
      <c r="BQ17" s="65">
        <f t="shared" si="9"/>
        <v>0</v>
      </c>
      <c r="BR17" s="65">
        <f t="shared" si="10"/>
        <v>0</v>
      </c>
      <c r="BS17" s="65">
        <f t="shared" si="11"/>
        <v>0</v>
      </c>
      <c r="BT17" s="65">
        <f t="shared" si="12"/>
        <v>0</v>
      </c>
    </row>
    <row r="18" spans="1:72" ht="15" customHeight="1" outlineLevel="1" x14ac:dyDescent="0.25">
      <c r="A18" s="18"/>
      <c r="B18" s="18" t="s">
        <v>52</v>
      </c>
      <c r="C18" s="20" t="s">
        <v>425</v>
      </c>
      <c r="D18" s="18">
        <v>11842002</v>
      </c>
      <c r="E18" s="19">
        <v>12</v>
      </c>
      <c r="F18" s="20">
        <v>32</v>
      </c>
      <c r="G18" s="20">
        <v>30</v>
      </c>
      <c r="H18" s="20">
        <v>14</v>
      </c>
      <c r="J18" s="69">
        <f t="shared" si="0"/>
        <v>14.454165</v>
      </c>
      <c r="K18" s="21">
        <f t="shared" si="1"/>
        <v>1.3019568819528995</v>
      </c>
      <c r="L18" s="20">
        <f t="shared" si="2"/>
        <v>15417776</v>
      </c>
      <c r="M18" s="20">
        <f t="shared" si="3"/>
        <v>4145648</v>
      </c>
      <c r="N18" s="27">
        <v>2421136</v>
      </c>
      <c r="O18" s="22">
        <v>15417776</v>
      </c>
      <c r="P18" s="22">
        <v>2249688</v>
      </c>
      <c r="Q18" s="22">
        <v>0</v>
      </c>
      <c r="R18" s="22">
        <v>1895960</v>
      </c>
      <c r="S18" s="22">
        <v>11264848</v>
      </c>
      <c r="T18" s="22">
        <v>7280</v>
      </c>
      <c r="U18" s="28">
        <v>78.591166599999994</v>
      </c>
      <c r="V18" s="28">
        <v>80.961148600000001</v>
      </c>
      <c r="W18" s="28">
        <v>41.897584100000003</v>
      </c>
      <c r="X18" s="28">
        <v>45.648805099999997</v>
      </c>
      <c r="Y18" s="28">
        <v>49.201005199999997</v>
      </c>
      <c r="Z18" s="28">
        <v>49.334001999999998</v>
      </c>
      <c r="AA18" s="28">
        <v>37.852655499999997</v>
      </c>
      <c r="AB18" s="70">
        <v>1249.6845679999999</v>
      </c>
      <c r="AC18" s="70">
        <v>12.382455</v>
      </c>
      <c r="AE18" s="69" t="str">
        <f t="shared" si="4"/>
        <v>·</v>
      </c>
      <c r="AF18" s="21" t="str">
        <f t="shared" si="5"/>
        <v>·</v>
      </c>
      <c r="AG18" s="20" t="str">
        <f t="shared" si="6"/>
        <v>.</v>
      </c>
      <c r="AH18" s="20" t="str">
        <f t="shared" si="7"/>
        <v>.</v>
      </c>
      <c r="AI18" s="27"/>
      <c r="AJ18" s="22"/>
      <c r="AK18" s="22"/>
      <c r="AL18" s="22"/>
      <c r="AM18" s="22"/>
      <c r="AN18" s="22"/>
      <c r="AO18" s="22"/>
      <c r="AP18" s="28"/>
      <c r="AQ18" s="28"/>
      <c r="AR18" s="28"/>
      <c r="AS18" s="28"/>
      <c r="AT18" s="28"/>
      <c r="AU18" s="28"/>
      <c r="AV18" s="28"/>
      <c r="AW18" s="70"/>
      <c r="AX18" s="70"/>
      <c r="AZ18" s="71"/>
      <c r="BA18" s="71"/>
      <c r="BB18" s="71"/>
      <c r="BC18" s="71"/>
      <c r="BD18" s="71"/>
      <c r="BE18" s="71"/>
      <c r="BF18" s="71"/>
      <c r="BH18" s="71"/>
      <c r="BI18" s="71"/>
      <c r="BJ18" s="71"/>
      <c r="BK18" s="71"/>
      <c r="BL18" s="71"/>
      <c r="BM18" s="71"/>
      <c r="BN18" s="71"/>
      <c r="BP18" s="71">
        <f t="shared" si="8"/>
        <v>0</v>
      </c>
      <c r="BQ18" s="71">
        <f t="shared" si="9"/>
        <v>0</v>
      </c>
      <c r="BR18" s="71">
        <f t="shared" si="10"/>
        <v>0</v>
      </c>
      <c r="BS18" s="71">
        <f t="shared" si="11"/>
        <v>0</v>
      </c>
      <c r="BT18" s="71">
        <f t="shared" si="12"/>
        <v>0</v>
      </c>
    </row>
    <row r="19" spans="1:72" ht="15.75" customHeight="1" outlineLevel="1" thickBot="1" x14ac:dyDescent="0.3">
      <c r="A19" s="8"/>
      <c r="B19" s="29" t="s">
        <v>52</v>
      </c>
      <c r="C19" s="30" t="s">
        <v>426</v>
      </c>
      <c r="D19" s="29">
        <v>11842002</v>
      </c>
      <c r="E19" s="31">
        <v>12</v>
      </c>
      <c r="F19" s="30">
        <v>32</v>
      </c>
      <c r="G19" s="30">
        <v>30</v>
      </c>
      <c r="H19" s="30">
        <v>21</v>
      </c>
      <c r="J19" s="75">
        <f t="shared" si="0"/>
        <v>21.655844999999999</v>
      </c>
      <c r="K19" s="32">
        <f t="shared" si="1"/>
        <v>1.9506471963102185</v>
      </c>
      <c r="L19" s="30">
        <f t="shared" si="2"/>
        <v>23099568</v>
      </c>
      <c r="M19" s="30">
        <f t="shared" si="3"/>
        <v>4354480</v>
      </c>
      <c r="N19" s="33">
        <v>2421136</v>
      </c>
      <c r="O19" s="34">
        <v>23099568</v>
      </c>
      <c r="P19" s="34">
        <v>2249688</v>
      </c>
      <c r="Q19" s="34">
        <v>0</v>
      </c>
      <c r="R19" s="34">
        <v>2104792</v>
      </c>
      <c r="S19" s="34">
        <v>18737808</v>
      </c>
      <c r="T19" s="34">
        <v>7280</v>
      </c>
      <c r="U19" s="35">
        <v>78.908564999999996</v>
      </c>
      <c r="V19" s="35">
        <v>81.380771600000003</v>
      </c>
      <c r="W19" s="35">
        <v>42.8627143</v>
      </c>
      <c r="X19" s="35">
        <v>46.580333000000003</v>
      </c>
      <c r="Y19" s="35">
        <v>50.533603399999997</v>
      </c>
      <c r="Z19" s="35">
        <v>49.401873999999999</v>
      </c>
      <c r="AA19" s="35">
        <v>38.297097100000002</v>
      </c>
      <c r="AB19" s="76">
        <v>1172.650991</v>
      </c>
      <c r="AC19" s="76">
        <v>10.17985</v>
      </c>
      <c r="AE19" s="75" t="str">
        <f t="shared" si="4"/>
        <v>·</v>
      </c>
      <c r="AF19" s="32" t="str">
        <f t="shared" si="5"/>
        <v>·</v>
      </c>
      <c r="AG19" s="30" t="str">
        <f t="shared" si="6"/>
        <v>.</v>
      </c>
      <c r="AH19" s="30" t="str">
        <f t="shared" si="7"/>
        <v>.</v>
      </c>
      <c r="AI19" s="33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76"/>
      <c r="AX19" s="76"/>
      <c r="AZ19" s="77"/>
      <c r="BA19" s="77"/>
      <c r="BB19" s="77"/>
      <c r="BC19" s="77"/>
      <c r="BD19" s="77"/>
      <c r="BE19" s="77"/>
      <c r="BF19" s="77"/>
      <c r="BH19" s="77"/>
      <c r="BI19" s="77"/>
      <c r="BJ19" s="77"/>
      <c r="BK19" s="77"/>
      <c r="BL19" s="77"/>
      <c r="BM19" s="77"/>
      <c r="BN19" s="77"/>
      <c r="BP19" s="77">
        <f t="shared" si="8"/>
        <v>0</v>
      </c>
      <c r="BQ19" s="77">
        <f t="shared" si="9"/>
        <v>0</v>
      </c>
      <c r="BR19" s="77">
        <f t="shared" si="10"/>
        <v>0</v>
      </c>
      <c r="BS19" s="77">
        <f t="shared" si="11"/>
        <v>0</v>
      </c>
      <c r="BT19" s="77">
        <f t="shared" si="12"/>
        <v>0</v>
      </c>
    </row>
    <row r="20" spans="1:72" ht="15" customHeight="1" x14ac:dyDescent="0.25">
      <c r="A20" s="18"/>
      <c r="B20" s="18" t="s">
        <v>57</v>
      </c>
      <c r="C20" s="20" t="s">
        <v>422</v>
      </c>
      <c r="D20" s="18">
        <v>11812090</v>
      </c>
      <c r="E20" s="19">
        <v>12</v>
      </c>
      <c r="F20" s="20">
        <v>32</v>
      </c>
      <c r="G20" s="20">
        <v>30</v>
      </c>
      <c r="H20" s="20">
        <v>3</v>
      </c>
      <c r="J20" s="69">
        <f t="shared" si="0"/>
        <v>3.0156749999999999</v>
      </c>
      <c r="K20" s="21">
        <f t="shared" si="1"/>
        <v>0.27232437274013321</v>
      </c>
      <c r="L20" s="20">
        <f t="shared" si="2"/>
        <v>3216720</v>
      </c>
      <c r="M20" s="20">
        <f t="shared" si="3"/>
        <v>1207560</v>
      </c>
      <c r="N20" s="27">
        <v>604496</v>
      </c>
      <c r="O20" s="22">
        <v>3216720</v>
      </c>
      <c r="P20" s="22">
        <v>692280</v>
      </c>
      <c r="Q20" s="22">
        <v>0</v>
      </c>
      <c r="R20" s="22">
        <v>515280</v>
      </c>
      <c r="S20" s="22">
        <v>2002136</v>
      </c>
      <c r="T20" s="22">
        <v>7024</v>
      </c>
      <c r="U20" s="28">
        <v>70.362095100000005</v>
      </c>
      <c r="V20" s="28">
        <v>71.538688699999994</v>
      </c>
      <c r="W20" s="28">
        <v>34.474063999999998</v>
      </c>
      <c r="X20" s="28">
        <v>42.795761800000001</v>
      </c>
      <c r="Y20" s="28">
        <v>44.069914199999999</v>
      </c>
      <c r="Z20" s="28">
        <v>47.809788099999999</v>
      </c>
      <c r="AA20" s="28">
        <v>30.893187699999999</v>
      </c>
      <c r="AB20" s="70">
        <v>296.60147499999999</v>
      </c>
      <c r="AC20" s="70">
        <v>1.9279459999999999</v>
      </c>
      <c r="AE20" s="69" t="str">
        <f t="shared" si="4"/>
        <v>·</v>
      </c>
      <c r="AF20" s="21" t="str">
        <f t="shared" si="5"/>
        <v>·</v>
      </c>
      <c r="AG20" s="20" t="str">
        <f t="shared" si="6"/>
        <v>.</v>
      </c>
      <c r="AH20" s="20" t="str">
        <f t="shared" si="7"/>
        <v>.</v>
      </c>
      <c r="AI20" s="27"/>
      <c r="AJ20" s="22"/>
      <c r="AK20" s="22"/>
      <c r="AL20" s="22"/>
      <c r="AM20" s="22"/>
      <c r="AN20" s="22"/>
      <c r="AO20" s="22"/>
      <c r="AP20" s="28"/>
      <c r="AQ20" s="28"/>
      <c r="AR20" s="28"/>
      <c r="AS20" s="28"/>
      <c r="AT20" s="28"/>
      <c r="AU20" s="28"/>
      <c r="AV20" s="28"/>
      <c r="AW20" s="70"/>
      <c r="AX20" s="70"/>
      <c r="AZ20" s="71" t="str">
        <f t="array" ref="AZ20">IF( OR(AND(ISBLANK(L20:L24)),AND(ISBLANK(AG20:AG24)), AND(ISBLANK(U20:U24)),AND(ISBLANK(AP20:AP24))), "·", bdRateExtend( L20:L24,U20:U24, AG20:AG24,AP20:AP24))</f>
        <v>·</v>
      </c>
      <c r="BA20" s="71" t="str">
        <f t="array" ref="BA20">IF( OR(AND(ISBLANK(L20:L24)),AND(ISBLANK(AG20:AG24)), AND(ISBLANK(V20:V24)),AND(ISBLANK(AQ20:AQ24))), "·", bdRateExtend( L20:L24,V20:V24, AG20:AG24,AQ20:AQ24))</f>
        <v>·</v>
      </c>
      <c r="BB20" s="71" t="str">
        <f t="array" ref="BB20">IF( OR(AND(ISBLANK(L20:L24)),AND(ISBLANK(AG20:AG24)), AND(ISBLANK(W20:W24)),AND(ISBLANK(AR20:AR24))), "·", bdRateExtend( L20:L24,W20:W24, AG20:AG24,AR20:AR24))</f>
        <v>·</v>
      </c>
      <c r="BC20" s="71" t="str">
        <f t="array" ref="BC20">IF( OR(AND(ISBLANK(L20:L24)),AND(ISBLANK(AG20:AG24)), AND(ISBLANK(X20:X24)),AND(ISBLANK(AS20:AS24))), "·", bdRateExtend( L20:L24,X20:X24, AG20:AG24,AS20:AS24))</f>
        <v>·</v>
      </c>
      <c r="BD20" s="71" t="str">
        <f t="array" ref="BD20">IF( OR(AND(ISBLANK(L20:L24)),AND(ISBLANK(AG20:AG24)), AND(ISBLANK(Y20:Y24)),AND(ISBLANK(AT20:AT24))), "·", bdRateExtend( L20:L24,Y20:Y24, AG20:AG24,AT20:AT24))</f>
        <v>·</v>
      </c>
      <c r="BE20" s="71" t="str">
        <f t="array" ref="BE20">IF( OR(AND(ISBLANK(L20:L24)),AND(ISBLANK(AG20:AG24)), AND(ISBLANK(Z20:Z24)),AND(ISBLANK(AU20:AU24))), "·", bdRateExtend( L20:L24,Z20:Z24, AG20:AG24,AU20:AU24))</f>
        <v>·</v>
      </c>
      <c r="BF20" s="71" t="str">
        <f t="array" ref="BF20">IF( OR(AND(ISBLANK(L20:L24)),AND(ISBLANK(AG20:AG24)), AND(ISBLANK(AA20:AA24)),AND(ISBLANK(AV20:AV24))), "·", bdRateExtend( L20:L24,AA20:AA24, AG20:AG24,AV20:AV24))</f>
        <v>·</v>
      </c>
      <c r="BH20" s="71" t="str">
        <f t="array" ref="BH20">IF( OR(AND(ISBLANK(M20:M24)),AND(ISBLANK(AH20:AH24)), AND(ISBLANK(U20:U24)),AND(ISBLANK(AP20:AP24))), "·", bdRateExtend( M20:M24,U20:U24, AH20:AH24,AP20:AP24))</f>
        <v>·</v>
      </c>
      <c r="BI20" s="71" t="str">
        <f t="array" ref="BI20">IF( OR(AND(ISBLANK(M20:M24)),AND(ISBLANK(AH20:AH24)), AND(ISBLANK(V20:V24)),AND(ISBLANK(AQ20:AQ24))), "·", bdRateExtend( M20:M24,V20:V24, AH20:AH24,AQ20:AQ24))</f>
        <v>·</v>
      </c>
      <c r="BJ20" s="71" t="str">
        <f t="array" ref="BJ20">IF( OR(AND(ISBLANK(S20:S24)),AND(ISBLANK(AN20:AN24)), AND(ISBLANK(W20:W24)),AND(ISBLANK(AR20:AR24))), "·", bdRateExtend( S20:S24,W20:W24, AN20:AN24,AR20:AR24))</f>
        <v>·</v>
      </c>
      <c r="BK20" s="71" t="str">
        <f t="array" ref="BK20">IF( OR(AND(ISBLANK(S20:S24)),AND(ISBLANK(AN20:AN24)), AND(ISBLANK(X20:X24)),AND(ISBLANK(AS20:AS24))), "·", bdRateExtend( S20:S24,X20:X24, AN20:AN24,AS20:AS24))</f>
        <v>·</v>
      </c>
      <c r="BL20" s="71" t="str">
        <f t="array" ref="BL20">IF( OR(AND(ISBLANK(S20:S24)),AND(ISBLANK(AN20:AN24)), AND(ISBLANK(Y20:Y24)),AND(ISBLANK(AT20:AT24))), "·", bdRateExtend( S20:S24,Y20:Y24, AN20:AN24,AT20:AT24))</f>
        <v>·</v>
      </c>
      <c r="BM20" s="71" t="str">
        <f t="array" ref="BM20">IF( OR(AND(ISBLANK(M20:M24)),AND(ISBLANK(AH20:AH24)), AND(ISBLANK(Z20:Z24)),AND(ISBLANK(AU20:AU24))), "·", bdRateExtend( M20:M24,Z20:Z24, AH20:AH24,AU20:AU24))</f>
        <v>·</v>
      </c>
      <c r="BN20" s="71" t="str">
        <f t="array" ref="BN20">IF( OR(AND(ISBLANK(S20:S24)),AND(ISBLANK(AN20:AN24)), AND(ISBLANK(AA20:AA24)),AND(ISBLANK(AV20:AV24))), "·", bdRateExtend( S20:S24,AA20:AA24, AN20:AN24,AV20:AV24))</f>
        <v>·</v>
      </c>
      <c r="BP20" s="71">
        <f t="shared" si="8"/>
        <v>0</v>
      </c>
      <c r="BQ20" s="71">
        <f t="shared" si="9"/>
        <v>0</v>
      </c>
      <c r="BR20" s="71">
        <f t="shared" si="10"/>
        <v>0</v>
      </c>
      <c r="BS20" s="71">
        <f t="shared" si="11"/>
        <v>0</v>
      </c>
      <c r="BT20" s="71">
        <f t="shared" si="12"/>
        <v>0</v>
      </c>
    </row>
    <row r="21" spans="1:72" ht="15" customHeight="1" outlineLevel="1" x14ac:dyDescent="0.25">
      <c r="A21" s="8"/>
      <c r="B21" s="8" t="s">
        <v>57</v>
      </c>
      <c r="C21" s="10" t="s">
        <v>423</v>
      </c>
      <c r="D21" s="8">
        <v>11812090</v>
      </c>
      <c r="E21" s="9">
        <v>12</v>
      </c>
      <c r="F21" s="10">
        <v>32</v>
      </c>
      <c r="G21" s="10">
        <v>30</v>
      </c>
      <c r="H21" s="10">
        <v>5</v>
      </c>
      <c r="J21" s="63">
        <f t="shared" si="0"/>
        <v>5.0691525000000004</v>
      </c>
      <c r="K21" s="11">
        <f t="shared" si="1"/>
        <v>0.45775946509042853</v>
      </c>
      <c r="L21" s="10">
        <f t="shared" si="2"/>
        <v>5407096</v>
      </c>
      <c r="M21" s="10">
        <f t="shared" si="3"/>
        <v>1261416</v>
      </c>
      <c r="N21" s="25">
        <v>604496</v>
      </c>
      <c r="O21" s="12">
        <v>5407096</v>
      </c>
      <c r="P21" s="12">
        <v>692280</v>
      </c>
      <c r="Q21" s="12">
        <v>0</v>
      </c>
      <c r="R21" s="12">
        <v>569136</v>
      </c>
      <c r="S21" s="12">
        <v>4138648</v>
      </c>
      <c r="T21" s="12">
        <v>7032</v>
      </c>
      <c r="U21" s="26">
        <v>70.691722799999994</v>
      </c>
      <c r="V21" s="26">
        <v>71.901317500000005</v>
      </c>
      <c r="W21" s="26">
        <v>37.158949499999999</v>
      </c>
      <c r="X21" s="26">
        <v>44.0187101</v>
      </c>
      <c r="Y21" s="26">
        <v>45.989961999999998</v>
      </c>
      <c r="Z21" s="26">
        <v>47.9378028</v>
      </c>
      <c r="AA21" s="26">
        <v>31.848489799999999</v>
      </c>
      <c r="AB21" s="64">
        <v>869.61944400000004</v>
      </c>
      <c r="AC21" s="64">
        <v>10.055241000000001</v>
      </c>
      <c r="AE21" s="63" t="str">
        <f t="shared" si="4"/>
        <v>·</v>
      </c>
      <c r="AF21" s="11" t="str">
        <f t="shared" si="5"/>
        <v>·</v>
      </c>
      <c r="AG21" s="10" t="str">
        <f t="shared" si="6"/>
        <v>.</v>
      </c>
      <c r="AH21" s="10" t="str">
        <f t="shared" si="7"/>
        <v>.</v>
      </c>
      <c r="AI21" s="25"/>
      <c r="AJ21" s="12"/>
      <c r="AK21" s="12"/>
      <c r="AL21" s="12"/>
      <c r="AM21" s="12"/>
      <c r="AN21" s="12"/>
      <c r="AO21" s="12"/>
      <c r="AP21" s="26"/>
      <c r="AQ21" s="26"/>
      <c r="AR21" s="26"/>
      <c r="AS21" s="26"/>
      <c r="AT21" s="26"/>
      <c r="AU21" s="26"/>
      <c r="AV21" s="26"/>
      <c r="AW21" s="64"/>
      <c r="AX21" s="64"/>
      <c r="AZ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N21" s="65"/>
      <c r="BP21" s="65">
        <f t="shared" si="8"/>
        <v>0</v>
      </c>
      <c r="BQ21" s="65">
        <f t="shared" si="9"/>
        <v>0</v>
      </c>
      <c r="BR21" s="65">
        <f t="shared" si="10"/>
        <v>0</v>
      </c>
      <c r="BS21" s="65">
        <f t="shared" si="11"/>
        <v>0</v>
      </c>
      <c r="BT21" s="65">
        <f t="shared" si="12"/>
        <v>0</v>
      </c>
    </row>
    <row r="22" spans="1:72" ht="15" customHeight="1" outlineLevel="1" x14ac:dyDescent="0.25">
      <c r="A22" s="18"/>
      <c r="B22" s="18" t="s">
        <v>57</v>
      </c>
      <c r="C22" s="20" t="s">
        <v>424</v>
      </c>
      <c r="D22" s="18">
        <v>11812090</v>
      </c>
      <c r="E22" s="19">
        <v>12</v>
      </c>
      <c r="F22" s="20">
        <v>32</v>
      </c>
      <c r="G22" s="20">
        <v>30</v>
      </c>
      <c r="H22" s="20">
        <v>10</v>
      </c>
      <c r="J22" s="69">
        <f t="shared" si="0"/>
        <v>10.089202500000001</v>
      </c>
      <c r="K22" s="21">
        <f t="shared" si="1"/>
        <v>0.91108482918772205</v>
      </c>
      <c r="L22" s="20">
        <f t="shared" si="2"/>
        <v>10761816</v>
      </c>
      <c r="M22" s="20">
        <f t="shared" si="3"/>
        <v>2749304</v>
      </c>
      <c r="N22" s="27">
        <v>1209024</v>
      </c>
      <c r="O22" s="22">
        <v>10761816</v>
      </c>
      <c r="P22" s="22">
        <v>1155672</v>
      </c>
      <c r="Q22" s="22">
        <v>0</v>
      </c>
      <c r="R22" s="22">
        <v>1593632</v>
      </c>
      <c r="S22" s="22">
        <v>8005488</v>
      </c>
      <c r="T22" s="22">
        <v>7024</v>
      </c>
      <c r="U22" s="28">
        <v>76.166239300000001</v>
      </c>
      <c r="V22" s="28">
        <v>78.151053200000007</v>
      </c>
      <c r="W22" s="28">
        <v>40.254608699999999</v>
      </c>
      <c r="X22" s="28">
        <v>45.296244799999997</v>
      </c>
      <c r="Y22" s="28">
        <v>48.007465400000001</v>
      </c>
      <c r="Z22" s="28">
        <v>50.5795022</v>
      </c>
      <c r="AA22" s="28">
        <v>35.568734399999997</v>
      </c>
      <c r="AB22" s="70">
        <v>734.68111899999997</v>
      </c>
      <c r="AC22" s="70">
        <v>9.4784220000000001</v>
      </c>
      <c r="AE22" s="69" t="str">
        <f t="shared" si="4"/>
        <v>·</v>
      </c>
      <c r="AF22" s="21" t="str">
        <f t="shared" si="5"/>
        <v>·</v>
      </c>
      <c r="AG22" s="20" t="str">
        <f t="shared" si="6"/>
        <v>.</v>
      </c>
      <c r="AH22" s="20" t="str">
        <f t="shared" si="7"/>
        <v>.</v>
      </c>
      <c r="AI22" s="27"/>
      <c r="AJ22" s="22"/>
      <c r="AK22" s="22"/>
      <c r="AL22" s="22"/>
      <c r="AM22" s="22"/>
      <c r="AN22" s="22"/>
      <c r="AO22" s="22"/>
      <c r="AP22" s="28"/>
      <c r="AQ22" s="28"/>
      <c r="AR22" s="28"/>
      <c r="AS22" s="28"/>
      <c r="AT22" s="28"/>
      <c r="AU22" s="28"/>
      <c r="AV22" s="28"/>
      <c r="AW22" s="70"/>
      <c r="AX22" s="70"/>
      <c r="AZ22" s="71"/>
      <c r="BA22" s="71"/>
      <c r="BB22" s="71"/>
      <c r="BC22" s="71"/>
      <c r="BD22" s="71"/>
      <c r="BE22" s="71"/>
      <c r="BF22" s="71"/>
      <c r="BH22" s="71"/>
      <c r="BI22" s="71"/>
      <c r="BJ22" s="71"/>
      <c r="BK22" s="71"/>
      <c r="BL22" s="71"/>
      <c r="BM22" s="71"/>
      <c r="BN22" s="71"/>
      <c r="BP22" s="71">
        <f t="shared" si="8"/>
        <v>0</v>
      </c>
      <c r="BQ22" s="71">
        <f t="shared" si="9"/>
        <v>0</v>
      </c>
      <c r="BR22" s="71">
        <f t="shared" si="10"/>
        <v>0</v>
      </c>
      <c r="BS22" s="71">
        <f t="shared" si="11"/>
        <v>0</v>
      </c>
      <c r="BT22" s="71">
        <f t="shared" si="12"/>
        <v>0</v>
      </c>
    </row>
    <row r="23" spans="1:72" ht="15" customHeight="1" outlineLevel="1" x14ac:dyDescent="0.25">
      <c r="A23" s="8"/>
      <c r="B23" s="8" t="s">
        <v>57</v>
      </c>
      <c r="C23" s="10" t="s">
        <v>425</v>
      </c>
      <c r="D23" s="8">
        <v>11812090</v>
      </c>
      <c r="E23" s="9">
        <v>12</v>
      </c>
      <c r="F23" s="10">
        <v>32</v>
      </c>
      <c r="G23" s="10">
        <v>30</v>
      </c>
      <c r="H23" s="10">
        <v>14</v>
      </c>
      <c r="J23" s="63">
        <f t="shared" si="0"/>
        <v>14.2952625</v>
      </c>
      <c r="K23" s="11">
        <f t="shared" si="1"/>
        <v>1.2909044885367449</v>
      </c>
      <c r="L23" s="10">
        <f t="shared" si="2"/>
        <v>15248280</v>
      </c>
      <c r="M23" s="10">
        <f t="shared" si="3"/>
        <v>4066840</v>
      </c>
      <c r="N23" s="25">
        <v>2418320</v>
      </c>
      <c r="O23" s="12">
        <v>15248280</v>
      </c>
      <c r="P23" s="12">
        <v>2431352</v>
      </c>
      <c r="Q23" s="12">
        <v>0</v>
      </c>
      <c r="R23" s="12">
        <v>1635488</v>
      </c>
      <c r="S23" s="12">
        <v>11174160</v>
      </c>
      <c r="T23" s="12">
        <v>7280</v>
      </c>
      <c r="U23" s="26">
        <v>78.089480600000002</v>
      </c>
      <c r="V23" s="26">
        <v>80.567410499999994</v>
      </c>
      <c r="W23" s="26">
        <v>41.391844399999997</v>
      </c>
      <c r="X23" s="26">
        <v>45.808621600000002</v>
      </c>
      <c r="Y23" s="26">
        <v>48.744075799999997</v>
      </c>
      <c r="Z23" s="26">
        <v>52.269352900000001</v>
      </c>
      <c r="AA23" s="26">
        <v>37.154429499999999</v>
      </c>
      <c r="AB23" s="64">
        <v>1060.4053739999999</v>
      </c>
      <c r="AC23" s="64">
        <v>14.370661999999999</v>
      </c>
      <c r="AE23" s="63" t="str">
        <f t="shared" si="4"/>
        <v>·</v>
      </c>
      <c r="AF23" s="11" t="str">
        <f t="shared" si="5"/>
        <v>·</v>
      </c>
      <c r="AG23" s="10" t="str">
        <f t="shared" si="6"/>
        <v>.</v>
      </c>
      <c r="AH23" s="10" t="str">
        <f t="shared" si="7"/>
        <v>.</v>
      </c>
      <c r="AI23" s="25"/>
      <c r="AJ23" s="12"/>
      <c r="AK23" s="12"/>
      <c r="AL23" s="12"/>
      <c r="AM23" s="12"/>
      <c r="AN23" s="12"/>
      <c r="AO23" s="12"/>
      <c r="AP23" s="26"/>
      <c r="AQ23" s="26"/>
      <c r="AR23" s="26"/>
      <c r="AS23" s="26"/>
      <c r="AT23" s="26"/>
      <c r="AU23" s="26"/>
      <c r="AV23" s="26"/>
      <c r="AW23" s="64"/>
      <c r="AX23" s="64"/>
      <c r="AZ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N23" s="65"/>
      <c r="BP23" s="65">
        <f t="shared" si="8"/>
        <v>0</v>
      </c>
      <c r="BQ23" s="65">
        <f t="shared" si="9"/>
        <v>0</v>
      </c>
      <c r="BR23" s="65">
        <f t="shared" si="10"/>
        <v>0</v>
      </c>
      <c r="BS23" s="65">
        <f t="shared" si="11"/>
        <v>0</v>
      </c>
      <c r="BT23" s="65">
        <f t="shared" si="12"/>
        <v>0</v>
      </c>
    </row>
    <row r="24" spans="1:72" ht="15.75" customHeight="1" outlineLevel="1" thickBot="1" x14ac:dyDescent="0.3">
      <c r="A24" s="13"/>
      <c r="B24" s="13" t="s">
        <v>57</v>
      </c>
      <c r="C24" s="15" t="s">
        <v>426</v>
      </c>
      <c r="D24" s="13">
        <v>11812090</v>
      </c>
      <c r="E24" s="14">
        <v>12</v>
      </c>
      <c r="F24" s="15">
        <v>32</v>
      </c>
      <c r="G24" s="15">
        <v>30</v>
      </c>
      <c r="H24" s="15">
        <v>21</v>
      </c>
      <c r="J24" s="66">
        <f t="shared" si="0"/>
        <v>21.193245000000001</v>
      </c>
      <c r="K24" s="16">
        <f t="shared" si="1"/>
        <v>1.9138127122295885</v>
      </c>
      <c r="L24" s="15">
        <f t="shared" si="2"/>
        <v>22606128</v>
      </c>
      <c r="M24" s="15">
        <f t="shared" si="3"/>
        <v>4276056</v>
      </c>
      <c r="N24" s="36">
        <v>2418320</v>
      </c>
      <c r="O24" s="17">
        <v>22606128</v>
      </c>
      <c r="P24" s="17">
        <v>2198232</v>
      </c>
      <c r="Q24" s="17">
        <v>0</v>
      </c>
      <c r="R24" s="17">
        <v>2077824</v>
      </c>
      <c r="S24" s="17">
        <v>18322792</v>
      </c>
      <c r="T24" s="17">
        <v>7280</v>
      </c>
      <c r="U24" s="37">
        <v>78.697107599999995</v>
      </c>
      <c r="V24" s="37">
        <v>81.399039200000004</v>
      </c>
      <c r="W24" s="37">
        <v>42.352017400000001</v>
      </c>
      <c r="X24" s="37">
        <v>46.891067</v>
      </c>
      <c r="Y24" s="37">
        <v>50.093510799999997</v>
      </c>
      <c r="Z24" s="37">
        <v>52.454428700000001</v>
      </c>
      <c r="AA24" s="37">
        <v>37.754601899999997</v>
      </c>
      <c r="AB24" s="67">
        <v>992.17225199999996</v>
      </c>
      <c r="AC24" s="67">
        <v>8.4215090000000004</v>
      </c>
      <c r="AE24" s="66" t="str">
        <f t="shared" si="4"/>
        <v>·</v>
      </c>
      <c r="AF24" s="16" t="str">
        <f t="shared" si="5"/>
        <v>·</v>
      </c>
      <c r="AG24" s="15" t="str">
        <f t="shared" si="6"/>
        <v>.</v>
      </c>
      <c r="AH24" s="15" t="str">
        <f t="shared" si="7"/>
        <v>.</v>
      </c>
      <c r="AI24" s="36"/>
      <c r="AJ24" s="17"/>
      <c r="AK24" s="17"/>
      <c r="AL24" s="17"/>
      <c r="AM24" s="17"/>
      <c r="AN24" s="17"/>
      <c r="AO24" s="17"/>
      <c r="AP24" s="37"/>
      <c r="AQ24" s="37"/>
      <c r="AR24" s="37"/>
      <c r="AS24" s="37"/>
      <c r="AT24" s="37"/>
      <c r="AU24" s="37"/>
      <c r="AV24" s="37"/>
      <c r="AW24" s="67"/>
      <c r="AX24" s="67"/>
      <c r="AZ24" s="68"/>
      <c r="BA24" s="68"/>
      <c r="BB24" s="68"/>
      <c r="BC24" s="68"/>
      <c r="BD24" s="68"/>
      <c r="BE24" s="68"/>
      <c r="BF24" s="68"/>
      <c r="BH24" s="68"/>
      <c r="BI24" s="68"/>
      <c r="BJ24" s="68"/>
      <c r="BK24" s="68"/>
      <c r="BL24" s="68"/>
      <c r="BM24" s="68"/>
      <c r="BN24" s="68"/>
      <c r="BP24" s="68">
        <f t="shared" si="8"/>
        <v>0</v>
      </c>
      <c r="BQ24" s="68">
        <f t="shared" si="9"/>
        <v>0</v>
      </c>
      <c r="BR24" s="68">
        <f t="shared" si="10"/>
        <v>0</v>
      </c>
      <c r="BS24" s="68">
        <f t="shared" si="11"/>
        <v>0</v>
      </c>
      <c r="BT24" s="68">
        <f t="shared" si="12"/>
        <v>0</v>
      </c>
    </row>
    <row r="25" spans="1:72" ht="15" customHeight="1" x14ac:dyDescent="0.25">
      <c r="A25" s="8" t="s">
        <v>188</v>
      </c>
      <c r="B25" s="8" t="s">
        <v>62</v>
      </c>
      <c r="C25" s="10" t="s">
        <v>422</v>
      </c>
      <c r="D25" s="8">
        <v>12000000</v>
      </c>
      <c r="E25" s="9">
        <v>12</v>
      </c>
      <c r="F25" s="10">
        <v>32</v>
      </c>
      <c r="G25" s="10">
        <v>30</v>
      </c>
      <c r="H25" s="10">
        <v>4</v>
      </c>
      <c r="J25" s="63">
        <f t="shared" si="0"/>
        <v>4.1115225000000004</v>
      </c>
      <c r="K25" s="11">
        <f t="shared" si="1"/>
        <v>0.36546866666666666</v>
      </c>
      <c r="L25" s="10">
        <f t="shared" si="2"/>
        <v>4385624</v>
      </c>
      <c r="M25" s="10">
        <f t="shared" si="3"/>
        <v>1262856</v>
      </c>
      <c r="N25" s="25">
        <v>2455232</v>
      </c>
      <c r="O25" s="12">
        <v>4385624</v>
      </c>
      <c r="P25" s="12">
        <v>714400</v>
      </c>
      <c r="Q25" s="12">
        <v>0</v>
      </c>
      <c r="R25" s="12">
        <v>548456</v>
      </c>
      <c r="S25" s="12">
        <v>3115488</v>
      </c>
      <c r="T25" s="12">
        <v>7280</v>
      </c>
      <c r="U25" s="26">
        <v>72.808657199999999</v>
      </c>
      <c r="V25" s="26">
        <v>74.532907699999996</v>
      </c>
      <c r="W25" s="26">
        <v>31.4590642</v>
      </c>
      <c r="X25" s="26">
        <v>40.605519399999999</v>
      </c>
      <c r="Y25" s="26">
        <v>36.902674599999997</v>
      </c>
      <c r="Z25" s="26">
        <v>44.378712200000002</v>
      </c>
      <c r="AA25" s="26">
        <v>28.397383000000001</v>
      </c>
      <c r="AB25" s="64">
        <v>470.98116499999998</v>
      </c>
      <c r="AC25" s="64">
        <v>3.4522719999999998</v>
      </c>
      <c r="AE25" s="63" t="str">
        <f t="shared" si="4"/>
        <v>·</v>
      </c>
      <c r="AF25" s="11" t="str">
        <f t="shared" si="5"/>
        <v>·</v>
      </c>
      <c r="AG25" s="10" t="str">
        <f t="shared" si="6"/>
        <v>.</v>
      </c>
      <c r="AH25" s="10" t="str">
        <f t="shared" si="7"/>
        <v>.</v>
      </c>
      <c r="AI25" s="25"/>
      <c r="AJ25" s="12"/>
      <c r="AK25" s="12"/>
      <c r="AL25" s="12"/>
      <c r="AM25" s="12"/>
      <c r="AN25" s="12"/>
      <c r="AO25" s="12"/>
      <c r="AP25" s="26"/>
      <c r="AQ25" s="26"/>
      <c r="AR25" s="26"/>
      <c r="AS25" s="26"/>
      <c r="AT25" s="26"/>
      <c r="AU25" s="26"/>
      <c r="AV25" s="26"/>
      <c r="AW25" s="64"/>
      <c r="AX25" s="64"/>
      <c r="AZ25" s="65" t="str">
        <f t="array" ref="AZ25">IF( OR(AND(ISBLANK(L25:L29)),AND(ISBLANK(AG25:AG29)), AND(ISBLANK(U25:U29)),AND(ISBLANK(AP25:AP29))), "·", bdRateExtend( L25:L29,U25:U29, AG25:AG29,AP25:AP29))</f>
        <v>·</v>
      </c>
      <c r="BA25" s="65" t="str">
        <f t="array" ref="BA25">IF( OR(AND(ISBLANK(L25:L29)),AND(ISBLANK(AG25:AG29)), AND(ISBLANK(V25:V29)),AND(ISBLANK(AQ25:AQ29))), "·", bdRateExtend( L25:L29,V25:V29, AG25:AG29,AQ25:AQ29))</f>
        <v>·</v>
      </c>
      <c r="BB25" s="65" t="str">
        <f t="array" ref="BB25">IF( OR(AND(ISBLANK(L25:L29)),AND(ISBLANK(AG25:AG29)), AND(ISBLANK(W25:W29)),AND(ISBLANK(AR25:AR29))), "·", bdRateExtend( L25:L29,W25:W29, AG25:AG29,AR25:AR29))</f>
        <v>·</v>
      </c>
      <c r="BC25" s="65" t="str">
        <f t="array" ref="BC25">IF( OR(AND(ISBLANK(L25:L29)),AND(ISBLANK(AG25:AG29)), AND(ISBLANK(X25:X29)),AND(ISBLANK(AS25:AS29))), "·", bdRateExtend( L25:L29,X25:X29, AG25:AG29,AS25:AS29))</f>
        <v>·</v>
      </c>
      <c r="BD25" s="65" t="str">
        <f t="array" ref="BD25">IF( OR(AND(ISBLANK(L25:L29)),AND(ISBLANK(AG25:AG29)), AND(ISBLANK(Y25:Y29)),AND(ISBLANK(AT25:AT29))), "·", bdRateExtend( L25:L29,Y25:Y29, AG25:AG29,AT25:AT29))</f>
        <v>·</v>
      </c>
      <c r="BE25" s="65" t="str">
        <f t="array" ref="BE25">IF( OR(AND(ISBLANK(L25:L29)),AND(ISBLANK(AG25:AG29)), AND(ISBLANK(Z25:Z29)),AND(ISBLANK(AU25:AU29))), "·", bdRateExtend( L25:L29,Z25:Z29, AG25:AG29,AU25:AU29))</f>
        <v>·</v>
      </c>
      <c r="BF25" s="65" t="str">
        <f t="array" ref="BF25">IF( OR(AND(ISBLANK(L25:L29)),AND(ISBLANK(AG25:AG29)), AND(ISBLANK(AA25:AA29)),AND(ISBLANK(AV25:AV29))), "·", bdRateExtend( L25:L29,AA25:AA29, AG25:AG29,AV25:AV29))</f>
        <v>·</v>
      </c>
      <c r="BH25" s="65" t="str">
        <f t="array" ref="BH25">IF( OR(AND(ISBLANK(M25:M29)),AND(ISBLANK(AH25:AH29)), AND(ISBLANK(U25:U29)),AND(ISBLANK(AP25:AP29))), "·", bdRateExtend( M25:M29,U25:U29, AH25:AH29,AP25:AP29))</f>
        <v>·</v>
      </c>
      <c r="BI25" s="65" t="str">
        <f t="array" ref="BI25">IF( OR(AND(ISBLANK(M25:M29)),AND(ISBLANK(AH25:AH29)), AND(ISBLANK(V25:V29)),AND(ISBLANK(AQ25:AQ29))), "·", bdRateExtend( M25:M29,V25:V29, AH25:AH29,AQ25:AQ29))</f>
        <v>·</v>
      </c>
      <c r="BJ25" s="65" t="str">
        <f t="array" ref="BJ25">IF( OR(AND(ISBLANK(S25:S29)),AND(ISBLANK(AN25:AN29)), AND(ISBLANK(W25:W29)),AND(ISBLANK(AR25:AR29))), "·", bdRateExtend( S25:S29,W25:W29, AN25:AN29,AR25:AR29))</f>
        <v>·</v>
      </c>
      <c r="BK25" s="65" t="str">
        <f t="array" ref="BK25">IF( OR(AND(ISBLANK(S25:S29)),AND(ISBLANK(AN25:AN29)), AND(ISBLANK(X25:X29)),AND(ISBLANK(AS25:AS29))), "·", bdRateExtend( S25:S29,X25:X29, AN25:AN29,AS25:AS29))</f>
        <v>·</v>
      </c>
      <c r="BL25" s="65" t="str">
        <f t="array" ref="BL25">IF( OR(AND(ISBLANK(S25:S29)),AND(ISBLANK(AN25:AN29)), AND(ISBLANK(Y25:Y29)),AND(ISBLANK(AT25:AT29))), "·", bdRateExtend( S25:S29,Y25:Y29, AN25:AN29,AT25:AT29))</f>
        <v>·</v>
      </c>
      <c r="BM25" s="65" t="str">
        <f t="array" ref="BM25">IF( OR(AND(ISBLANK(M25:M29)),AND(ISBLANK(AH25:AH29)), AND(ISBLANK(Z25:Z29)),AND(ISBLANK(AU25:AU29))), "·", bdRateExtend( M25:M29,Z25:Z29, AH25:AH29,AU25:AU29))</f>
        <v>·</v>
      </c>
      <c r="BN25" s="65" t="str">
        <f t="array" ref="BN25">IF( OR(AND(ISBLANK(S25:S29)),AND(ISBLANK(AN25:AN29)), AND(ISBLANK(AA25:AA29)),AND(ISBLANK(AV25:AV29))), "·", bdRateExtend( S25:S29,AA25:AA29, AN25:AN29,AV25:AV29))</f>
        <v>·</v>
      </c>
      <c r="BP25" s="65">
        <f t="shared" si="8"/>
        <v>0</v>
      </c>
      <c r="BQ25" s="65">
        <f t="shared" si="9"/>
        <v>0</v>
      </c>
      <c r="BR25" s="65">
        <f t="shared" si="10"/>
        <v>0</v>
      </c>
      <c r="BS25" s="65">
        <f t="shared" si="11"/>
        <v>0</v>
      </c>
      <c r="BT25" s="65">
        <f t="shared" si="12"/>
        <v>0</v>
      </c>
    </row>
    <row r="26" spans="1:72" ht="15" customHeight="1" outlineLevel="1" x14ac:dyDescent="0.25">
      <c r="A26" s="18"/>
      <c r="B26" s="18" t="s">
        <v>62</v>
      </c>
      <c r="C26" s="20" t="s">
        <v>423</v>
      </c>
      <c r="D26" s="18">
        <v>12000000</v>
      </c>
      <c r="E26" s="19">
        <v>12</v>
      </c>
      <c r="F26" s="20">
        <v>32</v>
      </c>
      <c r="G26" s="20">
        <v>30</v>
      </c>
      <c r="H26" s="20">
        <v>8</v>
      </c>
      <c r="J26" s="69">
        <f t="shared" si="0"/>
        <v>8.2109924999999997</v>
      </c>
      <c r="K26" s="21">
        <f t="shared" si="1"/>
        <v>0.72986600000000001</v>
      </c>
      <c r="L26" s="20">
        <f t="shared" si="2"/>
        <v>8758392</v>
      </c>
      <c r="M26" s="20">
        <f t="shared" si="3"/>
        <v>2074728</v>
      </c>
      <c r="N26" s="27">
        <v>4912768</v>
      </c>
      <c r="O26" s="22">
        <v>8758392</v>
      </c>
      <c r="P26" s="22">
        <v>1200872</v>
      </c>
      <c r="Q26" s="22">
        <v>0</v>
      </c>
      <c r="R26" s="22">
        <v>873856</v>
      </c>
      <c r="S26" s="22">
        <v>6676120</v>
      </c>
      <c r="T26" s="22">
        <v>7544</v>
      </c>
      <c r="U26" s="28">
        <v>76.272471199999998</v>
      </c>
      <c r="V26" s="28">
        <v>78.584546900000007</v>
      </c>
      <c r="W26" s="28">
        <v>33.907688700000001</v>
      </c>
      <c r="X26" s="28">
        <v>42.457763700000001</v>
      </c>
      <c r="Y26" s="28">
        <v>39.801735600000001</v>
      </c>
      <c r="Z26" s="28">
        <v>46.103978599999998</v>
      </c>
      <c r="AA26" s="28">
        <v>31.114455899999999</v>
      </c>
      <c r="AB26" s="70">
        <v>972.58860100000004</v>
      </c>
      <c r="AC26" s="70">
        <v>8.4972329999999996</v>
      </c>
      <c r="AE26" s="69" t="str">
        <f t="shared" si="4"/>
        <v>·</v>
      </c>
      <c r="AF26" s="21" t="str">
        <f t="shared" si="5"/>
        <v>·</v>
      </c>
      <c r="AG26" s="20" t="str">
        <f t="shared" si="6"/>
        <v>.</v>
      </c>
      <c r="AH26" s="20" t="str">
        <f t="shared" si="7"/>
        <v>.</v>
      </c>
      <c r="AI26" s="27"/>
      <c r="AJ26" s="22"/>
      <c r="AK26" s="22"/>
      <c r="AL26" s="22"/>
      <c r="AM26" s="22"/>
      <c r="AN26" s="22"/>
      <c r="AO26" s="22"/>
      <c r="AP26" s="28"/>
      <c r="AQ26" s="28"/>
      <c r="AR26" s="28"/>
      <c r="AS26" s="28"/>
      <c r="AT26" s="28"/>
      <c r="AU26" s="28"/>
      <c r="AV26" s="28"/>
      <c r="AW26" s="70"/>
      <c r="AX26" s="70"/>
      <c r="AZ26" s="71"/>
      <c r="BA26" s="71"/>
      <c r="BB26" s="71"/>
      <c r="BC26" s="71"/>
      <c r="BD26" s="71"/>
      <c r="BE26" s="71"/>
      <c r="BF26" s="71"/>
      <c r="BH26" s="71"/>
      <c r="BI26" s="71"/>
      <c r="BJ26" s="71"/>
      <c r="BK26" s="71"/>
      <c r="BL26" s="71"/>
      <c r="BM26" s="71"/>
      <c r="BN26" s="71"/>
      <c r="BP26" s="71">
        <f t="shared" si="8"/>
        <v>0</v>
      </c>
      <c r="BQ26" s="71">
        <f t="shared" si="9"/>
        <v>0</v>
      </c>
      <c r="BR26" s="71">
        <f t="shared" si="10"/>
        <v>0</v>
      </c>
      <c r="BS26" s="71">
        <f t="shared" si="11"/>
        <v>0</v>
      </c>
      <c r="BT26" s="71">
        <f t="shared" si="12"/>
        <v>0</v>
      </c>
    </row>
    <row r="27" spans="1:72" ht="15" customHeight="1" outlineLevel="1" x14ac:dyDescent="0.25">
      <c r="A27" s="8"/>
      <c r="B27" s="8" t="s">
        <v>62</v>
      </c>
      <c r="C27" s="10" t="s">
        <v>424</v>
      </c>
      <c r="D27" s="8">
        <v>12000000</v>
      </c>
      <c r="E27" s="9">
        <v>12</v>
      </c>
      <c r="F27" s="10">
        <v>32</v>
      </c>
      <c r="G27" s="10">
        <v>30</v>
      </c>
      <c r="H27" s="10">
        <v>12</v>
      </c>
      <c r="J27" s="63">
        <f t="shared" si="0"/>
        <v>12.3903</v>
      </c>
      <c r="K27" s="11">
        <f t="shared" si="1"/>
        <v>1.1013599999999999</v>
      </c>
      <c r="L27" s="10">
        <f t="shared" si="2"/>
        <v>13216320</v>
      </c>
      <c r="M27" s="10">
        <f t="shared" si="3"/>
        <v>3089152</v>
      </c>
      <c r="N27" s="25">
        <v>9827968</v>
      </c>
      <c r="O27" s="12">
        <v>13216320</v>
      </c>
      <c r="P27" s="12">
        <v>2260544</v>
      </c>
      <c r="Q27" s="12">
        <v>0</v>
      </c>
      <c r="R27" s="12">
        <v>828608</v>
      </c>
      <c r="S27" s="12">
        <v>10119616</v>
      </c>
      <c r="T27" s="12">
        <v>7552</v>
      </c>
      <c r="U27" s="26">
        <v>78.211476399999995</v>
      </c>
      <c r="V27" s="26">
        <v>80.928953699999994</v>
      </c>
      <c r="W27" s="26">
        <v>34.861467599999997</v>
      </c>
      <c r="X27" s="26">
        <v>43.678217699999998</v>
      </c>
      <c r="Y27" s="26">
        <v>41.597988100000002</v>
      </c>
      <c r="Z27" s="26">
        <v>47.651722999999997</v>
      </c>
      <c r="AA27" s="26">
        <v>32.450534699999999</v>
      </c>
      <c r="AB27" s="64">
        <v>3256.2552179999998</v>
      </c>
      <c r="AC27" s="64">
        <v>31.399028000000001</v>
      </c>
      <c r="AE27" s="63" t="str">
        <f t="shared" si="4"/>
        <v>·</v>
      </c>
      <c r="AF27" s="11" t="str">
        <f t="shared" si="5"/>
        <v>·</v>
      </c>
      <c r="AG27" s="10" t="str">
        <f t="shared" si="6"/>
        <v>.</v>
      </c>
      <c r="AH27" s="10" t="str">
        <f t="shared" si="7"/>
        <v>.</v>
      </c>
      <c r="AI27" s="25"/>
      <c r="AJ27" s="12"/>
      <c r="AK27" s="12"/>
      <c r="AL27" s="12"/>
      <c r="AM27" s="12"/>
      <c r="AN27" s="12"/>
      <c r="AO27" s="12"/>
      <c r="AP27" s="26"/>
      <c r="AQ27" s="26"/>
      <c r="AR27" s="26"/>
      <c r="AS27" s="26"/>
      <c r="AT27" s="26"/>
      <c r="AU27" s="26"/>
      <c r="AV27" s="26"/>
      <c r="AW27" s="64"/>
      <c r="AX27" s="64"/>
      <c r="AZ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N27" s="65"/>
      <c r="BP27" s="65">
        <f t="shared" si="8"/>
        <v>0</v>
      </c>
      <c r="BQ27" s="65">
        <f t="shared" si="9"/>
        <v>0</v>
      </c>
      <c r="BR27" s="65">
        <f t="shared" si="10"/>
        <v>0</v>
      </c>
      <c r="BS27" s="65">
        <f t="shared" si="11"/>
        <v>0</v>
      </c>
      <c r="BT27" s="65">
        <f t="shared" si="12"/>
        <v>0</v>
      </c>
    </row>
    <row r="28" spans="1:72" ht="15" customHeight="1" outlineLevel="1" x14ac:dyDescent="0.25">
      <c r="A28" s="18"/>
      <c r="B28" s="18" t="s">
        <v>62</v>
      </c>
      <c r="C28" s="20" t="s">
        <v>425</v>
      </c>
      <c r="D28" s="18">
        <v>12000000</v>
      </c>
      <c r="E28" s="19">
        <v>12</v>
      </c>
      <c r="F28" s="20">
        <v>32</v>
      </c>
      <c r="G28" s="20">
        <v>30</v>
      </c>
      <c r="H28" s="20">
        <v>17</v>
      </c>
      <c r="J28" s="69">
        <f t="shared" si="0"/>
        <v>17.3980125</v>
      </c>
      <c r="K28" s="21">
        <f t="shared" si="1"/>
        <v>1.5464899999999999</v>
      </c>
      <c r="L28" s="20">
        <f t="shared" si="2"/>
        <v>18557880</v>
      </c>
      <c r="M28" s="20">
        <f t="shared" si="3"/>
        <v>5044064</v>
      </c>
      <c r="N28" s="27">
        <v>19659392</v>
      </c>
      <c r="O28" s="22">
        <v>18557880</v>
      </c>
      <c r="P28" s="22">
        <v>4395536</v>
      </c>
      <c r="Q28" s="22">
        <v>0</v>
      </c>
      <c r="R28" s="22">
        <v>648528</v>
      </c>
      <c r="S28" s="22">
        <v>13506000</v>
      </c>
      <c r="T28" s="22">
        <v>7816</v>
      </c>
      <c r="U28" s="28">
        <v>80.183046700000006</v>
      </c>
      <c r="V28" s="28">
        <v>83.562608699999998</v>
      </c>
      <c r="W28" s="28">
        <v>35.667084600000003</v>
      </c>
      <c r="X28" s="28">
        <v>43.998746400000002</v>
      </c>
      <c r="Y28" s="28">
        <v>42.077276099999999</v>
      </c>
      <c r="Z28" s="28">
        <v>49.3493335</v>
      </c>
      <c r="AA28" s="28">
        <v>33.677128199999999</v>
      </c>
      <c r="AB28" s="70">
        <v>3190.3713969999999</v>
      </c>
      <c r="AC28" s="70">
        <v>35.729650999999997</v>
      </c>
      <c r="AE28" s="69" t="str">
        <f t="shared" si="4"/>
        <v>·</v>
      </c>
      <c r="AF28" s="21" t="str">
        <f t="shared" si="5"/>
        <v>·</v>
      </c>
      <c r="AG28" s="20" t="str">
        <f t="shared" si="6"/>
        <v>.</v>
      </c>
      <c r="AH28" s="20" t="str">
        <f t="shared" si="7"/>
        <v>.</v>
      </c>
      <c r="AI28" s="27"/>
      <c r="AJ28" s="22"/>
      <c r="AK28" s="22"/>
      <c r="AL28" s="22"/>
      <c r="AM28" s="22"/>
      <c r="AN28" s="22"/>
      <c r="AO28" s="22"/>
      <c r="AP28" s="28"/>
      <c r="AQ28" s="28"/>
      <c r="AR28" s="28"/>
      <c r="AS28" s="28"/>
      <c r="AT28" s="28"/>
      <c r="AU28" s="28"/>
      <c r="AV28" s="28"/>
      <c r="AW28" s="70"/>
      <c r="AX28" s="70"/>
      <c r="AZ28" s="71"/>
      <c r="BA28" s="71"/>
      <c r="BB28" s="71"/>
      <c r="BC28" s="71"/>
      <c r="BD28" s="71"/>
      <c r="BE28" s="71"/>
      <c r="BF28" s="71"/>
      <c r="BH28" s="71"/>
      <c r="BI28" s="71"/>
      <c r="BJ28" s="71"/>
      <c r="BK28" s="71"/>
      <c r="BL28" s="71"/>
      <c r="BM28" s="71"/>
      <c r="BN28" s="71"/>
      <c r="BP28" s="71">
        <f t="shared" si="8"/>
        <v>0</v>
      </c>
      <c r="BQ28" s="71">
        <f t="shared" si="9"/>
        <v>0</v>
      </c>
      <c r="BR28" s="71">
        <f t="shared" si="10"/>
        <v>0</v>
      </c>
      <c r="BS28" s="71">
        <f t="shared" si="11"/>
        <v>0</v>
      </c>
      <c r="BT28" s="71">
        <f t="shared" si="12"/>
        <v>0</v>
      </c>
    </row>
    <row r="29" spans="1:72" ht="15.75" customHeight="1" outlineLevel="1" thickBot="1" x14ac:dyDescent="0.3">
      <c r="A29" s="8"/>
      <c r="B29" s="29" t="s">
        <v>62</v>
      </c>
      <c r="C29" s="30" t="s">
        <v>426</v>
      </c>
      <c r="D29" s="29">
        <v>12000000</v>
      </c>
      <c r="E29" s="31">
        <v>12</v>
      </c>
      <c r="F29" s="30">
        <v>32</v>
      </c>
      <c r="G29" s="30">
        <v>30</v>
      </c>
      <c r="H29" s="30">
        <v>25</v>
      </c>
      <c r="J29" s="75">
        <f t="shared" si="0"/>
        <v>25.76745</v>
      </c>
      <c r="K29" s="32">
        <f t="shared" si="1"/>
        <v>2.2904399999999998</v>
      </c>
      <c r="L29" s="30">
        <f t="shared" si="2"/>
        <v>27485280</v>
      </c>
      <c r="M29" s="30">
        <f t="shared" si="3"/>
        <v>8234072</v>
      </c>
      <c r="N29" s="33">
        <v>39320512</v>
      </c>
      <c r="O29" s="34">
        <v>27485280</v>
      </c>
      <c r="P29" s="34">
        <v>7786720</v>
      </c>
      <c r="Q29" s="34">
        <v>0</v>
      </c>
      <c r="R29" s="34">
        <v>447352</v>
      </c>
      <c r="S29" s="34">
        <v>19243128</v>
      </c>
      <c r="T29" s="34">
        <v>8080</v>
      </c>
      <c r="U29" s="35">
        <v>82.666245000000004</v>
      </c>
      <c r="V29" s="35">
        <v>87.263385999999997</v>
      </c>
      <c r="W29" s="35">
        <v>36.405519400000003</v>
      </c>
      <c r="X29" s="35">
        <v>44.601418899999999</v>
      </c>
      <c r="Y29" s="35">
        <v>42.924804100000003</v>
      </c>
      <c r="Z29" s="35">
        <v>51.854258700000003</v>
      </c>
      <c r="AA29" s="35">
        <v>35.072831399999998</v>
      </c>
      <c r="AB29" s="76">
        <v>3006.9606130000002</v>
      </c>
      <c r="AC29" s="76">
        <v>50.523150999999999</v>
      </c>
      <c r="AE29" s="75" t="str">
        <f t="shared" si="4"/>
        <v>·</v>
      </c>
      <c r="AF29" s="32" t="str">
        <f t="shared" si="5"/>
        <v>·</v>
      </c>
      <c r="AG29" s="30" t="str">
        <f t="shared" si="6"/>
        <v>.</v>
      </c>
      <c r="AH29" s="30" t="str">
        <f t="shared" si="7"/>
        <v>.</v>
      </c>
      <c r="AI29" s="33"/>
      <c r="AJ29" s="34"/>
      <c r="AK29" s="34"/>
      <c r="AL29" s="34"/>
      <c r="AM29" s="34"/>
      <c r="AN29" s="34"/>
      <c r="AO29" s="34"/>
      <c r="AP29" s="35"/>
      <c r="AQ29" s="35"/>
      <c r="AR29" s="35"/>
      <c r="AS29" s="35"/>
      <c r="AT29" s="35"/>
      <c r="AU29" s="35"/>
      <c r="AV29" s="35"/>
      <c r="AW29" s="76"/>
      <c r="AX29" s="76"/>
      <c r="AZ29" s="77"/>
      <c r="BA29" s="77"/>
      <c r="BB29" s="77"/>
      <c r="BC29" s="77"/>
      <c r="BD29" s="77"/>
      <c r="BE29" s="77"/>
      <c r="BF29" s="77"/>
      <c r="BH29" s="77"/>
      <c r="BI29" s="77"/>
      <c r="BJ29" s="77"/>
      <c r="BK29" s="77"/>
      <c r="BL29" s="77"/>
      <c r="BM29" s="77"/>
      <c r="BN29" s="77"/>
      <c r="BP29" s="77">
        <f t="shared" si="8"/>
        <v>0</v>
      </c>
      <c r="BQ29" s="77">
        <f t="shared" si="9"/>
        <v>0</v>
      </c>
      <c r="BR29" s="77">
        <f t="shared" si="10"/>
        <v>0</v>
      </c>
      <c r="BS29" s="77">
        <f t="shared" si="11"/>
        <v>0</v>
      </c>
      <c r="BT29" s="77">
        <f t="shared" si="12"/>
        <v>0</v>
      </c>
    </row>
    <row r="30" spans="1:72" ht="15" customHeight="1" x14ac:dyDescent="0.25">
      <c r="A30" s="18"/>
      <c r="B30" s="18" t="s">
        <v>67</v>
      </c>
      <c r="C30" s="20" t="s">
        <v>422</v>
      </c>
      <c r="D30" s="18">
        <v>5997654</v>
      </c>
      <c r="E30" s="19">
        <v>12</v>
      </c>
      <c r="F30" s="20">
        <v>32</v>
      </c>
      <c r="G30" s="20">
        <v>30</v>
      </c>
      <c r="H30" s="20">
        <v>4</v>
      </c>
      <c r="J30" s="69">
        <f t="shared" si="0"/>
        <v>4.0574775000000001</v>
      </c>
      <c r="K30" s="21">
        <f t="shared" si="1"/>
        <v>0.72161148342335191</v>
      </c>
      <c r="L30" s="20">
        <f t="shared" si="2"/>
        <v>4327976</v>
      </c>
      <c r="M30" s="20">
        <f t="shared" si="3"/>
        <v>1443096</v>
      </c>
      <c r="N30" s="27">
        <v>2427520</v>
      </c>
      <c r="O30" s="22">
        <v>4327976</v>
      </c>
      <c r="P30" s="22">
        <v>753968</v>
      </c>
      <c r="Q30" s="22">
        <v>0</v>
      </c>
      <c r="R30" s="22">
        <v>689128</v>
      </c>
      <c r="S30" s="22">
        <v>2877600</v>
      </c>
      <c r="T30" s="22">
        <v>7280</v>
      </c>
      <c r="U30" s="28">
        <v>73.663907300000005</v>
      </c>
      <c r="V30" s="28">
        <v>75.305890399999996</v>
      </c>
      <c r="W30" s="28">
        <v>38.023329199999999</v>
      </c>
      <c r="X30" s="28">
        <v>44.228918200000003</v>
      </c>
      <c r="Y30" s="28">
        <v>42.768364699999999</v>
      </c>
      <c r="Z30" s="28">
        <v>46.839814199999999</v>
      </c>
      <c r="AA30" s="28">
        <v>34.689698300000003</v>
      </c>
      <c r="AB30" s="70">
        <v>857.48679000000004</v>
      </c>
      <c r="AC30" s="70">
        <v>8.4507750000000001</v>
      </c>
      <c r="AE30" s="69" t="str">
        <f t="shared" si="4"/>
        <v>·</v>
      </c>
      <c r="AF30" s="21" t="str">
        <f t="shared" si="5"/>
        <v>·</v>
      </c>
      <c r="AG30" s="20" t="str">
        <f t="shared" si="6"/>
        <v>.</v>
      </c>
      <c r="AH30" s="20" t="str">
        <f t="shared" si="7"/>
        <v>.</v>
      </c>
      <c r="AI30" s="27"/>
      <c r="AJ30" s="22"/>
      <c r="AK30" s="22"/>
      <c r="AL30" s="22"/>
      <c r="AM30" s="22"/>
      <c r="AN30" s="22"/>
      <c r="AO30" s="22"/>
      <c r="AP30" s="28"/>
      <c r="AQ30" s="28"/>
      <c r="AR30" s="28"/>
      <c r="AS30" s="28"/>
      <c r="AT30" s="28"/>
      <c r="AU30" s="28"/>
      <c r="AV30" s="28"/>
      <c r="AW30" s="70"/>
      <c r="AX30" s="70"/>
      <c r="AZ30" s="71" t="str">
        <f t="array" ref="AZ30">IF( OR(AND(ISBLANK(L30:L34)),AND(ISBLANK(AG30:AG34)), AND(ISBLANK(U30:U34)),AND(ISBLANK(AP30:AP34))), "·", bdRateExtend( L30:L34,U30:U34, AG30:AG34,AP30:AP34))</f>
        <v>·</v>
      </c>
      <c r="BA30" s="71" t="str">
        <f t="array" ref="BA30">IF( OR(AND(ISBLANK(L30:L34)),AND(ISBLANK(AG30:AG34)), AND(ISBLANK(V30:V34)),AND(ISBLANK(AQ30:AQ34))), "·", bdRateExtend( L30:L34,V30:V34, AG30:AG34,AQ30:AQ34))</f>
        <v>·</v>
      </c>
      <c r="BB30" s="71" t="str">
        <f t="array" ref="BB30">IF( OR(AND(ISBLANK(L30:L34)),AND(ISBLANK(AG30:AG34)), AND(ISBLANK(W30:W34)),AND(ISBLANK(AR30:AR34))), "·", bdRateExtend( L30:L34,W30:W34, AG30:AG34,AR30:AR34))</f>
        <v>·</v>
      </c>
      <c r="BC30" s="71" t="str">
        <f t="array" ref="BC30">IF( OR(AND(ISBLANK(L30:L34)),AND(ISBLANK(AG30:AG34)), AND(ISBLANK(X30:X34)),AND(ISBLANK(AS30:AS34))), "·", bdRateExtend( L30:L34,X30:X34, AG30:AG34,AS30:AS34))</f>
        <v>·</v>
      </c>
      <c r="BD30" s="71" t="str">
        <f t="array" ref="BD30">IF( OR(AND(ISBLANK(L30:L34)),AND(ISBLANK(AG30:AG34)), AND(ISBLANK(Y30:Y34)),AND(ISBLANK(AT30:AT34))), "·", bdRateExtend( L30:L34,Y30:Y34, AG30:AG34,AT30:AT34))</f>
        <v>·</v>
      </c>
      <c r="BE30" s="71" t="str">
        <f t="array" ref="BE30">IF( OR(AND(ISBLANK(L30:L34)),AND(ISBLANK(AG30:AG34)), AND(ISBLANK(Z30:Z34)),AND(ISBLANK(AU30:AU34))), "·", bdRateExtend( L30:L34,Z30:Z34, AG30:AG34,AU30:AU34))</f>
        <v>·</v>
      </c>
      <c r="BF30" s="71" t="str">
        <f t="array" ref="BF30">IF( OR(AND(ISBLANK(L30:L34)),AND(ISBLANK(AG30:AG34)), AND(ISBLANK(AA30:AA34)),AND(ISBLANK(AV30:AV34))), "·", bdRateExtend( L30:L34,AA30:AA34, AG30:AG34,AV30:AV34))</f>
        <v>·</v>
      </c>
      <c r="BH30" s="71" t="str">
        <f t="array" ref="BH30">IF( OR(AND(ISBLANK(M30:M34)),AND(ISBLANK(AH30:AH34)), AND(ISBLANK(U30:U34)),AND(ISBLANK(AP30:AP34))), "·", bdRateExtend( M30:M34,U30:U34, AH30:AH34,AP30:AP34))</f>
        <v>·</v>
      </c>
      <c r="BI30" s="71" t="str">
        <f t="array" ref="BI30">IF( OR(AND(ISBLANK(M30:M34)),AND(ISBLANK(AH30:AH34)), AND(ISBLANK(V30:V34)),AND(ISBLANK(AQ30:AQ34))), "·", bdRateExtend( M30:M34,V30:V34, AH30:AH34,AQ30:AQ34))</f>
        <v>·</v>
      </c>
      <c r="BJ30" s="71" t="str">
        <f t="array" ref="BJ30">IF( OR(AND(ISBLANK(S30:S34)),AND(ISBLANK(AN30:AN34)), AND(ISBLANK(W30:W34)),AND(ISBLANK(AR30:AR34))), "·", bdRateExtend( S30:S34,W30:W34, AN30:AN34,AR30:AR34))</f>
        <v>·</v>
      </c>
      <c r="BK30" s="71" t="str">
        <f t="array" ref="BK30">IF( OR(AND(ISBLANK(S30:S34)),AND(ISBLANK(AN30:AN34)), AND(ISBLANK(X30:X34)),AND(ISBLANK(AS30:AS34))), "·", bdRateExtend( S30:S34,X30:X34, AN30:AN34,AS30:AS34))</f>
        <v>·</v>
      </c>
      <c r="BL30" s="71" t="str">
        <f t="array" ref="BL30">IF( OR(AND(ISBLANK(S30:S34)),AND(ISBLANK(AN30:AN34)), AND(ISBLANK(Y30:Y34)),AND(ISBLANK(AT30:AT34))), "·", bdRateExtend( S30:S34,Y30:Y34, AN30:AN34,AT30:AT34))</f>
        <v>·</v>
      </c>
      <c r="BM30" s="71" t="str">
        <f t="array" ref="BM30">IF( OR(AND(ISBLANK(M30:M34)),AND(ISBLANK(AH30:AH34)), AND(ISBLANK(Z30:Z34)),AND(ISBLANK(AU30:AU34))), "·", bdRateExtend( M30:M34,Z30:Z34, AH30:AH34,AU30:AU34))</f>
        <v>·</v>
      </c>
      <c r="BN30" s="71" t="str">
        <f t="array" ref="BN30">IF( OR(AND(ISBLANK(S30:S34)),AND(ISBLANK(AN30:AN34)), AND(ISBLANK(AA30:AA34)),AND(ISBLANK(AV30:AV34))), "·", bdRateExtend( S30:S34,AA30:AA34, AN30:AN34,AV30:AV34))</f>
        <v>·</v>
      </c>
      <c r="BP30" s="71">
        <f t="shared" si="8"/>
        <v>0</v>
      </c>
      <c r="BQ30" s="71">
        <f t="shared" si="9"/>
        <v>0</v>
      </c>
      <c r="BR30" s="71">
        <f t="shared" si="10"/>
        <v>0</v>
      </c>
      <c r="BS30" s="71">
        <f t="shared" si="11"/>
        <v>0</v>
      </c>
      <c r="BT30" s="71">
        <f t="shared" si="12"/>
        <v>0</v>
      </c>
    </row>
    <row r="31" spans="1:72" ht="15" customHeight="1" outlineLevel="1" x14ac:dyDescent="0.25">
      <c r="A31" s="8"/>
      <c r="B31" s="8" t="s">
        <v>67</v>
      </c>
      <c r="C31" s="10" t="s">
        <v>423</v>
      </c>
      <c r="D31" s="8">
        <v>5997654</v>
      </c>
      <c r="E31" s="9">
        <v>12</v>
      </c>
      <c r="F31" s="10">
        <v>32</v>
      </c>
      <c r="G31" s="10">
        <v>30</v>
      </c>
      <c r="H31" s="10">
        <v>8</v>
      </c>
      <c r="J31" s="63">
        <f t="shared" si="0"/>
        <v>8.2049024999999993</v>
      </c>
      <c r="K31" s="11">
        <f t="shared" si="1"/>
        <v>1.4592198883096623</v>
      </c>
      <c r="L31" s="10">
        <f t="shared" si="2"/>
        <v>8751896</v>
      </c>
      <c r="M31" s="10">
        <f t="shared" si="3"/>
        <v>2027576</v>
      </c>
      <c r="N31" s="25">
        <v>2427520</v>
      </c>
      <c r="O31" s="12">
        <v>8751896</v>
      </c>
      <c r="P31" s="12">
        <v>753968</v>
      </c>
      <c r="Q31" s="12">
        <v>0</v>
      </c>
      <c r="R31" s="12">
        <v>1273608</v>
      </c>
      <c r="S31" s="12">
        <v>6717040</v>
      </c>
      <c r="T31" s="12">
        <v>7280</v>
      </c>
      <c r="U31" s="26">
        <v>75.806673099999998</v>
      </c>
      <c r="V31" s="26">
        <v>77.716489999999993</v>
      </c>
      <c r="W31" s="26">
        <v>40.593065500000002</v>
      </c>
      <c r="X31" s="26">
        <v>45.873555000000003</v>
      </c>
      <c r="Y31" s="26">
        <v>44.722834300000002</v>
      </c>
      <c r="Z31" s="26">
        <v>47.989644699999999</v>
      </c>
      <c r="AA31" s="26">
        <v>36.447340699999998</v>
      </c>
      <c r="AB31" s="64">
        <v>899.79061400000001</v>
      </c>
      <c r="AC31" s="64">
        <v>8.0176239999999996</v>
      </c>
      <c r="AE31" s="63" t="str">
        <f t="shared" si="4"/>
        <v>·</v>
      </c>
      <c r="AF31" s="11" t="str">
        <f t="shared" si="5"/>
        <v>·</v>
      </c>
      <c r="AG31" s="10" t="str">
        <f t="shared" si="6"/>
        <v>.</v>
      </c>
      <c r="AH31" s="10" t="str">
        <f t="shared" si="7"/>
        <v>.</v>
      </c>
      <c r="AI31" s="25"/>
      <c r="AJ31" s="12"/>
      <c r="AK31" s="12"/>
      <c r="AL31" s="12"/>
      <c r="AM31" s="12"/>
      <c r="AN31" s="12"/>
      <c r="AO31" s="12"/>
      <c r="AP31" s="26"/>
      <c r="AQ31" s="26"/>
      <c r="AR31" s="26"/>
      <c r="AS31" s="26"/>
      <c r="AT31" s="26"/>
      <c r="AU31" s="26"/>
      <c r="AV31" s="26"/>
      <c r="AW31" s="64"/>
      <c r="AX31" s="64"/>
      <c r="AZ31" s="65"/>
      <c r="BA31" s="65"/>
      <c r="BB31" s="65"/>
      <c r="BC31" s="65"/>
      <c r="BD31" s="65"/>
      <c r="BE31" s="65"/>
      <c r="BF31" s="65"/>
      <c r="BH31" s="65"/>
      <c r="BI31" s="65"/>
      <c r="BJ31" s="65"/>
      <c r="BK31" s="65"/>
      <c r="BL31" s="65"/>
      <c r="BM31" s="65"/>
      <c r="BN31" s="65"/>
      <c r="BP31" s="65">
        <f t="shared" si="8"/>
        <v>0</v>
      </c>
      <c r="BQ31" s="65">
        <f t="shared" si="9"/>
        <v>0</v>
      </c>
      <c r="BR31" s="65">
        <f t="shared" si="10"/>
        <v>0</v>
      </c>
      <c r="BS31" s="65">
        <f t="shared" si="11"/>
        <v>0</v>
      </c>
      <c r="BT31" s="65">
        <f t="shared" si="12"/>
        <v>0</v>
      </c>
    </row>
    <row r="32" spans="1:72" ht="15" customHeight="1" outlineLevel="1" x14ac:dyDescent="0.25">
      <c r="A32" s="18"/>
      <c r="B32" s="18" t="s">
        <v>67</v>
      </c>
      <c r="C32" s="20" t="s">
        <v>424</v>
      </c>
      <c r="D32" s="18">
        <v>5997654</v>
      </c>
      <c r="E32" s="19">
        <v>12</v>
      </c>
      <c r="F32" s="20">
        <v>32</v>
      </c>
      <c r="G32" s="20">
        <v>30</v>
      </c>
      <c r="H32" s="20">
        <v>12</v>
      </c>
      <c r="J32" s="69">
        <f t="shared" si="0"/>
        <v>12.2877075</v>
      </c>
      <c r="K32" s="21">
        <f t="shared" si="1"/>
        <v>2.1853357996309892</v>
      </c>
      <c r="L32" s="20">
        <f t="shared" si="2"/>
        <v>13106888</v>
      </c>
      <c r="M32" s="20">
        <f t="shared" si="3"/>
        <v>3307624</v>
      </c>
      <c r="N32" s="27">
        <v>2450608</v>
      </c>
      <c r="O32" s="22">
        <v>13106888</v>
      </c>
      <c r="P32" s="22">
        <v>2064360</v>
      </c>
      <c r="Q32" s="22">
        <v>0</v>
      </c>
      <c r="R32" s="22">
        <v>1243264</v>
      </c>
      <c r="S32" s="22">
        <v>9791984</v>
      </c>
      <c r="T32" s="22">
        <v>7280</v>
      </c>
      <c r="U32" s="28">
        <v>78.4639028</v>
      </c>
      <c r="V32" s="28">
        <v>80.975413500000002</v>
      </c>
      <c r="W32" s="28">
        <v>41.942545500000001</v>
      </c>
      <c r="X32" s="28">
        <v>46.572803299999997</v>
      </c>
      <c r="Y32" s="28">
        <v>45.5570016</v>
      </c>
      <c r="Z32" s="28">
        <v>49.817949599999999</v>
      </c>
      <c r="AA32" s="28">
        <v>38.079630600000002</v>
      </c>
      <c r="AB32" s="70">
        <v>1234.615483</v>
      </c>
      <c r="AC32" s="70">
        <v>7.850644</v>
      </c>
      <c r="AE32" s="69" t="str">
        <f t="shared" si="4"/>
        <v>·</v>
      </c>
      <c r="AF32" s="21" t="str">
        <f t="shared" si="5"/>
        <v>·</v>
      </c>
      <c r="AG32" s="20" t="str">
        <f t="shared" si="6"/>
        <v>.</v>
      </c>
      <c r="AH32" s="20" t="str">
        <f t="shared" si="7"/>
        <v>.</v>
      </c>
      <c r="AI32" s="27"/>
      <c r="AJ32" s="22"/>
      <c r="AK32" s="22"/>
      <c r="AL32" s="22"/>
      <c r="AM32" s="22"/>
      <c r="AN32" s="22"/>
      <c r="AO32" s="22"/>
      <c r="AP32" s="28"/>
      <c r="AQ32" s="28"/>
      <c r="AR32" s="28"/>
      <c r="AS32" s="28"/>
      <c r="AT32" s="28"/>
      <c r="AU32" s="28"/>
      <c r="AV32" s="28"/>
      <c r="AW32" s="70"/>
      <c r="AX32" s="70"/>
      <c r="AZ32" s="71"/>
      <c r="BA32" s="71"/>
      <c r="BB32" s="71"/>
      <c r="BC32" s="71"/>
      <c r="BD32" s="71"/>
      <c r="BE32" s="71"/>
      <c r="BF32" s="71"/>
      <c r="BH32" s="71"/>
      <c r="BI32" s="71"/>
      <c r="BJ32" s="71"/>
      <c r="BK32" s="71"/>
      <c r="BL32" s="71"/>
      <c r="BM32" s="71"/>
      <c r="BN32" s="71"/>
      <c r="BP32" s="71">
        <f t="shared" si="8"/>
        <v>0</v>
      </c>
      <c r="BQ32" s="71">
        <f t="shared" si="9"/>
        <v>0</v>
      </c>
      <c r="BR32" s="71">
        <f t="shared" si="10"/>
        <v>0</v>
      </c>
      <c r="BS32" s="71">
        <f t="shared" si="11"/>
        <v>0</v>
      </c>
      <c r="BT32" s="71">
        <f t="shared" si="12"/>
        <v>0</v>
      </c>
    </row>
    <row r="33" spans="1:72" ht="15" customHeight="1" outlineLevel="1" x14ac:dyDescent="0.25">
      <c r="A33" s="8"/>
      <c r="B33" s="8" t="s">
        <v>67</v>
      </c>
      <c r="C33" s="10" t="s">
        <v>425</v>
      </c>
      <c r="D33" s="8">
        <v>5997654</v>
      </c>
      <c r="E33" s="9">
        <v>12</v>
      </c>
      <c r="F33" s="10">
        <v>32</v>
      </c>
      <c r="G33" s="10">
        <v>30</v>
      </c>
      <c r="H33" s="10">
        <v>17</v>
      </c>
      <c r="J33" s="63">
        <f t="shared" si="0"/>
        <v>17.475014999999999</v>
      </c>
      <c r="K33" s="11">
        <f t="shared" si="1"/>
        <v>3.1078845161791593</v>
      </c>
      <c r="L33" s="10">
        <f t="shared" si="2"/>
        <v>18640016</v>
      </c>
      <c r="M33" s="10">
        <f t="shared" si="3"/>
        <v>3880160</v>
      </c>
      <c r="N33" s="25">
        <v>2450608</v>
      </c>
      <c r="O33" s="12">
        <v>18640016</v>
      </c>
      <c r="P33" s="12">
        <v>2064360</v>
      </c>
      <c r="Q33" s="12">
        <v>0</v>
      </c>
      <c r="R33" s="12">
        <v>1815800</v>
      </c>
      <c r="S33" s="12">
        <v>14752560</v>
      </c>
      <c r="T33" s="12">
        <v>7296</v>
      </c>
      <c r="U33" s="26">
        <v>79.490637699999994</v>
      </c>
      <c r="V33" s="26">
        <v>82.380019300000001</v>
      </c>
      <c r="W33" s="26">
        <v>43.021794</v>
      </c>
      <c r="X33" s="26">
        <v>47.6752909</v>
      </c>
      <c r="Y33" s="26">
        <v>46.881212300000001</v>
      </c>
      <c r="Z33" s="26">
        <v>50.421696400000002</v>
      </c>
      <c r="AA33" s="26">
        <v>39.163862399999999</v>
      </c>
      <c r="AB33" s="64">
        <v>2823.6076419999999</v>
      </c>
      <c r="AC33" s="64">
        <v>51.089418000000002</v>
      </c>
      <c r="AE33" s="63" t="str">
        <f t="shared" si="4"/>
        <v>·</v>
      </c>
      <c r="AF33" s="11" t="str">
        <f t="shared" si="5"/>
        <v>·</v>
      </c>
      <c r="AG33" s="10" t="str">
        <f t="shared" si="6"/>
        <v>.</v>
      </c>
      <c r="AH33" s="10" t="str">
        <f t="shared" si="7"/>
        <v>.</v>
      </c>
      <c r="AI33" s="25"/>
      <c r="AJ33" s="12"/>
      <c r="AK33" s="12"/>
      <c r="AL33" s="12"/>
      <c r="AM33" s="12"/>
      <c r="AN33" s="12"/>
      <c r="AO33" s="12"/>
      <c r="AP33" s="26"/>
      <c r="AQ33" s="26"/>
      <c r="AR33" s="26"/>
      <c r="AS33" s="26"/>
      <c r="AT33" s="26"/>
      <c r="AU33" s="26"/>
      <c r="AV33" s="26"/>
      <c r="AW33" s="64"/>
      <c r="AX33" s="64"/>
      <c r="AZ33" s="65"/>
      <c r="BA33" s="65"/>
      <c r="BB33" s="65"/>
      <c r="BC33" s="65"/>
      <c r="BD33" s="65"/>
      <c r="BE33" s="65"/>
      <c r="BF33" s="65"/>
      <c r="BH33" s="65"/>
      <c r="BI33" s="65"/>
      <c r="BJ33" s="65"/>
      <c r="BK33" s="65"/>
      <c r="BL33" s="65"/>
      <c r="BM33" s="65"/>
      <c r="BN33" s="65"/>
      <c r="BP33" s="65">
        <f t="shared" si="8"/>
        <v>0</v>
      </c>
      <c r="BQ33" s="65">
        <f t="shared" si="9"/>
        <v>0</v>
      </c>
      <c r="BR33" s="65">
        <f t="shared" si="10"/>
        <v>0</v>
      </c>
      <c r="BS33" s="65">
        <f t="shared" si="11"/>
        <v>0</v>
      </c>
      <c r="BT33" s="65">
        <f t="shared" si="12"/>
        <v>0</v>
      </c>
    </row>
    <row r="34" spans="1:72" ht="15.75" customHeight="1" outlineLevel="1" thickBot="1" x14ac:dyDescent="0.3">
      <c r="A34" s="18"/>
      <c r="B34" s="13" t="s">
        <v>67</v>
      </c>
      <c r="C34" s="15" t="s">
        <v>426</v>
      </c>
      <c r="D34" s="13">
        <v>5997654</v>
      </c>
      <c r="E34" s="14">
        <v>12</v>
      </c>
      <c r="F34" s="15">
        <v>32</v>
      </c>
      <c r="G34" s="15">
        <v>30</v>
      </c>
      <c r="H34" s="15">
        <v>25</v>
      </c>
      <c r="J34" s="66">
        <f t="shared" si="0"/>
        <v>25.6567875</v>
      </c>
      <c r="K34" s="16">
        <f t="shared" si="1"/>
        <v>4.562990796067929</v>
      </c>
      <c r="L34" s="15">
        <f t="shared" si="2"/>
        <v>27367240</v>
      </c>
      <c r="M34" s="15">
        <f t="shared" si="3"/>
        <v>6433240</v>
      </c>
      <c r="N34" s="36">
        <v>7367488</v>
      </c>
      <c r="O34" s="17">
        <v>27367240</v>
      </c>
      <c r="P34" s="17">
        <v>4761408</v>
      </c>
      <c r="Q34" s="17">
        <v>0</v>
      </c>
      <c r="R34" s="17">
        <v>1671832</v>
      </c>
      <c r="S34" s="17">
        <v>20926448</v>
      </c>
      <c r="T34" s="17">
        <v>7552</v>
      </c>
      <c r="U34" s="37">
        <v>82.409964900000006</v>
      </c>
      <c r="V34" s="37">
        <v>86.478636800000004</v>
      </c>
      <c r="W34" s="37">
        <v>44.125937399999998</v>
      </c>
      <c r="X34" s="37">
        <v>48.398906699999998</v>
      </c>
      <c r="Y34" s="37">
        <v>47.707342199999999</v>
      </c>
      <c r="Z34" s="37">
        <v>52.531148299999998</v>
      </c>
      <c r="AA34" s="37">
        <v>41.205515699999999</v>
      </c>
      <c r="AB34" s="67">
        <v>3879.356127</v>
      </c>
      <c r="AC34" s="67">
        <v>55.221682000000001</v>
      </c>
      <c r="AE34" s="66" t="str">
        <f t="shared" si="4"/>
        <v>·</v>
      </c>
      <c r="AF34" s="16" t="str">
        <f t="shared" si="5"/>
        <v>·</v>
      </c>
      <c r="AG34" s="15" t="str">
        <f t="shared" si="6"/>
        <v>.</v>
      </c>
      <c r="AH34" s="15" t="str">
        <f t="shared" si="7"/>
        <v>.</v>
      </c>
      <c r="AI34" s="36"/>
      <c r="AJ34" s="17"/>
      <c r="AK34" s="17"/>
      <c r="AL34" s="17"/>
      <c r="AM34" s="17"/>
      <c r="AN34" s="17"/>
      <c r="AO34" s="17"/>
      <c r="AP34" s="37"/>
      <c r="AQ34" s="37"/>
      <c r="AR34" s="37"/>
      <c r="AS34" s="37"/>
      <c r="AT34" s="37"/>
      <c r="AU34" s="37"/>
      <c r="AV34" s="37"/>
      <c r="AW34" s="67"/>
      <c r="AX34" s="67"/>
      <c r="AZ34" s="68"/>
      <c r="BA34" s="68"/>
      <c r="BB34" s="68"/>
      <c r="BC34" s="68"/>
      <c r="BD34" s="68"/>
      <c r="BE34" s="68"/>
      <c r="BF34" s="68"/>
      <c r="BH34" s="68"/>
      <c r="BI34" s="68"/>
      <c r="BJ34" s="68"/>
      <c r="BK34" s="68"/>
      <c r="BL34" s="68"/>
      <c r="BM34" s="68"/>
      <c r="BN34" s="68"/>
      <c r="BP34" s="68">
        <f t="shared" si="8"/>
        <v>0</v>
      </c>
      <c r="BQ34" s="68">
        <f t="shared" si="9"/>
        <v>0</v>
      </c>
      <c r="BR34" s="68">
        <f t="shared" si="10"/>
        <v>0</v>
      </c>
      <c r="BS34" s="68">
        <f t="shared" si="11"/>
        <v>0</v>
      </c>
      <c r="BT34" s="68">
        <f t="shared" si="12"/>
        <v>0</v>
      </c>
    </row>
    <row r="35" spans="1:72" ht="15" customHeight="1" x14ac:dyDescent="0.25">
      <c r="A35" s="8"/>
      <c r="B35" s="8" t="s">
        <v>72</v>
      </c>
      <c r="C35" s="10" t="s">
        <v>422</v>
      </c>
      <c r="D35" s="8">
        <v>9000000</v>
      </c>
      <c r="E35" s="9">
        <v>12</v>
      </c>
      <c r="F35" s="10">
        <v>32</v>
      </c>
      <c r="G35" s="10">
        <v>30</v>
      </c>
      <c r="H35" s="10">
        <v>4</v>
      </c>
      <c r="J35" s="63">
        <f t="shared" si="0"/>
        <v>3.8670149999999999</v>
      </c>
      <c r="K35" s="11">
        <f t="shared" si="1"/>
        <v>0.45831288888888888</v>
      </c>
      <c r="L35" s="10">
        <f t="shared" si="2"/>
        <v>4124816</v>
      </c>
      <c r="M35" s="10">
        <f t="shared" si="3"/>
        <v>1363024</v>
      </c>
      <c r="N35" s="25">
        <v>460240</v>
      </c>
      <c r="O35" s="12">
        <v>4124816</v>
      </c>
      <c r="P35" s="12">
        <v>641808</v>
      </c>
      <c r="Q35" s="12">
        <v>0</v>
      </c>
      <c r="R35" s="12">
        <v>721216</v>
      </c>
      <c r="S35" s="12">
        <v>2755024</v>
      </c>
      <c r="T35" s="12">
        <v>6768</v>
      </c>
      <c r="U35" s="26">
        <v>69.493986899999996</v>
      </c>
      <c r="V35" s="26">
        <v>70.625072200000005</v>
      </c>
      <c r="W35" s="26">
        <v>29.536920899999998</v>
      </c>
      <c r="X35" s="26">
        <v>38.632165999999998</v>
      </c>
      <c r="Y35" s="26">
        <v>38.3506863</v>
      </c>
      <c r="Z35" s="26">
        <v>46.218779099999999</v>
      </c>
      <c r="AA35" s="26">
        <v>28.037474</v>
      </c>
      <c r="AB35" s="64">
        <v>506.05794100000003</v>
      </c>
      <c r="AC35" s="64">
        <v>2.3687200000000002</v>
      </c>
      <c r="AE35" s="63" t="str">
        <f t="shared" si="4"/>
        <v>·</v>
      </c>
      <c r="AF35" s="11" t="str">
        <f t="shared" si="5"/>
        <v>·</v>
      </c>
      <c r="AG35" s="10" t="str">
        <f t="shared" si="6"/>
        <v>.</v>
      </c>
      <c r="AH35" s="10" t="str">
        <f t="shared" si="7"/>
        <v>.</v>
      </c>
      <c r="AI35" s="25"/>
      <c r="AJ35" s="12"/>
      <c r="AK35" s="12"/>
      <c r="AL35" s="12"/>
      <c r="AM35" s="12"/>
      <c r="AN35" s="12"/>
      <c r="AO35" s="12"/>
      <c r="AP35" s="26"/>
      <c r="AQ35" s="26"/>
      <c r="AR35" s="26"/>
      <c r="AS35" s="26"/>
      <c r="AT35" s="26"/>
      <c r="AU35" s="26"/>
      <c r="AV35" s="26"/>
      <c r="AW35" s="64"/>
      <c r="AX35" s="64"/>
      <c r="AZ35" s="65" t="str">
        <f t="array" ref="AZ35">IF( OR(AND(ISBLANK(L35:L39)),AND(ISBLANK(AG35:AG39)), AND(ISBLANK(U35:U39)),AND(ISBLANK(AP35:AP39))), "·", bdRateExtend( L35:L39,U35:U39, AG35:AG39,AP35:AP39))</f>
        <v>·</v>
      </c>
      <c r="BA35" s="65" t="str">
        <f t="array" ref="BA35">IF( OR(AND(ISBLANK(L35:L39)),AND(ISBLANK(AG35:AG39)), AND(ISBLANK(V35:V39)),AND(ISBLANK(AQ35:AQ39))), "·", bdRateExtend( L35:L39,V35:V39, AG35:AG39,AQ35:AQ39))</f>
        <v>·</v>
      </c>
      <c r="BB35" s="65" t="str">
        <f t="array" ref="BB35">IF( OR(AND(ISBLANK(L35:L39)),AND(ISBLANK(AG35:AG39)), AND(ISBLANK(W35:W39)),AND(ISBLANK(AR35:AR39))), "·", bdRateExtend( L35:L39,W35:W39, AG35:AG39,AR35:AR39))</f>
        <v>·</v>
      </c>
      <c r="BC35" s="65" t="str">
        <f t="array" ref="BC35">IF( OR(AND(ISBLANK(L35:L39)),AND(ISBLANK(AG35:AG39)), AND(ISBLANK(X35:X39)),AND(ISBLANK(AS35:AS39))), "·", bdRateExtend( L35:L39,X35:X39, AG35:AG39,AS35:AS39))</f>
        <v>·</v>
      </c>
      <c r="BD35" s="65" t="str">
        <f t="array" ref="BD35">IF( OR(AND(ISBLANK(L35:L39)),AND(ISBLANK(AG35:AG39)), AND(ISBLANK(Y35:Y39)),AND(ISBLANK(AT35:AT39))), "·", bdRateExtend( L35:L39,Y35:Y39, AG35:AG39,AT35:AT39))</f>
        <v>·</v>
      </c>
      <c r="BE35" s="65" t="str">
        <f t="array" ref="BE35">IF( OR(AND(ISBLANK(L35:L39)),AND(ISBLANK(AG35:AG39)), AND(ISBLANK(Z35:Z39)),AND(ISBLANK(AU35:AU39))), "·", bdRateExtend( L35:L39,Z35:Z39, AG35:AG39,AU35:AU39))</f>
        <v>·</v>
      </c>
      <c r="BF35" s="65" t="str">
        <f t="array" ref="BF35">IF( OR(AND(ISBLANK(L35:L39)),AND(ISBLANK(AG35:AG39)), AND(ISBLANK(AA35:AA39)),AND(ISBLANK(AV35:AV39))), "·", bdRateExtend( L35:L39,AA35:AA39, AG35:AG39,AV35:AV39))</f>
        <v>·</v>
      </c>
      <c r="BH35" s="49" t="str">
        <f t="array" ref="BH35">IF( OR(AND(ISBLANK(M35:M39)),AND(ISBLANK(AH35:AH39)), AND(ISBLANK(U35:U39)),AND(ISBLANK(AP35:AP39))), "·", bdRateExtend( M35:M39,U35:U39, AH35:AH39,AP35:AP39))</f>
        <v>·</v>
      </c>
      <c r="BI35" s="65" t="str">
        <f t="array" ref="BI35">IF( OR(AND(ISBLANK(M35:M39)),AND(ISBLANK(AH35:AH39)), AND(ISBLANK(V35:V39)),AND(ISBLANK(AQ35:AQ39))), "·", bdRateExtend( M35:M39,V35:V39, AH35:AH39,AQ35:AQ39))</f>
        <v>·</v>
      </c>
      <c r="BJ35" s="65" t="str">
        <f t="array" ref="BJ35">IF( OR(AND(ISBLANK(S35:S39)),AND(ISBLANK(AN35:AN39)), AND(ISBLANK(W35:W39)),AND(ISBLANK(AR35:AR39))), "·", bdRateExtend( S35:S39,W35:W39, AN35:AN39,AR35:AR39))</f>
        <v>·</v>
      </c>
      <c r="BK35" s="65" t="str">
        <f t="array" ref="BK35">IF( OR(AND(ISBLANK(S35:S39)),AND(ISBLANK(AN35:AN39)), AND(ISBLANK(X35:X39)),AND(ISBLANK(AS35:AS39))), "·", bdRateExtend( S35:S39,X35:X39, AN35:AN39,AS35:AS39))</f>
        <v>·</v>
      </c>
      <c r="BL35" s="65" t="str">
        <f t="array" ref="BL35">IF( OR(AND(ISBLANK(S35:S39)),AND(ISBLANK(AN35:AN39)), AND(ISBLANK(Y35:Y39)),AND(ISBLANK(AT35:AT39))), "·", bdRateExtend( S35:S39,Y35:Y39, AN35:AN39,AT35:AT39))</f>
        <v>·</v>
      </c>
      <c r="BM35" s="65" t="str">
        <f t="array" ref="BM35">IF( OR(AND(ISBLANK(M35:M39)),AND(ISBLANK(AH35:AH39)), AND(ISBLANK(Z35:Z39)),AND(ISBLANK(AU35:AU39))), "·", bdRateExtend( M35:M39,Z35:Z39, AH35:AH39,AU35:AU39))</f>
        <v>·</v>
      </c>
      <c r="BN35" s="65" t="str">
        <f t="array" ref="BN35">IF( OR(AND(ISBLANK(S35:S39)),AND(ISBLANK(AN35:AN39)), AND(ISBLANK(AA35:AA39)),AND(ISBLANK(AV35:AV39))), "·", bdRateExtend( S35:S39,AA35:AA39, AN35:AN39,AV35:AV39))</f>
        <v>·</v>
      </c>
      <c r="BP35" s="65">
        <f t="shared" si="8"/>
        <v>0</v>
      </c>
      <c r="BQ35" s="65">
        <f t="shared" si="9"/>
        <v>0</v>
      </c>
      <c r="BR35" s="65">
        <f t="shared" si="10"/>
        <v>0</v>
      </c>
      <c r="BS35" s="65">
        <f t="shared" si="11"/>
        <v>0</v>
      </c>
      <c r="BT35" s="65">
        <f t="shared" si="12"/>
        <v>0</v>
      </c>
    </row>
    <row r="36" spans="1:72" ht="15" customHeight="1" outlineLevel="1" x14ac:dyDescent="0.25">
      <c r="A36" s="18"/>
      <c r="B36" s="18" t="s">
        <v>72</v>
      </c>
      <c r="C36" s="20" t="s">
        <v>423</v>
      </c>
      <c r="D36" s="18">
        <v>9000000</v>
      </c>
      <c r="E36" s="19">
        <v>12</v>
      </c>
      <c r="F36" s="20">
        <v>32</v>
      </c>
      <c r="G36" s="20">
        <v>30</v>
      </c>
      <c r="H36" s="20">
        <v>6</v>
      </c>
      <c r="J36" s="69">
        <f t="shared" si="0"/>
        <v>6.1508925000000003</v>
      </c>
      <c r="K36" s="21">
        <f t="shared" si="1"/>
        <v>0.72899466666666668</v>
      </c>
      <c r="L36" s="20">
        <f t="shared" si="2"/>
        <v>6560952</v>
      </c>
      <c r="M36" s="20">
        <f t="shared" si="3"/>
        <v>1832216</v>
      </c>
      <c r="N36" s="27">
        <v>920192</v>
      </c>
      <c r="O36" s="22">
        <v>6560952</v>
      </c>
      <c r="P36" s="22">
        <v>985888</v>
      </c>
      <c r="Q36" s="22">
        <v>0</v>
      </c>
      <c r="R36" s="22">
        <v>846328</v>
      </c>
      <c r="S36" s="22">
        <v>4721712</v>
      </c>
      <c r="T36" s="22">
        <v>7024</v>
      </c>
      <c r="U36" s="28">
        <v>72.824779100000001</v>
      </c>
      <c r="V36" s="28">
        <v>74.429972199999995</v>
      </c>
      <c r="W36" s="28">
        <v>30.238132199999999</v>
      </c>
      <c r="X36" s="28">
        <v>38.805757399999997</v>
      </c>
      <c r="Y36" s="28">
        <v>38.6516442</v>
      </c>
      <c r="Z36" s="28">
        <v>48.108196200000002</v>
      </c>
      <c r="AA36" s="28">
        <v>28.676310399999998</v>
      </c>
      <c r="AB36" s="70">
        <v>484.34014500000001</v>
      </c>
      <c r="AC36" s="70">
        <v>3.804862</v>
      </c>
      <c r="AE36" s="69" t="str">
        <f t="shared" si="4"/>
        <v>·</v>
      </c>
      <c r="AF36" s="21" t="str">
        <f t="shared" si="5"/>
        <v>·</v>
      </c>
      <c r="AG36" s="20" t="str">
        <f t="shared" si="6"/>
        <v>.</v>
      </c>
      <c r="AH36" s="20" t="str">
        <f t="shared" si="7"/>
        <v>.</v>
      </c>
      <c r="AI36" s="27"/>
      <c r="AJ36" s="22"/>
      <c r="AK36" s="22"/>
      <c r="AL36" s="22"/>
      <c r="AM36" s="22"/>
      <c r="AN36" s="22"/>
      <c r="AO36" s="22"/>
      <c r="AP36" s="28"/>
      <c r="AQ36" s="28"/>
      <c r="AR36" s="28"/>
      <c r="AS36" s="28"/>
      <c r="AT36" s="28"/>
      <c r="AU36" s="28"/>
      <c r="AV36" s="28"/>
      <c r="AW36" s="70"/>
      <c r="AX36" s="70"/>
      <c r="AZ36" s="71"/>
      <c r="BA36" s="71"/>
      <c r="BB36" s="71"/>
      <c r="BC36" s="71"/>
      <c r="BD36" s="71"/>
      <c r="BE36" s="71"/>
      <c r="BF36" s="71"/>
      <c r="BH36" s="71"/>
      <c r="BI36" s="71"/>
      <c r="BJ36" s="71"/>
      <c r="BK36" s="71"/>
      <c r="BL36" s="71"/>
      <c r="BM36" s="71"/>
      <c r="BN36" s="71"/>
      <c r="BP36" s="71">
        <f t="shared" si="8"/>
        <v>0</v>
      </c>
      <c r="BQ36" s="71">
        <f t="shared" si="9"/>
        <v>0</v>
      </c>
      <c r="BR36" s="71">
        <f t="shared" si="10"/>
        <v>0</v>
      </c>
      <c r="BS36" s="71">
        <f t="shared" si="11"/>
        <v>0</v>
      </c>
      <c r="BT36" s="71">
        <f t="shared" si="12"/>
        <v>0</v>
      </c>
    </row>
    <row r="37" spans="1:72" ht="15" customHeight="1" outlineLevel="1" x14ac:dyDescent="0.25">
      <c r="A37" s="8"/>
      <c r="B37" s="8" t="s">
        <v>72</v>
      </c>
      <c r="C37" s="10" t="s">
        <v>424</v>
      </c>
      <c r="D37" s="8">
        <v>9000000</v>
      </c>
      <c r="E37" s="9">
        <v>12</v>
      </c>
      <c r="F37" s="10">
        <v>32</v>
      </c>
      <c r="G37" s="10">
        <v>30</v>
      </c>
      <c r="H37" s="10">
        <v>11</v>
      </c>
      <c r="J37" s="63">
        <f t="shared" si="0"/>
        <v>11.367112499999999</v>
      </c>
      <c r="K37" s="11">
        <f t="shared" si="1"/>
        <v>1.3472133333333334</v>
      </c>
      <c r="L37" s="10">
        <f t="shared" si="2"/>
        <v>12124920</v>
      </c>
      <c r="M37" s="10">
        <f t="shared" si="3"/>
        <v>2340880</v>
      </c>
      <c r="N37" s="25">
        <v>1841440</v>
      </c>
      <c r="O37" s="12">
        <v>12124920</v>
      </c>
      <c r="P37" s="12">
        <v>1675736</v>
      </c>
      <c r="Q37" s="12">
        <v>0</v>
      </c>
      <c r="R37" s="12">
        <v>665144</v>
      </c>
      <c r="S37" s="12">
        <v>9777000</v>
      </c>
      <c r="T37" s="12">
        <v>7040</v>
      </c>
      <c r="U37" s="26">
        <v>74.488499000000004</v>
      </c>
      <c r="V37" s="26">
        <v>76.268924600000005</v>
      </c>
      <c r="W37" s="26">
        <v>31.1589679</v>
      </c>
      <c r="X37" s="26">
        <v>39.018738599999999</v>
      </c>
      <c r="Y37" s="26">
        <v>39.194766899999998</v>
      </c>
      <c r="Z37" s="26">
        <v>49.108565200000001</v>
      </c>
      <c r="AA37" s="26">
        <v>30.0304036</v>
      </c>
      <c r="AB37" s="64">
        <v>3417.042418</v>
      </c>
      <c r="AC37" s="64">
        <v>50.721882000000001</v>
      </c>
      <c r="AE37" s="63" t="str">
        <f t="shared" si="4"/>
        <v>·</v>
      </c>
      <c r="AF37" s="11" t="str">
        <f t="shared" si="5"/>
        <v>·</v>
      </c>
      <c r="AG37" s="10" t="str">
        <f t="shared" si="6"/>
        <v>.</v>
      </c>
      <c r="AH37" s="10" t="str">
        <f t="shared" si="7"/>
        <v>.</v>
      </c>
      <c r="AI37" s="25"/>
      <c r="AJ37" s="12"/>
      <c r="AK37" s="12"/>
      <c r="AL37" s="12"/>
      <c r="AM37" s="12"/>
      <c r="AN37" s="12"/>
      <c r="AO37" s="12"/>
      <c r="AP37" s="26"/>
      <c r="AQ37" s="26"/>
      <c r="AR37" s="26"/>
      <c r="AS37" s="26"/>
      <c r="AT37" s="26"/>
      <c r="AU37" s="26"/>
      <c r="AV37" s="26"/>
      <c r="AW37" s="64"/>
      <c r="AX37" s="64"/>
      <c r="AZ37" s="65"/>
      <c r="BA37" s="65"/>
      <c r="BB37" s="65"/>
      <c r="BC37" s="65"/>
      <c r="BD37" s="65"/>
      <c r="BE37" s="65"/>
      <c r="BF37" s="65"/>
      <c r="BH37" s="65"/>
      <c r="BI37" s="65"/>
      <c r="BJ37" s="65"/>
      <c r="BK37" s="65"/>
      <c r="BL37" s="65"/>
      <c r="BM37" s="65"/>
      <c r="BN37" s="65"/>
      <c r="BP37" s="65">
        <f t="shared" si="8"/>
        <v>0</v>
      </c>
      <c r="BQ37" s="65">
        <f t="shared" si="9"/>
        <v>0</v>
      </c>
      <c r="BR37" s="65">
        <f t="shared" si="10"/>
        <v>0</v>
      </c>
      <c r="BS37" s="65">
        <f t="shared" si="11"/>
        <v>0</v>
      </c>
      <c r="BT37" s="65">
        <f t="shared" si="12"/>
        <v>0</v>
      </c>
    </row>
    <row r="38" spans="1:72" ht="15" customHeight="1" outlineLevel="1" x14ac:dyDescent="0.25">
      <c r="A38" s="18"/>
      <c r="B38" s="18" t="s">
        <v>72</v>
      </c>
      <c r="C38" s="20" t="s">
        <v>425</v>
      </c>
      <c r="D38" s="18">
        <v>9000000</v>
      </c>
      <c r="E38" s="19">
        <v>12</v>
      </c>
      <c r="F38" s="20">
        <v>32</v>
      </c>
      <c r="G38" s="20">
        <v>30</v>
      </c>
      <c r="H38" s="20">
        <v>16</v>
      </c>
      <c r="J38" s="69">
        <f t="shared" si="0"/>
        <v>16.567830000000001</v>
      </c>
      <c r="K38" s="21">
        <f t="shared" si="1"/>
        <v>1.9635946666666666</v>
      </c>
      <c r="L38" s="20">
        <f t="shared" si="2"/>
        <v>17672352</v>
      </c>
      <c r="M38" s="20">
        <f t="shared" si="3"/>
        <v>2983824</v>
      </c>
      <c r="N38" s="27">
        <v>1841440</v>
      </c>
      <c r="O38" s="22">
        <v>17672352</v>
      </c>
      <c r="P38" s="22">
        <v>1849472</v>
      </c>
      <c r="Q38" s="22">
        <v>0</v>
      </c>
      <c r="R38" s="22">
        <v>1134352</v>
      </c>
      <c r="S38" s="22">
        <v>14681488</v>
      </c>
      <c r="T38" s="22">
        <v>7040</v>
      </c>
      <c r="U38" s="28">
        <v>76.147575700000004</v>
      </c>
      <c r="V38" s="28">
        <v>78.169240700000003</v>
      </c>
      <c r="W38" s="28">
        <v>31.828979</v>
      </c>
      <c r="X38" s="28">
        <v>39.091364499999997</v>
      </c>
      <c r="Y38" s="28">
        <v>39.321328100000002</v>
      </c>
      <c r="Z38" s="28">
        <v>50.082192399999997</v>
      </c>
      <c r="AA38" s="28">
        <v>30.700318200000002</v>
      </c>
      <c r="AB38" s="70">
        <v>2911.5412369999999</v>
      </c>
      <c r="AC38" s="70">
        <v>34.391227000000001</v>
      </c>
      <c r="AE38" s="69" t="str">
        <f t="shared" si="4"/>
        <v>·</v>
      </c>
      <c r="AF38" s="21" t="str">
        <f t="shared" si="5"/>
        <v>·</v>
      </c>
      <c r="AG38" s="20" t="str">
        <f t="shared" si="6"/>
        <v>.</v>
      </c>
      <c r="AH38" s="20" t="str">
        <f t="shared" si="7"/>
        <v>.</v>
      </c>
      <c r="AI38" s="27"/>
      <c r="AJ38" s="22"/>
      <c r="AK38" s="22"/>
      <c r="AL38" s="22"/>
      <c r="AM38" s="22"/>
      <c r="AN38" s="22"/>
      <c r="AO38" s="22"/>
      <c r="AP38" s="28"/>
      <c r="AQ38" s="28"/>
      <c r="AR38" s="28"/>
      <c r="AS38" s="28"/>
      <c r="AT38" s="28"/>
      <c r="AU38" s="28"/>
      <c r="AV38" s="28"/>
      <c r="AW38" s="70"/>
      <c r="AX38" s="70"/>
      <c r="AZ38" s="71"/>
      <c r="BA38" s="71"/>
      <c r="BB38" s="71"/>
      <c r="BC38" s="71"/>
      <c r="BD38" s="71"/>
      <c r="BE38" s="71"/>
      <c r="BF38" s="71"/>
      <c r="BH38" s="71"/>
      <c r="BI38" s="71"/>
      <c r="BJ38" s="71"/>
      <c r="BK38" s="71"/>
      <c r="BL38" s="71"/>
      <c r="BM38" s="71"/>
      <c r="BN38" s="71"/>
      <c r="BP38" s="71">
        <f t="shared" si="8"/>
        <v>0</v>
      </c>
      <c r="BQ38" s="71">
        <f t="shared" si="9"/>
        <v>0</v>
      </c>
      <c r="BR38" s="71">
        <f t="shared" si="10"/>
        <v>0</v>
      </c>
      <c r="BS38" s="71">
        <f t="shared" si="11"/>
        <v>0</v>
      </c>
      <c r="BT38" s="71">
        <f t="shared" si="12"/>
        <v>0</v>
      </c>
    </row>
    <row r="39" spans="1:72" ht="15.75" customHeight="1" outlineLevel="1" thickBot="1" x14ac:dyDescent="0.3">
      <c r="A39" s="8"/>
      <c r="B39" s="29" t="s">
        <v>72</v>
      </c>
      <c r="C39" s="30" t="s">
        <v>426</v>
      </c>
      <c r="D39" s="29">
        <v>9000000</v>
      </c>
      <c r="E39" s="31">
        <v>12</v>
      </c>
      <c r="F39" s="30">
        <v>32</v>
      </c>
      <c r="G39" s="30">
        <v>30</v>
      </c>
      <c r="H39" s="30">
        <v>24</v>
      </c>
      <c r="J39" s="75">
        <f t="shared" si="0"/>
        <v>24.925987500000002</v>
      </c>
      <c r="K39" s="32">
        <f t="shared" si="1"/>
        <v>2.9541911111111112</v>
      </c>
      <c r="L39" s="30">
        <f t="shared" si="2"/>
        <v>26587720</v>
      </c>
      <c r="M39" s="30">
        <f t="shared" si="3"/>
        <v>4278520</v>
      </c>
      <c r="N39" s="33">
        <v>3683456</v>
      </c>
      <c r="O39" s="34">
        <v>26587720</v>
      </c>
      <c r="P39" s="34">
        <v>3245056</v>
      </c>
      <c r="Q39" s="34">
        <v>0</v>
      </c>
      <c r="R39" s="34">
        <v>1033464</v>
      </c>
      <c r="S39" s="34">
        <v>22301904</v>
      </c>
      <c r="T39" s="34">
        <v>7296</v>
      </c>
      <c r="U39" s="35">
        <v>78.573853799999995</v>
      </c>
      <c r="V39" s="35">
        <v>81.034579199999996</v>
      </c>
      <c r="W39" s="35">
        <v>32.683504200000002</v>
      </c>
      <c r="X39" s="35">
        <v>39.175278900000002</v>
      </c>
      <c r="Y39" s="35">
        <v>39.477752799999998</v>
      </c>
      <c r="Z39" s="35">
        <v>51.5441365</v>
      </c>
      <c r="AA39" s="35">
        <v>31.636294599999999</v>
      </c>
      <c r="AB39" s="76">
        <v>3969.7356420000001</v>
      </c>
      <c r="AC39" s="76">
        <v>53.998502000000002</v>
      </c>
      <c r="AE39" s="75" t="str">
        <f t="shared" si="4"/>
        <v>·</v>
      </c>
      <c r="AF39" s="32" t="str">
        <f t="shared" si="5"/>
        <v>·</v>
      </c>
      <c r="AG39" s="30" t="str">
        <f t="shared" si="6"/>
        <v>.</v>
      </c>
      <c r="AH39" s="30" t="str">
        <f t="shared" si="7"/>
        <v>.</v>
      </c>
      <c r="AI39" s="33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5"/>
      <c r="AW39" s="76"/>
      <c r="AX39" s="76"/>
      <c r="AZ39" s="77"/>
      <c r="BA39" s="77"/>
      <c r="BB39" s="77"/>
      <c r="BC39" s="77"/>
      <c r="BD39" s="77"/>
      <c r="BE39" s="77"/>
      <c r="BF39" s="77"/>
      <c r="BH39" s="77"/>
      <c r="BI39" s="77"/>
      <c r="BJ39" s="77"/>
      <c r="BK39" s="77"/>
      <c r="BL39" s="77"/>
      <c r="BM39" s="77"/>
      <c r="BN39" s="77"/>
      <c r="BP39" s="77">
        <f t="shared" si="8"/>
        <v>0</v>
      </c>
      <c r="BQ39" s="77">
        <f t="shared" si="9"/>
        <v>0</v>
      </c>
      <c r="BR39" s="77">
        <f t="shared" si="10"/>
        <v>0</v>
      </c>
      <c r="BS39" s="77">
        <f t="shared" si="11"/>
        <v>0</v>
      </c>
      <c r="BT39" s="77">
        <f t="shared" si="12"/>
        <v>0</v>
      </c>
    </row>
    <row r="40" spans="1:72" ht="15" customHeight="1" x14ac:dyDescent="0.25">
      <c r="A40" s="18"/>
      <c r="B40" s="18" t="s">
        <v>77</v>
      </c>
      <c r="C40" s="20" t="s">
        <v>422</v>
      </c>
      <c r="D40" s="18">
        <v>9000000</v>
      </c>
      <c r="E40" s="19">
        <v>12</v>
      </c>
      <c r="F40" s="20">
        <v>32</v>
      </c>
      <c r="G40" s="20">
        <v>30</v>
      </c>
      <c r="H40" s="20">
        <v>4</v>
      </c>
      <c r="J40" s="69">
        <f t="shared" si="0"/>
        <v>3.9720149999999999</v>
      </c>
      <c r="K40" s="21">
        <f t="shared" si="1"/>
        <v>0.47075733333333336</v>
      </c>
      <c r="L40" s="20">
        <f t="shared" si="2"/>
        <v>4236816</v>
      </c>
      <c r="M40" s="20">
        <f t="shared" si="3"/>
        <v>1200168</v>
      </c>
      <c r="N40" s="27">
        <v>459760</v>
      </c>
      <c r="O40" s="22">
        <v>4236816</v>
      </c>
      <c r="P40" s="22">
        <v>560584</v>
      </c>
      <c r="Q40" s="22">
        <v>0</v>
      </c>
      <c r="R40" s="22">
        <v>639584</v>
      </c>
      <c r="S40" s="22">
        <v>3029880</v>
      </c>
      <c r="T40" s="22">
        <v>6768</v>
      </c>
      <c r="U40" s="28">
        <v>70.088520200000005</v>
      </c>
      <c r="V40" s="28">
        <v>71.131651899999994</v>
      </c>
      <c r="W40" s="28">
        <v>32.4012867</v>
      </c>
      <c r="X40" s="28">
        <v>42.221381899999997</v>
      </c>
      <c r="Y40" s="28">
        <v>42.571627800000002</v>
      </c>
      <c r="Z40" s="28">
        <v>46.186053800000003</v>
      </c>
      <c r="AA40" s="28">
        <v>31.147309799999999</v>
      </c>
      <c r="AB40" s="70">
        <v>851.12577599999997</v>
      </c>
      <c r="AC40" s="70">
        <v>12.098825</v>
      </c>
      <c r="AE40" s="69" t="str">
        <f t="shared" si="4"/>
        <v>·</v>
      </c>
      <c r="AF40" s="21" t="str">
        <f t="shared" si="5"/>
        <v>·</v>
      </c>
      <c r="AG40" s="20" t="str">
        <f t="shared" si="6"/>
        <v>.</v>
      </c>
      <c r="AH40" s="20" t="str">
        <f t="shared" si="7"/>
        <v>.</v>
      </c>
      <c r="AI40" s="27"/>
      <c r="AJ40" s="22"/>
      <c r="AK40" s="22"/>
      <c r="AL40" s="22"/>
      <c r="AM40" s="22"/>
      <c r="AN40" s="22"/>
      <c r="AO40" s="22"/>
      <c r="AP40" s="28"/>
      <c r="AQ40" s="28"/>
      <c r="AR40" s="28"/>
      <c r="AS40" s="28"/>
      <c r="AT40" s="28"/>
      <c r="AU40" s="28"/>
      <c r="AV40" s="28"/>
      <c r="AW40" s="70"/>
      <c r="AX40" s="70"/>
      <c r="AZ40" s="71" t="str">
        <f t="array" ref="AZ40">IF( OR(AND(ISBLANK(L40:L44)),AND(ISBLANK(AG40:AG44)), AND(ISBLANK(U40:U44)),AND(ISBLANK(AP40:AP44))), "·", bdRateExtend( L40:L44,U40:U44, AG40:AG44,AP40:AP44))</f>
        <v>·</v>
      </c>
      <c r="BA40" s="71" t="str">
        <f t="array" ref="BA40">IF( OR(AND(ISBLANK(L40:L44)),AND(ISBLANK(AG40:AG44)), AND(ISBLANK(V40:V44)),AND(ISBLANK(AQ40:AQ44))), "·", bdRateExtend( L40:L44,V40:V44, AG40:AG44,AQ40:AQ44))</f>
        <v>·</v>
      </c>
      <c r="BB40" s="71" t="str">
        <f t="array" ref="BB40">IF( OR(AND(ISBLANK(L40:L44)),AND(ISBLANK(AG40:AG44)), AND(ISBLANK(W40:W44)),AND(ISBLANK(AR40:AR44))), "·", bdRateExtend( L40:L44,W40:W44, AG40:AG44,AR40:AR44))</f>
        <v>·</v>
      </c>
      <c r="BC40" s="71" t="str">
        <f t="array" ref="BC40">IF( OR(AND(ISBLANK(L40:L44)),AND(ISBLANK(AG40:AG44)), AND(ISBLANK(X40:X44)),AND(ISBLANK(AS40:AS44))), "·", bdRateExtend( L40:L44,X40:X44, AG40:AG44,AS40:AS44))</f>
        <v>·</v>
      </c>
      <c r="BD40" s="71" t="str">
        <f t="array" ref="BD40">IF( OR(AND(ISBLANK(L40:L44)),AND(ISBLANK(AG40:AG44)), AND(ISBLANK(Y40:Y44)),AND(ISBLANK(AT40:AT44))), "·", bdRateExtend( L40:L44,Y40:Y44, AG40:AG44,AT40:AT44))</f>
        <v>·</v>
      </c>
      <c r="BE40" s="71" t="str">
        <f t="array" ref="BE40">IF( OR(AND(ISBLANK(L40:L44)),AND(ISBLANK(AG40:AG44)), AND(ISBLANK(Z40:Z44)),AND(ISBLANK(AU40:AU44))), "·", bdRateExtend( L40:L44,Z40:Z44, AG40:AG44,AU40:AU44))</f>
        <v>·</v>
      </c>
      <c r="BF40" s="71" t="str">
        <f t="array" ref="BF40">IF( OR(AND(ISBLANK(L40:L44)),AND(ISBLANK(AG40:AG44)), AND(ISBLANK(AA40:AA44)),AND(ISBLANK(AV40:AV44))), "·", bdRateExtend( L40:L44,AA40:AA44, AG40:AG44,AV40:AV44))</f>
        <v>·</v>
      </c>
      <c r="BH40" s="71" t="str">
        <f t="array" ref="BH40">IF( OR(AND(ISBLANK(M40:M44)),AND(ISBLANK(AH40:AH44)), AND(ISBLANK(U40:U44)),AND(ISBLANK(AP40:AP44))), "·", bdRateExtend( M40:M44,U40:U44, AH40:AH44,AP40:AP44))</f>
        <v>·</v>
      </c>
      <c r="BI40" s="71" t="str">
        <f t="array" ref="BI40">IF( OR(AND(ISBLANK(M40:M44)),AND(ISBLANK(AH40:AH44)), AND(ISBLANK(V40:V44)),AND(ISBLANK(AQ40:AQ44))), "·", bdRateExtend( M40:M44,V40:V44, AH40:AH44,AQ40:AQ44))</f>
        <v>·</v>
      </c>
      <c r="BJ40" s="71" t="str">
        <f t="array" ref="BJ40">IF( OR(AND(ISBLANK(S40:S44)),AND(ISBLANK(AN40:AN44)), AND(ISBLANK(W40:W44)),AND(ISBLANK(AR40:AR44))), "·", bdRateExtend( S40:S44,W40:W44, AN40:AN44,AR40:AR44))</f>
        <v>·</v>
      </c>
      <c r="BK40" s="71" t="str">
        <f t="array" ref="BK40">IF( OR(AND(ISBLANK(S40:S44)),AND(ISBLANK(AN40:AN44)), AND(ISBLANK(X40:X44)),AND(ISBLANK(AS40:AS44))), "·", bdRateExtend( S40:S44,X40:X44, AN40:AN44,AS40:AS44))</f>
        <v>·</v>
      </c>
      <c r="BL40" s="71" t="str">
        <f t="array" ref="BL40">IF( OR(AND(ISBLANK(S40:S44)),AND(ISBLANK(AN40:AN44)), AND(ISBLANK(Y40:Y44)),AND(ISBLANK(AT40:AT44))), "·", bdRateExtend( S40:S44,Y40:Y44, AN40:AN44,AT40:AT44))</f>
        <v>·</v>
      </c>
      <c r="BM40" s="71" t="str">
        <f t="array" ref="BM40">IF( OR(AND(ISBLANK(M40:M44)),AND(ISBLANK(AH40:AH44)), AND(ISBLANK(Z40:Z44)),AND(ISBLANK(AU40:AU44))), "·", bdRateExtend( M40:M44,Z40:Z44, AH40:AH44,AU40:AU44))</f>
        <v>·</v>
      </c>
      <c r="BN40" s="71" t="str">
        <f t="array" ref="BN40">IF( OR(AND(ISBLANK(S40:S44)),AND(ISBLANK(AN40:AN44)), AND(ISBLANK(AA40:AA44)),AND(ISBLANK(AV40:AV44))), "·", bdRateExtend( S40:S44,AA40:AA44, AN40:AN44,AV40:AV44))</f>
        <v>·</v>
      </c>
      <c r="BP40" s="71">
        <f t="shared" si="8"/>
        <v>0</v>
      </c>
      <c r="BQ40" s="71">
        <f t="shared" si="9"/>
        <v>0</v>
      </c>
      <c r="BR40" s="71">
        <f t="shared" si="10"/>
        <v>0</v>
      </c>
      <c r="BS40" s="71">
        <f t="shared" si="11"/>
        <v>0</v>
      </c>
      <c r="BT40" s="71">
        <f t="shared" si="12"/>
        <v>0</v>
      </c>
    </row>
    <row r="41" spans="1:72" ht="15" customHeight="1" outlineLevel="1" x14ac:dyDescent="0.25">
      <c r="A41" s="8"/>
      <c r="B41" s="8" t="s">
        <v>77</v>
      </c>
      <c r="C41" s="10" t="s">
        <v>423</v>
      </c>
      <c r="D41" s="8">
        <v>9000000</v>
      </c>
      <c r="E41" s="9">
        <v>12</v>
      </c>
      <c r="F41" s="10">
        <v>32</v>
      </c>
      <c r="G41" s="10">
        <v>30</v>
      </c>
      <c r="H41" s="10">
        <v>6</v>
      </c>
      <c r="J41" s="63">
        <f t="shared" si="0"/>
        <v>6.0553499999999998</v>
      </c>
      <c r="K41" s="11">
        <f t="shared" si="1"/>
        <v>0.71767111111111115</v>
      </c>
      <c r="L41" s="10">
        <f t="shared" si="2"/>
        <v>6459040</v>
      </c>
      <c r="M41" s="10">
        <f t="shared" si="3"/>
        <v>1286824</v>
      </c>
      <c r="N41" s="25">
        <v>459760</v>
      </c>
      <c r="O41" s="12">
        <v>6459040</v>
      </c>
      <c r="P41" s="12">
        <v>605944</v>
      </c>
      <c r="Q41" s="12">
        <v>0</v>
      </c>
      <c r="R41" s="12">
        <v>680880</v>
      </c>
      <c r="S41" s="12">
        <v>5165432</v>
      </c>
      <c r="T41" s="12">
        <v>6784</v>
      </c>
      <c r="U41" s="26">
        <v>70.263033300000004</v>
      </c>
      <c r="V41" s="26">
        <v>71.316923299999999</v>
      </c>
      <c r="W41" s="26">
        <v>32.9904875</v>
      </c>
      <c r="X41" s="26">
        <v>42.5027629</v>
      </c>
      <c r="Y41" s="26">
        <v>42.850951199999997</v>
      </c>
      <c r="Z41" s="26">
        <v>46.200781800000001</v>
      </c>
      <c r="AA41" s="26">
        <v>31.427180700000001</v>
      </c>
      <c r="AB41" s="64">
        <v>2656.7085470000002</v>
      </c>
      <c r="AC41" s="64">
        <v>34.034981999999999</v>
      </c>
      <c r="AE41" s="63" t="str">
        <f t="shared" si="4"/>
        <v>·</v>
      </c>
      <c r="AF41" s="11" t="str">
        <f t="shared" si="5"/>
        <v>·</v>
      </c>
      <c r="AG41" s="10" t="str">
        <f t="shared" si="6"/>
        <v>.</v>
      </c>
      <c r="AH41" s="10" t="str">
        <f t="shared" si="7"/>
        <v>.</v>
      </c>
      <c r="AI41" s="25"/>
      <c r="AJ41" s="12"/>
      <c r="AK41" s="12"/>
      <c r="AL41" s="12"/>
      <c r="AM41" s="12"/>
      <c r="AN41" s="12"/>
      <c r="AO41" s="12"/>
      <c r="AP41" s="26"/>
      <c r="AQ41" s="26"/>
      <c r="AR41" s="26"/>
      <c r="AS41" s="26"/>
      <c r="AT41" s="26"/>
      <c r="AU41" s="26"/>
      <c r="AV41" s="26"/>
      <c r="AW41" s="64"/>
      <c r="AX41" s="64"/>
      <c r="AZ41" s="65"/>
      <c r="BA41" s="65"/>
      <c r="BB41" s="65"/>
      <c r="BC41" s="65"/>
      <c r="BD41" s="65"/>
      <c r="BE41" s="65"/>
      <c r="BF41" s="65"/>
      <c r="BH41" s="65"/>
      <c r="BI41" s="65"/>
      <c r="BJ41" s="65"/>
      <c r="BK41" s="65"/>
      <c r="BL41" s="65"/>
      <c r="BM41" s="65"/>
      <c r="BN41" s="65"/>
      <c r="BP41" s="65">
        <f t="shared" si="8"/>
        <v>0</v>
      </c>
      <c r="BQ41" s="65">
        <f t="shared" si="9"/>
        <v>0</v>
      </c>
      <c r="BR41" s="65">
        <f t="shared" si="10"/>
        <v>0</v>
      </c>
      <c r="BS41" s="65">
        <f t="shared" si="11"/>
        <v>0</v>
      </c>
      <c r="BT41" s="65">
        <f t="shared" si="12"/>
        <v>0</v>
      </c>
    </row>
    <row r="42" spans="1:72" ht="15" customHeight="1" outlineLevel="1" x14ac:dyDescent="0.25">
      <c r="A42" s="18"/>
      <c r="B42" s="18" t="s">
        <v>77</v>
      </c>
      <c r="C42" s="20" t="s">
        <v>424</v>
      </c>
      <c r="D42" s="18">
        <v>9000000</v>
      </c>
      <c r="E42" s="19">
        <v>12</v>
      </c>
      <c r="F42" s="20">
        <v>32</v>
      </c>
      <c r="G42" s="20">
        <v>30</v>
      </c>
      <c r="H42" s="20">
        <v>11</v>
      </c>
      <c r="J42" s="69">
        <f t="shared" si="0"/>
        <v>11.356222499999999</v>
      </c>
      <c r="K42" s="21">
        <f t="shared" si="1"/>
        <v>1.3459226666666666</v>
      </c>
      <c r="L42" s="20">
        <f t="shared" si="2"/>
        <v>12113304</v>
      </c>
      <c r="M42" s="20">
        <f t="shared" si="3"/>
        <v>2463968</v>
      </c>
      <c r="N42" s="27">
        <v>1842080</v>
      </c>
      <c r="O42" s="22">
        <v>12113304</v>
      </c>
      <c r="P42" s="22">
        <v>1627192</v>
      </c>
      <c r="Q42" s="22">
        <v>0</v>
      </c>
      <c r="R42" s="22">
        <v>836776</v>
      </c>
      <c r="S42" s="22">
        <v>9642296</v>
      </c>
      <c r="T42" s="22">
        <v>7040</v>
      </c>
      <c r="U42" s="28">
        <v>75.6246352</v>
      </c>
      <c r="V42" s="28">
        <v>77.363060200000007</v>
      </c>
      <c r="W42" s="28">
        <v>34.149438600000003</v>
      </c>
      <c r="X42" s="28">
        <v>42.8375992</v>
      </c>
      <c r="Y42" s="28">
        <v>43.357604100000003</v>
      </c>
      <c r="Z42" s="28">
        <v>50.157144000000002</v>
      </c>
      <c r="AA42" s="28">
        <v>33.187555699999997</v>
      </c>
      <c r="AB42" s="70">
        <v>2793.3756509999998</v>
      </c>
      <c r="AC42" s="70">
        <v>50.743572</v>
      </c>
      <c r="AE42" s="69" t="str">
        <f t="shared" si="4"/>
        <v>·</v>
      </c>
      <c r="AF42" s="21" t="str">
        <f t="shared" si="5"/>
        <v>·</v>
      </c>
      <c r="AG42" s="20" t="str">
        <f t="shared" si="6"/>
        <v>.</v>
      </c>
      <c r="AH42" s="20" t="str">
        <f t="shared" si="7"/>
        <v>.</v>
      </c>
      <c r="AI42" s="27"/>
      <c r="AJ42" s="22"/>
      <c r="AK42" s="22"/>
      <c r="AL42" s="22"/>
      <c r="AM42" s="22"/>
      <c r="AN42" s="22"/>
      <c r="AO42" s="22"/>
      <c r="AP42" s="28"/>
      <c r="AQ42" s="28"/>
      <c r="AR42" s="28"/>
      <c r="AS42" s="28"/>
      <c r="AT42" s="28"/>
      <c r="AU42" s="28"/>
      <c r="AV42" s="28"/>
      <c r="AW42" s="70"/>
      <c r="AX42" s="70"/>
      <c r="AZ42" s="71"/>
      <c r="BA42" s="71"/>
      <c r="BB42" s="71"/>
      <c r="BC42" s="71"/>
      <c r="BD42" s="71"/>
      <c r="BE42" s="71"/>
      <c r="BF42" s="71"/>
      <c r="BH42" s="71"/>
      <c r="BI42" s="71"/>
      <c r="BJ42" s="71"/>
      <c r="BK42" s="71"/>
      <c r="BL42" s="71"/>
      <c r="BM42" s="71"/>
      <c r="BN42" s="71"/>
      <c r="BP42" s="71">
        <f t="shared" si="8"/>
        <v>0</v>
      </c>
      <c r="BQ42" s="71">
        <f t="shared" si="9"/>
        <v>0</v>
      </c>
      <c r="BR42" s="71">
        <f t="shared" si="10"/>
        <v>0</v>
      </c>
      <c r="BS42" s="71">
        <f t="shared" si="11"/>
        <v>0</v>
      </c>
      <c r="BT42" s="71">
        <f t="shared" si="12"/>
        <v>0</v>
      </c>
    </row>
    <row r="43" spans="1:72" ht="15" customHeight="1" outlineLevel="1" x14ac:dyDescent="0.25">
      <c r="A43" s="8"/>
      <c r="B43" s="8" t="s">
        <v>77</v>
      </c>
      <c r="C43" s="10" t="s">
        <v>425</v>
      </c>
      <c r="D43" s="8">
        <v>9000000</v>
      </c>
      <c r="E43" s="9">
        <v>12</v>
      </c>
      <c r="F43" s="10">
        <v>32</v>
      </c>
      <c r="G43" s="10">
        <v>30</v>
      </c>
      <c r="H43" s="10">
        <v>16</v>
      </c>
      <c r="J43" s="63">
        <f t="shared" si="0"/>
        <v>16.6027275</v>
      </c>
      <c r="K43" s="11">
        <f t="shared" si="1"/>
        <v>1.9677306666666667</v>
      </c>
      <c r="L43" s="10">
        <f t="shared" si="2"/>
        <v>17709576</v>
      </c>
      <c r="M43" s="10">
        <f t="shared" si="3"/>
        <v>2867064</v>
      </c>
      <c r="N43" s="25">
        <v>1842080</v>
      </c>
      <c r="O43" s="12">
        <v>17709576</v>
      </c>
      <c r="P43" s="12">
        <v>1800664</v>
      </c>
      <c r="Q43" s="12">
        <v>0</v>
      </c>
      <c r="R43" s="12">
        <v>1066400</v>
      </c>
      <c r="S43" s="12">
        <v>14835472</v>
      </c>
      <c r="T43" s="12">
        <v>7040</v>
      </c>
      <c r="U43" s="26">
        <v>76.508919300000002</v>
      </c>
      <c r="V43" s="26">
        <v>78.383438799999993</v>
      </c>
      <c r="W43" s="26">
        <v>34.828046999999998</v>
      </c>
      <c r="X43" s="26">
        <v>42.959539200000002</v>
      </c>
      <c r="Y43" s="26">
        <v>43.547751099999999</v>
      </c>
      <c r="Z43" s="26">
        <v>50.624193099999999</v>
      </c>
      <c r="AA43" s="26">
        <v>33.750894000000002</v>
      </c>
      <c r="AB43" s="64">
        <v>2638.9409799999999</v>
      </c>
      <c r="AC43" s="64">
        <v>51.072324000000002</v>
      </c>
      <c r="AE43" s="63" t="str">
        <f t="shared" si="4"/>
        <v>·</v>
      </c>
      <c r="AF43" s="11" t="str">
        <f t="shared" si="5"/>
        <v>·</v>
      </c>
      <c r="AG43" s="10" t="str">
        <f t="shared" si="6"/>
        <v>.</v>
      </c>
      <c r="AH43" s="10" t="str">
        <f t="shared" si="7"/>
        <v>.</v>
      </c>
      <c r="AI43" s="25"/>
      <c r="AJ43" s="12"/>
      <c r="AK43" s="12"/>
      <c r="AL43" s="12"/>
      <c r="AM43" s="12"/>
      <c r="AN43" s="12"/>
      <c r="AO43" s="12"/>
      <c r="AP43" s="26"/>
      <c r="AQ43" s="26"/>
      <c r="AR43" s="26"/>
      <c r="AS43" s="26"/>
      <c r="AT43" s="26"/>
      <c r="AU43" s="26"/>
      <c r="AV43" s="26"/>
      <c r="AW43" s="64"/>
      <c r="AX43" s="64"/>
      <c r="AZ43" s="65"/>
      <c r="BA43" s="65"/>
      <c r="BB43" s="65"/>
      <c r="BC43" s="65"/>
      <c r="BD43" s="65"/>
      <c r="BE43" s="65"/>
      <c r="BF43" s="65"/>
      <c r="BH43" s="65"/>
      <c r="BI43" s="65"/>
      <c r="BJ43" s="65"/>
      <c r="BK43" s="65"/>
      <c r="BL43" s="65"/>
      <c r="BM43" s="65"/>
      <c r="BN43" s="65"/>
      <c r="BP43" s="65">
        <f t="shared" si="8"/>
        <v>0</v>
      </c>
      <c r="BQ43" s="65">
        <f t="shared" si="9"/>
        <v>0</v>
      </c>
      <c r="BR43" s="65">
        <f t="shared" si="10"/>
        <v>0</v>
      </c>
      <c r="BS43" s="65">
        <f t="shared" si="11"/>
        <v>0</v>
      </c>
      <c r="BT43" s="65">
        <f t="shared" si="12"/>
        <v>0</v>
      </c>
    </row>
    <row r="44" spans="1:72" ht="15.75" customHeight="1" outlineLevel="1" thickBot="1" x14ac:dyDescent="0.3">
      <c r="A44" s="13"/>
      <c r="B44" s="13" t="s">
        <v>77</v>
      </c>
      <c r="C44" s="15" t="s">
        <v>426</v>
      </c>
      <c r="D44" s="13">
        <v>9000000</v>
      </c>
      <c r="E44" s="14">
        <v>12</v>
      </c>
      <c r="F44" s="15">
        <v>32</v>
      </c>
      <c r="G44" s="15">
        <v>30</v>
      </c>
      <c r="H44" s="15">
        <v>24</v>
      </c>
      <c r="J44" s="66">
        <f t="shared" si="0"/>
        <v>25.030462499999999</v>
      </c>
      <c r="K44" s="16">
        <f t="shared" si="1"/>
        <v>2.9665733333333333</v>
      </c>
      <c r="L44" s="15">
        <f t="shared" si="2"/>
        <v>26699160</v>
      </c>
      <c r="M44" s="15">
        <f t="shared" si="3"/>
        <v>4076440</v>
      </c>
      <c r="N44" s="36">
        <v>3684832</v>
      </c>
      <c r="O44" s="17">
        <v>26699160</v>
      </c>
      <c r="P44" s="17">
        <v>2813368</v>
      </c>
      <c r="Q44" s="17">
        <v>0</v>
      </c>
      <c r="R44" s="17">
        <v>1263072</v>
      </c>
      <c r="S44" s="17">
        <v>22615424</v>
      </c>
      <c r="T44" s="17">
        <v>7296</v>
      </c>
      <c r="U44" s="37">
        <v>79.043244799999997</v>
      </c>
      <c r="V44" s="37">
        <v>81.457322500000004</v>
      </c>
      <c r="W44" s="37">
        <v>35.730381800000004</v>
      </c>
      <c r="X44" s="37">
        <v>43.104199800000004</v>
      </c>
      <c r="Y44" s="37">
        <v>43.768146700000003</v>
      </c>
      <c r="Z44" s="37">
        <v>52.181778700000002</v>
      </c>
      <c r="AA44" s="37">
        <v>34.814211899999997</v>
      </c>
      <c r="AB44" s="67">
        <v>3402.7097330000001</v>
      </c>
      <c r="AC44" s="67">
        <v>29.495573</v>
      </c>
      <c r="AE44" s="66" t="str">
        <f t="shared" si="4"/>
        <v>·</v>
      </c>
      <c r="AF44" s="16" t="str">
        <f t="shared" si="5"/>
        <v>·</v>
      </c>
      <c r="AG44" s="15" t="str">
        <f t="shared" si="6"/>
        <v>.</v>
      </c>
      <c r="AH44" s="15" t="str">
        <f t="shared" si="7"/>
        <v>.</v>
      </c>
      <c r="AI44" s="36"/>
      <c r="AJ44" s="17"/>
      <c r="AK44" s="17"/>
      <c r="AL44" s="17"/>
      <c r="AM44" s="17"/>
      <c r="AN44" s="17"/>
      <c r="AO44" s="17"/>
      <c r="AP44" s="37"/>
      <c r="AQ44" s="37"/>
      <c r="AR44" s="37"/>
      <c r="AS44" s="37"/>
      <c r="AT44" s="37"/>
      <c r="AU44" s="37"/>
      <c r="AV44" s="37"/>
      <c r="AW44" s="67"/>
      <c r="AX44" s="67"/>
      <c r="AZ44" s="68"/>
      <c r="BA44" s="68"/>
      <c r="BB44" s="68"/>
      <c r="BC44" s="68"/>
      <c r="BD44" s="68"/>
      <c r="BE44" s="68"/>
      <c r="BF44" s="68"/>
      <c r="BH44" s="68"/>
      <c r="BI44" s="68"/>
      <c r="BJ44" s="68"/>
      <c r="BK44" s="68"/>
      <c r="BL44" s="68"/>
      <c r="BM44" s="68"/>
      <c r="BN44" s="68"/>
      <c r="BP44" s="68">
        <f t="shared" si="8"/>
        <v>0</v>
      </c>
      <c r="BQ44" s="68">
        <f t="shared" si="9"/>
        <v>0</v>
      </c>
      <c r="BR44" s="68">
        <f t="shared" si="10"/>
        <v>0</v>
      </c>
      <c r="BS44" s="68">
        <f t="shared" si="11"/>
        <v>0</v>
      </c>
      <c r="BT44" s="68">
        <f t="shared" si="12"/>
        <v>0</v>
      </c>
    </row>
    <row r="45" spans="1:72" x14ac:dyDescent="0.25">
      <c r="B45" s="23" t="s">
        <v>7</v>
      </c>
      <c r="K45" s="24">
        <f>AVERAGE(K5:K14)</f>
        <v>1.3307569090934956</v>
      </c>
      <c r="L45" s="24"/>
      <c r="M45" s="24"/>
      <c r="AF45" s="24" t="e">
        <f>AVERAGE(AF5:AF14)</f>
        <v>#DIV/0!</v>
      </c>
      <c r="AG45" s="24"/>
      <c r="AH45" s="24"/>
      <c r="AZ45" s="61" t="e">
        <f t="shared" ref="AZ45:BF45" si="13">AVERAGE(AZ5:AZ14)</f>
        <v>#DIV/0!</v>
      </c>
      <c r="BA45" s="61" t="e">
        <f t="shared" si="13"/>
        <v>#DIV/0!</v>
      </c>
      <c r="BB45" s="61" t="e">
        <f t="shared" si="13"/>
        <v>#DIV/0!</v>
      </c>
      <c r="BC45" s="61" t="e">
        <f t="shared" si="13"/>
        <v>#DIV/0!</v>
      </c>
      <c r="BD45" s="61" t="e">
        <f t="shared" si="13"/>
        <v>#DIV/0!</v>
      </c>
      <c r="BE45" s="61" t="e">
        <f t="shared" si="13"/>
        <v>#DIV/0!</v>
      </c>
      <c r="BF45" s="61" t="e">
        <f t="shared" si="13"/>
        <v>#DIV/0!</v>
      </c>
      <c r="BH45" s="61" t="e">
        <f t="shared" ref="BH45:BN45" si="14">AVERAGE(BH5:BH14)</f>
        <v>#DIV/0!</v>
      </c>
      <c r="BI45" s="61" t="e">
        <f t="shared" si="14"/>
        <v>#DIV/0!</v>
      </c>
      <c r="BJ45" s="61" t="e">
        <f t="shared" si="14"/>
        <v>#DIV/0!</v>
      </c>
      <c r="BK45" s="61" t="e">
        <f t="shared" si="14"/>
        <v>#DIV/0!</v>
      </c>
      <c r="BL45" s="61" t="e">
        <f t="shared" si="14"/>
        <v>#DIV/0!</v>
      </c>
      <c r="BM45" s="61" t="e">
        <f t="shared" si="14"/>
        <v>#DIV/0!</v>
      </c>
      <c r="BN45" s="61" t="e">
        <f t="shared" si="14"/>
        <v>#DIV/0!</v>
      </c>
      <c r="BP45" s="61">
        <f>AVERAGE(BP5:BP14)</f>
        <v>0</v>
      </c>
      <c r="BQ45" s="61">
        <f>AVERAGE(BQ5:BQ14)</f>
        <v>0</v>
      </c>
      <c r="BR45" s="61">
        <f>AVERAGE(BR5:BR14)</f>
        <v>0</v>
      </c>
      <c r="BS45" s="61">
        <f>AVERAGE(BS5:BS14)</f>
        <v>0</v>
      </c>
      <c r="BT45" s="61">
        <f>AVERAGE(BT5:BT14)</f>
        <v>0</v>
      </c>
    </row>
    <row r="46" spans="1:72" x14ac:dyDescent="0.25">
      <c r="B46" s="23" t="s">
        <v>8</v>
      </c>
      <c r="K46" s="24">
        <f>AVERAGE(K15:K24)</f>
        <v>0.97268031316053793</v>
      </c>
      <c r="L46" s="24"/>
      <c r="M46" s="24"/>
      <c r="AF46" s="24" t="e">
        <f>AVERAGE(AF15:AF24)</f>
        <v>#DIV/0!</v>
      </c>
      <c r="AG46" s="24"/>
      <c r="AH46" s="24"/>
      <c r="AZ46" s="61" t="e">
        <f t="shared" ref="AZ46:BF46" si="15">AVERAGE(AZ15:AZ24)</f>
        <v>#DIV/0!</v>
      </c>
      <c r="BA46" s="61" t="e">
        <f t="shared" si="15"/>
        <v>#DIV/0!</v>
      </c>
      <c r="BB46" s="61" t="e">
        <f t="shared" si="15"/>
        <v>#DIV/0!</v>
      </c>
      <c r="BC46" s="61" t="e">
        <f t="shared" si="15"/>
        <v>#DIV/0!</v>
      </c>
      <c r="BD46" s="61" t="e">
        <f t="shared" si="15"/>
        <v>#DIV/0!</v>
      </c>
      <c r="BE46" s="61" t="e">
        <f t="shared" si="15"/>
        <v>#DIV/0!</v>
      </c>
      <c r="BF46" s="61" t="e">
        <f t="shared" si="15"/>
        <v>#DIV/0!</v>
      </c>
      <c r="BH46" s="61" t="e">
        <f t="shared" ref="BH46:BN46" si="16">AVERAGE(BH15:BH24)</f>
        <v>#DIV/0!</v>
      </c>
      <c r="BI46" s="61" t="e">
        <f t="shared" si="16"/>
        <v>#DIV/0!</v>
      </c>
      <c r="BJ46" s="61" t="e">
        <f t="shared" si="16"/>
        <v>#DIV/0!</v>
      </c>
      <c r="BK46" s="61" t="e">
        <f t="shared" si="16"/>
        <v>#DIV/0!</v>
      </c>
      <c r="BL46" s="61" t="e">
        <f t="shared" si="16"/>
        <v>#DIV/0!</v>
      </c>
      <c r="BM46" s="61" t="e">
        <f t="shared" si="16"/>
        <v>#DIV/0!</v>
      </c>
      <c r="BN46" s="61" t="e">
        <f t="shared" si="16"/>
        <v>#DIV/0!</v>
      </c>
      <c r="BP46" s="61">
        <f>AVERAGE(BP15:BP24)</f>
        <v>0</v>
      </c>
      <c r="BQ46" s="61">
        <f>AVERAGE(BQ15:BQ24)</f>
        <v>0</v>
      </c>
      <c r="BR46" s="61">
        <f>AVERAGE(BR15:BR24)</f>
        <v>0</v>
      </c>
      <c r="BS46" s="61">
        <f>AVERAGE(BS15:BS24)</f>
        <v>0</v>
      </c>
      <c r="BT46" s="61">
        <f>AVERAGE(BT15:BT24)</f>
        <v>0</v>
      </c>
    </row>
    <row r="47" spans="1:72" x14ac:dyDescent="0.25">
      <c r="B47" s="23" t="s">
        <v>9</v>
      </c>
      <c r="K47" s="24">
        <f>AVERAGE(K25:K44)</f>
        <v>1.6495814464027769</v>
      </c>
      <c r="L47" s="24"/>
      <c r="M47" s="24"/>
      <c r="AF47" s="24" t="e">
        <f>AVERAGE(AF25:AF44)</f>
        <v>#DIV/0!</v>
      </c>
      <c r="AG47" s="24"/>
      <c r="AH47" s="24"/>
      <c r="AZ47" s="61" t="e">
        <f t="shared" ref="AZ47:BF47" si="17">AVERAGE(AZ25:AZ44)</f>
        <v>#DIV/0!</v>
      </c>
      <c r="BA47" s="61" t="e">
        <f t="shared" si="17"/>
        <v>#DIV/0!</v>
      </c>
      <c r="BB47" s="61" t="e">
        <f t="shared" si="17"/>
        <v>#DIV/0!</v>
      </c>
      <c r="BC47" s="61" t="e">
        <f t="shared" si="17"/>
        <v>#DIV/0!</v>
      </c>
      <c r="BD47" s="61" t="e">
        <f t="shared" si="17"/>
        <v>#DIV/0!</v>
      </c>
      <c r="BE47" s="61" t="e">
        <f t="shared" si="17"/>
        <v>#DIV/0!</v>
      </c>
      <c r="BF47" s="61" t="e">
        <f t="shared" si="17"/>
        <v>#DIV/0!</v>
      </c>
      <c r="BH47" s="61" t="e">
        <f t="shared" ref="BH47:BN47" si="18">AVERAGE(BH25:BH44)</f>
        <v>#DIV/0!</v>
      </c>
      <c r="BI47" s="61" t="e">
        <f t="shared" si="18"/>
        <v>#DIV/0!</v>
      </c>
      <c r="BJ47" s="61" t="e">
        <f t="shared" si="18"/>
        <v>#DIV/0!</v>
      </c>
      <c r="BK47" s="61" t="e">
        <f t="shared" si="18"/>
        <v>#DIV/0!</v>
      </c>
      <c r="BL47" s="61" t="e">
        <f t="shared" si="18"/>
        <v>#DIV/0!</v>
      </c>
      <c r="BM47" s="61" t="e">
        <f t="shared" si="18"/>
        <v>#DIV/0!</v>
      </c>
      <c r="BN47" s="61" t="e">
        <f t="shared" si="18"/>
        <v>#DIV/0!</v>
      </c>
      <c r="BP47" s="61">
        <f>AVERAGE(BP25:BP44)</f>
        <v>0</v>
      </c>
      <c r="BQ47" s="61">
        <f>AVERAGE(BQ25:BQ44)</f>
        <v>0</v>
      </c>
      <c r="BR47" s="61">
        <f>AVERAGE(BR25:BR44)</f>
        <v>0</v>
      </c>
      <c r="BS47" s="61">
        <f>AVERAGE(BS25:BS44)</f>
        <v>0</v>
      </c>
      <c r="BT47" s="61">
        <f>AVERAGE(BT25:BT44)</f>
        <v>0</v>
      </c>
    </row>
    <row r="48" spans="1:72" x14ac:dyDescent="0.25">
      <c r="B48" s="23" t="s">
        <v>10</v>
      </c>
      <c r="K48" s="24">
        <f>AVERAGE(K5:K44)</f>
        <v>1.4006500287648971</v>
      </c>
      <c r="L48" s="24"/>
      <c r="M48" s="24"/>
      <c r="AF48" s="24" t="e">
        <f>AVERAGE(AF5:AF44)</f>
        <v>#DIV/0!</v>
      </c>
      <c r="AG48" s="24"/>
      <c r="AH48" s="24"/>
      <c r="AJ48" s="48"/>
      <c r="AK48" s="48"/>
      <c r="AZ48" s="61" t="e">
        <f t="shared" ref="AZ48:BF48" si="19">AVERAGE(AZ5:AZ44)</f>
        <v>#DIV/0!</v>
      </c>
      <c r="BA48" s="61" t="e">
        <f t="shared" si="19"/>
        <v>#DIV/0!</v>
      </c>
      <c r="BB48" s="61" t="e">
        <f t="shared" si="19"/>
        <v>#DIV/0!</v>
      </c>
      <c r="BC48" s="61" t="e">
        <f t="shared" si="19"/>
        <v>#DIV/0!</v>
      </c>
      <c r="BD48" s="61" t="e">
        <f t="shared" si="19"/>
        <v>#DIV/0!</v>
      </c>
      <c r="BE48" s="61" t="e">
        <f t="shared" si="19"/>
        <v>#DIV/0!</v>
      </c>
      <c r="BF48" s="61" t="e">
        <f t="shared" si="19"/>
        <v>#DIV/0!</v>
      </c>
      <c r="BH48" s="61" t="e">
        <f t="shared" ref="BH48:BN48" si="20">AVERAGE(BH5:BH44)</f>
        <v>#DIV/0!</v>
      </c>
      <c r="BI48" s="61" t="e">
        <f t="shared" si="20"/>
        <v>#DIV/0!</v>
      </c>
      <c r="BJ48" s="61" t="e">
        <f t="shared" si="20"/>
        <v>#DIV/0!</v>
      </c>
      <c r="BK48" s="61" t="e">
        <f t="shared" si="20"/>
        <v>#DIV/0!</v>
      </c>
      <c r="BL48" s="61" t="e">
        <f t="shared" si="20"/>
        <v>#DIV/0!</v>
      </c>
      <c r="BM48" s="61" t="e">
        <f t="shared" si="20"/>
        <v>#DIV/0!</v>
      </c>
      <c r="BN48" s="61" t="e">
        <f t="shared" si="20"/>
        <v>#DIV/0!</v>
      </c>
      <c r="BP48" s="61">
        <f>AVERAGE(BP5:BP44)</f>
        <v>0</v>
      </c>
      <c r="BQ48" s="61">
        <f>AVERAGE(BQ5:BQ44)</f>
        <v>0</v>
      </c>
      <c r="BR48" s="61">
        <f>AVERAGE(BR5:BR44)</f>
        <v>0</v>
      </c>
      <c r="BS48" s="61">
        <f>AVERAGE(BS5:BS44)</f>
        <v>0</v>
      </c>
      <c r="BT48" s="61">
        <f>AVERAGE(BT5:BT44)</f>
        <v>0</v>
      </c>
    </row>
    <row r="49" spans="1:50" x14ac:dyDescent="0.25">
      <c r="A49" s="23" t="s">
        <v>189</v>
      </c>
      <c r="B49" s="23" t="s">
        <v>190</v>
      </c>
      <c r="AB49" s="72">
        <f>SUM(AB5:AB14,AB15:AB24,AB25:AB44)</f>
        <v>63107.280213999999</v>
      </c>
      <c r="AC49" s="72">
        <f>SUM(AC5:AC14,AC15:AC24,AC25:AC44)</f>
        <v>772.97025399999995</v>
      </c>
      <c r="AW49" s="72">
        <f>SUM(AW5:AW14,AW15:AW24,AW25:AW44)</f>
        <v>0</v>
      </c>
      <c r="AX49" s="72">
        <f>SUM(AX5:AX14,AX15:AX24,AX25:AX44)</f>
        <v>0</v>
      </c>
    </row>
    <row r="50" spans="1:50" x14ac:dyDescent="0.25">
      <c r="B50" s="23" t="s">
        <v>191</v>
      </c>
      <c r="AW50" s="56">
        <f>AW49/AB49</f>
        <v>0</v>
      </c>
      <c r="AX50" s="56">
        <f>AX49/AC49</f>
        <v>0</v>
      </c>
    </row>
    <row r="53" spans="1:50" ht="15.75" customHeight="1" thickBot="1" x14ac:dyDescent="0.3"/>
    <row r="54" spans="1:50" x14ac:dyDescent="0.2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-603968</v>
      </c>
      <c r="AJ54" s="79">
        <f t="shared" ref="AJ54:AJ93" si="24">AJ5-O5</f>
        <v>-5306056</v>
      </c>
      <c r="AK54" s="79">
        <f t="shared" ref="AK54:AK93" si="25">AK5-P5</f>
        <v>-839968</v>
      </c>
      <c r="AL54" s="79">
        <f t="shared" ref="AL54:AL93" si="26">AL5-Q5</f>
        <v>0</v>
      </c>
      <c r="AM54" s="79">
        <f t="shared" ref="AM54:AM93" si="27">AM5-R5</f>
        <v>-750104</v>
      </c>
      <c r="AN54" s="79">
        <f t="shared" ref="AN54:AN93" si="28">AN5-S5</f>
        <v>-3708960</v>
      </c>
      <c r="AO54" s="79">
        <f t="shared" ref="AO54:AO93" si="29">AO5-T5</f>
        <v>-7024</v>
      </c>
      <c r="AP54" s="79">
        <f t="shared" ref="AP54:AP93" si="30">AP5-U5</f>
        <v>-67.922765600000005</v>
      </c>
      <c r="AQ54" s="80">
        <f t="shared" ref="AQ54:AQ93" si="31">AQ5-V5</f>
        <v>-68.861665500000001</v>
      </c>
      <c r="AR54" s="80">
        <f t="shared" ref="AR54:AR93" si="32">AR5-W5</f>
        <v>-28.818558700000001</v>
      </c>
      <c r="AS54" s="80">
        <f t="shared" ref="AS54:AS93" si="33">AS5-X5</f>
        <v>-33.972001599999999</v>
      </c>
      <c r="AT54" s="80">
        <f t="shared" ref="AT54:AT93" si="34">AT5-Y5</f>
        <v>-33.419396200000001</v>
      </c>
      <c r="AU54" s="80">
        <f t="shared" ref="AU54:AU93" si="35">AU5-Z5</f>
        <v>-48.503596100000003</v>
      </c>
      <c r="AV54" s="81">
        <f t="shared" ref="AV54:AV93" si="36">AV5-AA5</f>
        <v>-27.252334399999999</v>
      </c>
    </row>
    <row r="55" spans="1:50" x14ac:dyDescent="0.25">
      <c r="AG55" s="82" t="e">
        <f t="shared" si="21"/>
        <v>#VALUE!</v>
      </c>
      <c r="AH55" s="82" t="e">
        <f t="shared" si="22"/>
        <v>#VALUE!</v>
      </c>
      <c r="AI55" s="82">
        <f t="shared" si="23"/>
        <v>-603968</v>
      </c>
      <c r="AJ55" s="82">
        <f t="shared" si="24"/>
        <v>-9681944</v>
      </c>
      <c r="AK55" s="82">
        <f t="shared" si="25"/>
        <v>-905264</v>
      </c>
      <c r="AL55" s="82">
        <f t="shared" si="26"/>
        <v>0</v>
      </c>
      <c r="AM55" s="82">
        <f t="shared" si="27"/>
        <v>-860696</v>
      </c>
      <c r="AN55" s="82">
        <f t="shared" si="28"/>
        <v>-7908960</v>
      </c>
      <c r="AO55" s="82">
        <f t="shared" si="29"/>
        <v>-7024</v>
      </c>
      <c r="AP55" s="82">
        <f t="shared" si="30"/>
        <v>-68.203765000000004</v>
      </c>
      <c r="AQ55" s="83">
        <f t="shared" si="31"/>
        <v>-69.163967499999998</v>
      </c>
      <c r="AR55" s="83">
        <f t="shared" si="32"/>
        <v>-31.441848499999999</v>
      </c>
      <c r="AS55" s="83">
        <f t="shared" si="33"/>
        <v>-35.184246999999999</v>
      </c>
      <c r="AT55" s="83">
        <f t="shared" si="34"/>
        <v>-34.722486000000004</v>
      </c>
      <c r="AU55" s="83">
        <f t="shared" si="35"/>
        <v>-48.604328000000002</v>
      </c>
      <c r="AV55" s="84">
        <f t="shared" si="36"/>
        <v>-28.525618000000001</v>
      </c>
    </row>
    <row r="56" spans="1:50" x14ac:dyDescent="0.25">
      <c r="AG56" s="82" t="e">
        <f t="shared" si="21"/>
        <v>#VALUE!</v>
      </c>
      <c r="AH56" s="82" t="e">
        <f t="shared" si="22"/>
        <v>#VALUE!</v>
      </c>
      <c r="AI56" s="82">
        <f t="shared" si="23"/>
        <v>-1217920</v>
      </c>
      <c r="AJ56" s="82">
        <f t="shared" si="24"/>
        <v>-13220792</v>
      </c>
      <c r="AK56" s="82">
        <f t="shared" si="25"/>
        <v>-1333944</v>
      </c>
      <c r="AL56" s="82">
        <f t="shared" si="26"/>
        <v>0</v>
      </c>
      <c r="AM56" s="82">
        <f t="shared" si="27"/>
        <v>-824856</v>
      </c>
      <c r="AN56" s="82">
        <f t="shared" si="28"/>
        <v>-11054960</v>
      </c>
      <c r="AO56" s="82">
        <f t="shared" si="29"/>
        <v>-7032</v>
      </c>
      <c r="AP56" s="82">
        <f t="shared" si="30"/>
        <v>-70.673121499999993</v>
      </c>
      <c r="AQ56" s="83">
        <f t="shared" si="31"/>
        <v>-72.026999200000006</v>
      </c>
      <c r="AR56" s="83">
        <f t="shared" si="32"/>
        <v>-32.612256600000002</v>
      </c>
      <c r="AS56" s="83">
        <f t="shared" si="33"/>
        <v>-36.915419200000002</v>
      </c>
      <c r="AT56" s="83">
        <f t="shared" si="34"/>
        <v>-36.636276199999998</v>
      </c>
      <c r="AU56" s="83">
        <f t="shared" si="35"/>
        <v>-50.438966700000002</v>
      </c>
      <c r="AV56" s="84">
        <f t="shared" si="36"/>
        <v>-30.0880793</v>
      </c>
    </row>
    <row r="57" spans="1:50" x14ac:dyDescent="0.25">
      <c r="AG57" s="82" t="e">
        <f t="shared" si="21"/>
        <v>#VALUE!</v>
      </c>
      <c r="AH57" s="82" t="e">
        <f t="shared" si="22"/>
        <v>#VALUE!</v>
      </c>
      <c r="AI57" s="82">
        <f t="shared" si="23"/>
        <v>-1217920</v>
      </c>
      <c r="AJ57" s="82">
        <f t="shared" si="24"/>
        <v>-16455904</v>
      </c>
      <c r="AK57" s="82">
        <f t="shared" si="25"/>
        <v>-1456656</v>
      </c>
      <c r="AL57" s="82">
        <f t="shared" si="26"/>
        <v>0</v>
      </c>
      <c r="AM57" s="82">
        <f t="shared" si="27"/>
        <v>-1355736</v>
      </c>
      <c r="AN57" s="82">
        <f t="shared" si="28"/>
        <v>-13636488</v>
      </c>
      <c r="AO57" s="82">
        <f t="shared" si="29"/>
        <v>-7024</v>
      </c>
      <c r="AP57" s="82">
        <f t="shared" si="30"/>
        <v>-72.199853500000003</v>
      </c>
      <c r="AQ57" s="83">
        <f t="shared" si="31"/>
        <v>-73.732992699999997</v>
      </c>
      <c r="AR57" s="83">
        <f t="shared" si="32"/>
        <v>-33.563337199999999</v>
      </c>
      <c r="AS57" s="83">
        <f t="shared" si="33"/>
        <v>-37.431180099999999</v>
      </c>
      <c r="AT57" s="83">
        <f t="shared" si="34"/>
        <v>-37.157933399999997</v>
      </c>
      <c r="AU57" s="83">
        <f t="shared" si="35"/>
        <v>-50.957138800000003</v>
      </c>
      <c r="AV57" s="84">
        <f t="shared" si="36"/>
        <v>-31.075825999999999</v>
      </c>
    </row>
    <row r="58" spans="1:50" x14ac:dyDescent="0.25">
      <c r="AG58" s="82" t="e">
        <f t="shared" si="21"/>
        <v>#VALUE!</v>
      </c>
      <c r="AH58" s="82" t="e">
        <f t="shared" si="22"/>
        <v>#VALUE!</v>
      </c>
      <c r="AI58" s="82">
        <f t="shared" si="23"/>
        <v>-2446416</v>
      </c>
      <c r="AJ58" s="82">
        <f t="shared" si="24"/>
        <v>-24156984</v>
      </c>
      <c r="AK58" s="82">
        <f t="shared" si="25"/>
        <v>-2202296</v>
      </c>
      <c r="AL58" s="82">
        <f t="shared" si="26"/>
        <v>0</v>
      </c>
      <c r="AM58" s="82">
        <f t="shared" si="27"/>
        <v>-2478472</v>
      </c>
      <c r="AN58" s="82">
        <f t="shared" si="28"/>
        <v>-19468936</v>
      </c>
      <c r="AO58" s="82">
        <f t="shared" si="29"/>
        <v>-7280</v>
      </c>
      <c r="AP58" s="82">
        <f t="shared" si="30"/>
        <v>-75.416377600000004</v>
      </c>
      <c r="AQ58" s="83">
        <f t="shared" si="31"/>
        <v>-77.545934299999999</v>
      </c>
      <c r="AR58" s="83">
        <f t="shared" si="32"/>
        <v>-35.005271200000003</v>
      </c>
      <c r="AS58" s="83">
        <f t="shared" si="33"/>
        <v>-38.585872100000003</v>
      </c>
      <c r="AT58" s="83">
        <f t="shared" si="34"/>
        <v>-38.3047355</v>
      </c>
      <c r="AU58" s="83">
        <f t="shared" si="35"/>
        <v>-52.949748999999997</v>
      </c>
      <c r="AV58" s="84">
        <f t="shared" si="36"/>
        <v>-32.855478900000001</v>
      </c>
    </row>
    <row r="59" spans="1:50" x14ac:dyDescent="0.25">
      <c r="AG59" s="82" t="e">
        <f t="shared" si="21"/>
        <v>#VALUE!</v>
      </c>
      <c r="AH59" s="82" t="e">
        <f t="shared" si="22"/>
        <v>#VALUE!</v>
      </c>
      <c r="AI59" s="82">
        <f t="shared" si="23"/>
        <v>-598416</v>
      </c>
      <c r="AJ59" s="82">
        <f t="shared" si="24"/>
        <v>-5415888</v>
      </c>
      <c r="AK59" s="82">
        <f t="shared" si="25"/>
        <v>-907520</v>
      </c>
      <c r="AL59" s="82">
        <f t="shared" si="26"/>
        <v>0</v>
      </c>
      <c r="AM59" s="82">
        <f t="shared" si="27"/>
        <v>-628072</v>
      </c>
      <c r="AN59" s="82">
        <f t="shared" si="28"/>
        <v>-3873264</v>
      </c>
      <c r="AO59" s="82">
        <f t="shared" si="29"/>
        <v>-7032</v>
      </c>
      <c r="AP59" s="82">
        <f t="shared" si="30"/>
        <v>-64.1644802</v>
      </c>
      <c r="AQ59" s="83">
        <f t="shared" si="31"/>
        <v>-64.725161400000005</v>
      </c>
      <c r="AR59" s="83">
        <f t="shared" si="32"/>
        <v>-31.994658600000001</v>
      </c>
      <c r="AS59" s="83">
        <f t="shared" si="33"/>
        <v>-44.814062399999997</v>
      </c>
      <c r="AT59" s="83">
        <f t="shared" si="34"/>
        <v>-45.12529</v>
      </c>
      <c r="AU59" s="83">
        <f t="shared" si="35"/>
        <v>-43.179799099999997</v>
      </c>
      <c r="AV59" s="84">
        <f t="shared" si="36"/>
        <v>-29.084105300000001</v>
      </c>
    </row>
    <row r="60" spans="1:50" x14ac:dyDescent="0.25">
      <c r="AG60" s="82" t="e">
        <f t="shared" si="21"/>
        <v>#VALUE!</v>
      </c>
      <c r="AH60" s="82" t="e">
        <f t="shared" si="22"/>
        <v>#VALUE!</v>
      </c>
      <c r="AI60" s="82">
        <f t="shared" si="23"/>
        <v>-1211920</v>
      </c>
      <c r="AJ60" s="82">
        <f t="shared" si="24"/>
        <v>-9864200</v>
      </c>
      <c r="AK60" s="82">
        <f t="shared" si="25"/>
        <v>-1444776</v>
      </c>
      <c r="AL60" s="82">
        <f t="shared" si="26"/>
        <v>0</v>
      </c>
      <c r="AM60" s="82">
        <f t="shared" si="27"/>
        <v>-1107288</v>
      </c>
      <c r="AN60" s="82">
        <f t="shared" si="28"/>
        <v>-7305104</v>
      </c>
      <c r="AO60" s="82">
        <f t="shared" si="29"/>
        <v>-7032</v>
      </c>
      <c r="AP60" s="82">
        <f t="shared" si="30"/>
        <v>-68.996142800000001</v>
      </c>
      <c r="AQ60" s="83">
        <f t="shared" si="31"/>
        <v>-70.167931600000003</v>
      </c>
      <c r="AR60" s="83">
        <f t="shared" si="32"/>
        <v>-34.740796099999997</v>
      </c>
      <c r="AS60" s="83">
        <f t="shared" si="33"/>
        <v>-45.455940200000001</v>
      </c>
      <c r="AT60" s="83">
        <f t="shared" si="34"/>
        <v>-45.884190799999999</v>
      </c>
      <c r="AU60" s="83">
        <f t="shared" si="35"/>
        <v>-46.310364800000002</v>
      </c>
      <c r="AV60" s="84">
        <f t="shared" si="36"/>
        <v>-31.8664919</v>
      </c>
    </row>
    <row r="61" spans="1:50" x14ac:dyDescent="0.25">
      <c r="AG61" s="82" t="e">
        <f t="shared" si="21"/>
        <v>#VALUE!</v>
      </c>
      <c r="AH61" s="82" t="e">
        <f t="shared" si="22"/>
        <v>#VALUE!</v>
      </c>
      <c r="AI61" s="82">
        <f t="shared" si="23"/>
        <v>-1211920</v>
      </c>
      <c r="AJ61" s="82">
        <f t="shared" si="24"/>
        <v>-12571800</v>
      </c>
      <c r="AK61" s="82">
        <f t="shared" si="25"/>
        <v>-1444776</v>
      </c>
      <c r="AL61" s="82">
        <f t="shared" si="26"/>
        <v>0</v>
      </c>
      <c r="AM61" s="82">
        <f t="shared" si="27"/>
        <v>-1899248</v>
      </c>
      <c r="AN61" s="82">
        <f t="shared" si="28"/>
        <v>-9220752</v>
      </c>
      <c r="AO61" s="82">
        <f t="shared" si="29"/>
        <v>-7024</v>
      </c>
      <c r="AP61" s="82">
        <f t="shared" si="30"/>
        <v>-70.283272999999994</v>
      </c>
      <c r="AQ61" s="83">
        <f t="shared" si="31"/>
        <v>-71.582474700000006</v>
      </c>
      <c r="AR61" s="83">
        <f t="shared" si="32"/>
        <v>-35.729256100000001</v>
      </c>
      <c r="AS61" s="83">
        <f t="shared" si="33"/>
        <v>-45.765061500000002</v>
      </c>
      <c r="AT61" s="83">
        <f t="shared" si="34"/>
        <v>-46.233988799999999</v>
      </c>
      <c r="AU61" s="83">
        <f t="shared" si="35"/>
        <v>-46.682316</v>
      </c>
      <c r="AV61" s="84">
        <f t="shared" si="36"/>
        <v>-32.716406599999999</v>
      </c>
    </row>
    <row r="62" spans="1:50" x14ac:dyDescent="0.25">
      <c r="AG62" s="82" t="e">
        <f t="shared" si="21"/>
        <v>#VALUE!</v>
      </c>
      <c r="AH62" s="82" t="e">
        <f t="shared" si="22"/>
        <v>#VALUE!</v>
      </c>
      <c r="AI62" s="82">
        <f t="shared" si="23"/>
        <v>-2440288</v>
      </c>
      <c r="AJ62" s="82">
        <f t="shared" si="24"/>
        <v>-16394168</v>
      </c>
      <c r="AK62" s="82">
        <f t="shared" si="25"/>
        <v>-2376280</v>
      </c>
      <c r="AL62" s="82">
        <f t="shared" si="26"/>
        <v>0</v>
      </c>
      <c r="AM62" s="82">
        <f t="shared" si="27"/>
        <v>-2327280</v>
      </c>
      <c r="AN62" s="82">
        <f t="shared" si="28"/>
        <v>-11683328</v>
      </c>
      <c r="AO62" s="82">
        <f t="shared" si="29"/>
        <v>-7280</v>
      </c>
      <c r="AP62" s="82">
        <f t="shared" si="30"/>
        <v>-73.272954499999997</v>
      </c>
      <c r="AQ62" s="83">
        <f t="shared" si="31"/>
        <v>-75.097127</v>
      </c>
      <c r="AR62" s="83">
        <f t="shared" si="32"/>
        <v>-36.895463599999999</v>
      </c>
      <c r="AS62" s="83">
        <f t="shared" si="33"/>
        <v>-46.538924899999998</v>
      </c>
      <c r="AT62" s="83">
        <f t="shared" si="34"/>
        <v>-47.108391699999999</v>
      </c>
      <c r="AU62" s="83">
        <f t="shared" si="35"/>
        <v>-48.715064300000002</v>
      </c>
      <c r="AV62" s="84">
        <f t="shared" si="36"/>
        <v>-34.415023699999999</v>
      </c>
    </row>
    <row r="63" spans="1:50" x14ac:dyDescent="0.25">
      <c r="AG63" s="82" t="e">
        <f t="shared" si="21"/>
        <v>#VALUE!</v>
      </c>
      <c r="AH63" s="82" t="e">
        <f t="shared" si="22"/>
        <v>#VALUE!</v>
      </c>
      <c r="AI63" s="82">
        <f t="shared" si="23"/>
        <v>-2440288</v>
      </c>
      <c r="AJ63" s="82">
        <f t="shared" si="24"/>
        <v>-23894792</v>
      </c>
      <c r="AK63" s="82">
        <f t="shared" si="25"/>
        <v>-2615784</v>
      </c>
      <c r="AL63" s="82">
        <f t="shared" si="26"/>
        <v>0</v>
      </c>
      <c r="AM63" s="82">
        <f t="shared" si="27"/>
        <v>-2969648</v>
      </c>
      <c r="AN63" s="82">
        <f t="shared" si="28"/>
        <v>-18302080</v>
      </c>
      <c r="AO63" s="82">
        <f t="shared" si="29"/>
        <v>-7280</v>
      </c>
      <c r="AP63" s="82">
        <f t="shared" si="30"/>
        <v>-74.024726400000006</v>
      </c>
      <c r="AQ63" s="83">
        <f t="shared" si="31"/>
        <v>-75.965511800000002</v>
      </c>
      <c r="AR63" s="83">
        <f t="shared" si="32"/>
        <v>-38.5264703</v>
      </c>
      <c r="AS63" s="83">
        <f t="shared" si="33"/>
        <v>-47.566265799999996</v>
      </c>
      <c r="AT63" s="83">
        <f t="shared" si="34"/>
        <v>-48.225527</v>
      </c>
      <c r="AU63" s="83">
        <f t="shared" si="35"/>
        <v>-48.895150299999997</v>
      </c>
      <c r="AV63" s="84">
        <f t="shared" si="36"/>
        <v>-35.4495152</v>
      </c>
    </row>
    <row r="64" spans="1:50" x14ac:dyDescent="0.25">
      <c r="AG64" s="82" t="e">
        <f t="shared" si="21"/>
        <v>#VALUE!</v>
      </c>
      <c r="AH64" s="82" t="e">
        <f t="shared" si="22"/>
        <v>#VALUE!</v>
      </c>
      <c r="AI64" s="82">
        <f t="shared" si="23"/>
        <v>-604864</v>
      </c>
      <c r="AJ64" s="82">
        <f t="shared" si="24"/>
        <v>-3246600</v>
      </c>
      <c r="AK64" s="82">
        <f t="shared" si="25"/>
        <v>-719064</v>
      </c>
      <c r="AL64" s="82">
        <f t="shared" si="26"/>
        <v>0</v>
      </c>
      <c r="AM64" s="82">
        <f t="shared" si="27"/>
        <v>-526392</v>
      </c>
      <c r="AN64" s="82">
        <f t="shared" si="28"/>
        <v>-1994112</v>
      </c>
      <c r="AO64" s="82">
        <f t="shared" si="29"/>
        <v>-7032</v>
      </c>
      <c r="AP64" s="82">
        <f t="shared" si="30"/>
        <v>-70.230566300000007</v>
      </c>
      <c r="AQ64" s="83">
        <f t="shared" si="31"/>
        <v>-71.345111900000006</v>
      </c>
      <c r="AR64" s="83">
        <f t="shared" si="32"/>
        <v>-35.520437999999999</v>
      </c>
      <c r="AS64" s="83">
        <f t="shared" si="33"/>
        <v>-43.390419799999997</v>
      </c>
      <c r="AT64" s="83">
        <f t="shared" si="34"/>
        <v>-45.001812000000001</v>
      </c>
      <c r="AU64" s="83">
        <f t="shared" si="35"/>
        <v>-44.986571699999999</v>
      </c>
      <c r="AV64" s="84">
        <f t="shared" si="36"/>
        <v>-31.843251200000001</v>
      </c>
    </row>
    <row r="65" spans="33:48" x14ac:dyDescent="0.25">
      <c r="AG65" s="82" t="e">
        <f t="shared" si="21"/>
        <v>#VALUE!</v>
      </c>
      <c r="AH65" s="82" t="e">
        <f t="shared" si="22"/>
        <v>#VALUE!</v>
      </c>
      <c r="AI65" s="82">
        <f t="shared" si="23"/>
        <v>-604864</v>
      </c>
      <c r="AJ65" s="82">
        <f t="shared" si="24"/>
        <v>-5375840</v>
      </c>
      <c r="AK65" s="82">
        <f t="shared" si="25"/>
        <v>-780696</v>
      </c>
      <c r="AL65" s="82">
        <f t="shared" si="26"/>
        <v>0</v>
      </c>
      <c r="AM65" s="82">
        <f t="shared" si="27"/>
        <v>-742536</v>
      </c>
      <c r="AN65" s="82">
        <f t="shared" si="28"/>
        <v>-3845584</v>
      </c>
      <c r="AO65" s="82">
        <f t="shared" si="29"/>
        <v>-7024</v>
      </c>
      <c r="AP65" s="82">
        <f t="shared" si="30"/>
        <v>-71.428668599999995</v>
      </c>
      <c r="AQ65" s="83">
        <f t="shared" si="31"/>
        <v>-72.643240300000002</v>
      </c>
      <c r="AR65" s="83">
        <f t="shared" si="32"/>
        <v>-38.1653333</v>
      </c>
      <c r="AS65" s="83">
        <f t="shared" si="33"/>
        <v>-44.044943099999998</v>
      </c>
      <c r="AT65" s="83">
        <f t="shared" si="34"/>
        <v>-46.295114400000003</v>
      </c>
      <c r="AU65" s="83">
        <f t="shared" si="35"/>
        <v>-45.3721149</v>
      </c>
      <c r="AV65" s="84">
        <f t="shared" si="36"/>
        <v>-33.060022699999998</v>
      </c>
    </row>
    <row r="66" spans="33:48" x14ac:dyDescent="0.25">
      <c r="AG66" s="82" t="e">
        <f t="shared" si="21"/>
        <v>#VALUE!</v>
      </c>
      <c r="AH66" s="82" t="e">
        <f t="shared" si="22"/>
        <v>#VALUE!</v>
      </c>
      <c r="AI66" s="82">
        <f t="shared" si="23"/>
        <v>-1210368</v>
      </c>
      <c r="AJ66" s="82">
        <f t="shared" si="24"/>
        <v>-10660048</v>
      </c>
      <c r="AK66" s="82">
        <f t="shared" si="25"/>
        <v>-1304520</v>
      </c>
      <c r="AL66" s="82">
        <f t="shared" si="26"/>
        <v>0</v>
      </c>
      <c r="AM66" s="82">
        <f t="shared" si="27"/>
        <v>-1588288</v>
      </c>
      <c r="AN66" s="82">
        <f t="shared" si="28"/>
        <v>-7760216</v>
      </c>
      <c r="AO66" s="82">
        <f t="shared" si="29"/>
        <v>-7024</v>
      </c>
      <c r="AP66" s="82">
        <f t="shared" si="30"/>
        <v>-76.293598900000006</v>
      </c>
      <c r="AQ66" s="83">
        <f t="shared" si="31"/>
        <v>-78.149547200000001</v>
      </c>
      <c r="AR66" s="83">
        <f t="shared" si="32"/>
        <v>-40.854629199999998</v>
      </c>
      <c r="AS66" s="83">
        <f t="shared" si="33"/>
        <v>-44.954704900000003</v>
      </c>
      <c r="AT66" s="83">
        <f t="shared" si="34"/>
        <v>-48.020862000000001</v>
      </c>
      <c r="AU66" s="83">
        <f t="shared" si="35"/>
        <v>-47.791286499999998</v>
      </c>
      <c r="AV66" s="84">
        <f t="shared" si="36"/>
        <v>-36.229222200000002</v>
      </c>
    </row>
    <row r="67" spans="33:48" x14ac:dyDescent="0.25">
      <c r="AG67" s="82" t="e">
        <f t="shared" si="21"/>
        <v>#VALUE!</v>
      </c>
      <c r="AH67" s="82" t="e">
        <f t="shared" si="22"/>
        <v>#VALUE!</v>
      </c>
      <c r="AI67" s="82">
        <f t="shared" si="23"/>
        <v>-2421136</v>
      </c>
      <c r="AJ67" s="82">
        <f t="shared" si="24"/>
        <v>-15417776</v>
      </c>
      <c r="AK67" s="82">
        <f t="shared" si="25"/>
        <v>-2249688</v>
      </c>
      <c r="AL67" s="82">
        <f t="shared" si="26"/>
        <v>0</v>
      </c>
      <c r="AM67" s="82">
        <f t="shared" si="27"/>
        <v>-1895960</v>
      </c>
      <c r="AN67" s="82">
        <f t="shared" si="28"/>
        <v>-11264848</v>
      </c>
      <c r="AO67" s="82">
        <f t="shared" si="29"/>
        <v>-7280</v>
      </c>
      <c r="AP67" s="82">
        <f t="shared" si="30"/>
        <v>-78.591166599999994</v>
      </c>
      <c r="AQ67" s="83">
        <f t="shared" si="31"/>
        <v>-80.961148600000001</v>
      </c>
      <c r="AR67" s="83">
        <f t="shared" si="32"/>
        <v>-41.897584100000003</v>
      </c>
      <c r="AS67" s="83">
        <f t="shared" si="33"/>
        <v>-45.648805099999997</v>
      </c>
      <c r="AT67" s="83">
        <f t="shared" si="34"/>
        <v>-49.201005199999997</v>
      </c>
      <c r="AU67" s="83">
        <f t="shared" si="35"/>
        <v>-49.334001999999998</v>
      </c>
      <c r="AV67" s="84">
        <f t="shared" si="36"/>
        <v>-37.852655499999997</v>
      </c>
    </row>
    <row r="68" spans="33:48" x14ac:dyDescent="0.25">
      <c r="AG68" s="82" t="e">
        <f t="shared" si="21"/>
        <v>#VALUE!</v>
      </c>
      <c r="AH68" s="82" t="e">
        <f t="shared" si="22"/>
        <v>#VALUE!</v>
      </c>
      <c r="AI68" s="82">
        <f t="shared" si="23"/>
        <v>-2421136</v>
      </c>
      <c r="AJ68" s="82">
        <f t="shared" si="24"/>
        <v>-23099568</v>
      </c>
      <c r="AK68" s="82">
        <f t="shared" si="25"/>
        <v>-2249688</v>
      </c>
      <c r="AL68" s="82">
        <f t="shared" si="26"/>
        <v>0</v>
      </c>
      <c r="AM68" s="82">
        <f t="shared" si="27"/>
        <v>-2104792</v>
      </c>
      <c r="AN68" s="82">
        <f t="shared" si="28"/>
        <v>-18737808</v>
      </c>
      <c r="AO68" s="82">
        <f t="shared" si="29"/>
        <v>-7280</v>
      </c>
      <c r="AP68" s="82">
        <f t="shared" si="30"/>
        <v>-78.908564999999996</v>
      </c>
      <c r="AQ68" s="83">
        <f t="shared" si="31"/>
        <v>-81.380771600000003</v>
      </c>
      <c r="AR68" s="83">
        <f t="shared" si="32"/>
        <v>-42.8627143</v>
      </c>
      <c r="AS68" s="83">
        <f t="shared" si="33"/>
        <v>-46.580333000000003</v>
      </c>
      <c r="AT68" s="83">
        <f t="shared" si="34"/>
        <v>-50.533603399999997</v>
      </c>
      <c r="AU68" s="83">
        <f t="shared" si="35"/>
        <v>-49.401873999999999</v>
      </c>
      <c r="AV68" s="84">
        <f t="shared" si="36"/>
        <v>-38.297097100000002</v>
      </c>
    </row>
    <row r="69" spans="33:48" x14ac:dyDescent="0.25">
      <c r="AG69" s="82" t="e">
        <f t="shared" si="21"/>
        <v>#VALUE!</v>
      </c>
      <c r="AH69" s="82" t="e">
        <f t="shared" si="22"/>
        <v>#VALUE!</v>
      </c>
      <c r="AI69" s="82">
        <f t="shared" si="23"/>
        <v>-604496</v>
      </c>
      <c r="AJ69" s="82">
        <f t="shared" si="24"/>
        <v>-3216720</v>
      </c>
      <c r="AK69" s="82">
        <f t="shared" si="25"/>
        <v>-692280</v>
      </c>
      <c r="AL69" s="82">
        <f t="shared" si="26"/>
        <v>0</v>
      </c>
      <c r="AM69" s="82">
        <f t="shared" si="27"/>
        <v>-515280</v>
      </c>
      <c r="AN69" s="82">
        <f t="shared" si="28"/>
        <v>-2002136</v>
      </c>
      <c r="AO69" s="82">
        <f t="shared" si="29"/>
        <v>-7024</v>
      </c>
      <c r="AP69" s="82">
        <f t="shared" si="30"/>
        <v>-70.362095100000005</v>
      </c>
      <c r="AQ69" s="83">
        <f t="shared" si="31"/>
        <v>-71.538688699999994</v>
      </c>
      <c r="AR69" s="83">
        <f t="shared" si="32"/>
        <v>-34.474063999999998</v>
      </c>
      <c r="AS69" s="83">
        <f t="shared" si="33"/>
        <v>-42.795761800000001</v>
      </c>
      <c r="AT69" s="83">
        <f t="shared" si="34"/>
        <v>-44.069914199999999</v>
      </c>
      <c r="AU69" s="83">
        <f t="shared" si="35"/>
        <v>-47.809788099999999</v>
      </c>
      <c r="AV69" s="84">
        <f t="shared" si="36"/>
        <v>-30.893187699999999</v>
      </c>
    </row>
    <row r="70" spans="33:48" x14ac:dyDescent="0.25">
      <c r="AG70" s="82" t="e">
        <f t="shared" si="21"/>
        <v>#VALUE!</v>
      </c>
      <c r="AH70" s="82" t="e">
        <f t="shared" si="22"/>
        <v>#VALUE!</v>
      </c>
      <c r="AI70" s="82">
        <f t="shared" si="23"/>
        <v>-604496</v>
      </c>
      <c r="AJ70" s="82">
        <f t="shared" si="24"/>
        <v>-5407096</v>
      </c>
      <c r="AK70" s="82">
        <f t="shared" si="25"/>
        <v>-692280</v>
      </c>
      <c r="AL70" s="82">
        <f t="shared" si="26"/>
        <v>0</v>
      </c>
      <c r="AM70" s="82">
        <f t="shared" si="27"/>
        <v>-569136</v>
      </c>
      <c r="AN70" s="82">
        <f t="shared" si="28"/>
        <v>-4138648</v>
      </c>
      <c r="AO70" s="82">
        <f t="shared" si="29"/>
        <v>-7032</v>
      </c>
      <c r="AP70" s="82">
        <f t="shared" si="30"/>
        <v>-70.691722799999994</v>
      </c>
      <c r="AQ70" s="83">
        <f t="shared" si="31"/>
        <v>-71.901317500000005</v>
      </c>
      <c r="AR70" s="83">
        <f t="shared" si="32"/>
        <v>-37.158949499999999</v>
      </c>
      <c r="AS70" s="83">
        <f t="shared" si="33"/>
        <v>-44.0187101</v>
      </c>
      <c r="AT70" s="83">
        <f t="shared" si="34"/>
        <v>-45.989961999999998</v>
      </c>
      <c r="AU70" s="83">
        <f t="shared" si="35"/>
        <v>-47.9378028</v>
      </c>
      <c r="AV70" s="84">
        <f t="shared" si="36"/>
        <v>-31.848489799999999</v>
      </c>
    </row>
    <row r="71" spans="33:48" x14ac:dyDescent="0.25">
      <c r="AG71" s="82" t="e">
        <f t="shared" si="21"/>
        <v>#VALUE!</v>
      </c>
      <c r="AH71" s="82" t="e">
        <f t="shared" si="22"/>
        <v>#VALUE!</v>
      </c>
      <c r="AI71" s="82">
        <f t="shared" si="23"/>
        <v>-1209024</v>
      </c>
      <c r="AJ71" s="82">
        <f t="shared" si="24"/>
        <v>-10761816</v>
      </c>
      <c r="AK71" s="82">
        <f t="shared" si="25"/>
        <v>-1155672</v>
      </c>
      <c r="AL71" s="82">
        <f t="shared" si="26"/>
        <v>0</v>
      </c>
      <c r="AM71" s="82">
        <f t="shared" si="27"/>
        <v>-1593632</v>
      </c>
      <c r="AN71" s="82">
        <f t="shared" si="28"/>
        <v>-8005488</v>
      </c>
      <c r="AO71" s="82">
        <f t="shared" si="29"/>
        <v>-7024</v>
      </c>
      <c r="AP71" s="82">
        <f t="shared" si="30"/>
        <v>-76.166239300000001</v>
      </c>
      <c r="AQ71" s="83">
        <f t="shared" si="31"/>
        <v>-78.151053200000007</v>
      </c>
      <c r="AR71" s="83">
        <f t="shared" si="32"/>
        <v>-40.254608699999999</v>
      </c>
      <c r="AS71" s="83">
        <f t="shared" si="33"/>
        <v>-45.296244799999997</v>
      </c>
      <c r="AT71" s="83">
        <f t="shared" si="34"/>
        <v>-48.007465400000001</v>
      </c>
      <c r="AU71" s="83">
        <f t="shared" si="35"/>
        <v>-50.5795022</v>
      </c>
      <c r="AV71" s="84">
        <f t="shared" si="36"/>
        <v>-35.568734399999997</v>
      </c>
    </row>
    <row r="72" spans="33:48" x14ac:dyDescent="0.25">
      <c r="AG72" s="82" t="e">
        <f t="shared" si="21"/>
        <v>#VALUE!</v>
      </c>
      <c r="AH72" s="82" t="e">
        <f t="shared" si="22"/>
        <v>#VALUE!</v>
      </c>
      <c r="AI72" s="82">
        <f t="shared" si="23"/>
        <v>-2418320</v>
      </c>
      <c r="AJ72" s="82">
        <f t="shared" si="24"/>
        <v>-15248280</v>
      </c>
      <c r="AK72" s="82">
        <f t="shared" si="25"/>
        <v>-2431352</v>
      </c>
      <c r="AL72" s="82">
        <f t="shared" si="26"/>
        <v>0</v>
      </c>
      <c r="AM72" s="82">
        <f t="shared" si="27"/>
        <v>-1635488</v>
      </c>
      <c r="AN72" s="82">
        <f t="shared" si="28"/>
        <v>-11174160</v>
      </c>
      <c r="AO72" s="82">
        <f t="shared" si="29"/>
        <v>-7280</v>
      </c>
      <c r="AP72" s="82">
        <f t="shared" si="30"/>
        <v>-78.089480600000002</v>
      </c>
      <c r="AQ72" s="83">
        <f t="shared" si="31"/>
        <v>-80.567410499999994</v>
      </c>
      <c r="AR72" s="83">
        <f t="shared" si="32"/>
        <v>-41.391844399999997</v>
      </c>
      <c r="AS72" s="83">
        <f t="shared" si="33"/>
        <v>-45.808621600000002</v>
      </c>
      <c r="AT72" s="83">
        <f t="shared" si="34"/>
        <v>-48.744075799999997</v>
      </c>
      <c r="AU72" s="83">
        <f t="shared" si="35"/>
        <v>-52.269352900000001</v>
      </c>
      <c r="AV72" s="84">
        <f t="shared" si="36"/>
        <v>-37.154429499999999</v>
      </c>
    </row>
    <row r="73" spans="33:48" x14ac:dyDescent="0.25">
      <c r="AG73" s="82" t="e">
        <f t="shared" si="21"/>
        <v>#VALUE!</v>
      </c>
      <c r="AH73" s="82" t="e">
        <f t="shared" si="22"/>
        <v>#VALUE!</v>
      </c>
      <c r="AI73" s="82">
        <f t="shared" si="23"/>
        <v>-2418320</v>
      </c>
      <c r="AJ73" s="82">
        <f t="shared" si="24"/>
        <v>-22606128</v>
      </c>
      <c r="AK73" s="82">
        <f t="shared" si="25"/>
        <v>-2198232</v>
      </c>
      <c r="AL73" s="82">
        <f t="shared" si="26"/>
        <v>0</v>
      </c>
      <c r="AM73" s="82">
        <f t="shared" si="27"/>
        <v>-2077824</v>
      </c>
      <c r="AN73" s="82">
        <f t="shared" si="28"/>
        <v>-18322792</v>
      </c>
      <c r="AO73" s="82">
        <f t="shared" si="29"/>
        <v>-7280</v>
      </c>
      <c r="AP73" s="82">
        <f t="shared" si="30"/>
        <v>-78.697107599999995</v>
      </c>
      <c r="AQ73" s="83">
        <f t="shared" si="31"/>
        <v>-81.399039200000004</v>
      </c>
      <c r="AR73" s="83">
        <f t="shared" si="32"/>
        <v>-42.352017400000001</v>
      </c>
      <c r="AS73" s="83">
        <f t="shared" si="33"/>
        <v>-46.891067</v>
      </c>
      <c r="AT73" s="83">
        <f t="shared" si="34"/>
        <v>-50.093510799999997</v>
      </c>
      <c r="AU73" s="83">
        <f t="shared" si="35"/>
        <v>-52.454428700000001</v>
      </c>
      <c r="AV73" s="84">
        <f t="shared" si="36"/>
        <v>-37.754601899999997</v>
      </c>
    </row>
    <row r="74" spans="33:48" x14ac:dyDescent="0.25">
      <c r="AG74" s="82" t="e">
        <f t="shared" si="21"/>
        <v>#VALUE!</v>
      </c>
      <c r="AH74" s="82" t="e">
        <f t="shared" si="22"/>
        <v>#VALUE!</v>
      </c>
      <c r="AI74" s="82">
        <f t="shared" si="23"/>
        <v>-2455232</v>
      </c>
      <c r="AJ74" s="82">
        <f t="shared" si="24"/>
        <v>-4385624</v>
      </c>
      <c r="AK74" s="82">
        <f t="shared" si="25"/>
        <v>-714400</v>
      </c>
      <c r="AL74" s="82">
        <f t="shared" si="26"/>
        <v>0</v>
      </c>
      <c r="AM74" s="82">
        <f t="shared" si="27"/>
        <v>-548456</v>
      </c>
      <c r="AN74" s="82">
        <f t="shared" si="28"/>
        <v>-3115488</v>
      </c>
      <c r="AO74" s="82">
        <f t="shared" si="29"/>
        <v>-7280</v>
      </c>
      <c r="AP74" s="82">
        <f t="shared" si="30"/>
        <v>-72.808657199999999</v>
      </c>
      <c r="AQ74" s="83">
        <f t="shared" si="31"/>
        <v>-74.532907699999996</v>
      </c>
      <c r="AR74" s="83">
        <f t="shared" si="32"/>
        <v>-31.4590642</v>
      </c>
      <c r="AS74" s="83">
        <f t="shared" si="33"/>
        <v>-40.605519399999999</v>
      </c>
      <c r="AT74" s="83">
        <f t="shared" si="34"/>
        <v>-36.902674599999997</v>
      </c>
      <c r="AU74" s="83">
        <f t="shared" si="35"/>
        <v>-44.378712200000002</v>
      </c>
      <c r="AV74" s="84">
        <f t="shared" si="36"/>
        <v>-28.397383000000001</v>
      </c>
    </row>
    <row r="75" spans="33:48" x14ac:dyDescent="0.25">
      <c r="AG75" s="82" t="e">
        <f t="shared" si="21"/>
        <v>#VALUE!</v>
      </c>
      <c r="AH75" s="82" t="e">
        <f t="shared" si="22"/>
        <v>#VALUE!</v>
      </c>
      <c r="AI75" s="82">
        <f t="shared" si="23"/>
        <v>-4912768</v>
      </c>
      <c r="AJ75" s="82">
        <f t="shared" si="24"/>
        <v>-8758392</v>
      </c>
      <c r="AK75" s="82">
        <f t="shared" si="25"/>
        <v>-1200872</v>
      </c>
      <c r="AL75" s="82">
        <f t="shared" si="26"/>
        <v>0</v>
      </c>
      <c r="AM75" s="82">
        <f t="shared" si="27"/>
        <v>-873856</v>
      </c>
      <c r="AN75" s="82">
        <f t="shared" si="28"/>
        <v>-6676120</v>
      </c>
      <c r="AO75" s="82">
        <f t="shared" si="29"/>
        <v>-7544</v>
      </c>
      <c r="AP75" s="82">
        <f t="shared" si="30"/>
        <v>-76.272471199999998</v>
      </c>
      <c r="AQ75" s="83">
        <f t="shared" si="31"/>
        <v>-78.584546900000007</v>
      </c>
      <c r="AR75" s="83">
        <f t="shared" si="32"/>
        <v>-33.907688700000001</v>
      </c>
      <c r="AS75" s="83">
        <f t="shared" si="33"/>
        <v>-42.457763700000001</v>
      </c>
      <c r="AT75" s="83">
        <f t="shared" si="34"/>
        <v>-39.801735600000001</v>
      </c>
      <c r="AU75" s="83">
        <f t="shared" si="35"/>
        <v>-46.103978599999998</v>
      </c>
      <c r="AV75" s="84">
        <f t="shared" si="36"/>
        <v>-31.114455899999999</v>
      </c>
    </row>
    <row r="76" spans="33:48" x14ac:dyDescent="0.25">
      <c r="AG76" s="82" t="e">
        <f t="shared" si="21"/>
        <v>#VALUE!</v>
      </c>
      <c r="AH76" s="82" t="e">
        <f t="shared" si="22"/>
        <v>#VALUE!</v>
      </c>
      <c r="AI76" s="82">
        <f t="shared" si="23"/>
        <v>-9827968</v>
      </c>
      <c r="AJ76" s="82">
        <f t="shared" si="24"/>
        <v>-13216320</v>
      </c>
      <c r="AK76" s="82">
        <f t="shared" si="25"/>
        <v>-2260544</v>
      </c>
      <c r="AL76" s="82">
        <f t="shared" si="26"/>
        <v>0</v>
      </c>
      <c r="AM76" s="82">
        <f t="shared" si="27"/>
        <v>-828608</v>
      </c>
      <c r="AN76" s="82">
        <f t="shared" si="28"/>
        <v>-10119616</v>
      </c>
      <c r="AO76" s="82">
        <f t="shared" si="29"/>
        <v>-7552</v>
      </c>
      <c r="AP76" s="82">
        <f t="shared" si="30"/>
        <v>-78.211476399999995</v>
      </c>
      <c r="AQ76" s="83">
        <f t="shared" si="31"/>
        <v>-80.928953699999994</v>
      </c>
      <c r="AR76" s="83">
        <f t="shared" si="32"/>
        <v>-34.861467599999997</v>
      </c>
      <c r="AS76" s="83">
        <f t="shared" si="33"/>
        <v>-43.678217699999998</v>
      </c>
      <c r="AT76" s="83">
        <f t="shared" si="34"/>
        <v>-41.597988100000002</v>
      </c>
      <c r="AU76" s="83">
        <f t="shared" si="35"/>
        <v>-47.651722999999997</v>
      </c>
      <c r="AV76" s="84">
        <f t="shared" si="36"/>
        <v>-32.450534699999999</v>
      </c>
    </row>
    <row r="77" spans="33:48" x14ac:dyDescent="0.25">
      <c r="AG77" s="82" t="e">
        <f t="shared" si="21"/>
        <v>#VALUE!</v>
      </c>
      <c r="AH77" s="82" t="e">
        <f t="shared" si="22"/>
        <v>#VALUE!</v>
      </c>
      <c r="AI77" s="82">
        <f t="shared" si="23"/>
        <v>-19659392</v>
      </c>
      <c r="AJ77" s="82">
        <f t="shared" si="24"/>
        <v>-18557880</v>
      </c>
      <c r="AK77" s="82">
        <f t="shared" si="25"/>
        <v>-4395536</v>
      </c>
      <c r="AL77" s="82">
        <f t="shared" si="26"/>
        <v>0</v>
      </c>
      <c r="AM77" s="82">
        <f t="shared" si="27"/>
        <v>-648528</v>
      </c>
      <c r="AN77" s="82">
        <f t="shared" si="28"/>
        <v>-13506000</v>
      </c>
      <c r="AO77" s="82">
        <f t="shared" si="29"/>
        <v>-7816</v>
      </c>
      <c r="AP77" s="82">
        <f t="shared" si="30"/>
        <v>-80.183046700000006</v>
      </c>
      <c r="AQ77" s="83">
        <f t="shared" si="31"/>
        <v>-83.562608699999998</v>
      </c>
      <c r="AR77" s="83">
        <f t="shared" si="32"/>
        <v>-35.667084600000003</v>
      </c>
      <c r="AS77" s="83">
        <f t="shared" si="33"/>
        <v>-43.998746400000002</v>
      </c>
      <c r="AT77" s="83">
        <f t="shared" si="34"/>
        <v>-42.077276099999999</v>
      </c>
      <c r="AU77" s="83">
        <f t="shared" si="35"/>
        <v>-49.3493335</v>
      </c>
      <c r="AV77" s="84">
        <f t="shared" si="36"/>
        <v>-33.677128199999999</v>
      </c>
    </row>
    <row r="78" spans="33:48" x14ac:dyDescent="0.25">
      <c r="AG78" s="82" t="e">
        <f t="shared" si="21"/>
        <v>#VALUE!</v>
      </c>
      <c r="AH78" s="82" t="e">
        <f t="shared" si="22"/>
        <v>#VALUE!</v>
      </c>
      <c r="AI78" s="82">
        <f t="shared" si="23"/>
        <v>-39320512</v>
      </c>
      <c r="AJ78" s="82">
        <f t="shared" si="24"/>
        <v>-27485280</v>
      </c>
      <c r="AK78" s="82">
        <f t="shared" si="25"/>
        <v>-7786720</v>
      </c>
      <c r="AL78" s="82">
        <f t="shared" si="26"/>
        <v>0</v>
      </c>
      <c r="AM78" s="82">
        <f t="shared" si="27"/>
        <v>-447352</v>
      </c>
      <c r="AN78" s="82">
        <f t="shared" si="28"/>
        <v>-19243128</v>
      </c>
      <c r="AO78" s="82">
        <f t="shared" si="29"/>
        <v>-8080</v>
      </c>
      <c r="AP78" s="82">
        <f t="shared" si="30"/>
        <v>-82.666245000000004</v>
      </c>
      <c r="AQ78" s="83">
        <f t="shared" si="31"/>
        <v>-87.263385999999997</v>
      </c>
      <c r="AR78" s="83">
        <f t="shared" si="32"/>
        <v>-36.405519400000003</v>
      </c>
      <c r="AS78" s="83">
        <f t="shared" si="33"/>
        <v>-44.601418899999999</v>
      </c>
      <c r="AT78" s="83">
        <f t="shared" si="34"/>
        <v>-42.924804100000003</v>
      </c>
      <c r="AU78" s="83">
        <f t="shared" si="35"/>
        <v>-51.854258700000003</v>
      </c>
      <c r="AV78" s="84">
        <f t="shared" si="36"/>
        <v>-35.072831399999998</v>
      </c>
    </row>
    <row r="79" spans="33:48" x14ac:dyDescent="0.25">
      <c r="AG79" s="82" t="e">
        <f t="shared" si="21"/>
        <v>#VALUE!</v>
      </c>
      <c r="AH79" s="82" t="e">
        <f t="shared" si="22"/>
        <v>#VALUE!</v>
      </c>
      <c r="AI79" s="82">
        <f t="shared" si="23"/>
        <v>-2427520</v>
      </c>
      <c r="AJ79" s="82">
        <f t="shared" si="24"/>
        <v>-4327976</v>
      </c>
      <c r="AK79" s="82">
        <f t="shared" si="25"/>
        <v>-753968</v>
      </c>
      <c r="AL79" s="82">
        <f t="shared" si="26"/>
        <v>0</v>
      </c>
      <c r="AM79" s="82">
        <f t="shared" si="27"/>
        <v>-689128</v>
      </c>
      <c r="AN79" s="82">
        <f t="shared" si="28"/>
        <v>-2877600</v>
      </c>
      <c r="AO79" s="82">
        <f t="shared" si="29"/>
        <v>-7280</v>
      </c>
      <c r="AP79" s="82">
        <f t="shared" si="30"/>
        <v>-73.663907300000005</v>
      </c>
      <c r="AQ79" s="83">
        <f t="shared" si="31"/>
        <v>-75.305890399999996</v>
      </c>
      <c r="AR79" s="83">
        <f t="shared" si="32"/>
        <v>-38.023329199999999</v>
      </c>
      <c r="AS79" s="83">
        <f t="shared" si="33"/>
        <v>-44.228918200000003</v>
      </c>
      <c r="AT79" s="83">
        <f t="shared" si="34"/>
        <v>-42.768364699999999</v>
      </c>
      <c r="AU79" s="83">
        <f t="shared" si="35"/>
        <v>-46.839814199999999</v>
      </c>
      <c r="AV79" s="84">
        <f t="shared" si="36"/>
        <v>-34.689698300000003</v>
      </c>
    </row>
    <row r="80" spans="33:48" x14ac:dyDescent="0.25">
      <c r="AG80" s="82" t="e">
        <f t="shared" si="21"/>
        <v>#VALUE!</v>
      </c>
      <c r="AH80" s="82" t="e">
        <f t="shared" si="22"/>
        <v>#VALUE!</v>
      </c>
      <c r="AI80" s="82">
        <f t="shared" si="23"/>
        <v>-2427520</v>
      </c>
      <c r="AJ80" s="82">
        <f t="shared" si="24"/>
        <v>-8751896</v>
      </c>
      <c r="AK80" s="82">
        <f t="shared" si="25"/>
        <v>-753968</v>
      </c>
      <c r="AL80" s="82">
        <f t="shared" si="26"/>
        <v>0</v>
      </c>
      <c r="AM80" s="82">
        <f t="shared" si="27"/>
        <v>-1273608</v>
      </c>
      <c r="AN80" s="82">
        <f t="shared" si="28"/>
        <v>-6717040</v>
      </c>
      <c r="AO80" s="82">
        <f t="shared" si="29"/>
        <v>-7280</v>
      </c>
      <c r="AP80" s="82">
        <f t="shared" si="30"/>
        <v>-75.806673099999998</v>
      </c>
      <c r="AQ80" s="83">
        <f t="shared" si="31"/>
        <v>-77.716489999999993</v>
      </c>
      <c r="AR80" s="83">
        <f t="shared" si="32"/>
        <v>-40.593065500000002</v>
      </c>
      <c r="AS80" s="83">
        <f t="shared" si="33"/>
        <v>-45.873555000000003</v>
      </c>
      <c r="AT80" s="83">
        <f t="shared" si="34"/>
        <v>-44.722834300000002</v>
      </c>
      <c r="AU80" s="83">
        <f t="shared" si="35"/>
        <v>-47.989644699999999</v>
      </c>
      <c r="AV80" s="84">
        <f t="shared" si="36"/>
        <v>-36.447340699999998</v>
      </c>
    </row>
    <row r="81" spans="33:48" x14ac:dyDescent="0.25">
      <c r="AG81" s="82" t="e">
        <f t="shared" si="21"/>
        <v>#VALUE!</v>
      </c>
      <c r="AH81" s="82" t="e">
        <f t="shared" si="22"/>
        <v>#VALUE!</v>
      </c>
      <c r="AI81" s="82">
        <f t="shared" si="23"/>
        <v>-2450608</v>
      </c>
      <c r="AJ81" s="82">
        <f t="shared" si="24"/>
        <v>-13106888</v>
      </c>
      <c r="AK81" s="82">
        <f t="shared" si="25"/>
        <v>-2064360</v>
      </c>
      <c r="AL81" s="82">
        <f t="shared" si="26"/>
        <v>0</v>
      </c>
      <c r="AM81" s="82">
        <f t="shared" si="27"/>
        <v>-1243264</v>
      </c>
      <c r="AN81" s="82">
        <f t="shared" si="28"/>
        <v>-9791984</v>
      </c>
      <c r="AO81" s="82">
        <f t="shared" si="29"/>
        <v>-7280</v>
      </c>
      <c r="AP81" s="82">
        <f t="shared" si="30"/>
        <v>-78.4639028</v>
      </c>
      <c r="AQ81" s="83">
        <f t="shared" si="31"/>
        <v>-80.975413500000002</v>
      </c>
      <c r="AR81" s="83">
        <f t="shared" si="32"/>
        <v>-41.942545500000001</v>
      </c>
      <c r="AS81" s="83">
        <f t="shared" si="33"/>
        <v>-46.572803299999997</v>
      </c>
      <c r="AT81" s="83">
        <f t="shared" si="34"/>
        <v>-45.5570016</v>
      </c>
      <c r="AU81" s="83">
        <f t="shared" si="35"/>
        <v>-49.817949599999999</v>
      </c>
      <c r="AV81" s="84">
        <f t="shared" si="36"/>
        <v>-38.079630600000002</v>
      </c>
    </row>
    <row r="82" spans="33:48" x14ac:dyDescent="0.25">
      <c r="AG82" s="82" t="e">
        <f t="shared" si="21"/>
        <v>#VALUE!</v>
      </c>
      <c r="AH82" s="82" t="e">
        <f t="shared" si="22"/>
        <v>#VALUE!</v>
      </c>
      <c r="AI82" s="82">
        <f t="shared" si="23"/>
        <v>-2450608</v>
      </c>
      <c r="AJ82" s="82">
        <f t="shared" si="24"/>
        <v>-18640016</v>
      </c>
      <c r="AK82" s="82">
        <f t="shared" si="25"/>
        <v>-2064360</v>
      </c>
      <c r="AL82" s="82">
        <f t="shared" si="26"/>
        <v>0</v>
      </c>
      <c r="AM82" s="82">
        <f t="shared" si="27"/>
        <v>-1815800</v>
      </c>
      <c r="AN82" s="82">
        <f t="shared" si="28"/>
        <v>-14752560</v>
      </c>
      <c r="AO82" s="82">
        <f t="shared" si="29"/>
        <v>-7296</v>
      </c>
      <c r="AP82" s="82">
        <f t="shared" si="30"/>
        <v>-79.490637699999994</v>
      </c>
      <c r="AQ82" s="83">
        <f t="shared" si="31"/>
        <v>-82.380019300000001</v>
      </c>
      <c r="AR82" s="83">
        <f t="shared" si="32"/>
        <v>-43.021794</v>
      </c>
      <c r="AS82" s="83">
        <f t="shared" si="33"/>
        <v>-47.6752909</v>
      </c>
      <c r="AT82" s="83">
        <f t="shared" si="34"/>
        <v>-46.881212300000001</v>
      </c>
      <c r="AU82" s="83">
        <f t="shared" si="35"/>
        <v>-50.421696400000002</v>
      </c>
      <c r="AV82" s="84">
        <f t="shared" si="36"/>
        <v>-39.163862399999999</v>
      </c>
    </row>
    <row r="83" spans="33:48" x14ac:dyDescent="0.25">
      <c r="AG83" s="82" t="e">
        <f t="shared" si="21"/>
        <v>#VALUE!</v>
      </c>
      <c r="AH83" s="82" t="e">
        <f t="shared" si="22"/>
        <v>#VALUE!</v>
      </c>
      <c r="AI83" s="82">
        <f t="shared" si="23"/>
        <v>-7367488</v>
      </c>
      <c r="AJ83" s="82">
        <f t="shared" si="24"/>
        <v>-27367240</v>
      </c>
      <c r="AK83" s="82">
        <f t="shared" si="25"/>
        <v>-4761408</v>
      </c>
      <c r="AL83" s="82">
        <f t="shared" si="26"/>
        <v>0</v>
      </c>
      <c r="AM83" s="82">
        <f t="shared" si="27"/>
        <v>-1671832</v>
      </c>
      <c r="AN83" s="82">
        <f t="shared" si="28"/>
        <v>-20926448</v>
      </c>
      <c r="AO83" s="82">
        <f t="shared" si="29"/>
        <v>-7552</v>
      </c>
      <c r="AP83" s="82">
        <f t="shared" si="30"/>
        <v>-82.409964900000006</v>
      </c>
      <c r="AQ83" s="83">
        <f t="shared" si="31"/>
        <v>-86.478636800000004</v>
      </c>
      <c r="AR83" s="83">
        <f t="shared" si="32"/>
        <v>-44.125937399999998</v>
      </c>
      <c r="AS83" s="83">
        <f t="shared" si="33"/>
        <v>-48.398906699999998</v>
      </c>
      <c r="AT83" s="83">
        <f t="shared" si="34"/>
        <v>-47.707342199999999</v>
      </c>
      <c r="AU83" s="83">
        <f t="shared" si="35"/>
        <v>-52.531148299999998</v>
      </c>
      <c r="AV83" s="84">
        <f t="shared" si="36"/>
        <v>-41.205515699999999</v>
      </c>
    </row>
    <row r="84" spans="33:48" x14ac:dyDescent="0.25">
      <c r="AG84" s="82" t="e">
        <f t="shared" si="21"/>
        <v>#VALUE!</v>
      </c>
      <c r="AH84" s="82" t="e">
        <f t="shared" si="22"/>
        <v>#VALUE!</v>
      </c>
      <c r="AI84" s="82">
        <f t="shared" si="23"/>
        <v>-460240</v>
      </c>
      <c r="AJ84" s="82">
        <f t="shared" si="24"/>
        <v>-4124816</v>
      </c>
      <c r="AK84" s="82">
        <f t="shared" si="25"/>
        <v>-641808</v>
      </c>
      <c r="AL84" s="82">
        <f t="shared" si="26"/>
        <v>0</v>
      </c>
      <c r="AM84" s="82">
        <f t="shared" si="27"/>
        <v>-721216</v>
      </c>
      <c r="AN84" s="82">
        <f t="shared" si="28"/>
        <v>-2755024</v>
      </c>
      <c r="AO84" s="82">
        <f t="shared" si="29"/>
        <v>-6768</v>
      </c>
      <c r="AP84" s="82">
        <f t="shared" si="30"/>
        <v>-69.493986899999996</v>
      </c>
      <c r="AQ84" s="83">
        <f t="shared" si="31"/>
        <v>-70.625072200000005</v>
      </c>
      <c r="AR84" s="83">
        <f t="shared" si="32"/>
        <v>-29.536920899999998</v>
      </c>
      <c r="AS84" s="83">
        <f t="shared" si="33"/>
        <v>-38.632165999999998</v>
      </c>
      <c r="AT84" s="83">
        <f t="shared" si="34"/>
        <v>-38.3506863</v>
      </c>
      <c r="AU84" s="83">
        <f t="shared" si="35"/>
        <v>-46.218779099999999</v>
      </c>
      <c r="AV84" s="84">
        <f t="shared" si="36"/>
        <v>-28.037474</v>
      </c>
    </row>
    <row r="85" spans="33:48" x14ac:dyDescent="0.25">
      <c r="AG85" s="82" t="e">
        <f t="shared" si="21"/>
        <v>#VALUE!</v>
      </c>
      <c r="AH85" s="82" t="e">
        <f t="shared" si="22"/>
        <v>#VALUE!</v>
      </c>
      <c r="AI85" s="82">
        <f t="shared" si="23"/>
        <v>-920192</v>
      </c>
      <c r="AJ85" s="82">
        <f t="shared" si="24"/>
        <v>-6560952</v>
      </c>
      <c r="AK85" s="82">
        <f t="shared" si="25"/>
        <v>-985888</v>
      </c>
      <c r="AL85" s="82">
        <f t="shared" si="26"/>
        <v>0</v>
      </c>
      <c r="AM85" s="82">
        <f t="shared" si="27"/>
        <v>-846328</v>
      </c>
      <c r="AN85" s="82">
        <f t="shared" si="28"/>
        <v>-4721712</v>
      </c>
      <c r="AO85" s="82">
        <f t="shared" si="29"/>
        <v>-7024</v>
      </c>
      <c r="AP85" s="82">
        <f t="shared" si="30"/>
        <v>-72.824779100000001</v>
      </c>
      <c r="AQ85" s="83">
        <f t="shared" si="31"/>
        <v>-74.429972199999995</v>
      </c>
      <c r="AR85" s="83">
        <f t="shared" si="32"/>
        <v>-30.238132199999999</v>
      </c>
      <c r="AS85" s="83">
        <f t="shared" si="33"/>
        <v>-38.805757399999997</v>
      </c>
      <c r="AT85" s="83">
        <f t="shared" si="34"/>
        <v>-38.6516442</v>
      </c>
      <c r="AU85" s="83">
        <f t="shared" si="35"/>
        <v>-48.108196200000002</v>
      </c>
      <c r="AV85" s="84">
        <f t="shared" si="36"/>
        <v>-28.676310399999998</v>
      </c>
    </row>
    <row r="86" spans="33:48" x14ac:dyDescent="0.25">
      <c r="AG86" s="82" t="e">
        <f t="shared" si="21"/>
        <v>#VALUE!</v>
      </c>
      <c r="AH86" s="82" t="e">
        <f t="shared" si="22"/>
        <v>#VALUE!</v>
      </c>
      <c r="AI86" s="82">
        <f t="shared" si="23"/>
        <v>-1841440</v>
      </c>
      <c r="AJ86" s="82">
        <f t="shared" si="24"/>
        <v>-12124920</v>
      </c>
      <c r="AK86" s="82">
        <f t="shared" si="25"/>
        <v>-1675736</v>
      </c>
      <c r="AL86" s="82">
        <f t="shared" si="26"/>
        <v>0</v>
      </c>
      <c r="AM86" s="82">
        <f t="shared" si="27"/>
        <v>-665144</v>
      </c>
      <c r="AN86" s="82">
        <f t="shared" si="28"/>
        <v>-9777000</v>
      </c>
      <c r="AO86" s="82">
        <f t="shared" si="29"/>
        <v>-7040</v>
      </c>
      <c r="AP86" s="82">
        <f t="shared" si="30"/>
        <v>-74.488499000000004</v>
      </c>
      <c r="AQ86" s="83">
        <f t="shared" si="31"/>
        <v>-76.268924600000005</v>
      </c>
      <c r="AR86" s="83">
        <f t="shared" si="32"/>
        <v>-31.1589679</v>
      </c>
      <c r="AS86" s="83">
        <f t="shared" si="33"/>
        <v>-39.018738599999999</v>
      </c>
      <c r="AT86" s="83">
        <f t="shared" si="34"/>
        <v>-39.194766899999998</v>
      </c>
      <c r="AU86" s="83">
        <f t="shared" si="35"/>
        <v>-49.108565200000001</v>
      </c>
      <c r="AV86" s="84">
        <f t="shared" si="36"/>
        <v>-30.0304036</v>
      </c>
    </row>
    <row r="87" spans="33:48" x14ac:dyDescent="0.25">
      <c r="AG87" s="82" t="e">
        <f t="shared" si="21"/>
        <v>#VALUE!</v>
      </c>
      <c r="AH87" s="82" t="e">
        <f t="shared" si="22"/>
        <v>#VALUE!</v>
      </c>
      <c r="AI87" s="82">
        <f t="shared" si="23"/>
        <v>-1841440</v>
      </c>
      <c r="AJ87" s="82">
        <f t="shared" si="24"/>
        <v>-17672352</v>
      </c>
      <c r="AK87" s="82">
        <f t="shared" si="25"/>
        <v>-1849472</v>
      </c>
      <c r="AL87" s="82">
        <f t="shared" si="26"/>
        <v>0</v>
      </c>
      <c r="AM87" s="82">
        <f t="shared" si="27"/>
        <v>-1134352</v>
      </c>
      <c r="AN87" s="82">
        <f t="shared" si="28"/>
        <v>-14681488</v>
      </c>
      <c r="AO87" s="82">
        <f t="shared" si="29"/>
        <v>-7040</v>
      </c>
      <c r="AP87" s="82">
        <f t="shared" si="30"/>
        <v>-76.147575700000004</v>
      </c>
      <c r="AQ87" s="83">
        <f t="shared" si="31"/>
        <v>-78.169240700000003</v>
      </c>
      <c r="AR87" s="83">
        <f t="shared" si="32"/>
        <v>-31.828979</v>
      </c>
      <c r="AS87" s="83">
        <f t="shared" si="33"/>
        <v>-39.091364499999997</v>
      </c>
      <c r="AT87" s="83">
        <f t="shared" si="34"/>
        <v>-39.321328100000002</v>
      </c>
      <c r="AU87" s="83">
        <f t="shared" si="35"/>
        <v>-50.082192399999997</v>
      </c>
      <c r="AV87" s="84">
        <f t="shared" si="36"/>
        <v>-30.700318200000002</v>
      </c>
    </row>
    <row r="88" spans="33:48" x14ac:dyDescent="0.25">
      <c r="AG88" s="82" t="e">
        <f t="shared" si="21"/>
        <v>#VALUE!</v>
      </c>
      <c r="AH88" s="82" t="e">
        <f t="shared" si="22"/>
        <v>#VALUE!</v>
      </c>
      <c r="AI88" s="82">
        <f t="shared" si="23"/>
        <v>-3683456</v>
      </c>
      <c r="AJ88" s="82">
        <f t="shared" si="24"/>
        <v>-26587720</v>
      </c>
      <c r="AK88" s="82">
        <f t="shared" si="25"/>
        <v>-3245056</v>
      </c>
      <c r="AL88" s="82">
        <f t="shared" si="26"/>
        <v>0</v>
      </c>
      <c r="AM88" s="82">
        <f t="shared" si="27"/>
        <v>-1033464</v>
      </c>
      <c r="AN88" s="82">
        <f t="shared" si="28"/>
        <v>-22301904</v>
      </c>
      <c r="AO88" s="82">
        <f t="shared" si="29"/>
        <v>-7296</v>
      </c>
      <c r="AP88" s="82">
        <f t="shared" si="30"/>
        <v>-78.573853799999995</v>
      </c>
      <c r="AQ88" s="83">
        <f t="shared" si="31"/>
        <v>-81.034579199999996</v>
      </c>
      <c r="AR88" s="83">
        <f t="shared" si="32"/>
        <v>-32.683504200000002</v>
      </c>
      <c r="AS88" s="83">
        <f t="shared" si="33"/>
        <v>-39.175278900000002</v>
      </c>
      <c r="AT88" s="83">
        <f t="shared" si="34"/>
        <v>-39.477752799999998</v>
      </c>
      <c r="AU88" s="83">
        <f t="shared" si="35"/>
        <v>-51.5441365</v>
      </c>
      <c r="AV88" s="84">
        <f t="shared" si="36"/>
        <v>-31.636294599999999</v>
      </c>
    </row>
    <row r="89" spans="33:48" x14ac:dyDescent="0.25">
      <c r="AG89" s="82" t="e">
        <f t="shared" si="21"/>
        <v>#VALUE!</v>
      </c>
      <c r="AH89" s="82" t="e">
        <f t="shared" si="22"/>
        <v>#VALUE!</v>
      </c>
      <c r="AI89" s="82">
        <f t="shared" si="23"/>
        <v>-459760</v>
      </c>
      <c r="AJ89" s="82">
        <f t="shared" si="24"/>
        <v>-4236816</v>
      </c>
      <c r="AK89" s="82">
        <f t="shared" si="25"/>
        <v>-560584</v>
      </c>
      <c r="AL89" s="82">
        <f t="shared" si="26"/>
        <v>0</v>
      </c>
      <c r="AM89" s="82">
        <f t="shared" si="27"/>
        <v>-639584</v>
      </c>
      <c r="AN89" s="82">
        <f t="shared" si="28"/>
        <v>-3029880</v>
      </c>
      <c r="AO89" s="82">
        <f t="shared" si="29"/>
        <v>-6768</v>
      </c>
      <c r="AP89" s="82">
        <f t="shared" si="30"/>
        <v>-70.088520200000005</v>
      </c>
      <c r="AQ89" s="83">
        <f t="shared" si="31"/>
        <v>-71.131651899999994</v>
      </c>
      <c r="AR89" s="83">
        <f t="shared" si="32"/>
        <v>-32.4012867</v>
      </c>
      <c r="AS89" s="83">
        <f t="shared" si="33"/>
        <v>-42.221381899999997</v>
      </c>
      <c r="AT89" s="83">
        <f t="shared" si="34"/>
        <v>-42.571627800000002</v>
      </c>
      <c r="AU89" s="83">
        <f t="shared" si="35"/>
        <v>-46.186053800000003</v>
      </c>
      <c r="AV89" s="84">
        <f t="shared" si="36"/>
        <v>-31.147309799999999</v>
      </c>
    </row>
    <row r="90" spans="33:48" x14ac:dyDescent="0.25">
      <c r="AG90" s="82" t="e">
        <f t="shared" si="21"/>
        <v>#VALUE!</v>
      </c>
      <c r="AH90" s="82" t="e">
        <f t="shared" si="22"/>
        <v>#VALUE!</v>
      </c>
      <c r="AI90" s="82">
        <f t="shared" si="23"/>
        <v>-459760</v>
      </c>
      <c r="AJ90" s="82">
        <f t="shared" si="24"/>
        <v>-6459040</v>
      </c>
      <c r="AK90" s="82">
        <f t="shared" si="25"/>
        <v>-605944</v>
      </c>
      <c r="AL90" s="82">
        <f t="shared" si="26"/>
        <v>0</v>
      </c>
      <c r="AM90" s="82">
        <f t="shared" si="27"/>
        <v>-680880</v>
      </c>
      <c r="AN90" s="82">
        <f t="shared" si="28"/>
        <v>-5165432</v>
      </c>
      <c r="AO90" s="82">
        <f t="shared" si="29"/>
        <v>-6784</v>
      </c>
      <c r="AP90" s="82">
        <f t="shared" si="30"/>
        <v>-70.263033300000004</v>
      </c>
      <c r="AQ90" s="83">
        <f t="shared" si="31"/>
        <v>-71.316923299999999</v>
      </c>
      <c r="AR90" s="83">
        <f t="shared" si="32"/>
        <v>-32.9904875</v>
      </c>
      <c r="AS90" s="83">
        <f t="shared" si="33"/>
        <v>-42.5027629</v>
      </c>
      <c r="AT90" s="83">
        <f t="shared" si="34"/>
        <v>-42.850951199999997</v>
      </c>
      <c r="AU90" s="83">
        <f t="shared" si="35"/>
        <v>-46.200781800000001</v>
      </c>
      <c r="AV90" s="84">
        <f t="shared" si="36"/>
        <v>-31.427180700000001</v>
      </c>
    </row>
    <row r="91" spans="33:48" x14ac:dyDescent="0.25">
      <c r="AG91" s="82" t="e">
        <f t="shared" si="21"/>
        <v>#VALUE!</v>
      </c>
      <c r="AH91" s="82" t="e">
        <f t="shared" si="22"/>
        <v>#VALUE!</v>
      </c>
      <c r="AI91" s="82">
        <f t="shared" si="23"/>
        <v>-1842080</v>
      </c>
      <c r="AJ91" s="82">
        <f t="shared" si="24"/>
        <v>-12113304</v>
      </c>
      <c r="AK91" s="82">
        <f t="shared" si="25"/>
        <v>-1627192</v>
      </c>
      <c r="AL91" s="82">
        <f t="shared" si="26"/>
        <v>0</v>
      </c>
      <c r="AM91" s="82">
        <f t="shared" si="27"/>
        <v>-836776</v>
      </c>
      <c r="AN91" s="82">
        <f t="shared" si="28"/>
        <v>-9642296</v>
      </c>
      <c r="AO91" s="82">
        <f t="shared" si="29"/>
        <v>-7040</v>
      </c>
      <c r="AP91" s="82">
        <f t="shared" si="30"/>
        <v>-75.6246352</v>
      </c>
      <c r="AQ91" s="83">
        <f t="shared" si="31"/>
        <v>-77.363060200000007</v>
      </c>
      <c r="AR91" s="83">
        <f t="shared" si="32"/>
        <v>-34.149438600000003</v>
      </c>
      <c r="AS91" s="83">
        <f t="shared" si="33"/>
        <v>-42.8375992</v>
      </c>
      <c r="AT91" s="83">
        <f t="shared" si="34"/>
        <v>-43.357604100000003</v>
      </c>
      <c r="AU91" s="83">
        <f t="shared" si="35"/>
        <v>-50.157144000000002</v>
      </c>
      <c r="AV91" s="84">
        <f t="shared" si="36"/>
        <v>-33.187555699999997</v>
      </c>
    </row>
    <row r="92" spans="33:48" x14ac:dyDescent="0.25">
      <c r="AG92" s="82" t="e">
        <f t="shared" si="21"/>
        <v>#VALUE!</v>
      </c>
      <c r="AH92" s="82" t="e">
        <f t="shared" si="22"/>
        <v>#VALUE!</v>
      </c>
      <c r="AI92" s="82">
        <f t="shared" si="23"/>
        <v>-1842080</v>
      </c>
      <c r="AJ92" s="82">
        <f t="shared" si="24"/>
        <v>-17709576</v>
      </c>
      <c r="AK92" s="82">
        <f t="shared" si="25"/>
        <v>-1800664</v>
      </c>
      <c r="AL92" s="82">
        <f t="shared" si="26"/>
        <v>0</v>
      </c>
      <c r="AM92" s="82">
        <f t="shared" si="27"/>
        <v>-1066400</v>
      </c>
      <c r="AN92" s="82">
        <f t="shared" si="28"/>
        <v>-14835472</v>
      </c>
      <c r="AO92" s="82">
        <f t="shared" si="29"/>
        <v>-7040</v>
      </c>
      <c r="AP92" s="82">
        <f t="shared" si="30"/>
        <v>-76.508919300000002</v>
      </c>
      <c r="AQ92" s="83">
        <f t="shared" si="31"/>
        <v>-78.383438799999993</v>
      </c>
      <c r="AR92" s="83">
        <f t="shared" si="32"/>
        <v>-34.828046999999998</v>
      </c>
      <c r="AS92" s="83">
        <f t="shared" si="33"/>
        <v>-42.959539200000002</v>
      </c>
      <c r="AT92" s="83">
        <f t="shared" si="34"/>
        <v>-43.547751099999999</v>
      </c>
      <c r="AU92" s="83">
        <f t="shared" si="35"/>
        <v>-50.624193099999999</v>
      </c>
      <c r="AV92" s="84">
        <f t="shared" si="36"/>
        <v>-33.750894000000002</v>
      </c>
    </row>
    <row r="93" spans="33:48" ht="15.75" customHeight="1" thickBot="1" x14ac:dyDescent="0.3">
      <c r="AG93" s="85" t="e">
        <f t="shared" si="21"/>
        <v>#VALUE!</v>
      </c>
      <c r="AH93" s="85" t="e">
        <f t="shared" si="22"/>
        <v>#VALUE!</v>
      </c>
      <c r="AI93" s="85">
        <f t="shared" si="23"/>
        <v>-3684832</v>
      </c>
      <c r="AJ93" s="85">
        <f t="shared" si="24"/>
        <v>-26699160</v>
      </c>
      <c r="AK93" s="85">
        <f t="shared" si="25"/>
        <v>-2813368</v>
      </c>
      <c r="AL93" s="85">
        <f t="shared" si="26"/>
        <v>0</v>
      </c>
      <c r="AM93" s="85">
        <f t="shared" si="27"/>
        <v>-1263072</v>
      </c>
      <c r="AN93" s="85">
        <f t="shared" si="28"/>
        <v>-22615424</v>
      </c>
      <c r="AO93" s="85">
        <f t="shared" si="29"/>
        <v>-7296</v>
      </c>
      <c r="AP93" s="85">
        <f t="shared" si="30"/>
        <v>-79.043244799999997</v>
      </c>
      <c r="AQ93" s="86">
        <f t="shared" si="31"/>
        <v>-81.457322500000004</v>
      </c>
      <c r="AR93" s="86">
        <f t="shared" si="32"/>
        <v>-35.730381800000004</v>
      </c>
      <c r="AS93" s="86">
        <f t="shared" si="33"/>
        <v>-43.104199800000004</v>
      </c>
      <c r="AT93" s="86">
        <f t="shared" si="34"/>
        <v>-43.768146700000003</v>
      </c>
      <c r="AU93" s="86">
        <f t="shared" si="35"/>
        <v>-52.181778700000002</v>
      </c>
      <c r="AV93" s="87">
        <f t="shared" si="36"/>
        <v>-34.814211899999997</v>
      </c>
    </row>
  </sheetData>
  <mergeCells count="52">
    <mergeCell ref="BT2:BT3"/>
    <mergeCell ref="AZ2:BD2"/>
    <mergeCell ref="AU2:AV2"/>
    <mergeCell ref="S2:S3"/>
    <mergeCell ref="BS2:BS3"/>
    <mergeCell ref="AM2:AM3"/>
    <mergeCell ref="BR2:BR3"/>
    <mergeCell ref="BQ2:BQ3"/>
    <mergeCell ref="BP2:BP3"/>
    <mergeCell ref="A2:A3"/>
    <mergeCell ref="BM2:BM3"/>
    <mergeCell ref="F2:F3"/>
    <mergeCell ref="AL2:AL3"/>
    <mergeCell ref="C2:C3"/>
    <mergeCell ref="AE2:AE3"/>
    <mergeCell ref="AB2:AB3"/>
    <mergeCell ref="AC2:AC3"/>
    <mergeCell ref="BE2:BF2"/>
    <mergeCell ref="AW2:AW3"/>
    <mergeCell ref="Q2:Q3"/>
    <mergeCell ref="AK2:AK3"/>
    <mergeCell ref="H2:H3"/>
    <mergeCell ref="AP2:AT2"/>
    <mergeCell ref="G2:G3"/>
    <mergeCell ref="K2:K3"/>
    <mergeCell ref="B2:B3"/>
    <mergeCell ref="BN2:BN3"/>
    <mergeCell ref="AH2:AH3"/>
    <mergeCell ref="M2:M3"/>
    <mergeCell ref="BJ2:BL2"/>
    <mergeCell ref="AX2:AX3"/>
    <mergeCell ref="BH2:BI2"/>
    <mergeCell ref="T2:T3"/>
    <mergeCell ref="AJ2:AJ3"/>
    <mergeCell ref="J2:J3"/>
    <mergeCell ref="D2:D3"/>
    <mergeCell ref="A1:H1"/>
    <mergeCell ref="Z2:AA2"/>
    <mergeCell ref="U2:Y2"/>
    <mergeCell ref="AE1:AX1"/>
    <mergeCell ref="AO2:AO3"/>
    <mergeCell ref="P2:P3"/>
    <mergeCell ref="N2:N3"/>
    <mergeCell ref="AN2:AN3"/>
    <mergeCell ref="O2:O3"/>
    <mergeCell ref="R2:R3"/>
    <mergeCell ref="L2:L3"/>
    <mergeCell ref="E2:E3"/>
    <mergeCell ref="J1:AC1"/>
    <mergeCell ref="AG2:AG3"/>
    <mergeCell ref="AF2:AF3"/>
    <mergeCell ref="AI2:AI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G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I5" sqref="AI5:AX44"/>
    </sheetView>
  </sheetViews>
  <sheetFormatPr defaultColWidth="9.1796875" defaultRowHeight="14" outlineLevelRow="1" x14ac:dyDescent="0.25"/>
  <cols>
    <col min="2" max="2" width="24.7265625" style="52" customWidth="1"/>
    <col min="4" max="5" width="10.7265625" style="52" customWidth="1"/>
    <col min="9" max="9" width="1.7265625" style="52" customWidth="1"/>
    <col min="11" max="11" width="10.7265625" style="52" customWidth="1"/>
    <col min="12" max="13" width="12.54296875" style="52" customWidth="1"/>
    <col min="14" max="14" width="10.7265625" style="52" customWidth="1"/>
    <col min="15" max="20" width="12.7265625" style="52" customWidth="1"/>
    <col min="21" max="27" width="11.7265625" style="52" customWidth="1"/>
    <col min="30" max="30" width="1.7265625" style="52" customWidth="1"/>
    <col min="32" max="32" width="10.7265625" style="52" customWidth="1"/>
    <col min="33" max="34" width="12.54296875" style="52" customWidth="1"/>
    <col min="35" max="35" width="10.7265625" style="52" customWidth="1"/>
    <col min="36" max="41" width="12.7265625" style="52" customWidth="1"/>
    <col min="42" max="48" width="11.7265625" style="52" customWidth="1"/>
    <col min="51" max="51" width="1.7265625" style="52" customWidth="1"/>
    <col min="54" max="58" width="11.7265625" style="52" customWidth="1"/>
    <col min="59" max="59" width="1.7265625" style="52" customWidth="1"/>
    <col min="62" max="66" width="11.7265625" style="52" customWidth="1"/>
    <col min="67" max="67" width="1.7265625" style="52" customWidth="1"/>
  </cols>
  <sheetData>
    <row r="1" spans="1:72" x14ac:dyDescent="0.25">
      <c r="A1" s="119" t="s">
        <v>427</v>
      </c>
      <c r="B1" s="107"/>
      <c r="C1" s="107"/>
      <c r="D1" s="107"/>
      <c r="E1" s="107"/>
      <c r="F1" s="107"/>
      <c r="G1" s="107"/>
      <c r="H1" s="107"/>
      <c r="J1" s="109" t="str">
        <f>Summary!C1</f>
        <v>v5.0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15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3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22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1" t="s">
        <v>386</v>
      </c>
      <c r="V2" s="107"/>
      <c r="W2" s="107"/>
      <c r="X2" s="107"/>
      <c r="Y2" s="107"/>
      <c r="Z2" s="120" t="s">
        <v>387</v>
      </c>
      <c r="AA2" s="107"/>
      <c r="AB2" s="117" t="s">
        <v>124</v>
      </c>
      <c r="AC2" s="118" t="s">
        <v>104</v>
      </c>
      <c r="AE2" s="117" t="s">
        <v>129</v>
      </c>
      <c r="AF2" s="118" t="s">
        <v>133</v>
      </c>
      <c r="AG2" s="122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1" t="s">
        <v>386</v>
      </c>
      <c r="AQ2" s="107"/>
      <c r="AR2" s="107"/>
      <c r="AS2" s="107"/>
      <c r="AT2" s="107"/>
      <c r="AU2" s="120" t="s">
        <v>387</v>
      </c>
      <c r="AV2" s="107"/>
      <c r="AW2" s="117" t="s">
        <v>124</v>
      </c>
      <c r="AX2" s="118" t="s">
        <v>104</v>
      </c>
      <c r="AZ2" s="121" t="s">
        <v>15</v>
      </c>
      <c r="BA2" s="107"/>
      <c r="BB2" s="107"/>
      <c r="BC2" s="107"/>
      <c r="BD2" s="107"/>
      <c r="BE2" s="120" t="s">
        <v>16</v>
      </c>
      <c r="BF2" s="107"/>
      <c r="BH2" s="121" t="s">
        <v>388</v>
      </c>
      <c r="BI2" s="107"/>
      <c r="BJ2" s="123" t="s">
        <v>389</v>
      </c>
      <c r="BK2" s="107"/>
      <c r="BL2" s="107"/>
      <c r="BM2" s="117" t="s">
        <v>428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3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58" t="s">
        <v>17</v>
      </c>
      <c r="V3" s="58" t="s">
        <v>18</v>
      </c>
      <c r="W3" s="58" t="s">
        <v>19</v>
      </c>
      <c r="X3" s="58" t="s">
        <v>20</v>
      </c>
      <c r="Y3" s="58" t="s">
        <v>21</v>
      </c>
      <c r="Z3" s="59" t="s">
        <v>22</v>
      </c>
      <c r="AA3" s="59" t="s">
        <v>19</v>
      </c>
      <c r="AB3" s="108"/>
      <c r="AC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58" t="s">
        <v>17</v>
      </c>
      <c r="AQ3" s="58" t="s">
        <v>18</v>
      </c>
      <c r="AR3" s="58" t="s">
        <v>19</v>
      </c>
      <c r="AS3" s="58" t="s">
        <v>20</v>
      </c>
      <c r="AT3" s="58" t="s">
        <v>21</v>
      </c>
      <c r="AU3" s="59" t="s">
        <v>22</v>
      </c>
      <c r="AV3" s="59" t="s">
        <v>19</v>
      </c>
      <c r="AW3" s="108"/>
      <c r="AX3" s="108"/>
      <c r="AZ3" s="58" t="s">
        <v>17</v>
      </c>
      <c r="BA3" s="58" t="s">
        <v>18</v>
      </c>
      <c r="BB3" s="58" t="s">
        <v>19</v>
      </c>
      <c r="BC3" s="58" t="s">
        <v>20</v>
      </c>
      <c r="BD3" s="58" t="s">
        <v>21</v>
      </c>
      <c r="BE3" s="59" t="s">
        <v>22</v>
      </c>
      <c r="BF3" s="59" t="s">
        <v>19</v>
      </c>
      <c r="BH3" s="58" t="s">
        <v>17</v>
      </c>
      <c r="BI3" s="58" t="s">
        <v>18</v>
      </c>
      <c r="BJ3" s="39" t="s">
        <v>19</v>
      </c>
      <c r="BK3" s="39" t="s">
        <v>20</v>
      </c>
      <c r="BL3" s="39" t="s">
        <v>21</v>
      </c>
      <c r="BM3" s="108"/>
      <c r="BN3" s="108"/>
      <c r="BP3" s="108"/>
      <c r="BQ3" s="108"/>
      <c r="BR3" s="108"/>
      <c r="BS3" s="108"/>
      <c r="BT3" s="108"/>
    </row>
    <row r="4" spans="1:72" ht="54" hidden="1" customHeight="1" thickBot="1" x14ac:dyDescent="0.3">
      <c r="A4" s="6" t="s">
        <v>169</v>
      </c>
      <c r="B4" s="7" t="s">
        <v>170</v>
      </c>
      <c r="C4" s="6" t="s">
        <v>397</v>
      </c>
      <c r="D4" s="7" t="s">
        <v>171</v>
      </c>
      <c r="E4" s="6" t="s">
        <v>172</v>
      </c>
      <c r="F4" s="7" t="s">
        <v>173</v>
      </c>
      <c r="G4" s="6" t="s">
        <v>174</v>
      </c>
      <c r="H4" s="7" t="s">
        <v>398</v>
      </c>
      <c r="J4" s="6" t="s">
        <v>175</v>
      </c>
      <c r="K4" s="7" t="s">
        <v>176</v>
      </c>
      <c r="L4" s="7"/>
      <c r="M4" s="7"/>
      <c r="N4" s="6" t="s">
        <v>399</v>
      </c>
      <c r="O4" s="7" t="s">
        <v>177</v>
      </c>
      <c r="P4" s="7"/>
      <c r="Q4" s="7"/>
      <c r="R4" s="7"/>
      <c r="S4" s="7"/>
      <c r="T4" s="7"/>
      <c r="U4" s="6" t="s">
        <v>400</v>
      </c>
      <c r="V4" s="6" t="s">
        <v>401</v>
      </c>
      <c r="W4" s="6" t="s">
        <v>402</v>
      </c>
      <c r="X4" s="6" t="s">
        <v>403</v>
      </c>
      <c r="Y4" s="6" t="s">
        <v>404</v>
      </c>
      <c r="Z4" s="7" t="s">
        <v>405</v>
      </c>
      <c r="AA4" s="7" t="s">
        <v>406</v>
      </c>
      <c r="AB4" s="6" t="s">
        <v>178</v>
      </c>
      <c r="AC4" s="7" t="s">
        <v>179</v>
      </c>
      <c r="AE4" s="6" t="s">
        <v>180</v>
      </c>
      <c r="AF4" s="7" t="s">
        <v>181</v>
      </c>
      <c r="AG4" s="7"/>
      <c r="AH4" s="7"/>
      <c r="AI4" s="6" t="s">
        <v>407</v>
      </c>
      <c r="AJ4" s="7" t="s">
        <v>182</v>
      </c>
      <c r="AK4" s="7"/>
      <c r="AL4" s="7"/>
      <c r="AM4" s="7"/>
      <c r="AN4" s="7"/>
      <c r="AO4" s="7"/>
      <c r="AP4" s="6" t="s">
        <v>408</v>
      </c>
      <c r="AQ4" s="6" t="s">
        <v>409</v>
      </c>
      <c r="AR4" s="6" t="s">
        <v>410</v>
      </c>
      <c r="AS4" s="6" t="s">
        <v>411</v>
      </c>
      <c r="AT4" s="6" t="s">
        <v>412</v>
      </c>
      <c r="AU4" s="7" t="s">
        <v>413</v>
      </c>
      <c r="AV4" s="7" t="s">
        <v>414</v>
      </c>
      <c r="AW4" s="6" t="s">
        <v>183</v>
      </c>
      <c r="AX4" s="7" t="s">
        <v>184</v>
      </c>
      <c r="AZ4" s="6" t="s">
        <v>415</v>
      </c>
      <c r="BA4" s="6" t="s">
        <v>416</v>
      </c>
      <c r="BB4" s="6" t="s">
        <v>417</v>
      </c>
      <c r="BC4" s="6" t="s">
        <v>418</v>
      </c>
      <c r="BD4" s="6" t="s">
        <v>419</v>
      </c>
      <c r="BE4" s="7" t="s">
        <v>420</v>
      </c>
      <c r="BF4" s="7" t="s">
        <v>421</v>
      </c>
      <c r="BH4" s="6" t="s">
        <v>415</v>
      </c>
      <c r="BI4" s="6" t="s">
        <v>416</v>
      </c>
      <c r="BJ4" s="6" t="s">
        <v>417</v>
      </c>
      <c r="BK4" s="6" t="s">
        <v>418</v>
      </c>
      <c r="BL4" s="6" t="s">
        <v>419</v>
      </c>
      <c r="BM4" s="7" t="s">
        <v>420</v>
      </c>
      <c r="BN4" s="7" t="s">
        <v>421</v>
      </c>
    </row>
    <row r="5" spans="1:72" ht="15" customHeight="1" x14ac:dyDescent="0.25">
      <c r="A5" s="8" t="s">
        <v>186</v>
      </c>
      <c r="B5" s="8" t="s">
        <v>32</v>
      </c>
      <c r="C5" s="10" t="s">
        <v>422</v>
      </c>
      <c r="D5" s="8">
        <v>11997440</v>
      </c>
      <c r="E5" s="9">
        <v>10</v>
      </c>
      <c r="F5" s="10">
        <v>32</v>
      </c>
      <c r="G5" s="10">
        <v>30</v>
      </c>
      <c r="H5" s="10">
        <v>4</v>
      </c>
      <c r="J5" s="63">
        <f t="shared" ref="J5:J44" si="0">IF(OR(ISBLANK(O5),ISBLANK(G5)),"·",O5*G5/F5/1000000)</f>
        <v>4.0211550000000003</v>
      </c>
      <c r="K5" s="11">
        <f t="shared" ref="K5:K44" si="1">IF(ISBLANK(O5),"·",O5/D5)</f>
        <v>0.35751226928411395</v>
      </c>
      <c r="L5" s="10">
        <f t="shared" ref="L5:L44" si="2">IF(OR(ISBLANK(M5),ISBLANK(S5),ISBLANK(T5)),".",M5+S5+T5)</f>
        <v>4289232</v>
      </c>
      <c r="M5" s="10">
        <f t="shared" ref="M5:M44" si="3">IF(OR(ISBLANK(Q5),ISBLANK(P5),ISBLANK(R5)),".",P5+Q5+R5)</f>
        <v>1414432</v>
      </c>
      <c r="N5" s="25">
        <v>603968</v>
      </c>
      <c r="O5" s="12">
        <v>4289232</v>
      </c>
      <c r="P5" s="12">
        <v>839968</v>
      </c>
      <c r="Q5" s="12">
        <v>0</v>
      </c>
      <c r="R5" s="12">
        <v>574464</v>
      </c>
      <c r="S5" s="12">
        <v>2867776</v>
      </c>
      <c r="T5" s="12">
        <v>7024</v>
      </c>
      <c r="U5" s="26">
        <v>67.341315100000003</v>
      </c>
      <c r="V5" s="26">
        <v>68.227850900000007</v>
      </c>
      <c r="W5" s="26">
        <v>27.9029934</v>
      </c>
      <c r="X5" s="26">
        <v>33.587809</v>
      </c>
      <c r="Y5" s="26">
        <v>32.986580699999998</v>
      </c>
      <c r="Z5" s="26">
        <v>48.349942400000003</v>
      </c>
      <c r="AA5" s="26">
        <v>26.605538500000002</v>
      </c>
      <c r="AB5" s="64">
        <v>473.10260599999998</v>
      </c>
      <c r="AC5" s="64">
        <v>2.7975690000000002</v>
      </c>
      <c r="AE5" s="63" t="str">
        <f t="shared" ref="AE5:AE44" si="4">IF(OR(ISBLANK(AJ5),ISBLANK(G5)),"·",AJ5*G5/F5/1000000)</f>
        <v>·</v>
      </c>
      <c r="AF5" s="11" t="str">
        <f t="shared" ref="AF5:AF44" si="5">IF(ISBLANK(AJ5),"·",AJ5/D5)</f>
        <v>·</v>
      </c>
      <c r="AG5" s="10" t="str">
        <f t="shared" ref="AG5:AG44" si="6">IF(OR(ISBLANK(AH5),ISBLANK(AN5),ISBLANK(AO5)),".",AH5+AN5+AO5)</f>
        <v>.</v>
      </c>
      <c r="AH5" s="10" t="str">
        <f t="shared" ref="AH5:AH44" si="7">IF(OR(ISBLANK(AL5),ISBLANK(AK5),ISBLANK(AM5)),".",AK5+AL5+AM5)</f>
        <v>.</v>
      </c>
      <c r="AI5" s="25"/>
      <c r="AJ5" s="12"/>
      <c r="AK5" s="12"/>
      <c r="AL5" s="12"/>
      <c r="AM5" s="12"/>
      <c r="AN5" s="12"/>
      <c r="AO5" s="12"/>
      <c r="AP5" s="26"/>
      <c r="AQ5" s="26"/>
      <c r="AR5" s="26"/>
      <c r="AS5" s="26"/>
      <c r="AT5" s="26"/>
      <c r="AU5" s="26"/>
      <c r="AV5" s="26"/>
      <c r="AW5" s="64"/>
      <c r="AX5" s="64"/>
      <c r="AZ5" s="65" t="str">
        <f t="array" ref="AZ5">IF( OR(AND(ISBLANK(L5:L9)),AND(ISBLANK(AG5:AG9)), AND(ISBLANK(U5:U9)),AND(ISBLANK(AP5:AP9))), "·", bdRateExtend( L5:L9,U5:U9, AG5:AG9,AP5:AP9))</f>
        <v>·</v>
      </c>
      <c r="BA5" s="65" t="str">
        <f t="array" ref="BA5">IF( OR(AND(ISBLANK(L5:L9)),AND(ISBLANK(AG5:AG9)), AND(ISBLANK(V5:V9)),AND(ISBLANK(AQ5:AQ9))), "·", bdRateExtend( L5:L9,V5:V9, AG5:AG9,AQ5:AQ9))</f>
        <v>·</v>
      </c>
      <c r="BB5" s="65" t="str">
        <f t="array" ref="BB5">IF( OR(AND(ISBLANK(L5:L9)),AND(ISBLANK(AG5:AG9)), AND(ISBLANK(W5:W9)),AND(ISBLANK(AR5:AR9))), "·", bdRateExtend( L5:L9,W5:W9, AG5:AG9,AR5:AR9))</f>
        <v>·</v>
      </c>
      <c r="BC5" s="65" t="str">
        <f t="array" ref="BC5">IF( OR(AND(ISBLANK(L5:L9)),AND(ISBLANK(AG5:AG9)), AND(ISBLANK(X5:X9)),AND(ISBLANK(AS5:AS9))), "·", bdRateExtend( L5:L9,X5:X9, AG5:AG9,AS5:AS9))</f>
        <v>·</v>
      </c>
      <c r="BD5" s="65" t="str">
        <f t="array" ref="BD5">IF( OR(AND(ISBLANK(L5:L9)),AND(ISBLANK(AG5:AG9)), AND(ISBLANK(Y5:Y9)),AND(ISBLANK(AT5:AT9))), "·", bdRateExtend( L5:L9,Y5:Y9, AG5:AG9,AT5:AT9))</f>
        <v>·</v>
      </c>
      <c r="BE5" s="65" t="str">
        <f t="array" ref="BE5">IF( OR(AND(ISBLANK(L5:L9)),AND(ISBLANK(AG5:AG9)), AND(ISBLANK(Z5:Z9)),AND(ISBLANK(AU5:AU9))), "·", bdRateExtend( L5:L9,Z5:Z9, AG5:AG9,AU5:AU9))</f>
        <v>·</v>
      </c>
      <c r="BF5" s="65" t="str">
        <f t="array" ref="BF5">IF( OR(AND(ISBLANK(L5:L9)),AND(ISBLANK(AG5:AG9)), AND(ISBLANK(AA5:AA9)),AND(ISBLANK(AV5:AV9))), "·", bdRateExtend( L5:L9,AA5:AA9, AG5:AG9,AV5:AV9))</f>
        <v>·</v>
      </c>
      <c r="BH5" s="65" t="str">
        <f t="array" ref="BH5">IF( OR(AND(ISBLANK(M5:M9)),AND(ISBLANK(AH5:AH9)), AND(ISBLANK(U5:U9)),AND(ISBLANK(AP5:AP9))), "·", bdRateExtend( M5:M9,U5:U9, AH5:AH9,AP5:AP9))</f>
        <v>·</v>
      </c>
      <c r="BI5" s="65" t="str">
        <f t="array" ref="BI5">IF( OR(AND(ISBLANK(M5:M9)),AND(ISBLANK(AH5:AH9)), AND(ISBLANK(V5:V9)),AND(ISBLANK(AQ5:AQ9))), "·", bdRateExtend( M5:M9,V5:V9, AH5:AH9,AQ5:AQ9))</f>
        <v>·</v>
      </c>
      <c r="BJ5" s="65" t="str">
        <f t="array" ref="BJ5">IF( OR(AND(ISBLANK(S5:S9)),AND(ISBLANK(AN5:AN9)), AND(ISBLANK(W5:W9)),AND(ISBLANK(AR5:AR9))), "·", bdRateExtend( S5:S9,W5:W9, AN5:AN9,AR5:AR9))</f>
        <v>·</v>
      </c>
      <c r="BK5" s="65" t="str">
        <f t="array" ref="BK5">IF( OR(AND(ISBLANK(S5:S9)),AND(ISBLANK(AN5:AN9)), AND(ISBLANK(X5:X9)),AND(ISBLANK(AS5:AS9))), "·", bdRateExtend( S5:S9,X5:X9, AN5:AN9,AS5:AS9))</f>
        <v>·</v>
      </c>
      <c r="BL5" s="65" t="str">
        <f t="array" ref="BL5">IF( OR(AND(ISBLANK(S5:S9)),AND(ISBLANK(AN5:AN9)), AND(ISBLANK(Y5:Y9)),AND(ISBLANK(AT5:AT9))), "·", bdRateExtend( S5:S9,Y5:Y9, AN5:AN9,AT5:AT9))</f>
        <v>·</v>
      </c>
      <c r="BM5" s="65" t="str">
        <f t="array" ref="BM5">IF( OR(AND(ISBLANK(M5:M9)),AND(ISBLANK(AH5:AH9)), AND(ISBLANK(Z5:Z9)),AND(ISBLANK(AU5:AU9))), "·", bdRateExtend( M5:M9,Z5:Z9, AH5:AH9,AU5:AU9))</f>
        <v>·</v>
      </c>
      <c r="BN5" s="65" t="str">
        <f t="array" ref="BN5">IF( OR(AND(ISBLANK(S5:S9)),AND(ISBLANK(AN5:AN9)), AND(ISBLANK(AA5:AA9)),AND(ISBLANK(AV5:AV9))), "·", bdRateExtend( S5:S9,AA5:AA9, AN5:AN9,AV5:AV9))</f>
        <v>·</v>
      </c>
      <c r="BP5" s="65">
        <f t="shared" ref="BP5:BP44" si="8">IF(AND(AK5=0,AK5=0),0,AK5/P5-1)</f>
        <v>0</v>
      </c>
      <c r="BQ5" s="65">
        <f t="shared" ref="BQ5:BQ44" si="9">IF(AND(AL5=0,AL5=0),0,AL5/Q5-1)</f>
        <v>0</v>
      </c>
      <c r="BR5" s="65">
        <f t="shared" ref="BR5:BR44" si="10">IF(AND(AM5=0,AM5=0),0,AM5/R5-1)</f>
        <v>0</v>
      </c>
      <c r="BS5" s="65">
        <f t="shared" ref="BS5:BS44" si="11">IF(AND(AN5=0,AN5=0),0,AN5/S5-1)</f>
        <v>0</v>
      </c>
      <c r="BT5" s="65">
        <f t="shared" ref="BT5:BT44" si="12">IF(AND(AO5=0,AO5=0),0,AO5/T5-1)</f>
        <v>0</v>
      </c>
    </row>
    <row r="6" spans="1:72" ht="15" customHeight="1" outlineLevel="1" x14ac:dyDescent="0.25">
      <c r="A6" s="18"/>
      <c r="B6" s="18" t="s">
        <v>32</v>
      </c>
      <c r="C6" s="20" t="s">
        <v>423</v>
      </c>
      <c r="D6" s="18">
        <v>11997440</v>
      </c>
      <c r="E6" s="19">
        <v>10</v>
      </c>
      <c r="F6" s="20">
        <v>32</v>
      </c>
      <c r="G6" s="20">
        <v>30</v>
      </c>
      <c r="H6" s="20">
        <v>8</v>
      </c>
      <c r="J6" s="69">
        <f t="shared" si="0"/>
        <v>8.0382599999999993</v>
      </c>
      <c r="K6" s="21">
        <f t="shared" si="1"/>
        <v>0.7146644617518404</v>
      </c>
      <c r="L6" s="20">
        <f t="shared" si="2"/>
        <v>8574144</v>
      </c>
      <c r="M6" s="20">
        <f t="shared" si="3"/>
        <v>1693248</v>
      </c>
      <c r="N6" s="27">
        <v>603968</v>
      </c>
      <c r="O6" s="22">
        <v>8574144</v>
      </c>
      <c r="P6" s="22">
        <v>839968</v>
      </c>
      <c r="Q6" s="22">
        <v>0</v>
      </c>
      <c r="R6" s="22">
        <v>853280</v>
      </c>
      <c r="S6" s="22">
        <v>6873872</v>
      </c>
      <c r="T6" s="22">
        <v>7024</v>
      </c>
      <c r="U6" s="28">
        <v>68.182687400000006</v>
      </c>
      <c r="V6" s="28">
        <v>69.140467900000004</v>
      </c>
      <c r="W6" s="28">
        <v>31.035873200000001</v>
      </c>
      <c r="X6" s="28">
        <v>34.771977300000003</v>
      </c>
      <c r="Y6" s="28">
        <v>34.287061399999999</v>
      </c>
      <c r="Z6" s="28">
        <v>48.590665199999997</v>
      </c>
      <c r="AA6" s="28">
        <v>28.366655999999999</v>
      </c>
      <c r="AB6" s="70">
        <v>331.08496200000002</v>
      </c>
      <c r="AC6" s="70">
        <v>3.5444309999999999</v>
      </c>
      <c r="AE6" s="69" t="str">
        <f t="shared" si="4"/>
        <v>·</v>
      </c>
      <c r="AF6" s="21" t="str">
        <f t="shared" si="5"/>
        <v>·</v>
      </c>
      <c r="AG6" s="20" t="str">
        <f t="shared" si="6"/>
        <v>.</v>
      </c>
      <c r="AH6" s="20" t="str">
        <f t="shared" si="7"/>
        <v>.</v>
      </c>
      <c r="AI6" s="27"/>
      <c r="AJ6" s="22"/>
      <c r="AK6" s="22"/>
      <c r="AL6" s="22"/>
      <c r="AM6" s="22"/>
      <c r="AN6" s="22"/>
      <c r="AO6" s="22"/>
      <c r="AP6" s="28"/>
      <c r="AQ6" s="28"/>
      <c r="AR6" s="28"/>
      <c r="AS6" s="28"/>
      <c r="AT6" s="28"/>
      <c r="AU6" s="28"/>
      <c r="AV6" s="28"/>
      <c r="AW6" s="70"/>
      <c r="AX6" s="70"/>
      <c r="AZ6" s="71"/>
      <c r="BA6" s="71"/>
      <c r="BB6" s="71"/>
      <c r="BC6" s="71"/>
      <c r="BD6" s="71"/>
      <c r="BE6" s="71"/>
      <c r="BF6" s="71"/>
      <c r="BH6" s="73"/>
      <c r="BI6" s="73"/>
      <c r="BJ6" s="73"/>
      <c r="BK6" s="73"/>
      <c r="BL6" s="73"/>
      <c r="BM6" s="73"/>
      <c r="BN6" s="73"/>
      <c r="BP6" s="71">
        <f t="shared" si="8"/>
        <v>0</v>
      </c>
      <c r="BQ6" s="71">
        <f t="shared" si="9"/>
        <v>0</v>
      </c>
      <c r="BR6" s="71">
        <f t="shared" si="10"/>
        <v>0</v>
      </c>
      <c r="BS6" s="71">
        <f t="shared" si="11"/>
        <v>0</v>
      </c>
      <c r="BT6" s="71">
        <f t="shared" si="12"/>
        <v>0</v>
      </c>
    </row>
    <row r="7" spans="1:72" ht="15" customHeight="1" outlineLevel="1" x14ac:dyDescent="0.25">
      <c r="A7" s="8"/>
      <c r="B7" s="8" t="s">
        <v>32</v>
      </c>
      <c r="C7" s="10" t="s">
        <v>424</v>
      </c>
      <c r="D7" s="8">
        <v>11997440</v>
      </c>
      <c r="E7" s="9">
        <v>10</v>
      </c>
      <c r="F7" s="10">
        <v>32</v>
      </c>
      <c r="G7" s="10">
        <v>30</v>
      </c>
      <c r="H7" s="10">
        <v>11</v>
      </c>
      <c r="J7" s="63">
        <f t="shared" si="0"/>
        <v>11.300392499999999</v>
      </c>
      <c r="K7" s="11">
        <f t="shared" si="1"/>
        <v>1.0046936679825029</v>
      </c>
      <c r="L7" s="10">
        <f t="shared" si="2"/>
        <v>12053752</v>
      </c>
      <c r="M7" s="10">
        <f t="shared" si="3"/>
        <v>2358560</v>
      </c>
      <c r="N7" s="25">
        <v>1217920</v>
      </c>
      <c r="O7" s="12">
        <v>12053752</v>
      </c>
      <c r="P7" s="12">
        <v>1333944</v>
      </c>
      <c r="Q7" s="12">
        <v>0</v>
      </c>
      <c r="R7" s="12">
        <v>1024616</v>
      </c>
      <c r="S7" s="12">
        <v>9688168</v>
      </c>
      <c r="T7" s="12">
        <v>7024</v>
      </c>
      <c r="U7" s="26">
        <v>71.367810500000004</v>
      </c>
      <c r="V7" s="26">
        <v>72.807171800000006</v>
      </c>
      <c r="W7" s="26">
        <v>32.2592991</v>
      </c>
      <c r="X7" s="26">
        <v>36.433701399999997</v>
      </c>
      <c r="Y7" s="26">
        <v>36.167659100000002</v>
      </c>
      <c r="Z7" s="26">
        <v>50.661255599999997</v>
      </c>
      <c r="AA7" s="26">
        <v>30.141860900000001</v>
      </c>
      <c r="AB7" s="64">
        <v>1049.6646699999999</v>
      </c>
      <c r="AC7" s="64">
        <v>8.1608499999999999</v>
      </c>
      <c r="AE7" s="63" t="str">
        <f t="shared" si="4"/>
        <v>·</v>
      </c>
      <c r="AF7" s="11" t="str">
        <f t="shared" si="5"/>
        <v>·</v>
      </c>
      <c r="AG7" s="10" t="str">
        <f t="shared" si="6"/>
        <v>.</v>
      </c>
      <c r="AH7" s="10" t="str">
        <f t="shared" si="7"/>
        <v>.</v>
      </c>
      <c r="AI7" s="25"/>
      <c r="AJ7" s="12"/>
      <c r="AK7" s="12"/>
      <c r="AL7" s="12"/>
      <c r="AM7" s="12"/>
      <c r="AN7" s="12"/>
      <c r="AO7" s="12"/>
      <c r="AP7" s="26"/>
      <c r="AQ7" s="26"/>
      <c r="AR7" s="26"/>
      <c r="AS7" s="26"/>
      <c r="AT7" s="26"/>
      <c r="AU7" s="26"/>
      <c r="AV7" s="26"/>
      <c r="AW7" s="64"/>
      <c r="AX7" s="64"/>
      <c r="AZ7" s="65"/>
      <c r="BA7" s="65"/>
      <c r="BB7" s="65"/>
      <c r="BC7" s="65"/>
      <c r="BD7" s="65"/>
      <c r="BE7" s="65"/>
      <c r="BF7" s="65"/>
      <c r="BH7" s="74"/>
      <c r="BI7" s="74"/>
      <c r="BJ7" s="74"/>
      <c r="BK7" s="74"/>
      <c r="BL7" s="74"/>
      <c r="BM7" s="74"/>
      <c r="BN7" s="74"/>
      <c r="BP7" s="65">
        <f t="shared" si="8"/>
        <v>0</v>
      </c>
      <c r="BQ7" s="65">
        <f t="shared" si="9"/>
        <v>0</v>
      </c>
      <c r="BR7" s="65">
        <f t="shared" si="10"/>
        <v>0</v>
      </c>
      <c r="BS7" s="65">
        <f t="shared" si="11"/>
        <v>0</v>
      </c>
      <c r="BT7" s="65">
        <f t="shared" si="12"/>
        <v>0</v>
      </c>
    </row>
    <row r="8" spans="1:72" ht="15" customHeight="1" outlineLevel="1" x14ac:dyDescent="0.25">
      <c r="A8" s="18"/>
      <c r="B8" s="18" t="s">
        <v>32</v>
      </c>
      <c r="C8" s="20" t="s">
        <v>425</v>
      </c>
      <c r="D8" s="18">
        <v>11997440</v>
      </c>
      <c r="E8" s="19">
        <v>10</v>
      </c>
      <c r="F8" s="20">
        <v>32</v>
      </c>
      <c r="G8" s="20">
        <v>30</v>
      </c>
      <c r="H8" s="20">
        <v>14</v>
      </c>
      <c r="J8" s="69">
        <f t="shared" si="0"/>
        <v>14.4930375</v>
      </c>
      <c r="K8" s="21">
        <f t="shared" si="1"/>
        <v>1.2885448895764429</v>
      </c>
      <c r="L8" s="20">
        <f t="shared" si="2"/>
        <v>15459240</v>
      </c>
      <c r="M8" s="20">
        <f t="shared" si="3"/>
        <v>3087904</v>
      </c>
      <c r="N8" s="27">
        <v>2446416</v>
      </c>
      <c r="O8" s="22">
        <v>15459240</v>
      </c>
      <c r="P8" s="22">
        <v>2202296</v>
      </c>
      <c r="Q8" s="22">
        <v>0</v>
      </c>
      <c r="R8" s="22">
        <v>885608</v>
      </c>
      <c r="S8" s="22">
        <v>12364048</v>
      </c>
      <c r="T8" s="22">
        <v>7288</v>
      </c>
      <c r="U8" s="28">
        <v>72.726140299999997</v>
      </c>
      <c r="V8" s="28">
        <v>74.361612800000003</v>
      </c>
      <c r="W8" s="28">
        <v>33.293441000000001</v>
      </c>
      <c r="X8" s="28">
        <v>37.037046500000002</v>
      </c>
      <c r="Y8" s="28">
        <v>36.775956299999997</v>
      </c>
      <c r="Z8" s="28">
        <v>51.776615200000002</v>
      </c>
      <c r="AA8" s="28">
        <v>31.059021399999999</v>
      </c>
      <c r="AB8" s="70">
        <v>1364.9821420000001</v>
      </c>
      <c r="AC8" s="70">
        <v>13.926583000000001</v>
      </c>
      <c r="AE8" s="69" t="str">
        <f t="shared" si="4"/>
        <v>·</v>
      </c>
      <c r="AF8" s="21" t="str">
        <f t="shared" si="5"/>
        <v>·</v>
      </c>
      <c r="AG8" s="20" t="str">
        <f t="shared" si="6"/>
        <v>.</v>
      </c>
      <c r="AH8" s="20" t="str">
        <f t="shared" si="7"/>
        <v>.</v>
      </c>
      <c r="AI8" s="27"/>
      <c r="AJ8" s="22"/>
      <c r="AK8" s="22"/>
      <c r="AL8" s="22"/>
      <c r="AM8" s="22"/>
      <c r="AN8" s="22"/>
      <c r="AO8" s="22"/>
      <c r="AP8" s="28"/>
      <c r="AQ8" s="28"/>
      <c r="AR8" s="28"/>
      <c r="AS8" s="28"/>
      <c r="AT8" s="28"/>
      <c r="AU8" s="28"/>
      <c r="AV8" s="28"/>
      <c r="AW8" s="70"/>
      <c r="AX8" s="70"/>
      <c r="AZ8" s="71"/>
      <c r="BA8" s="71"/>
      <c r="BB8" s="71"/>
      <c r="BC8" s="71"/>
      <c r="BD8" s="71"/>
      <c r="BE8" s="71"/>
      <c r="BF8" s="71"/>
      <c r="BH8" s="73"/>
      <c r="BI8" s="73"/>
      <c r="BJ8" s="73"/>
      <c r="BK8" s="73"/>
      <c r="BL8" s="73"/>
      <c r="BM8" s="73"/>
      <c r="BN8" s="73"/>
      <c r="BP8" s="71">
        <f t="shared" si="8"/>
        <v>0</v>
      </c>
      <c r="BQ8" s="71">
        <f t="shared" si="9"/>
        <v>0</v>
      </c>
      <c r="BR8" s="71">
        <f t="shared" si="10"/>
        <v>0</v>
      </c>
      <c r="BS8" s="71">
        <f t="shared" si="11"/>
        <v>0</v>
      </c>
      <c r="BT8" s="71">
        <f t="shared" si="12"/>
        <v>0</v>
      </c>
    </row>
    <row r="9" spans="1:72" ht="15.75" customHeight="1" outlineLevel="1" thickBot="1" x14ac:dyDescent="0.3">
      <c r="A9" s="8"/>
      <c r="B9" s="29" t="s">
        <v>32</v>
      </c>
      <c r="C9" s="30" t="s">
        <v>426</v>
      </c>
      <c r="D9" s="29">
        <v>11997440</v>
      </c>
      <c r="E9" s="31">
        <v>10</v>
      </c>
      <c r="F9" s="30">
        <v>32</v>
      </c>
      <c r="G9" s="30">
        <v>30</v>
      </c>
      <c r="H9" s="30">
        <v>21</v>
      </c>
      <c r="J9" s="75">
        <f t="shared" si="0"/>
        <v>21.825585</v>
      </c>
      <c r="K9" s="32">
        <f t="shared" si="1"/>
        <v>1.9404659660727621</v>
      </c>
      <c r="L9" s="30">
        <f t="shared" si="2"/>
        <v>23280624</v>
      </c>
      <c r="M9" s="30">
        <f t="shared" si="3"/>
        <v>3810480</v>
      </c>
      <c r="N9" s="33">
        <v>2446416</v>
      </c>
      <c r="O9" s="34">
        <v>23280624</v>
      </c>
      <c r="P9" s="34">
        <v>2202296</v>
      </c>
      <c r="Q9" s="34">
        <v>0</v>
      </c>
      <c r="R9" s="34">
        <v>1608184</v>
      </c>
      <c r="S9" s="34">
        <v>19462864</v>
      </c>
      <c r="T9" s="34">
        <v>7280</v>
      </c>
      <c r="U9" s="35">
        <v>74.177725899999999</v>
      </c>
      <c r="V9" s="35">
        <v>76.060440099999994</v>
      </c>
      <c r="W9" s="35">
        <v>34.904362999999996</v>
      </c>
      <c r="X9" s="35">
        <v>38.573305900000001</v>
      </c>
      <c r="Y9" s="35">
        <v>38.281372900000001</v>
      </c>
      <c r="Z9" s="35">
        <v>52.518857500000003</v>
      </c>
      <c r="AA9" s="35">
        <v>32.340027800000001</v>
      </c>
      <c r="AB9" s="76">
        <v>985.90222800000004</v>
      </c>
      <c r="AC9" s="76">
        <v>13.506948</v>
      </c>
      <c r="AE9" s="75" t="str">
        <f t="shared" si="4"/>
        <v>·</v>
      </c>
      <c r="AF9" s="32" t="str">
        <f t="shared" si="5"/>
        <v>·</v>
      </c>
      <c r="AG9" s="30" t="str">
        <f t="shared" si="6"/>
        <v>.</v>
      </c>
      <c r="AH9" s="30" t="str">
        <f t="shared" si="7"/>
        <v>.</v>
      </c>
      <c r="AI9" s="33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76"/>
      <c r="AX9" s="76"/>
      <c r="AZ9" s="77"/>
      <c r="BA9" s="77"/>
      <c r="BB9" s="77"/>
      <c r="BC9" s="77"/>
      <c r="BD9" s="77"/>
      <c r="BE9" s="77"/>
      <c r="BF9" s="77"/>
      <c r="BH9" s="78"/>
      <c r="BI9" s="78"/>
      <c r="BJ9" s="78"/>
      <c r="BK9" s="78"/>
      <c r="BL9" s="78"/>
      <c r="BM9" s="78"/>
      <c r="BN9" s="78"/>
      <c r="BP9" s="77">
        <f t="shared" si="8"/>
        <v>0</v>
      </c>
      <c r="BQ9" s="77">
        <f t="shared" si="9"/>
        <v>0</v>
      </c>
      <c r="BR9" s="77">
        <f t="shared" si="10"/>
        <v>0</v>
      </c>
      <c r="BS9" s="77">
        <f t="shared" si="11"/>
        <v>0</v>
      </c>
      <c r="BT9" s="77">
        <f t="shared" si="12"/>
        <v>0</v>
      </c>
    </row>
    <row r="10" spans="1:72" ht="15" customHeight="1" x14ac:dyDescent="0.25">
      <c r="A10" s="18"/>
      <c r="B10" s="18" t="s">
        <v>47</v>
      </c>
      <c r="C10" s="20" t="s">
        <v>422</v>
      </c>
      <c r="D10" s="18">
        <v>9000000</v>
      </c>
      <c r="E10" s="19">
        <v>10</v>
      </c>
      <c r="F10" s="20">
        <v>32</v>
      </c>
      <c r="G10" s="20">
        <v>30</v>
      </c>
      <c r="H10" s="20">
        <v>4</v>
      </c>
      <c r="J10" s="69">
        <f t="shared" si="0"/>
        <v>3.2662724999999999</v>
      </c>
      <c r="K10" s="21">
        <f t="shared" si="1"/>
        <v>0.38711377777777778</v>
      </c>
      <c r="L10" s="20">
        <f t="shared" si="2"/>
        <v>3484024</v>
      </c>
      <c r="M10" s="20">
        <f t="shared" si="3"/>
        <v>901168</v>
      </c>
      <c r="N10" s="27">
        <v>603136</v>
      </c>
      <c r="O10" s="22">
        <v>3484024</v>
      </c>
      <c r="P10" s="22">
        <v>31824</v>
      </c>
      <c r="Q10" s="22">
        <v>138208</v>
      </c>
      <c r="R10" s="22">
        <v>731136</v>
      </c>
      <c r="S10" s="22">
        <v>2578560</v>
      </c>
      <c r="T10" s="22">
        <v>4296</v>
      </c>
      <c r="U10" s="28">
        <v>64.804514999999995</v>
      </c>
      <c r="V10" s="28">
        <v>65.458837099999997</v>
      </c>
      <c r="W10" s="28">
        <v>35.395043600000001</v>
      </c>
      <c r="X10" s="28">
        <v>46.592114000000002</v>
      </c>
      <c r="Y10" s="28">
        <v>47.2034181</v>
      </c>
      <c r="Z10" s="28">
        <v>43.928148999999998</v>
      </c>
      <c r="AA10" s="28">
        <v>30.381445800000002</v>
      </c>
      <c r="AB10" s="70">
        <v>1672.876604</v>
      </c>
      <c r="AC10" s="70">
        <v>6.0473090000000003</v>
      </c>
      <c r="AE10" s="69" t="str">
        <f t="shared" si="4"/>
        <v>·</v>
      </c>
      <c r="AF10" s="21" t="str">
        <f t="shared" si="5"/>
        <v>·</v>
      </c>
      <c r="AG10" s="20" t="str">
        <f t="shared" si="6"/>
        <v>.</v>
      </c>
      <c r="AH10" s="20" t="str">
        <f t="shared" si="7"/>
        <v>.</v>
      </c>
      <c r="AI10" s="27"/>
      <c r="AJ10" s="22"/>
      <c r="AK10" s="22"/>
      <c r="AL10" s="22"/>
      <c r="AM10" s="22"/>
      <c r="AN10" s="22"/>
      <c r="AO10" s="22"/>
      <c r="AP10" s="28"/>
      <c r="AQ10" s="28"/>
      <c r="AR10" s="28"/>
      <c r="AS10" s="28"/>
      <c r="AT10" s="28"/>
      <c r="AU10" s="28"/>
      <c r="AV10" s="28"/>
      <c r="AW10" s="70"/>
      <c r="AX10" s="70"/>
      <c r="AZ10" s="71" t="str">
        <f t="array" ref="AZ10">IF( OR(AND(ISBLANK(L10:L14)),AND(ISBLANK(AG10:AG14)), AND(ISBLANK(U10:U14)),AND(ISBLANK(AP10:AP14))), "·", bdRateExtend( L10:L14,U10:U14, AG10:AG14,AP10:AP14))</f>
        <v>·</v>
      </c>
      <c r="BA10" s="71" t="str">
        <f t="array" ref="BA10">IF( OR(AND(ISBLANK(L10:L14)),AND(ISBLANK(AG10:AG14)), AND(ISBLANK(V10:V14)),AND(ISBLANK(AQ10:AQ14))), "·", bdRateExtend( L10:L14,V10:V14, AG10:AG14,AQ10:AQ14))</f>
        <v>·</v>
      </c>
      <c r="BB10" s="71" t="str">
        <f t="array" ref="BB10">IF( OR(AND(ISBLANK(L10:L14)),AND(ISBLANK(AG10:AG14)), AND(ISBLANK(W10:W14)),AND(ISBLANK(AR10:AR14))), "·", bdRateExtend( L10:L14,W10:W14, AG10:AG14,AR10:AR14))</f>
        <v>·</v>
      </c>
      <c r="BC10" s="71" t="str">
        <f t="array" ref="BC10">IF( OR(AND(ISBLANK(L10:L14)),AND(ISBLANK(AG10:AG14)), AND(ISBLANK(X10:X14)),AND(ISBLANK(AS10:AS14))), "·", bdRateExtend( L10:L14,X10:X14, AG10:AG14,AS10:AS14))</f>
        <v>·</v>
      </c>
      <c r="BD10" s="71" t="str">
        <f t="array" ref="BD10">IF( OR(AND(ISBLANK(L10:L14)),AND(ISBLANK(AG10:AG14)), AND(ISBLANK(Y10:Y14)),AND(ISBLANK(AT10:AT14))), "·", bdRateExtend( L10:L14,Y10:Y14, AG10:AG14,AT10:AT14))</f>
        <v>·</v>
      </c>
      <c r="BE10" s="71" t="str">
        <f t="array" ref="BE10">IF( OR(AND(ISBLANK(L10:L14)),AND(ISBLANK(AG10:AG14)), AND(ISBLANK(Z10:Z14)),AND(ISBLANK(AU10:AU14))), "·", bdRateExtend( L10:L14,Z10:Z14, AG10:AG14,AU10:AU14))</f>
        <v>·</v>
      </c>
      <c r="BF10" s="71" t="str">
        <f t="array" ref="BF10">IF( OR(AND(ISBLANK(L10:L14)),AND(ISBLANK(AG10:AG14)), AND(ISBLANK(AA10:AA14)),AND(ISBLANK(AV10:AV14))), "·", bdRateExtend( L10:L14,AA10:AA14, AG10:AG14,AV10:AV14))</f>
        <v>·</v>
      </c>
      <c r="BH10" s="71" t="str">
        <f t="array" ref="BH10">IF( OR(AND(ISBLANK(M10:M14)),AND(ISBLANK(AH10:AH14)), AND(ISBLANK(U10:U14)),AND(ISBLANK(AP10:AP14))), "·", bdRateExtend( M10:M14,U10:U14, AH10:AH14,AP10:AP14))</f>
        <v>·</v>
      </c>
      <c r="BI10" s="71" t="str">
        <f t="array" ref="BI10">IF( OR(AND(ISBLANK(M10:M14)),AND(ISBLANK(AH10:AH14)), AND(ISBLANK(V10:V14)),AND(ISBLANK(AQ10:AQ14))), "·", bdRateExtend( M10:M14,V10:V14, AH10:AH14,AQ10:AQ14))</f>
        <v>·</v>
      </c>
      <c r="BJ10" s="71" t="str">
        <f t="array" ref="BJ10">IF( OR(AND(ISBLANK(S10:S14)),AND(ISBLANK(AN10:AN14)), AND(ISBLANK(W10:W14)),AND(ISBLANK(AR10:AR14))), "·", bdRateExtend( S10:S14,W10:W14, AN10:AN14,AR10:AR14))</f>
        <v>·</v>
      </c>
      <c r="BK10" s="71" t="str">
        <f t="array" ref="BK10">IF( OR(AND(ISBLANK(S10:S14)),AND(ISBLANK(AN10:AN14)), AND(ISBLANK(X10:X14)),AND(ISBLANK(AS10:AS14))), "·", bdRateExtend( S10:S14,X10:X14, AN10:AN14,AS10:AS14))</f>
        <v>·</v>
      </c>
      <c r="BL10" s="71" t="str">
        <f t="array" ref="BL10">IF( OR(AND(ISBLANK(S10:S14)),AND(ISBLANK(AN10:AN14)), AND(ISBLANK(Y10:Y14)),AND(ISBLANK(AT10:AT14))), "·", bdRateExtend( S10:S14,Y10:Y14, AN10:AN14,AT10:AT14))</f>
        <v>·</v>
      </c>
      <c r="BM10" s="71" t="str">
        <f t="array" ref="BM10">IF( OR(AND(ISBLANK(M10:M14)),AND(ISBLANK(AH10:AH14)), AND(ISBLANK(Z10:Z14)),AND(ISBLANK(AU10:AU14))), "·", bdRateExtend( M10:M14,Z10:Z14, AH10:AH14,AU10:AU14))</f>
        <v>·</v>
      </c>
      <c r="BN10" s="71" t="str">
        <f t="array" ref="BN10">IF( OR(AND(ISBLANK(S10:S14)),AND(ISBLANK(AN10:AN14)), AND(ISBLANK(AA10:AA14)),AND(ISBLANK(AV10:AV14))), "·", bdRateExtend( S10:S14,AA10:AA14, AN10:AN14,AV10:AV14))</f>
        <v>·</v>
      </c>
      <c r="BP10" s="71">
        <f t="shared" si="8"/>
        <v>0</v>
      </c>
      <c r="BQ10" s="71">
        <f t="shared" si="9"/>
        <v>0</v>
      </c>
      <c r="BR10" s="71">
        <f t="shared" si="10"/>
        <v>0</v>
      </c>
      <c r="BS10" s="71">
        <f t="shared" si="11"/>
        <v>0</v>
      </c>
      <c r="BT10" s="71">
        <f t="shared" si="12"/>
        <v>0</v>
      </c>
    </row>
    <row r="11" spans="1:72" ht="15" customHeight="1" outlineLevel="1" x14ac:dyDescent="0.25">
      <c r="A11" s="8"/>
      <c r="B11" s="8" t="s">
        <v>47</v>
      </c>
      <c r="C11" s="10" t="s">
        <v>423</v>
      </c>
      <c r="D11" s="8">
        <v>9000000</v>
      </c>
      <c r="E11" s="9">
        <v>10</v>
      </c>
      <c r="F11" s="10">
        <v>32</v>
      </c>
      <c r="G11" s="10">
        <v>30</v>
      </c>
      <c r="H11" s="10">
        <v>8</v>
      </c>
      <c r="J11" s="63">
        <f t="shared" si="0"/>
        <v>7.1153700000000004</v>
      </c>
      <c r="K11" s="11">
        <f t="shared" si="1"/>
        <v>0.84330311111111111</v>
      </c>
      <c r="L11" s="10">
        <f t="shared" si="2"/>
        <v>7589728</v>
      </c>
      <c r="M11" s="10">
        <f t="shared" si="3"/>
        <v>1909896</v>
      </c>
      <c r="N11" s="25">
        <v>1211552</v>
      </c>
      <c r="O11" s="12">
        <v>7589728</v>
      </c>
      <c r="P11" s="12">
        <v>247112</v>
      </c>
      <c r="Q11" s="12">
        <v>151496</v>
      </c>
      <c r="R11" s="12">
        <v>1511288</v>
      </c>
      <c r="S11" s="12">
        <v>5675184</v>
      </c>
      <c r="T11" s="12">
        <v>4648</v>
      </c>
      <c r="U11" s="26">
        <v>69.840508299999996</v>
      </c>
      <c r="V11" s="26">
        <v>71.109919300000001</v>
      </c>
      <c r="W11" s="26">
        <v>37.312281200000001</v>
      </c>
      <c r="X11" s="26">
        <v>47.361547600000002</v>
      </c>
      <c r="Y11" s="26">
        <v>48.0054795</v>
      </c>
      <c r="Z11" s="26">
        <v>46.659069799999997</v>
      </c>
      <c r="AA11" s="26">
        <v>33.291378100000003</v>
      </c>
      <c r="AB11" s="64">
        <v>2132.161537</v>
      </c>
      <c r="AC11" s="64">
        <v>12.449679</v>
      </c>
      <c r="AE11" s="63" t="str">
        <f t="shared" si="4"/>
        <v>·</v>
      </c>
      <c r="AF11" s="11" t="str">
        <f t="shared" si="5"/>
        <v>·</v>
      </c>
      <c r="AG11" s="10" t="str">
        <f t="shared" si="6"/>
        <v>.</v>
      </c>
      <c r="AH11" s="10" t="str">
        <f t="shared" si="7"/>
        <v>.</v>
      </c>
      <c r="AI11" s="25"/>
      <c r="AJ11" s="12"/>
      <c r="AK11" s="12"/>
      <c r="AL11" s="12"/>
      <c r="AM11" s="12"/>
      <c r="AN11" s="12"/>
      <c r="AO11" s="12"/>
      <c r="AP11" s="26"/>
      <c r="AQ11" s="26"/>
      <c r="AR11" s="26"/>
      <c r="AS11" s="26"/>
      <c r="AT11" s="26"/>
      <c r="AU11" s="26"/>
      <c r="AV11" s="26"/>
      <c r="AW11" s="64"/>
      <c r="AX11" s="64"/>
      <c r="AZ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N11" s="65"/>
      <c r="BP11" s="65">
        <f t="shared" si="8"/>
        <v>0</v>
      </c>
      <c r="BQ11" s="65">
        <f t="shared" si="9"/>
        <v>0</v>
      </c>
      <c r="BR11" s="65">
        <f t="shared" si="10"/>
        <v>0</v>
      </c>
      <c r="BS11" s="65">
        <f t="shared" si="11"/>
        <v>0</v>
      </c>
      <c r="BT11" s="65">
        <f t="shared" si="12"/>
        <v>0</v>
      </c>
    </row>
    <row r="12" spans="1:72" ht="15" customHeight="1" outlineLevel="1" x14ac:dyDescent="0.25">
      <c r="A12" s="18"/>
      <c r="B12" s="18" t="s">
        <v>47</v>
      </c>
      <c r="C12" s="20" t="s">
        <v>424</v>
      </c>
      <c r="D12" s="18">
        <v>9000000</v>
      </c>
      <c r="E12" s="19">
        <v>10</v>
      </c>
      <c r="F12" s="20">
        <v>32</v>
      </c>
      <c r="G12" s="20">
        <v>30</v>
      </c>
      <c r="H12" s="20">
        <v>11</v>
      </c>
      <c r="J12" s="69">
        <f t="shared" si="0"/>
        <v>9.4856025000000006</v>
      </c>
      <c r="K12" s="21">
        <f t="shared" si="1"/>
        <v>1.1242195555555556</v>
      </c>
      <c r="L12" s="20">
        <f t="shared" si="2"/>
        <v>10117976</v>
      </c>
      <c r="M12" s="20">
        <f t="shared" si="3"/>
        <v>2078976</v>
      </c>
      <c r="N12" s="27">
        <v>1211552</v>
      </c>
      <c r="O12" s="22">
        <v>10117976</v>
      </c>
      <c r="P12" s="22">
        <v>266608</v>
      </c>
      <c r="Q12" s="22">
        <v>215880</v>
      </c>
      <c r="R12" s="22">
        <v>1596488</v>
      </c>
      <c r="S12" s="22">
        <v>8034352</v>
      </c>
      <c r="T12" s="22">
        <v>4648</v>
      </c>
      <c r="U12" s="28">
        <v>69.900466399999999</v>
      </c>
      <c r="V12" s="28">
        <v>71.173205300000006</v>
      </c>
      <c r="W12" s="28">
        <v>37.977775299999998</v>
      </c>
      <c r="X12" s="28">
        <v>47.684662199999998</v>
      </c>
      <c r="Y12" s="28">
        <v>48.346659699999996</v>
      </c>
      <c r="Z12" s="28">
        <v>46.6740165</v>
      </c>
      <c r="AA12" s="28">
        <v>33.523070699999998</v>
      </c>
      <c r="AB12" s="70">
        <v>2178.2843760000001</v>
      </c>
      <c r="AC12" s="70">
        <v>13.122597000000001</v>
      </c>
      <c r="AE12" s="69" t="str">
        <f t="shared" si="4"/>
        <v>·</v>
      </c>
      <c r="AF12" s="21" t="str">
        <f t="shared" si="5"/>
        <v>·</v>
      </c>
      <c r="AG12" s="20" t="str">
        <f t="shared" si="6"/>
        <v>.</v>
      </c>
      <c r="AH12" s="20" t="str">
        <f t="shared" si="7"/>
        <v>.</v>
      </c>
      <c r="AI12" s="27"/>
      <c r="AJ12" s="22"/>
      <c r="AK12" s="22"/>
      <c r="AL12" s="22"/>
      <c r="AM12" s="22"/>
      <c r="AN12" s="22"/>
      <c r="AO12" s="22"/>
      <c r="AP12" s="28"/>
      <c r="AQ12" s="28"/>
      <c r="AR12" s="28"/>
      <c r="AS12" s="28"/>
      <c r="AT12" s="28"/>
      <c r="AU12" s="28"/>
      <c r="AV12" s="28"/>
      <c r="AW12" s="70"/>
      <c r="AX12" s="70"/>
      <c r="AZ12" s="71"/>
      <c r="BA12" s="71"/>
      <c r="BB12" s="71"/>
      <c r="BC12" s="71"/>
      <c r="BD12" s="71"/>
      <c r="BE12" s="71"/>
      <c r="BF12" s="71"/>
      <c r="BH12" s="71"/>
      <c r="BI12" s="71"/>
      <c r="BJ12" s="71"/>
      <c r="BK12" s="71"/>
      <c r="BL12" s="71"/>
      <c r="BM12" s="71"/>
      <c r="BN12" s="71"/>
      <c r="BP12" s="71">
        <f t="shared" si="8"/>
        <v>0</v>
      </c>
      <c r="BQ12" s="71">
        <f t="shared" si="9"/>
        <v>0</v>
      </c>
      <c r="BR12" s="71">
        <f t="shared" si="10"/>
        <v>0</v>
      </c>
      <c r="BS12" s="71">
        <f t="shared" si="11"/>
        <v>0</v>
      </c>
      <c r="BT12" s="71">
        <f t="shared" si="12"/>
        <v>0</v>
      </c>
    </row>
    <row r="13" spans="1:72" ht="15" customHeight="1" outlineLevel="1" x14ac:dyDescent="0.25">
      <c r="A13" s="8"/>
      <c r="B13" s="8" t="s">
        <v>47</v>
      </c>
      <c r="C13" s="10" t="s">
        <v>425</v>
      </c>
      <c r="D13" s="8">
        <v>9000000</v>
      </c>
      <c r="E13" s="9">
        <v>10</v>
      </c>
      <c r="F13" s="10">
        <v>32</v>
      </c>
      <c r="G13" s="10">
        <v>30</v>
      </c>
      <c r="H13" s="10">
        <v>14</v>
      </c>
      <c r="J13" s="63">
        <f t="shared" si="0"/>
        <v>12.8578875</v>
      </c>
      <c r="K13" s="11">
        <f t="shared" si="1"/>
        <v>1.5238977777777778</v>
      </c>
      <c r="L13" s="10">
        <f t="shared" si="2"/>
        <v>13715080</v>
      </c>
      <c r="M13" s="10">
        <f t="shared" si="3"/>
        <v>2078976</v>
      </c>
      <c r="N13" s="25">
        <v>1211552</v>
      </c>
      <c r="O13" s="12">
        <v>13715080</v>
      </c>
      <c r="P13" s="12">
        <v>266608</v>
      </c>
      <c r="Q13" s="12">
        <v>215880</v>
      </c>
      <c r="R13" s="12">
        <v>1596488</v>
      </c>
      <c r="S13" s="12">
        <v>11631456</v>
      </c>
      <c r="T13" s="12">
        <v>4648</v>
      </c>
      <c r="U13" s="26">
        <v>69.900466399999999</v>
      </c>
      <c r="V13" s="26">
        <v>71.173205300000006</v>
      </c>
      <c r="W13" s="26">
        <v>38.517212800000003</v>
      </c>
      <c r="X13" s="26">
        <v>48.383750499999998</v>
      </c>
      <c r="Y13" s="26">
        <v>49.0427514</v>
      </c>
      <c r="Z13" s="26">
        <v>46.6740165</v>
      </c>
      <c r="AA13" s="26">
        <v>33.667497599999997</v>
      </c>
      <c r="AB13" s="64">
        <v>2528.6589389999999</v>
      </c>
      <c r="AC13" s="64">
        <v>8.4137330000000006</v>
      </c>
      <c r="AE13" s="63" t="str">
        <f t="shared" si="4"/>
        <v>·</v>
      </c>
      <c r="AF13" s="11" t="str">
        <f t="shared" si="5"/>
        <v>·</v>
      </c>
      <c r="AG13" s="10" t="str">
        <f t="shared" si="6"/>
        <v>.</v>
      </c>
      <c r="AH13" s="10" t="str">
        <f t="shared" si="7"/>
        <v>.</v>
      </c>
      <c r="AI13" s="25"/>
      <c r="AJ13" s="12"/>
      <c r="AK13" s="12"/>
      <c r="AL13" s="12"/>
      <c r="AM13" s="12"/>
      <c r="AN13" s="12"/>
      <c r="AO13" s="12"/>
      <c r="AP13" s="26"/>
      <c r="AQ13" s="26"/>
      <c r="AR13" s="26"/>
      <c r="AS13" s="26"/>
      <c r="AT13" s="26"/>
      <c r="AU13" s="26"/>
      <c r="AV13" s="26"/>
      <c r="AW13" s="64"/>
      <c r="AX13" s="64"/>
      <c r="AZ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N13" s="65"/>
      <c r="BP13" s="65">
        <f t="shared" si="8"/>
        <v>0</v>
      </c>
      <c r="BQ13" s="65">
        <f t="shared" si="9"/>
        <v>0</v>
      </c>
      <c r="BR13" s="65">
        <f t="shared" si="10"/>
        <v>0</v>
      </c>
      <c r="BS13" s="65">
        <f t="shared" si="11"/>
        <v>0</v>
      </c>
      <c r="BT13" s="65">
        <f t="shared" si="12"/>
        <v>0</v>
      </c>
    </row>
    <row r="14" spans="1:72" ht="15.75" customHeight="1" outlineLevel="1" thickBot="1" x14ac:dyDescent="0.3">
      <c r="A14" s="13"/>
      <c r="B14" s="13" t="s">
        <v>47</v>
      </c>
      <c r="C14" s="15" t="s">
        <v>426</v>
      </c>
      <c r="D14" s="13">
        <v>9000000</v>
      </c>
      <c r="E14" s="14">
        <v>10</v>
      </c>
      <c r="F14" s="15">
        <v>32</v>
      </c>
      <c r="G14" s="15">
        <v>30</v>
      </c>
      <c r="H14" s="15">
        <v>21</v>
      </c>
      <c r="J14" s="66">
        <f t="shared" si="0"/>
        <v>22.323997500000001</v>
      </c>
      <c r="K14" s="16">
        <f t="shared" si="1"/>
        <v>2.645807111111111</v>
      </c>
      <c r="L14" s="15">
        <f t="shared" si="2"/>
        <v>23812264</v>
      </c>
      <c r="M14" s="15">
        <f t="shared" si="3"/>
        <v>5303600</v>
      </c>
      <c r="N14" s="36">
        <v>2439648</v>
      </c>
      <c r="O14" s="17">
        <v>23812264</v>
      </c>
      <c r="P14" s="17">
        <v>1970480</v>
      </c>
      <c r="Q14" s="17">
        <v>154112</v>
      </c>
      <c r="R14" s="17">
        <v>3179008</v>
      </c>
      <c r="S14" s="17">
        <v>18502344</v>
      </c>
      <c r="T14" s="17">
        <v>6320</v>
      </c>
      <c r="U14" s="37">
        <v>73.982223500000003</v>
      </c>
      <c r="V14" s="37">
        <v>75.913443000000001</v>
      </c>
      <c r="W14" s="37">
        <v>39.185476299999998</v>
      </c>
      <c r="X14" s="37">
        <v>48.3600238</v>
      </c>
      <c r="Y14" s="37">
        <v>49.059865700000003</v>
      </c>
      <c r="Z14" s="37">
        <v>48.932440300000003</v>
      </c>
      <c r="AA14" s="37">
        <v>35.812123800000002</v>
      </c>
      <c r="AB14" s="67">
        <v>4069.1345110000002</v>
      </c>
      <c r="AC14" s="67">
        <v>9.2478069999999999</v>
      </c>
      <c r="AE14" s="66" t="str">
        <f t="shared" si="4"/>
        <v>·</v>
      </c>
      <c r="AF14" s="16" t="str">
        <f t="shared" si="5"/>
        <v>·</v>
      </c>
      <c r="AG14" s="15" t="str">
        <f t="shared" si="6"/>
        <v>.</v>
      </c>
      <c r="AH14" s="15" t="str">
        <f t="shared" si="7"/>
        <v>.</v>
      </c>
      <c r="AI14" s="36"/>
      <c r="AJ14" s="17"/>
      <c r="AK14" s="17"/>
      <c r="AL14" s="17"/>
      <c r="AM14" s="17"/>
      <c r="AN14" s="17"/>
      <c r="AO14" s="17"/>
      <c r="AP14" s="37"/>
      <c r="AQ14" s="37"/>
      <c r="AR14" s="37"/>
      <c r="AS14" s="37"/>
      <c r="AT14" s="37"/>
      <c r="AU14" s="37"/>
      <c r="AV14" s="37"/>
      <c r="AW14" s="67"/>
      <c r="AX14" s="67"/>
      <c r="AZ14" s="68"/>
      <c r="BA14" s="68"/>
      <c r="BB14" s="68"/>
      <c r="BC14" s="68"/>
      <c r="BD14" s="68"/>
      <c r="BE14" s="68"/>
      <c r="BF14" s="68"/>
      <c r="BH14" s="68"/>
      <c r="BI14" s="68"/>
      <c r="BJ14" s="68"/>
      <c r="BK14" s="68"/>
      <c r="BL14" s="68"/>
      <c r="BM14" s="68"/>
      <c r="BN14" s="68"/>
      <c r="BP14" s="68">
        <f t="shared" si="8"/>
        <v>0</v>
      </c>
      <c r="BQ14" s="68">
        <f t="shared" si="9"/>
        <v>0</v>
      </c>
      <c r="BR14" s="68">
        <f t="shared" si="10"/>
        <v>0</v>
      </c>
      <c r="BS14" s="68">
        <f t="shared" si="11"/>
        <v>0</v>
      </c>
      <c r="BT14" s="68">
        <f t="shared" si="12"/>
        <v>0</v>
      </c>
    </row>
    <row r="15" spans="1:72" ht="15" customHeight="1" x14ac:dyDescent="0.25">
      <c r="A15" s="8" t="s">
        <v>187</v>
      </c>
      <c r="B15" s="8" t="s">
        <v>52</v>
      </c>
      <c r="C15" s="10" t="s">
        <v>422</v>
      </c>
      <c r="D15" s="8">
        <v>11842002</v>
      </c>
      <c r="E15" s="9">
        <v>12</v>
      </c>
      <c r="F15" s="10">
        <v>32</v>
      </c>
      <c r="G15" s="10">
        <v>30</v>
      </c>
      <c r="H15" s="10">
        <v>3</v>
      </c>
      <c r="J15" s="63">
        <f t="shared" si="0"/>
        <v>3.0343874999999998</v>
      </c>
      <c r="K15" s="11">
        <f t="shared" si="1"/>
        <v>0.27332202781252696</v>
      </c>
      <c r="L15" s="10">
        <f t="shared" si="2"/>
        <v>3236680</v>
      </c>
      <c r="M15" s="10">
        <f t="shared" si="3"/>
        <v>1235536</v>
      </c>
      <c r="N15" s="25">
        <v>604864</v>
      </c>
      <c r="O15" s="12">
        <v>3236680</v>
      </c>
      <c r="P15" s="12">
        <v>719064</v>
      </c>
      <c r="Q15" s="12">
        <v>0</v>
      </c>
      <c r="R15" s="12">
        <v>516472</v>
      </c>
      <c r="S15" s="12">
        <v>1994112</v>
      </c>
      <c r="T15" s="12">
        <v>7032</v>
      </c>
      <c r="U15" s="26">
        <v>70.230566300000007</v>
      </c>
      <c r="V15" s="26">
        <v>71.345111900000006</v>
      </c>
      <c r="W15" s="26">
        <v>35.520437999999999</v>
      </c>
      <c r="X15" s="26">
        <v>43.390419799999997</v>
      </c>
      <c r="Y15" s="26">
        <v>45.001812000000001</v>
      </c>
      <c r="Z15" s="26">
        <v>44.986571699999999</v>
      </c>
      <c r="AA15" s="26">
        <v>31.843251200000001</v>
      </c>
      <c r="AB15" s="64">
        <v>749.08777799999996</v>
      </c>
      <c r="AC15" s="64">
        <v>6.7109779999999999</v>
      </c>
      <c r="AE15" s="63" t="str">
        <f t="shared" si="4"/>
        <v>·</v>
      </c>
      <c r="AF15" s="11" t="str">
        <f t="shared" si="5"/>
        <v>·</v>
      </c>
      <c r="AG15" s="10" t="str">
        <f t="shared" si="6"/>
        <v>.</v>
      </c>
      <c r="AH15" s="10" t="str">
        <f t="shared" si="7"/>
        <v>.</v>
      </c>
      <c r="AI15" s="25"/>
      <c r="AJ15" s="12"/>
      <c r="AK15" s="12"/>
      <c r="AL15" s="12"/>
      <c r="AM15" s="12"/>
      <c r="AN15" s="12"/>
      <c r="AO15" s="12"/>
      <c r="AP15" s="26"/>
      <c r="AQ15" s="26"/>
      <c r="AR15" s="26"/>
      <c r="AS15" s="26"/>
      <c r="AT15" s="26"/>
      <c r="AU15" s="26"/>
      <c r="AV15" s="26"/>
      <c r="AW15" s="64"/>
      <c r="AX15" s="64"/>
      <c r="AZ15" s="65" t="str">
        <f t="array" ref="AZ15">IF( OR(AND(ISBLANK(L15:L19)),AND(ISBLANK(AG15:AG19)), AND(ISBLANK(U15:U19)),AND(ISBLANK(AP15:AP19))), "·", bdRateExtend( L15:L19,U15:U19, AG15:AG19,AP15:AP19))</f>
        <v>·</v>
      </c>
      <c r="BA15" s="65" t="str">
        <f t="array" ref="BA15">IF( OR(AND(ISBLANK(L15:L19)),AND(ISBLANK(AG15:AG19)), AND(ISBLANK(V15:V19)),AND(ISBLANK(AQ15:AQ19))), "·", bdRateExtend( L15:L19,V15:V19, AG15:AG19,AQ15:AQ19))</f>
        <v>·</v>
      </c>
      <c r="BB15" s="65" t="str">
        <f t="array" ref="BB15">IF( OR(AND(ISBLANK(L15:L19)),AND(ISBLANK(AG15:AG19)), AND(ISBLANK(W15:W19)),AND(ISBLANK(AR15:AR19))), "·", bdRateExtend( L15:L19,W15:W19, AG15:AG19,AR15:AR19))</f>
        <v>·</v>
      </c>
      <c r="BC15" s="65" t="str">
        <f t="array" ref="BC15">IF( OR(AND(ISBLANK(L15:L19)),AND(ISBLANK(AG15:AG19)), AND(ISBLANK(X15:X19)),AND(ISBLANK(AS15:AS19))), "·", bdRateExtend( L15:L19,X15:X19, AG15:AG19,AS15:AS19))</f>
        <v>·</v>
      </c>
      <c r="BD15" s="65" t="str">
        <f t="array" ref="BD15">IF( OR(AND(ISBLANK(L15:L19)),AND(ISBLANK(AG15:AG19)), AND(ISBLANK(Y15:Y19)),AND(ISBLANK(AT15:AT19))), "·", bdRateExtend( L15:L19,Y15:Y19, AG15:AG19,AT15:AT19))</f>
        <v>·</v>
      </c>
      <c r="BE15" s="65" t="str">
        <f t="array" ref="BE15">IF( OR(AND(ISBLANK(L15:L19)),AND(ISBLANK(AG15:AG19)), AND(ISBLANK(Z15:Z19)),AND(ISBLANK(AU15:AU19))), "·", bdRateExtend( L15:L19,Z15:Z19, AG15:AG19,AU15:AU19))</f>
        <v>·</v>
      </c>
      <c r="BF15" s="65" t="str">
        <f t="array" ref="BF15">IF( OR(AND(ISBLANK(L15:L19)),AND(ISBLANK(AG15:AG19)), AND(ISBLANK(AA15:AA19)),AND(ISBLANK(AV15:AV19))), "·", bdRateExtend( L15:L19,AA15:AA19, AG15:AG19,AV15:AV19))</f>
        <v>·</v>
      </c>
      <c r="BH15" s="65" t="str">
        <f t="array" ref="BH15">IF( OR(AND(ISBLANK(M15:M19)),AND(ISBLANK(AH15:AH19)), AND(ISBLANK(U15:U19)),AND(ISBLANK(AP15:AP19))), "·", bdRateExtend( M15:M19,U15:U19, AH15:AH19,AP15:AP19))</f>
        <v>·</v>
      </c>
      <c r="BI15" s="65" t="str">
        <f t="array" ref="BI15">IF( OR(AND(ISBLANK(M15:M19)),AND(ISBLANK(AH15:AH19)), AND(ISBLANK(V15:V19)),AND(ISBLANK(AQ15:AQ19))), "·", bdRateExtend( M15:M19,V15:V19, AH15:AH19,AQ15:AQ19))</f>
        <v>·</v>
      </c>
      <c r="BJ15" s="65" t="str">
        <f t="array" ref="BJ15">IF( OR(AND(ISBLANK(S15:S19)),AND(ISBLANK(AN15:AN19)), AND(ISBLANK(W15:W19)),AND(ISBLANK(AR15:AR19))), "·", bdRateExtend( S15:S19,W15:W19, AN15:AN19,AR15:AR19))</f>
        <v>·</v>
      </c>
      <c r="BK15" s="65" t="str">
        <f t="array" ref="BK15">IF( OR(AND(ISBLANK(S15:S19)),AND(ISBLANK(AN15:AN19)), AND(ISBLANK(X15:X19)),AND(ISBLANK(AS15:AS19))), "·", bdRateExtend( S15:S19,X15:X19, AN15:AN19,AS15:AS19))</f>
        <v>·</v>
      </c>
      <c r="BL15" s="65" t="str">
        <f t="array" ref="BL15">IF( OR(AND(ISBLANK(S15:S19)),AND(ISBLANK(AN15:AN19)), AND(ISBLANK(Y15:Y19)),AND(ISBLANK(AT15:AT19))), "·", bdRateExtend( S15:S19,Y15:Y19, AN15:AN19,AT15:AT19))</f>
        <v>·</v>
      </c>
      <c r="BM15" s="65" t="str">
        <f t="array" ref="BM15">IF( OR(AND(ISBLANK(M15:M19)),AND(ISBLANK(AH15:AH19)), AND(ISBLANK(Z15:Z19)),AND(ISBLANK(AU15:AU19))), "·", bdRateExtend( M15:M19,Z15:Z19, AH15:AH19,AU15:AU19))</f>
        <v>·</v>
      </c>
      <c r="BN15" s="65" t="str">
        <f t="array" ref="BN15">IF( OR(AND(ISBLANK(S15:S19)),AND(ISBLANK(AN15:AN19)), AND(ISBLANK(AA15:AA19)),AND(ISBLANK(AV15:AV19))), "·", bdRateExtend( S15:S19,AA15:AA19, AN15:AN19,AV15:AV19))</f>
        <v>·</v>
      </c>
      <c r="BP15" s="65">
        <f t="shared" si="8"/>
        <v>0</v>
      </c>
      <c r="BQ15" s="65">
        <f t="shared" si="9"/>
        <v>0</v>
      </c>
      <c r="BR15" s="65">
        <f t="shared" si="10"/>
        <v>0</v>
      </c>
      <c r="BS15" s="65">
        <f t="shared" si="11"/>
        <v>0</v>
      </c>
      <c r="BT15" s="65">
        <f t="shared" si="12"/>
        <v>0</v>
      </c>
    </row>
    <row r="16" spans="1:72" ht="15" customHeight="1" outlineLevel="1" x14ac:dyDescent="0.25">
      <c r="A16" s="18"/>
      <c r="B16" s="18" t="s">
        <v>52</v>
      </c>
      <c r="C16" s="20" t="s">
        <v>423</v>
      </c>
      <c r="D16" s="18">
        <v>11842002</v>
      </c>
      <c r="E16" s="19">
        <v>12</v>
      </c>
      <c r="F16" s="20">
        <v>32</v>
      </c>
      <c r="G16" s="20">
        <v>30</v>
      </c>
      <c r="H16" s="20">
        <v>5</v>
      </c>
      <c r="J16" s="69">
        <f t="shared" si="0"/>
        <v>5.0295075000000002</v>
      </c>
      <c r="K16" s="21">
        <f t="shared" si="1"/>
        <v>0.45303218155173425</v>
      </c>
      <c r="L16" s="20">
        <f t="shared" si="2"/>
        <v>5364808</v>
      </c>
      <c r="M16" s="20">
        <f t="shared" si="3"/>
        <v>1512200</v>
      </c>
      <c r="N16" s="27">
        <v>604864</v>
      </c>
      <c r="O16" s="22">
        <v>5364808</v>
      </c>
      <c r="P16" s="22">
        <v>780696</v>
      </c>
      <c r="Q16" s="22">
        <v>0</v>
      </c>
      <c r="R16" s="22">
        <v>731504</v>
      </c>
      <c r="S16" s="22">
        <v>3845584</v>
      </c>
      <c r="T16" s="22">
        <v>7024</v>
      </c>
      <c r="U16" s="28">
        <v>71.428668599999995</v>
      </c>
      <c r="V16" s="28">
        <v>72.643240300000002</v>
      </c>
      <c r="W16" s="28">
        <v>38.1653333</v>
      </c>
      <c r="X16" s="28">
        <v>44.044943099999998</v>
      </c>
      <c r="Y16" s="28">
        <v>46.295114400000003</v>
      </c>
      <c r="Z16" s="28">
        <v>45.3721149</v>
      </c>
      <c r="AA16" s="28">
        <v>33.060022699999998</v>
      </c>
      <c r="AB16" s="70">
        <v>841.16395299999999</v>
      </c>
      <c r="AC16" s="70">
        <v>7.9954369999999999</v>
      </c>
      <c r="AE16" s="69" t="str">
        <f t="shared" si="4"/>
        <v>·</v>
      </c>
      <c r="AF16" s="21" t="str">
        <f t="shared" si="5"/>
        <v>·</v>
      </c>
      <c r="AG16" s="20" t="str">
        <f t="shared" si="6"/>
        <v>.</v>
      </c>
      <c r="AH16" s="20" t="str">
        <f t="shared" si="7"/>
        <v>.</v>
      </c>
      <c r="AI16" s="27"/>
      <c r="AJ16" s="22"/>
      <c r="AK16" s="22"/>
      <c r="AL16" s="22"/>
      <c r="AM16" s="22"/>
      <c r="AN16" s="22"/>
      <c r="AO16" s="22"/>
      <c r="AP16" s="28"/>
      <c r="AQ16" s="28"/>
      <c r="AR16" s="28"/>
      <c r="AS16" s="28"/>
      <c r="AT16" s="28"/>
      <c r="AU16" s="28"/>
      <c r="AV16" s="28"/>
      <c r="AW16" s="70"/>
      <c r="AX16" s="70"/>
      <c r="AZ16" s="71"/>
      <c r="BA16" s="71"/>
      <c r="BB16" s="71"/>
      <c r="BC16" s="71"/>
      <c r="BD16" s="71"/>
      <c r="BE16" s="71"/>
      <c r="BF16" s="71"/>
      <c r="BH16" s="71"/>
      <c r="BI16" s="71"/>
      <c r="BJ16" s="71"/>
      <c r="BK16" s="71"/>
      <c r="BL16" s="71"/>
      <c r="BM16" s="71"/>
      <c r="BN16" s="71"/>
      <c r="BP16" s="71">
        <f t="shared" si="8"/>
        <v>0</v>
      </c>
      <c r="BQ16" s="71">
        <f t="shared" si="9"/>
        <v>0</v>
      </c>
      <c r="BR16" s="71">
        <f t="shared" si="10"/>
        <v>0</v>
      </c>
      <c r="BS16" s="71">
        <f t="shared" si="11"/>
        <v>0</v>
      </c>
      <c r="BT16" s="71">
        <f t="shared" si="12"/>
        <v>0</v>
      </c>
    </row>
    <row r="17" spans="1:72" ht="15" customHeight="1" outlineLevel="1" x14ac:dyDescent="0.25">
      <c r="A17" s="8"/>
      <c r="B17" s="8" t="s">
        <v>52</v>
      </c>
      <c r="C17" s="10" t="s">
        <v>424</v>
      </c>
      <c r="D17" s="8">
        <v>11842002</v>
      </c>
      <c r="E17" s="9">
        <v>12</v>
      </c>
      <c r="F17" s="10">
        <v>32</v>
      </c>
      <c r="G17" s="10">
        <v>30</v>
      </c>
      <c r="H17" s="10">
        <v>10</v>
      </c>
      <c r="J17" s="63">
        <f t="shared" si="0"/>
        <v>9.9797925000000003</v>
      </c>
      <c r="K17" s="11">
        <f t="shared" si="1"/>
        <v>0.89892840754460268</v>
      </c>
      <c r="L17" s="10">
        <f t="shared" si="2"/>
        <v>10645112</v>
      </c>
      <c r="M17" s="10">
        <f t="shared" si="3"/>
        <v>2877872</v>
      </c>
      <c r="N17" s="25">
        <v>1210368</v>
      </c>
      <c r="O17" s="12">
        <v>10645112</v>
      </c>
      <c r="P17" s="12">
        <v>1304520</v>
      </c>
      <c r="Q17" s="12">
        <v>0</v>
      </c>
      <c r="R17" s="12">
        <v>1573352</v>
      </c>
      <c r="S17" s="12">
        <v>7760216</v>
      </c>
      <c r="T17" s="12">
        <v>7024</v>
      </c>
      <c r="U17" s="26">
        <v>76.293598900000006</v>
      </c>
      <c r="V17" s="26">
        <v>78.149547200000001</v>
      </c>
      <c r="W17" s="26">
        <v>40.854629199999998</v>
      </c>
      <c r="X17" s="26">
        <v>44.954704900000003</v>
      </c>
      <c r="Y17" s="26">
        <v>48.020862000000001</v>
      </c>
      <c r="Z17" s="26">
        <v>47.791286499999998</v>
      </c>
      <c r="AA17" s="26">
        <v>36.229222200000002</v>
      </c>
      <c r="AB17" s="64">
        <v>865.90612399999998</v>
      </c>
      <c r="AC17" s="64">
        <v>7.7853180000000002</v>
      </c>
      <c r="AE17" s="63" t="str">
        <f t="shared" si="4"/>
        <v>·</v>
      </c>
      <c r="AF17" s="11" t="str">
        <f t="shared" si="5"/>
        <v>·</v>
      </c>
      <c r="AG17" s="10" t="str">
        <f t="shared" si="6"/>
        <v>.</v>
      </c>
      <c r="AH17" s="10" t="str">
        <f t="shared" si="7"/>
        <v>.</v>
      </c>
      <c r="AI17" s="25"/>
      <c r="AJ17" s="12"/>
      <c r="AK17" s="12"/>
      <c r="AL17" s="12"/>
      <c r="AM17" s="12"/>
      <c r="AN17" s="12"/>
      <c r="AO17" s="12"/>
      <c r="AP17" s="26"/>
      <c r="AQ17" s="26"/>
      <c r="AR17" s="26"/>
      <c r="AS17" s="26"/>
      <c r="AT17" s="26"/>
      <c r="AU17" s="26"/>
      <c r="AV17" s="26"/>
      <c r="AW17" s="64"/>
      <c r="AX17" s="64"/>
      <c r="AZ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N17" s="65"/>
      <c r="BP17" s="65">
        <f t="shared" si="8"/>
        <v>0</v>
      </c>
      <c r="BQ17" s="65">
        <f t="shared" si="9"/>
        <v>0</v>
      </c>
      <c r="BR17" s="65">
        <f t="shared" si="10"/>
        <v>0</v>
      </c>
      <c r="BS17" s="65">
        <f t="shared" si="11"/>
        <v>0</v>
      </c>
      <c r="BT17" s="65">
        <f t="shared" si="12"/>
        <v>0</v>
      </c>
    </row>
    <row r="18" spans="1:72" ht="15" customHeight="1" outlineLevel="1" x14ac:dyDescent="0.25">
      <c r="A18" s="18"/>
      <c r="B18" s="18" t="s">
        <v>52</v>
      </c>
      <c r="C18" s="20" t="s">
        <v>425</v>
      </c>
      <c r="D18" s="18">
        <v>11842002</v>
      </c>
      <c r="E18" s="19">
        <v>12</v>
      </c>
      <c r="F18" s="20">
        <v>32</v>
      </c>
      <c r="G18" s="20">
        <v>30</v>
      </c>
      <c r="H18" s="20">
        <v>14</v>
      </c>
      <c r="J18" s="69">
        <f t="shared" si="0"/>
        <v>14.4435675</v>
      </c>
      <c r="K18" s="21">
        <f t="shared" si="1"/>
        <v>1.3010023136290638</v>
      </c>
      <c r="L18" s="20">
        <f t="shared" si="2"/>
        <v>15406472</v>
      </c>
      <c r="M18" s="20">
        <f t="shared" si="3"/>
        <v>4134344</v>
      </c>
      <c r="N18" s="27">
        <v>2421136</v>
      </c>
      <c r="O18" s="22">
        <v>15406472</v>
      </c>
      <c r="P18" s="22">
        <v>2249688</v>
      </c>
      <c r="Q18" s="22">
        <v>0</v>
      </c>
      <c r="R18" s="22">
        <v>1884656</v>
      </c>
      <c r="S18" s="22">
        <v>11264848</v>
      </c>
      <c r="T18" s="22">
        <v>7280</v>
      </c>
      <c r="U18" s="28">
        <v>78.591166599999994</v>
      </c>
      <c r="V18" s="28">
        <v>80.961148600000001</v>
      </c>
      <c r="W18" s="28">
        <v>41.897584100000003</v>
      </c>
      <c r="X18" s="28">
        <v>45.648805099999997</v>
      </c>
      <c r="Y18" s="28">
        <v>49.201005199999997</v>
      </c>
      <c r="Z18" s="28">
        <v>49.334001999999998</v>
      </c>
      <c r="AA18" s="28">
        <v>37.852655499999997</v>
      </c>
      <c r="AB18" s="70">
        <v>965.150892</v>
      </c>
      <c r="AC18" s="70">
        <v>13.81367</v>
      </c>
      <c r="AE18" s="69" t="str">
        <f t="shared" si="4"/>
        <v>·</v>
      </c>
      <c r="AF18" s="21" t="str">
        <f t="shared" si="5"/>
        <v>·</v>
      </c>
      <c r="AG18" s="20" t="str">
        <f t="shared" si="6"/>
        <v>.</v>
      </c>
      <c r="AH18" s="20" t="str">
        <f t="shared" si="7"/>
        <v>.</v>
      </c>
      <c r="AI18" s="27"/>
      <c r="AJ18" s="22"/>
      <c r="AK18" s="22"/>
      <c r="AL18" s="22"/>
      <c r="AM18" s="22"/>
      <c r="AN18" s="22"/>
      <c r="AO18" s="22"/>
      <c r="AP18" s="28"/>
      <c r="AQ18" s="28"/>
      <c r="AR18" s="28"/>
      <c r="AS18" s="28"/>
      <c r="AT18" s="28"/>
      <c r="AU18" s="28"/>
      <c r="AV18" s="28"/>
      <c r="AW18" s="70"/>
      <c r="AX18" s="70"/>
      <c r="AZ18" s="71"/>
      <c r="BA18" s="71"/>
      <c r="BB18" s="71"/>
      <c r="BC18" s="71"/>
      <c r="BD18" s="71"/>
      <c r="BE18" s="71"/>
      <c r="BF18" s="71"/>
      <c r="BH18" s="71"/>
      <c r="BI18" s="71"/>
      <c r="BJ18" s="71"/>
      <c r="BK18" s="71"/>
      <c r="BL18" s="71"/>
      <c r="BM18" s="71"/>
      <c r="BN18" s="71"/>
      <c r="BP18" s="71">
        <f t="shared" si="8"/>
        <v>0</v>
      </c>
      <c r="BQ18" s="71">
        <f t="shared" si="9"/>
        <v>0</v>
      </c>
      <c r="BR18" s="71">
        <f t="shared" si="10"/>
        <v>0</v>
      </c>
      <c r="BS18" s="71">
        <f t="shared" si="11"/>
        <v>0</v>
      </c>
      <c r="BT18" s="71">
        <f t="shared" si="12"/>
        <v>0</v>
      </c>
    </row>
    <row r="19" spans="1:72" ht="15.75" customHeight="1" outlineLevel="1" thickBot="1" x14ac:dyDescent="0.3">
      <c r="A19" s="8"/>
      <c r="B19" s="29" t="s">
        <v>52</v>
      </c>
      <c r="C19" s="30" t="s">
        <v>426</v>
      </c>
      <c r="D19" s="29">
        <v>11842002</v>
      </c>
      <c r="E19" s="31">
        <v>12</v>
      </c>
      <c r="F19" s="30">
        <v>32</v>
      </c>
      <c r="G19" s="30">
        <v>30</v>
      </c>
      <c r="H19" s="30">
        <v>21</v>
      </c>
      <c r="J19" s="75">
        <f t="shared" si="0"/>
        <v>21.644175000000001</v>
      </c>
      <c r="K19" s="32">
        <f t="shared" si="1"/>
        <v>1.9495960226995401</v>
      </c>
      <c r="L19" s="30">
        <f t="shared" si="2"/>
        <v>23087120</v>
      </c>
      <c r="M19" s="30">
        <f t="shared" si="3"/>
        <v>4342032</v>
      </c>
      <c r="N19" s="33">
        <v>2421136</v>
      </c>
      <c r="O19" s="34">
        <v>23087120</v>
      </c>
      <c r="P19" s="34">
        <v>2249688</v>
      </c>
      <c r="Q19" s="34">
        <v>0</v>
      </c>
      <c r="R19" s="34">
        <v>2092344</v>
      </c>
      <c r="S19" s="34">
        <v>18737808</v>
      </c>
      <c r="T19" s="34">
        <v>7280</v>
      </c>
      <c r="U19" s="35">
        <v>78.908564999999996</v>
      </c>
      <c r="V19" s="35">
        <v>81.380771600000003</v>
      </c>
      <c r="W19" s="35">
        <v>42.8627143</v>
      </c>
      <c r="X19" s="35">
        <v>46.580333000000003</v>
      </c>
      <c r="Y19" s="35">
        <v>50.533603399999997</v>
      </c>
      <c r="Z19" s="35">
        <v>49.401873999999999</v>
      </c>
      <c r="AA19" s="35">
        <v>38.297097100000002</v>
      </c>
      <c r="AB19" s="76">
        <v>1067.4298309999999</v>
      </c>
      <c r="AC19" s="76">
        <v>14.769555</v>
      </c>
      <c r="AE19" s="75" t="str">
        <f t="shared" si="4"/>
        <v>·</v>
      </c>
      <c r="AF19" s="32" t="str">
        <f t="shared" si="5"/>
        <v>·</v>
      </c>
      <c r="AG19" s="30" t="str">
        <f t="shared" si="6"/>
        <v>.</v>
      </c>
      <c r="AH19" s="30" t="str">
        <f t="shared" si="7"/>
        <v>.</v>
      </c>
      <c r="AI19" s="33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76"/>
      <c r="AX19" s="76"/>
      <c r="AZ19" s="77"/>
      <c r="BA19" s="77"/>
      <c r="BB19" s="77"/>
      <c r="BC19" s="77"/>
      <c r="BD19" s="77"/>
      <c r="BE19" s="77"/>
      <c r="BF19" s="77"/>
      <c r="BH19" s="77"/>
      <c r="BI19" s="77"/>
      <c r="BJ19" s="77"/>
      <c r="BK19" s="77"/>
      <c r="BL19" s="77"/>
      <c r="BM19" s="77"/>
      <c r="BN19" s="77"/>
      <c r="BP19" s="77">
        <f t="shared" si="8"/>
        <v>0</v>
      </c>
      <c r="BQ19" s="77">
        <f t="shared" si="9"/>
        <v>0</v>
      </c>
      <c r="BR19" s="77">
        <f t="shared" si="10"/>
        <v>0</v>
      </c>
      <c r="BS19" s="77">
        <f t="shared" si="11"/>
        <v>0</v>
      </c>
      <c r="BT19" s="77">
        <f t="shared" si="12"/>
        <v>0</v>
      </c>
    </row>
    <row r="20" spans="1:72" ht="15" customHeight="1" x14ac:dyDescent="0.25">
      <c r="A20" s="18"/>
      <c r="B20" s="18" t="s">
        <v>57</v>
      </c>
      <c r="C20" s="20" t="s">
        <v>422</v>
      </c>
      <c r="D20" s="18">
        <v>11812090</v>
      </c>
      <c r="E20" s="19">
        <v>12</v>
      </c>
      <c r="F20" s="20">
        <v>32</v>
      </c>
      <c r="G20" s="20">
        <v>30</v>
      </c>
      <c r="H20" s="20">
        <v>3</v>
      </c>
      <c r="J20" s="69">
        <f t="shared" si="0"/>
        <v>3.0070275</v>
      </c>
      <c r="K20" s="21">
        <f t="shared" si="1"/>
        <v>0.27154347791119099</v>
      </c>
      <c r="L20" s="20">
        <f t="shared" si="2"/>
        <v>3207496</v>
      </c>
      <c r="M20" s="20">
        <f t="shared" si="3"/>
        <v>1198336</v>
      </c>
      <c r="N20" s="27">
        <v>604496</v>
      </c>
      <c r="O20" s="22">
        <v>3207496</v>
      </c>
      <c r="P20" s="22">
        <v>692280</v>
      </c>
      <c r="Q20" s="22">
        <v>0</v>
      </c>
      <c r="R20" s="22">
        <v>506056</v>
      </c>
      <c r="S20" s="22">
        <v>2002136</v>
      </c>
      <c r="T20" s="22">
        <v>7024</v>
      </c>
      <c r="U20" s="28">
        <v>70.362095100000005</v>
      </c>
      <c r="V20" s="28">
        <v>71.538688699999994</v>
      </c>
      <c r="W20" s="28">
        <v>34.474063999999998</v>
      </c>
      <c r="X20" s="28">
        <v>42.795761800000001</v>
      </c>
      <c r="Y20" s="28">
        <v>44.069914199999999</v>
      </c>
      <c r="Z20" s="28">
        <v>47.809788099999999</v>
      </c>
      <c r="AA20" s="28">
        <v>30.893187699999999</v>
      </c>
      <c r="AB20" s="70">
        <v>270.42079200000001</v>
      </c>
      <c r="AC20" s="70">
        <v>2.932277</v>
      </c>
      <c r="AE20" s="69" t="str">
        <f t="shared" si="4"/>
        <v>·</v>
      </c>
      <c r="AF20" s="21" t="str">
        <f t="shared" si="5"/>
        <v>·</v>
      </c>
      <c r="AG20" s="20" t="str">
        <f t="shared" si="6"/>
        <v>.</v>
      </c>
      <c r="AH20" s="20" t="str">
        <f t="shared" si="7"/>
        <v>.</v>
      </c>
      <c r="AI20" s="27"/>
      <c r="AJ20" s="22"/>
      <c r="AK20" s="22"/>
      <c r="AL20" s="22"/>
      <c r="AM20" s="22"/>
      <c r="AN20" s="22"/>
      <c r="AO20" s="22"/>
      <c r="AP20" s="28"/>
      <c r="AQ20" s="28"/>
      <c r="AR20" s="28"/>
      <c r="AS20" s="28"/>
      <c r="AT20" s="28"/>
      <c r="AU20" s="28"/>
      <c r="AV20" s="28"/>
      <c r="AW20" s="70"/>
      <c r="AX20" s="70"/>
      <c r="AZ20" s="71" t="str">
        <f t="array" ref="AZ20">IF( OR(AND(ISBLANK(L20:L24)),AND(ISBLANK(AG20:AG24)), AND(ISBLANK(U20:U24)),AND(ISBLANK(AP20:AP24))), "·", bdRateExtend( L20:L24,U20:U24, AG20:AG24,AP20:AP24))</f>
        <v>·</v>
      </c>
      <c r="BA20" s="71" t="str">
        <f t="array" ref="BA20">IF( OR(AND(ISBLANK(L20:L24)),AND(ISBLANK(AG20:AG24)), AND(ISBLANK(V20:V24)),AND(ISBLANK(AQ20:AQ24))), "·", bdRateExtend( L20:L24,V20:V24, AG20:AG24,AQ20:AQ24))</f>
        <v>·</v>
      </c>
      <c r="BB20" s="71" t="str">
        <f t="array" ref="BB20">IF( OR(AND(ISBLANK(L20:L24)),AND(ISBLANK(AG20:AG24)), AND(ISBLANK(W20:W24)),AND(ISBLANK(AR20:AR24))), "·", bdRateExtend( L20:L24,W20:W24, AG20:AG24,AR20:AR24))</f>
        <v>·</v>
      </c>
      <c r="BC20" s="71" t="str">
        <f t="array" ref="BC20">IF( OR(AND(ISBLANK(L20:L24)),AND(ISBLANK(AG20:AG24)), AND(ISBLANK(X20:X24)),AND(ISBLANK(AS20:AS24))), "·", bdRateExtend( L20:L24,X20:X24, AG20:AG24,AS20:AS24))</f>
        <v>·</v>
      </c>
      <c r="BD20" s="71" t="str">
        <f t="array" ref="BD20">IF( OR(AND(ISBLANK(L20:L24)),AND(ISBLANK(AG20:AG24)), AND(ISBLANK(Y20:Y24)),AND(ISBLANK(AT20:AT24))), "·", bdRateExtend( L20:L24,Y20:Y24, AG20:AG24,AT20:AT24))</f>
        <v>·</v>
      </c>
      <c r="BE20" s="71" t="str">
        <f t="array" ref="BE20">IF( OR(AND(ISBLANK(L20:L24)),AND(ISBLANK(AG20:AG24)), AND(ISBLANK(Z20:Z24)),AND(ISBLANK(AU20:AU24))), "·", bdRateExtend( L20:L24,Z20:Z24, AG20:AG24,AU20:AU24))</f>
        <v>·</v>
      </c>
      <c r="BF20" s="71" t="str">
        <f t="array" ref="BF20">IF( OR(AND(ISBLANK(L20:L24)),AND(ISBLANK(AG20:AG24)), AND(ISBLANK(AA20:AA24)),AND(ISBLANK(AV20:AV24))), "·", bdRateExtend( L20:L24,AA20:AA24, AG20:AG24,AV20:AV24))</f>
        <v>·</v>
      </c>
      <c r="BH20" s="71" t="str">
        <f t="array" ref="BH20">IF( OR(AND(ISBLANK(M20:M24)),AND(ISBLANK(AH20:AH24)), AND(ISBLANK(U20:U24)),AND(ISBLANK(AP20:AP24))), "·", bdRateExtend( M20:M24,U20:U24, AH20:AH24,AP20:AP24))</f>
        <v>·</v>
      </c>
      <c r="BI20" s="71" t="str">
        <f t="array" ref="BI20">IF( OR(AND(ISBLANK(M20:M24)),AND(ISBLANK(AH20:AH24)), AND(ISBLANK(V20:V24)),AND(ISBLANK(AQ20:AQ24))), "·", bdRateExtend( M20:M24,V20:V24, AH20:AH24,AQ20:AQ24))</f>
        <v>·</v>
      </c>
      <c r="BJ20" s="71" t="str">
        <f t="array" ref="BJ20">IF( OR(AND(ISBLANK(S20:S24)),AND(ISBLANK(AN20:AN24)), AND(ISBLANK(W20:W24)),AND(ISBLANK(AR20:AR24))), "·", bdRateExtend( S20:S24,W20:W24, AN20:AN24,AR20:AR24))</f>
        <v>·</v>
      </c>
      <c r="BK20" s="71" t="str">
        <f t="array" ref="BK20">IF( OR(AND(ISBLANK(S20:S24)),AND(ISBLANK(AN20:AN24)), AND(ISBLANK(X20:X24)),AND(ISBLANK(AS20:AS24))), "·", bdRateExtend( S20:S24,X20:X24, AN20:AN24,AS20:AS24))</f>
        <v>·</v>
      </c>
      <c r="BL20" s="71" t="str">
        <f t="array" ref="BL20">IF( OR(AND(ISBLANK(S20:S24)),AND(ISBLANK(AN20:AN24)), AND(ISBLANK(Y20:Y24)),AND(ISBLANK(AT20:AT24))), "·", bdRateExtend( S20:S24,Y20:Y24, AN20:AN24,AT20:AT24))</f>
        <v>·</v>
      </c>
      <c r="BM20" s="71" t="str">
        <f t="array" ref="BM20">IF( OR(AND(ISBLANK(M20:M24)),AND(ISBLANK(AH20:AH24)), AND(ISBLANK(Z20:Z24)),AND(ISBLANK(AU20:AU24))), "·", bdRateExtend( M20:M24,Z20:Z24, AH20:AH24,AU20:AU24))</f>
        <v>·</v>
      </c>
      <c r="BN20" s="71" t="str">
        <f t="array" ref="BN20">IF( OR(AND(ISBLANK(S20:S24)),AND(ISBLANK(AN20:AN24)), AND(ISBLANK(AA20:AA24)),AND(ISBLANK(AV20:AV24))), "·", bdRateExtend( S20:S24,AA20:AA24, AN20:AN24,AV20:AV24))</f>
        <v>·</v>
      </c>
      <c r="BP20" s="71">
        <f t="shared" si="8"/>
        <v>0</v>
      </c>
      <c r="BQ20" s="71">
        <f t="shared" si="9"/>
        <v>0</v>
      </c>
      <c r="BR20" s="71">
        <f t="shared" si="10"/>
        <v>0</v>
      </c>
      <c r="BS20" s="71">
        <f t="shared" si="11"/>
        <v>0</v>
      </c>
      <c r="BT20" s="71">
        <f t="shared" si="12"/>
        <v>0</v>
      </c>
    </row>
    <row r="21" spans="1:72" ht="15" customHeight="1" outlineLevel="1" x14ac:dyDescent="0.25">
      <c r="A21" s="8"/>
      <c r="B21" s="8" t="s">
        <v>57</v>
      </c>
      <c r="C21" s="10" t="s">
        <v>423</v>
      </c>
      <c r="D21" s="8">
        <v>11812090</v>
      </c>
      <c r="E21" s="9">
        <v>12</v>
      </c>
      <c r="F21" s="10">
        <v>32</v>
      </c>
      <c r="G21" s="10">
        <v>30</v>
      </c>
      <c r="H21" s="10">
        <v>5</v>
      </c>
      <c r="J21" s="63">
        <f t="shared" si="0"/>
        <v>5.11137</v>
      </c>
      <c r="K21" s="11">
        <f t="shared" si="1"/>
        <v>0.46157183021802239</v>
      </c>
      <c r="L21" s="10">
        <f t="shared" si="2"/>
        <v>5452128</v>
      </c>
      <c r="M21" s="10">
        <f t="shared" si="3"/>
        <v>1308072</v>
      </c>
      <c r="N21" s="25">
        <v>604496</v>
      </c>
      <c r="O21" s="12">
        <v>5452128</v>
      </c>
      <c r="P21" s="12">
        <v>753056</v>
      </c>
      <c r="Q21" s="12">
        <v>0</v>
      </c>
      <c r="R21" s="12">
        <v>555016</v>
      </c>
      <c r="S21" s="12">
        <v>4137024</v>
      </c>
      <c r="T21" s="12">
        <v>7032</v>
      </c>
      <c r="U21" s="26">
        <v>70.728646800000007</v>
      </c>
      <c r="V21" s="26">
        <v>71.939707900000002</v>
      </c>
      <c r="W21" s="26">
        <v>37.174651500000003</v>
      </c>
      <c r="X21" s="26">
        <v>43.99953</v>
      </c>
      <c r="Y21" s="26">
        <v>45.9572875</v>
      </c>
      <c r="Z21" s="26">
        <v>47.978582299999999</v>
      </c>
      <c r="AA21" s="26">
        <v>31.877295700000001</v>
      </c>
      <c r="AB21" s="64">
        <v>974.23694799999998</v>
      </c>
      <c r="AC21" s="64">
        <v>7.8074089999999998</v>
      </c>
      <c r="AE21" s="63" t="str">
        <f t="shared" si="4"/>
        <v>·</v>
      </c>
      <c r="AF21" s="11" t="str">
        <f t="shared" si="5"/>
        <v>·</v>
      </c>
      <c r="AG21" s="10" t="str">
        <f t="shared" si="6"/>
        <v>.</v>
      </c>
      <c r="AH21" s="10" t="str">
        <f t="shared" si="7"/>
        <v>.</v>
      </c>
      <c r="AI21" s="25"/>
      <c r="AJ21" s="12"/>
      <c r="AK21" s="12"/>
      <c r="AL21" s="12"/>
      <c r="AM21" s="12"/>
      <c r="AN21" s="12"/>
      <c r="AO21" s="12"/>
      <c r="AP21" s="26"/>
      <c r="AQ21" s="26"/>
      <c r="AR21" s="26"/>
      <c r="AS21" s="26"/>
      <c r="AT21" s="26"/>
      <c r="AU21" s="26"/>
      <c r="AV21" s="26"/>
      <c r="AW21" s="64"/>
      <c r="AX21" s="64"/>
      <c r="AZ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N21" s="65"/>
      <c r="BP21" s="65">
        <f t="shared" si="8"/>
        <v>0</v>
      </c>
      <c r="BQ21" s="65">
        <f t="shared" si="9"/>
        <v>0</v>
      </c>
      <c r="BR21" s="65">
        <f t="shared" si="10"/>
        <v>0</v>
      </c>
      <c r="BS21" s="65">
        <f t="shared" si="11"/>
        <v>0</v>
      </c>
      <c r="BT21" s="65">
        <f t="shared" si="12"/>
        <v>0</v>
      </c>
    </row>
    <row r="22" spans="1:72" ht="15" customHeight="1" outlineLevel="1" x14ac:dyDescent="0.25">
      <c r="A22" s="18"/>
      <c r="B22" s="18" t="s">
        <v>57</v>
      </c>
      <c r="C22" s="20" t="s">
        <v>424</v>
      </c>
      <c r="D22" s="18">
        <v>11812090</v>
      </c>
      <c r="E22" s="19">
        <v>12</v>
      </c>
      <c r="F22" s="20">
        <v>32</v>
      </c>
      <c r="G22" s="20">
        <v>30</v>
      </c>
      <c r="H22" s="20">
        <v>10</v>
      </c>
      <c r="J22" s="69">
        <f t="shared" si="0"/>
        <v>10.077195</v>
      </c>
      <c r="K22" s="21">
        <f t="shared" si="1"/>
        <v>0.91000051642004087</v>
      </c>
      <c r="L22" s="20">
        <f t="shared" si="2"/>
        <v>10749008</v>
      </c>
      <c r="M22" s="20">
        <f t="shared" si="3"/>
        <v>2736496</v>
      </c>
      <c r="N22" s="27">
        <v>1209024</v>
      </c>
      <c r="O22" s="22">
        <v>10749008</v>
      </c>
      <c r="P22" s="22">
        <v>1155672</v>
      </c>
      <c r="Q22" s="22">
        <v>0</v>
      </c>
      <c r="R22" s="22">
        <v>1580824</v>
      </c>
      <c r="S22" s="22">
        <v>8005488</v>
      </c>
      <c r="T22" s="22">
        <v>7024</v>
      </c>
      <c r="U22" s="28">
        <v>76.166239300000001</v>
      </c>
      <c r="V22" s="28">
        <v>78.151053200000007</v>
      </c>
      <c r="W22" s="28">
        <v>40.254608699999999</v>
      </c>
      <c r="X22" s="28">
        <v>45.296244799999997</v>
      </c>
      <c r="Y22" s="28">
        <v>48.007465400000001</v>
      </c>
      <c r="Z22" s="28">
        <v>50.5795022</v>
      </c>
      <c r="AA22" s="28">
        <v>35.568734399999997</v>
      </c>
      <c r="AB22" s="70">
        <v>918.40874199999996</v>
      </c>
      <c r="AC22" s="70">
        <v>9.2245010000000001</v>
      </c>
      <c r="AE22" s="69" t="str">
        <f t="shared" si="4"/>
        <v>·</v>
      </c>
      <c r="AF22" s="21" t="str">
        <f t="shared" si="5"/>
        <v>·</v>
      </c>
      <c r="AG22" s="20" t="str">
        <f t="shared" si="6"/>
        <v>.</v>
      </c>
      <c r="AH22" s="20" t="str">
        <f t="shared" si="7"/>
        <v>.</v>
      </c>
      <c r="AI22" s="27"/>
      <c r="AJ22" s="22"/>
      <c r="AK22" s="22"/>
      <c r="AL22" s="22"/>
      <c r="AM22" s="22"/>
      <c r="AN22" s="22"/>
      <c r="AO22" s="22"/>
      <c r="AP22" s="28"/>
      <c r="AQ22" s="28"/>
      <c r="AR22" s="28"/>
      <c r="AS22" s="28"/>
      <c r="AT22" s="28"/>
      <c r="AU22" s="28"/>
      <c r="AV22" s="28"/>
      <c r="AW22" s="70"/>
      <c r="AX22" s="70"/>
      <c r="AZ22" s="71"/>
      <c r="BA22" s="71"/>
      <c r="BB22" s="71"/>
      <c r="BC22" s="71"/>
      <c r="BD22" s="71"/>
      <c r="BE22" s="71"/>
      <c r="BF22" s="71"/>
      <c r="BH22" s="71"/>
      <c r="BI22" s="71"/>
      <c r="BJ22" s="71"/>
      <c r="BK22" s="71"/>
      <c r="BL22" s="71"/>
      <c r="BM22" s="71"/>
      <c r="BN22" s="71"/>
      <c r="BP22" s="71">
        <f t="shared" si="8"/>
        <v>0</v>
      </c>
      <c r="BQ22" s="71">
        <f t="shared" si="9"/>
        <v>0</v>
      </c>
      <c r="BR22" s="71">
        <f t="shared" si="10"/>
        <v>0</v>
      </c>
      <c r="BS22" s="71">
        <f t="shared" si="11"/>
        <v>0</v>
      </c>
      <c r="BT22" s="71">
        <f t="shared" si="12"/>
        <v>0</v>
      </c>
    </row>
    <row r="23" spans="1:72" ht="15" customHeight="1" outlineLevel="1" x14ac:dyDescent="0.25">
      <c r="A23" s="8"/>
      <c r="B23" s="8" t="s">
        <v>57</v>
      </c>
      <c r="C23" s="10" t="s">
        <v>425</v>
      </c>
      <c r="D23" s="8">
        <v>11812090</v>
      </c>
      <c r="E23" s="9">
        <v>12</v>
      </c>
      <c r="F23" s="10">
        <v>32</v>
      </c>
      <c r="G23" s="10">
        <v>30</v>
      </c>
      <c r="H23" s="10">
        <v>14</v>
      </c>
      <c r="J23" s="63">
        <f t="shared" si="0"/>
        <v>14.284230000000001</v>
      </c>
      <c r="K23" s="11">
        <f t="shared" si="1"/>
        <v>1.2899082211530728</v>
      </c>
      <c r="L23" s="10">
        <f t="shared" si="2"/>
        <v>15236512</v>
      </c>
      <c r="M23" s="10">
        <f t="shared" si="3"/>
        <v>4055072</v>
      </c>
      <c r="N23" s="25">
        <v>2418320</v>
      </c>
      <c r="O23" s="12">
        <v>15236512</v>
      </c>
      <c r="P23" s="12">
        <v>2431352</v>
      </c>
      <c r="Q23" s="12">
        <v>0</v>
      </c>
      <c r="R23" s="12">
        <v>1623720</v>
      </c>
      <c r="S23" s="12">
        <v>11174160</v>
      </c>
      <c r="T23" s="12">
        <v>7280</v>
      </c>
      <c r="U23" s="26">
        <v>78.089480600000002</v>
      </c>
      <c r="V23" s="26">
        <v>80.567410499999994</v>
      </c>
      <c r="W23" s="26">
        <v>41.391844399999997</v>
      </c>
      <c r="X23" s="26">
        <v>45.808621600000002</v>
      </c>
      <c r="Y23" s="26">
        <v>48.744075799999997</v>
      </c>
      <c r="Z23" s="26">
        <v>52.269352900000001</v>
      </c>
      <c r="AA23" s="26">
        <v>37.154429499999999</v>
      </c>
      <c r="AB23" s="64">
        <v>1289.37069</v>
      </c>
      <c r="AC23" s="64">
        <v>14.612449</v>
      </c>
      <c r="AE23" s="63" t="str">
        <f t="shared" si="4"/>
        <v>·</v>
      </c>
      <c r="AF23" s="11" t="str">
        <f t="shared" si="5"/>
        <v>·</v>
      </c>
      <c r="AG23" s="10" t="str">
        <f t="shared" si="6"/>
        <v>.</v>
      </c>
      <c r="AH23" s="10" t="str">
        <f t="shared" si="7"/>
        <v>.</v>
      </c>
      <c r="AI23" s="25"/>
      <c r="AJ23" s="12"/>
      <c r="AK23" s="12"/>
      <c r="AL23" s="12"/>
      <c r="AM23" s="12"/>
      <c r="AN23" s="12"/>
      <c r="AO23" s="12"/>
      <c r="AP23" s="26"/>
      <c r="AQ23" s="26"/>
      <c r="AR23" s="26"/>
      <c r="AS23" s="26"/>
      <c r="AT23" s="26"/>
      <c r="AU23" s="26"/>
      <c r="AV23" s="26"/>
      <c r="AW23" s="64"/>
      <c r="AX23" s="64"/>
      <c r="AZ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N23" s="65"/>
      <c r="BP23" s="65">
        <f t="shared" si="8"/>
        <v>0</v>
      </c>
      <c r="BQ23" s="65">
        <f t="shared" si="9"/>
        <v>0</v>
      </c>
      <c r="BR23" s="65">
        <f t="shared" si="10"/>
        <v>0</v>
      </c>
      <c r="BS23" s="65">
        <f t="shared" si="11"/>
        <v>0</v>
      </c>
      <c r="BT23" s="65">
        <f t="shared" si="12"/>
        <v>0</v>
      </c>
    </row>
    <row r="24" spans="1:72" ht="15.75" customHeight="1" outlineLevel="1" thickBot="1" x14ac:dyDescent="0.3">
      <c r="A24" s="13"/>
      <c r="B24" s="13" t="s">
        <v>57</v>
      </c>
      <c r="C24" s="15" t="s">
        <v>426</v>
      </c>
      <c r="D24" s="13">
        <v>11812090</v>
      </c>
      <c r="E24" s="14">
        <v>12</v>
      </c>
      <c r="F24" s="15">
        <v>32</v>
      </c>
      <c r="G24" s="15">
        <v>30</v>
      </c>
      <c r="H24" s="15">
        <v>21</v>
      </c>
      <c r="J24" s="66">
        <f t="shared" si="0"/>
        <v>21.182947500000001</v>
      </c>
      <c r="K24" s="16">
        <f t="shared" si="1"/>
        <v>1.9128828175200154</v>
      </c>
      <c r="L24" s="15">
        <f t="shared" si="2"/>
        <v>22595144</v>
      </c>
      <c r="M24" s="15">
        <f t="shared" si="3"/>
        <v>4265072</v>
      </c>
      <c r="N24" s="36">
        <v>2418320</v>
      </c>
      <c r="O24" s="17">
        <v>22595144</v>
      </c>
      <c r="P24" s="17">
        <v>2198232</v>
      </c>
      <c r="Q24" s="17">
        <v>0</v>
      </c>
      <c r="R24" s="17">
        <v>2066840</v>
      </c>
      <c r="S24" s="17">
        <v>18322792</v>
      </c>
      <c r="T24" s="17">
        <v>7280</v>
      </c>
      <c r="U24" s="37">
        <v>78.697107599999995</v>
      </c>
      <c r="V24" s="37">
        <v>81.399039200000004</v>
      </c>
      <c r="W24" s="37">
        <v>42.352017400000001</v>
      </c>
      <c r="X24" s="37">
        <v>46.891067</v>
      </c>
      <c r="Y24" s="37">
        <v>50.093510799999997</v>
      </c>
      <c r="Z24" s="37">
        <v>52.454428700000001</v>
      </c>
      <c r="AA24" s="37">
        <v>37.754601899999997</v>
      </c>
      <c r="AB24" s="67">
        <v>1019.738381</v>
      </c>
      <c r="AC24" s="67">
        <v>9.410266</v>
      </c>
      <c r="AE24" s="66" t="str">
        <f t="shared" si="4"/>
        <v>·</v>
      </c>
      <c r="AF24" s="16" t="str">
        <f t="shared" si="5"/>
        <v>·</v>
      </c>
      <c r="AG24" s="15" t="str">
        <f t="shared" si="6"/>
        <v>.</v>
      </c>
      <c r="AH24" s="15" t="str">
        <f t="shared" si="7"/>
        <v>.</v>
      </c>
      <c r="AI24" s="36"/>
      <c r="AJ24" s="17"/>
      <c r="AK24" s="17"/>
      <c r="AL24" s="17"/>
      <c r="AM24" s="17"/>
      <c r="AN24" s="17"/>
      <c r="AO24" s="17"/>
      <c r="AP24" s="37"/>
      <c r="AQ24" s="37"/>
      <c r="AR24" s="37"/>
      <c r="AS24" s="37"/>
      <c r="AT24" s="37"/>
      <c r="AU24" s="37"/>
      <c r="AV24" s="37"/>
      <c r="AW24" s="67"/>
      <c r="AX24" s="67"/>
      <c r="AZ24" s="68"/>
      <c r="BA24" s="68"/>
      <c r="BB24" s="68"/>
      <c r="BC24" s="68"/>
      <c r="BD24" s="68"/>
      <c r="BE24" s="68"/>
      <c r="BF24" s="68"/>
      <c r="BH24" s="68"/>
      <c r="BI24" s="68"/>
      <c r="BJ24" s="68"/>
      <c r="BK24" s="68"/>
      <c r="BL24" s="68"/>
      <c r="BM24" s="68"/>
      <c r="BN24" s="68"/>
      <c r="BP24" s="68">
        <f t="shared" si="8"/>
        <v>0</v>
      </c>
      <c r="BQ24" s="68">
        <f t="shared" si="9"/>
        <v>0</v>
      </c>
      <c r="BR24" s="68">
        <f t="shared" si="10"/>
        <v>0</v>
      </c>
      <c r="BS24" s="68">
        <f t="shared" si="11"/>
        <v>0</v>
      </c>
      <c r="BT24" s="68">
        <f t="shared" si="12"/>
        <v>0</v>
      </c>
    </row>
    <row r="25" spans="1:72" ht="15" customHeight="1" x14ac:dyDescent="0.25">
      <c r="A25" s="8" t="s">
        <v>188</v>
      </c>
      <c r="B25" s="8" t="s">
        <v>62</v>
      </c>
      <c r="C25" s="10" t="s">
        <v>422</v>
      </c>
      <c r="D25" s="8">
        <v>12000000</v>
      </c>
      <c r="E25" s="9">
        <v>12</v>
      </c>
      <c r="F25" s="10">
        <v>32</v>
      </c>
      <c r="G25" s="10">
        <v>30</v>
      </c>
      <c r="H25" s="10">
        <v>4</v>
      </c>
      <c r="J25" s="63">
        <f t="shared" si="0"/>
        <v>4.1026049999999996</v>
      </c>
      <c r="K25" s="11">
        <f t="shared" si="1"/>
        <v>0.364676</v>
      </c>
      <c r="L25" s="10">
        <f t="shared" si="2"/>
        <v>4376112</v>
      </c>
      <c r="M25" s="10">
        <f t="shared" si="3"/>
        <v>1253344</v>
      </c>
      <c r="N25" s="25">
        <v>2455232</v>
      </c>
      <c r="O25" s="12">
        <v>4376112</v>
      </c>
      <c r="P25" s="12">
        <v>714400</v>
      </c>
      <c r="Q25" s="12">
        <v>0</v>
      </c>
      <c r="R25" s="12">
        <v>538944</v>
      </c>
      <c r="S25" s="12">
        <v>3115488</v>
      </c>
      <c r="T25" s="12">
        <v>7280</v>
      </c>
      <c r="U25" s="26">
        <v>72.808657199999999</v>
      </c>
      <c r="V25" s="26">
        <v>74.532907699999996</v>
      </c>
      <c r="W25" s="26">
        <v>31.4590642</v>
      </c>
      <c r="X25" s="26">
        <v>40.605519399999999</v>
      </c>
      <c r="Y25" s="26">
        <v>36.902674599999997</v>
      </c>
      <c r="Z25" s="26">
        <v>44.378712200000002</v>
      </c>
      <c r="AA25" s="26">
        <v>28.397383000000001</v>
      </c>
      <c r="AB25" s="64">
        <v>477.32627200000002</v>
      </c>
      <c r="AC25" s="64">
        <v>3.0900120000000002</v>
      </c>
      <c r="AE25" s="63" t="str">
        <f t="shared" si="4"/>
        <v>·</v>
      </c>
      <c r="AF25" s="11" t="str">
        <f t="shared" si="5"/>
        <v>·</v>
      </c>
      <c r="AG25" s="10" t="str">
        <f t="shared" si="6"/>
        <v>.</v>
      </c>
      <c r="AH25" s="10" t="str">
        <f t="shared" si="7"/>
        <v>.</v>
      </c>
      <c r="AI25" s="25"/>
      <c r="AJ25" s="12"/>
      <c r="AK25" s="12"/>
      <c r="AL25" s="12"/>
      <c r="AM25" s="12"/>
      <c r="AN25" s="12"/>
      <c r="AO25" s="12"/>
      <c r="AP25" s="26"/>
      <c r="AQ25" s="26"/>
      <c r="AR25" s="26"/>
      <c r="AS25" s="26"/>
      <c r="AT25" s="26"/>
      <c r="AU25" s="26"/>
      <c r="AV25" s="26"/>
      <c r="AW25" s="64"/>
      <c r="AX25" s="64"/>
      <c r="AZ25" s="65" t="str">
        <f t="array" ref="AZ25">IF( OR(AND(ISBLANK(L25:L29)),AND(ISBLANK(AG25:AG29)), AND(ISBLANK(U25:U29)),AND(ISBLANK(AP25:AP29))), "·", bdRateExtend( L25:L29,U25:U29, AG25:AG29,AP25:AP29))</f>
        <v>·</v>
      </c>
      <c r="BA25" s="65" t="str">
        <f t="array" ref="BA25">IF( OR(AND(ISBLANK(L25:L29)),AND(ISBLANK(AG25:AG29)), AND(ISBLANK(V25:V29)),AND(ISBLANK(AQ25:AQ29))), "·", bdRateExtend( L25:L29,V25:V29, AG25:AG29,AQ25:AQ29))</f>
        <v>·</v>
      </c>
      <c r="BB25" s="65" t="str">
        <f t="array" ref="BB25">IF( OR(AND(ISBLANK(L25:L29)),AND(ISBLANK(AG25:AG29)), AND(ISBLANK(W25:W29)),AND(ISBLANK(AR25:AR29))), "·", bdRateExtend( L25:L29,W25:W29, AG25:AG29,AR25:AR29))</f>
        <v>·</v>
      </c>
      <c r="BC25" s="65" t="str">
        <f t="array" ref="BC25">IF( OR(AND(ISBLANK(L25:L29)),AND(ISBLANK(AG25:AG29)), AND(ISBLANK(X25:X29)),AND(ISBLANK(AS25:AS29))), "·", bdRateExtend( L25:L29,X25:X29, AG25:AG29,AS25:AS29))</f>
        <v>·</v>
      </c>
      <c r="BD25" s="65" t="str">
        <f t="array" ref="BD25">IF( OR(AND(ISBLANK(L25:L29)),AND(ISBLANK(AG25:AG29)), AND(ISBLANK(Y25:Y29)),AND(ISBLANK(AT25:AT29))), "·", bdRateExtend( L25:L29,Y25:Y29, AG25:AG29,AT25:AT29))</f>
        <v>·</v>
      </c>
      <c r="BE25" s="65" t="str">
        <f t="array" ref="BE25">IF( OR(AND(ISBLANK(L25:L29)),AND(ISBLANK(AG25:AG29)), AND(ISBLANK(Z25:Z29)),AND(ISBLANK(AU25:AU29))), "·", bdRateExtend( L25:L29,Z25:Z29, AG25:AG29,AU25:AU29))</f>
        <v>·</v>
      </c>
      <c r="BF25" s="65" t="str">
        <f t="array" ref="BF25">IF( OR(AND(ISBLANK(L25:L29)),AND(ISBLANK(AG25:AG29)), AND(ISBLANK(AA25:AA29)),AND(ISBLANK(AV25:AV29))), "·", bdRateExtend( L25:L29,AA25:AA29, AG25:AG29,AV25:AV29))</f>
        <v>·</v>
      </c>
      <c r="BH25" s="65" t="str">
        <f t="array" ref="BH25">IF( OR(AND(ISBLANK(M25:M29)),AND(ISBLANK(AH25:AH29)), AND(ISBLANK(U25:U29)),AND(ISBLANK(AP25:AP29))), "·", bdRateExtend( M25:M29,U25:U29, AH25:AH29,AP25:AP29))</f>
        <v>·</v>
      </c>
      <c r="BI25" s="65" t="str">
        <f t="array" ref="BI25">IF( OR(AND(ISBLANK(M25:M29)),AND(ISBLANK(AH25:AH29)), AND(ISBLANK(V25:V29)),AND(ISBLANK(AQ25:AQ29))), "·", bdRateExtend( M25:M29,V25:V29, AH25:AH29,AQ25:AQ29))</f>
        <v>·</v>
      </c>
      <c r="BJ25" s="65" t="str">
        <f t="array" ref="BJ25">IF( OR(AND(ISBLANK(S25:S29)),AND(ISBLANK(AN25:AN29)), AND(ISBLANK(W25:W29)),AND(ISBLANK(AR25:AR29))), "·", bdRateExtend( S25:S29,W25:W29, AN25:AN29,AR25:AR29))</f>
        <v>·</v>
      </c>
      <c r="BK25" s="65" t="str">
        <f t="array" ref="BK25">IF( OR(AND(ISBLANK(S25:S29)),AND(ISBLANK(AN25:AN29)), AND(ISBLANK(X25:X29)),AND(ISBLANK(AS25:AS29))), "·", bdRateExtend( S25:S29,X25:X29, AN25:AN29,AS25:AS29))</f>
        <v>·</v>
      </c>
      <c r="BL25" s="65" t="str">
        <f t="array" ref="BL25">IF( OR(AND(ISBLANK(S25:S29)),AND(ISBLANK(AN25:AN29)), AND(ISBLANK(Y25:Y29)),AND(ISBLANK(AT25:AT29))), "·", bdRateExtend( S25:S29,Y25:Y29, AN25:AN29,AT25:AT29))</f>
        <v>·</v>
      </c>
      <c r="BM25" s="65" t="str">
        <f t="array" ref="BM25">IF( OR(AND(ISBLANK(M25:M29)),AND(ISBLANK(AH25:AH29)), AND(ISBLANK(Z25:Z29)),AND(ISBLANK(AU25:AU29))), "·", bdRateExtend( M25:M29,Z25:Z29, AH25:AH29,AU25:AU29))</f>
        <v>·</v>
      </c>
      <c r="BN25" s="65" t="str">
        <f t="array" ref="BN25">IF( OR(AND(ISBLANK(S25:S29)),AND(ISBLANK(AN25:AN29)), AND(ISBLANK(AA25:AA29)),AND(ISBLANK(AV25:AV29))), "·", bdRateExtend( S25:S29,AA25:AA29, AN25:AN29,AV25:AV29))</f>
        <v>·</v>
      </c>
      <c r="BP25" s="65">
        <f t="shared" si="8"/>
        <v>0</v>
      </c>
      <c r="BQ25" s="65">
        <f t="shared" si="9"/>
        <v>0</v>
      </c>
      <c r="BR25" s="65">
        <f t="shared" si="10"/>
        <v>0</v>
      </c>
      <c r="BS25" s="65">
        <f t="shared" si="11"/>
        <v>0</v>
      </c>
      <c r="BT25" s="65">
        <f t="shared" si="12"/>
        <v>0</v>
      </c>
    </row>
    <row r="26" spans="1:72" ht="15" customHeight="1" outlineLevel="1" x14ac:dyDescent="0.25">
      <c r="A26" s="18"/>
      <c r="B26" s="18" t="s">
        <v>62</v>
      </c>
      <c r="C26" s="20" t="s">
        <v>423</v>
      </c>
      <c r="D26" s="18">
        <v>12000000</v>
      </c>
      <c r="E26" s="19">
        <v>12</v>
      </c>
      <c r="F26" s="20">
        <v>32</v>
      </c>
      <c r="G26" s="20">
        <v>30</v>
      </c>
      <c r="H26" s="20">
        <v>8</v>
      </c>
      <c r="J26" s="69">
        <f t="shared" si="0"/>
        <v>8.20383</v>
      </c>
      <c r="K26" s="21">
        <f t="shared" si="1"/>
        <v>0.72922933333333328</v>
      </c>
      <c r="L26" s="20">
        <f t="shared" si="2"/>
        <v>8750752</v>
      </c>
      <c r="M26" s="20">
        <f t="shared" si="3"/>
        <v>2067088</v>
      </c>
      <c r="N26" s="27">
        <v>4912768</v>
      </c>
      <c r="O26" s="22">
        <v>8750752</v>
      </c>
      <c r="P26" s="22">
        <v>1200872</v>
      </c>
      <c r="Q26" s="22">
        <v>0</v>
      </c>
      <c r="R26" s="22">
        <v>866216</v>
      </c>
      <c r="S26" s="22">
        <v>6676120</v>
      </c>
      <c r="T26" s="22">
        <v>7544</v>
      </c>
      <c r="U26" s="28">
        <v>76.272471199999998</v>
      </c>
      <c r="V26" s="28">
        <v>78.584546900000007</v>
      </c>
      <c r="W26" s="28">
        <v>33.907688700000001</v>
      </c>
      <c r="X26" s="28">
        <v>42.457763700000001</v>
      </c>
      <c r="Y26" s="28">
        <v>39.801735600000001</v>
      </c>
      <c r="Z26" s="28">
        <v>46.103978599999998</v>
      </c>
      <c r="AA26" s="28">
        <v>31.114455899999999</v>
      </c>
      <c r="AB26" s="70">
        <v>907.91670599999998</v>
      </c>
      <c r="AC26" s="70">
        <v>8.1385199999999998</v>
      </c>
      <c r="AE26" s="69" t="str">
        <f t="shared" si="4"/>
        <v>·</v>
      </c>
      <c r="AF26" s="21" t="str">
        <f t="shared" si="5"/>
        <v>·</v>
      </c>
      <c r="AG26" s="20" t="str">
        <f t="shared" si="6"/>
        <v>.</v>
      </c>
      <c r="AH26" s="20" t="str">
        <f t="shared" si="7"/>
        <v>.</v>
      </c>
      <c r="AI26" s="27"/>
      <c r="AJ26" s="22"/>
      <c r="AK26" s="22"/>
      <c r="AL26" s="22"/>
      <c r="AM26" s="22"/>
      <c r="AN26" s="22"/>
      <c r="AO26" s="22"/>
      <c r="AP26" s="28"/>
      <c r="AQ26" s="28"/>
      <c r="AR26" s="28"/>
      <c r="AS26" s="28"/>
      <c r="AT26" s="28"/>
      <c r="AU26" s="28"/>
      <c r="AV26" s="28"/>
      <c r="AW26" s="70"/>
      <c r="AX26" s="70"/>
      <c r="AZ26" s="71"/>
      <c r="BA26" s="71"/>
      <c r="BB26" s="71"/>
      <c r="BC26" s="71"/>
      <c r="BD26" s="71"/>
      <c r="BE26" s="71"/>
      <c r="BF26" s="71"/>
      <c r="BH26" s="71"/>
      <c r="BI26" s="71"/>
      <c r="BJ26" s="71"/>
      <c r="BK26" s="71"/>
      <c r="BL26" s="71"/>
      <c r="BM26" s="71"/>
      <c r="BN26" s="71"/>
      <c r="BP26" s="71">
        <f t="shared" si="8"/>
        <v>0</v>
      </c>
      <c r="BQ26" s="71">
        <f t="shared" si="9"/>
        <v>0</v>
      </c>
      <c r="BR26" s="71">
        <f t="shared" si="10"/>
        <v>0</v>
      </c>
      <c r="BS26" s="71">
        <f t="shared" si="11"/>
        <v>0</v>
      </c>
      <c r="BT26" s="71">
        <f t="shared" si="12"/>
        <v>0</v>
      </c>
    </row>
    <row r="27" spans="1:72" ht="15" customHeight="1" outlineLevel="1" x14ac:dyDescent="0.25">
      <c r="A27" s="8"/>
      <c r="B27" s="8" t="s">
        <v>62</v>
      </c>
      <c r="C27" s="10" t="s">
        <v>424</v>
      </c>
      <c r="D27" s="8">
        <v>12000000</v>
      </c>
      <c r="E27" s="9">
        <v>12</v>
      </c>
      <c r="F27" s="10">
        <v>32</v>
      </c>
      <c r="G27" s="10">
        <v>30</v>
      </c>
      <c r="H27" s="10">
        <v>12</v>
      </c>
      <c r="J27" s="63">
        <f t="shared" si="0"/>
        <v>12.380610000000001</v>
      </c>
      <c r="K27" s="11">
        <f t="shared" si="1"/>
        <v>1.1004986666666667</v>
      </c>
      <c r="L27" s="10">
        <f t="shared" si="2"/>
        <v>13205984</v>
      </c>
      <c r="M27" s="10">
        <f t="shared" si="3"/>
        <v>3078816</v>
      </c>
      <c r="N27" s="25">
        <v>9827968</v>
      </c>
      <c r="O27" s="12">
        <v>13205984</v>
      </c>
      <c r="P27" s="12">
        <v>2260544</v>
      </c>
      <c r="Q27" s="12">
        <v>0</v>
      </c>
      <c r="R27" s="12">
        <v>818272</v>
      </c>
      <c r="S27" s="12">
        <v>10119616</v>
      </c>
      <c r="T27" s="12">
        <v>7552</v>
      </c>
      <c r="U27" s="26">
        <v>78.211476399999995</v>
      </c>
      <c r="V27" s="26">
        <v>80.928953699999994</v>
      </c>
      <c r="W27" s="26">
        <v>34.861467599999997</v>
      </c>
      <c r="X27" s="26">
        <v>43.678217699999998</v>
      </c>
      <c r="Y27" s="26">
        <v>41.597988100000002</v>
      </c>
      <c r="Z27" s="26">
        <v>47.651722999999997</v>
      </c>
      <c r="AA27" s="26">
        <v>32.450534699999999</v>
      </c>
      <c r="AB27" s="64">
        <v>2960.480638</v>
      </c>
      <c r="AC27" s="64">
        <v>33.134923000000001</v>
      </c>
      <c r="AE27" s="63" t="str">
        <f t="shared" si="4"/>
        <v>·</v>
      </c>
      <c r="AF27" s="11" t="str">
        <f t="shared" si="5"/>
        <v>·</v>
      </c>
      <c r="AG27" s="10" t="str">
        <f t="shared" si="6"/>
        <v>.</v>
      </c>
      <c r="AH27" s="10" t="str">
        <f t="shared" si="7"/>
        <v>.</v>
      </c>
      <c r="AI27" s="25"/>
      <c r="AJ27" s="12"/>
      <c r="AK27" s="12"/>
      <c r="AL27" s="12"/>
      <c r="AM27" s="12"/>
      <c r="AN27" s="12"/>
      <c r="AO27" s="12"/>
      <c r="AP27" s="26"/>
      <c r="AQ27" s="26"/>
      <c r="AR27" s="26"/>
      <c r="AS27" s="26"/>
      <c r="AT27" s="26"/>
      <c r="AU27" s="26"/>
      <c r="AV27" s="26"/>
      <c r="AW27" s="64"/>
      <c r="AX27" s="64"/>
      <c r="AZ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N27" s="65"/>
      <c r="BP27" s="65">
        <f t="shared" si="8"/>
        <v>0</v>
      </c>
      <c r="BQ27" s="65">
        <f t="shared" si="9"/>
        <v>0</v>
      </c>
      <c r="BR27" s="65">
        <f t="shared" si="10"/>
        <v>0</v>
      </c>
      <c r="BS27" s="65">
        <f t="shared" si="11"/>
        <v>0</v>
      </c>
      <c r="BT27" s="65">
        <f t="shared" si="12"/>
        <v>0</v>
      </c>
    </row>
    <row r="28" spans="1:72" ht="15" customHeight="1" outlineLevel="1" x14ac:dyDescent="0.25">
      <c r="A28" s="18"/>
      <c r="B28" s="18" t="s">
        <v>62</v>
      </c>
      <c r="C28" s="20" t="s">
        <v>425</v>
      </c>
      <c r="D28" s="18">
        <v>12000000</v>
      </c>
      <c r="E28" s="19">
        <v>12</v>
      </c>
      <c r="F28" s="20">
        <v>32</v>
      </c>
      <c r="G28" s="20">
        <v>30</v>
      </c>
      <c r="H28" s="20">
        <v>17</v>
      </c>
      <c r="J28" s="69">
        <f t="shared" si="0"/>
        <v>17.385202499999998</v>
      </c>
      <c r="K28" s="21">
        <f t="shared" si="1"/>
        <v>1.5453513333333333</v>
      </c>
      <c r="L28" s="20">
        <f t="shared" si="2"/>
        <v>18544216</v>
      </c>
      <c r="M28" s="20">
        <f t="shared" si="3"/>
        <v>5030400</v>
      </c>
      <c r="N28" s="27">
        <v>19659392</v>
      </c>
      <c r="O28" s="22">
        <v>18544216</v>
      </c>
      <c r="P28" s="22">
        <v>4395536</v>
      </c>
      <c r="Q28" s="22">
        <v>0</v>
      </c>
      <c r="R28" s="22">
        <v>634864</v>
      </c>
      <c r="S28" s="22">
        <v>13506000</v>
      </c>
      <c r="T28" s="22">
        <v>7816</v>
      </c>
      <c r="U28" s="28">
        <v>80.183046700000006</v>
      </c>
      <c r="V28" s="28">
        <v>83.562608699999998</v>
      </c>
      <c r="W28" s="28">
        <v>35.667084600000003</v>
      </c>
      <c r="X28" s="28">
        <v>43.998746400000002</v>
      </c>
      <c r="Y28" s="28">
        <v>42.077276099999999</v>
      </c>
      <c r="Z28" s="28">
        <v>49.3493335</v>
      </c>
      <c r="AA28" s="28">
        <v>33.677128199999999</v>
      </c>
      <c r="AB28" s="70">
        <v>3915.1909999999998</v>
      </c>
      <c r="AC28" s="70">
        <v>57.398094</v>
      </c>
      <c r="AE28" s="69" t="str">
        <f t="shared" si="4"/>
        <v>·</v>
      </c>
      <c r="AF28" s="21" t="str">
        <f t="shared" si="5"/>
        <v>·</v>
      </c>
      <c r="AG28" s="20" t="str">
        <f t="shared" si="6"/>
        <v>.</v>
      </c>
      <c r="AH28" s="20" t="str">
        <f t="shared" si="7"/>
        <v>.</v>
      </c>
      <c r="AI28" s="27"/>
      <c r="AJ28" s="22"/>
      <c r="AK28" s="22"/>
      <c r="AL28" s="22"/>
      <c r="AM28" s="22"/>
      <c r="AN28" s="22"/>
      <c r="AO28" s="22"/>
      <c r="AP28" s="28"/>
      <c r="AQ28" s="28"/>
      <c r="AR28" s="28"/>
      <c r="AS28" s="28"/>
      <c r="AT28" s="28"/>
      <c r="AU28" s="28"/>
      <c r="AV28" s="28"/>
      <c r="AW28" s="70"/>
      <c r="AX28" s="70"/>
      <c r="AZ28" s="71"/>
      <c r="BA28" s="71"/>
      <c r="BB28" s="71"/>
      <c r="BC28" s="71"/>
      <c r="BD28" s="71"/>
      <c r="BE28" s="71"/>
      <c r="BF28" s="71"/>
      <c r="BH28" s="71"/>
      <c r="BI28" s="71"/>
      <c r="BJ28" s="71"/>
      <c r="BK28" s="71"/>
      <c r="BL28" s="71"/>
      <c r="BM28" s="71"/>
      <c r="BN28" s="71"/>
      <c r="BP28" s="71">
        <f t="shared" si="8"/>
        <v>0</v>
      </c>
      <c r="BQ28" s="71">
        <f t="shared" si="9"/>
        <v>0</v>
      </c>
      <c r="BR28" s="71">
        <f t="shared" si="10"/>
        <v>0</v>
      </c>
      <c r="BS28" s="71">
        <f t="shared" si="11"/>
        <v>0</v>
      </c>
      <c r="BT28" s="71">
        <f t="shared" si="12"/>
        <v>0</v>
      </c>
    </row>
    <row r="29" spans="1:72" ht="15.75" customHeight="1" outlineLevel="1" thickBot="1" x14ac:dyDescent="0.3">
      <c r="A29" s="8"/>
      <c r="B29" s="29" t="s">
        <v>62</v>
      </c>
      <c r="C29" s="30" t="s">
        <v>426</v>
      </c>
      <c r="D29" s="29">
        <v>12000000</v>
      </c>
      <c r="E29" s="31">
        <v>12</v>
      </c>
      <c r="F29" s="30">
        <v>32</v>
      </c>
      <c r="G29" s="30">
        <v>30</v>
      </c>
      <c r="H29" s="30">
        <v>25</v>
      </c>
      <c r="J29" s="75">
        <f t="shared" si="0"/>
        <v>25.673324999999998</v>
      </c>
      <c r="K29" s="32">
        <f t="shared" si="1"/>
        <v>2.2820733333333334</v>
      </c>
      <c r="L29" s="30">
        <f t="shared" si="2"/>
        <v>27384880</v>
      </c>
      <c r="M29" s="30">
        <f t="shared" si="3"/>
        <v>10380808</v>
      </c>
      <c r="N29" s="33">
        <v>14745456</v>
      </c>
      <c r="O29" s="34">
        <v>27384880</v>
      </c>
      <c r="P29" s="34">
        <v>9541744</v>
      </c>
      <c r="Q29" s="34">
        <v>0</v>
      </c>
      <c r="R29" s="34">
        <v>839064</v>
      </c>
      <c r="S29" s="34">
        <v>16996256</v>
      </c>
      <c r="T29" s="34">
        <v>7816</v>
      </c>
      <c r="U29" s="35">
        <v>84.727156199999996</v>
      </c>
      <c r="V29" s="35">
        <v>90.043826300000006</v>
      </c>
      <c r="W29" s="35">
        <v>36.399327</v>
      </c>
      <c r="X29" s="35">
        <v>44.314752599999998</v>
      </c>
      <c r="Y29" s="35">
        <v>42.541991699999997</v>
      </c>
      <c r="Z29" s="35">
        <v>52.9986788</v>
      </c>
      <c r="AA29" s="35">
        <v>35.444967800000001</v>
      </c>
      <c r="AB29" s="76">
        <v>4748.9160259999999</v>
      </c>
      <c r="AC29" s="76">
        <v>36.567411</v>
      </c>
      <c r="AE29" s="75" t="str">
        <f t="shared" si="4"/>
        <v>·</v>
      </c>
      <c r="AF29" s="32" t="str">
        <f t="shared" si="5"/>
        <v>·</v>
      </c>
      <c r="AG29" s="30" t="str">
        <f t="shared" si="6"/>
        <v>.</v>
      </c>
      <c r="AH29" s="30" t="str">
        <f t="shared" si="7"/>
        <v>.</v>
      </c>
      <c r="AI29" s="33"/>
      <c r="AJ29" s="34"/>
      <c r="AK29" s="34"/>
      <c r="AL29" s="34"/>
      <c r="AM29" s="34"/>
      <c r="AN29" s="34"/>
      <c r="AO29" s="34"/>
      <c r="AP29" s="35"/>
      <c r="AQ29" s="35"/>
      <c r="AR29" s="35"/>
      <c r="AS29" s="35"/>
      <c r="AT29" s="35"/>
      <c r="AU29" s="35"/>
      <c r="AV29" s="35"/>
      <c r="AW29" s="76"/>
      <c r="AX29" s="76"/>
      <c r="AZ29" s="77"/>
      <c r="BA29" s="77"/>
      <c r="BB29" s="77"/>
      <c r="BC29" s="77"/>
      <c r="BD29" s="77"/>
      <c r="BE29" s="77"/>
      <c r="BF29" s="77"/>
      <c r="BH29" s="77"/>
      <c r="BI29" s="77"/>
      <c r="BJ29" s="77"/>
      <c r="BK29" s="77"/>
      <c r="BL29" s="77"/>
      <c r="BM29" s="77"/>
      <c r="BN29" s="77"/>
      <c r="BP29" s="77">
        <f t="shared" si="8"/>
        <v>0</v>
      </c>
      <c r="BQ29" s="77">
        <f t="shared" si="9"/>
        <v>0</v>
      </c>
      <c r="BR29" s="77">
        <f t="shared" si="10"/>
        <v>0</v>
      </c>
      <c r="BS29" s="77">
        <f t="shared" si="11"/>
        <v>0</v>
      </c>
      <c r="BT29" s="77">
        <f t="shared" si="12"/>
        <v>0</v>
      </c>
    </row>
    <row r="30" spans="1:72" ht="15" customHeight="1" x14ac:dyDescent="0.25">
      <c r="A30" s="18"/>
      <c r="B30" s="18" t="s">
        <v>67</v>
      </c>
      <c r="C30" s="20" t="s">
        <v>422</v>
      </c>
      <c r="D30" s="18">
        <v>5997654</v>
      </c>
      <c r="E30" s="19">
        <v>12</v>
      </c>
      <c r="F30" s="20">
        <v>32</v>
      </c>
      <c r="G30" s="20">
        <v>30</v>
      </c>
      <c r="H30" s="20">
        <v>4</v>
      </c>
      <c r="J30" s="69">
        <f t="shared" si="0"/>
        <v>3.5961675</v>
      </c>
      <c r="K30" s="21">
        <f t="shared" si="1"/>
        <v>0.63956873804324155</v>
      </c>
      <c r="L30" s="20">
        <f t="shared" si="2"/>
        <v>3835912</v>
      </c>
      <c r="M30" s="20">
        <f t="shared" si="3"/>
        <v>1059440</v>
      </c>
      <c r="N30" s="27">
        <v>2424832</v>
      </c>
      <c r="O30" s="22">
        <v>3835912</v>
      </c>
      <c r="P30" s="22">
        <v>424312</v>
      </c>
      <c r="Q30" s="22">
        <v>63200</v>
      </c>
      <c r="R30" s="22">
        <v>571928</v>
      </c>
      <c r="S30" s="22">
        <v>2770536</v>
      </c>
      <c r="T30" s="22">
        <v>5936</v>
      </c>
      <c r="U30" s="28">
        <v>73.447598299999996</v>
      </c>
      <c r="V30" s="28">
        <v>75.044205399999996</v>
      </c>
      <c r="W30" s="28">
        <v>38.662148799999997</v>
      </c>
      <c r="X30" s="28">
        <v>44.517940099999997</v>
      </c>
      <c r="Y30" s="28">
        <v>43.145627400000002</v>
      </c>
      <c r="Z30" s="28">
        <v>46.6922122</v>
      </c>
      <c r="AA30" s="28">
        <v>34.824930600000002</v>
      </c>
      <c r="AB30" s="70">
        <v>1691.1489879999999</v>
      </c>
      <c r="AC30" s="70">
        <v>7.6217069999999998</v>
      </c>
      <c r="AE30" s="69" t="str">
        <f t="shared" si="4"/>
        <v>·</v>
      </c>
      <c r="AF30" s="21" t="str">
        <f t="shared" si="5"/>
        <v>·</v>
      </c>
      <c r="AG30" s="20" t="str">
        <f t="shared" si="6"/>
        <v>.</v>
      </c>
      <c r="AH30" s="20" t="str">
        <f t="shared" si="7"/>
        <v>.</v>
      </c>
      <c r="AI30" s="27"/>
      <c r="AJ30" s="22"/>
      <c r="AK30" s="22"/>
      <c r="AL30" s="22"/>
      <c r="AM30" s="22"/>
      <c r="AN30" s="22"/>
      <c r="AO30" s="22"/>
      <c r="AP30" s="28"/>
      <c r="AQ30" s="28"/>
      <c r="AR30" s="28"/>
      <c r="AS30" s="28"/>
      <c r="AT30" s="28"/>
      <c r="AU30" s="28"/>
      <c r="AV30" s="28"/>
      <c r="AW30" s="70"/>
      <c r="AX30" s="70"/>
      <c r="AZ30" s="71" t="str">
        <f t="array" ref="AZ30">IF( OR(AND(ISBLANK(L30:L34)),AND(ISBLANK(AG30:AG34)), AND(ISBLANK(U30:U34)),AND(ISBLANK(AP30:AP34))), "·", bdRateExtend( L30:L34,U30:U34, AG30:AG34,AP30:AP34))</f>
        <v>·</v>
      </c>
      <c r="BA30" s="71" t="str">
        <f t="array" ref="BA30">IF( OR(AND(ISBLANK(L30:L34)),AND(ISBLANK(AG30:AG34)), AND(ISBLANK(V30:V34)),AND(ISBLANK(AQ30:AQ34))), "·", bdRateExtend( L30:L34,V30:V34, AG30:AG34,AQ30:AQ34))</f>
        <v>·</v>
      </c>
      <c r="BB30" s="71" t="str">
        <f t="array" ref="BB30">IF( OR(AND(ISBLANK(L30:L34)),AND(ISBLANK(AG30:AG34)), AND(ISBLANK(W30:W34)),AND(ISBLANK(AR30:AR34))), "·", bdRateExtend( L30:L34,W30:W34, AG30:AG34,AR30:AR34))</f>
        <v>·</v>
      </c>
      <c r="BC30" s="71" t="str">
        <f t="array" ref="BC30">IF( OR(AND(ISBLANK(L30:L34)),AND(ISBLANK(AG30:AG34)), AND(ISBLANK(X30:X34)),AND(ISBLANK(AS30:AS34))), "·", bdRateExtend( L30:L34,X30:X34, AG30:AG34,AS30:AS34))</f>
        <v>·</v>
      </c>
      <c r="BD30" s="71" t="str">
        <f t="array" ref="BD30">IF( OR(AND(ISBLANK(L30:L34)),AND(ISBLANK(AG30:AG34)), AND(ISBLANK(Y30:Y34)),AND(ISBLANK(AT30:AT34))), "·", bdRateExtend( L30:L34,Y30:Y34, AG30:AG34,AT30:AT34))</f>
        <v>·</v>
      </c>
      <c r="BE30" s="71" t="str">
        <f t="array" ref="BE30">IF( OR(AND(ISBLANK(L30:L34)),AND(ISBLANK(AG30:AG34)), AND(ISBLANK(Z30:Z34)),AND(ISBLANK(AU30:AU34))), "·", bdRateExtend( L30:L34,Z30:Z34, AG30:AG34,AU30:AU34))</f>
        <v>·</v>
      </c>
      <c r="BF30" s="71" t="str">
        <f t="array" ref="BF30">IF( OR(AND(ISBLANK(L30:L34)),AND(ISBLANK(AG30:AG34)), AND(ISBLANK(AA30:AA34)),AND(ISBLANK(AV30:AV34))), "·", bdRateExtend( L30:L34,AA30:AA34, AG30:AG34,AV30:AV34))</f>
        <v>·</v>
      </c>
      <c r="BH30" s="71" t="str">
        <f t="array" ref="BH30">IF( OR(AND(ISBLANK(M30:M34)),AND(ISBLANK(AH30:AH34)), AND(ISBLANK(U30:U34)),AND(ISBLANK(AP30:AP34))), "·", bdRateExtend( M30:M34,U30:U34, AH30:AH34,AP30:AP34))</f>
        <v>·</v>
      </c>
      <c r="BI30" s="71" t="str">
        <f t="array" ref="BI30">IF( OR(AND(ISBLANK(M30:M34)),AND(ISBLANK(AH30:AH34)), AND(ISBLANK(V30:V34)),AND(ISBLANK(AQ30:AQ34))), "·", bdRateExtend( M30:M34,V30:V34, AH30:AH34,AQ30:AQ34))</f>
        <v>·</v>
      </c>
      <c r="BJ30" s="71" t="str">
        <f t="array" ref="BJ30">IF( OR(AND(ISBLANK(S30:S34)),AND(ISBLANK(AN30:AN34)), AND(ISBLANK(W30:W34)),AND(ISBLANK(AR30:AR34))), "·", bdRateExtend( S30:S34,W30:W34, AN30:AN34,AR30:AR34))</f>
        <v>·</v>
      </c>
      <c r="BK30" s="71" t="str">
        <f t="array" ref="BK30">IF( OR(AND(ISBLANK(S30:S34)),AND(ISBLANK(AN30:AN34)), AND(ISBLANK(X30:X34)),AND(ISBLANK(AS30:AS34))), "·", bdRateExtend( S30:S34,X30:X34, AN30:AN34,AS30:AS34))</f>
        <v>·</v>
      </c>
      <c r="BL30" s="71" t="str">
        <f t="array" ref="BL30">IF( OR(AND(ISBLANK(S30:S34)),AND(ISBLANK(AN30:AN34)), AND(ISBLANK(Y30:Y34)),AND(ISBLANK(AT30:AT34))), "·", bdRateExtend( S30:S34,Y30:Y34, AN30:AN34,AT30:AT34))</f>
        <v>·</v>
      </c>
      <c r="BM30" s="71" t="str">
        <f t="array" ref="BM30">IF( OR(AND(ISBLANK(M30:M34)),AND(ISBLANK(AH30:AH34)), AND(ISBLANK(Z30:Z34)),AND(ISBLANK(AU30:AU34))), "·", bdRateExtend( M30:M34,Z30:Z34, AH30:AH34,AU30:AU34))</f>
        <v>·</v>
      </c>
      <c r="BN30" s="71" t="str">
        <f t="array" ref="BN30">IF( OR(AND(ISBLANK(S30:S34)),AND(ISBLANK(AN30:AN34)), AND(ISBLANK(AA30:AA34)),AND(ISBLANK(AV30:AV34))), "·", bdRateExtend( S30:S34,AA30:AA34, AN30:AN34,AV30:AV34))</f>
        <v>·</v>
      </c>
      <c r="BP30" s="71">
        <f t="shared" si="8"/>
        <v>0</v>
      </c>
      <c r="BQ30" s="71">
        <f t="shared" si="9"/>
        <v>0</v>
      </c>
      <c r="BR30" s="71">
        <f t="shared" si="10"/>
        <v>0</v>
      </c>
      <c r="BS30" s="71">
        <f t="shared" si="11"/>
        <v>0</v>
      </c>
      <c r="BT30" s="71">
        <f t="shared" si="12"/>
        <v>0</v>
      </c>
    </row>
    <row r="31" spans="1:72" ht="15" customHeight="1" outlineLevel="1" x14ac:dyDescent="0.25">
      <c r="A31" s="8"/>
      <c r="B31" s="8" t="s">
        <v>67</v>
      </c>
      <c r="C31" s="10" t="s">
        <v>423</v>
      </c>
      <c r="D31" s="8">
        <v>5997654</v>
      </c>
      <c r="E31" s="9">
        <v>12</v>
      </c>
      <c r="F31" s="10">
        <v>32</v>
      </c>
      <c r="G31" s="10">
        <v>30</v>
      </c>
      <c r="H31" s="10">
        <v>8</v>
      </c>
      <c r="J31" s="63">
        <f t="shared" si="0"/>
        <v>7.5412425000000001</v>
      </c>
      <c r="K31" s="11">
        <f t="shared" si="1"/>
        <v>1.3411897385210951</v>
      </c>
      <c r="L31" s="10">
        <f t="shared" si="2"/>
        <v>8043992</v>
      </c>
      <c r="M31" s="10">
        <f t="shared" si="3"/>
        <v>1760488</v>
      </c>
      <c r="N31" s="25">
        <v>1220640</v>
      </c>
      <c r="O31" s="12">
        <v>8043992</v>
      </c>
      <c r="P31" s="12">
        <v>806904</v>
      </c>
      <c r="Q31" s="12">
        <v>82320</v>
      </c>
      <c r="R31" s="12">
        <v>871264</v>
      </c>
      <c r="S31" s="12">
        <v>6277448</v>
      </c>
      <c r="T31" s="12">
        <v>6056</v>
      </c>
      <c r="U31" s="26">
        <v>75.982794400000003</v>
      </c>
      <c r="V31" s="26">
        <v>77.966858099999996</v>
      </c>
      <c r="W31" s="26">
        <v>41.067012699999999</v>
      </c>
      <c r="X31" s="26">
        <v>45.906891700000003</v>
      </c>
      <c r="Y31" s="26">
        <v>44.757096400000002</v>
      </c>
      <c r="Z31" s="26">
        <v>48.200907600000001</v>
      </c>
      <c r="AA31" s="26">
        <v>36.635187100000003</v>
      </c>
      <c r="AB31" s="64">
        <v>1979.5727609999999</v>
      </c>
      <c r="AC31" s="64">
        <v>12.380186999999999</v>
      </c>
      <c r="AE31" s="63" t="str">
        <f t="shared" si="4"/>
        <v>·</v>
      </c>
      <c r="AF31" s="11" t="str">
        <f t="shared" si="5"/>
        <v>·</v>
      </c>
      <c r="AG31" s="10" t="str">
        <f t="shared" si="6"/>
        <v>.</v>
      </c>
      <c r="AH31" s="10" t="str">
        <f t="shared" si="7"/>
        <v>.</v>
      </c>
      <c r="AI31" s="25"/>
      <c r="AJ31" s="12"/>
      <c r="AK31" s="12"/>
      <c r="AL31" s="12"/>
      <c r="AM31" s="12"/>
      <c r="AN31" s="12"/>
      <c r="AO31" s="12"/>
      <c r="AP31" s="26"/>
      <c r="AQ31" s="26"/>
      <c r="AR31" s="26"/>
      <c r="AS31" s="26"/>
      <c r="AT31" s="26"/>
      <c r="AU31" s="26"/>
      <c r="AV31" s="26"/>
      <c r="AW31" s="64"/>
      <c r="AX31" s="64"/>
      <c r="AZ31" s="65"/>
      <c r="BA31" s="65"/>
      <c r="BB31" s="65"/>
      <c r="BC31" s="65"/>
      <c r="BD31" s="65"/>
      <c r="BE31" s="65"/>
      <c r="BF31" s="65"/>
      <c r="BH31" s="65"/>
      <c r="BI31" s="65"/>
      <c r="BJ31" s="65"/>
      <c r="BK31" s="65"/>
      <c r="BL31" s="65"/>
      <c r="BM31" s="65"/>
      <c r="BN31" s="65"/>
      <c r="BP31" s="65">
        <f t="shared" si="8"/>
        <v>0</v>
      </c>
      <c r="BQ31" s="65">
        <f t="shared" si="9"/>
        <v>0</v>
      </c>
      <c r="BR31" s="65">
        <f t="shared" si="10"/>
        <v>0</v>
      </c>
      <c r="BS31" s="65">
        <f t="shared" si="11"/>
        <v>0</v>
      </c>
      <c r="BT31" s="65">
        <f t="shared" si="12"/>
        <v>0</v>
      </c>
    </row>
    <row r="32" spans="1:72" ht="15" customHeight="1" outlineLevel="1" x14ac:dyDescent="0.25">
      <c r="A32" s="18"/>
      <c r="B32" s="18" t="s">
        <v>67</v>
      </c>
      <c r="C32" s="20" t="s">
        <v>424</v>
      </c>
      <c r="D32" s="18">
        <v>5997654</v>
      </c>
      <c r="E32" s="19">
        <v>12</v>
      </c>
      <c r="F32" s="20">
        <v>32</v>
      </c>
      <c r="G32" s="20">
        <v>30</v>
      </c>
      <c r="H32" s="20">
        <v>12</v>
      </c>
      <c r="J32" s="69">
        <f t="shared" si="0"/>
        <v>11.5579275</v>
      </c>
      <c r="K32" s="21">
        <f t="shared" si="1"/>
        <v>2.0555463853033205</v>
      </c>
      <c r="L32" s="20">
        <f t="shared" si="2"/>
        <v>12328456</v>
      </c>
      <c r="M32" s="20">
        <f t="shared" si="3"/>
        <v>3555312</v>
      </c>
      <c r="N32" s="27">
        <v>4909152</v>
      </c>
      <c r="O32" s="22">
        <v>12328456</v>
      </c>
      <c r="P32" s="22">
        <v>2513224</v>
      </c>
      <c r="Q32" s="22">
        <v>205144</v>
      </c>
      <c r="R32" s="22">
        <v>836944</v>
      </c>
      <c r="S32" s="22">
        <v>8766528</v>
      </c>
      <c r="T32" s="22">
        <v>6616</v>
      </c>
      <c r="U32" s="28">
        <v>79.607314200000005</v>
      </c>
      <c r="V32" s="28">
        <v>82.350220199999995</v>
      </c>
      <c r="W32" s="28">
        <v>42.2348608</v>
      </c>
      <c r="X32" s="28">
        <v>46.668734399999998</v>
      </c>
      <c r="Y32" s="28">
        <v>45.738624899999998</v>
      </c>
      <c r="Z32" s="28">
        <v>50.451151400000001</v>
      </c>
      <c r="AA32" s="28">
        <v>38.908712100000002</v>
      </c>
      <c r="AB32" s="70">
        <v>6573.0385960000003</v>
      </c>
      <c r="AC32" s="70">
        <v>26.620152999999998</v>
      </c>
      <c r="AE32" s="69" t="str">
        <f t="shared" si="4"/>
        <v>·</v>
      </c>
      <c r="AF32" s="21" t="str">
        <f t="shared" si="5"/>
        <v>·</v>
      </c>
      <c r="AG32" s="20" t="str">
        <f t="shared" si="6"/>
        <v>.</v>
      </c>
      <c r="AH32" s="20" t="str">
        <f t="shared" si="7"/>
        <v>.</v>
      </c>
      <c r="AI32" s="27"/>
      <c r="AJ32" s="22"/>
      <c r="AK32" s="22"/>
      <c r="AL32" s="22"/>
      <c r="AM32" s="22"/>
      <c r="AN32" s="22"/>
      <c r="AO32" s="22"/>
      <c r="AP32" s="28"/>
      <c r="AQ32" s="28"/>
      <c r="AR32" s="28"/>
      <c r="AS32" s="28"/>
      <c r="AT32" s="28"/>
      <c r="AU32" s="28"/>
      <c r="AV32" s="28"/>
      <c r="AW32" s="70"/>
      <c r="AX32" s="70"/>
      <c r="AZ32" s="71"/>
      <c r="BA32" s="71"/>
      <c r="BB32" s="71"/>
      <c r="BC32" s="71"/>
      <c r="BD32" s="71"/>
      <c r="BE32" s="71"/>
      <c r="BF32" s="71"/>
      <c r="BH32" s="71"/>
      <c r="BI32" s="71"/>
      <c r="BJ32" s="71"/>
      <c r="BK32" s="71"/>
      <c r="BL32" s="71"/>
      <c r="BM32" s="71"/>
      <c r="BN32" s="71"/>
      <c r="BP32" s="71">
        <f t="shared" si="8"/>
        <v>0</v>
      </c>
      <c r="BQ32" s="71">
        <f t="shared" si="9"/>
        <v>0</v>
      </c>
      <c r="BR32" s="71">
        <f t="shared" si="10"/>
        <v>0</v>
      </c>
      <c r="BS32" s="71">
        <f t="shared" si="11"/>
        <v>0</v>
      </c>
      <c r="BT32" s="71">
        <f t="shared" si="12"/>
        <v>0</v>
      </c>
    </row>
    <row r="33" spans="1:72" ht="15" customHeight="1" outlineLevel="1" x14ac:dyDescent="0.25">
      <c r="A33" s="8"/>
      <c r="B33" s="8" t="s">
        <v>67</v>
      </c>
      <c r="C33" s="10" t="s">
        <v>425</v>
      </c>
      <c r="D33" s="8">
        <v>5997654</v>
      </c>
      <c r="E33" s="9">
        <v>12</v>
      </c>
      <c r="F33" s="10">
        <v>32</v>
      </c>
      <c r="G33" s="10">
        <v>30</v>
      </c>
      <c r="H33" s="10">
        <v>17</v>
      </c>
      <c r="J33" s="63">
        <f t="shared" si="0"/>
        <v>16.228964999999999</v>
      </c>
      <c r="K33" s="11">
        <f t="shared" si="1"/>
        <v>2.8862778679797132</v>
      </c>
      <c r="L33" s="10">
        <f t="shared" si="2"/>
        <v>17310896</v>
      </c>
      <c r="M33" s="10">
        <f t="shared" si="3"/>
        <v>4604232</v>
      </c>
      <c r="N33" s="25">
        <v>4909152</v>
      </c>
      <c r="O33" s="12">
        <v>17310896</v>
      </c>
      <c r="P33" s="12">
        <v>2513224</v>
      </c>
      <c r="Q33" s="12">
        <v>205144</v>
      </c>
      <c r="R33" s="12">
        <v>1885864</v>
      </c>
      <c r="S33" s="12">
        <v>12700048</v>
      </c>
      <c r="T33" s="12">
        <v>6616</v>
      </c>
      <c r="U33" s="26">
        <v>81.275919599999995</v>
      </c>
      <c r="V33" s="26">
        <v>84.891554200000002</v>
      </c>
      <c r="W33" s="26">
        <v>43.291546400000001</v>
      </c>
      <c r="X33" s="26">
        <v>47.7409666</v>
      </c>
      <c r="Y33" s="26">
        <v>46.954241199999998</v>
      </c>
      <c r="Z33" s="26">
        <v>51.624206399999998</v>
      </c>
      <c r="AA33" s="26">
        <v>40.2406109</v>
      </c>
      <c r="AB33" s="64">
        <v>6465.8891839999997</v>
      </c>
      <c r="AC33" s="64">
        <v>27.183676999999999</v>
      </c>
      <c r="AE33" s="63" t="str">
        <f t="shared" si="4"/>
        <v>·</v>
      </c>
      <c r="AF33" s="11" t="str">
        <f t="shared" si="5"/>
        <v>·</v>
      </c>
      <c r="AG33" s="10" t="str">
        <f t="shared" si="6"/>
        <v>.</v>
      </c>
      <c r="AH33" s="10" t="str">
        <f t="shared" si="7"/>
        <v>.</v>
      </c>
      <c r="AI33" s="25"/>
      <c r="AJ33" s="12"/>
      <c r="AK33" s="12"/>
      <c r="AL33" s="12"/>
      <c r="AM33" s="12"/>
      <c r="AN33" s="12"/>
      <c r="AO33" s="12"/>
      <c r="AP33" s="26"/>
      <c r="AQ33" s="26"/>
      <c r="AR33" s="26"/>
      <c r="AS33" s="26"/>
      <c r="AT33" s="26"/>
      <c r="AU33" s="26"/>
      <c r="AV33" s="26"/>
      <c r="AW33" s="64"/>
      <c r="AX33" s="64"/>
      <c r="AZ33" s="65"/>
      <c r="BA33" s="65"/>
      <c r="BB33" s="65"/>
      <c r="BC33" s="65"/>
      <c r="BD33" s="65"/>
      <c r="BE33" s="65"/>
      <c r="BF33" s="65"/>
      <c r="BH33" s="65"/>
      <c r="BI33" s="65"/>
      <c r="BJ33" s="65"/>
      <c r="BK33" s="65"/>
      <c r="BL33" s="65"/>
      <c r="BM33" s="65"/>
      <c r="BN33" s="65"/>
      <c r="BP33" s="65">
        <f t="shared" si="8"/>
        <v>0</v>
      </c>
      <c r="BQ33" s="65">
        <f t="shared" si="9"/>
        <v>0</v>
      </c>
      <c r="BR33" s="65">
        <f t="shared" si="10"/>
        <v>0</v>
      </c>
      <c r="BS33" s="65">
        <f t="shared" si="11"/>
        <v>0</v>
      </c>
      <c r="BT33" s="65">
        <f t="shared" si="12"/>
        <v>0</v>
      </c>
    </row>
    <row r="34" spans="1:72" ht="15.75" customHeight="1" outlineLevel="1" thickBot="1" x14ac:dyDescent="0.3">
      <c r="A34" s="18"/>
      <c r="B34" s="13" t="s">
        <v>67</v>
      </c>
      <c r="C34" s="15" t="s">
        <v>426</v>
      </c>
      <c r="D34" s="13">
        <v>5997654</v>
      </c>
      <c r="E34" s="14">
        <v>12</v>
      </c>
      <c r="F34" s="15">
        <v>32</v>
      </c>
      <c r="G34" s="15">
        <v>30</v>
      </c>
      <c r="H34" s="15">
        <v>25</v>
      </c>
      <c r="J34" s="66">
        <f t="shared" si="0"/>
        <v>21.665400000000002</v>
      </c>
      <c r="K34" s="16">
        <f t="shared" si="1"/>
        <v>3.8531332417641964</v>
      </c>
      <c r="L34" s="15">
        <f t="shared" si="2"/>
        <v>23109760</v>
      </c>
      <c r="M34" s="15">
        <f t="shared" si="3"/>
        <v>6534352</v>
      </c>
      <c r="N34" s="36">
        <v>12284608</v>
      </c>
      <c r="O34" s="17">
        <v>23109760</v>
      </c>
      <c r="P34" s="17">
        <v>4908312</v>
      </c>
      <c r="Q34" s="17">
        <v>1154704</v>
      </c>
      <c r="R34" s="17">
        <v>471336</v>
      </c>
      <c r="S34" s="17">
        <v>16569416</v>
      </c>
      <c r="T34" s="17">
        <v>5992</v>
      </c>
      <c r="U34" s="37">
        <v>84.725877499999996</v>
      </c>
      <c r="V34" s="37">
        <v>89.045997099999994</v>
      </c>
      <c r="W34" s="37">
        <v>44.2816866</v>
      </c>
      <c r="X34" s="37">
        <v>48.3958236</v>
      </c>
      <c r="Y34" s="37">
        <v>47.712707299999998</v>
      </c>
      <c r="Z34" s="37">
        <v>55.516256200000001</v>
      </c>
      <c r="AA34" s="37">
        <v>42.725696499999998</v>
      </c>
      <c r="AB34" s="67">
        <v>7283.7511029999996</v>
      </c>
      <c r="AC34" s="67">
        <v>29.559235000000001</v>
      </c>
      <c r="AE34" s="66" t="str">
        <f t="shared" si="4"/>
        <v>·</v>
      </c>
      <c r="AF34" s="16" t="str">
        <f t="shared" si="5"/>
        <v>·</v>
      </c>
      <c r="AG34" s="15" t="str">
        <f t="shared" si="6"/>
        <v>.</v>
      </c>
      <c r="AH34" s="15" t="str">
        <f t="shared" si="7"/>
        <v>.</v>
      </c>
      <c r="AI34" s="36"/>
      <c r="AJ34" s="17"/>
      <c r="AK34" s="17"/>
      <c r="AL34" s="17"/>
      <c r="AM34" s="17"/>
      <c r="AN34" s="17"/>
      <c r="AO34" s="17"/>
      <c r="AP34" s="37"/>
      <c r="AQ34" s="37"/>
      <c r="AR34" s="37"/>
      <c r="AS34" s="37"/>
      <c r="AT34" s="37"/>
      <c r="AU34" s="37"/>
      <c r="AV34" s="37"/>
      <c r="AW34" s="67"/>
      <c r="AX34" s="67"/>
      <c r="AZ34" s="68"/>
      <c r="BA34" s="68"/>
      <c r="BB34" s="68"/>
      <c r="BC34" s="68"/>
      <c r="BD34" s="68"/>
      <c r="BE34" s="68"/>
      <c r="BF34" s="68"/>
      <c r="BH34" s="68"/>
      <c r="BI34" s="68"/>
      <c r="BJ34" s="68"/>
      <c r="BK34" s="68"/>
      <c r="BL34" s="68"/>
      <c r="BM34" s="68"/>
      <c r="BN34" s="68"/>
      <c r="BP34" s="68">
        <f t="shared" si="8"/>
        <v>0</v>
      </c>
      <c r="BQ34" s="68">
        <f t="shared" si="9"/>
        <v>0</v>
      </c>
      <c r="BR34" s="68">
        <f t="shared" si="10"/>
        <v>0</v>
      </c>
      <c r="BS34" s="68">
        <f t="shared" si="11"/>
        <v>0</v>
      </c>
      <c r="BT34" s="68">
        <f t="shared" si="12"/>
        <v>0</v>
      </c>
    </row>
    <row r="35" spans="1:72" ht="15" customHeight="1" x14ac:dyDescent="0.25">
      <c r="A35" s="8"/>
      <c r="B35" s="8" t="s">
        <v>72</v>
      </c>
      <c r="C35" s="10" t="s">
        <v>422</v>
      </c>
      <c r="D35" s="8">
        <v>9000000</v>
      </c>
      <c r="E35" s="9">
        <v>12</v>
      </c>
      <c r="F35" s="10">
        <v>32</v>
      </c>
      <c r="G35" s="10">
        <v>30</v>
      </c>
      <c r="H35" s="10">
        <v>3</v>
      </c>
      <c r="J35" s="63">
        <f t="shared" si="0"/>
        <v>3.1309575000000001</v>
      </c>
      <c r="K35" s="11">
        <f t="shared" si="1"/>
        <v>0.37107644444444443</v>
      </c>
      <c r="L35" s="10">
        <f t="shared" si="2"/>
        <v>3339688</v>
      </c>
      <c r="M35" s="10">
        <f t="shared" si="3"/>
        <v>950536</v>
      </c>
      <c r="N35" s="25">
        <v>920128</v>
      </c>
      <c r="O35" s="12">
        <v>3339688</v>
      </c>
      <c r="P35" s="12">
        <v>471784</v>
      </c>
      <c r="Q35" s="12">
        <v>74424</v>
      </c>
      <c r="R35" s="12">
        <v>404328</v>
      </c>
      <c r="S35" s="12">
        <v>2383696</v>
      </c>
      <c r="T35" s="12">
        <v>5456</v>
      </c>
      <c r="U35" s="26">
        <v>72.071284700000007</v>
      </c>
      <c r="V35" s="26">
        <v>73.601900700000002</v>
      </c>
      <c r="W35" s="26">
        <v>30.065843099999999</v>
      </c>
      <c r="X35" s="26">
        <v>38.8127833</v>
      </c>
      <c r="Y35" s="26">
        <v>38.930371999999998</v>
      </c>
      <c r="Z35" s="26">
        <v>47.805799499999999</v>
      </c>
      <c r="AA35" s="26">
        <v>29.019273200000001</v>
      </c>
      <c r="AB35" s="64">
        <v>4012.6146600000002</v>
      </c>
      <c r="AC35" s="64">
        <v>30.776285000000001</v>
      </c>
      <c r="AE35" s="63" t="str">
        <f t="shared" si="4"/>
        <v>·</v>
      </c>
      <c r="AF35" s="11" t="str">
        <f t="shared" si="5"/>
        <v>·</v>
      </c>
      <c r="AG35" s="10" t="str">
        <f t="shared" si="6"/>
        <v>.</v>
      </c>
      <c r="AH35" s="10" t="str">
        <f t="shared" si="7"/>
        <v>.</v>
      </c>
      <c r="AI35" s="25"/>
      <c r="AJ35" s="12"/>
      <c r="AK35" s="12"/>
      <c r="AL35" s="12"/>
      <c r="AM35" s="12"/>
      <c r="AN35" s="12"/>
      <c r="AO35" s="12"/>
      <c r="AP35" s="26"/>
      <c r="AQ35" s="26"/>
      <c r="AR35" s="26"/>
      <c r="AS35" s="26"/>
      <c r="AT35" s="26"/>
      <c r="AU35" s="26"/>
      <c r="AV35" s="26"/>
      <c r="AW35" s="64"/>
      <c r="AX35" s="64"/>
      <c r="AZ35" s="65" t="str">
        <f t="array" ref="AZ35">IF( OR(AND(ISBLANK(L35:L39)),AND(ISBLANK(AG35:AG39)), AND(ISBLANK(U35:U39)),AND(ISBLANK(AP35:AP39))), "·", bdRateExtend( L35:L39,U35:U39, AG35:AG39,AP35:AP39))</f>
        <v>·</v>
      </c>
      <c r="BA35" s="65" t="str">
        <f t="array" ref="BA35">IF( OR(AND(ISBLANK(L35:L39)),AND(ISBLANK(AG35:AG39)), AND(ISBLANK(V35:V39)),AND(ISBLANK(AQ35:AQ39))), "·", bdRateExtend( L35:L39,V35:V39, AG35:AG39,AQ35:AQ39))</f>
        <v>·</v>
      </c>
      <c r="BB35" s="65" t="str">
        <f t="array" ref="BB35">IF( OR(AND(ISBLANK(L35:L39)),AND(ISBLANK(AG35:AG39)), AND(ISBLANK(W35:W39)),AND(ISBLANK(AR35:AR39))), "·", bdRateExtend( L35:L39,W35:W39, AG35:AG39,AR35:AR39))</f>
        <v>·</v>
      </c>
      <c r="BC35" s="65" t="str">
        <f t="array" ref="BC35">IF( OR(AND(ISBLANK(L35:L39)),AND(ISBLANK(AG35:AG39)), AND(ISBLANK(X35:X39)),AND(ISBLANK(AS35:AS39))), "·", bdRateExtend( L35:L39,X35:X39, AG35:AG39,AS35:AS39))</f>
        <v>·</v>
      </c>
      <c r="BD35" s="65" t="str">
        <f t="array" ref="BD35">IF( OR(AND(ISBLANK(L35:L39)),AND(ISBLANK(AG35:AG39)), AND(ISBLANK(Y35:Y39)),AND(ISBLANK(AT35:AT39))), "·", bdRateExtend( L35:L39,Y35:Y39, AG35:AG39,AT35:AT39))</f>
        <v>·</v>
      </c>
      <c r="BE35" s="65" t="str">
        <f t="array" ref="BE35">IF( OR(AND(ISBLANK(L35:L39)),AND(ISBLANK(AG35:AG39)), AND(ISBLANK(Z35:Z39)),AND(ISBLANK(AU35:AU39))), "·", bdRateExtend( L35:L39,Z35:Z39, AG35:AG39,AU35:AU39))</f>
        <v>·</v>
      </c>
      <c r="BF35" s="65" t="str">
        <f t="array" ref="BF35">IF( OR(AND(ISBLANK(L35:L39)),AND(ISBLANK(AG35:AG39)), AND(ISBLANK(AA35:AA39)),AND(ISBLANK(AV35:AV39))), "·", bdRateExtend( L35:L39,AA35:AA39, AG35:AG39,AV35:AV39))</f>
        <v>·</v>
      </c>
      <c r="BH35" s="49" t="str">
        <f t="array" ref="BH35">IF( OR(AND(ISBLANK(M35:M39)),AND(ISBLANK(AH35:AH39)), AND(ISBLANK(U35:U39)),AND(ISBLANK(AP35:AP39))), "·", bdRateExtend( M35:M39,U35:U39, AH35:AH39,AP35:AP39))</f>
        <v>·</v>
      </c>
      <c r="BI35" s="65" t="str">
        <f t="array" ref="BI35">IF( OR(AND(ISBLANK(M35:M39)),AND(ISBLANK(AH35:AH39)), AND(ISBLANK(V35:V39)),AND(ISBLANK(AQ35:AQ39))), "·", bdRateExtend( M35:M39,V35:V39, AH35:AH39,AQ35:AQ39))</f>
        <v>·</v>
      </c>
      <c r="BJ35" s="65" t="str">
        <f t="array" ref="BJ35">IF( OR(AND(ISBLANK(S35:S39)),AND(ISBLANK(AN35:AN39)), AND(ISBLANK(W35:W39)),AND(ISBLANK(AR35:AR39))), "·", bdRateExtend( S35:S39,W35:W39, AN35:AN39,AR35:AR39))</f>
        <v>·</v>
      </c>
      <c r="BK35" s="65" t="str">
        <f t="array" ref="BK35">IF( OR(AND(ISBLANK(S35:S39)),AND(ISBLANK(AN35:AN39)), AND(ISBLANK(X35:X39)),AND(ISBLANK(AS35:AS39))), "·", bdRateExtend( S35:S39,X35:X39, AN35:AN39,AS35:AS39))</f>
        <v>·</v>
      </c>
      <c r="BL35" s="65" t="str">
        <f t="array" ref="BL35">IF( OR(AND(ISBLANK(S35:S39)),AND(ISBLANK(AN35:AN39)), AND(ISBLANK(Y35:Y39)),AND(ISBLANK(AT35:AT39))), "·", bdRateExtend( S35:S39,Y35:Y39, AN35:AN39,AT35:AT39))</f>
        <v>·</v>
      </c>
      <c r="BM35" s="65" t="str">
        <f t="array" ref="BM35">IF( OR(AND(ISBLANK(M35:M39)),AND(ISBLANK(AH35:AH39)), AND(ISBLANK(Z35:Z39)),AND(ISBLANK(AU35:AU39))), "·", bdRateExtend( M35:M39,Z35:Z39, AH35:AH39,AU35:AU39))</f>
        <v>·</v>
      </c>
      <c r="BN35" s="65" t="str">
        <f t="array" ref="BN35">IF( OR(AND(ISBLANK(S35:S39)),AND(ISBLANK(AN35:AN39)), AND(ISBLANK(AA35:AA39)),AND(ISBLANK(AV35:AV39))), "·", bdRateExtend( S35:S39,AA35:AA39, AN35:AN39,AV35:AV39))</f>
        <v>·</v>
      </c>
      <c r="BP35" s="65">
        <f t="shared" si="8"/>
        <v>0</v>
      </c>
      <c r="BQ35" s="65">
        <f t="shared" si="9"/>
        <v>0</v>
      </c>
      <c r="BR35" s="65">
        <f t="shared" si="10"/>
        <v>0</v>
      </c>
      <c r="BS35" s="65">
        <f t="shared" si="11"/>
        <v>0</v>
      </c>
      <c r="BT35" s="65">
        <f t="shared" si="12"/>
        <v>0</v>
      </c>
    </row>
    <row r="36" spans="1:72" ht="15" customHeight="1" outlineLevel="1" x14ac:dyDescent="0.25">
      <c r="A36" s="18"/>
      <c r="B36" s="18" t="s">
        <v>72</v>
      </c>
      <c r="C36" s="20" t="s">
        <v>423</v>
      </c>
      <c r="D36" s="18">
        <v>9000000</v>
      </c>
      <c r="E36" s="19">
        <v>12</v>
      </c>
      <c r="F36" s="20">
        <v>32</v>
      </c>
      <c r="G36" s="20">
        <v>30</v>
      </c>
      <c r="H36" s="20">
        <v>4</v>
      </c>
      <c r="J36" s="69">
        <f t="shared" si="0"/>
        <v>4.0036725000000004</v>
      </c>
      <c r="K36" s="21">
        <f t="shared" si="1"/>
        <v>0.47450933333333334</v>
      </c>
      <c r="L36" s="20">
        <f t="shared" si="2"/>
        <v>4270584</v>
      </c>
      <c r="M36" s="20">
        <f t="shared" si="3"/>
        <v>1046544</v>
      </c>
      <c r="N36" s="27">
        <v>1841248</v>
      </c>
      <c r="O36" s="22">
        <v>4270584</v>
      </c>
      <c r="P36" s="22">
        <v>693880</v>
      </c>
      <c r="Q36" s="22">
        <v>152176</v>
      </c>
      <c r="R36" s="22">
        <v>200488</v>
      </c>
      <c r="S36" s="22">
        <v>3218760</v>
      </c>
      <c r="T36" s="22">
        <v>5280</v>
      </c>
      <c r="U36" s="28">
        <v>73.198060999999996</v>
      </c>
      <c r="V36" s="28">
        <v>74.815011999999996</v>
      </c>
      <c r="W36" s="28">
        <v>30.578923499999998</v>
      </c>
      <c r="X36" s="28">
        <v>38.939847200000003</v>
      </c>
      <c r="Y36" s="28">
        <v>39.076957499999999</v>
      </c>
      <c r="Z36" s="28">
        <v>48.330685199999998</v>
      </c>
      <c r="AA36" s="28">
        <v>29.470702500000002</v>
      </c>
      <c r="AB36" s="70">
        <v>4748.792864</v>
      </c>
      <c r="AC36" s="70">
        <v>27.395018</v>
      </c>
      <c r="AE36" s="69" t="str">
        <f t="shared" si="4"/>
        <v>·</v>
      </c>
      <c r="AF36" s="21" t="str">
        <f t="shared" si="5"/>
        <v>·</v>
      </c>
      <c r="AG36" s="20" t="str">
        <f t="shared" si="6"/>
        <v>.</v>
      </c>
      <c r="AH36" s="20" t="str">
        <f t="shared" si="7"/>
        <v>.</v>
      </c>
      <c r="AI36" s="27"/>
      <c r="AJ36" s="22"/>
      <c r="AK36" s="22"/>
      <c r="AL36" s="22"/>
      <c r="AM36" s="22"/>
      <c r="AN36" s="22"/>
      <c r="AO36" s="22"/>
      <c r="AP36" s="28"/>
      <c r="AQ36" s="28"/>
      <c r="AR36" s="28"/>
      <c r="AS36" s="28"/>
      <c r="AT36" s="28"/>
      <c r="AU36" s="28"/>
      <c r="AV36" s="28"/>
      <c r="AW36" s="70"/>
      <c r="AX36" s="70"/>
      <c r="AZ36" s="71"/>
      <c r="BA36" s="71"/>
      <c r="BB36" s="71"/>
      <c r="BC36" s="71"/>
      <c r="BD36" s="71"/>
      <c r="BE36" s="71"/>
      <c r="BF36" s="71"/>
      <c r="BH36" s="71"/>
      <c r="BI36" s="71"/>
      <c r="BJ36" s="71"/>
      <c r="BK36" s="71"/>
      <c r="BL36" s="71"/>
      <c r="BM36" s="71"/>
      <c r="BN36" s="71"/>
      <c r="BP36" s="71">
        <f t="shared" si="8"/>
        <v>0</v>
      </c>
      <c r="BQ36" s="71">
        <f t="shared" si="9"/>
        <v>0</v>
      </c>
      <c r="BR36" s="71">
        <f t="shared" si="10"/>
        <v>0</v>
      </c>
      <c r="BS36" s="71">
        <f t="shared" si="11"/>
        <v>0</v>
      </c>
      <c r="BT36" s="71">
        <f t="shared" si="12"/>
        <v>0</v>
      </c>
    </row>
    <row r="37" spans="1:72" ht="15" customHeight="1" outlineLevel="1" x14ac:dyDescent="0.25">
      <c r="A37" s="8"/>
      <c r="B37" s="8" t="s">
        <v>72</v>
      </c>
      <c r="C37" s="10" t="s">
        <v>424</v>
      </c>
      <c r="D37" s="8">
        <v>9000000</v>
      </c>
      <c r="E37" s="9">
        <v>12</v>
      </c>
      <c r="F37" s="10">
        <v>32</v>
      </c>
      <c r="G37" s="10">
        <v>30</v>
      </c>
      <c r="H37" s="10">
        <v>6</v>
      </c>
      <c r="J37" s="63">
        <f t="shared" si="0"/>
        <v>6.00807</v>
      </c>
      <c r="K37" s="11">
        <f t="shared" si="1"/>
        <v>0.71206755555555556</v>
      </c>
      <c r="L37" s="10">
        <f t="shared" si="2"/>
        <v>6408608</v>
      </c>
      <c r="M37" s="10">
        <f t="shared" si="3"/>
        <v>1470744</v>
      </c>
      <c r="N37" s="25">
        <v>1841248</v>
      </c>
      <c r="O37" s="12">
        <v>6408608</v>
      </c>
      <c r="P37" s="12">
        <v>693880</v>
      </c>
      <c r="Q37" s="12">
        <v>152176</v>
      </c>
      <c r="R37" s="12">
        <v>624688</v>
      </c>
      <c r="S37" s="12">
        <v>4932584</v>
      </c>
      <c r="T37" s="12">
        <v>5280</v>
      </c>
      <c r="U37" s="26">
        <v>75.723884699999999</v>
      </c>
      <c r="V37" s="26">
        <v>77.681435300000004</v>
      </c>
      <c r="W37" s="26">
        <v>31.205749300000001</v>
      </c>
      <c r="X37" s="26">
        <v>39.032313299999998</v>
      </c>
      <c r="Y37" s="26">
        <v>39.2153773</v>
      </c>
      <c r="Z37" s="26">
        <v>49.934938199999998</v>
      </c>
      <c r="AA37" s="26">
        <v>30.235243700000002</v>
      </c>
      <c r="AB37" s="64">
        <v>4456.2796470000003</v>
      </c>
      <c r="AC37" s="64">
        <v>30.459921999999999</v>
      </c>
      <c r="AE37" s="63" t="str">
        <f t="shared" si="4"/>
        <v>·</v>
      </c>
      <c r="AF37" s="11" t="str">
        <f t="shared" si="5"/>
        <v>·</v>
      </c>
      <c r="AG37" s="10" t="str">
        <f t="shared" si="6"/>
        <v>.</v>
      </c>
      <c r="AH37" s="10" t="str">
        <f t="shared" si="7"/>
        <v>.</v>
      </c>
      <c r="AI37" s="25"/>
      <c r="AJ37" s="12"/>
      <c r="AK37" s="12"/>
      <c r="AL37" s="12"/>
      <c r="AM37" s="12"/>
      <c r="AN37" s="12"/>
      <c r="AO37" s="12"/>
      <c r="AP37" s="26"/>
      <c r="AQ37" s="26"/>
      <c r="AR37" s="26"/>
      <c r="AS37" s="26"/>
      <c r="AT37" s="26"/>
      <c r="AU37" s="26"/>
      <c r="AV37" s="26"/>
      <c r="AW37" s="64"/>
      <c r="AX37" s="64"/>
      <c r="AZ37" s="65"/>
      <c r="BA37" s="65"/>
      <c r="BB37" s="65"/>
      <c r="BC37" s="65"/>
      <c r="BD37" s="65"/>
      <c r="BE37" s="65"/>
      <c r="BF37" s="65"/>
      <c r="BH37" s="65"/>
      <c r="BI37" s="65"/>
      <c r="BJ37" s="65"/>
      <c r="BK37" s="65"/>
      <c r="BL37" s="65"/>
      <c r="BM37" s="65"/>
      <c r="BN37" s="65"/>
      <c r="BP37" s="65">
        <f t="shared" si="8"/>
        <v>0</v>
      </c>
      <c r="BQ37" s="65">
        <f t="shared" si="9"/>
        <v>0</v>
      </c>
      <c r="BR37" s="65">
        <f t="shared" si="10"/>
        <v>0</v>
      </c>
      <c r="BS37" s="65">
        <f t="shared" si="11"/>
        <v>0</v>
      </c>
      <c r="BT37" s="65">
        <f t="shared" si="12"/>
        <v>0</v>
      </c>
    </row>
    <row r="38" spans="1:72" ht="15" customHeight="1" outlineLevel="1" x14ac:dyDescent="0.25">
      <c r="A38" s="18"/>
      <c r="B38" s="18" t="s">
        <v>72</v>
      </c>
      <c r="C38" s="20" t="s">
        <v>425</v>
      </c>
      <c r="D38" s="18">
        <v>9000000</v>
      </c>
      <c r="E38" s="19">
        <v>12</v>
      </c>
      <c r="F38" s="20">
        <v>32</v>
      </c>
      <c r="G38" s="20">
        <v>30</v>
      </c>
      <c r="H38" s="20">
        <v>8</v>
      </c>
      <c r="J38" s="69">
        <f t="shared" si="0"/>
        <v>7.9832175000000003</v>
      </c>
      <c r="K38" s="21">
        <f t="shared" si="1"/>
        <v>0.94615911111111106</v>
      </c>
      <c r="L38" s="20">
        <f t="shared" si="2"/>
        <v>8515432</v>
      </c>
      <c r="M38" s="20">
        <f t="shared" si="3"/>
        <v>2341336</v>
      </c>
      <c r="N38" s="27">
        <v>3683392</v>
      </c>
      <c r="O38" s="22">
        <v>8515432</v>
      </c>
      <c r="P38" s="22">
        <v>1349200</v>
      </c>
      <c r="Q38" s="22">
        <v>345824</v>
      </c>
      <c r="R38" s="22">
        <v>646312</v>
      </c>
      <c r="S38" s="22">
        <v>6168720</v>
      </c>
      <c r="T38" s="22">
        <v>5376</v>
      </c>
      <c r="U38" s="28">
        <v>78.635567699999996</v>
      </c>
      <c r="V38" s="28">
        <v>81.119008899999997</v>
      </c>
      <c r="W38" s="28">
        <v>31.657586599999998</v>
      </c>
      <c r="X38" s="28">
        <v>39.113176299999999</v>
      </c>
      <c r="Y38" s="28">
        <v>39.381622999999998</v>
      </c>
      <c r="Z38" s="28">
        <v>51.644515200000001</v>
      </c>
      <c r="AA38" s="28">
        <v>30.9253736</v>
      </c>
      <c r="AB38" s="70">
        <v>4965.3154109999996</v>
      </c>
      <c r="AC38" s="70">
        <v>24.106162000000001</v>
      </c>
      <c r="AE38" s="69" t="str">
        <f t="shared" si="4"/>
        <v>·</v>
      </c>
      <c r="AF38" s="21" t="str">
        <f t="shared" si="5"/>
        <v>·</v>
      </c>
      <c r="AG38" s="20" t="str">
        <f t="shared" si="6"/>
        <v>.</v>
      </c>
      <c r="AH38" s="20" t="str">
        <f t="shared" si="7"/>
        <v>.</v>
      </c>
      <c r="AI38" s="27"/>
      <c r="AJ38" s="22"/>
      <c r="AK38" s="22"/>
      <c r="AL38" s="22"/>
      <c r="AM38" s="22"/>
      <c r="AN38" s="22"/>
      <c r="AO38" s="22"/>
      <c r="AP38" s="28"/>
      <c r="AQ38" s="28"/>
      <c r="AR38" s="28"/>
      <c r="AS38" s="28"/>
      <c r="AT38" s="28"/>
      <c r="AU38" s="28"/>
      <c r="AV38" s="28"/>
      <c r="AW38" s="70"/>
      <c r="AX38" s="70"/>
      <c r="AZ38" s="71"/>
      <c r="BA38" s="71"/>
      <c r="BB38" s="71"/>
      <c r="BC38" s="71"/>
      <c r="BD38" s="71"/>
      <c r="BE38" s="71"/>
      <c r="BF38" s="71"/>
      <c r="BH38" s="71"/>
      <c r="BI38" s="71"/>
      <c r="BJ38" s="71"/>
      <c r="BK38" s="71"/>
      <c r="BL38" s="71"/>
      <c r="BM38" s="71"/>
      <c r="BN38" s="71"/>
      <c r="BP38" s="71">
        <f t="shared" si="8"/>
        <v>0</v>
      </c>
      <c r="BQ38" s="71">
        <f t="shared" si="9"/>
        <v>0</v>
      </c>
      <c r="BR38" s="71">
        <f t="shared" si="10"/>
        <v>0</v>
      </c>
      <c r="BS38" s="71">
        <f t="shared" si="11"/>
        <v>0</v>
      </c>
      <c r="BT38" s="71">
        <f t="shared" si="12"/>
        <v>0</v>
      </c>
    </row>
    <row r="39" spans="1:72" ht="15.75" customHeight="1" outlineLevel="1" thickBot="1" x14ac:dyDescent="0.3">
      <c r="A39" s="8"/>
      <c r="B39" s="29" t="s">
        <v>72</v>
      </c>
      <c r="C39" s="30" t="s">
        <v>426</v>
      </c>
      <c r="D39" s="29">
        <v>9000000</v>
      </c>
      <c r="E39" s="31">
        <v>12</v>
      </c>
      <c r="F39" s="30">
        <v>32</v>
      </c>
      <c r="G39" s="30">
        <v>30</v>
      </c>
      <c r="H39" s="30">
        <v>12</v>
      </c>
      <c r="J39" s="75">
        <f t="shared" si="0"/>
        <v>11.879917499999999</v>
      </c>
      <c r="K39" s="32">
        <f t="shared" si="1"/>
        <v>1.4079902222222223</v>
      </c>
      <c r="L39" s="30">
        <f t="shared" si="2"/>
        <v>12671912</v>
      </c>
      <c r="M39" s="30">
        <f t="shared" si="3"/>
        <v>2963944</v>
      </c>
      <c r="N39" s="33">
        <v>5524880</v>
      </c>
      <c r="O39" s="34">
        <v>12671912</v>
      </c>
      <c r="P39" s="34">
        <v>1895568</v>
      </c>
      <c r="Q39" s="34">
        <v>500992</v>
      </c>
      <c r="R39" s="34">
        <v>567384</v>
      </c>
      <c r="S39" s="34">
        <v>9702496</v>
      </c>
      <c r="T39" s="34">
        <v>5472</v>
      </c>
      <c r="U39" s="35">
        <v>80.373827899999995</v>
      </c>
      <c r="V39" s="35">
        <v>83.298879099999994</v>
      </c>
      <c r="W39" s="35">
        <v>32.457808700000001</v>
      </c>
      <c r="X39" s="35">
        <v>39.189058799999998</v>
      </c>
      <c r="Y39" s="35">
        <v>39.526177799999999</v>
      </c>
      <c r="Z39" s="35">
        <v>52.7558632</v>
      </c>
      <c r="AA39" s="35">
        <v>31.729214200000001</v>
      </c>
      <c r="AB39" s="76">
        <v>4900.864517</v>
      </c>
      <c r="AC39" s="76">
        <v>26.709575000000001</v>
      </c>
      <c r="AE39" s="75" t="str">
        <f t="shared" si="4"/>
        <v>·</v>
      </c>
      <c r="AF39" s="32" t="str">
        <f t="shared" si="5"/>
        <v>·</v>
      </c>
      <c r="AG39" s="30" t="str">
        <f t="shared" si="6"/>
        <v>.</v>
      </c>
      <c r="AH39" s="30" t="str">
        <f t="shared" si="7"/>
        <v>.</v>
      </c>
      <c r="AI39" s="33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5"/>
      <c r="AW39" s="76"/>
      <c r="AX39" s="76"/>
      <c r="AZ39" s="77"/>
      <c r="BA39" s="77"/>
      <c r="BB39" s="77"/>
      <c r="BC39" s="77"/>
      <c r="BD39" s="77"/>
      <c r="BE39" s="77"/>
      <c r="BF39" s="77"/>
      <c r="BH39" s="77"/>
      <c r="BI39" s="77"/>
      <c r="BJ39" s="77"/>
      <c r="BK39" s="77"/>
      <c r="BL39" s="77"/>
      <c r="BM39" s="77"/>
      <c r="BN39" s="77"/>
      <c r="BP39" s="77">
        <f t="shared" si="8"/>
        <v>0</v>
      </c>
      <c r="BQ39" s="77">
        <f t="shared" si="9"/>
        <v>0</v>
      </c>
      <c r="BR39" s="77">
        <f t="shared" si="10"/>
        <v>0</v>
      </c>
      <c r="BS39" s="77">
        <f t="shared" si="11"/>
        <v>0</v>
      </c>
      <c r="BT39" s="77">
        <f t="shared" si="12"/>
        <v>0</v>
      </c>
    </row>
    <row r="40" spans="1:72" ht="15" customHeight="1" x14ac:dyDescent="0.25">
      <c r="A40" s="18"/>
      <c r="B40" s="18" t="s">
        <v>77</v>
      </c>
      <c r="C40" s="20" t="s">
        <v>422</v>
      </c>
      <c r="D40" s="18">
        <v>9000000</v>
      </c>
      <c r="E40" s="19">
        <v>12</v>
      </c>
      <c r="F40" s="20">
        <v>32</v>
      </c>
      <c r="G40" s="20">
        <v>30</v>
      </c>
      <c r="H40" s="20">
        <v>3</v>
      </c>
      <c r="J40" s="69">
        <f t="shared" si="0"/>
        <v>2.9559299999999999</v>
      </c>
      <c r="K40" s="21">
        <f t="shared" si="1"/>
        <v>0.35033244444444445</v>
      </c>
      <c r="L40" s="20">
        <f t="shared" si="2"/>
        <v>3152992</v>
      </c>
      <c r="M40" s="20">
        <f t="shared" si="3"/>
        <v>746896</v>
      </c>
      <c r="N40" s="27">
        <v>920512</v>
      </c>
      <c r="O40" s="22">
        <v>3152992</v>
      </c>
      <c r="P40" s="22">
        <v>356136</v>
      </c>
      <c r="Q40" s="22">
        <v>18472</v>
      </c>
      <c r="R40" s="22">
        <v>372288</v>
      </c>
      <c r="S40" s="22">
        <v>2400392</v>
      </c>
      <c r="T40" s="22">
        <v>5704</v>
      </c>
      <c r="U40" s="28">
        <v>72.923845400000005</v>
      </c>
      <c r="V40" s="28">
        <v>74.333538700000005</v>
      </c>
      <c r="W40" s="28">
        <v>33.261683400000003</v>
      </c>
      <c r="X40" s="28">
        <v>42.566401300000003</v>
      </c>
      <c r="Y40" s="28">
        <v>42.955797400000002</v>
      </c>
      <c r="Z40" s="28">
        <v>48.323907499999997</v>
      </c>
      <c r="AA40" s="28">
        <v>32.134926499999999</v>
      </c>
      <c r="AB40" s="70">
        <v>3697.8134100000002</v>
      </c>
      <c r="AC40" s="70">
        <v>24.400623</v>
      </c>
      <c r="AE40" s="69" t="str">
        <f t="shared" si="4"/>
        <v>·</v>
      </c>
      <c r="AF40" s="21" t="str">
        <f t="shared" si="5"/>
        <v>·</v>
      </c>
      <c r="AG40" s="20" t="str">
        <f t="shared" si="6"/>
        <v>.</v>
      </c>
      <c r="AH40" s="20" t="str">
        <f t="shared" si="7"/>
        <v>.</v>
      </c>
      <c r="AI40" s="27"/>
      <c r="AJ40" s="22"/>
      <c r="AK40" s="22"/>
      <c r="AL40" s="22"/>
      <c r="AM40" s="22"/>
      <c r="AN40" s="22"/>
      <c r="AO40" s="22"/>
      <c r="AP40" s="28"/>
      <c r="AQ40" s="28"/>
      <c r="AR40" s="28"/>
      <c r="AS40" s="28"/>
      <c r="AT40" s="28"/>
      <c r="AU40" s="28"/>
      <c r="AV40" s="28"/>
      <c r="AW40" s="70"/>
      <c r="AX40" s="70"/>
      <c r="AZ40" s="71" t="str">
        <f t="array" ref="AZ40">IF( OR(AND(ISBLANK(L40:L44)),AND(ISBLANK(AG40:AG44)), AND(ISBLANK(U40:U44)),AND(ISBLANK(AP40:AP44))), "·", bdRateExtend( L40:L44,U40:U44, AG40:AG44,AP40:AP44))</f>
        <v>·</v>
      </c>
      <c r="BA40" s="71" t="str">
        <f t="array" ref="BA40">IF( OR(AND(ISBLANK(L40:L44)),AND(ISBLANK(AG40:AG44)), AND(ISBLANK(V40:V44)),AND(ISBLANK(AQ40:AQ44))), "·", bdRateExtend( L40:L44,V40:V44, AG40:AG44,AQ40:AQ44))</f>
        <v>·</v>
      </c>
      <c r="BB40" s="71" t="str">
        <f t="array" ref="BB40">IF( OR(AND(ISBLANK(L40:L44)),AND(ISBLANK(AG40:AG44)), AND(ISBLANK(W40:W44)),AND(ISBLANK(AR40:AR44))), "·", bdRateExtend( L40:L44,W40:W44, AG40:AG44,AR40:AR44))</f>
        <v>·</v>
      </c>
      <c r="BC40" s="71" t="str">
        <f t="array" ref="BC40">IF( OR(AND(ISBLANK(L40:L44)),AND(ISBLANK(AG40:AG44)), AND(ISBLANK(X40:X44)),AND(ISBLANK(AS40:AS44))), "·", bdRateExtend( L40:L44,X40:X44, AG40:AG44,AS40:AS44))</f>
        <v>·</v>
      </c>
      <c r="BD40" s="71" t="str">
        <f t="array" ref="BD40">IF( OR(AND(ISBLANK(L40:L44)),AND(ISBLANK(AG40:AG44)), AND(ISBLANK(Y40:Y44)),AND(ISBLANK(AT40:AT44))), "·", bdRateExtend( L40:L44,Y40:Y44, AG40:AG44,AT40:AT44))</f>
        <v>·</v>
      </c>
      <c r="BE40" s="71" t="str">
        <f t="array" ref="BE40">IF( OR(AND(ISBLANK(L40:L44)),AND(ISBLANK(AG40:AG44)), AND(ISBLANK(Z40:Z44)),AND(ISBLANK(AU40:AU44))), "·", bdRateExtend( L40:L44,Z40:Z44, AG40:AG44,AU40:AU44))</f>
        <v>·</v>
      </c>
      <c r="BF40" s="71" t="str">
        <f t="array" ref="BF40">IF( OR(AND(ISBLANK(L40:L44)),AND(ISBLANK(AG40:AG44)), AND(ISBLANK(AA40:AA44)),AND(ISBLANK(AV40:AV44))), "·", bdRateExtend( L40:L44,AA40:AA44, AG40:AG44,AV40:AV44))</f>
        <v>·</v>
      </c>
      <c r="BH40" s="71" t="str">
        <f t="array" ref="BH40">IF( OR(AND(ISBLANK(M40:M44)),AND(ISBLANK(AH40:AH44)), AND(ISBLANK(U40:U44)),AND(ISBLANK(AP40:AP44))), "·", bdRateExtend( M40:M44,U40:U44, AH40:AH44,AP40:AP44))</f>
        <v>·</v>
      </c>
      <c r="BI40" s="71" t="str">
        <f t="array" ref="BI40">IF( OR(AND(ISBLANK(M40:M44)),AND(ISBLANK(AH40:AH44)), AND(ISBLANK(V40:V44)),AND(ISBLANK(AQ40:AQ44))), "·", bdRateExtend( M40:M44,V40:V44, AH40:AH44,AQ40:AQ44))</f>
        <v>·</v>
      </c>
      <c r="BJ40" s="71" t="str">
        <f t="array" ref="BJ40">IF( OR(AND(ISBLANK(S40:S44)),AND(ISBLANK(AN40:AN44)), AND(ISBLANK(W40:W44)),AND(ISBLANK(AR40:AR44))), "·", bdRateExtend( S40:S44,W40:W44, AN40:AN44,AR40:AR44))</f>
        <v>·</v>
      </c>
      <c r="BK40" s="71" t="str">
        <f t="array" ref="BK40">IF( OR(AND(ISBLANK(S40:S44)),AND(ISBLANK(AN40:AN44)), AND(ISBLANK(X40:X44)),AND(ISBLANK(AS40:AS44))), "·", bdRateExtend( S40:S44,X40:X44, AN40:AN44,AS40:AS44))</f>
        <v>·</v>
      </c>
      <c r="BL40" s="71" t="str">
        <f t="array" ref="BL40">IF( OR(AND(ISBLANK(S40:S44)),AND(ISBLANK(AN40:AN44)), AND(ISBLANK(Y40:Y44)),AND(ISBLANK(AT40:AT44))), "·", bdRateExtend( S40:S44,Y40:Y44, AN40:AN44,AT40:AT44))</f>
        <v>·</v>
      </c>
      <c r="BM40" s="71" t="str">
        <f t="array" ref="BM40">IF( OR(AND(ISBLANK(M40:M44)),AND(ISBLANK(AH40:AH44)), AND(ISBLANK(Z40:Z44)),AND(ISBLANK(AU40:AU44))), "·", bdRateExtend( M40:M44,Z40:Z44, AH40:AH44,AU40:AU44))</f>
        <v>·</v>
      </c>
      <c r="BN40" s="71" t="str">
        <f t="array" ref="BN40">IF( OR(AND(ISBLANK(S40:S44)),AND(ISBLANK(AN40:AN44)), AND(ISBLANK(AA40:AA44)),AND(ISBLANK(AV40:AV44))), "·", bdRateExtend( S40:S44,AA40:AA44, AN40:AN44,AV40:AV44))</f>
        <v>·</v>
      </c>
      <c r="BP40" s="71">
        <f t="shared" si="8"/>
        <v>0</v>
      </c>
      <c r="BQ40" s="71">
        <f t="shared" si="9"/>
        <v>0</v>
      </c>
      <c r="BR40" s="71">
        <f t="shared" si="10"/>
        <v>0</v>
      </c>
      <c r="BS40" s="71">
        <f t="shared" si="11"/>
        <v>0</v>
      </c>
      <c r="BT40" s="71">
        <f t="shared" si="12"/>
        <v>0</v>
      </c>
    </row>
    <row r="41" spans="1:72" ht="15" customHeight="1" outlineLevel="1" x14ac:dyDescent="0.25">
      <c r="A41" s="8"/>
      <c r="B41" s="8" t="s">
        <v>77</v>
      </c>
      <c r="C41" s="10" t="s">
        <v>423</v>
      </c>
      <c r="D41" s="8">
        <v>9000000</v>
      </c>
      <c r="E41" s="9">
        <v>12</v>
      </c>
      <c r="F41" s="10">
        <v>32</v>
      </c>
      <c r="G41" s="10">
        <v>30</v>
      </c>
      <c r="H41" s="10">
        <v>4</v>
      </c>
      <c r="J41" s="63">
        <f t="shared" si="0"/>
        <v>3.9623624999999998</v>
      </c>
      <c r="K41" s="11">
        <f t="shared" si="1"/>
        <v>0.46961333333333333</v>
      </c>
      <c r="L41" s="10">
        <f t="shared" si="2"/>
        <v>4226520</v>
      </c>
      <c r="M41" s="10">
        <f t="shared" si="3"/>
        <v>1285960</v>
      </c>
      <c r="N41" s="25">
        <v>1842256</v>
      </c>
      <c r="O41" s="12">
        <v>4226520</v>
      </c>
      <c r="P41" s="12">
        <v>677184</v>
      </c>
      <c r="Q41" s="12">
        <v>159592</v>
      </c>
      <c r="R41" s="12">
        <v>449184</v>
      </c>
      <c r="S41" s="12">
        <v>2935368</v>
      </c>
      <c r="T41" s="12">
        <v>5192</v>
      </c>
      <c r="U41" s="26">
        <v>75.745083399999999</v>
      </c>
      <c r="V41" s="26">
        <v>77.494204699999997</v>
      </c>
      <c r="W41" s="26">
        <v>33.626687400000002</v>
      </c>
      <c r="X41" s="26">
        <v>42.730873699999997</v>
      </c>
      <c r="Y41" s="26">
        <v>43.184668799999997</v>
      </c>
      <c r="Z41" s="26">
        <v>50.227513500000001</v>
      </c>
      <c r="AA41" s="26">
        <v>32.856660599999998</v>
      </c>
      <c r="AB41" s="64">
        <v>4138.7354690000002</v>
      </c>
      <c r="AC41" s="64">
        <v>24.078544000000001</v>
      </c>
      <c r="AE41" s="63" t="str">
        <f t="shared" si="4"/>
        <v>·</v>
      </c>
      <c r="AF41" s="11" t="str">
        <f t="shared" si="5"/>
        <v>·</v>
      </c>
      <c r="AG41" s="10" t="str">
        <f t="shared" si="6"/>
        <v>.</v>
      </c>
      <c r="AH41" s="10" t="str">
        <f t="shared" si="7"/>
        <v>.</v>
      </c>
      <c r="AI41" s="25"/>
      <c r="AJ41" s="12"/>
      <c r="AK41" s="12"/>
      <c r="AL41" s="12"/>
      <c r="AM41" s="12"/>
      <c r="AN41" s="12"/>
      <c r="AO41" s="12"/>
      <c r="AP41" s="26"/>
      <c r="AQ41" s="26"/>
      <c r="AR41" s="26"/>
      <c r="AS41" s="26"/>
      <c r="AT41" s="26"/>
      <c r="AU41" s="26"/>
      <c r="AV41" s="26"/>
      <c r="AW41" s="64"/>
      <c r="AX41" s="64"/>
      <c r="AZ41" s="65"/>
      <c r="BA41" s="65"/>
      <c r="BB41" s="65"/>
      <c r="BC41" s="65"/>
      <c r="BD41" s="65"/>
      <c r="BE41" s="65"/>
      <c r="BF41" s="65"/>
      <c r="BH41" s="65"/>
      <c r="BI41" s="65"/>
      <c r="BJ41" s="65"/>
      <c r="BK41" s="65"/>
      <c r="BL41" s="65"/>
      <c r="BM41" s="65"/>
      <c r="BN41" s="65"/>
      <c r="BP41" s="65">
        <f t="shared" si="8"/>
        <v>0</v>
      </c>
      <c r="BQ41" s="65">
        <f t="shared" si="9"/>
        <v>0</v>
      </c>
      <c r="BR41" s="65">
        <f t="shared" si="10"/>
        <v>0</v>
      </c>
      <c r="BS41" s="65">
        <f t="shared" si="11"/>
        <v>0</v>
      </c>
      <c r="BT41" s="65">
        <f t="shared" si="12"/>
        <v>0</v>
      </c>
    </row>
    <row r="42" spans="1:72" ht="15" customHeight="1" outlineLevel="1" x14ac:dyDescent="0.25">
      <c r="A42" s="18"/>
      <c r="B42" s="18" t="s">
        <v>77</v>
      </c>
      <c r="C42" s="20" t="s">
        <v>424</v>
      </c>
      <c r="D42" s="18">
        <v>9000000</v>
      </c>
      <c r="E42" s="19">
        <v>12</v>
      </c>
      <c r="F42" s="20">
        <v>32</v>
      </c>
      <c r="G42" s="20">
        <v>30</v>
      </c>
      <c r="H42" s="20">
        <v>6</v>
      </c>
      <c r="J42" s="69">
        <f t="shared" si="0"/>
        <v>6.0567675000000003</v>
      </c>
      <c r="K42" s="21">
        <f t="shared" si="1"/>
        <v>0.71783911111111109</v>
      </c>
      <c r="L42" s="20">
        <f t="shared" si="2"/>
        <v>6460552</v>
      </c>
      <c r="M42" s="20">
        <f t="shared" si="3"/>
        <v>1850360</v>
      </c>
      <c r="N42" s="27">
        <v>3684896</v>
      </c>
      <c r="O42" s="22">
        <v>6460552</v>
      </c>
      <c r="P42" s="22">
        <v>1204760</v>
      </c>
      <c r="Q42" s="22">
        <v>308256</v>
      </c>
      <c r="R42" s="22">
        <v>337344</v>
      </c>
      <c r="S42" s="22">
        <v>4604912</v>
      </c>
      <c r="T42" s="22">
        <v>5280</v>
      </c>
      <c r="U42" s="28">
        <v>78.156479200000007</v>
      </c>
      <c r="V42" s="28">
        <v>80.243879100000001</v>
      </c>
      <c r="W42" s="28">
        <v>34.267913200000002</v>
      </c>
      <c r="X42" s="28">
        <v>42.877396699999998</v>
      </c>
      <c r="Y42" s="28">
        <v>43.437972899999998</v>
      </c>
      <c r="Z42" s="28">
        <v>51.481718999999998</v>
      </c>
      <c r="AA42" s="28">
        <v>33.602393200000002</v>
      </c>
      <c r="AB42" s="70">
        <v>4307.8496180000002</v>
      </c>
      <c r="AC42" s="70">
        <v>23.036442999999998</v>
      </c>
      <c r="AE42" s="69" t="str">
        <f t="shared" si="4"/>
        <v>·</v>
      </c>
      <c r="AF42" s="21" t="str">
        <f t="shared" si="5"/>
        <v>·</v>
      </c>
      <c r="AG42" s="20" t="str">
        <f t="shared" si="6"/>
        <v>.</v>
      </c>
      <c r="AH42" s="20" t="str">
        <f t="shared" si="7"/>
        <v>.</v>
      </c>
      <c r="AI42" s="27"/>
      <c r="AJ42" s="22"/>
      <c r="AK42" s="22"/>
      <c r="AL42" s="22"/>
      <c r="AM42" s="22"/>
      <c r="AN42" s="22"/>
      <c r="AO42" s="22"/>
      <c r="AP42" s="28"/>
      <c r="AQ42" s="28"/>
      <c r="AR42" s="28"/>
      <c r="AS42" s="28"/>
      <c r="AT42" s="28"/>
      <c r="AU42" s="28"/>
      <c r="AV42" s="28"/>
      <c r="AW42" s="70"/>
      <c r="AX42" s="70"/>
      <c r="AZ42" s="71"/>
      <c r="BA42" s="71"/>
      <c r="BB42" s="71"/>
      <c r="BC42" s="71"/>
      <c r="BD42" s="71"/>
      <c r="BE42" s="71"/>
      <c r="BF42" s="71"/>
      <c r="BH42" s="71"/>
      <c r="BI42" s="71"/>
      <c r="BJ42" s="71"/>
      <c r="BK42" s="71"/>
      <c r="BL42" s="71"/>
      <c r="BM42" s="71"/>
      <c r="BN42" s="71"/>
      <c r="BP42" s="71">
        <f t="shared" si="8"/>
        <v>0</v>
      </c>
      <c r="BQ42" s="71">
        <f t="shared" si="9"/>
        <v>0</v>
      </c>
      <c r="BR42" s="71">
        <f t="shared" si="10"/>
        <v>0</v>
      </c>
      <c r="BS42" s="71">
        <f t="shared" si="11"/>
        <v>0</v>
      </c>
      <c r="BT42" s="71">
        <f t="shared" si="12"/>
        <v>0</v>
      </c>
    </row>
    <row r="43" spans="1:72" ht="15" customHeight="1" outlineLevel="1" x14ac:dyDescent="0.25">
      <c r="A43" s="8"/>
      <c r="B43" s="8" t="s">
        <v>77</v>
      </c>
      <c r="C43" s="10" t="s">
        <v>425</v>
      </c>
      <c r="D43" s="8">
        <v>9000000</v>
      </c>
      <c r="E43" s="9">
        <v>12</v>
      </c>
      <c r="F43" s="10">
        <v>32</v>
      </c>
      <c r="G43" s="10">
        <v>30</v>
      </c>
      <c r="H43" s="10">
        <v>8</v>
      </c>
      <c r="J43" s="63">
        <f t="shared" si="0"/>
        <v>8.1804074999999994</v>
      </c>
      <c r="K43" s="11">
        <f t="shared" si="1"/>
        <v>0.96952977777777782</v>
      </c>
      <c r="L43" s="10">
        <f t="shared" si="2"/>
        <v>8725768</v>
      </c>
      <c r="M43" s="10">
        <f t="shared" si="3"/>
        <v>2220648</v>
      </c>
      <c r="N43" s="25">
        <v>3684896</v>
      </c>
      <c r="O43" s="12">
        <v>8725768</v>
      </c>
      <c r="P43" s="12">
        <v>1204760</v>
      </c>
      <c r="Q43" s="12">
        <v>308256</v>
      </c>
      <c r="R43" s="12">
        <v>707632</v>
      </c>
      <c r="S43" s="12">
        <v>6499856</v>
      </c>
      <c r="T43" s="12">
        <v>5264</v>
      </c>
      <c r="U43" s="26">
        <v>79.242295299999995</v>
      </c>
      <c r="V43" s="26">
        <v>81.657712000000004</v>
      </c>
      <c r="W43" s="26">
        <v>34.372077900000001</v>
      </c>
      <c r="X43" s="26">
        <v>43.014781300000003</v>
      </c>
      <c r="Y43" s="26">
        <v>43.616085200000001</v>
      </c>
      <c r="Z43" s="26">
        <v>52.293151799999997</v>
      </c>
      <c r="AA43" s="26">
        <v>33.713097500000003</v>
      </c>
      <c r="AB43" s="64">
        <v>1760.72074</v>
      </c>
      <c r="AC43" s="64">
        <v>7.3111249999999997</v>
      </c>
      <c r="AE43" s="63" t="str">
        <f t="shared" si="4"/>
        <v>·</v>
      </c>
      <c r="AF43" s="11" t="str">
        <f t="shared" si="5"/>
        <v>·</v>
      </c>
      <c r="AG43" s="10" t="str">
        <f t="shared" si="6"/>
        <v>.</v>
      </c>
      <c r="AH43" s="10" t="str">
        <f t="shared" si="7"/>
        <v>.</v>
      </c>
      <c r="AI43" s="25"/>
      <c r="AJ43" s="12"/>
      <c r="AK43" s="12"/>
      <c r="AL43" s="12"/>
      <c r="AM43" s="12"/>
      <c r="AN43" s="12"/>
      <c r="AO43" s="12"/>
      <c r="AP43" s="26"/>
      <c r="AQ43" s="26"/>
      <c r="AR43" s="26"/>
      <c r="AS43" s="26"/>
      <c r="AT43" s="26"/>
      <c r="AU43" s="26"/>
      <c r="AV43" s="26"/>
      <c r="AW43" s="64"/>
      <c r="AX43" s="64"/>
      <c r="AZ43" s="65"/>
      <c r="BA43" s="65"/>
      <c r="BB43" s="65"/>
      <c r="BC43" s="65"/>
      <c r="BD43" s="65"/>
      <c r="BE43" s="65"/>
      <c r="BF43" s="65"/>
      <c r="BH43" s="65"/>
      <c r="BI43" s="65"/>
      <c r="BJ43" s="65"/>
      <c r="BK43" s="65"/>
      <c r="BL43" s="65"/>
      <c r="BM43" s="65"/>
      <c r="BN43" s="65"/>
      <c r="BP43" s="65">
        <f t="shared" si="8"/>
        <v>0</v>
      </c>
      <c r="BQ43" s="65">
        <f t="shared" si="9"/>
        <v>0</v>
      </c>
      <c r="BR43" s="65">
        <f t="shared" si="10"/>
        <v>0</v>
      </c>
      <c r="BS43" s="65">
        <f t="shared" si="11"/>
        <v>0</v>
      </c>
      <c r="BT43" s="65">
        <f t="shared" si="12"/>
        <v>0</v>
      </c>
    </row>
    <row r="44" spans="1:72" ht="15.75" customHeight="1" outlineLevel="1" thickBot="1" x14ac:dyDescent="0.3">
      <c r="A44" s="13"/>
      <c r="B44" s="13" t="s">
        <v>77</v>
      </c>
      <c r="C44" s="15" t="s">
        <v>426</v>
      </c>
      <c r="D44" s="13">
        <v>9000000</v>
      </c>
      <c r="E44" s="14">
        <v>12</v>
      </c>
      <c r="F44" s="15">
        <v>32</v>
      </c>
      <c r="G44" s="15">
        <v>30</v>
      </c>
      <c r="H44" s="15">
        <v>12</v>
      </c>
      <c r="J44" s="66">
        <f t="shared" si="0"/>
        <v>12.788729999999999</v>
      </c>
      <c r="K44" s="16">
        <f t="shared" si="1"/>
        <v>1.5157013333333333</v>
      </c>
      <c r="L44" s="15">
        <f t="shared" si="2"/>
        <v>13641312</v>
      </c>
      <c r="M44" s="15">
        <f t="shared" si="3"/>
        <v>2910592</v>
      </c>
      <c r="N44" s="36">
        <v>5527456</v>
      </c>
      <c r="O44" s="17">
        <v>13641312</v>
      </c>
      <c r="P44" s="17">
        <v>1852792</v>
      </c>
      <c r="Q44" s="17">
        <v>430208</v>
      </c>
      <c r="R44" s="17">
        <v>627592</v>
      </c>
      <c r="S44" s="17">
        <v>10725256</v>
      </c>
      <c r="T44" s="17">
        <v>5464</v>
      </c>
      <c r="U44" s="37">
        <v>80.945303100000004</v>
      </c>
      <c r="V44" s="37">
        <v>83.780222100000003</v>
      </c>
      <c r="W44" s="37">
        <v>34.945858399999999</v>
      </c>
      <c r="X44" s="37">
        <v>43.105020099999997</v>
      </c>
      <c r="Y44" s="37">
        <v>43.765347200000001</v>
      </c>
      <c r="Z44" s="37">
        <v>53.387209300000002</v>
      </c>
      <c r="AA44" s="37">
        <v>34.33117</v>
      </c>
      <c r="AB44" s="67">
        <v>2280.4059830000001</v>
      </c>
      <c r="AC44" s="67">
        <v>7.9224059999999996</v>
      </c>
      <c r="AE44" s="66" t="str">
        <f t="shared" si="4"/>
        <v>·</v>
      </c>
      <c r="AF44" s="16" t="str">
        <f t="shared" si="5"/>
        <v>·</v>
      </c>
      <c r="AG44" s="15" t="str">
        <f t="shared" si="6"/>
        <v>.</v>
      </c>
      <c r="AH44" s="15" t="str">
        <f t="shared" si="7"/>
        <v>.</v>
      </c>
      <c r="AI44" s="36"/>
      <c r="AJ44" s="17"/>
      <c r="AK44" s="17"/>
      <c r="AL44" s="17"/>
      <c r="AM44" s="17"/>
      <c r="AN44" s="17"/>
      <c r="AO44" s="17"/>
      <c r="AP44" s="37"/>
      <c r="AQ44" s="37"/>
      <c r="AR44" s="37"/>
      <c r="AS44" s="37"/>
      <c r="AT44" s="37"/>
      <c r="AU44" s="37"/>
      <c r="AV44" s="37"/>
      <c r="AW44" s="67"/>
      <c r="AX44" s="67"/>
      <c r="AZ44" s="68"/>
      <c r="BA44" s="68"/>
      <c r="BB44" s="68"/>
      <c r="BC44" s="68"/>
      <c r="BD44" s="68"/>
      <c r="BE44" s="68"/>
      <c r="BF44" s="68"/>
      <c r="BH44" s="68"/>
      <c r="BI44" s="68"/>
      <c r="BJ44" s="68"/>
      <c r="BK44" s="68"/>
      <c r="BL44" s="68"/>
      <c r="BM44" s="68"/>
      <c r="BN44" s="68"/>
      <c r="BP44" s="68">
        <f t="shared" si="8"/>
        <v>0</v>
      </c>
      <c r="BQ44" s="68">
        <f t="shared" si="9"/>
        <v>0</v>
      </c>
      <c r="BR44" s="68">
        <f t="shared" si="10"/>
        <v>0</v>
      </c>
      <c r="BS44" s="68">
        <f t="shared" si="11"/>
        <v>0</v>
      </c>
      <c r="BT44" s="68">
        <f t="shared" si="12"/>
        <v>0</v>
      </c>
    </row>
    <row r="45" spans="1:72" x14ac:dyDescent="0.25">
      <c r="B45" s="23" t="s">
        <v>7</v>
      </c>
      <c r="K45" s="24">
        <f>AVERAGE(K5:K14)</f>
        <v>1.1830222588000994</v>
      </c>
      <c r="L45" s="24"/>
      <c r="M45" s="24"/>
      <c r="T45" s="51"/>
      <c r="AF45" s="24" t="e">
        <f>AVERAGE(AF5:AF14)</f>
        <v>#DIV/0!</v>
      </c>
      <c r="AG45" s="24"/>
      <c r="AH45" s="24"/>
      <c r="AZ45" s="61" t="e">
        <f t="shared" ref="AZ45:BF45" si="13">AVERAGE(AZ5:AZ14)</f>
        <v>#DIV/0!</v>
      </c>
      <c r="BA45" s="61" t="e">
        <f t="shared" si="13"/>
        <v>#DIV/0!</v>
      </c>
      <c r="BB45" s="61" t="e">
        <f t="shared" si="13"/>
        <v>#DIV/0!</v>
      </c>
      <c r="BC45" s="61" t="e">
        <f t="shared" si="13"/>
        <v>#DIV/0!</v>
      </c>
      <c r="BD45" s="61" t="e">
        <f t="shared" si="13"/>
        <v>#DIV/0!</v>
      </c>
      <c r="BE45" s="61" t="e">
        <f t="shared" si="13"/>
        <v>#DIV/0!</v>
      </c>
      <c r="BF45" s="61" t="e">
        <f t="shared" si="13"/>
        <v>#DIV/0!</v>
      </c>
      <c r="BH45" s="61" t="e">
        <f t="shared" ref="BH45:BN45" si="14">AVERAGE(BH5:BH14)</f>
        <v>#DIV/0!</v>
      </c>
      <c r="BI45" s="61" t="e">
        <f t="shared" si="14"/>
        <v>#DIV/0!</v>
      </c>
      <c r="BJ45" s="61" t="e">
        <f t="shared" si="14"/>
        <v>#DIV/0!</v>
      </c>
      <c r="BK45" s="61" t="e">
        <f t="shared" si="14"/>
        <v>#DIV/0!</v>
      </c>
      <c r="BL45" s="61" t="e">
        <f t="shared" si="14"/>
        <v>#DIV/0!</v>
      </c>
      <c r="BM45" s="61" t="e">
        <f t="shared" si="14"/>
        <v>#DIV/0!</v>
      </c>
      <c r="BN45" s="61" t="e">
        <f t="shared" si="14"/>
        <v>#DIV/0!</v>
      </c>
      <c r="BP45" s="61">
        <f>AVERAGE(BP5:BP14)</f>
        <v>0</v>
      </c>
      <c r="BQ45" s="61">
        <f>AVERAGE(BQ5:BQ14)</f>
        <v>0</v>
      </c>
      <c r="BR45" s="61">
        <f>AVERAGE(BR5:BR14)</f>
        <v>0</v>
      </c>
      <c r="BS45" s="61">
        <f>AVERAGE(BS5:BS14)</f>
        <v>0</v>
      </c>
      <c r="BT45" s="61">
        <f>AVERAGE(BT5:BT14)</f>
        <v>0</v>
      </c>
    </row>
    <row r="46" spans="1:72" x14ac:dyDescent="0.25">
      <c r="B46" s="23" t="s">
        <v>8</v>
      </c>
      <c r="K46" s="24">
        <f>AVERAGE(K15:K24)</f>
        <v>0.97217878164598104</v>
      </c>
      <c r="L46" s="24"/>
      <c r="M46" s="24"/>
      <c r="AF46" s="24" t="e">
        <f>AVERAGE(AF15:AF24)</f>
        <v>#DIV/0!</v>
      </c>
      <c r="AG46" s="24"/>
      <c r="AH46" s="24"/>
      <c r="AZ46" s="61" t="e">
        <f t="shared" ref="AZ46:BF46" si="15">AVERAGE(AZ15:AZ24)</f>
        <v>#DIV/0!</v>
      </c>
      <c r="BA46" s="61" t="e">
        <f t="shared" si="15"/>
        <v>#DIV/0!</v>
      </c>
      <c r="BB46" s="61" t="e">
        <f t="shared" si="15"/>
        <v>#DIV/0!</v>
      </c>
      <c r="BC46" s="61" t="e">
        <f t="shared" si="15"/>
        <v>#DIV/0!</v>
      </c>
      <c r="BD46" s="61" t="e">
        <f t="shared" si="15"/>
        <v>#DIV/0!</v>
      </c>
      <c r="BE46" s="61" t="e">
        <f t="shared" si="15"/>
        <v>#DIV/0!</v>
      </c>
      <c r="BF46" s="61" t="e">
        <f t="shared" si="15"/>
        <v>#DIV/0!</v>
      </c>
      <c r="BH46" s="61" t="e">
        <f t="shared" ref="BH46:BN46" si="16">AVERAGE(BH15:BH24)</f>
        <v>#DIV/0!</v>
      </c>
      <c r="BI46" s="61" t="e">
        <f t="shared" si="16"/>
        <v>#DIV/0!</v>
      </c>
      <c r="BJ46" s="61" t="e">
        <f t="shared" si="16"/>
        <v>#DIV/0!</v>
      </c>
      <c r="BK46" s="61" t="e">
        <f t="shared" si="16"/>
        <v>#DIV/0!</v>
      </c>
      <c r="BL46" s="61" t="e">
        <f t="shared" si="16"/>
        <v>#DIV/0!</v>
      </c>
      <c r="BM46" s="61" t="e">
        <f t="shared" si="16"/>
        <v>#DIV/0!</v>
      </c>
      <c r="BN46" s="61" t="e">
        <f t="shared" si="16"/>
        <v>#DIV/0!</v>
      </c>
      <c r="BP46" s="61">
        <f>AVERAGE(BP15:BP24)</f>
        <v>0</v>
      </c>
      <c r="BQ46" s="61">
        <f>AVERAGE(BQ15:BQ24)</f>
        <v>0</v>
      </c>
      <c r="BR46" s="61">
        <f>AVERAGE(BR15:BR24)</f>
        <v>0</v>
      </c>
      <c r="BS46" s="61">
        <f>AVERAGE(BS15:BS24)</f>
        <v>0</v>
      </c>
      <c r="BT46" s="61">
        <f>AVERAGE(BT15:BT24)</f>
        <v>0</v>
      </c>
    </row>
    <row r="47" spans="1:72" x14ac:dyDescent="0.25">
      <c r="B47" s="23" t="s">
        <v>9</v>
      </c>
      <c r="K47" s="24">
        <f>AVERAGE(K25:K44)</f>
        <v>1.2366181652472448</v>
      </c>
      <c r="L47" s="24"/>
      <c r="M47" s="24"/>
      <c r="T47" s="48"/>
      <c r="AF47" s="24" t="e">
        <f>AVERAGE(AF25:AF44)</f>
        <v>#DIV/0!</v>
      </c>
      <c r="AG47" s="24"/>
      <c r="AH47" s="24"/>
      <c r="AZ47" s="61" t="e">
        <f t="shared" ref="AZ47:BF47" si="17">AVERAGE(AZ25:AZ44)</f>
        <v>#DIV/0!</v>
      </c>
      <c r="BA47" s="61" t="e">
        <f t="shared" si="17"/>
        <v>#DIV/0!</v>
      </c>
      <c r="BB47" s="61" t="e">
        <f t="shared" si="17"/>
        <v>#DIV/0!</v>
      </c>
      <c r="BC47" s="61" t="e">
        <f t="shared" si="17"/>
        <v>#DIV/0!</v>
      </c>
      <c r="BD47" s="61" t="e">
        <f t="shared" si="17"/>
        <v>#DIV/0!</v>
      </c>
      <c r="BE47" s="61" t="e">
        <f t="shared" si="17"/>
        <v>#DIV/0!</v>
      </c>
      <c r="BF47" s="61" t="e">
        <f t="shared" si="17"/>
        <v>#DIV/0!</v>
      </c>
      <c r="BH47" s="61" t="e">
        <f t="shared" ref="BH47:BN47" si="18">AVERAGE(BH25:BH44)</f>
        <v>#DIV/0!</v>
      </c>
      <c r="BI47" s="61" t="e">
        <f t="shared" si="18"/>
        <v>#DIV/0!</v>
      </c>
      <c r="BJ47" s="61" t="e">
        <f t="shared" si="18"/>
        <v>#DIV/0!</v>
      </c>
      <c r="BK47" s="61" t="e">
        <f t="shared" si="18"/>
        <v>#DIV/0!</v>
      </c>
      <c r="BL47" s="61" t="e">
        <f t="shared" si="18"/>
        <v>#DIV/0!</v>
      </c>
      <c r="BM47" s="61" t="e">
        <f t="shared" si="18"/>
        <v>#DIV/0!</v>
      </c>
      <c r="BN47" s="61" t="e">
        <f t="shared" si="18"/>
        <v>#DIV/0!</v>
      </c>
      <c r="BP47" s="61">
        <f>AVERAGE(BP25:BP44)</f>
        <v>0</v>
      </c>
      <c r="BQ47" s="61">
        <f>AVERAGE(BQ25:BQ44)</f>
        <v>0</v>
      </c>
      <c r="BR47" s="61">
        <f>AVERAGE(BR25:BR44)</f>
        <v>0</v>
      </c>
      <c r="BS47" s="61">
        <f>AVERAGE(BS25:BS44)</f>
        <v>0</v>
      </c>
      <c r="BT47" s="61">
        <f>AVERAGE(BT25:BT44)</f>
        <v>0</v>
      </c>
    </row>
    <row r="48" spans="1:72" x14ac:dyDescent="0.25">
      <c r="B48" s="23" t="s">
        <v>10</v>
      </c>
      <c r="K48" s="24">
        <f>AVERAGE(K5:K44)</f>
        <v>1.1571093427351427</v>
      </c>
      <c r="L48" s="24"/>
      <c r="M48" s="24"/>
      <c r="AF48" s="24" t="e">
        <f>AVERAGE(AF5:AF44)</f>
        <v>#DIV/0!</v>
      </c>
      <c r="AG48" s="24"/>
      <c r="AH48" s="24"/>
      <c r="AZ48" s="61" t="e">
        <f t="shared" ref="AZ48:BF48" si="19">AVERAGE(AZ5:AZ44)</f>
        <v>#DIV/0!</v>
      </c>
      <c r="BA48" s="61" t="e">
        <f t="shared" si="19"/>
        <v>#DIV/0!</v>
      </c>
      <c r="BB48" s="61" t="e">
        <f t="shared" si="19"/>
        <v>#DIV/0!</v>
      </c>
      <c r="BC48" s="61" t="e">
        <f t="shared" si="19"/>
        <v>#DIV/0!</v>
      </c>
      <c r="BD48" s="61" t="e">
        <f t="shared" si="19"/>
        <v>#DIV/0!</v>
      </c>
      <c r="BE48" s="61" t="e">
        <f t="shared" si="19"/>
        <v>#DIV/0!</v>
      </c>
      <c r="BF48" s="61" t="e">
        <f t="shared" si="19"/>
        <v>#DIV/0!</v>
      </c>
      <c r="BH48" s="61" t="e">
        <f t="shared" ref="BH48:BN48" si="20">AVERAGE(BH5:BH44)</f>
        <v>#DIV/0!</v>
      </c>
      <c r="BI48" s="61" t="e">
        <f t="shared" si="20"/>
        <v>#DIV/0!</v>
      </c>
      <c r="BJ48" s="61" t="e">
        <f t="shared" si="20"/>
        <v>#DIV/0!</v>
      </c>
      <c r="BK48" s="61" t="e">
        <f t="shared" si="20"/>
        <v>#DIV/0!</v>
      </c>
      <c r="BL48" s="61" t="e">
        <f t="shared" si="20"/>
        <v>#DIV/0!</v>
      </c>
      <c r="BM48" s="61" t="e">
        <f t="shared" si="20"/>
        <v>#DIV/0!</v>
      </c>
      <c r="BN48" s="61" t="e">
        <f t="shared" si="20"/>
        <v>#DIV/0!</v>
      </c>
      <c r="BP48" s="61">
        <f>AVERAGE(BP5:BP44)</f>
        <v>0</v>
      </c>
      <c r="BQ48" s="61">
        <f>AVERAGE(BQ5:BQ44)</f>
        <v>0</v>
      </c>
      <c r="BR48" s="61">
        <f>AVERAGE(BR5:BR44)</f>
        <v>0</v>
      </c>
      <c r="BS48" s="61">
        <f>AVERAGE(BS5:BS44)</f>
        <v>0</v>
      </c>
      <c r="BT48" s="61">
        <f>AVERAGE(BT5:BT44)</f>
        <v>0</v>
      </c>
    </row>
    <row r="49" spans="1:50" x14ac:dyDescent="0.25">
      <c r="A49" s="23" t="s">
        <v>189</v>
      </c>
      <c r="B49" s="23" t="s">
        <v>190</v>
      </c>
      <c r="AB49" s="72">
        <f>SUM(AB5:AB14,AB15:AB24,AB25:AB44)</f>
        <v>102019.39029900004</v>
      </c>
      <c r="AC49" s="72">
        <f>SUM(AC5:AC14,AC15:AC24,AC25:AC44)</f>
        <v>654.16938799999991</v>
      </c>
      <c r="AW49" s="72">
        <f>SUM(AW5:AW14,AW15:AW24,AW25:AW44)</f>
        <v>0</v>
      </c>
      <c r="AX49" s="72">
        <f>SUM(AX5:AX14,AX15:AX24,AX25:AX44)</f>
        <v>0</v>
      </c>
    </row>
    <row r="50" spans="1:50" x14ac:dyDescent="0.25">
      <c r="B50" s="23" t="s">
        <v>191</v>
      </c>
      <c r="AJ50" s="48"/>
      <c r="AW50" s="56">
        <f>AW49/AB49</f>
        <v>0</v>
      </c>
      <c r="AX50" s="56">
        <f>AX49/AC49</f>
        <v>0</v>
      </c>
    </row>
    <row r="51" spans="1:50" x14ac:dyDescent="0.25">
      <c r="AJ51" s="48"/>
    </row>
    <row r="52" spans="1:50" x14ac:dyDescent="0.25">
      <c r="AJ52" s="48"/>
      <c r="AL52" s="50"/>
    </row>
    <row r="53" spans="1:50" ht="15.75" customHeight="1" thickBot="1" x14ac:dyDescent="0.3">
      <c r="AJ53" s="48"/>
    </row>
    <row r="54" spans="1:50" x14ac:dyDescent="0.2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-603968</v>
      </c>
      <c r="AJ54" s="79">
        <f t="shared" ref="AJ54:AJ93" si="24">AJ5-O5</f>
        <v>-4289232</v>
      </c>
      <c r="AK54" s="79">
        <f t="shared" ref="AK54:AK93" si="25">AK5-P5</f>
        <v>-839968</v>
      </c>
      <c r="AL54" s="79">
        <f t="shared" ref="AL54:AL93" si="26">AL5-Q5</f>
        <v>0</v>
      </c>
      <c r="AM54" s="79">
        <f t="shared" ref="AM54:AM93" si="27">AM5-R5</f>
        <v>-574464</v>
      </c>
      <c r="AN54" s="79">
        <f t="shared" ref="AN54:AN93" si="28">AN5-S5</f>
        <v>-2867776</v>
      </c>
      <c r="AO54" s="79">
        <f t="shared" ref="AO54:AO93" si="29">AO5-T5</f>
        <v>-7024</v>
      </c>
      <c r="AP54" s="79">
        <f t="shared" ref="AP54:AP93" si="30">AP5-U5</f>
        <v>-67.341315100000003</v>
      </c>
      <c r="AQ54" s="80">
        <f t="shared" ref="AQ54:AQ93" si="31">AQ5-V5</f>
        <v>-68.227850900000007</v>
      </c>
      <c r="AR54" s="80">
        <f t="shared" ref="AR54:AR93" si="32">AR5-W5</f>
        <v>-27.9029934</v>
      </c>
      <c r="AS54" s="80">
        <f t="shared" ref="AS54:AS93" si="33">AS5-X5</f>
        <v>-33.587809</v>
      </c>
      <c r="AT54" s="80">
        <f t="shared" ref="AT54:AT93" si="34">AT5-Y5</f>
        <v>-32.986580699999998</v>
      </c>
      <c r="AU54" s="80">
        <f t="shared" ref="AU54:AU93" si="35">AU5-Z5</f>
        <v>-48.349942400000003</v>
      </c>
      <c r="AV54" s="81">
        <f t="shared" ref="AV54:AV93" si="36">AV5-AA5</f>
        <v>-26.605538500000002</v>
      </c>
    </row>
    <row r="55" spans="1:50" x14ac:dyDescent="0.25">
      <c r="AG55" s="82" t="e">
        <f t="shared" si="21"/>
        <v>#VALUE!</v>
      </c>
      <c r="AH55" s="82" t="e">
        <f t="shared" si="22"/>
        <v>#VALUE!</v>
      </c>
      <c r="AI55" s="82">
        <f t="shared" si="23"/>
        <v>-603968</v>
      </c>
      <c r="AJ55" s="82">
        <f t="shared" si="24"/>
        <v>-8574144</v>
      </c>
      <c r="AK55" s="82">
        <f t="shared" si="25"/>
        <v>-839968</v>
      </c>
      <c r="AL55" s="82">
        <f t="shared" si="26"/>
        <v>0</v>
      </c>
      <c r="AM55" s="82">
        <f t="shared" si="27"/>
        <v>-853280</v>
      </c>
      <c r="AN55" s="82">
        <f t="shared" si="28"/>
        <v>-6873872</v>
      </c>
      <c r="AO55" s="82">
        <f t="shared" si="29"/>
        <v>-7024</v>
      </c>
      <c r="AP55" s="82">
        <f t="shared" si="30"/>
        <v>-68.182687400000006</v>
      </c>
      <c r="AQ55" s="83">
        <f t="shared" si="31"/>
        <v>-69.140467900000004</v>
      </c>
      <c r="AR55" s="83">
        <f t="shared" si="32"/>
        <v>-31.035873200000001</v>
      </c>
      <c r="AS55" s="83">
        <f t="shared" si="33"/>
        <v>-34.771977300000003</v>
      </c>
      <c r="AT55" s="83">
        <f t="shared" si="34"/>
        <v>-34.287061399999999</v>
      </c>
      <c r="AU55" s="83">
        <f t="shared" si="35"/>
        <v>-48.590665199999997</v>
      </c>
      <c r="AV55" s="84">
        <f t="shared" si="36"/>
        <v>-28.366655999999999</v>
      </c>
    </row>
    <row r="56" spans="1:50" x14ac:dyDescent="0.25">
      <c r="AG56" s="82" t="e">
        <f t="shared" si="21"/>
        <v>#VALUE!</v>
      </c>
      <c r="AH56" s="82" t="e">
        <f t="shared" si="22"/>
        <v>#VALUE!</v>
      </c>
      <c r="AI56" s="82">
        <f t="shared" si="23"/>
        <v>-1217920</v>
      </c>
      <c r="AJ56" s="82">
        <f t="shared" si="24"/>
        <v>-12053752</v>
      </c>
      <c r="AK56" s="82">
        <f t="shared" si="25"/>
        <v>-1333944</v>
      </c>
      <c r="AL56" s="82">
        <f t="shared" si="26"/>
        <v>0</v>
      </c>
      <c r="AM56" s="82">
        <f t="shared" si="27"/>
        <v>-1024616</v>
      </c>
      <c r="AN56" s="82">
        <f t="shared" si="28"/>
        <v>-9688168</v>
      </c>
      <c r="AO56" s="82">
        <f t="shared" si="29"/>
        <v>-7024</v>
      </c>
      <c r="AP56" s="82">
        <f t="shared" si="30"/>
        <v>-71.367810500000004</v>
      </c>
      <c r="AQ56" s="83">
        <f t="shared" si="31"/>
        <v>-72.807171800000006</v>
      </c>
      <c r="AR56" s="83">
        <f t="shared" si="32"/>
        <v>-32.2592991</v>
      </c>
      <c r="AS56" s="83">
        <f t="shared" si="33"/>
        <v>-36.433701399999997</v>
      </c>
      <c r="AT56" s="83">
        <f t="shared" si="34"/>
        <v>-36.167659100000002</v>
      </c>
      <c r="AU56" s="83">
        <f t="shared" si="35"/>
        <v>-50.661255599999997</v>
      </c>
      <c r="AV56" s="84">
        <f t="shared" si="36"/>
        <v>-30.141860900000001</v>
      </c>
    </row>
    <row r="57" spans="1:50" x14ac:dyDescent="0.25">
      <c r="AG57" s="82" t="e">
        <f t="shared" si="21"/>
        <v>#VALUE!</v>
      </c>
      <c r="AH57" s="82" t="e">
        <f t="shared" si="22"/>
        <v>#VALUE!</v>
      </c>
      <c r="AI57" s="82">
        <f t="shared" si="23"/>
        <v>-2446416</v>
      </c>
      <c r="AJ57" s="82">
        <f t="shared" si="24"/>
        <v>-15459240</v>
      </c>
      <c r="AK57" s="82">
        <f t="shared" si="25"/>
        <v>-2202296</v>
      </c>
      <c r="AL57" s="82">
        <f t="shared" si="26"/>
        <v>0</v>
      </c>
      <c r="AM57" s="82">
        <f t="shared" si="27"/>
        <v>-885608</v>
      </c>
      <c r="AN57" s="82">
        <f t="shared" si="28"/>
        <v>-12364048</v>
      </c>
      <c r="AO57" s="82">
        <f t="shared" si="29"/>
        <v>-7288</v>
      </c>
      <c r="AP57" s="82">
        <f t="shared" si="30"/>
        <v>-72.726140299999997</v>
      </c>
      <c r="AQ57" s="83">
        <f t="shared" si="31"/>
        <v>-74.361612800000003</v>
      </c>
      <c r="AR57" s="83">
        <f t="shared" si="32"/>
        <v>-33.293441000000001</v>
      </c>
      <c r="AS57" s="83">
        <f t="shared" si="33"/>
        <v>-37.037046500000002</v>
      </c>
      <c r="AT57" s="83">
        <f t="shared" si="34"/>
        <v>-36.775956299999997</v>
      </c>
      <c r="AU57" s="83">
        <f t="shared" si="35"/>
        <v>-51.776615200000002</v>
      </c>
      <c r="AV57" s="84">
        <f t="shared" si="36"/>
        <v>-31.059021399999999</v>
      </c>
    </row>
    <row r="58" spans="1:50" x14ac:dyDescent="0.25">
      <c r="AG58" s="82" t="e">
        <f t="shared" si="21"/>
        <v>#VALUE!</v>
      </c>
      <c r="AH58" s="82" t="e">
        <f t="shared" si="22"/>
        <v>#VALUE!</v>
      </c>
      <c r="AI58" s="82">
        <f t="shared" si="23"/>
        <v>-2446416</v>
      </c>
      <c r="AJ58" s="82">
        <f t="shared" si="24"/>
        <v>-23280624</v>
      </c>
      <c r="AK58" s="82">
        <f t="shared" si="25"/>
        <v>-2202296</v>
      </c>
      <c r="AL58" s="82">
        <f t="shared" si="26"/>
        <v>0</v>
      </c>
      <c r="AM58" s="82">
        <f t="shared" si="27"/>
        <v>-1608184</v>
      </c>
      <c r="AN58" s="82">
        <f t="shared" si="28"/>
        <v>-19462864</v>
      </c>
      <c r="AO58" s="82">
        <f t="shared" si="29"/>
        <v>-7280</v>
      </c>
      <c r="AP58" s="82">
        <f t="shared" si="30"/>
        <v>-74.177725899999999</v>
      </c>
      <c r="AQ58" s="83">
        <f t="shared" si="31"/>
        <v>-76.060440099999994</v>
      </c>
      <c r="AR58" s="83">
        <f t="shared" si="32"/>
        <v>-34.904362999999996</v>
      </c>
      <c r="AS58" s="83">
        <f t="shared" si="33"/>
        <v>-38.573305900000001</v>
      </c>
      <c r="AT58" s="83">
        <f t="shared" si="34"/>
        <v>-38.281372900000001</v>
      </c>
      <c r="AU58" s="83">
        <f t="shared" si="35"/>
        <v>-52.518857500000003</v>
      </c>
      <c r="AV58" s="84">
        <f t="shared" si="36"/>
        <v>-32.340027800000001</v>
      </c>
    </row>
    <row r="59" spans="1:50" x14ac:dyDescent="0.25">
      <c r="AG59" s="82" t="e">
        <f t="shared" si="21"/>
        <v>#VALUE!</v>
      </c>
      <c r="AH59" s="82" t="e">
        <f t="shared" si="22"/>
        <v>#VALUE!</v>
      </c>
      <c r="AI59" s="82">
        <f t="shared" si="23"/>
        <v>-603136</v>
      </c>
      <c r="AJ59" s="82">
        <f t="shared" si="24"/>
        <v>-3484024</v>
      </c>
      <c r="AK59" s="82">
        <f t="shared" si="25"/>
        <v>-31824</v>
      </c>
      <c r="AL59" s="82">
        <f t="shared" si="26"/>
        <v>-138208</v>
      </c>
      <c r="AM59" s="82">
        <f t="shared" si="27"/>
        <v>-731136</v>
      </c>
      <c r="AN59" s="82">
        <f t="shared" si="28"/>
        <v>-2578560</v>
      </c>
      <c r="AO59" s="82">
        <f t="shared" si="29"/>
        <v>-4296</v>
      </c>
      <c r="AP59" s="82">
        <f t="shared" si="30"/>
        <v>-64.804514999999995</v>
      </c>
      <c r="AQ59" s="83">
        <f t="shared" si="31"/>
        <v>-65.458837099999997</v>
      </c>
      <c r="AR59" s="83">
        <f t="shared" si="32"/>
        <v>-35.395043600000001</v>
      </c>
      <c r="AS59" s="83">
        <f t="shared" si="33"/>
        <v>-46.592114000000002</v>
      </c>
      <c r="AT59" s="83">
        <f t="shared" si="34"/>
        <v>-47.2034181</v>
      </c>
      <c r="AU59" s="83">
        <f t="shared" si="35"/>
        <v>-43.928148999999998</v>
      </c>
      <c r="AV59" s="84">
        <f t="shared" si="36"/>
        <v>-30.381445800000002</v>
      </c>
    </row>
    <row r="60" spans="1:50" x14ac:dyDescent="0.25">
      <c r="AG60" s="82" t="e">
        <f t="shared" si="21"/>
        <v>#VALUE!</v>
      </c>
      <c r="AH60" s="82" t="e">
        <f t="shared" si="22"/>
        <v>#VALUE!</v>
      </c>
      <c r="AI60" s="82">
        <f t="shared" si="23"/>
        <v>-1211552</v>
      </c>
      <c r="AJ60" s="82">
        <f t="shared" si="24"/>
        <v>-7589728</v>
      </c>
      <c r="AK60" s="82">
        <f t="shared" si="25"/>
        <v>-247112</v>
      </c>
      <c r="AL60" s="82">
        <f t="shared" si="26"/>
        <v>-151496</v>
      </c>
      <c r="AM60" s="82">
        <f t="shared" si="27"/>
        <v>-1511288</v>
      </c>
      <c r="AN60" s="82">
        <f t="shared" si="28"/>
        <v>-5675184</v>
      </c>
      <c r="AO60" s="82">
        <f t="shared" si="29"/>
        <v>-4648</v>
      </c>
      <c r="AP60" s="82">
        <f t="shared" si="30"/>
        <v>-69.840508299999996</v>
      </c>
      <c r="AQ60" s="83">
        <f t="shared" si="31"/>
        <v>-71.109919300000001</v>
      </c>
      <c r="AR60" s="83">
        <f t="shared" si="32"/>
        <v>-37.312281200000001</v>
      </c>
      <c r="AS60" s="83">
        <f t="shared" si="33"/>
        <v>-47.361547600000002</v>
      </c>
      <c r="AT60" s="83">
        <f t="shared" si="34"/>
        <v>-48.0054795</v>
      </c>
      <c r="AU60" s="83">
        <f t="shared" si="35"/>
        <v>-46.659069799999997</v>
      </c>
      <c r="AV60" s="84">
        <f t="shared" si="36"/>
        <v>-33.291378100000003</v>
      </c>
    </row>
    <row r="61" spans="1:50" x14ac:dyDescent="0.25">
      <c r="AG61" s="82" t="e">
        <f t="shared" si="21"/>
        <v>#VALUE!</v>
      </c>
      <c r="AH61" s="82" t="e">
        <f t="shared" si="22"/>
        <v>#VALUE!</v>
      </c>
      <c r="AI61" s="82">
        <f t="shared" si="23"/>
        <v>-1211552</v>
      </c>
      <c r="AJ61" s="82">
        <f t="shared" si="24"/>
        <v>-10117976</v>
      </c>
      <c r="AK61" s="82">
        <f t="shared" si="25"/>
        <v>-266608</v>
      </c>
      <c r="AL61" s="82">
        <f t="shared" si="26"/>
        <v>-215880</v>
      </c>
      <c r="AM61" s="82">
        <f t="shared" si="27"/>
        <v>-1596488</v>
      </c>
      <c r="AN61" s="82">
        <f t="shared" si="28"/>
        <v>-8034352</v>
      </c>
      <c r="AO61" s="82">
        <f t="shared" si="29"/>
        <v>-4648</v>
      </c>
      <c r="AP61" s="82">
        <f t="shared" si="30"/>
        <v>-69.900466399999999</v>
      </c>
      <c r="AQ61" s="83">
        <f t="shared" si="31"/>
        <v>-71.173205300000006</v>
      </c>
      <c r="AR61" s="83">
        <f t="shared" si="32"/>
        <v>-37.977775299999998</v>
      </c>
      <c r="AS61" s="83">
        <f t="shared" si="33"/>
        <v>-47.684662199999998</v>
      </c>
      <c r="AT61" s="83">
        <f t="shared" si="34"/>
        <v>-48.346659699999996</v>
      </c>
      <c r="AU61" s="83">
        <f t="shared" si="35"/>
        <v>-46.6740165</v>
      </c>
      <c r="AV61" s="84">
        <f t="shared" si="36"/>
        <v>-33.523070699999998</v>
      </c>
    </row>
    <row r="62" spans="1:50" x14ac:dyDescent="0.25">
      <c r="AG62" s="82" t="e">
        <f t="shared" si="21"/>
        <v>#VALUE!</v>
      </c>
      <c r="AH62" s="82" t="e">
        <f t="shared" si="22"/>
        <v>#VALUE!</v>
      </c>
      <c r="AI62" s="82">
        <f t="shared" si="23"/>
        <v>-1211552</v>
      </c>
      <c r="AJ62" s="82">
        <f t="shared" si="24"/>
        <v>-13715080</v>
      </c>
      <c r="AK62" s="82">
        <f t="shared" si="25"/>
        <v>-266608</v>
      </c>
      <c r="AL62" s="82">
        <f t="shared" si="26"/>
        <v>-215880</v>
      </c>
      <c r="AM62" s="82">
        <f t="shared" si="27"/>
        <v>-1596488</v>
      </c>
      <c r="AN62" s="82">
        <f t="shared" si="28"/>
        <v>-11631456</v>
      </c>
      <c r="AO62" s="82">
        <f t="shared" si="29"/>
        <v>-4648</v>
      </c>
      <c r="AP62" s="82">
        <f t="shared" si="30"/>
        <v>-69.900466399999999</v>
      </c>
      <c r="AQ62" s="83">
        <f t="shared" si="31"/>
        <v>-71.173205300000006</v>
      </c>
      <c r="AR62" s="83">
        <f t="shared" si="32"/>
        <v>-38.517212800000003</v>
      </c>
      <c r="AS62" s="83">
        <f t="shared" si="33"/>
        <v>-48.383750499999998</v>
      </c>
      <c r="AT62" s="83">
        <f t="shared" si="34"/>
        <v>-49.0427514</v>
      </c>
      <c r="AU62" s="83">
        <f t="shared" si="35"/>
        <v>-46.6740165</v>
      </c>
      <c r="AV62" s="84">
        <f t="shared" si="36"/>
        <v>-33.667497599999997</v>
      </c>
    </row>
    <row r="63" spans="1:50" x14ac:dyDescent="0.25">
      <c r="AG63" s="82" t="e">
        <f t="shared" si="21"/>
        <v>#VALUE!</v>
      </c>
      <c r="AH63" s="82" t="e">
        <f t="shared" si="22"/>
        <v>#VALUE!</v>
      </c>
      <c r="AI63" s="82">
        <f t="shared" si="23"/>
        <v>-2439648</v>
      </c>
      <c r="AJ63" s="82">
        <f t="shared" si="24"/>
        <v>-23812264</v>
      </c>
      <c r="AK63" s="82">
        <f t="shared" si="25"/>
        <v>-1970480</v>
      </c>
      <c r="AL63" s="82">
        <f t="shared" si="26"/>
        <v>-154112</v>
      </c>
      <c r="AM63" s="82">
        <f t="shared" si="27"/>
        <v>-3179008</v>
      </c>
      <c r="AN63" s="82">
        <f t="shared" si="28"/>
        <v>-18502344</v>
      </c>
      <c r="AO63" s="82">
        <f t="shared" si="29"/>
        <v>-6320</v>
      </c>
      <c r="AP63" s="82">
        <f t="shared" si="30"/>
        <v>-73.982223500000003</v>
      </c>
      <c r="AQ63" s="83">
        <f t="shared" si="31"/>
        <v>-75.913443000000001</v>
      </c>
      <c r="AR63" s="83">
        <f t="shared" si="32"/>
        <v>-39.185476299999998</v>
      </c>
      <c r="AS63" s="83">
        <f t="shared" si="33"/>
        <v>-48.3600238</v>
      </c>
      <c r="AT63" s="83">
        <f t="shared" si="34"/>
        <v>-49.059865700000003</v>
      </c>
      <c r="AU63" s="83">
        <f t="shared" si="35"/>
        <v>-48.932440300000003</v>
      </c>
      <c r="AV63" s="84">
        <f t="shared" si="36"/>
        <v>-35.812123800000002</v>
      </c>
    </row>
    <row r="64" spans="1:50" x14ac:dyDescent="0.25">
      <c r="AG64" s="82" t="e">
        <f t="shared" si="21"/>
        <v>#VALUE!</v>
      </c>
      <c r="AH64" s="82" t="e">
        <f t="shared" si="22"/>
        <v>#VALUE!</v>
      </c>
      <c r="AI64" s="82">
        <f t="shared" si="23"/>
        <v>-604864</v>
      </c>
      <c r="AJ64" s="82">
        <f t="shared" si="24"/>
        <v>-3236680</v>
      </c>
      <c r="AK64" s="82">
        <f t="shared" si="25"/>
        <v>-719064</v>
      </c>
      <c r="AL64" s="82">
        <f t="shared" si="26"/>
        <v>0</v>
      </c>
      <c r="AM64" s="82">
        <f t="shared" si="27"/>
        <v>-516472</v>
      </c>
      <c r="AN64" s="82">
        <f t="shared" si="28"/>
        <v>-1994112</v>
      </c>
      <c r="AO64" s="82">
        <f t="shared" si="29"/>
        <v>-7032</v>
      </c>
      <c r="AP64" s="82">
        <f t="shared" si="30"/>
        <v>-70.230566300000007</v>
      </c>
      <c r="AQ64" s="83">
        <f t="shared" si="31"/>
        <v>-71.345111900000006</v>
      </c>
      <c r="AR64" s="83">
        <f t="shared" si="32"/>
        <v>-35.520437999999999</v>
      </c>
      <c r="AS64" s="83">
        <f t="shared" si="33"/>
        <v>-43.390419799999997</v>
      </c>
      <c r="AT64" s="83">
        <f t="shared" si="34"/>
        <v>-45.001812000000001</v>
      </c>
      <c r="AU64" s="83">
        <f t="shared" si="35"/>
        <v>-44.986571699999999</v>
      </c>
      <c r="AV64" s="84">
        <f t="shared" si="36"/>
        <v>-31.843251200000001</v>
      </c>
    </row>
    <row r="65" spans="33:48" x14ac:dyDescent="0.25">
      <c r="AG65" s="82" t="e">
        <f t="shared" si="21"/>
        <v>#VALUE!</v>
      </c>
      <c r="AH65" s="82" t="e">
        <f t="shared" si="22"/>
        <v>#VALUE!</v>
      </c>
      <c r="AI65" s="82">
        <f t="shared" si="23"/>
        <v>-604864</v>
      </c>
      <c r="AJ65" s="82">
        <f t="shared" si="24"/>
        <v>-5364808</v>
      </c>
      <c r="AK65" s="82">
        <f t="shared" si="25"/>
        <v>-780696</v>
      </c>
      <c r="AL65" s="82">
        <f t="shared" si="26"/>
        <v>0</v>
      </c>
      <c r="AM65" s="82">
        <f t="shared" si="27"/>
        <v>-731504</v>
      </c>
      <c r="AN65" s="82">
        <f t="shared" si="28"/>
        <v>-3845584</v>
      </c>
      <c r="AO65" s="82">
        <f t="shared" si="29"/>
        <v>-7024</v>
      </c>
      <c r="AP65" s="82">
        <f t="shared" si="30"/>
        <v>-71.428668599999995</v>
      </c>
      <c r="AQ65" s="83">
        <f t="shared" si="31"/>
        <v>-72.643240300000002</v>
      </c>
      <c r="AR65" s="83">
        <f t="shared" si="32"/>
        <v>-38.1653333</v>
      </c>
      <c r="AS65" s="83">
        <f t="shared" si="33"/>
        <v>-44.044943099999998</v>
      </c>
      <c r="AT65" s="83">
        <f t="shared" si="34"/>
        <v>-46.295114400000003</v>
      </c>
      <c r="AU65" s="83">
        <f t="shared" si="35"/>
        <v>-45.3721149</v>
      </c>
      <c r="AV65" s="84">
        <f t="shared" si="36"/>
        <v>-33.060022699999998</v>
      </c>
    </row>
    <row r="66" spans="33:48" x14ac:dyDescent="0.25">
      <c r="AG66" s="82" t="e">
        <f t="shared" si="21"/>
        <v>#VALUE!</v>
      </c>
      <c r="AH66" s="82" t="e">
        <f t="shared" si="22"/>
        <v>#VALUE!</v>
      </c>
      <c r="AI66" s="82">
        <f t="shared" si="23"/>
        <v>-1210368</v>
      </c>
      <c r="AJ66" s="82">
        <f t="shared" si="24"/>
        <v>-10645112</v>
      </c>
      <c r="AK66" s="82">
        <f t="shared" si="25"/>
        <v>-1304520</v>
      </c>
      <c r="AL66" s="82">
        <f t="shared" si="26"/>
        <v>0</v>
      </c>
      <c r="AM66" s="82">
        <f t="shared" si="27"/>
        <v>-1573352</v>
      </c>
      <c r="AN66" s="82">
        <f t="shared" si="28"/>
        <v>-7760216</v>
      </c>
      <c r="AO66" s="82">
        <f t="shared" si="29"/>
        <v>-7024</v>
      </c>
      <c r="AP66" s="82">
        <f t="shared" si="30"/>
        <v>-76.293598900000006</v>
      </c>
      <c r="AQ66" s="83">
        <f t="shared" si="31"/>
        <v>-78.149547200000001</v>
      </c>
      <c r="AR66" s="83">
        <f t="shared" si="32"/>
        <v>-40.854629199999998</v>
      </c>
      <c r="AS66" s="83">
        <f t="shared" si="33"/>
        <v>-44.954704900000003</v>
      </c>
      <c r="AT66" s="83">
        <f t="shared" si="34"/>
        <v>-48.020862000000001</v>
      </c>
      <c r="AU66" s="83">
        <f t="shared" si="35"/>
        <v>-47.791286499999998</v>
      </c>
      <c r="AV66" s="84">
        <f t="shared" si="36"/>
        <v>-36.229222200000002</v>
      </c>
    </row>
    <row r="67" spans="33:48" x14ac:dyDescent="0.25">
      <c r="AG67" s="82" t="e">
        <f t="shared" si="21"/>
        <v>#VALUE!</v>
      </c>
      <c r="AH67" s="82" t="e">
        <f t="shared" si="22"/>
        <v>#VALUE!</v>
      </c>
      <c r="AI67" s="82">
        <f t="shared" si="23"/>
        <v>-2421136</v>
      </c>
      <c r="AJ67" s="82">
        <f t="shared" si="24"/>
        <v>-15406472</v>
      </c>
      <c r="AK67" s="82">
        <f t="shared" si="25"/>
        <v>-2249688</v>
      </c>
      <c r="AL67" s="82">
        <f t="shared" si="26"/>
        <v>0</v>
      </c>
      <c r="AM67" s="82">
        <f t="shared" si="27"/>
        <v>-1884656</v>
      </c>
      <c r="AN67" s="82">
        <f t="shared" si="28"/>
        <v>-11264848</v>
      </c>
      <c r="AO67" s="82">
        <f t="shared" si="29"/>
        <v>-7280</v>
      </c>
      <c r="AP67" s="82">
        <f t="shared" si="30"/>
        <v>-78.591166599999994</v>
      </c>
      <c r="AQ67" s="83">
        <f t="shared" si="31"/>
        <v>-80.961148600000001</v>
      </c>
      <c r="AR67" s="83">
        <f t="shared" si="32"/>
        <v>-41.897584100000003</v>
      </c>
      <c r="AS67" s="83">
        <f t="shared" si="33"/>
        <v>-45.648805099999997</v>
      </c>
      <c r="AT67" s="83">
        <f t="shared" si="34"/>
        <v>-49.201005199999997</v>
      </c>
      <c r="AU67" s="83">
        <f t="shared" si="35"/>
        <v>-49.334001999999998</v>
      </c>
      <c r="AV67" s="84">
        <f t="shared" si="36"/>
        <v>-37.852655499999997</v>
      </c>
    </row>
    <row r="68" spans="33:48" x14ac:dyDescent="0.25">
      <c r="AG68" s="82" t="e">
        <f t="shared" si="21"/>
        <v>#VALUE!</v>
      </c>
      <c r="AH68" s="82" t="e">
        <f t="shared" si="22"/>
        <v>#VALUE!</v>
      </c>
      <c r="AI68" s="82">
        <f t="shared" si="23"/>
        <v>-2421136</v>
      </c>
      <c r="AJ68" s="82">
        <f t="shared" si="24"/>
        <v>-23087120</v>
      </c>
      <c r="AK68" s="82">
        <f t="shared" si="25"/>
        <v>-2249688</v>
      </c>
      <c r="AL68" s="82">
        <f t="shared" si="26"/>
        <v>0</v>
      </c>
      <c r="AM68" s="82">
        <f t="shared" si="27"/>
        <v>-2092344</v>
      </c>
      <c r="AN68" s="82">
        <f t="shared" si="28"/>
        <v>-18737808</v>
      </c>
      <c r="AO68" s="82">
        <f t="shared" si="29"/>
        <v>-7280</v>
      </c>
      <c r="AP68" s="82">
        <f t="shared" si="30"/>
        <v>-78.908564999999996</v>
      </c>
      <c r="AQ68" s="83">
        <f t="shared" si="31"/>
        <v>-81.380771600000003</v>
      </c>
      <c r="AR68" s="83">
        <f t="shared" si="32"/>
        <v>-42.8627143</v>
      </c>
      <c r="AS68" s="83">
        <f t="shared" si="33"/>
        <v>-46.580333000000003</v>
      </c>
      <c r="AT68" s="83">
        <f t="shared" si="34"/>
        <v>-50.533603399999997</v>
      </c>
      <c r="AU68" s="83">
        <f t="shared" si="35"/>
        <v>-49.401873999999999</v>
      </c>
      <c r="AV68" s="84">
        <f t="shared" si="36"/>
        <v>-38.297097100000002</v>
      </c>
    </row>
    <row r="69" spans="33:48" x14ac:dyDescent="0.25">
      <c r="AG69" s="82" t="e">
        <f t="shared" si="21"/>
        <v>#VALUE!</v>
      </c>
      <c r="AH69" s="82" t="e">
        <f t="shared" si="22"/>
        <v>#VALUE!</v>
      </c>
      <c r="AI69" s="82">
        <f t="shared" si="23"/>
        <v>-604496</v>
      </c>
      <c r="AJ69" s="82">
        <f t="shared" si="24"/>
        <v>-3207496</v>
      </c>
      <c r="AK69" s="82">
        <f t="shared" si="25"/>
        <v>-692280</v>
      </c>
      <c r="AL69" s="82">
        <f t="shared" si="26"/>
        <v>0</v>
      </c>
      <c r="AM69" s="82">
        <f t="shared" si="27"/>
        <v>-506056</v>
      </c>
      <c r="AN69" s="82">
        <f t="shared" si="28"/>
        <v>-2002136</v>
      </c>
      <c r="AO69" s="82">
        <f t="shared" si="29"/>
        <v>-7024</v>
      </c>
      <c r="AP69" s="82">
        <f t="shared" si="30"/>
        <v>-70.362095100000005</v>
      </c>
      <c r="AQ69" s="83">
        <f t="shared" si="31"/>
        <v>-71.538688699999994</v>
      </c>
      <c r="AR69" s="83">
        <f t="shared" si="32"/>
        <v>-34.474063999999998</v>
      </c>
      <c r="AS69" s="83">
        <f t="shared" si="33"/>
        <v>-42.795761800000001</v>
      </c>
      <c r="AT69" s="83">
        <f t="shared" si="34"/>
        <v>-44.069914199999999</v>
      </c>
      <c r="AU69" s="83">
        <f t="shared" si="35"/>
        <v>-47.809788099999999</v>
      </c>
      <c r="AV69" s="84">
        <f t="shared" si="36"/>
        <v>-30.893187699999999</v>
      </c>
    </row>
    <row r="70" spans="33:48" x14ac:dyDescent="0.25">
      <c r="AG70" s="82" t="e">
        <f t="shared" si="21"/>
        <v>#VALUE!</v>
      </c>
      <c r="AH70" s="82" t="e">
        <f t="shared" si="22"/>
        <v>#VALUE!</v>
      </c>
      <c r="AI70" s="82">
        <f t="shared" si="23"/>
        <v>-604496</v>
      </c>
      <c r="AJ70" s="82">
        <f t="shared" si="24"/>
        <v>-5452128</v>
      </c>
      <c r="AK70" s="82">
        <f t="shared" si="25"/>
        <v>-753056</v>
      </c>
      <c r="AL70" s="82">
        <f t="shared" si="26"/>
        <v>0</v>
      </c>
      <c r="AM70" s="82">
        <f t="shared" si="27"/>
        <v>-555016</v>
      </c>
      <c r="AN70" s="82">
        <f t="shared" si="28"/>
        <v>-4137024</v>
      </c>
      <c r="AO70" s="82">
        <f t="shared" si="29"/>
        <v>-7032</v>
      </c>
      <c r="AP70" s="82">
        <f t="shared" si="30"/>
        <v>-70.728646800000007</v>
      </c>
      <c r="AQ70" s="83">
        <f t="shared" si="31"/>
        <v>-71.939707900000002</v>
      </c>
      <c r="AR70" s="83">
        <f t="shared" si="32"/>
        <v>-37.174651500000003</v>
      </c>
      <c r="AS70" s="83">
        <f t="shared" si="33"/>
        <v>-43.99953</v>
      </c>
      <c r="AT70" s="83">
        <f t="shared" si="34"/>
        <v>-45.9572875</v>
      </c>
      <c r="AU70" s="83">
        <f t="shared" si="35"/>
        <v>-47.978582299999999</v>
      </c>
      <c r="AV70" s="84">
        <f t="shared" si="36"/>
        <v>-31.877295700000001</v>
      </c>
    </row>
    <row r="71" spans="33:48" x14ac:dyDescent="0.25">
      <c r="AG71" s="82" t="e">
        <f t="shared" si="21"/>
        <v>#VALUE!</v>
      </c>
      <c r="AH71" s="82" t="e">
        <f t="shared" si="22"/>
        <v>#VALUE!</v>
      </c>
      <c r="AI71" s="82">
        <f t="shared" si="23"/>
        <v>-1209024</v>
      </c>
      <c r="AJ71" s="82">
        <f t="shared" si="24"/>
        <v>-10749008</v>
      </c>
      <c r="AK71" s="82">
        <f t="shared" si="25"/>
        <v>-1155672</v>
      </c>
      <c r="AL71" s="82">
        <f t="shared" si="26"/>
        <v>0</v>
      </c>
      <c r="AM71" s="82">
        <f t="shared" si="27"/>
        <v>-1580824</v>
      </c>
      <c r="AN71" s="82">
        <f t="shared" si="28"/>
        <v>-8005488</v>
      </c>
      <c r="AO71" s="82">
        <f t="shared" si="29"/>
        <v>-7024</v>
      </c>
      <c r="AP71" s="82">
        <f t="shared" si="30"/>
        <v>-76.166239300000001</v>
      </c>
      <c r="AQ71" s="83">
        <f t="shared" si="31"/>
        <v>-78.151053200000007</v>
      </c>
      <c r="AR71" s="83">
        <f t="shared" si="32"/>
        <v>-40.254608699999999</v>
      </c>
      <c r="AS71" s="83">
        <f t="shared" si="33"/>
        <v>-45.296244799999997</v>
      </c>
      <c r="AT71" s="83">
        <f t="shared" si="34"/>
        <v>-48.007465400000001</v>
      </c>
      <c r="AU71" s="83">
        <f t="shared" si="35"/>
        <v>-50.5795022</v>
      </c>
      <c r="AV71" s="84">
        <f t="shared" si="36"/>
        <v>-35.568734399999997</v>
      </c>
    </row>
    <row r="72" spans="33:48" x14ac:dyDescent="0.25">
      <c r="AG72" s="82" t="e">
        <f t="shared" si="21"/>
        <v>#VALUE!</v>
      </c>
      <c r="AH72" s="82" t="e">
        <f t="shared" si="22"/>
        <v>#VALUE!</v>
      </c>
      <c r="AI72" s="82">
        <f t="shared" si="23"/>
        <v>-2418320</v>
      </c>
      <c r="AJ72" s="82">
        <f t="shared" si="24"/>
        <v>-15236512</v>
      </c>
      <c r="AK72" s="82">
        <f t="shared" si="25"/>
        <v>-2431352</v>
      </c>
      <c r="AL72" s="82">
        <f t="shared" si="26"/>
        <v>0</v>
      </c>
      <c r="AM72" s="82">
        <f t="shared" si="27"/>
        <v>-1623720</v>
      </c>
      <c r="AN72" s="82">
        <f t="shared" si="28"/>
        <v>-11174160</v>
      </c>
      <c r="AO72" s="82">
        <f t="shared" si="29"/>
        <v>-7280</v>
      </c>
      <c r="AP72" s="82">
        <f t="shared" si="30"/>
        <v>-78.089480600000002</v>
      </c>
      <c r="AQ72" s="83">
        <f t="shared" si="31"/>
        <v>-80.567410499999994</v>
      </c>
      <c r="AR72" s="83">
        <f t="shared" si="32"/>
        <v>-41.391844399999997</v>
      </c>
      <c r="AS72" s="83">
        <f t="shared" si="33"/>
        <v>-45.808621600000002</v>
      </c>
      <c r="AT72" s="83">
        <f t="shared" si="34"/>
        <v>-48.744075799999997</v>
      </c>
      <c r="AU72" s="83">
        <f t="shared" si="35"/>
        <v>-52.269352900000001</v>
      </c>
      <c r="AV72" s="84">
        <f t="shared" si="36"/>
        <v>-37.154429499999999</v>
      </c>
    </row>
    <row r="73" spans="33:48" x14ac:dyDescent="0.25">
      <c r="AG73" s="82" t="e">
        <f t="shared" si="21"/>
        <v>#VALUE!</v>
      </c>
      <c r="AH73" s="82" t="e">
        <f t="shared" si="22"/>
        <v>#VALUE!</v>
      </c>
      <c r="AI73" s="82">
        <f t="shared" si="23"/>
        <v>-2418320</v>
      </c>
      <c r="AJ73" s="82">
        <f t="shared" si="24"/>
        <v>-22595144</v>
      </c>
      <c r="AK73" s="82">
        <f t="shared" si="25"/>
        <v>-2198232</v>
      </c>
      <c r="AL73" s="82">
        <f t="shared" si="26"/>
        <v>0</v>
      </c>
      <c r="AM73" s="82">
        <f t="shared" si="27"/>
        <v>-2066840</v>
      </c>
      <c r="AN73" s="82">
        <f t="shared" si="28"/>
        <v>-18322792</v>
      </c>
      <c r="AO73" s="82">
        <f t="shared" si="29"/>
        <v>-7280</v>
      </c>
      <c r="AP73" s="82">
        <f t="shared" si="30"/>
        <v>-78.697107599999995</v>
      </c>
      <c r="AQ73" s="83">
        <f t="shared" si="31"/>
        <v>-81.399039200000004</v>
      </c>
      <c r="AR73" s="83">
        <f t="shared" si="32"/>
        <v>-42.352017400000001</v>
      </c>
      <c r="AS73" s="83">
        <f t="shared" si="33"/>
        <v>-46.891067</v>
      </c>
      <c r="AT73" s="83">
        <f t="shared" si="34"/>
        <v>-50.093510799999997</v>
      </c>
      <c r="AU73" s="83">
        <f t="shared" si="35"/>
        <v>-52.454428700000001</v>
      </c>
      <c r="AV73" s="84">
        <f t="shared" si="36"/>
        <v>-37.754601899999997</v>
      </c>
    </row>
    <row r="74" spans="33:48" x14ac:dyDescent="0.25">
      <c r="AG74" s="82" t="e">
        <f t="shared" si="21"/>
        <v>#VALUE!</v>
      </c>
      <c r="AH74" s="82" t="e">
        <f t="shared" si="22"/>
        <v>#VALUE!</v>
      </c>
      <c r="AI74" s="82">
        <f t="shared" si="23"/>
        <v>-2455232</v>
      </c>
      <c r="AJ74" s="82">
        <f t="shared" si="24"/>
        <v>-4376112</v>
      </c>
      <c r="AK74" s="82">
        <f t="shared" si="25"/>
        <v>-714400</v>
      </c>
      <c r="AL74" s="82">
        <f t="shared" si="26"/>
        <v>0</v>
      </c>
      <c r="AM74" s="82">
        <f t="shared" si="27"/>
        <v>-538944</v>
      </c>
      <c r="AN74" s="82">
        <f t="shared" si="28"/>
        <v>-3115488</v>
      </c>
      <c r="AO74" s="82">
        <f t="shared" si="29"/>
        <v>-7280</v>
      </c>
      <c r="AP74" s="82">
        <f t="shared" si="30"/>
        <v>-72.808657199999999</v>
      </c>
      <c r="AQ74" s="83">
        <f t="shared" si="31"/>
        <v>-74.532907699999996</v>
      </c>
      <c r="AR74" s="83">
        <f t="shared" si="32"/>
        <v>-31.4590642</v>
      </c>
      <c r="AS74" s="83">
        <f t="shared" si="33"/>
        <v>-40.605519399999999</v>
      </c>
      <c r="AT74" s="83">
        <f t="shared" si="34"/>
        <v>-36.902674599999997</v>
      </c>
      <c r="AU74" s="83">
        <f t="shared" si="35"/>
        <v>-44.378712200000002</v>
      </c>
      <c r="AV74" s="84">
        <f t="shared" si="36"/>
        <v>-28.397383000000001</v>
      </c>
    </row>
    <row r="75" spans="33:48" x14ac:dyDescent="0.25">
      <c r="AG75" s="82" t="e">
        <f t="shared" si="21"/>
        <v>#VALUE!</v>
      </c>
      <c r="AH75" s="82" t="e">
        <f t="shared" si="22"/>
        <v>#VALUE!</v>
      </c>
      <c r="AI75" s="82">
        <f t="shared" si="23"/>
        <v>-4912768</v>
      </c>
      <c r="AJ75" s="82">
        <f t="shared" si="24"/>
        <v>-8750752</v>
      </c>
      <c r="AK75" s="82">
        <f t="shared" si="25"/>
        <v>-1200872</v>
      </c>
      <c r="AL75" s="82">
        <f t="shared" si="26"/>
        <v>0</v>
      </c>
      <c r="AM75" s="82">
        <f t="shared" si="27"/>
        <v>-866216</v>
      </c>
      <c r="AN75" s="82">
        <f t="shared" si="28"/>
        <v>-6676120</v>
      </c>
      <c r="AO75" s="82">
        <f t="shared" si="29"/>
        <v>-7544</v>
      </c>
      <c r="AP75" s="82">
        <f t="shared" si="30"/>
        <v>-76.272471199999998</v>
      </c>
      <c r="AQ75" s="83">
        <f t="shared" si="31"/>
        <v>-78.584546900000007</v>
      </c>
      <c r="AR75" s="83">
        <f t="shared" si="32"/>
        <v>-33.907688700000001</v>
      </c>
      <c r="AS75" s="83">
        <f t="shared" si="33"/>
        <v>-42.457763700000001</v>
      </c>
      <c r="AT75" s="83">
        <f t="shared" si="34"/>
        <v>-39.801735600000001</v>
      </c>
      <c r="AU75" s="83">
        <f t="shared" si="35"/>
        <v>-46.103978599999998</v>
      </c>
      <c r="AV75" s="84">
        <f t="shared" si="36"/>
        <v>-31.114455899999999</v>
      </c>
    </row>
    <row r="76" spans="33:48" x14ac:dyDescent="0.25">
      <c r="AG76" s="82" t="e">
        <f t="shared" si="21"/>
        <v>#VALUE!</v>
      </c>
      <c r="AH76" s="82" t="e">
        <f t="shared" si="22"/>
        <v>#VALUE!</v>
      </c>
      <c r="AI76" s="82">
        <f t="shared" si="23"/>
        <v>-9827968</v>
      </c>
      <c r="AJ76" s="82">
        <f t="shared" si="24"/>
        <v>-13205984</v>
      </c>
      <c r="AK76" s="82">
        <f t="shared" si="25"/>
        <v>-2260544</v>
      </c>
      <c r="AL76" s="82">
        <f t="shared" si="26"/>
        <v>0</v>
      </c>
      <c r="AM76" s="82">
        <f t="shared" si="27"/>
        <v>-818272</v>
      </c>
      <c r="AN76" s="82">
        <f t="shared" si="28"/>
        <v>-10119616</v>
      </c>
      <c r="AO76" s="82">
        <f t="shared" si="29"/>
        <v>-7552</v>
      </c>
      <c r="AP76" s="82">
        <f t="shared" si="30"/>
        <v>-78.211476399999995</v>
      </c>
      <c r="AQ76" s="83">
        <f t="shared" si="31"/>
        <v>-80.928953699999994</v>
      </c>
      <c r="AR76" s="83">
        <f t="shared" si="32"/>
        <v>-34.861467599999997</v>
      </c>
      <c r="AS76" s="83">
        <f t="shared" si="33"/>
        <v>-43.678217699999998</v>
      </c>
      <c r="AT76" s="83">
        <f t="shared" si="34"/>
        <v>-41.597988100000002</v>
      </c>
      <c r="AU76" s="83">
        <f t="shared" si="35"/>
        <v>-47.651722999999997</v>
      </c>
      <c r="AV76" s="84">
        <f t="shared" si="36"/>
        <v>-32.450534699999999</v>
      </c>
    </row>
    <row r="77" spans="33:48" x14ac:dyDescent="0.25">
      <c r="AG77" s="82" t="e">
        <f t="shared" si="21"/>
        <v>#VALUE!</v>
      </c>
      <c r="AH77" s="82" t="e">
        <f t="shared" si="22"/>
        <v>#VALUE!</v>
      </c>
      <c r="AI77" s="82">
        <f t="shared" si="23"/>
        <v>-19659392</v>
      </c>
      <c r="AJ77" s="82">
        <f t="shared" si="24"/>
        <v>-18544216</v>
      </c>
      <c r="AK77" s="82">
        <f t="shared" si="25"/>
        <v>-4395536</v>
      </c>
      <c r="AL77" s="82">
        <f t="shared" si="26"/>
        <v>0</v>
      </c>
      <c r="AM77" s="82">
        <f t="shared" si="27"/>
        <v>-634864</v>
      </c>
      <c r="AN77" s="82">
        <f t="shared" si="28"/>
        <v>-13506000</v>
      </c>
      <c r="AO77" s="82">
        <f t="shared" si="29"/>
        <v>-7816</v>
      </c>
      <c r="AP77" s="82">
        <f t="shared" si="30"/>
        <v>-80.183046700000006</v>
      </c>
      <c r="AQ77" s="83">
        <f t="shared" si="31"/>
        <v>-83.562608699999998</v>
      </c>
      <c r="AR77" s="83">
        <f t="shared" si="32"/>
        <v>-35.667084600000003</v>
      </c>
      <c r="AS77" s="83">
        <f t="shared" si="33"/>
        <v>-43.998746400000002</v>
      </c>
      <c r="AT77" s="83">
        <f t="shared" si="34"/>
        <v>-42.077276099999999</v>
      </c>
      <c r="AU77" s="83">
        <f t="shared" si="35"/>
        <v>-49.3493335</v>
      </c>
      <c r="AV77" s="84">
        <f t="shared" si="36"/>
        <v>-33.677128199999999</v>
      </c>
    </row>
    <row r="78" spans="33:48" x14ac:dyDescent="0.25">
      <c r="AG78" s="82" t="e">
        <f t="shared" si="21"/>
        <v>#VALUE!</v>
      </c>
      <c r="AH78" s="82" t="e">
        <f t="shared" si="22"/>
        <v>#VALUE!</v>
      </c>
      <c r="AI78" s="82">
        <f t="shared" si="23"/>
        <v>-14745456</v>
      </c>
      <c r="AJ78" s="82">
        <f t="shared" si="24"/>
        <v>-27384880</v>
      </c>
      <c r="AK78" s="82">
        <f t="shared" si="25"/>
        <v>-9541744</v>
      </c>
      <c r="AL78" s="82">
        <f t="shared" si="26"/>
        <v>0</v>
      </c>
      <c r="AM78" s="82">
        <f t="shared" si="27"/>
        <v>-839064</v>
      </c>
      <c r="AN78" s="82">
        <f t="shared" si="28"/>
        <v>-16996256</v>
      </c>
      <c r="AO78" s="82">
        <f t="shared" si="29"/>
        <v>-7816</v>
      </c>
      <c r="AP78" s="82">
        <f t="shared" si="30"/>
        <v>-84.727156199999996</v>
      </c>
      <c r="AQ78" s="83">
        <f t="shared" si="31"/>
        <v>-90.043826300000006</v>
      </c>
      <c r="AR78" s="83">
        <f t="shared" si="32"/>
        <v>-36.399327</v>
      </c>
      <c r="AS78" s="83">
        <f t="shared" si="33"/>
        <v>-44.314752599999998</v>
      </c>
      <c r="AT78" s="83">
        <f t="shared" si="34"/>
        <v>-42.541991699999997</v>
      </c>
      <c r="AU78" s="83">
        <f t="shared" si="35"/>
        <v>-52.9986788</v>
      </c>
      <c r="AV78" s="84">
        <f t="shared" si="36"/>
        <v>-35.444967800000001</v>
      </c>
    </row>
    <row r="79" spans="33:48" x14ac:dyDescent="0.25">
      <c r="AG79" s="82" t="e">
        <f t="shared" si="21"/>
        <v>#VALUE!</v>
      </c>
      <c r="AH79" s="82" t="e">
        <f t="shared" si="22"/>
        <v>#VALUE!</v>
      </c>
      <c r="AI79" s="82">
        <f t="shared" si="23"/>
        <v>-2424832</v>
      </c>
      <c r="AJ79" s="82">
        <f t="shared" si="24"/>
        <v>-3835912</v>
      </c>
      <c r="AK79" s="82">
        <f t="shared" si="25"/>
        <v>-424312</v>
      </c>
      <c r="AL79" s="82">
        <f t="shared" si="26"/>
        <v>-63200</v>
      </c>
      <c r="AM79" s="82">
        <f t="shared" si="27"/>
        <v>-571928</v>
      </c>
      <c r="AN79" s="82">
        <f t="shared" si="28"/>
        <v>-2770536</v>
      </c>
      <c r="AO79" s="82">
        <f t="shared" si="29"/>
        <v>-5936</v>
      </c>
      <c r="AP79" s="82">
        <f t="shared" si="30"/>
        <v>-73.447598299999996</v>
      </c>
      <c r="AQ79" s="83">
        <f t="shared" si="31"/>
        <v>-75.044205399999996</v>
      </c>
      <c r="AR79" s="83">
        <f t="shared" si="32"/>
        <v>-38.662148799999997</v>
      </c>
      <c r="AS79" s="83">
        <f t="shared" si="33"/>
        <v>-44.517940099999997</v>
      </c>
      <c r="AT79" s="83">
        <f t="shared" si="34"/>
        <v>-43.145627400000002</v>
      </c>
      <c r="AU79" s="83">
        <f t="shared" si="35"/>
        <v>-46.6922122</v>
      </c>
      <c r="AV79" s="84">
        <f t="shared" si="36"/>
        <v>-34.824930600000002</v>
      </c>
    </row>
    <row r="80" spans="33:48" x14ac:dyDescent="0.25">
      <c r="AG80" s="82" t="e">
        <f t="shared" si="21"/>
        <v>#VALUE!</v>
      </c>
      <c r="AH80" s="82" t="e">
        <f t="shared" si="22"/>
        <v>#VALUE!</v>
      </c>
      <c r="AI80" s="82">
        <f t="shared" si="23"/>
        <v>-1220640</v>
      </c>
      <c r="AJ80" s="82">
        <f t="shared" si="24"/>
        <v>-8043992</v>
      </c>
      <c r="AK80" s="82">
        <f t="shared" si="25"/>
        <v>-806904</v>
      </c>
      <c r="AL80" s="82">
        <f t="shared" si="26"/>
        <v>-82320</v>
      </c>
      <c r="AM80" s="82">
        <f t="shared" si="27"/>
        <v>-871264</v>
      </c>
      <c r="AN80" s="82">
        <f t="shared" si="28"/>
        <v>-6277448</v>
      </c>
      <c r="AO80" s="82">
        <f t="shared" si="29"/>
        <v>-6056</v>
      </c>
      <c r="AP80" s="82">
        <f t="shared" si="30"/>
        <v>-75.982794400000003</v>
      </c>
      <c r="AQ80" s="83">
        <f t="shared" si="31"/>
        <v>-77.966858099999996</v>
      </c>
      <c r="AR80" s="83">
        <f t="shared" si="32"/>
        <v>-41.067012699999999</v>
      </c>
      <c r="AS80" s="83">
        <f t="shared" si="33"/>
        <v>-45.906891700000003</v>
      </c>
      <c r="AT80" s="83">
        <f t="shared" si="34"/>
        <v>-44.757096400000002</v>
      </c>
      <c r="AU80" s="83">
        <f t="shared" si="35"/>
        <v>-48.200907600000001</v>
      </c>
      <c r="AV80" s="84">
        <f t="shared" si="36"/>
        <v>-36.635187100000003</v>
      </c>
    </row>
    <row r="81" spans="33:48" x14ac:dyDescent="0.25">
      <c r="AG81" s="82" t="e">
        <f t="shared" si="21"/>
        <v>#VALUE!</v>
      </c>
      <c r="AH81" s="82" t="e">
        <f t="shared" si="22"/>
        <v>#VALUE!</v>
      </c>
      <c r="AI81" s="82">
        <f t="shared" si="23"/>
        <v>-4909152</v>
      </c>
      <c r="AJ81" s="82">
        <f t="shared" si="24"/>
        <v>-12328456</v>
      </c>
      <c r="AK81" s="82">
        <f t="shared" si="25"/>
        <v>-2513224</v>
      </c>
      <c r="AL81" s="82">
        <f t="shared" si="26"/>
        <v>-205144</v>
      </c>
      <c r="AM81" s="82">
        <f t="shared" si="27"/>
        <v>-836944</v>
      </c>
      <c r="AN81" s="82">
        <f t="shared" si="28"/>
        <v>-8766528</v>
      </c>
      <c r="AO81" s="82">
        <f t="shared" si="29"/>
        <v>-6616</v>
      </c>
      <c r="AP81" s="82">
        <f t="shared" si="30"/>
        <v>-79.607314200000005</v>
      </c>
      <c r="AQ81" s="83">
        <f t="shared" si="31"/>
        <v>-82.350220199999995</v>
      </c>
      <c r="AR81" s="83">
        <f t="shared" si="32"/>
        <v>-42.2348608</v>
      </c>
      <c r="AS81" s="83">
        <f t="shared" si="33"/>
        <v>-46.668734399999998</v>
      </c>
      <c r="AT81" s="83">
        <f t="shared" si="34"/>
        <v>-45.738624899999998</v>
      </c>
      <c r="AU81" s="83">
        <f t="shared" si="35"/>
        <v>-50.451151400000001</v>
      </c>
      <c r="AV81" s="84">
        <f t="shared" si="36"/>
        <v>-38.908712100000002</v>
      </c>
    </row>
    <row r="82" spans="33:48" x14ac:dyDescent="0.25">
      <c r="AG82" s="82" t="e">
        <f t="shared" si="21"/>
        <v>#VALUE!</v>
      </c>
      <c r="AH82" s="82" t="e">
        <f t="shared" si="22"/>
        <v>#VALUE!</v>
      </c>
      <c r="AI82" s="82">
        <f t="shared" si="23"/>
        <v>-4909152</v>
      </c>
      <c r="AJ82" s="82">
        <f t="shared" si="24"/>
        <v>-17310896</v>
      </c>
      <c r="AK82" s="82">
        <f t="shared" si="25"/>
        <v>-2513224</v>
      </c>
      <c r="AL82" s="82">
        <f t="shared" si="26"/>
        <v>-205144</v>
      </c>
      <c r="AM82" s="82">
        <f t="shared" si="27"/>
        <v>-1885864</v>
      </c>
      <c r="AN82" s="82">
        <f t="shared" si="28"/>
        <v>-12700048</v>
      </c>
      <c r="AO82" s="82">
        <f t="shared" si="29"/>
        <v>-6616</v>
      </c>
      <c r="AP82" s="82">
        <f t="shared" si="30"/>
        <v>-81.275919599999995</v>
      </c>
      <c r="AQ82" s="83">
        <f t="shared" si="31"/>
        <v>-84.891554200000002</v>
      </c>
      <c r="AR82" s="83">
        <f t="shared" si="32"/>
        <v>-43.291546400000001</v>
      </c>
      <c r="AS82" s="83">
        <f t="shared" si="33"/>
        <v>-47.7409666</v>
      </c>
      <c r="AT82" s="83">
        <f t="shared" si="34"/>
        <v>-46.954241199999998</v>
      </c>
      <c r="AU82" s="83">
        <f t="shared" si="35"/>
        <v>-51.624206399999998</v>
      </c>
      <c r="AV82" s="84">
        <f t="shared" si="36"/>
        <v>-40.2406109</v>
      </c>
    </row>
    <row r="83" spans="33:48" x14ac:dyDescent="0.25">
      <c r="AG83" s="82" t="e">
        <f t="shared" si="21"/>
        <v>#VALUE!</v>
      </c>
      <c r="AH83" s="82" t="e">
        <f t="shared" si="22"/>
        <v>#VALUE!</v>
      </c>
      <c r="AI83" s="82">
        <f t="shared" si="23"/>
        <v>-12284608</v>
      </c>
      <c r="AJ83" s="82">
        <f t="shared" si="24"/>
        <v>-23109760</v>
      </c>
      <c r="AK83" s="82">
        <f t="shared" si="25"/>
        <v>-4908312</v>
      </c>
      <c r="AL83" s="82">
        <f t="shared" si="26"/>
        <v>-1154704</v>
      </c>
      <c r="AM83" s="82">
        <f t="shared" si="27"/>
        <v>-471336</v>
      </c>
      <c r="AN83" s="82">
        <f t="shared" si="28"/>
        <v>-16569416</v>
      </c>
      <c r="AO83" s="82">
        <f t="shared" si="29"/>
        <v>-5992</v>
      </c>
      <c r="AP83" s="82">
        <f t="shared" si="30"/>
        <v>-84.725877499999996</v>
      </c>
      <c r="AQ83" s="83">
        <f t="shared" si="31"/>
        <v>-89.045997099999994</v>
      </c>
      <c r="AR83" s="83">
        <f t="shared" si="32"/>
        <v>-44.2816866</v>
      </c>
      <c r="AS83" s="83">
        <f t="shared" si="33"/>
        <v>-48.3958236</v>
      </c>
      <c r="AT83" s="83">
        <f t="shared" si="34"/>
        <v>-47.712707299999998</v>
      </c>
      <c r="AU83" s="83">
        <f t="shared" si="35"/>
        <v>-55.516256200000001</v>
      </c>
      <c r="AV83" s="84">
        <f t="shared" si="36"/>
        <v>-42.725696499999998</v>
      </c>
    </row>
    <row r="84" spans="33:48" x14ac:dyDescent="0.25">
      <c r="AG84" s="82" t="e">
        <f t="shared" si="21"/>
        <v>#VALUE!</v>
      </c>
      <c r="AH84" s="82" t="e">
        <f t="shared" si="22"/>
        <v>#VALUE!</v>
      </c>
      <c r="AI84" s="82">
        <f t="shared" si="23"/>
        <v>-920128</v>
      </c>
      <c r="AJ84" s="82">
        <f t="shared" si="24"/>
        <v>-3339688</v>
      </c>
      <c r="AK84" s="82">
        <f t="shared" si="25"/>
        <v>-471784</v>
      </c>
      <c r="AL84" s="82">
        <f t="shared" si="26"/>
        <v>-74424</v>
      </c>
      <c r="AM84" s="82">
        <f t="shared" si="27"/>
        <v>-404328</v>
      </c>
      <c r="AN84" s="82">
        <f t="shared" si="28"/>
        <v>-2383696</v>
      </c>
      <c r="AO84" s="82">
        <f t="shared" si="29"/>
        <v>-5456</v>
      </c>
      <c r="AP84" s="82">
        <f t="shared" si="30"/>
        <v>-72.071284700000007</v>
      </c>
      <c r="AQ84" s="83">
        <f t="shared" si="31"/>
        <v>-73.601900700000002</v>
      </c>
      <c r="AR84" s="83">
        <f t="shared" si="32"/>
        <v>-30.065843099999999</v>
      </c>
      <c r="AS84" s="83">
        <f t="shared" si="33"/>
        <v>-38.8127833</v>
      </c>
      <c r="AT84" s="83">
        <f t="shared" si="34"/>
        <v>-38.930371999999998</v>
      </c>
      <c r="AU84" s="83">
        <f t="shared" si="35"/>
        <v>-47.805799499999999</v>
      </c>
      <c r="AV84" s="84">
        <f t="shared" si="36"/>
        <v>-29.019273200000001</v>
      </c>
    </row>
    <row r="85" spans="33:48" x14ac:dyDescent="0.25">
      <c r="AG85" s="82" t="e">
        <f t="shared" si="21"/>
        <v>#VALUE!</v>
      </c>
      <c r="AH85" s="82" t="e">
        <f t="shared" si="22"/>
        <v>#VALUE!</v>
      </c>
      <c r="AI85" s="82">
        <f t="shared" si="23"/>
        <v>-1841248</v>
      </c>
      <c r="AJ85" s="82">
        <f t="shared" si="24"/>
        <v>-4270584</v>
      </c>
      <c r="AK85" s="82">
        <f t="shared" si="25"/>
        <v>-693880</v>
      </c>
      <c r="AL85" s="82">
        <f t="shared" si="26"/>
        <v>-152176</v>
      </c>
      <c r="AM85" s="82">
        <f t="shared" si="27"/>
        <v>-200488</v>
      </c>
      <c r="AN85" s="82">
        <f t="shared" si="28"/>
        <v>-3218760</v>
      </c>
      <c r="AO85" s="82">
        <f t="shared" si="29"/>
        <v>-5280</v>
      </c>
      <c r="AP85" s="82">
        <f t="shared" si="30"/>
        <v>-73.198060999999996</v>
      </c>
      <c r="AQ85" s="83">
        <f t="shared" si="31"/>
        <v>-74.815011999999996</v>
      </c>
      <c r="AR85" s="83">
        <f t="shared" si="32"/>
        <v>-30.578923499999998</v>
      </c>
      <c r="AS85" s="83">
        <f t="shared" si="33"/>
        <v>-38.939847200000003</v>
      </c>
      <c r="AT85" s="83">
        <f t="shared" si="34"/>
        <v>-39.076957499999999</v>
      </c>
      <c r="AU85" s="83">
        <f t="shared" si="35"/>
        <v>-48.330685199999998</v>
      </c>
      <c r="AV85" s="84">
        <f t="shared" si="36"/>
        <v>-29.470702500000002</v>
      </c>
    </row>
    <row r="86" spans="33:48" x14ac:dyDescent="0.25">
      <c r="AG86" s="82" t="e">
        <f t="shared" si="21"/>
        <v>#VALUE!</v>
      </c>
      <c r="AH86" s="82" t="e">
        <f t="shared" si="22"/>
        <v>#VALUE!</v>
      </c>
      <c r="AI86" s="82">
        <f t="shared" si="23"/>
        <v>-1841248</v>
      </c>
      <c r="AJ86" s="82">
        <f t="shared" si="24"/>
        <v>-6408608</v>
      </c>
      <c r="AK86" s="82">
        <f t="shared" si="25"/>
        <v>-693880</v>
      </c>
      <c r="AL86" s="82">
        <f t="shared" si="26"/>
        <v>-152176</v>
      </c>
      <c r="AM86" s="82">
        <f t="shared" si="27"/>
        <v>-624688</v>
      </c>
      <c r="AN86" s="82">
        <f t="shared" si="28"/>
        <v>-4932584</v>
      </c>
      <c r="AO86" s="82">
        <f t="shared" si="29"/>
        <v>-5280</v>
      </c>
      <c r="AP86" s="82">
        <f t="shared" si="30"/>
        <v>-75.723884699999999</v>
      </c>
      <c r="AQ86" s="83">
        <f t="shared" si="31"/>
        <v>-77.681435300000004</v>
      </c>
      <c r="AR86" s="83">
        <f t="shared" si="32"/>
        <v>-31.205749300000001</v>
      </c>
      <c r="AS86" s="83">
        <f t="shared" si="33"/>
        <v>-39.032313299999998</v>
      </c>
      <c r="AT86" s="83">
        <f t="shared" si="34"/>
        <v>-39.2153773</v>
      </c>
      <c r="AU86" s="83">
        <f t="shared" si="35"/>
        <v>-49.934938199999998</v>
      </c>
      <c r="AV86" s="84">
        <f t="shared" si="36"/>
        <v>-30.235243700000002</v>
      </c>
    </row>
    <row r="87" spans="33:48" x14ac:dyDescent="0.25">
      <c r="AG87" s="82" t="e">
        <f t="shared" si="21"/>
        <v>#VALUE!</v>
      </c>
      <c r="AH87" s="82" t="e">
        <f t="shared" si="22"/>
        <v>#VALUE!</v>
      </c>
      <c r="AI87" s="82">
        <f t="shared" si="23"/>
        <v>-3683392</v>
      </c>
      <c r="AJ87" s="82">
        <f t="shared" si="24"/>
        <v>-8515432</v>
      </c>
      <c r="AK87" s="82">
        <f t="shared" si="25"/>
        <v>-1349200</v>
      </c>
      <c r="AL87" s="82">
        <f t="shared" si="26"/>
        <v>-345824</v>
      </c>
      <c r="AM87" s="82">
        <f t="shared" si="27"/>
        <v>-646312</v>
      </c>
      <c r="AN87" s="82">
        <f t="shared" si="28"/>
        <v>-6168720</v>
      </c>
      <c r="AO87" s="82">
        <f t="shared" si="29"/>
        <v>-5376</v>
      </c>
      <c r="AP87" s="82">
        <f t="shared" si="30"/>
        <v>-78.635567699999996</v>
      </c>
      <c r="AQ87" s="83">
        <f t="shared" si="31"/>
        <v>-81.119008899999997</v>
      </c>
      <c r="AR87" s="83">
        <f t="shared" si="32"/>
        <v>-31.657586599999998</v>
      </c>
      <c r="AS87" s="83">
        <f t="shared" si="33"/>
        <v>-39.113176299999999</v>
      </c>
      <c r="AT87" s="83">
        <f t="shared" si="34"/>
        <v>-39.381622999999998</v>
      </c>
      <c r="AU87" s="83">
        <f t="shared" si="35"/>
        <v>-51.644515200000001</v>
      </c>
      <c r="AV87" s="84">
        <f t="shared" si="36"/>
        <v>-30.9253736</v>
      </c>
    </row>
    <row r="88" spans="33:48" x14ac:dyDescent="0.25">
      <c r="AG88" s="82" t="e">
        <f t="shared" si="21"/>
        <v>#VALUE!</v>
      </c>
      <c r="AH88" s="82" t="e">
        <f t="shared" si="22"/>
        <v>#VALUE!</v>
      </c>
      <c r="AI88" s="82">
        <f t="shared" si="23"/>
        <v>-5524880</v>
      </c>
      <c r="AJ88" s="82">
        <f t="shared" si="24"/>
        <v>-12671912</v>
      </c>
      <c r="AK88" s="82">
        <f t="shared" si="25"/>
        <v>-1895568</v>
      </c>
      <c r="AL88" s="82">
        <f t="shared" si="26"/>
        <v>-500992</v>
      </c>
      <c r="AM88" s="82">
        <f t="shared" si="27"/>
        <v>-567384</v>
      </c>
      <c r="AN88" s="82">
        <f t="shared" si="28"/>
        <v>-9702496</v>
      </c>
      <c r="AO88" s="82">
        <f t="shared" si="29"/>
        <v>-5472</v>
      </c>
      <c r="AP88" s="82">
        <f t="shared" si="30"/>
        <v>-80.373827899999995</v>
      </c>
      <c r="AQ88" s="83">
        <f t="shared" si="31"/>
        <v>-83.298879099999994</v>
      </c>
      <c r="AR88" s="83">
        <f t="shared" si="32"/>
        <v>-32.457808700000001</v>
      </c>
      <c r="AS88" s="83">
        <f t="shared" si="33"/>
        <v>-39.189058799999998</v>
      </c>
      <c r="AT88" s="83">
        <f t="shared" si="34"/>
        <v>-39.526177799999999</v>
      </c>
      <c r="AU88" s="83">
        <f t="shared" si="35"/>
        <v>-52.7558632</v>
      </c>
      <c r="AV88" s="84">
        <f t="shared" si="36"/>
        <v>-31.729214200000001</v>
      </c>
    </row>
    <row r="89" spans="33:48" x14ac:dyDescent="0.25">
      <c r="AG89" s="82" t="e">
        <f t="shared" si="21"/>
        <v>#VALUE!</v>
      </c>
      <c r="AH89" s="82" t="e">
        <f t="shared" si="22"/>
        <v>#VALUE!</v>
      </c>
      <c r="AI89" s="82">
        <f t="shared" si="23"/>
        <v>-920512</v>
      </c>
      <c r="AJ89" s="82">
        <f t="shared" si="24"/>
        <v>-3152992</v>
      </c>
      <c r="AK89" s="82">
        <f t="shared" si="25"/>
        <v>-356136</v>
      </c>
      <c r="AL89" s="82">
        <f t="shared" si="26"/>
        <v>-18472</v>
      </c>
      <c r="AM89" s="82">
        <f t="shared" si="27"/>
        <v>-372288</v>
      </c>
      <c r="AN89" s="82">
        <f t="shared" si="28"/>
        <v>-2400392</v>
      </c>
      <c r="AO89" s="82">
        <f t="shared" si="29"/>
        <v>-5704</v>
      </c>
      <c r="AP89" s="82">
        <f t="shared" si="30"/>
        <v>-72.923845400000005</v>
      </c>
      <c r="AQ89" s="83">
        <f t="shared" si="31"/>
        <v>-74.333538700000005</v>
      </c>
      <c r="AR89" s="83">
        <f t="shared" si="32"/>
        <v>-33.261683400000003</v>
      </c>
      <c r="AS89" s="83">
        <f t="shared" si="33"/>
        <v>-42.566401300000003</v>
      </c>
      <c r="AT89" s="83">
        <f t="shared" si="34"/>
        <v>-42.955797400000002</v>
      </c>
      <c r="AU89" s="83">
        <f t="shared" si="35"/>
        <v>-48.323907499999997</v>
      </c>
      <c r="AV89" s="84">
        <f t="shared" si="36"/>
        <v>-32.134926499999999</v>
      </c>
    </row>
    <row r="90" spans="33:48" x14ac:dyDescent="0.25">
      <c r="AG90" s="82" t="e">
        <f t="shared" si="21"/>
        <v>#VALUE!</v>
      </c>
      <c r="AH90" s="82" t="e">
        <f t="shared" si="22"/>
        <v>#VALUE!</v>
      </c>
      <c r="AI90" s="82">
        <f t="shared" si="23"/>
        <v>-1842256</v>
      </c>
      <c r="AJ90" s="82">
        <f t="shared" si="24"/>
        <v>-4226520</v>
      </c>
      <c r="AK90" s="82">
        <f t="shared" si="25"/>
        <v>-677184</v>
      </c>
      <c r="AL90" s="82">
        <f t="shared" si="26"/>
        <v>-159592</v>
      </c>
      <c r="AM90" s="82">
        <f t="shared" si="27"/>
        <v>-449184</v>
      </c>
      <c r="AN90" s="82">
        <f t="shared" si="28"/>
        <v>-2935368</v>
      </c>
      <c r="AO90" s="82">
        <f t="shared" si="29"/>
        <v>-5192</v>
      </c>
      <c r="AP90" s="82">
        <f t="shared" si="30"/>
        <v>-75.745083399999999</v>
      </c>
      <c r="AQ90" s="83">
        <f t="shared" si="31"/>
        <v>-77.494204699999997</v>
      </c>
      <c r="AR90" s="83">
        <f t="shared" si="32"/>
        <v>-33.626687400000002</v>
      </c>
      <c r="AS90" s="83">
        <f t="shared" si="33"/>
        <v>-42.730873699999997</v>
      </c>
      <c r="AT90" s="83">
        <f t="shared" si="34"/>
        <v>-43.184668799999997</v>
      </c>
      <c r="AU90" s="83">
        <f t="shared" si="35"/>
        <v>-50.227513500000001</v>
      </c>
      <c r="AV90" s="84">
        <f t="shared" si="36"/>
        <v>-32.856660599999998</v>
      </c>
    </row>
    <row r="91" spans="33:48" x14ac:dyDescent="0.25">
      <c r="AG91" s="82" t="e">
        <f t="shared" si="21"/>
        <v>#VALUE!</v>
      </c>
      <c r="AH91" s="82" t="e">
        <f t="shared" si="22"/>
        <v>#VALUE!</v>
      </c>
      <c r="AI91" s="82">
        <f t="shared" si="23"/>
        <v>-3684896</v>
      </c>
      <c r="AJ91" s="82">
        <f t="shared" si="24"/>
        <v>-6460552</v>
      </c>
      <c r="AK91" s="82">
        <f t="shared" si="25"/>
        <v>-1204760</v>
      </c>
      <c r="AL91" s="82">
        <f t="shared" si="26"/>
        <v>-308256</v>
      </c>
      <c r="AM91" s="82">
        <f t="shared" si="27"/>
        <v>-337344</v>
      </c>
      <c r="AN91" s="82">
        <f t="shared" si="28"/>
        <v>-4604912</v>
      </c>
      <c r="AO91" s="82">
        <f t="shared" si="29"/>
        <v>-5280</v>
      </c>
      <c r="AP91" s="82">
        <f t="shared" si="30"/>
        <v>-78.156479200000007</v>
      </c>
      <c r="AQ91" s="83">
        <f t="shared" si="31"/>
        <v>-80.243879100000001</v>
      </c>
      <c r="AR91" s="83">
        <f t="shared" si="32"/>
        <v>-34.267913200000002</v>
      </c>
      <c r="AS91" s="83">
        <f t="shared" si="33"/>
        <v>-42.877396699999998</v>
      </c>
      <c r="AT91" s="83">
        <f t="shared" si="34"/>
        <v>-43.437972899999998</v>
      </c>
      <c r="AU91" s="83">
        <f t="shared" si="35"/>
        <v>-51.481718999999998</v>
      </c>
      <c r="AV91" s="84">
        <f t="shared" si="36"/>
        <v>-33.602393200000002</v>
      </c>
    </row>
    <row r="92" spans="33:48" x14ac:dyDescent="0.25">
      <c r="AG92" s="82" t="e">
        <f t="shared" si="21"/>
        <v>#VALUE!</v>
      </c>
      <c r="AH92" s="82" t="e">
        <f t="shared" si="22"/>
        <v>#VALUE!</v>
      </c>
      <c r="AI92" s="82">
        <f t="shared" si="23"/>
        <v>-3684896</v>
      </c>
      <c r="AJ92" s="82">
        <f t="shared" si="24"/>
        <v>-8725768</v>
      </c>
      <c r="AK92" s="82">
        <f t="shared" si="25"/>
        <v>-1204760</v>
      </c>
      <c r="AL92" s="82">
        <f t="shared" si="26"/>
        <v>-308256</v>
      </c>
      <c r="AM92" s="82">
        <f t="shared" si="27"/>
        <v>-707632</v>
      </c>
      <c r="AN92" s="82">
        <f t="shared" si="28"/>
        <v>-6499856</v>
      </c>
      <c r="AO92" s="82">
        <f t="shared" si="29"/>
        <v>-5264</v>
      </c>
      <c r="AP92" s="82">
        <f t="shared" si="30"/>
        <v>-79.242295299999995</v>
      </c>
      <c r="AQ92" s="83">
        <f t="shared" si="31"/>
        <v>-81.657712000000004</v>
      </c>
      <c r="AR92" s="83">
        <f t="shared" si="32"/>
        <v>-34.372077900000001</v>
      </c>
      <c r="AS92" s="83">
        <f t="shared" si="33"/>
        <v>-43.014781300000003</v>
      </c>
      <c r="AT92" s="83">
        <f t="shared" si="34"/>
        <v>-43.616085200000001</v>
      </c>
      <c r="AU92" s="83">
        <f t="shared" si="35"/>
        <v>-52.293151799999997</v>
      </c>
      <c r="AV92" s="84">
        <f t="shared" si="36"/>
        <v>-33.713097500000003</v>
      </c>
    </row>
    <row r="93" spans="33:48" ht="15.75" customHeight="1" thickBot="1" x14ac:dyDescent="0.3">
      <c r="AG93" s="85" t="e">
        <f t="shared" si="21"/>
        <v>#VALUE!</v>
      </c>
      <c r="AH93" s="85" t="e">
        <f t="shared" si="22"/>
        <v>#VALUE!</v>
      </c>
      <c r="AI93" s="85">
        <f t="shared" si="23"/>
        <v>-5527456</v>
      </c>
      <c r="AJ93" s="85">
        <f t="shared" si="24"/>
        <v>-13641312</v>
      </c>
      <c r="AK93" s="85">
        <f t="shared" si="25"/>
        <v>-1852792</v>
      </c>
      <c r="AL93" s="85">
        <f t="shared" si="26"/>
        <v>-430208</v>
      </c>
      <c r="AM93" s="85">
        <f t="shared" si="27"/>
        <v>-627592</v>
      </c>
      <c r="AN93" s="85">
        <f t="shared" si="28"/>
        <v>-10725256</v>
      </c>
      <c r="AO93" s="85">
        <f t="shared" si="29"/>
        <v>-5464</v>
      </c>
      <c r="AP93" s="85">
        <f t="shared" si="30"/>
        <v>-80.945303100000004</v>
      </c>
      <c r="AQ93" s="86">
        <f t="shared" si="31"/>
        <v>-83.780222100000003</v>
      </c>
      <c r="AR93" s="86">
        <f t="shared" si="32"/>
        <v>-34.945858399999999</v>
      </c>
      <c r="AS93" s="86">
        <f t="shared" si="33"/>
        <v>-43.105020099999997</v>
      </c>
      <c r="AT93" s="86">
        <f t="shared" si="34"/>
        <v>-43.765347200000001</v>
      </c>
      <c r="AU93" s="86">
        <f t="shared" si="35"/>
        <v>-53.387209300000002</v>
      </c>
      <c r="AV93" s="87">
        <f t="shared" si="36"/>
        <v>-34.33117</v>
      </c>
    </row>
  </sheetData>
  <mergeCells count="52">
    <mergeCell ref="BT2:BT3"/>
    <mergeCell ref="AZ2:BD2"/>
    <mergeCell ref="AU2:AV2"/>
    <mergeCell ref="S2:S3"/>
    <mergeCell ref="BS2:BS3"/>
    <mergeCell ref="AM2:AM3"/>
    <mergeCell ref="BR2:BR3"/>
    <mergeCell ref="BQ2:BQ3"/>
    <mergeCell ref="BP2:BP3"/>
    <mergeCell ref="A2:A3"/>
    <mergeCell ref="BM2:BM3"/>
    <mergeCell ref="F2:F3"/>
    <mergeCell ref="AL2:AL3"/>
    <mergeCell ref="C2:C3"/>
    <mergeCell ref="AE2:AE3"/>
    <mergeCell ref="AB2:AB3"/>
    <mergeCell ref="AC2:AC3"/>
    <mergeCell ref="BE2:BF2"/>
    <mergeCell ref="AW2:AW3"/>
    <mergeCell ref="Q2:Q3"/>
    <mergeCell ref="AK2:AK3"/>
    <mergeCell ref="H2:H3"/>
    <mergeCell ref="AP2:AT2"/>
    <mergeCell ref="G2:G3"/>
    <mergeCell ref="K2:K3"/>
    <mergeCell ref="B2:B3"/>
    <mergeCell ref="BN2:BN3"/>
    <mergeCell ref="AH2:AH3"/>
    <mergeCell ref="M2:M3"/>
    <mergeCell ref="BJ2:BL2"/>
    <mergeCell ref="AX2:AX3"/>
    <mergeCell ref="BH2:BI2"/>
    <mergeCell ref="T2:T3"/>
    <mergeCell ref="AJ2:AJ3"/>
    <mergeCell ref="J2:J3"/>
    <mergeCell ref="D2:D3"/>
    <mergeCell ref="A1:H1"/>
    <mergeCell ref="Z2:AA2"/>
    <mergeCell ref="U2:Y2"/>
    <mergeCell ref="AE1:AX1"/>
    <mergeCell ref="AO2:AO3"/>
    <mergeCell ref="P2:P3"/>
    <mergeCell ref="N2:N3"/>
    <mergeCell ref="AN2:AN3"/>
    <mergeCell ref="O2:O3"/>
    <mergeCell ref="R2:R3"/>
    <mergeCell ref="L2:L3"/>
    <mergeCell ref="E2:E3"/>
    <mergeCell ref="J1:AC1"/>
    <mergeCell ref="AG2:AG3"/>
    <mergeCell ref="AF2:AF3"/>
    <mergeCell ref="AI2:AI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G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4" x14ac:dyDescent="0.25"/>
  <sheetData>
    <row r="1" spans="1:16" ht="15.75" customHeight="1" thickBot="1" x14ac:dyDescent="0.3">
      <c r="C1" s="126" t="s">
        <v>377</v>
      </c>
      <c r="D1" s="127"/>
      <c r="E1" s="127"/>
      <c r="F1" s="127"/>
      <c r="G1" s="127"/>
      <c r="H1" s="127"/>
      <c r="I1" s="128"/>
      <c r="J1" s="126" t="s">
        <v>427</v>
      </c>
      <c r="K1" s="127"/>
      <c r="L1" s="127"/>
      <c r="M1" s="127"/>
      <c r="N1" s="127"/>
      <c r="O1" s="127"/>
      <c r="P1" s="128"/>
    </row>
    <row r="2" spans="1:16" ht="15.75" customHeight="1" thickBot="1" x14ac:dyDescent="0.3">
      <c r="A2" s="138" t="s">
        <v>159</v>
      </c>
      <c r="B2" s="143" t="s">
        <v>160</v>
      </c>
      <c r="C2" s="142" t="s">
        <v>15</v>
      </c>
      <c r="D2" s="137"/>
      <c r="E2" s="137"/>
      <c r="F2" s="137"/>
      <c r="G2" s="137"/>
      <c r="H2" s="132" t="s">
        <v>16</v>
      </c>
      <c r="I2" s="133"/>
      <c r="J2" s="142" t="s">
        <v>15</v>
      </c>
      <c r="K2" s="137"/>
      <c r="L2" s="137"/>
      <c r="M2" s="137"/>
      <c r="N2" s="137"/>
      <c r="O2" s="132" t="s">
        <v>16</v>
      </c>
      <c r="P2" s="133"/>
    </row>
    <row r="3" spans="1:16" ht="30.75" customHeight="1" thickBot="1" x14ac:dyDescent="0.3">
      <c r="A3" s="139"/>
      <c r="B3" s="130"/>
      <c r="C3" s="38" t="s">
        <v>17</v>
      </c>
      <c r="D3" s="39" t="s">
        <v>18</v>
      </c>
      <c r="E3" s="39" t="s">
        <v>19</v>
      </c>
      <c r="F3" s="39" t="s">
        <v>20</v>
      </c>
      <c r="G3" s="39" t="s">
        <v>21</v>
      </c>
      <c r="H3" s="39" t="s">
        <v>22</v>
      </c>
      <c r="I3" s="40" t="s">
        <v>19</v>
      </c>
      <c r="J3" s="38" t="s">
        <v>17</v>
      </c>
      <c r="K3" s="39" t="s">
        <v>18</v>
      </c>
      <c r="L3" s="39" t="s">
        <v>19</v>
      </c>
      <c r="M3" s="39" t="s">
        <v>20</v>
      </c>
      <c r="N3" s="39" t="s">
        <v>21</v>
      </c>
      <c r="O3" s="39" t="s">
        <v>22</v>
      </c>
      <c r="P3" s="40" t="s">
        <v>19</v>
      </c>
    </row>
    <row r="4" spans="1:16" x14ac:dyDescent="0.25">
      <c r="A4" s="41" t="s">
        <v>186</v>
      </c>
      <c r="B4" s="42" t="s">
        <v>32</v>
      </c>
      <c r="C4" s="88" t="str">
        <f>'C1 lossy AI'!AZ5</f>
        <v>·</v>
      </c>
      <c r="D4" s="65" t="str">
        <f>'C1 lossy AI'!BA5</f>
        <v>·</v>
      </c>
      <c r="E4" s="65" t="str">
        <f>'C1 lossy AI'!BB5</f>
        <v>·</v>
      </c>
      <c r="F4" s="65" t="str">
        <f>'C1 lossy AI'!BC5</f>
        <v>·</v>
      </c>
      <c r="G4" s="65" t="str">
        <f>'C1 lossy AI'!BD5</f>
        <v>·</v>
      </c>
      <c r="H4" s="65" t="str">
        <f>'C1 lossy AI'!BE5</f>
        <v>·</v>
      </c>
      <c r="I4" s="89" t="str">
        <f>'C1 lossy AI'!BF5</f>
        <v>·</v>
      </c>
      <c r="J4" s="88" t="str">
        <f>'C2 lossy RA'!AZ5</f>
        <v>·</v>
      </c>
      <c r="K4" s="65" t="str">
        <f>'C2 lossy RA'!BA5</f>
        <v>·</v>
      </c>
      <c r="L4" s="65" t="str">
        <f>'C2 lossy RA'!BB5</f>
        <v>·</v>
      </c>
      <c r="M4" s="65" t="str">
        <f>'C2 lossy RA'!BC5</f>
        <v>·</v>
      </c>
      <c r="N4" s="65" t="str">
        <f>'C2 lossy RA'!BD5</f>
        <v>·</v>
      </c>
      <c r="O4" s="65" t="str">
        <f>'C2 lossy RA'!BE5</f>
        <v>·</v>
      </c>
      <c r="P4" s="89" t="str">
        <f>'C2 lossy RA'!BF5</f>
        <v>·</v>
      </c>
    </row>
    <row r="5" spans="1:16" x14ac:dyDescent="0.25">
      <c r="A5" s="43"/>
      <c r="B5" s="44" t="s">
        <v>47</v>
      </c>
      <c r="C5" s="90" t="str">
        <f>'C1 lossy AI'!AZ10</f>
        <v>·</v>
      </c>
      <c r="D5" s="71" t="str">
        <f>'C1 lossy AI'!BA10</f>
        <v>·</v>
      </c>
      <c r="E5" s="71" t="str">
        <f>'C1 lossy AI'!BB10</f>
        <v>·</v>
      </c>
      <c r="F5" s="71" t="str">
        <f>'C1 lossy AI'!BC10</f>
        <v>·</v>
      </c>
      <c r="G5" s="71" t="str">
        <f>'C1 lossy AI'!BD10</f>
        <v>·</v>
      </c>
      <c r="H5" s="71" t="str">
        <f>'C1 lossy AI'!BE10</f>
        <v>·</v>
      </c>
      <c r="I5" s="91" t="str">
        <f>'C1 lossy AI'!BF10</f>
        <v>·</v>
      </c>
      <c r="J5" s="90" t="str">
        <f>'C2 lossy RA'!AZ10</f>
        <v>·</v>
      </c>
      <c r="K5" s="71" t="str">
        <f>'C2 lossy RA'!BA10</f>
        <v>·</v>
      </c>
      <c r="L5" s="71" t="str">
        <f>'C2 lossy RA'!BB10</f>
        <v>·</v>
      </c>
      <c r="M5" s="71" t="str">
        <f>'C2 lossy RA'!BC10</f>
        <v>·</v>
      </c>
      <c r="N5" s="71" t="str">
        <f>'C2 lossy RA'!BD10</f>
        <v>·</v>
      </c>
      <c r="O5" s="71" t="str">
        <f>'C2 lossy RA'!BE10</f>
        <v>·</v>
      </c>
      <c r="P5" s="91" t="str">
        <f>'C2 lossy RA'!BF10</f>
        <v>·</v>
      </c>
    </row>
    <row r="6" spans="1:16" x14ac:dyDescent="0.25">
      <c r="A6" s="41" t="s">
        <v>187</v>
      </c>
      <c r="B6" s="42" t="s">
        <v>52</v>
      </c>
      <c r="C6" s="88" t="str">
        <f>'C1 lossy AI'!AZ15</f>
        <v>·</v>
      </c>
      <c r="D6" s="65" t="str">
        <f>'C1 lossy AI'!BA15</f>
        <v>·</v>
      </c>
      <c r="E6" s="65" t="str">
        <f>'C1 lossy AI'!BB15</f>
        <v>·</v>
      </c>
      <c r="F6" s="65" t="str">
        <f>'C1 lossy AI'!BC15</f>
        <v>·</v>
      </c>
      <c r="G6" s="65" t="str">
        <f>'C1 lossy AI'!BD15</f>
        <v>·</v>
      </c>
      <c r="H6" s="65" t="str">
        <f>'C1 lossy AI'!BE15</f>
        <v>·</v>
      </c>
      <c r="I6" s="89" t="str">
        <f>'C1 lossy AI'!BF15</f>
        <v>·</v>
      </c>
      <c r="J6" s="88" t="str">
        <f>'C2 lossy RA'!AZ15</f>
        <v>·</v>
      </c>
      <c r="K6" s="65" t="str">
        <f>'C2 lossy RA'!BA15</f>
        <v>·</v>
      </c>
      <c r="L6" s="65" t="str">
        <f>'C2 lossy RA'!BB15</f>
        <v>·</v>
      </c>
      <c r="M6" s="65" t="str">
        <f>'C2 lossy RA'!BC15</f>
        <v>·</v>
      </c>
      <c r="N6" s="65" t="str">
        <f>'C2 lossy RA'!BD15</f>
        <v>·</v>
      </c>
      <c r="O6" s="65" t="str">
        <f>'C2 lossy RA'!BE15</f>
        <v>·</v>
      </c>
      <c r="P6" s="89" t="str">
        <f>'C2 lossy RA'!BF15</f>
        <v>·</v>
      </c>
    </row>
    <row r="7" spans="1:16" x14ac:dyDescent="0.25">
      <c r="A7" s="43"/>
      <c r="B7" s="44" t="s">
        <v>57</v>
      </c>
      <c r="C7" s="90" t="str">
        <f>'C1 lossy AI'!AZ20</f>
        <v>·</v>
      </c>
      <c r="D7" s="71" t="str">
        <f>'C1 lossy AI'!BA20</f>
        <v>·</v>
      </c>
      <c r="E7" s="71" t="str">
        <f>'C1 lossy AI'!BB20</f>
        <v>·</v>
      </c>
      <c r="F7" s="71" t="str">
        <f>'C1 lossy AI'!BC20</f>
        <v>·</v>
      </c>
      <c r="G7" s="71" t="str">
        <f>'C1 lossy AI'!BD20</f>
        <v>·</v>
      </c>
      <c r="H7" s="71" t="str">
        <f>'C1 lossy AI'!BE20</f>
        <v>·</v>
      </c>
      <c r="I7" s="91" t="str">
        <f>'C1 lossy AI'!BF20</f>
        <v>·</v>
      </c>
      <c r="J7" s="90" t="str">
        <f>'C2 lossy RA'!AZ20</f>
        <v>·</v>
      </c>
      <c r="K7" s="71" t="str">
        <f>'C2 lossy RA'!BA20</f>
        <v>·</v>
      </c>
      <c r="L7" s="71" t="str">
        <f>'C2 lossy RA'!BB20</f>
        <v>·</v>
      </c>
      <c r="M7" s="71" t="str">
        <f>'C2 lossy RA'!BC20</f>
        <v>·</v>
      </c>
      <c r="N7" s="71" t="str">
        <f>'C2 lossy RA'!BD20</f>
        <v>·</v>
      </c>
      <c r="O7" s="71" t="str">
        <f>'C2 lossy RA'!BE20</f>
        <v>·</v>
      </c>
      <c r="P7" s="91" t="str">
        <f>'C2 lossy RA'!BF20</f>
        <v>·</v>
      </c>
    </row>
    <row r="8" spans="1:16" x14ac:dyDescent="0.25">
      <c r="A8" s="41" t="s">
        <v>188</v>
      </c>
      <c r="B8" s="42" t="s">
        <v>62</v>
      </c>
      <c r="C8" s="88" t="str">
        <f>'C1 lossy AI'!AZ25</f>
        <v>·</v>
      </c>
      <c r="D8" s="65" t="str">
        <f>'C1 lossy AI'!BA25</f>
        <v>·</v>
      </c>
      <c r="E8" s="65" t="str">
        <f>'C1 lossy AI'!BB25</f>
        <v>·</v>
      </c>
      <c r="F8" s="65" t="str">
        <f>'C1 lossy AI'!BC25</f>
        <v>·</v>
      </c>
      <c r="G8" s="65" t="str">
        <f>'C1 lossy AI'!BD25</f>
        <v>·</v>
      </c>
      <c r="H8" s="65" t="str">
        <f>'C1 lossy AI'!BE25</f>
        <v>·</v>
      </c>
      <c r="I8" s="89" t="str">
        <f>'C1 lossy AI'!BF25</f>
        <v>·</v>
      </c>
      <c r="J8" s="88" t="str">
        <f>'C2 lossy RA'!AZ25</f>
        <v>·</v>
      </c>
      <c r="K8" s="65" t="str">
        <f>'C2 lossy RA'!BA25</f>
        <v>·</v>
      </c>
      <c r="L8" s="65" t="str">
        <f>'C2 lossy RA'!BB25</f>
        <v>·</v>
      </c>
      <c r="M8" s="65" t="str">
        <f>'C2 lossy RA'!BC25</f>
        <v>·</v>
      </c>
      <c r="N8" s="65" t="str">
        <f>'C2 lossy RA'!BD25</f>
        <v>·</v>
      </c>
      <c r="O8" s="65" t="str">
        <f>'C2 lossy RA'!BE25</f>
        <v>·</v>
      </c>
      <c r="P8" s="89" t="str">
        <f>'C2 lossy RA'!BF25</f>
        <v>·</v>
      </c>
    </row>
    <row r="9" spans="1:16" x14ac:dyDescent="0.25">
      <c r="A9" s="43"/>
      <c r="B9" s="44" t="s">
        <v>67</v>
      </c>
      <c r="C9" s="90" t="str">
        <f>'C1 lossy AI'!AZ30</f>
        <v>·</v>
      </c>
      <c r="D9" s="71" t="str">
        <f>'C1 lossy AI'!BA30</f>
        <v>·</v>
      </c>
      <c r="E9" s="71" t="str">
        <f>'C1 lossy AI'!BB30</f>
        <v>·</v>
      </c>
      <c r="F9" s="71" t="str">
        <f>'C1 lossy AI'!BC30</f>
        <v>·</v>
      </c>
      <c r="G9" s="71" t="str">
        <f>'C1 lossy AI'!BD30</f>
        <v>·</v>
      </c>
      <c r="H9" s="71" t="str">
        <f>'C1 lossy AI'!BE30</f>
        <v>·</v>
      </c>
      <c r="I9" s="91" t="str">
        <f>'C1 lossy AI'!BF30</f>
        <v>·</v>
      </c>
      <c r="J9" s="90" t="str">
        <f>'C2 lossy RA'!AZ30</f>
        <v>·</v>
      </c>
      <c r="K9" s="71" t="str">
        <f>'C2 lossy RA'!BA30</f>
        <v>·</v>
      </c>
      <c r="L9" s="71" t="str">
        <f>'C2 lossy RA'!BB30</f>
        <v>·</v>
      </c>
      <c r="M9" s="71" t="str">
        <f>'C2 lossy RA'!BC30</f>
        <v>·</v>
      </c>
      <c r="N9" s="71" t="str">
        <f>'C2 lossy RA'!BD30</f>
        <v>·</v>
      </c>
      <c r="O9" s="71" t="str">
        <f>'C2 lossy RA'!BE30</f>
        <v>·</v>
      </c>
      <c r="P9" s="91" t="str">
        <f>'C2 lossy RA'!BF30</f>
        <v>·</v>
      </c>
    </row>
    <row r="10" spans="1:16" x14ac:dyDescent="0.25">
      <c r="A10" s="41"/>
      <c r="B10" s="42" t="s">
        <v>72</v>
      </c>
      <c r="C10" s="88" t="str">
        <f>'C1 lossy AI'!AZ35</f>
        <v>·</v>
      </c>
      <c r="D10" s="65" t="str">
        <f>'C1 lossy AI'!BA35</f>
        <v>·</v>
      </c>
      <c r="E10" s="65" t="str">
        <f>'C1 lossy AI'!BB35</f>
        <v>·</v>
      </c>
      <c r="F10" s="65" t="str">
        <f>'C1 lossy AI'!BC35</f>
        <v>·</v>
      </c>
      <c r="G10" s="65" t="str">
        <f>'C1 lossy AI'!BD35</f>
        <v>·</v>
      </c>
      <c r="H10" s="65" t="str">
        <f>'C1 lossy AI'!BE35</f>
        <v>·</v>
      </c>
      <c r="I10" s="89" t="str">
        <f>'C1 lossy AI'!BF35</f>
        <v>·</v>
      </c>
      <c r="J10" s="88" t="str">
        <f>'C2 lossy RA'!AZ35</f>
        <v>·</v>
      </c>
      <c r="K10" s="65" t="str">
        <f>'C2 lossy RA'!BA35</f>
        <v>·</v>
      </c>
      <c r="L10" s="65" t="str">
        <f>'C2 lossy RA'!BB35</f>
        <v>·</v>
      </c>
      <c r="M10" s="65" t="str">
        <f>'C2 lossy RA'!BC35</f>
        <v>·</v>
      </c>
      <c r="N10" s="65" t="str">
        <f>'C2 lossy RA'!BD35</f>
        <v>·</v>
      </c>
      <c r="O10" s="65" t="str">
        <f>'C2 lossy RA'!BE35</f>
        <v>·</v>
      </c>
      <c r="P10" s="89" t="str">
        <f>'C2 lossy RA'!BF35</f>
        <v>·</v>
      </c>
    </row>
    <row r="11" spans="1:16" ht="15.75" customHeight="1" thickBot="1" x14ac:dyDescent="0.3">
      <c r="A11" s="45"/>
      <c r="B11" s="46" t="s">
        <v>77</v>
      </c>
      <c r="C11" s="92" t="str">
        <f>'C1 lossy AI'!AZ40</f>
        <v>·</v>
      </c>
      <c r="D11" s="68" t="str">
        <f>'C1 lossy AI'!BA40</f>
        <v>·</v>
      </c>
      <c r="E11" s="68" t="str">
        <f>'C1 lossy AI'!BB40</f>
        <v>·</v>
      </c>
      <c r="F11" s="68" t="str">
        <f>'C1 lossy AI'!BC40</f>
        <v>·</v>
      </c>
      <c r="G11" s="68" t="str">
        <f>'C1 lossy AI'!BD40</f>
        <v>·</v>
      </c>
      <c r="H11" s="68" t="str">
        <f>'C1 lossy AI'!BE40</f>
        <v>·</v>
      </c>
      <c r="I11" s="93" t="str">
        <f>'C1 lossy AI'!BF40</f>
        <v>·</v>
      </c>
      <c r="J11" s="92" t="str">
        <f>'C2 lossy RA'!AZ40</f>
        <v>·</v>
      </c>
      <c r="K11" s="68" t="str">
        <f>'C2 lossy RA'!BA40</f>
        <v>·</v>
      </c>
      <c r="L11" s="68" t="str">
        <f>'C2 lossy RA'!BB40</f>
        <v>·</v>
      </c>
      <c r="M11" s="68" t="str">
        <f>'C2 lossy RA'!BC40</f>
        <v>·</v>
      </c>
      <c r="N11" s="68" t="str">
        <f>'C2 lossy RA'!BD40</f>
        <v>·</v>
      </c>
      <c r="O11" s="68" t="str">
        <f>'C2 lossy RA'!BE40</f>
        <v>·</v>
      </c>
      <c r="P11" s="93" t="str">
        <f>'C2 lossy RA'!BF40</f>
        <v>·</v>
      </c>
    </row>
    <row r="12" spans="1:16" x14ac:dyDescent="0.25">
      <c r="A12" s="134" t="str">
        <f>Summary!B19</f>
        <v>Cat1-A average</v>
      </c>
      <c r="B12" s="135"/>
      <c r="C12" s="94" t="e">
        <f>Summary!C19</f>
        <v>#DIV/0!</v>
      </c>
      <c r="D12" s="94" t="e">
        <f>Summary!D19</f>
        <v>#DIV/0!</v>
      </c>
      <c r="E12" s="94" t="e">
        <f>Summary!E19</f>
        <v>#DIV/0!</v>
      </c>
      <c r="F12" s="94" t="e">
        <f>Summary!F19</f>
        <v>#DIV/0!</v>
      </c>
      <c r="G12" s="94" t="e">
        <f>Summary!G19</f>
        <v>#DIV/0!</v>
      </c>
      <c r="H12" s="94" t="e">
        <f>Summary!H19</f>
        <v>#DIV/0!</v>
      </c>
      <c r="I12" s="94" t="e">
        <f>Summary!I19</f>
        <v>#DIV/0!</v>
      </c>
      <c r="J12" s="95" t="e">
        <f>Summary!C31</f>
        <v>#DIV/0!</v>
      </c>
      <c r="K12" s="96" t="e">
        <f>Summary!D31</f>
        <v>#DIV/0!</v>
      </c>
      <c r="L12" s="96" t="e">
        <f>Summary!E31</f>
        <v>#DIV/0!</v>
      </c>
      <c r="M12" s="96" t="e">
        <f>Summary!F31</f>
        <v>#DIV/0!</v>
      </c>
      <c r="N12" s="96" t="e">
        <f>Summary!G31</f>
        <v>#DIV/0!</v>
      </c>
      <c r="O12" s="96" t="e">
        <f>Summary!H31</f>
        <v>#DIV/0!</v>
      </c>
      <c r="P12" s="97" t="e">
        <f>Summary!I31</f>
        <v>#DIV/0!</v>
      </c>
    </row>
    <row r="13" spans="1:16" x14ac:dyDescent="0.25">
      <c r="A13" s="131" t="str">
        <f>Summary!B20</f>
        <v>Cat1-B average</v>
      </c>
      <c r="B13" s="125"/>
      <c r="C13" s="98" t="e">
        <f>Summary!C20</f>
        <v>#DIV/0!</v>
      </c>
      <c r="D13" s="98" t="e">
        <f>Summary!D20</f>
        <v>#DIV/0!</v>
      </c>
      <c r="E13" s="98" t="e">
        <f>Summary!E20</f>
        <v>#DIV/0!</v>
      </c>
      <c r="F13" s="98" t="e">
        <f>Summary!F20</f>
        <v>#DIV/0!</v>
      </c>
      <c r="G13" s="98" t="e">
        <f>Summary!G20</f>
        <v>#DIV/0!</v>
      </c>
      <c r="H13" s="98" t="e">
        <f>Summary!H20</f>
        <v>#DIV/0!</v>
      </c>
      <c r="I13" s="98" t="e">
        <f>Summary!I20</f>
        <v>#DIV/0!</v>
      </c>
      <c r="J13" s="99" t="e">
        <f>Summary!C32</f>
        <v>#DIV/0!</v>
      </c>
      <c r="K13" s="98" t="e">
        <f>Summary!D32</f>
        <v>#DIV/0!</v>
      </c>
      <c r="L13" s="98" t="e">
        <f>Summary!E32</f>
        <v>#DIV/0!</v>
      </c>
      <c r="M13" s="98" t="e">
        <f>Summary!F32</f>
        <v>#DIV/0!</v>
      </c>
      <c r="N13" s="98" t="e">
        <f>Summary!G32</f>
        <v>#DIV/0!</v>
      </c>
      <c r="O13" s="98" t="e">
        <f>Summary!H32</f>
        <v>#DIV/0!</v>
      </c>
      <c r="P13" s="100" t="e">
        <f>Summary!I32</f>
        <v>#DIV/0!</v>
      </c>
    </row>
    <row r="14" spans="1:16" ht="15.75" customHeight="1" thickBot="1" x14ac:dyDescent="0.3">
      <c r="A14" s="124" t="str">
        <f>Summary!B21</f>
        <v>Cat1-C average</v>
      </c>
      <c r="B14" s="125"/>
      <c r="C14" s="94" t="e">
        <f>Summary!C21</f>
        <v>#DIV/0!</v>
      </c>
      <c r="D14" s="94" t="e">
        <f>Summary!D21</f>
        <v>#DIV/0!</v>
      </c>
      <c r="E14" s="94" t="e">
        <f>Summary!E21</f>
        <v>#DIV/0!</v>
      </c>
      <c r="F14" s="94" t="e">
        <f>Summary!F21</f>
        <v>#DIV/0!</v>
      </c>
      <c r="G14" s="94" t="e">
        <f>Summary!G21</f>
        <v>#DIV/0!</v>
      </c>
      <c r="H14" s="94" t="e">
        <f>Summary!H21</f>
        <v>#DIV/0!</v>
      </c>
      <c r="I14" s="94" t="e">
        <f>Summary!I21</f>
        <v>#DIV/0!</v>
      </c>
      <c r="J14" s="101" t="e">
        <f>Summary!C33</f>
        <v>#DIV/0!</v>
      </c>
      <c r="K14" s="94" t="e">
        <f>Summary!D33</f>
        <v>#DIV/0!</v>
      </c>
      <c r="L14" s="94" t="e">
        <f>Summary!E33</f>
        <v>#DIV/0!</v>
      </c>
      <c r="M14" s="94" t="e">
        <f>Summary!F33</f>
        <v>#DIV/0!</v>
      </c>
      <c r="N14" s="94" t="e">
        <f>Summary!G33</f>
        <v>#DIV/0!</v>
      </c>
      <c r="O14" s="94" t="e">
        <f>Summary!H33</f>
        <v>#DIV/0!</v>
      </c>
      <c r="P14" s="102" t="e">
        <f>Summary!I33</f>
        <v>#DIV/0!</v>
      </c>
    </row>
    <row r="15" spans="1:16" ht="15.75" customHeight="1" thickBot="1" x14ac:dyDescent="0.3">
      <c r="A15" s="141" t="str">
        <f>Summary!B22</f>
        <v>Overall average</v>
      </c>
      <c r="B15" s="128"/>
      <c r="C15" s="103" t="e">
        <f>Summary!C22</f>
        <v>#DIV/0!</v>
      </c>
      <c r="D15" s="103" t="e">
        <f>Summary!D22</f>
        <v>#DIV/0!</v>
      </c>
      <c r="E15" s="103" t="e">
        <f>Summary!E22</f>
        <v>#DIV/0!</v>
      </c>
      <c r="F15" s="103" t="e">
        <f>Summary!F22</f>
        <v>#DIV/0!</v>
      </c>
      <c r="G15" s="103" t="e">
        <f>Summary!G22</f>
        <v>#DIV/0!</v>
      </c>
      <c r="H15" s="103" t="e">
        <f>Summary!H22</f>
        <v>#DIV/0!</v>
      </c>
      <c r="I15" s="103" t="e">
        <f>Summary!I22</f>
        <v>#DIV/0!</v>
      </c>
      <c r="J15" s="104" t="e">
        <f>Summary!C34</f>
        <v>#DIV/0!</v>
      </c>
      <c r="K15" s="103" t="e">
        <f>Summary!D34</f>
        <v>#DIV/0!</v>
      </c>
      <c r="L15" s="103" t="e">
        <f>Summary!E34</f>
        <v>#DIV/0!</v>
      </c>
      <c r="M15" s="103" t="e">
        <f>Summary!F34</f>
        <v>#DIV/0!</v>
      </c>
      <c r="N15" s="103" t="e">
        <f>Summary!G34</f>
        <v>#DIV/0!</v>
      </c>
      <c r="O15" s="103" t="e">
        <f>Summary!H34</f>
        <v>#DIV/0!</v>
      </c>
      <c r="P15" s="105" t="e">
        <f>Summary!I34</f>
        <v>#DIV/0!</v>
      </c>
    </row>
    <row r="16" spans="1:16" x14ac:dyDescent="0.25">
      <c r="A16" s="124" t="str">
        <f>Summary!B23</f>
        <v>Avg. Enc Time [%]</v>
      </c>
      <c r="B16" s="125"/>
      <c r="C16" s="136">
        <f>Summary!C23</f>
        <v>0</v>
      </c>
      <c r="D16" s="137"/>
      <c r="E16" s="137"/>
      <c r="F16" s="137"/>
      <c r="G16" s="137"/>
      <c r="H16" s="137"/>
      <c r="I16" s="135"/>
      <c r="J16" s="136">
        <f>Summary!C35</f>
        <v>0</v>
      </c>
      <c r="K16" s="137"/>
      <c r="L16" s="137"/>
      <c r="M16" s="137"/>
      <c r="N16" s="137"/>
      <c r="O16" s="137"/>
      <c r="P16" s="135"/>
    </row>
    <row r="17" spans="1:16" ht="15.75" customHeight="1" thickBot="1" x14ac:dyDescent="0.3">
      <c r="A17" s="140" t="str">
        <f>Summary!B24</f>
        <v>Avg. Dec Time [%]</v>
      </c>
      <c r="B17" s="130"/>
      <c r="C17" s="129">
        <f>Summary!C24</f>
        <v>0</v>
      </c>
      <c r="D17" s="108"/>
      <c r="E17" s="108"/>
      <c r="F17" s="108"/>
      <c r="G17" s="108"/>
      <c r="H17" s="108"/>
      <c r="I17" s="130"/>
      <c r="J17" s="129">
        <f>Summary!C36</f>
        <v>0</v>
      </c>
      <c r="K17" s="108"/>
      <c r="L17" s="108"/>
      <c r="M17" s="108"/>
      <c r="N17" s="108"/>
      <c r="O17" s="108"/>
      <c r="P17" s="130"/>
    </row>
  </sheetData>
  <mergeCells count="18">
    <mergeCell ref="B2:B3"/>
    <mergeCell ref="C2:G2"/>
    <mergeCell ref="A14:B14"/>
    <mergeCell ref="J1:P1"/>
    <mergeCell ref="J17:P17"/>
    <mergeCell ref="A13:B13"/>
    <mergeCell ref="C1:I1"/>
    <mergeCell ref="C17:I17"/>
    <mergeCell ref="O2:P2"/>
    <mergeCell ref="A12:B12"/>
    <mergeCell ref="C16:I16"/>
    <mergeCell ref="A2:A3"/>
    <mergeCell ref="H2:I2"/>
    <mergeCell ref="A17:B17"/>
    <mergeCell ref="A15:B15"/>
    <mergeCell ref="J2:N2"/>
    <mergeCell ref="A16:B16"/>
    <mergeCell ref="J16:P16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家帅 周</cp:lastModifiedBy>
  <dcterms:created xsi:type="dcterms:W3CDTF">2021-10-29T10:34:58Z</dcterms:created>
  <dcterms:modified xsi:type="dcterms:W3CDTF">2023-09-26T07:42:06Z</dcterms:modified>
</cp:coreProperties>
</file>