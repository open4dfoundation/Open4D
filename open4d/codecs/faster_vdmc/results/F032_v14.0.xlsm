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LPY\vmesh\project\v14.0_integration\results\"/>
    </mc:Choice>
  </mc:AlternateContent>
  <xr:revisionPtr revIDLastSave="0" documentId="13_ncr:1_{1ADEB056-FE14-47C6-9DDD-28136D81F653}" xr6:coauthVersionLast="47" xr6:coauthVersionMax="47" xr10:uidLastSave="{00000000-0000-0000-0000-000000000000}"/>
  <bookViews>
    <workbookView xWindow="3705" yWindow="8550" windowWidth="32610" windowHeight="9810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CONCATENATE(Graphs!graph_a_y_title," (Graph a)")</definedName>
    <definedName name="graph_a_x_range_A" localSheetId="1">IF(ISREF(Graphs!graph_a_x_range_A_),Graphs!graph_a_x_range_A_,{0})</definedName>
    <definedName name="graph_a_x_range_A_" localSheetId="1">INDEX(INDIRECT(VLOOKUP("range."&amp;Graphs!$B$1&amp;"."&amp;Graphs!$B$2,names!$A:$B,2,0)),0,VLOOKUP("col."&amp;Graphs!$B$1&amp;".A."&amp;Graphs!$B$4,names!$A:$B,2,0))</definedName>
    <definedName name="graph_a_x_range_B" localSheetId="1">IF(ISREF(Graphs!graph_a_x_range_B_),Graphs!graph_a_x_range_B_,{0})</definedName>
    <definedName name="graph_a_x_range_B_" localSheetId="1">INDEX(INDIRECT(VLOOKUP("range."&amp;Graphs!$B$1&amp;"."&amp;Graphs!$B$2,names!$A:$B,2,0)),0,VLOOKUP("col."&amp;Graphs!$B$1&amp;".B."&amp;Graphs!$B$4,names!$A:$B,2,0))</definedName>
    <definedName name="graph_a_x_title" localSheetId="1">OFFSET(Graphs!all_cols,MATCH(Graphs!$B$4,Graphs!all_cols,0)-1,1,1,1)</definedName>
    <definedName name="graph_a_y_range_A" localSheetId="1">IF(ISREF(Graphs!graph_a_y_range_A_),Graphs!graph_a_y_range_A_,{0})</definedName>
    <definedName name="graph_a_y_range_A_" localSheetId="1">INDEX(INDIRECT(VLOOKUP("range."&amp;Graphs!$B$1&amp;"."&amp;Graphs!$B$2,names!$A:$B,2,0)),0,VLOOKUP("col."&amp;Graphs!$B$1&amp;".A."&amp;Graphs!$D$4,names!$A:$B,2,0))</definedName>
    <definedName name="graph_a_y_range_B" localSheetId="1">IF(ISREF(Graphs!graph_a_y_range_B_),Graphs!graph_a_y_range_B_,{0})</definedName>
    <definedName name="graph_a_y_range_B_" localSheetId="1">INDEX(INDIRECT(VLOOKUP("range."&amp;Graphs!$B$1&amp;"."&amp;Graphs!$B$2,names!$A:$B,2,0)),0,VLOOKUP("col."&amp;Graphs!$B$1&amp;".B."&amp;Graphs!$D$4,names!$A:$B,2,0))</definedName>
    <definedName name="graph_a_y_title" localSheetId="1">OFFSET(Graphs!all_cols,MATCH(Graphs!$D$4,Graphs!all_cols,0)-1,1,1,1)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CONCATENATE(Graphs!graph_b_y_title," (Graph b)")</definedName>
    <definedName name="graph_b_x_range_A" localSheetId="1">IF(ISREF(Graphs!graph_b_x_range_A_),Graphs!graph_b_x_range_A_,{0})</definedName>
    <definedName name="graph_b_x_range_A_" localSheetId="1">INDEX(INDIRECT(VLOOKUP("range."&amp;Graphs!$B$1&amp;"."&amp;Graphs!$B$2,names!$A:$B,2,0)),0,VLOOKUP("col."&amp;Graphs!$B$1&amp;".A."&amp;Graphs!$B$5,names!$A:$B,2,0))</definedName>
    <definedName name="graph_b_x_range_B" localSheetId="1">IF(ISREF(Graphs!graph_b_x_range_B_),Graphs!graph_b_x_range_B_,{0})</definedName>
    <definedName name="graph_b_x_range_B_" localSheetId="1">INDEX(INDIRECT(VLOOKUP("range."&amp;Graphs!$B$1&amp;"."&amp;Graphs!$B$2,names!$A:$B,2,0)),0,VLOOKUP("col."&amp;Graphs!$B$1&amp;".B."&amp;Graphs!$B$5,names!$A:$B,2,0))</definedName>
    <definedName name="graph_b_x_title" localSheetId="1">OFFSET(Graphs!all_cols,MATCH(Graphs!$B$5,Graphs!all_cols,0)-1,1,1,1)</definedName>
    <definedName name="graph_b_y_range_A" localSheetId="1">IF(ISREF(Graphs!graph_b_y_range_A_),Graphs!graph_b_y_range_A_,{0})</definedName>
    <definedName name="graph_b_y_range_A_" localSheetId="1">INDEX(INDIRECT(VLOOKUP("range."&amp;Graphs!$B$1&amp;"."&amp;Graphs!$B$2,names!$A:$B,2,0)),0,VLOOKUP("col."&amp;Graphs!$B$1&amp;".A."&amp;Graphs!$D$5,names!$A:$B,2,0))</definedName>
    <definedName name="graph_b_y_range_B" localSheetId="1">IF(ISREF(Graphs!graph_b_y_range_B_),Graphs!graph_b_y_range_B_,{0})</definedName>
    <definedName name="graph_b_y_range_B_" localSheetId="1">INDEX(INDIRECT(VLOOKUP("range."&amp;Graphs!$B$1&amp;"."&amp;Graphs!$B$2,names!$A:$B,2,0)),0,VLOOKUP("col."&amp;Graphs!$B$1&amp;".B."&amp;Graphs!$D$5,names!$A:$B,2,0))</definedName>
    <definedName name="graph_b_y_title" localSheetId="1">OFFSET(Graphs!all_cols,MATCH(Graphs!$D$5,Graphs!all_cols,0)-1,1,1,1)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CONCATENATE(Graphs!graph_c_y_title," (Graph c)")</definedName>
    <definedName name="graph_c_x_range_A" localSheetId="1">IF(ISREF(Graphs!graph_c_x_range_A_),Graphs!graph_c_x_range_A_,{0})</definedName>
    <definedName name="graph_c_x_range_A_" localSheetId="1">INDEX(INDIRECT(VLOOKUP("range."&amp;Graphs!$B$1&amp;"."&amp;Graphs!$B$2,names!$A:$B,2,0)),0,VLOOKUP("col."&amp;Graphs!$B$1&amp;".A."&amp;Graphs!$B$6,names!$A:$B,2,0))</definedName>
    <definedName name="graph_c_x_range_B" localSheetId="1">IF(ISREF(Graphs!graph_c_x_range_B_),Graphs!graph_c_x_range_B_,{0})</definedName>
    <definedName name="graph_c_x_range_B_" localSheetId="1">INDEX(INDIRECT(VLOOKUP("range."&amp;Graphs!$B$1&amp;"."&amp;Graphs!$B$2,names!$A:$B,2,0)),0,VLOOKUP("col."&amp;Graphs!$B$1&amp;".B."&amp;Graphs!$B$6,names!$A:$B,2,0))</definedName>
    <definedName name="graph_c_x_title" localSheetId="1">OFFSET(Graphs!all_cols,MATCH(Graphs!$B$6,Graphs!all_cols,0)-1,1,1,1)</definedName>
    <definedName name="graph_c_y_range_A" localSheetId="1">IF(ISREF(Graphs!graph_c_y_range_A_),Graphs!graph_c_y_range_A_,{0})</definedName>
    <definedName name="graph_c_y_range_A_" localSheetId="1">INDEX(INDIRECT(VLOOKUP("range."&amp;Graphs!$B$1&amp;"."&amp;Graphs!$B$2,names!$A:$B,2,0)),0,VLOOKUP("col."&amp;Graphs!$B$1&amp;".A."&amp;Graphs!$D$6,names!$A:$B,2,0))</definedName>
    <definedName name="graph_c_y_range_B" localSheetId="1">IF(ISREF(Graphs!graph_c_y_range_B_),Graphs!graph_c_y_range_B_,{0})</definedName>
    <definedName name="graph_c_y_range_B_" localSheetId="1">INDEX(INDIRECT(VLOOKUP("range."&amp;Graphs!$B$1&amp;"."&amp;Graphs!$B$2,names!$A:$B,2,0)),0,VLOOKUP("col."&amp;Graphs!$B$1&amp;".B."&amp;Graphs!$D$6,names!$A:$B,2,0))</definedName>
    <definedName name="graph_c_y_title" localSheetId="1">OFFSET(Graphs!all_cols,MATCH(Graphs!$D$6,Graphs!all_cols,0)-1,1,1,1)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CONCATENATE(Graphs!graph_d_y_title," (Graph d)")</definedName>
    <definedName name="graph_d_x_range_A" localSheetId="1">IF(ISREF(Graphs!graph_d_x_range_A_),Graphs!graph_d_x_range_A_,{0})</definedName>
    <definedName name="graph_d_x_range_A_" localSheetId="1">INDEX(INDIRECT(VLOOKUP("range."&amp;Graphs!$B$1&amp;"."&amp;Graphs!$B$2,names!$A:$B,2,0)),0,VLOOKUP("col."&amp;Graphs!$B$1&amp;".A."&amp;Graphs!$B$7,names!$A:$B,2,0))</definedName>
    <definedName name="graph_d_x_range_B" localSheetId="1">IF(ISREF(Graphs!graph_d_x_range_B_),Graphs!graph_d_x_range_B_,{0})</definedName>
    <definedName name="graph_d_x_range_B_" localSheetId="1">INDEX(INDIRECT(VLOOKUP("range."&amp;Graphs!$B$1&amp;"."&amp;Graphs!$B$2,names!$A:$B,2,0)),0,VLOOKUP("col."&amp;Graphs!$B$1&amp;".B."&amp;Graphs!$B$7,names!$A:$B,2,0))</definedName>
    <definedName name="graph_d_x_title" localSheetId="1">OFFSET(Graphs!all_cols,MATCH(Graphs!$B$7,Graphs!all_cols,0)-1,1,1,1)</definedName>
    <definedName name="graph_d_y_range_A" localSheetId="1">IF(ISREF(Graphs!graph_d_y_range_A_),Graphs!graph_d_y_range_A_,{0})</definedName>
    <definedName name="graph_d_y_range_A_" localSheetId="1">INDEX(INDIRECT(VLOOKUP("range."&amp;Graphs!$B$1&amp;"."&amp;Graphs!$B$2,names!$A:$B,2,0)),0,VLOOKUP("col."&amp;Graphs!$B$1&amp;".A."&amp;Graphs!$D$7,names!$A:$B,2,0))</definedName>
    <definedName name="graph_d_y_range_B" localSheetId="1">IF(ISREF(Graphs!graph_d_y_range_B_),Graphs!graph_d_y_range_B_,{0})</definedName>
    <definedName name="graph_d_y_range_B_" localSheetId="1">INDEX(INDIRECT(VLOOKUP("range."&amp;Graphs!$B$1&amp;"."&amp;Graphs!$B$2,names!$A:$B,2,0)),0,VLOOKUP("col."&amp;Graphs!$B$1&amp;".B."&amp;Graphs!$D$7,names!$A:$B,2,0))</definedName>
    <definedName name="graph_d_y_title" localSheetId="1">OFFSET(Graphs!all_cols,MATCH(Graphs!$D$7,Graphs!all_cols,0)-1,1,1,1)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CONCATENATE(Graphs!graph_e_y_title," (Graph e)")</definedName>
    <definedName name="graph_e_x_range_A" localSheetId="1">IF(ISREF(Graphs!graph_e_x_range_A_),Graphs!graph_e_x_range_A_,{0})</definedName>
    <definedName name="graph_e_x_range_A_" localSheetId="1">INDEX(INDIRECT(VLOOKUP("range."&amp;Graphs!$B$1&amp;"."&amp;Graphs!$B$2,names!$A:$B,2,0)),0,VLOOKUP("col."&amp;Graphs!$B$1&amp;".A."&amp;Graphs!$B$8,names!$A:$B,2,0))</definedName>
    <definedName name="graph_e_x_range_B" localSheetId="1">IF(ISREF(Graphs!graph_e_x_range_B_),Graphs!graph_e_x_range_B_,{0})</definedName>
    <definedName name="graph_e_x_range_B_" localSheetId="1">INDEX(INDIRECT(VLOOKUP("range."&amp;Graphs!$B$1&amp;"."&amp;Graphs!$B$2,names!$A:$B,2,0)),0,VLOOKUP("col."&amp;Graphs!$B$1&amp;".B."&amp;Graphs!$B$8,names!$A:$B,2,0))</definedName>
    <definedName name="graph_e_x_title" localSheetId="1">OFFSET(Graphs!all_cols,MATCH(Graphs!$B$8,Graphs!all_cols,0)-1,1,1,1)</definedName>
    <definedName name="graph_e_y_range_A" localSheetId="1">IF(ISREF(Graphs!graph_e_y_range_A_),Graphs!graph_e_y_range_A_,{0})</definedName>
    <definedName name="graph_e_y_range_A_" localSheetId="1">INDEX(INDIRECT(VLOOKUP("range."&amp;Graphs!$B$1&amp;"."&amp;Graphs!$B$2,names!$A:$B,2,0)),0,VLOOKUP("col."&amp;Graphs!$B$1&amp;".A."&amp;Graphs!$D$8,names!$A:$B,2,0))</definedName>
    <definedName name="graph_e_y_range_B" localSheetId="1">IF(ISREF(Graphs!graph_e_y_range_B_),Graphs!graph_e_y_range_B_,{0})</definedName>
    <definedName name="graph_e_y_range_B_" localSheetId="1">INDEX(INDIRECT(VLOOKUP("range."&amp;Graphs!$B$1&amp;"."&amp;Graphs!$B$2,names!$A:$B,2,0)),0,VLOOKUP("col."&amp;Graphs!$B$1&amp;".B."&amp;Graphs!$D$8,names!$A:$B,2,0))</definedName>
    <definedName name="graph_e_y_title" localSheetId="1">OFFSET(Graphs!all_cols,MATCH(Graphs!$D$8,Graphs!all_cols,0)-1,1,1,1)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CONCATENATE(Graphs!graph_f_y_title," (Graph f)")</definedName>
    <definedName name="graph_f_x_range_A" localSheetId="1">IF(ISREF(Graphs!graph_f_x_range_A_),Graphs!graph_f_x_range_A_,{0})</definedName>
    <definedName name="graph_f_x_range_A_" localSheetId="1">INDEX(INDIRECT(VLOOKUP("range."&amp;Graphs!$B$1&amp;"."&amp;Graphs!$B$2,names!$A:$B,2,0)),0,VLOOKUP("col."&amp;Graphs!$B$1&amp;".A."&amp;Graphs!$B$9,names!$A:$B,2,0))</definedName>
    <definedName name="graph_f_x_range_B" localSheetId="1">IF(ISREF(Graphs!graph_f_x_range_B_),Graphs!graph_f_x_range_B_,{0})</definedName>
    <definedName name="graph_f_x_range_B_" localSheetId="1">INDEX(INDIRECT(VLOOKUP("range."&amp;Graphs!$B$1&amp;"."&amp;Graphs!$B$2,names!$A:$B,2,0)),0,VLOOKUP("col."&amp;Graphs!$B$1&amp;".B."&amp;Graphs!$B$9,names!$A:$B,2,0))</definedName>
    <definedName name="graph_f_x_title" localSheetId="1">OFFSET(Graphs!all_cols,MATCH(Graphs!$B$9,Graphs!all_cols,0)-1,1,1,1)</definedName>
    <definedName name="graph_f_y_range_A" localSheetId="1">IF(ISREF(Graphs!graph_f_y_range_A_),Graphs!graph_f_y_range_A_,{0})</definedName>
    <definedName name="graph_f_y_range_A_" localSheetId="1">INDEX(INDIRECT(VLOOKUP("range."&amp;Graphs!$B$1&amp;"."&amp;Graphs!$B$2,names!$A:$B,2,0)),0,VLOOKUP("col."&amp;Graphs!$B$1&amp;".A."&amp;Graphs!$D$9,names!$A:$B,2,0))</definedName>
    <definedName name="graph_f_y_range_B" localSheetId="1">IF(ISREF(Graphs!graph_f_y_range_B_),Graphs!graph_f_y_range_B_,{0})</definedName>
    <definedName name="graph_f_y_range_B_" localSheetId="1">INDEX(INDIRECT(VLOOKUP("range."&amp;Graphs!$B$1&amp;"."&amp;Graphs!$B$2,names!$A:$B,2,0)),0,VLOOKUP("col."&amp;Graphs!$B$1&amp;".B."&amp;Graphs!$D$9,names!$A:$B,2,0))</definedName>
    <definedName name="graph_f_y_title" localSheetId="1">OFFSET(Graphs!all_cols,MATCH(Graphs!$D$9,Graphs!all_cols,0)-1,1,1,1)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CONCATENATE(Graphs!graph_g_y_title," (Graph g)")</definedName>
    <definedName name="graph_g_x_range_A" localSheetId="1">IF(ISREF(Graphs!graph_g_x_range_A_),Graphs!graph_g_x_range_A_,{0})</definedName>
    <definedName name="graph_g_x_range_A_" localSheetId="1">INDEX(INDIRECT(VLOOKUP("range."&amp;Graphs!$B$1&amp;"."&amp;Graphs!$B$2,names!$A:$B,2,0)),0,VLOOKUP("col."&amp;Graphs!$B$1&amp;".A."&amp;Graphs!$B$10,names!$A:$B,2,0))</definedName>
    <definedName name="graph_g_x_range_B" localSheetId="1">IF(ISREF(Graphs!graph_g_x_range_B_),Graphs!graph_g_x_range_B_,{0})</definedName>
    <definedName name="graph_g_x_range_B_" localSheetId="1">INDEX(INDIRECT(VLOOKUP("range."&amp;Graphs!$B$1&amp;"."&amp;Graphs!$B$2,names!$A:$B,2,0)),0,VLOOKUP("col."&amp;Graphs!$B$1&amp;".B."&amp;Graphs!$B$10,names!$A:$B,2,0))</definedName>
    <definedName name="graph_g_x_title" localSheetId="1">OFFSET(Graphs!all_cols,MATCH(Graphs!$B$10,Graphs!all_cols,0)-1,1,1,1)</definedName>
    <definedName name="graph_g_y_range_A" localSheetId="1">IF(ISREF(Graphs!graph_g_y_range_A_),Graphs!graph_g_y_range_A_,{0})</definedName>
    <definedName name="graph_g_y_range_A_" localSheetId="1">INDEX(INDIRECT(VLOOKUP("range."&amp;Graphs!$B$1&amp;"."&amp;Graphs!$B$2,names!$A:$B,2,0)),0,VLOOKUP("col."&amp;Graphs!$B$1&amp;".A."&amp;Graphs!$D$10,names!$A:$B,2,0))</definedName>
    <definedName name="graph_g_y_range_B" localSheetId="1">IF(ISREF(Graphs!graph_g_y_range_B_),Graphs!graph_g_y_range_B_,{0})</definedName>
    <definedName name="graph_g_y_range_B_" localSheetId="1">INDEX(INDIRECT(VLOOKUP("range."&amp;Graphs!$B$1&amp;"."&amp;Graphs!$B$2,names!$A:$B,2,0)),0,VLOOKUP("col."&amp;Graphs!$B$1&amp;".B."&amp;Graphs!$D$10,names!$A:$B,2,0))</definedName>
    <definedName name="graph_g_y_title" localSheetId="1">OFFSET(Graphs!all_cols,MATCH(Graphs!$D$10,Graphs!all_cols,0)-1,1,1,1)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" i="6" l="1"/>
  <c r="A19" i="7"/>
  <c r="A18" i="7"/>
  <c r="A17" i="7"/>
  <c r="A16" i="7"/>
  <c r="A15" i="7"/>
  <c r="A14" i="7"/>
  <c r="A13" i="7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F44" i="6"/>
  <c r="AE44" i="6"/>
  <c r="M44" i="6"/>
  <c r="L44" i="6" s="1"/>
  <c r="K44" i="6"/>
  <c r="J44" i="6"/>
  <c r="BT43" i="6"/>
  <c r="BS43" i="6"/>
  <c r="BR43" i="6"/>
  <c r="BQ43" i="6"/>
  <c r="BP43" i="6"/>
  <c r="AH43" i="6"/>
  <c r="AG43" i="6" s="1"/>
  <c r="AF43" i="6"/>
  <c r="AE43" i="6"/>
  <c r="M43" i="6"/>
  <c r="L43" i="6" s="1"/>
  <c r="K43" i="6"/>
  <c r="J43" i="6"/>
  <c r="BT42" i="6"/>
  <c r="BS42" i="6"/>
  <c r="BR42" i="6"/>
  <c r="BQ42" i="6"/>
  <c r="BP42" i="6"/>
  <c r="AH42" i="6"/>
  <c r="AF42" i="6"/>
  <c r="AE42" i="6"/>
  <c r="M42" i="6"/>
  <c r="L42" i="6" s="1"/>
  <c r="K42" i="6"/>
  <c r="J42" i="6"/>
  <c r="BT41" i="6"/>
  <c r="BS41" i="6"/>
  <c r="BR41" i="6"/>
  <c r="BQ41" i="6"/>
  <c r="BP41" i="6"/>
  <c r="AH41" i="6"/>
  <c r="AG41" i="6" s="1"/>
  <c r="AF41" i="6"/>
  <c r="AE41" i="6"/>
  <c r="M41" i="6"/>
  <c r="L41" i="6" s="1"/>
  <c r="K41" i="6"/>
  <c r="J41" i="6"/>
  <c r="BT40" i="6"/>
  <c r="BS40" i="6"/>
  <c r="BR40" i="6"/>
  <c r="BQ40" i="6"/>
  <c r="BP40" i="6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F37" i="6"/>
  <c r="AE37" i="6"/>
  <c r="M37" i="6"/>
  <c r="L37" i="6" s="1"/>
  <c r="K37" i="6"/>
  <c r="J37" i="6"/>
  <c r="BT36" i="6"/>
  <c r="BS36" i="6"/>
  <c r="BR36" i="6"/>
  <c r="BQ36" i="6"/>
  <c r="BP36" i="6"/>
  <c r="AH36" i="6"/>
  <c r="AF36" i="6"/>
  <c r="AE36" i="6"/>
  <c r="M36" i="6"/>
  <c r="L36" i="6" s="1"/>
  <c r="K36" i="6"/>
  <c r="J36" i="6"/>
  <c r="BT35" i="6"/>
  <c r="BS35" i="6"/>
  <c r="BR35" i="6"/>
  <c r="BQ35" i="6"/>
  <c r="BP35" i="6"/>
  <c r="AH35" i="6"/>
  <c r="AF35" i="6"/>
  <c r="AE35" i="6"/>
  <c r="M35" i="6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F33" i="6"/>
  <c r="AE33" i="6"/>
  <c r="M33" i="6"/>
  <c r="L33" i="6" s="1"/>
  <c r="K33" i="6"/>
  <c r="J33" i="6"/>
  <c r="BT32" i="6"/>
  <c r="BS32" i="6"/>
  <c r="BR32" i="6"/>
  <c r="BQ32" i="6"/>
  <c r="BP32" i="6"/>
  <c r="AH32" i="6"/>
  <c r="AF32" i="6"/>
  <c r="AE32" i="6"/>
  <c r="M32" i="6"/>
  <c r="L32" i="6" s="1"/>
  <c r="K32" i="6"/>
  <c r="J32" i="6"/>
  <c r="BT31" i="6"/>
  <c r="BS31" i="6"/>
  <c r="BR31" i="6"/>
  <c r="BQ31" i="6"/>
  <c r="BP31" i="6"/>
  <c r="AH31" i="6"/>
  <c r="AF31" i="6"/>
  <c r="AE31" i="6"/>
  <c r="M31" i="6"/>
  <c r="K31" i="6"/>
  <c r="J31" i="6"/>
  <c r="BT30" i="6"/>
  <c r="BS30" i="6"/>
  <c r="BR30" i="6"/>
  <c r="BQ30" i="6"/>
  <c r="BP30" i="6"/>
  <c r="AH30" i="6"/>
  <c r="AF30" i="6"/>
  <c r="AE30" i="6"/>
  <c r="M30" i="6"/>
  <c r="L30" i="6" s="1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F26" i="6"/>
  <c r="AE26" i="6"/>
  <c r="M26" i="6"/>
  <c r="L26" i="6" s="1"/>
  <c r="K26" i="6"/>
  <c r="J26" i="6"/>
  <c r="BT25" i="6"/>
  <c r="BS25" i="6"/>
  <c r="BR25" i="6"/>
  <c r="BQ25" i="6"/>
  <c r="BP25" i="6"/>
  <c r="AH25" i="6"/>
  <c r="AF25" i="6"/>
  <c r="AE25" i="6"/>
  <c r="M25" i="6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F23" i="6"/>
  <c r="AE23" i="6"/>
  <c r="M23" i="6"/>
  <c r="L23" i="6" s="1"/>
  <c r="K23" i="6"/>
  <c r="J23" i="6"/>
  <c r="BT22" i="6"/>
  <c r="BS22" i="6"/>
  <c r="BR22" i="6"/>
  <c r="BQ22" i="6"/>
  <c r="BP22" i="6"/>
  <c r="AH22" i="6"/>
  <c r="AF22" i="6"/>
  <c r="AE22" i="6"/>
  <c r="M22" i="6"/>
  <c r="L22" i="6" s="1"/>
  <c r="K22" i="6"/>
  <c r="J22" i="6"/>
  <c r="BT21" i="6"/>
  <c r="BS21" i="6"/>
  <c r="BR21" i="6"/>
  <c r="BQ21" i="6"/>
  <c r="BP21" i="6"/>
  <c r="AH21" i="6"/>
  <c r="AF21" i="6"/>
  <c r="AE21" i="6"/>
  <c r="M21" i="6"/>
  <c r="L21" i="6" s="1"/>
  <c r="K21" i="6"/>
  <c r="J21" i="6"/>
  <c r="BT20" i="6"/>
  <c r="BS20" i="6"/>
  <c r="BR20" i="6"/>
  <c r="BQ20" i="6"/>
  <c r="BP20" i="6"/>
  <c r="AH20" i="6"/>
  <c r="AG20" i="6" s="1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 s="1"/>
  <c r="K16" i="6"/>
  <c r="J16" i="6"/>
  <c r="BT15" i="6"/>
  <c r="BS15" i="6"/>
  <c r="BR15" i="6"/>
  <c r="BQ15" i="6"/>
  <c r="BP15" i="6"/>
  <c r="AH15" i="6"/>
  <c r="AG15" i="6" s="1"/>
  <c r="AF15" i="6"/>
  <c r="AE15" i="6"/>
  <c r="M15" i="6"/>
  <c r="L15" i="6" s="1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F9" i="6"/>
  <c r="AE9" i="6"/>
  <c r="M9" i="6"/>
  <c r="L9" i="6" s="1"/>
  <c r="K9" i="6"/>
  <c r="J9" i="6"/>
  <c r="BT8" i="6"/>
  <c r="BS8" i="6"/>
  <c r="BR8" i="6"/>
  <c r="BQ8" i="6"/>
  <c r="BP8" i="6"/>
  <c r="AH8" i="6"/>
  <c r="AF8" i="6"/>
  <c r="AE8" i="6"/>
  <c r="M8" i="6"/>
  <c r="L8" i="6" s="1"/>
  <c r="K8" i="6"/>
  <c r="J8" i="6"/>
  <c r="BT7" i="6"/>
  <c r="BS7" i="6"/>
  <c r="BR7" i="6"/>
  <c r="BQ7" i="6"/>
  <c r="BP7" i="6"/>
  <c r="AH7" i="6"/>
  <c r="AG7" i="6" s="1"/>
  <c r="AF7" i="6"/>
  <c r="AE7" i="6"/>
  <c r="M7" i="6"/>
  <c r="L7" i="6" s="1"/>
  <c r="K7" i="6"/>
  <c r="J7" i="6"/>
  <c r="BT6" i="6"/>
  <c r="BS6" i="6"/>
  <c r="BR6" i="6"/>
  <c r="BQ6" i="6"/>
  <c r="BP6" i="6"/>
  <c r="AH6" i="6"/>
  <c r="AG6" i="6" s="1"/>
  <c r="AF6" i="6"/>
  <c r="AE6" i="6"/>
  <c r="M6" i="6"/>
  <c r="L6" i="6" s="1"/>
  <c r="K6" i="6"/>
  <c r="J6" i="6"/>
  <c r="BT5" i="6"/>
  <c r="BS5" i="6"/>
  <c r="BR5" i="6"/>
  <c r="BQ5" i="6"/>
  <c r="BP5" i="6"/>
  <c r="AH5" i="6"/>
  <c r="AG5" i="6" s="1"/>
  <c r="AF5" i="6"/>
  <c r="AE5" i="6"/>
  <c r="M5" i="6"/>
  <c r="L5" i="6" s="1"/>
  <c r="K5" i="6"/>
  <c r="J5" i="6"/>
  <c r="AE1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V98" i="5"/>
  <c r="AU98" i="5"/>
  <c r="AT98" i="5"/>
  <c r="AS98" i="5"/>
  <c r="AR98" i="5"/>
  <c r="AQ98" i="5"/>
  <c r="AP98" i="5"/>
  <c r="AO98" i="5"/>
  <c r="AN98" i="5"/>
  <c r="AM98" i="5"/>
  <c r="AL98" i="5"/>
  <c r="AK98" i="5"/>
  <c r="AJ98" i="5"/>
  <c r="AI98" i="5"/>
  <c r="AV97" i="5"/>
  <c r="AU97" i="5"/>
  <c r="AT97" i="5"/>
  <c r="AS97" i="5"/>
  <c r="AR97" i="5"/>
  <c r="AQ97" i="5"/>
  <c r="AP97" i="5"/>
  <c r="AO97" i="5"/>
  <c r="AN97" i="5"/>
  <c r="AM97" i="5"/>
  <c r="AL97" i="5"/>
  <c r="AK97" i="5"/>
  <c r="AJ97" i="5"/>
  <c r="AI97" i="5"/>
  <c r="AV96" i="5"/>
  <c r="AU96" i="5"/>
  <c r="AT96" i="5"/>
  <c r="AS96" i="5"/>
  <c r="AR96" i="5"/>
  <c r="AQ96" i="5"/>
  <c r="AP96" i="5"/>
  <c r="AO96" i="5"/>
  <c r="AN96" i="5"/>
  <c r="AM96" i="5"/>
  <c r="AL96" i="5"/>
  <c r="AK96" i="5"/>
  <c r="AJ96" i="5"/>
  <c r="AI96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V94" i="5"/>
  <c r="AU94" i="5"/>
  <c r="AT94" i="5"/>
  <c r="AS94" i="5"/>
  <c r="AR94" i="5"/>
  <c r="AQ94" i="5"/>
  <c r="AP94" i="5"/>
  <c r="AO94" i="5"/>
  <c r="AN94" i="5"/>
  <c r="AM94" i="5"/>
  <c r="AL94" i="5"/>
  <c r="AK94" i="5"/>
  <c r="AJ94" i="5"/>
  <c r="AI94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X55" i="5"/>
  <c r="AW55" i="5"/>
  <c r="AC55" i="5"/>
  <c r="AB55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L48" i="5" s="1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K46" i="5"/>
  <c r="J46" i="5"/>
  <c r="BT45" i="5"/>
  <c r="BS45" i="5"/>
  <c r="BR45" i="5"/>
  <c r="BQ45" i="5"/>
  <c r="BP45" i="5"/>
  <c r="AH45" i="5"/>
  <c r="AG45" i="5" s="1"/>
  <c r="AF45" i="5"/>
  <c r="AE45" i="5"/>
  <c r="M45" i="5"/>
  <c r="L45" i="5" s="1"/>
  <c r="K45" i="5"/>
  <c r="J45" i="5"/>
  <c r="BT44" i="5"/>
  <c r="BS44" i="5"/>
  <c r="BR44" i="5"/>
  <c r="BQ44" i="5"/>
  <c r="BP44" i="5"/>
  <c r="AH44" i="5"/>
  <c r="AG44" i="5" s="1"/>
  <c r="AF44" i="5"/>
  <c r="AE44" i="5"/>
  <c r="M44" i="5"/>
  <c r="K44" i="5"/>
  <c r="J44" i="5"/>
  <c r="BT43" i="5"/>
  <c r="BS43" i="5"/>
  <c r="BR43" i="5"/>
  <c r="BQ43" i="5"/>
  <c r="BP43" i="5"/>
  <c r="AH43" i="5"/>
  <c r="AF43" i="5"/>
  <c r="AE43" i="5"/>
  <c r="M43" i="5"/>
  <c r="L43" i="5" s="1"/>
  <c r="K43" i="5"/>
  <c r="J43" i="5"/>
  <c r="BT42" i="5"/>
  <c r="BS42" i="5"/>
  <c r="BR42" i="5"/>
  <c r="BQ42" i="5"/>
  <c r="BP42" i="5"/>
  <c r="AH42" i="5"/>
  <c r="AF42" i="5"/>
  <c r="AE42" i="5"/>
  <c r="M42" i="5"/>
  <c r="L42" i="5" s="1"/>
  <c r="K42" i="5"/>
  <c r="J42" i="5"/>
  <c r="BT41" i="5"/>
  <c r="BS41" i="5"/>
  <c r="BR41" i="5"/>
  <c r="BQ41" i="5"/>
  <c r="BP41" i="5"/>
  <c r="AH41" i="5"/>
  <c r="AF41" i="5"/>
  <c r="AE41" i="5"/>
  <c r="M41" i="5"/>
  <c r="L41" i="5" s="1"/>
  <c r="K41" i="5"/>
  <c r="J41" i="5"/>
  <c r="BT40" i="5"/>
  <c r="BS40" i="5"/>
  <c r="BR40" i="5"/>
  <c r="BQ40" i="5"/>
  <c r="BP40" i="5"/>
  <c r="AH40" i="5"/>
  <c r="AF40" i="5"/>
  <c r="AE40" i="5"/>
  <c r="M40" i="5"/>
  <c r="L40" i="5" s="1"/>
  <c r="K40" i="5"/>
  <c r="J40" i="5"/>
  <c r="BT39" i="5"/>
  <c r="BS39" i="5"/>
  <c r="BR39" i="5"/>
  <c r="BQ39" i="5"/>
  <c r="BP39" i="5"/>
  <c r="AH39" i="5"/>
  <c r="AF39" i="5"/>
  <c r="AE39" i="5"/>
  <c r="M39" i="5"/>
  <c r="L39" i="5" s="1"/>
  <c r="K39" i="5"/>
  <c r="J39" i="5"/>
  <c r="BT38" i="5"/>
  <c r="BS38" i="5"/>
  <c r="BR38" i="5"/>
  <c r="BQ38" i="5"/>
  <c r="BP38" i="5"/>
  <c r="AH38" i="5"/>
  <c r="AF38" i="5"/>
  <c r="AE38" i="5"/>
  <c r="M38" i="5"/>
  <c r="L38" i="5" s="1"/>
  <c r="K38" i="5"/>
  <c r="J38" i="5"/>
  <c r="BT37" i="5"/>
  <c r="BS37" i="5"/>
  <c r="BR37" i="5"/>
  <c r="BQ37" i="5"/>
  <c r="BP37" i="5"/>
  <c r="AH37" i="5"/>
  <c r="AF37" i="5"/>
  <c r="AE37" i="5"/>
  <c r="M37" i="5"/>
  <c r="L37" i="5" s="1"/>
  <c r="K37" i="5"/>
  <c r="J37" i="5"/>
  <c r="BT36" i="5"/>
  <c r="BS36" i="5"/>
  <c r="BR36" i="5"/>
  <c r="BQ36" i="5"/>
  <c r="BP36" i="5"/>
  <c r="AH36" i="5"/>
  <c r="AG36" i="5" s="1"/>
  <c r="AF36" i="5"/>
  <c r="AE36" i="5"/>
  <c r="M36" i="5"/>
  <c r="L36" i="5" s="1"/>
  <c r="K36" i="5"/>
  <c r="J36" i="5"/>
  <c r="BT35" i="5"/>
  <c r="BS35" i="5"/>
  <c r="BR35" i="5"/>
  <c r="BQ35" i="5"/>
  <c r="BP35" i="5"/>
  <c r="AH35" i="5"/>
  <c r="AF35" i="5"/>
  <c r="AE35" i="5"/>
  <c r="M35" i="5"/>
  <c r="K35" i="5"/>
  <c r="J35" i="5"/>
  <c r="BT34" i="5"/>
  <c r="BS34" i="5"/>
  <c r="BR34" i="5"/>
  <c r="BQ34" i="5"/>
  <c r="BP34" i="5"/>
  <c r="AH34" i="5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AH30" i="5"/>
  <c r="AF30" i="5"/>
  <c r="AE30" i="5"/>
  <c r="M30" i="5"/>
  <c r="K30" i="5"/>
  <c r="J30" i="5"/>
  <c r="BT29" i="5"/>
  <c r="BS29" i="5"/>
  <c r="BR29" i="5"/>
  <c r="BQ29" i="5"/>
  <c r="BP29" i="5"/>
  <c r="AH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G28" i="5" s="1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G23" i="5" s="1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F21" i="5"/>
  <c r="AE21" i="5"/>
  <c r="M21" i="5"/>
  <c r="L21" i="5" s="1"/>
  <c r="K21" i="5"/>
  <c r="J21" i="5"/>
  <c r="BT20" i="5"/>
  <c r="BS20" i="5"/>
  <c r="BR20" i="5"/>
  <c r="BQ20" i="5"/>
  <c r="BP20" i="5"/>
  <c r="AH20" i="5"/>
  <c r="AG20" i="5" s="1"/>
  <c r="AF20" i="5"/>
  <c r="AE20" i="5"/>
  <c r="M20" i="5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G18" i="5" s="1"/>
  <c r="AF18" i="5"/>
  <c r="AE18" i="5"/>
  <c r="M18" i="5"/>
  <c r="L18" i="5" s="1"/>
  <c r="K18" i="5"/>
  <c r="J18" i="5"/>
  <c r="BT17" i="5"/>
  <c r="BS17" i="5"/>
  <c r="BR17" i="5"/>
  <c r="BQ17" i="5"/>
  <c r="BP17" i="5"/>
  <c r="AH17" i="5"/>
  <c r="AF17" i="5"/>
  <c r="AE17" i="5"/>
  <c r="M17" i="5"/>
  <c r="L17" i="5" s="1"/>
  <c r="K17" i="5"/>
  <c r="J17" i="5"/>
  <c r="BT16" i="5"/>
  <c r="BS16" i="5"/>
  <c r="BR16" i="5"/>
  <c r="BQ16" i="5"/>
  <c r="BP16" i="5"/>
  <c r="AH16" i="5"/>
  <c r="AF16" i="5"/>
  <c r="AE16" i="5"/>
  <c r="M16" i="5"/>
  <c r="L16" i="5" s="1"/>
  <c r="K16" i="5"/>
  <c r="J16" i="5"/>
  <c r="BT15" i="5"/>
  <c r="BS15" i="5"/>
  <c r="BR15" i="5"/>
  <c r="BQ15" i="5"/>
  <c r="BP15" i="5"/>
  <c r="AH15" i="5"/>
  <c r="AG15" i="5" s="1"/>
  <c r="AF15" i="5"/>
  <c r="AE15" i="5"/>
  <c r="M15" i="5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E13" i="5"/>
  <c r="M13" i="5"/>
  <c r="L13" i="5" s="1"/>
  <c r="K13" i="5"/>
  <c r="J13" i="5"/>
  <c r="BT12" i="5"/>
  <c r="BS12" i="5"/>
  <c r="BR12" i="5"/>
  <c r="BQ12" i="5"/>
  <c r="BP12" i="5"/>
  <c r="AH12" i="5"/>
  <c r="AF12" i="5"/>
  <c r="AE12" i="5"/>
  <c r="M12" i="5"/>
  <c r="L12" i="5" s="1"/>
  <c r="K12" i="5"/>
  <c r="J12" i="5"/>
  <c r="BT11" i="5"/>
  <c r="BS11" i="5"/>
  <c r="BR11" i="5"/>
  <c r="BQ11" i="5"/>
  <c r="BP11" i="5"/>
  <c r="AH11" i="5"/>
  <c r="AF11" i="5"/>
  <c r="AE11" i="5"/>
  <c r="M11" i="5"/>
  <c r="L11" i="5" s="1"/>
  <c r="K11" i="5"/>
  <c r="J11" i="5"/>
  <c r="BT10" i="5"/>
  <c r="BS10" i="5"/>
  <c r="BR10" i="5"/>
  <c r="BQ10" i="5"/>
  <c r="BP10" i="5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F8" i="5"/>
  <c r="AE8" i="5"/>
  <c r="M8" i="5"/>
  <c r="L8" i="5" s="1"/>
  <c r="K8" i="5"/>
  <c r="J8" i="5"/>
  <c r="BT7" i="5"/>
  <c r="BS7" i="5"/>
  <c r="BR7" i="5"/>
  <c r="BQ7" i="5"/>
  <c r="BP7" i="5"/>
  <c r="AH7" i="5"/>
  <c r="AF7" i="5"/>
  <c r="AE7" i="5"/>
  <c r="M7" i="5"/>
  <c r="L7" i="5" s="1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H5" i="5"/>
  <c r="AF5" i="5"/>
  <c r="AE5" i="5"/>
  <c r="M5" i="5"/>
  <c r="L5" i="5" s="1"/>
  <c r="K5" i="5"/>
  <c r="J5" i="5"/>
  <c r="AE1" i="5"/>
  <c r="J1" i="5"/>
  <c r="R29" i="3"/>
  <c r="Q29" i="3"/>
  <c r="R28" i="3"/>
  <c r="Q28" i="3"/>
  <c r="R27" i="3"/>
  <c r="Q27" i="3"/>
  <c r="R26" i="3"/>
  <c r="Q26" i="3"/>
  <c r="R25" i="3"/>
  <c r="Q25" i="3"/>
  <c r="R24" i="3"/>
  <c r="Q24" i="3"/>
  <c r="R23" i="3"/>
  <c r="Q23" i="3"/>
  <c r="R22" i="3"/>
  <c r="Q22" i="3"/>
  <c r="T19" i="3"/>
  <c r="T20" i="3" s="1"/>
  <c r="C15" i="1" s="1"/>
  <c r="S19" i="3"/>
  <c r="S20" i="3" s="1"/>
  <c r="C14" i="1" s="1"/>
  <c r="M19" i="3"/>
  <c r="L19" i="3"/>
  <c r="X13" i="3"/>
  <c r="P13" i="3"/>
  <c r="P17" i="3" s="1"/>
  <c r="O13" i="3"/>
  <c r="I13" i="3"/>
  <c r="I17" i="3" s="1"/>
  <c r="H13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I36" i="1"/>
  <c r="H36" i="1"/>
  <c r="G36" i="1"/>
  <c r="F36" i="1"/>
  <c r="E36" i="1"/>
  <c r="D36" i="1"/>
  <c r="C36" i="1"/>
  <c r="BK5" i="6" a="1"/>
  <c r="BJ20" i="6" a="1"/>
  <c r="BN25" i="6" a="1"/>
  <c r="BN15" i="6" a="1"/>
  <c r="BL15" i="6" a="1"/>
  <c r="BL25" i="6" a="1"/>
  <c r="BJ15" i="6" a="1"/>
  <c r="BM15" i="5" a="1"/>
  <c r="BK45" i="5" a="1"/>
  <c r="BL10" i="5" a="1"/>
  <c r="BJ10" i="5" a="1"/>
  <c r="BN20" i="5" a="1"/>
  <c r="BK25" i="6" a="1"/>
  <c r="BN40" i="5" a="1"/>
  <c r="BL25" i="5" a="1"/>
  <c r="BL45" i="5" a="1"/>
  <c r="BN35" i="6" a="1"/>
  <c r="BL20" i="5" a="1"/>
  <c r="BJ25" i="6" a="1"/>
  <c r="BL35" i="5" a="1"/>
  <c r="BK30" i="6" a="1"/>
  <c r="BL5" i="5" a="1"/>
  <c r="BK40" i="5" a="1"/>
  <c r="BN15" i="5" a="1"/>
  <c r="BN25" i="5" a="1"/>
  <c r="BK10" i="5" a="1"/>
  <c r="BJ35" i="5" a="1"/>
  <c r="BK10" i="6" a="1"/>
  <c r="BL15" i="5" a="1"/>
  <c r="BJ35" i="6" a="1"/>
  <c r="BK20" i="5" a="1"/>
  <c r="BK35" i="5" a="1"/>
  <c r="BK35" i="6" a="1"/>
  <c r="BJ5" i="5" a="1"/>
  <c r="BN30" i="5" a="1"/>
  <c r="BK30" i="5" a="1"/>
  <c r="BN10" i="6" a="1"/>
  <c r="BJ45" i="5" a="1"/>
  <c r="BN20" i="6" a="1"/>
  <c r="BN5" i="5" a="1"/>
  <c r="BJ30" i="6" a="1"/>
  <c r="BL5" i="6" a="1"/>
  <c r="BK25" i="5" a="1"/>
  <c r="BL40" i="5" a="1"/>
  <c r="BN35" i="5" a="1"/>
  <c r="BJ40" i="6" a="1"/>
  <c r="BK15" i="5" a="1"/>
  <c r="BN10" i="5" a="1"/>
  <c r="BL35" i="6" a="1"/>
  <c r="BL30" i="6" a="1"/>
  <c r="BJ10" i="6" a="1"/>
  <c r="BJ20" i="5" a="1"/>
  <c r="BJ40" i="5" a="1"/>
  <c r="BK5" i="5" a="1"/>
  <c r="BN40" i="6" a="1"/>
  <c r="BK20" i="6" a="1"/>
  <c r="BN30" i="6" a="1"/>
  <c r="BL30" i="5" a="1"/>
  <c r="BK15" i="6" a="1"/>
  <c r="BJ5" i="6" a="1"/>
  <c r="BL10" i="6" a="1"/>
  <c r="BN5" i="6" a="1"/>
  <c r="BL40" i="6" a="1"/>
  <c r="BJ15" i="5" a="1"/>
  <c r="BJ30" i="5" a="1"/>
  <c r="BK40" i="6" a="1"/>
  <c r="BL20" i="6" a="1"/>
  <c r="BN45" i="5" a="1"/>
  <c r="BJ25" i="5" a="1"/>
  <c r="AH89" i="6" l="1"/>
  <c r="AH71" i="6"/>
  <c r="AX50" i="6"/>
  <c r="C39" i="1" s="1"/>
  <c r="J19" i="7" s="1"/>
  <c r="AH89" i="5"/>
  <c r="AH96" i="5"/>
  <c r="AH73" i="6"/>
  <c r="AH58" i="6"/>
  <c r="AG90" i="6"/>
  <c r="AH91" i="6"/>
  <c r="AG68" i="6"/>
  <c r="AH79" i="6"/>
  <c r="AH87" i="6"/>
  <c r="AH60" i="6"/>
  <c r="AH77" i="6"/>
  <c r="AH75" i="6"/>
  <c r="AW50" i="6"/>
  <c r="C38" i="1" s="1"/>
  <c r="J18" i="7" s="1"/>
  <c r="AH93" i="5"/>
  <c r="AH94" i="5"/>
  <c r="AH90" i="5"/>
  <c r="AG91" i="5"/>
  <c r="AH87" i="5"/>
  <c r="V6" i="3"/>
  <c r="V11" i="3"/>
  <c r="AG68" i="5"/>
  <c r="AG88" i="5"/>
  <c r="AH60" i="5"/>
  <c r="AH67" i="5"/>
  <c r="AH77" i="5"/>
  <c r="X15" i="3"/>
  <c r="AG22" i="6"/>
  <c r="AG71" i="6" s="1"/>
  <c r="AG24" i="6"/>
  <c r="AG73" i="6" s="1"/>
  <c r="AH85" i="6"/>
  <c r="AG63" i="6"/>
  <c r="AH83" i="6"/>
  <c r="AH81" i="6"/>
  <c r="AG92" i="6"/>
  <c r="AH93" i="6"/>
  <c r="K51" i="5"/>
  <c r="K52" i="5"/>
  <c r="AH65" i="5"/>
  <c r="AH85" i="5"/>
  <c r="AH63" i="5"/>
  <c r="AG100" i="5"/>
  <c r="AW56" i="5"/>
  <c r="C25" i="1" s="1"/>
  <c r="C18" i="7" s="1"/>
  <c r="AH62" i="5"/>
  <c r="AH72" i="5"/>
  <c r="AH82" i="5"/>
  <c r="K53" i="5"/>
  <c r="P14" i="3"/>
  <c r="I15" i="3"/>
  <c r="I16" i="3"/>
  <c r="V10" i="3"/>
  <c r="V8" i="3"/>
  <c r="I14" i="3"/>
  <c r="AG27" i="5"/>
  <c r="AG82" i="5" s="1"/>
  <c r="AG30" i="5"/>
  <c r="BP47" i="6"/>
  <c r="AG36" i="6"/>
  <c r="AG85" i="6" s="1"/>
  <c r="AG38" i="6"/>
  <c r="AG87" i="6" s="1"/>
  <c r="AG40" i="6"/>
  <c r="AG89" i="6" s="1"/>
  <c r="AG42" i="6"/>
  <c r="AG91" i="6" s="1"/>
  <c r="AG44" i="6"/>
  <c r="AG93" i="6" s="1"/>
  <c r="BK20" i="6"/>
  <c r="BK40" i="6"/>
  <c r="BL20" i="6"/>
  <c r="BK35" i="6"/>
  <c r="BJ5" i="6"/>
  <c r="BL10" i="6"/>
  <c r="BN15" i="6"/>
  <c r="BN20" i="6"/>
  <c r="BJ25" i="6"/>
  <c r="BJ30" i="6"/>
  <c r="BL35" i="6"/>
  <c r="BL40" i="6"/>
  <c r="BK10" i="6"/>
  <c r="BK5" i="6"/>
  <c r="BN10" i="6"/>
  <c r="BK25" i="6"/>
  <c r="BN35" i="6"/>
  <c r="BN40" i="6"/>
  <c r="BJ10" i="6"/>
  <c r="BN30" i="6"/>
  <c r="BL5" i="6"/>
  <c r="BL25" i="6"/>
  <c r="BK30" i="6"/>
  <c r="BK15" i="6"/>
  <c r="BJ35" i="6"/>
  <c r="BL15" i="6"/>
  <c r="BN5" i="6"/>
  <c r="BJ15" i="6"/>
  <c r="BJ20" i="6"/>
  <c r="BN25" i="6"/>
  <c r="BL30" i="6"/>
  <c r="BJ40" i="6"/>
  <c r="AF46" i="6"/>
  <c r="BS47" i="6"/>
  <c r="BT47" i="6"/>
  <c r="BR46" i="6"/>
  <c r="AG26" i="6"/>
  <c r="AG75" i="6" s="1"/>
  <c r="AG28" i="6"/>
  <c r="AG77" i="6" s="1"/>
  <c r="AG30" i="6"/>
  <c r="AG32" i="6"/>
  <c r="AG81" i="6" s="1"/>
  <c r="AG34" i="6"/>
  <c r="AG83" i="6" s="1"/>
  <c r="BQ52" i="5"/>
  <c r="AG39" i="5"/>
  <c r="AG94" i="5" s="1"/>
  <c r="AG41" i="5"/>
  <c r="AG96" i="5" s="1"/>
  <c r="BK5" i="5"/>
  <c r="BL10" i="5"/>
  <c r="BL20" i="5"/>
  <c r="BN25" i="5"/>
  <c r="BJ35" i="5"/>
  <c r="BN40" i="5"/>
  <c r="BL5" i="5"/>
  <c r="BJ15" i="5"/>
  <c r="BJ30" i="5"/>
  <c r="BK35" i="5"/>
  <c r="BJ40" i="5"/>
  <c r="BN30" i="5"/>
  <c r="BJ10" i="5"/>
  <c r="BN10" i="5"/>
  <c r="BM15" i="5"/>
  <c r="BK15" i="5"/>
  <c r="BN20" i="5"/>
  <c r="BJ25" i="5"/>
  <c r="BK30" i="5"/>
  <c r="BL35" i="5"/>
  <c r="BJ5" i="5"/>
  <c r="BK20" i="5"/>
  <c r="BN5" i="5"/>
  <c r="BL15" i="5"/>
  <c r="BK25" i="5"/>
  <c r="BL30" i="5"/>
  <c r="BK40" i="5"/>
  <c r="BK10" i="5"/>
  <c r="BN15" i="5"/>
  <c r="BJ20" i="5"/>
  <c r="BL25" i="5"/>
  <c r="BN35" i="5"/>
  <c r="BL40" i="5"/>
  <c r="BQ51" i="5"/>
  <c r="BP52" i="5"/>
  <c r="AH88" i="5"/>
  <c r="AH91" i="5"/>
  <c r="AH99" i="5"/>
  <c r="AG35" i="5"/>
  <c r="AG38" i="5"/>
  <c r="AG93" i="5" s="1"/>
  <c r="BR53" i="5"/>
  <c r="AF53" i="5"/>
  <c r="BT53" i="5"/>
  <c r="BQ54" i="5"/>
  <c r="BN45" i="5"/>
  <c r="BN53" i="5" s="1"/>
  <c r="BJ45" i="5"/>
  <c r="BJ53" i="5" s="1"/>
  <c r="BK45" i="5"/>
  <c r="BK53" i="5" s="1"/>
  <c r="BL45" i="5"/>
  <c r="BL53" i="5" s="1"/>
  <c r="BQ53" i="5"/>
  <c r="AG104" i="5"/>
  <c r="BP53" i="5"/>
  <c r="BS53" i="5"/>
  <c r="AX56" i="5"/>
  <c r="C26" i="1" s="1"/>
  <c r="C19" i="7" s="1"/>
  <c r="P15" i="3"/>
  <c r="X18" i="3"/>
  <c r="X17" i="3"/>
  <c r="X14" i="3"/>
  <c r="P16" i="3"/>
  <c r="X16" i="3"/>
  <c r="V12" i="3"/>
  <c r="P18" i="3"/>
  <c r="V17" i="3"/>
  <c r="AG61" i="5"/>
  <c r="AH81" i="5"/>
  <c r="AG26" i="5"/>
  <c r="AG81" i="5" s="1"/>
  <c r="AG83" i="5"/>
  <c r="V5" i="3"/>
  <c r="V7" i="3"/>
  <c r="V9" i="3"/>
  <c r="V13" i="3"/>
  <c r="I18" i="3"/>
  <c r="BR54" i="5"/>
  <c r="BR50" i="5"/>
  <c r="AG64" i="5"/>
  <c r="L20" i="5"/>
  <c r="AG75" i="5" s="1"/>
  <c r="AG21" i="5"/>
  <c r="AG76" i="5" s="1"/>
  <c r="AH76" i="5"/>
  <c r="AG78" i="5"/>
  <c r="L30" i="5"/>
  <c r="L35" i="5"/>
  <c r="AH103" i="5"/>
  <c r="BS54" i="5"/>
  <c r="BS50" i="5"/>
  <c r="AH64" i="5"/>
  <c r="AG10" i="5"/>
  <c r="AG65" i="5" s="1"/>
  <c r="AH69" i="5"/>
  <c r="AG14" i="5"/>
  <c r="AG69" i="5" s="1"/>
  <c r="AH70" i="5"/>
  <c r="BS51" i="5"/>
  <c r="AH78" i="5"/>
  <c r="AH79" i="5"/>
  <c r="AG24" i="5"/>
  <c r="AG79" i="5" s="1"/>
  <c r="AH80" i="5"/>
  <c r="BS52" i="5"/>
  <c r="BT54" i="5"/>
  <c r="BT51" i="5"/>
  <c r="AG17" i="5"/>
  <c r="AG72" i="5" s="1"/>
  <c r="BT52" i="5"/>
  <c r="AG32" i="5"/>
  <c r="AG87" i="5" s="1"/>
  <c r="L46" i="5"/>
  <c r="AG101" i="5" s="1"/>
  <c r="BT50" i="5"/>
  <c r="L15" i="5"/>
  <c r="AG73" i="5"/>
  <c r="L25" i="5"/>
  <c r="AG5" i="5"/>
  <c r="AG60" i="5" s="1"/>
  <c r="BP54" i="5"/>
  <c r="BP50" i="5"/>
  <c r="AH61" i="5"/>
  <c r="AG7" i="5"/>
  <c r="AG62" i="5" s="1"/>
  <c r="BP51" i="5"/>
  <c r="AH73" i="5"/>
  <c r="AH74" i="5"/>
  <c r="AG19" i="5"/>
  <c r="AG74" i="5" s="1"/>
  <c r="AH75" i="5"/>
  <c r="AH84" i="5"/>
  <c r="AG29" i="5"/>
  <c r="AG84" i="5" s="1"/>
  <c r="AH98" i="5"/>
  <c r="AG43" i="5"/>
  <c r="AG98" i="5" s="1"/>
  <c r="BS48" i="6"/>
  <c r="BS45" i="6"/>
  <c r="AF54" i="5"/>
  <c r="AF50" i="5"/>
  <c r="AH71" i="5"/>
  <c r="AG16" i="5"/>
  <c r="AG71" i="5" s="1"/>
  <c r="AH86" i="5"/>
  <c r="AG31" i="5"/>
  <c r="AG86" i="5" s="1"/>
  <c r="K54" i="5"/>
  <c r="K50" i="5"/>
  <c r="BQ50" i="5"/>
  <c r="AG8" i="5"/>
  <c r="AG63" i="5" s="1"/>
  <c r="AH66" i="5"/>
  <c r="AG11" i="5"/>
  <c r="AG66" i="5" s="1"/>
  <c r="AG12" i="5"/>
  <c r="AG67" i="5" s="1"/>
  <c r="AF51" i="5"/>
  <c r="AG22" i="5"/>
  <c r="AG77" i="5" s="1"/>
  <c r="AF52" i="5"/>
  <c r="AG42" i="5"/>
  <c r="AG97" i="5" s="1"/>
  <c r="AH97" i="5"/>
  <c r="AG103" i="5"/>
  <c r="AH68" i="5"/>
  <c r="AG34" i="5"/>
  <c r="AG89" i="5" s="1"/>
  <c r="AH92" i="5"/>
  <c r="AG37" i="5"/>
  <c r="AG92" i="5" s="1"/>
  <c r="L44" i="5"/>
  <c r="AG99" i="5" s="1"/>
  <c r="AH55" i="6"/>
  <c r="AG56" i="6"/>
  <c r="AG9" i="6"/>
  <c r="AG58" i="6" s="1"/>
  <c r="BS46" i="6"/>
  <c r="AH95" i="5"/>
  <c r="AG40" i="5"/>
  <c r="AG95" i="5" s="1"/>
  <c r="BP45" i="6"/>
  <c r="BP48" i="6"/>
  <c r="AH57" i="6"/>
  <c r="AG8" i="6"/>
  <c r="AG65" i="6"/>
  <c r="L25" i="6"/>
  <c r="AH101" i="5"/>
  <c r="AG102" i="5"/>
  <c r="AF48" i="6"/>
  <c r="AF45" i="6"/>
  <c r="AH65" i="6"/>
  <c r="AG66" i="6"/>
  <c r="BR51" i="5"/>
  <c r="BR52" i="5"/>
  <c r="AH83" i="5"/>
  <c r="AH104" i="5"/>
  <c r="AH100" i="5"/>
  <c r="AH102" i="5"/>
  <c r="AG54" i="6"/>
  <c r="BR45" i="6"/>
  <c r="BR48" i="6"/>
  <c r="L10" i="6"/>
  <c r="AG11" i="6"/>
  <c r="AG60" i="6" s="1"/>
  <c r="BP46" i="6"/>
  <c r="AH67" i="6"/>
  <c r="AG18" i="6"/>
  <c r="AG67" i="6" s="1"/>
  <c r="AH68" i="6"/>
  <c r="AG69" i="6"/>
  <c r="AG61" i="6"/>
  <c r="AH70" i="6"/>
  <c r="AG21" i="6"/>
  <c r="AG23" i="6"/>
  <c r="AG72" i="6" s="1"/>
  <c r="AH72" i="6"/>
  <c r="AG25" i="6"/>
  <c r="AH74" i="6"/>
  <c r="AG37" i="6"/>
  <c r="AG86" i="6" s="1"/>
  <c r="AH86" i="6"/>
  <c r="AG55" i="6"/>
  <c r="AH62" i="6"/>
  <c r="AG13" i="6"/>
  <c r="AG62" i="6" s="1"/>
  <c r="AH63" i="6"/>
  <c r="AG64" i="6"/>
  <c r="BQ47" i="6"/>
  <c r="BT48" i="6"/>
  <c r="BT45" i="6"/>
  <c r="AH59" i="6"/>
  <c r="AH61" i="6"/>
  <c r="BT46" i="6"/>
  <c r="AH69" i="6"/>
  <c r="AF47" i="6"/>
  <c r="BR47" i="6"/>
  <c r="L31" i="6"/>
  <c r="L35" i="6"/>
  <c r="K45" i="6"/>
  <c r="K48" i="6"/>
  <c r="AH54" i="6"/>
  <c r="BQ45" i="6"/>
  <c r="BQ48" i="6"/>
  <c r="AH56" i="6"/>
  <c r="K46" i="6"/>
  <c r="AH64" i="6"/>
  <c r="BQ46" i="6"/>
  <c r="AH66" i="6"/>
  <c r="K47" i="6"/>
  <c r="AG27" i="6"/>
  <c r="AG76" i="6" s="1"/>
  <c r="AH76" i="6"/>
  <c r="AG29" i="6"/>
  <c r="AG78" i="6" s="1"/>
  <c r="AH78" i="6"/>
  <c r="AH80" i="6"/>
  <c r="AG31" i="6"/>
  <c r="AH82" i="6"/>
  <c r="AG33" i="6"/>
  <c r="AG82" i="6" s="1"/>
  <c r="AG35" i="6"/>
  <c r="AH84" i="6"/>
  <c r="AH88" i="6"/>
  <c r="AH90" i="6"/>
  <c r="AG39" i="6"/>
  <c r="AG88" i="6" s="1"/>
  <c r="AH92" i="6"/>
  <c r="BI25" i="5" a="1"/>
  <c r="BM10" i="5" a="1"/>
  <c r="BH15" i="5" a="1"/>
  <c r="BI20" i="6" a="1"/>
  <c r="AZ5" i="6" a="1"/>
  <c r="BM20" i="6" a="1"/>
  <c r="BM30" i="6" a="1"/>
  <c r="BM5" i="5" a="1"/>
  <c r="BB45" i="5" a="1"/>
  <c r="BH15" i="6" a="1"/>
  <c r="BM25" i="6" a="1"/>
  <c r="BH30" i="5" a="1"/>
  <c r="AZ45" i="5" a="1"/>
  <c r="BM40" i="6" a="1"/>
  <c r="BH25" i="5" a="1"/>
  <c r="BH5" i="6" a="1"/>
  <c r="BM25" i="5" a="1"/>
  <c r="BF45" i="5" a="1"/>
  <c r="BH35" i="5" a="1"/>
  <c r="BM20" i="5" a="1"/>
  <c r="BI30" i="6" a="1"/>
  <c r="BI20" i="5" a="1"/>
  <c r="BM5" i="6" a="1"/>
  <c r="BD30" i="6" a="1"/>
  <c r="BM40" i="5" a="1"/>
  <c r="BI5" i="6" a="1"/>
  <c r="BH20" i="5" a="1"/>
  <c r="BM15" i="6" a="1"/>
  <c r="BE45" i="5" a="1"/>
  <c r="BM45" i="5" a="1"/>
  <c r="BM35" i="5" a="1"/>
  <c r="BH40" i="6" a="1"/>
  <c r="BM30" i="5" a="1"/>
  <c r="BM35" i="6" a="1"/>
  <c r="BI35" i="5" a="1"/>
  <c r="BH5" i="5" a="1"/>
  <c r="BI40" i="5" a="1"/>
  <c r="BA45" i="5" a="1"/>
  <c r="BI10" i="5" a="1"/>
  <c r="BI35" i="6" a="1"/>
  <c r="BH10" i="5" a="1"/>
  <c r="BH30" i="6" a="1"/>
  <c r="BC45" i="5" a="1"/>
  <c r="BD45" i="5" a="1"/>
  <c r="BH35" i="6" a="1"/>
  <c r="BH45" i="5" a="1"/>
  <c r="BM10" i="6" a="1"/>
  <c r="BI45" i="5" a="1"/>
  <c r="BI15" i="5" a="1"/>
  <c r="BI25" i="6" a="1"/>
  <c r="BH25" i="6" a="1"/>
  <c r="BI10" i="6" a="1"/>
  <c r="BH20" i="6" a="1"/>
  <c r="BH10" i="6" a="1"/>
  <c r="BI5" i="5" a="1"/>
  <c r="BI15" i="6" a="1"/>
  <c r="BH40" i="5" a="1"/>
  <c r="BI30" i="5" a="1"/>
  <c r="BI40" i="6" a="1"/>
  <c r="BI10" i="6" l="1"/>
  <c r="BI10" i="5"/>
  <c r="BH5" i="5"/>
  <c r="BM25" i="5"/>
  <c r="AG85" i="5"/>
  <c r="AG80" i="6"/>
  <c r="BK46" i="6"/>
  <c r="BM40" i="6"/>
  <c r="V14" i="3"/>
  <c r="C9" i="1" s="1"/>
  <c r="V15" i="3"/>
  <c r="C10" i="1" s="1"/>
  <c r="V16" i="3"/>
  <c r="C11" i="1" s="1"/>
  <c r="BN47" i="6"/>
  <c r="BN46" i="6"/>
  <c r="BN45" i="6"/>
  <c r="AG84" i="6"/>
  <c r="AG74" i="6"/>
  <c r="AG90" i="5"/>
  <c r="V18" i="3"/>
  <c r="C12" i="1" s="1"/>
  <c r="BK47" i="6"/>
  <c r="BK45" i="6"/>
  <c r="BJ46" i="6"/>
  <c r="BL50" i="5"/>
  <c r="BK50" i="5"/>
  <c r="BN50" i="5"/>
  <c r="BL47" i="6"/>
  <c r="BJ48" i="6"/>
  <c r="BL52" i="5"/>
  <c r="BJ45" i="6"/>
  <c r="BK48" i="6"/>
  <c r="BL48" i="6"/>
  <c r="BD30" i="6"/>
  <c r="N9" i="7" s="1"/>
  <c r="BM35" i="6"/>
  <c r="BM10" i="6"/>
  <c r="BH25" i="6"/>
  <c r="AZ5" i="6"/>
  <c r="J4" i="7" s="1"/>
  <c r="BI5" i="6"/>
  <c r="BM30" i="6"/>
  <c r="BI25" i="6"/>
  <c r="BM15" i="6"/>
  <c r="BI30" i="6"/>
  <c r="BI35" i="6"/>
  <c r="BH20" i="6"/>
  <c r="BI15" i="6"/>
  <c r="BH10" i="6"/>
  <c r="BM20" i="6"/>
  <c r="BH40" i="6"/>
  <c r="BH30" i="6"/>
  <c r="BM25" i="6"/>
  <c r="BI40" i="6"/>
  <c r="BH35" i="6"/>
  <c r="BH15" i="6"/>
  <c r="BM5" i="6"/>
  <c r="BH5" i="6"/>
  <c r="BI20" i="6"/>
  <c r="BL45" i="6"/>
  <c r="BJ47" i="6"/>
  <c r="BN48" i="6"/>
  <c r="AG79" i="6"/>
  <c r="BL46" i="6"/>
  <c r="BJ50" i="5"/>
  <c r="BK52" i="5"/>
  <c r="BN54" i="5"/>
  <c r="BL51" i="5"/>
  <c r="BJ52" i="5"/>
  <c r="BN52" i="5"/>
  <c r="BH35" i="5"/>
  <c r="BI20" i="5"/>
  <c r="BH10" i="5"/>
  <c r="BH25" i="5"/>
  <c r="BI25" i="5"/>
  <c r="BI15" i="5"/>
  <c r="BI35" i="5"/>
  <c r="BI30" i="5"/>
  <c r="BM20" i="5"/>
  <c r="BM51" i="5" s="1"/>
  <c r="BH40" i="5"/>
  <c r="BI5" i="5"/>
  <c r="BM10" i="5"/>
  <c r="BI40" i="5"/>
  <c r="BM35" i="5"/>
  <c r="BM40" i="5"/>
  <c r="BH30" i="5"/>
  <c r="BH15" i="5"/>
  <c r="BM30" i="5"/>
  <c r="BH20" i="5"/>
  <c r="BM5" i="5"/>
  <c r="BK51" i="5"/>
  <c r="BN51" i="5"/>
  <c r="BJ51" i="5"/>
  <c r="BL54" i="5"/>
  <c r="BJ54" i="5"/>
  <c r="BD45" i="5"/>
  <c r="G12" i="7" s="1"/>
  <c r="BC45" i="5"/>
  <c r="F12" i="7" s="1"/>
  <c r="BI45" i="5"/>
  <c r="BI53" i="5" s="1"/>
  <c r="BH45" i="5"/>
  <c r="BH53" i="5" s="1"/>
  <c r="AZ45" i="5"/>
  <c r="C12" i="7" s="1"/>
  <c r="BF45" i="5"/>
  <c r="I12" i="7" s="1"/>
  <c r="BB45" i="5"/>
  <c r="BB53" i="5" s="1"/>
  <c r="E23" i="1" s="1"/>
  <c r="E16" i="7" s="1"/>
  <c r="BM45" i="5"/>
  <c r="BM53" i="5" s="1"/>
  <c r="BA45" i="5"/>
  <c r="D12" i="7" s="1"/>
  <c r="BE45" i="5"/>
  <c r="BE53" i="5" s="1"/>
  <c r="H23" i="1" s="1"/>
  <c r="H16" i="7" s="1"/>
  <c r="BK54" i="5"/>
  <c r="AG70" i="5"/>
  <c r="AG70" i="6"/>
  <c r="AG59" i="6"/>
  <c r="AG80" i="5"/>
  <c r="AG57" i="6"/>
  <c r="BF25" i="6" a="1"/>
  <c r="BB5" i="5" a="1"/>
  <c r="AZ20" i="5" a="1"/>
  <c r="BD25" i="6" a="1"/>
  <c r="AZ15" i="5" a="1"/>
  <c r="BF15" i="6" a="1"/>
  <c r="BC30" i="5" a="1"/>
  <c r="BC10" i="5" a="1"/>
  <c r="AZ5" i="5" a="1"/>
  <c r="AZ30" i="5" a="1"/>
  <c r="BA10" i="6" a="1"/>
  <c r="BD30" i="5" a="1"/>
  <c r="BA40" i="5" a="1"/>
  <c r="BA20" i="6" a="1"/>
  <c r="BB20" i="5" a="1"/>
  <c r="BB30" i="5" a="1"/>
  <c r="BD25" i="5" a="1"/>
  <c r="BD15" i="6" a="1"/>
  <c r="BD40" i="6" a="1"/>
  <c r="BB5" i="6" a="1"/>
  <c r="BB20" i="6" a="1"/>
  <c r="BE20" i="5" a="1"/>
  <c r="BC5" i="5" a="1"/>
  <c r="BC30" i="6" a="1"/>
  <c r="BD15" i="5" a="1"/>
  <c r="BF10" i="5" a="1"/>
  <c r="BA5" i="6" a="1"/>
  <c r="BD10" i="5" a="1"/>
  <c r="BE40" i="5" a="1"/>
  <c r="AZ35" i="6" a="1"/>
  <c r="BB35" i="6" a="1"/>
  <c r="BE15" i="5" a="1"/>
  <c r="BA20" i="5" a="1"/>
  <c r="BC15" i="6" a="1"/>
  <c r="AZ40" i="6" a="1"/>
  <c r="BD35" i="5" a="1"/>
  <c r="BD10" i="6" a="1"/>
  <c r="BD5" i="5" a="1"/>
  <c r="BE30" i="6" a="1"/>
  <c r="BC25" i="6" a="1"/>
  <c r="BE5" i="6" a="1"/>
  <c r="BE40" i="6" a="1"/>
  <c r="BC20" i="5" a="1"/>
  <c r="BA5" i="5" a="1"/>
  <c r="BF20" i="5" a="1"/>
  <c r="BC25" i="5" a="1"/>
  <c r="BB35" i="5" a="1"/>
  <c r="BC35" i="5" a="1"/>
  <c r="BB30" i="6" a="1"/>
  <c r="AZ20" i="6" a="1"/>
  <c r="BF25" i="5" a="1"/>
  <c r="AZ30" i="6" a="1"/>
  <c r="BF15" i="5" a="1"/>
  <c r="BB25" i="5" a="1"/>
  <c r="BB40" i="5" a="1"/>
  <c r="BF35" i="5" a="1"/>
  <c r="BD5" i="6" a="1"/>
  <c r="BA30" i="5" a="1"/>
  <c r="BD40" i="5" a="1"/>
  <c r="BC5" i="6" a="1"/>
  <c r="BA30" i="6" a="1"/>
  <c r="BF30" i="5" a="1"/>
  <c r="BC40" i="6" a="1"/>
  <c r="AZ40" i="5" a="1"/>
  <c r="BB15" i="5" a="1"/>
  <c r="BA35" i="6" a="1"/>
  <c r="BA10" i="5" a="1"/>
  <c r="BF5" i="6" a="1"/>
  <c r="AZ25" i="6" a="1"/>
  <c r="BF40" i="5" a="1"/>
  <c r="BB15" i="6" a="1"/>
  <c r="BE10" i="5" a="1"/>
  <c r="BD35" i="6" a="1"/>
  <c r="BA25" i="5" a="1"/>
  <c r="BD20" i="5" a="1"/>
  <c r="BC35" i="6" a="1"/>
  <c r="BA15" i="6" a="1"/>
  <c r="BC20" i="6" a="1"/>
  <c r="AZ25" i="5" a="1"/>
  <c r="BE35" i="6" a="1"/>
  <c r="BB10" i="6" a="1"/>
  <c r="BB25" i="6" a="1"/>
  <c r="BD20" i="6" a="1"/>
  <c r="BE25" i="6" a="1"/>
  <c r="BF35" i="6" a="1"/>
  <c r="BE25" i="5" a="1"/>
  <c r="BA25" i="6" a="1"/>
  <c r="BC40" i="5" a="1"/>
  <c r="BE35" i="5" a="1"/>
  <c r="AZ10" i="5" a="1"/>
  <c r="BA15" i="5" a="1"/>
  <c r="BF40" i="6" a="1"/>
  <c r="BE10" i="6" a="1"/>
  <c r="AZ35" i="5" a="1"/>
  <c r="AZ10" i="6" a="1"/>
  <c r="BE20" i="6" a="1"/>
  <c r="BF5" i="5" a="1"/>
  <c r="BB10" i="5" a="1"/>
  <c r="BB40" i="6" a="1"/>
  <c r="BE30" i="5" a="1"/>
  <c r="BA35" i="5" a="1"/>
  <c r="BF30" i="6" a="1"/>
  <c r="BE5" i="5" a="1"/>
  <c r="BC15" i="5" a="1"/>
  <c r="BF20" i="6" a="1"/>
  <c r="BF10" i="6" a="1"/>
  <c r="AZ15" i="6" a="1"/>
  <c r="BA40" i="6" a="1"/>
  <c r="BC10" i="6" a="1"/>
  <c r="BE15" i="6" a="1"/>
  <c r="BI45" i="6" l="1"/>
  <c r="BF20" i="6"/>
  <c r="P7" i="7" s="1"/>
  <c r="BI50" i="5"/>
  <c r="BH50" i="5"/>
  <c r="BC40" i="6"/>
  <c r="M11" i="7" s="1"/>
  <c r="BF40" i="6"/>
  <c r="P11" i="7" s="1"/>
  <c r="BD40" i="6"/>
  <c r="N11" i="7" s="1"/>
  <c r="BA40" i="6"/>
  <c r="K11" i="7" s="1"/>
  <c r="AZ40" i="6"/>
  <c r="J11" i="7" s="1"/>
  <c r="BE40" i="6"/>
  <c r="O11" i="7" s="1"/>
  <c r="BF53" i="5"/>
  <c r="I23" i="1" s="1"/>
  <c r="I16" i="7" s="1"/>
  <c r="BB40" i="6"/>
  <c r="L11" i="7" s="1"/>
  <c r="C13" i="1"/>
  <c r="H12" i="7"/>
  <c r="BA53" i="5"/>
  <c r="D23" i="1" s="1"/>
  <c r="D16" i="7" s="1"/>
  <c r="E12" i="7"/>
  <c r="BM45" i="6"/>
  <c r="BH46" i="6"/>
  <c r="BH47" i="6"/>
  <c r="BI47" i="6"/>
  <c r="BM47" i="6"/>
  <c r="BI48" i="6"/>
  <c r="BI46" i="6"/>
  <c r="BH48" i="6"/>
  <c r="BM46" i="6"/>
  <c r="BC35" i="6"/>
  <c r="M10" i="7" s="1"/>
  <c r="BA15" i="6"/>
  <c r="AZ25" i="6"/>
  <c r="J8" i="7" s="1"/>
  <c r="BE10" i="6"/>
  <c r="O5" i="7" s="1"/>
  <c r="BE5" i="6"/>
  <c r="O4" i="7" s="1"/>
  <c r="BF15" i="6"/>
  <c r="BF30" i="6"/>
  <c r="P9" i="7" s="1"/>
  <c r="BF35" i="6"/>
  <c r="P10" i="7" s="1"/>
  <c r="BB25" i="6"/>
  <c r="L8" i="7" s="1"/>
  <c r="BA25" i="6"/>
  <c r="K8" i="7" s="1"/>
  <c r="BD5" i="6"/>
  <c r="N4" i="7" s="1"/>
  <c r="BD10" i="6"/>
  <c r="N5" i="7" s="1"/>
  <c r="BC30" i="6"/>
  <c r="M9" i="7" s="1"/>
  <c r="BB35" i="6"/>
  <c r="L10" i="7" s="1"/>
  <c r="AZ15" i="6"/>
  <c r="J6" i="7" s="1"/>
  <c r="AZ30" i="6"/>
  <c r="J9" i="7" s="1"/>
  <c r="BC25" i="6"/>
  <c r="M8" i="7" s="1"/>
  <c r="AZ20" i="6"/>
  <c r="J7" i="7" s="1"/>
  <c r="BD20" i="6"/>
  <c r="N7" i="7" s="1"/>
  <c r="AZ10" i="6"/>
  <c r="J5" i="7" s="1"/>
  <c r="BA30" i="6"/>
  <c r="K9" i="7" s="1"/>
  <c r="BD15" i="6"/>
  <c r="BD35" i="6"/>
  <c r="N10" i="7" s="1"/>
  <c r="BD25" i="6"/>
  <c r="BC10" i="6"/>
  <c r="M5" i="7" s="1"/>
  <c r="BE20" i="6"/>
  <c r="O7" i="7" s="1"/>
  <c r="BC5" i="6"/>
  <c r="AZ35" i="6"/>
  <c r="J10" i="7" s="1"/>
  <c r="BE35" i="6"/>
  <c r="O10" i="7" s="1"/>
  <c r="BE25" i="6"/>
  <c r="O8" i="7" s="1"/>
  <c r="BB5" i="6"/>
  <c r="L4" i="7" s="1"/>
  <c r="BB30" i="6"/>
  <c r="L9" i="7" s="1"/>
  <c r="BA10" i="6"/>
  <c r="K5" i="7" s="1"/>
  <c r="BC15" i="6"/>
  <c r="M6" i="7" s="1"/>
  <c r="BF5" i="6"/>
  <c r="P4" i="7" s="1"/>
  <c r="BC20" i="6"/>
  <c r="M7" i="7" s="1"/>
  <c r="BE30" i="6"/>
  <c r="O9" i="7" s="1"/>
  <c r="BF10" i="6"/>
  <c r="P5" i="7" s="1"/>
  <c r="BA5" i="6"/>
  <c r="BA35" i="6"/>
  <c r="K10" i="7" s="1"/>
  <c r="BA20" i="6"/>
  <c r="K7" i="7" s="1"/>
  <c r="BF25" i="6"/>
  <c r="P8" i="7" s="1"/>
  <c r="BB20" i="6"/>
  <c r="L7" i="7" s="1"/>
  <c r="BE15" i="6"/>
  <c r="O6" i="7" s="1"/>
  <c r="BB15" i="6"/>
  <c r="BB10" i="6"/>
  <c r="L5" i="7" s="1"/>
  <c r="BM48" i="6"/>
  <c r="BH45" i="6"/>
  <c r="BH52" i="5"/>
  <c r="BM52" i="5"/>
  <c r="BI51" i="5"/>
  <c r="BH51" i="5"/>
  <c r="BI52" i="5"/>
  <c r="BD10" i="5"/>
  <c r="G5" i="7" s="1"/>
  <c r="BF20" i="5"/>
  <c r="I7" i="7" s="1"/>
  <c r="BB15" i="5"/>
  <c r="E6" i="7" s="1"/>
  <c r="BB5" i="5"/>
  <c r="E4" i="7" s="1"/>
  <c r="BB40" i="5"/>
  <c r="E11" i="7" s="1"/>
  <c r="BB25" i="5"/>
  <c r="E8" i="7" s="1"/>
  <c r="BC5" i="5"/>
  <c r="F4" i="7" s="1"/>
  <c r="BB35" i="5"/>
  <c r="E10" i="7" s="1"/>
  <c r="BB20" i="5"/>
  <c r="E7" i="7" s="1"/>
  <c r="BC30" i="5"/>
  <c r="F9" i="7" s="1"/>
  <c r="BF5" i="5"/>
  <c r="I4" i="7" s="1"/>
  <c r="BB10" i="5"/>
  <c r="E5" i="7" s="1"/>
  <c r="BA15" i="5"/>
  <c r="D6" i="7" s="1"/>
  <c r="AZ40" i="5"/>
  <c r="C11" i="7" s="1"/>
  <c r="BE40" i="5"/>
  <c r="H11" i="7" s="1"/>
  <c r="AZ5" i="5"/>
  <c r="C4" i="7" s="1"/>
  <c r="BA25" i="5"/>
  <c r="D8" i="7" s="1"/>
  <c r="BC35" i="5"/>
  <c r="F10" i="7" s="1"/>
  <c r="BE35" i="5"/>
  <c r="H10" i="7" s="1"/>
  <c r="BC20" i="5"/>
  <c r="F7" i="7" s="1"/>
  <c r="BE30" i="5"/>
  <c r="H9" i="7" s="1"/>
  <c r="AZ10" i="5"/>
  <c r="C5" i="7" s="1"/>
  <c r="BF40" i="5"/>
  <c r="I11" i="7" s="1"/>
  <c r="BC15" i="5"/>
  <c r="F6" i="7" s="1"/>
  <c r="BD15" i="5"/>
  <c r="BE10" i="5"/>
  <c r="H5" i="7" s="1"/>
  <c r="BA10" i="5"/>
  <c r="D5" i="7" s="1"/>
  <c r="BD40" i="5"/>
  <c r="G11" i="7" s="1"/>
  <c r="BC40" i="5"/>
  <c r="F11" i="7" s="1"/>
  <c r="BF35" i="5"/>
  <c r="I10" i="7" s="1"/>
  <c r="AZ20" i="5"/>
  <c r="C7" i="7" s="1"/>
  <c r="AZ30" i="5"/>
  <c r="C9" i="7" s="1"/>
  <c r="BE15" i="5"/>
  <c r="H6" i="7" s="1"/>
  <c r="BC10" i="5"/>
  <c r="F5" i="7" s="1"/>
  <c r="BA40" i="5"/>
  <c r="D11" i="7" s="1"/>
  <c r="BD35" i="5"/>
  <c r="G10" i="7" s="1"/>
  <c r="BD30" i="5"/>
  <c r="G9" i="7" s="1"/>
  <c r="BD25" i="5"/>
  <c r="G8" i="7" s="1"/>
  <c r="AZ25" i="5"/>
  <c r="BA5" i="5"/>
  <c r="D4" i="7" s="1"/>
  <c r="AZ35" i="5"/>
  <c r="C10" i="7" s="1"/>
  <c r="BA20" i="5"/>
  <c r="D7" i="7" s="1"/>
  <c r="BF30" i="5"/>
  <c r="I9" i="7" s="1"/>
  <c r="BE25" i="5"/>
  <c r="H8" i="7" s="1"/>
  <c r="BB30" i="5"/>
  <c r="E9" i="7" s="1"/>
  <c r="BC25" i="5"/>
  <c r="BD5" i="5"/>
  <c r="G4" i="7" s="1"/>
  <c r="AZ15" i="5"/>
  <c r="C6" i="7" s="1"/>
  <c r="BE5" i="5"/>
  <c r="H4" i="7" s="1"/>
  <c r="BF25" i="5"/>
  <c r="BF10" i="5"/>
  <c r="I5" i="7" s="1"/>
  <c r="BA35" i="5"/>
  <c r="D10" i="7" s="1"/>
  <c r="BE20" i="5"/>
  <c r="H7" i="7" s="1"/>
  <c r="BD20" i="5"/>
  <c r="G7" i="7" s="1"/>
  <c r="BA30" i="5"/>
  <c r="D9" i="7" s="1"/>
  <c r="BF15" i="5"/>
  <c r="BM50" i="5"/>
  <c r="BC53" i="5"/>
  <c r="F23" i="1" s="1"/>
  <c r="F16" i="7" s="1"/>
  <c r="BM54" i="5"/>
  <c r="AZ53" i="5"/>
  <c r="C23" i="1" s="1"/>
  <c r="C16" i="7" s="1"/>
  <c r="BH54" i="5"/>
  <c r="BI54" i="5"/>
  <c r="BD53" i="5"/>
  <c r="G23" i="1" s="1"/>
  <c r="G16" i="7" s="1"/>
  <c r="BF46" i="6" l="1"/>
  <c r="I34" i="1" s="1"/>
  <c r="P14" i="7" s="1"/>
  <c r="BF51" i="5"/>
  <c r="I21" i="1" s="1"/>
  <c r="I14" i="7" s="1"/>
  <c r="BA46" i="6"/>
  <c r="D34" i="1" s="1"/>
  <c r="K14" i="7" s="1"/>
  <c r="BD47" i="6"/>
  <c r="G35" i="1" s="1"/>
  <c r="N15" i="7" s="1"/>
  <c r="BD51" i="5"/>
  <c r="G21" i="1" s="1"/>
  <c r="G14" i="7" s="1"/>
  <c r="I6" i="7"/>
  <c r="BB45" i="6"/>
  <c r="E33" i="1" s="1"/>
  <c r="L13" i="7" s="1"/>
  <c r="BF52" i="5"/>
  <c r="I22" i="1" s="1"/>
  <c r="I15" i="7" s="1"/>
  <c r="K6" i="7"/>
  <c r="BC47" i="6"/>
  <c r="F35" i="1" s="1"/>
  <c r="M15" i="7" s="1"/>
  <c r="BF50" i="5"/>
  <c r="I20" i="1" s="1"/>
  <c r="I13" i="7" s="1"/>
  <c r="I8" i="7"/>
  <c r="BE48" i="6"/>
  <c r="H37" i="1" s="1"/>
  <c r="O17" i="7" s="1"/>
  <c r="BD48" i="6"/>
  <c r="G37" i="1" s="1"/>
  <c r="N17" i="7" s="1"/>
  <c r="BF47" i="6"/>
  <c r="I35" i="1" s="1"/>
  <c r="P15" i="7" s="1"/>
  <c r="P6" i="7"/>
  <c r="BE47" i="6"/>
  <c r="H35" i="1" s="1"/>
  <c r="O15" i="7" s="1"/>
  <c r="BC45" i="6"/>
  <c r="F33" i="1" s="1"/>
  <c r="M13" i="7" s="1"/>
  <c r="BE45" i="6"/>
  <c r="H33" i="1" s="1"/>
  <c r="O13" i="7" s="1"/>
  <c r="AZ46" i="6"/>
  <c r="C34" i="1" s="1"/>
  <c r="J14" i="7" s="1"/>
  <c r="BF45" i="6"/>
  <c r="I33" i="1" s="1"/>
  <c r="P13" i="7" s="1"/>
  <c r="AZ48" i="6"/>
  <c r="C37" i="1" s="1"/>
  <c r="J17" i="7" s="1"/>
  <c r="BC46" i="6"/>
  <c r="F34" i="1" s="1"/>
  <c r="M14" i="7" s="1"/>
  <c r="BB48" i="6"/>
  <c r="E37" i="1" s="1"/>
  <c r="L17" i="7" s="1"/>
  <c r="BA48" i="6"/>
  <c r="D37" i="1" s="1"/>
  <c r="K17" i="7" s="1"/>
  <c r="L6" i="7"/>
  <c r="BE46" i="6"/>
  <c r="H34" i="1" s="1"/>
  <c r="O14" i="7" s="1"/>
  <c r="BF48" i="6"/>
  <c r="I37" i="1" s="1"/>
  <c r="P17" i="7" s="1"/>
  <c r="BA45" i="6"/>
  <c r="D33" i="1" s="1"/>
  <c r="K13" i="7" s="1"/>
  <c r="N8" i="7"/>
  <c r="M4" i="7"/>
  <c r="BB46" i="6"/>
  <c r="E34" i="1" s="1"/>
  <c r="L14" i="7" s="1"/>
  <c r="K4" i="7"/>
  <c r="BC48" i="6"/>
  <c r="F37" i="1" s="1"/>
  <c r="M17" i="7" s="1"/>
  <c r="BA47" i="6"/>
  <c r="D35" i="1" s="1"/>
  <c r="K15" i="7" s="1"/>
  <c r="BD46" i="6"/>
  <c r="G34" i="1" s="1"/>
  <c r="N14" i="7" s="1"/>
  <c r="N6" i="7"/>
  <c r="AZ47" i="6"/>
  <c r="C35" i="1" s="1"/>
  <c r="J15" i="7" s="1"/>
  <c r="BB47" i="6"/>
  <c r="E35" i="1" s="1"/>
  <c r="L15" i="7" s="1"/>
  <c r="AZ45" i="6"/>
  <c r="C33" i="1" s="1"/>
  <c r="J13" i="7" s="1"/>
  <c r="BD45" i="6"/>
  <c r="G33" i="1" s="1"/>
  <c r="N13" i="7" s="1"/>
  <c r="BC51" i="5"/>
  <c r="F21" i="1" s="1"/>
  <c r="F14" i="7" s="1"/>
  <c r="BA51" i="5"/>
  <c r="D21" i="1" s="1"/>
  <c r="D14" i="7" s="1"/>
  <c r="G6" i="7"/>
  <c r="AZ52" i="5"/>
  <c r="C22" i="1" s="1"/>
  <c r="C15" i="7" s="1"/>
  <c r="BD52" i="5"/>
  <c r="G22" i="1" s="1"/>
  <c r="G15" i="7" s="1"/>
  <c r="C8" i="7"/>
  <c r="BE51" i="5"/>
  <c r="H21" i="1" s="1"/>
  <c r="H14" i="7" s="1"/>
  <c r="BB51" i="5"/>
  <c r="E21" i="1" s="1"/>
  <c r="E14" i="7" s="1"/>
  <c r="AZ51" i="5"/>
  <c r="C21" i="1" s="1"/>
  <c r="C14" i="7" s="1"/>
  <c r="BD50" i="5"/>
  <c r="G20" i="1" s="1"/>
  <c r="G13" i="7" s="1"/>
  <c r="BA50" i="5"/>
  <c r="D20" i="1" s="1"/>
  <c r="D13" i="7" s="1"/>
  <c r="BF54" i="5"/>
  <c r="I24" i="1" s="1"/>
  <c r="I17" i="7" s="1"/>
  <c r="BC52" i="5"/>
  <c r="F22" i="1" s="1"/>
  <c r="F15" i="7" s="1"/>
  <c r="AZ54" i="5"/>
  <c r="C24" i="1" s="1"/>
  <c r="C17" i="7" s="1"/>
  <c r="BA54" i="5"/>
  <c r="D24" i="1" s="1"/>
  <c r="D17" i="7" s="1"/>
  <c r="BC50" i="5"/>
  <c r="F20" i="1" s="1"/>
  <c r="F13" i="7" s="1"/>
  <c r="F8" i="7"/>
  <c r="BA52" i="5"/>
  <c r="D22" i="1" s="1"/>
  <c r="D15" i="7" s="1"/>
  <c r="BD54" i="5"/>
  <c r="G24" i="1" s="1"/>
  <c r="G17" i="7" s="1"/>
  <c r="BE52" i="5"/>
  <c r="H22" i="1" s="1"/>
  <c r="H15" i="7" s="1"/>
  <c r="BC54" i="5"/>
  <c r="F24" i="1" s="1"/>
  <c r="F17" i="7" s="1"/>
  <c r="BE50" i="5"/>
  <c r="H20" i="1" s="1"/>
  <c r="H13" i="7" s="1"/>
  <c r="BB50" i="5"/>
  <c r="E20" i="1" s="1"/>
  <c r="E13" i="7" s="1"/>
  <c r="BB54" i="5"/>
  <c r="E24" i="1" s="1"/>
  <c r="E17" i="7" s="1"/>
  <c r="BB52" i="5"/>
  <c r="E22" i="1" s="1"/>
  <c r="E15" i="7" s="1"/>
  <c r="BE54" i="5"/>
  <c r="H24" i="1" s="1"/>
  <c r="H17" i="7" s="1"/>
  <c r="AZ50" i="5"/>
  <c r="C20" i="1" s="1"/>
  <c r="C13" i="7" s="1"/>
</calcChain>
</file>

<file path=xl/sharedStrings.xml><?xml version="1.0" encoding="utf-8"?>
<sst xmlns="http://schemas.openxmlformats.org/spreadsheetml/2006/main" count="985" uniqueCount="439">
  <si>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</si>
  <si>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</si>
  <si>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</si>
  <si>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</si>
  <si>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</si>
  <si>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</si>
  <si>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</si>
  <si>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</si>
  <si>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</si>
  <si>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</si>
  <si>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Cat1-D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</si>
  <si>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</si>
  <si>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</si>
  <si>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</si>
  <si>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</si>
  <si>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</si>
  <si>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</si>
  <si>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</si>
  <si>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</si>
  <si>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</si>
  <si>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</si>
  <si>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</si>
  <si>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</si>
  <si>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</si>
  <si>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</si>
  <si>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</si>
  <si>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</si>
  <si>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</si>
  <si>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C1 lossy AI</t>
  </si>
  <si>
    <t>← Select this …</t>
  </si>
  <si>
    <t>Columns</t>
  </si>
  <si>
    <t>C2 lossy RA</t>
  </si>
  <si>
    <t>Sequence:</t>
  </si>
  <si>
    <t>rwtt422_voxelised</t>
  </si>
  <si>
    <t>← … then this</t>
  </si>
  <si>
    <t>dec.cb-hpsnr</t>
  </si>
  <si>
    <t>Chroma Cb EtE Hausdorff PSNR [dB]</t>
  </si>
  <si>
    <t>names!$B$93:$S$93</t>
  </si>
  <si>
    <t>names!$B$158:$S$158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</si>
  <si>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</si>
  <si>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</si>
  <si>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</si>
  <si>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</si>
  <si>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</si>
  <si>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</si>
  <si>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</si>
  <si>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</si>
  <si>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</si>
  <si>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</si>
  <si>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</si>
  <si>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</si>
  <si>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</si>
  <si>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</si>
  <si>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</si>
  <si>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</si>
  <si>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</si>
  <si>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</si>
  <si>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</si>
  <si>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</si>
  <si>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</si>
  <si>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</si>
  <si>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</si>
  <si>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</si>
  <si>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</si>
  <si>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</si>
  <si>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</si>
  <si>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</si>
  <si>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</si>
  <si>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</si>
  <si>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</si>
  <si>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</si>
  <si>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</si>
  <si>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</si>
  <si>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</si>
  <si>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</si>
  <si>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</si>
  <si>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</si>
  <si>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</si>
  <si>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</si>
  <si>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</si>
  <si>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</si>
  <si>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</si>
  <si>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</si>
  <si>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</si>
  <si>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</si>
  <si>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</si>
  <si>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</si>
  <si>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</si>
  <si>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</si>
  <si>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</si>
  <si>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</si>
  <si>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</si>
  <si>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</si>
  <si>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</si>
  <si>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</si>
  <si>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</si>
  <si>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</si>
  <si>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</si>
  <si>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</si>
  <si>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</si>
  <si>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</si>
  <si>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</si>
  <si>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</si>
  <si>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</si>
  <si>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</si>
  <si>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</si>
  <si>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</si>
  <si>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</si>
  <si>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</si>
  <si>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</si>
  <si>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</si>
  <si>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</si>
  <si>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</si>
  <si>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</si>
  <si>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</si>
  <si>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</si>
  <si>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</si>
  <si>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</si>
  <si>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</si>
  <si>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</si>
  <si>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</si>
  <si>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</si>
  <si>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</si>
  <si>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</si>
  <si>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</si>
  <si>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</si>
  <si>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</si>
  <si>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</si>
  <si>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</si>
  <si>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</si>
  <si>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</si>
  <si>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</si>
  <si>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</si>
  <si>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</si>
  <si>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</si>
  <si>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</si>
  <si>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</si>
  <si>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</si>
  <si>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</si>
  <si>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</si>
  <si>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</si>
  <si>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</si>
  <si>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</si>
  <si>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</si>
  <si>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</si>
  <si>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</si>
  <si>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</si>
  <si>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</si>
  <si>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</si>
  <si>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</si>
  <si>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</si>
  <si>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</si>
  <si>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</si>
  <si>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</si>
  <si>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</si>
  <si>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</si>
  <si>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</si>
  <si>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</si>
  <si>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</si>
  <si>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</si>
  <si>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</si>
  <si>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</si>
  <si>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</si>
  <si>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</si>
  <si>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</si>
  <si>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</si>
  <si>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</si>
  <si>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</si>
  <si>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</si>
  <si>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</si>
  <si>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</si>
  <si>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</si>
  <si>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</si>
  <si>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</si>
  <si>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</si>
  <si>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</si>
  <si>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</si>
  <si>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</si>
  <si>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</si>
  <si>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</si>
  <si>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</si>
  <si>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</si>
  <si>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</si>
  <si>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</si>
  <si>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</si>
  <si>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</si>
  <si>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</si>
  <si>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</si>
  <si>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</si>
  <si>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</si>
  <si>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</si>
  <si>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cat1-D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</si>
  <si>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</si>
  <si>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</si>
  <si>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</si>
  <si>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</si>
  <si>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</si>
  <si>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</si>
  <si>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</si>
  <si>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</si>
  <si>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</si>
  <si>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</si>
  <si>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</si>
  <si>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</si>
  <si>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</si>
  <si>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</si>
  <si>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</si>
  <si>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</si>
  <si>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</si>
  <si>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</si>
  <si>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</si>
  <si>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</si>
  <si>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</si>
  <si>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</si>
  <si>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</si>
  <si>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</si>
  <si>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</si>
  <si>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</si>
  <si>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</si>
  <si>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</si>
  <si>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</si>
  <si>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</si>
  <si>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</si>
  <si>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</si>
  <si>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</si>
  <si>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</si>
  <si>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</si>
  <si>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</si>
  <si>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</si>
  <si>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</si>
  <si>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</si>
  <si>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</si>
  <si>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range.C0 lossless AI.rwtt422_voxelised</t>
  </si>
  <si>
    <t>C0 lossless AI'!$A$13:$T$13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</si>
  <si>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</si>
  <si>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</si>
  <si>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</si>
  <si>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</si>
  <si>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</si>
  <si>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</si>
  <si>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</si>
  <si>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</si>
  <si>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</si>
  <si>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</si>
  <si>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</si>
  <si>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</si>
  <si>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</si>
  <si>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</si>
  <si>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</si>
  <si>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</si>
  <si>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</si>
  <si>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</si>
  <si>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</si>
  <si>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</si>
  <si>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</si>
  <si>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</si>
  <si>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</si>
  <si>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</si>
  <si>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</si>
  <si>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</si>
  <si>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</si>
  <si>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</si>
  <si>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</si>
  <si>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</si>
  <si>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</si>
  <si>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</si>
  <si>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</si>
  <si>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</si>
  <si>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</si>
  <si>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</si>
  <si>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</si>
  <si>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</si>
  <si>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</si>
  <si>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</si>
  <si>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</si>
  <si>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</si>
  <si>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</si>
  <si>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</si>
  <si>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</si>
  <si>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</si>
  <si>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</si>
  <si>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</si>
  <si>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</si>
  <si>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</si>
  <si>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</si>
  <si>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</si>
  <si>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</si>
  <si>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</si>
  <si>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</si>
  <si>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</si>
  <si>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</si>
  <si>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</si>
  <si>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</si>
  <si>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</si>
  <si>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</si>
  <si>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</si>
  <si>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</si>
  <si>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</si>
  <si>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</si>
  <si>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</si>
  <si>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</si>
  <si>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</si>
  <si>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</si>
  <si>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</si>
  <si>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</si>
  <si>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</si>
  <si>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</si>
  <si>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range.C1 lossy AI.rwtt422_voxelised</t>
  </si>
  <si>
    <t>'C1 lossy AI'!$A$45:$BD$49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</si>
  <si>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</si>
  <si>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</si>
  <si>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</si>
  <si>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</si>
  <si>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</si>
  <si>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</si>
  <si>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</si>
  <si>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</si>
  <si>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</si>
  <si>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</si>
  <si>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</si>
  <si>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</si>
  <si>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</si>
  <si>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</si>
  <si>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</si>
  <si>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</si>
  <si>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</si>
  <si>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</si>
  <si>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</si>
  <si>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</si>
  <si>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</si>
  <si>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</si>
  <si>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</si>
  <si>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</si>
  <si>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</si>
  <si>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</si>
  <si>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</si>
  <si>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</si>
  <si>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</si>
  <si>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</si>
  <si>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</si>
  <si>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</si>
  <si>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</si>
  <si>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</si>
  <si>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</si>
  <si>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</si>
  <si>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</si>
  <si>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</si>
  <si>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</si>
  <si>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</si>
  <si>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</si>
  <si>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</si>
  <si>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</si>
  <si>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</si>
  <si>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</si>
  <si>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</si>
  <si>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</si>
  <si>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</si>
  <si>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</si>
  <si>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</si>
  <si>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</si>
  <si>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</si>
  <si>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</si>
  <si>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</si>
  <si>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</si>
  <si>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</si>
  <si>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</si>
  <si>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</si>
  <si>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</si>
  <si>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</si>
  <si>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</si>
  <si>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</si>
  <si>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</si>
  <si>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</si>
  <si>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</si>
  <si>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</si>
  <si>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</si>
  <si>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</si>
  <si>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</si>
  <si>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</si>
  <si>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</si>
  <si>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</si>
  <si>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</si>
  <si>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</si>
  <si>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range.C2 lossy RA.rwtt422_voxelised</t>
  </si>
  <si>
    <t>'C2 lossy RA'!$A$45:$BD$49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</si>
  <si>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</si>
  <si>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</si>
  <si>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</si>
  <si>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</si>
  <si>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</si>
  <si>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</si>
  <si>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</si>
  <si>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</si>
  <si>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</si>
  <si>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</si>
  <si>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</si>
  <si>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</si>
  <si>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</si>
  <si>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</si>
  <si>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</si>
  <si>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</si>
  <si>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</si>
  <si>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</si>
  <si>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</si>
  <si>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</si>
  <si>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</si>
  <si>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</si>
  <si>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</si>
  <si>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</si>
  <si>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</si>
  <si>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</si>
  <si>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</si>
  <si>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</si>
  <si>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</si>
  <si>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</si>
  <si>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</si>
  <si>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</si>
  <si>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</si>
  <si>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</si>
  <si>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</si>
  <si>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</si>
  <si>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</si>
  <si>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</si>
  <si>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</si>
  <si>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</si>
  <si>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</si>
  <si>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</si>
  <si>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</si>
  <si>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</si>
  <si>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</si>
  <si>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</si>
  <si>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</si>
  <si>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</si>
  <si>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</si>
  <si>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</si>
  <si>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</si>
  <si>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</si>
  <si>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</si>
  <si>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F032_v14.0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</si>
</sst>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&gt;1000]0;[&gt;100]0.0;0.00"/>
    <numFmt numFmtId="177" formatCode="0.0%"/>
    <numFmt numFmtId="178" formatCode="0.000"/>
    <numFmt numFmtId="179" formatCode="0.000000"/>
    <numFmt numFmtId="180" formatCode="0.000%"/>
  </numFmts>
  <fonts count="3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C4D796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0">
    <xf numFmtId="0" fontId="0" fillId="0" borderId="0" xfId="0"/>
    <xf numFmtId="0" fontId="1" fillId="3" borderId="8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4" borderId="11" xfId="0" applyFill="1" applyBorder="1"/>
    <xf numFmtId="0" fontId="0" fillId="4" borderId="12" xfId="0" applyFill="1" applyBorder="1"/>
    <xf numFmtId="177" fontId="0" fillId="4" borderId="11" xfId="0" applyNumberFormat="1" applyFill="1" applyBorder="1" applyAlignment="1">
      <alignment horizontal="center"/>
    </xf>
    <xf numFmtId="177" fontId="0" fillId="4" borderId="0" xfId="0" applyNumberFormat="1" applyFill="1" applyAlignment="1">
      <alignment horizontal="center"/>
    </xf>
    <xf numFmtId="0" fontId="0" fillId="5" borderId="11" xfId="0" applyFill="1" applyBorder="1"/>
    <xf numFmtId="0" fontId="0" fillId="5" borderId="12" xfId="0" applyFill="1" applyBorder="1"/>
    <xf numFmtId="177" fontId="0" fillId="5" borderId="11" xfId="0" applyNumberFormat="1" applyFill="1" applyBorder="1" applyAlignment="1">
      <alignment horizontal="center"/>
    </xf>
    <xf numFmtId="177" fontId="0" fillId="5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177" fontId="0" fillId="5" borderId="8" xfId="0" applyNumberFormat="1" applyFill="1" applyBorder="1" applyAlignment="1">
      <alignment horizontal="center"/>
    </xf>
    <xf numFmtId="177" fontId="0" fillId="5" borderId="10" xfId="0" applyNumberFormat="1" applyFill="1" applyBorder="1" applyAlignment="1">
      <alignment horizontal="center"/>
    </xf>
    <xf numFmtId="177" fontId="0" fillId="6" borderId="0" xfId="0" applyNumberFormat="1" applyFill="1" applyAlignment="1">
      <alignment horizontal="center"/>
    </xf>
    <xf numFmtId="177" fontId="0" fillId="7" borderId="0" xfId="0" applyNumberFormat="1" applyFill="1" applyAlignment="1">
      <alignment horizontal="center"/>
    </xf>
    <xf numFmtId="177" fontId="0" fillId="7" borderId="2" xfId="0" applyNumberFormat="1" applyFill="1" applyBorder="1" applyAlignment="1">
      <alignment horizontal="center"/>
    </xf>
    <xf numFmtId="0" fontId="0" fillId="0" borderId="10" xfId="0" applyBorder="1"/>
    <xf numFmtId="0" fontId="1" fillId="3" borderId="9" xfId="0" applyFont="1" applyFill="1" applyBorder="1" applyAlignment="1">
      <alignment horizontal="center" wrapText="1"/>
    </xf>
    <xf numFmtId="177" fontId="0" fillId="4" borderId="12" xfId="0" applyNumberFormat="1" applyFill="1" applyBorder="1" applyAlignment="1">
      <alignment horizontal="center"/>
    </xf>
    <xf numFmtId="177" fontId="0" fillId="5" borderId="12" xfId="0" applyNumberFormat="1" applyFill="1" applyBorder="1" applyAlignment="1">
      <alignment horizontal="center"/>
    </xf>
    <xf numFmtId="177" fontId="0" fillId="5" borderId="9" xfId="0" applyNumberFormat="1" applyFill="1" applyBorder="1" applyAlignment="1">
      <alignment horizontal="center"/>
    </xf>
    <xf numFmtId="177" fontId="0" fillId="6" borderId="5" xfId="0" applyNumberFormat="1" applyFill="1" applyBorder="1" applyAlignment="1">
      <alignment horizontal="center"/>
    </xf>
    <xf numFmtId="177" fontId="0" fillId="6" borderId="6" xfId="0" applyNumberFormat="1" applyFill="1" applyBorder="1" applyAlignment="1">
      <alignment horizontal="center"/>
    </xf>
    <xf numFmtId="177" fontId="0" fillId="6" borderId="7" xfId="0" applyNumberFormat="1" applyFill="1" applyBorder="1" applyAlignment="1">
      <alignment horizontal="center"/>
    </xf>
    <xf numFmtId="177" fontId="0" fillId="7" borderId="11" xfId="0" applyNumberFormat="1" applyFill="1" applyBorder="1" applyAlignment="1">
      <alignment horizontal="center"/>
    </xf>
    <xf numFmtId="177" fontId="0" fillId="7" borderId="12" xfId="0" applyNumberFormat="1" applyFill="1" applyBorder="1" applyAlignment="1">
      <alignment horizontal="center"/>
    </xf>
    <xf numFmtId="177" fontId="0" fillId="6" borderId="11" xfId="0" applyNumberFormat="1" applyFill="1" applyBorder="1" applyAlignment="1">
      <alignment horizontal="center"/>
    </xf>
    <xf numFmtId="177" fontId="0" fillId="6" borderId="12" xfId="0" applyNumberFormat="1" applyFill="1" applyBorder="1" applyAlignment="1">
      <alignment horizontal="center"/>
    </xf>
    <xf numFmtId="177" fontId="0" fillId="7" borderId="3" xfId="0" applyNumberFormat="1" applyFill="1" applyBorder="1" applyAlignment="1">
      <alignment horizontal="center"/>
    </xf>
    <xf numFmtId="177" fontId="0" fillId="7" borderId="4" xfId="0" applyNumberFormat="1" applyFill="1" applyBorder="1" applyAlignment="1">
      <alignment horizontal="center"/>
    </xf>
    <xf numFmtId="0" fontId="1" fillId="9" borderId="10" xfId="0" applyFont="1" applyFill="1" applyBorder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textRotation="90" wrapText="1"/>
    </xf>
    <xf numFmtId="0" fontId="1" fillId="10" borderId="10" xfId="0" applyFont="1" applyFill="1" applyBorder="1" applyAlignment="1">
      <alignment horizontal="center" textRotation="90" wrapText="1"/>
    </xf>
    <xf numFmtId="0" fontId="0" fillId="4" borderId="0" xfId="0" applyFill="1"/>
    <xf numFmtId="0" fontId="0" fillId="4" borderId="0" xfId="0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0" fontId="0" fillId="4" borderId="10" xfId="0" applyFill="1" applyBorder="1"/>
    <xf numFmtId="0" fontId="0" fillId="4" borderId="10" xfId="0" applyFill="1" applyBorder="1" applyAlignment="1">
      <alignment horizontal="center"/>
    </xf>
    <xf numFmtId="1" fontId="0" fillId="4" borderId="10" xfId="0" applyNumberFormat="1" applyFill="1" applyBorder="1" applyAlignment="1">
      <alignment horizontal="center"/>
    </xf>
    <xf numFmtId="0" fontId="0" fillId="5" borderId="10" xfId="0" applyFill="1" applyBorder="1"/>
    <xf numFmtId="0" fontId="0" fillId="5" borderId="10" xfId="0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17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12" borderId="0" xfId="0" applyFill="1"/>
    <xf numFmtId="1" fontId="0" fillId="12" borderId="0" xfId="0" applyNumberFormat="1" applyFill="1" applyAlignment="1">
      <alignment horizontal="center"/>
    </xf>
    <xf numFmtId="178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13" borderId="0" xfId="0" applyFill="1"/>
    <xf numFmtId="1" fontId="0" fillId="13" borderId="0" xfId="0" applyNumberFormat="1" applyFill="1" applyAlignment="1">
      <alignment horizontal="center"/>
    </xf>
    <xf numFmtId="178" fontId="0" fillId="4" borderId="10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0" fontId="0" fillId="12" borderId="10" xfId="0" applyFill="1" applyBorder="1"/>
    <xf numFmtId="1" fontId="0" fillId="12" borderId="10" xfId="0" applyNumberFormat="1" applyFill="1" applyBorder="1" applyAlignment="1">
      <alignment horizontal="center"/>
    </xf>
    <xf numFmtId="178" fontId="0" fillId="5" borderId="10" xfId="0" applyNumberFormat="1" applyFill="1" applyBorder="1" applyAlignment="1">
      <alignment horizontal="center"/>
    </xf>
    <xf numFmtId="2" fontId="0" fillId="5" borderId="10" xfId="0" applyNumberFormat="1" applyFill="1" applyBorder="1" applyAlignment="1">
      <alignment horizontal="center"/>
    </xf>
    <xf numFmtId="0" fontId="0" fillId="13" borderId="10" xfId="0" applyFill="1" applyBorder="1"/>
    <xf numFmtId="1" fontId="0" fillId="13" borderId="10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" fillId="9" borderId="0" xfId="0" applyFont="1" applyFill="1" applyAlignment="1">
      <alignment horizontal="center" wrapText="1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/>
    <xf numFmtId="176" fontId="0" fillId="12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2" borderId="10" xfId="0" applyNumberFormat="1" applyFill="1" applyBorder="1" applyAlignment="1">
      <alignment horizontal="center"/>
    </xf>
    <xf numFmtId="176" fontId="0" fillId="13" borderId="10" xfId="0" applyNumberFormat="1" applyFill="1" applyBorder="1" applyAlignment="1">
      <alignment horizontal="center"/>
    </xf>
    <xf numFmtId="176" fontId="0" fillId="0" borderId="0" xfId="0" applyNumberFormat="1" applyAlignment="1">
      <alignment horizontal="center"/>
    </xf>
    <xf numFmtId="10" fontId="0" fillId="0" borderId="0" xfId="0" applyNumberFormat="1"/>
    <xf numFmtId="179" fontId="0" fillId="0" borderId="5" xfId="0" applyNumberFormat="1" applyBorder="1"/>
    <xf numFmtId="179" fontId="0" fillId="0" borderId="11" xfId="0" applyNumberFormat="1" applyBorder="1"/>
    <xf numFmtId="179" fontId="0" fillId="0" borderId="6" xfId="0" applyNumberFormat="1" applyBorder="1"/>
    <xf numFmtId="179" fontId="0" fillId="0" borderId="7" xfId="0" applyNumberFormat="1" applyBorder="1"/>
    <xf numFmtId="179" fontId="0" fillId="0" borderId="0" xfId="0" applyNumberFormat="1"/>
    <xf numFmtId="179" fontId="0" fillId="0" borderId="12" xfId="0" applyNumberFormat="1" applyBorder="1"/>
    <xf numFmtId="177" fontId="0" fillId="4" borderId="10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80" fontId="0" fillId="5" borderId="0" xfId="0" applyNumberFormat="1" applyFill="1" applyAlignment="1">
      <alignment horizontal="center"/>
    </xf>
    <xf numFmtId="180" fontId="0" fillId="4" borderId="0" xfId="0" applyNumberFormat="1" applyFill="1" applyAlignment="1">
      <alignment horizontal="center"/>
    </xf>
    <xf numFmtId="180" fontId="0" fillId="4" borderId="10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79" fontId="0" fillId="0" borderId="8" xfId="0" applyNumberFormat="1" applyBorder="1"/>
    <xf numFmtId="179" fontId="0" fillId="0" borderId="10" xfId="0" applyNumberFormat="1" applyBorder="1"/>
    <xf numFmtId="179" fontId="0" fillId="0" borderId="9" xfId="0" applyNumberFormat="1" applyBorder="1"/>
    <xf numFmtId="0" fontId="0" fillId="5" borderId="2" xfId="0" applyFill="1" applyBorder="1"/>
    <xf numFmtId="1" fontId="0" fillId="5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78" fontId="0" fillId="5" borderId="2" xfId="0" applyNumberFormat="1" applyFill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" fontId="0" fillId="13" borderId="2" xfId="0" applyNumberFormat="1" applyFill="1" applyBorder="1" applyAlignment="1">
      <alignment horizontal="center"/>
    </xf>
    <xf numFmtId="176" fontId="0" fillId="13" borderId="2" xfId="0" applyNumberFormat="1" applyFill="1" applyBorder="1" applyAlignment="1">
      <alignment horizontal="center"/>
    </xf>
    <xf numFmtId="0" fontId="0" fillId="15" borderId="0" xfId="0" applyFill="1"/>
    <xf numFmtId="0" fontId="1" fillId="10" borderId="0" xfId="0" applyFont="1" applyFill="1"/>
    <xf numFmtId="49" fontId="0" fillId="0" borderId="0" xfId="0" applyNumberFormat="1"/>
    <xf numFmtId="0" fontId="1" fillId="10" borderId="6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0" borderId="16" xfId="0" applyFont="1" applyBorder="1"/>
    <xf numFmtId="177" fontId="0" fillId="0" borderId="16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0" fontId="1" fillId="9" borderId="10" xfId="0" applyFont="1" applyFill="1" applyBorder="1" applyAlignment="1">
      <alignment horizontal="center" vertical="center" wrapText="1"/>
    </xf>
    <xf numFmtId="0" fontId="0" fillId="0" borderId="0" xfId="0" quotePrefix="1"/>
    <xf numFmtId="9" fontId="0" fillId="0" borderId="0" xfId="0" applyNumberFormat="1" applyAlignment="1">
      <alignment horizontal="center"/>
    </xf>
    <xf numFmtId="0" fontId="0" fillId="0" borderId="0" xfId="0"/>
    <xf numFmtId="9" fontId="0" fillId="0" borderId="10" xfId="0" applyNumberFormat="1" applyBorder="1" applyAlignment="1">
      <alignment horizontal="center"/>
    </xf>
    <xf numFmtId="0" fontId="0" fillId="0" borderId="10" xfId="0" applyBorder="1"/>
    <xf numFmtId="0" fontId="1" fillId="10" borderId="2" xfId="0" applyFont="1" applyFill="1" applyBorder="1" applyAlignment="1">
      <alignment horizontal="center" vertical="center" wrapText="1"/>
    </xf>
    <xf numFmtId="0" fontId="1" fillId="10" borderId="6" xfId="0" applyFont="1" applyFill="1" applyBorder="1" applyAlignment="1">
      <alignment horizontal="center" vertical="center" wrapText="1"/>
    </xf>
    <xf numFmtId="0" fontId="0" fillId="0" borderId="6" xfId="0" applyBorder="1"/>
    <xf numFmtId="0" fontId="1" fillId="10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wrapText="1"/>
    </xf>
    <xf numFmtId="0" fontId="1" fillId="14" borderId="0" xfId="0" applyFont="1" applyFill="1" applyAlignment="1">
      <alignment horizontal="center" wrapText="1"/>
    </xf>
    <xf numFmtId="0" fontId="1" fillId="10" borderId="10" xfId="0" applyFont="1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9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0" fillId="2" borderId="10" xfId="0" applyFill="1" applyBorder="1"/>
    <xf numFmtId="0" fontId="1" fillId="3" borderId="3" xfId="0" applyFont="1" applyFill="1" applyBorder="1" applyAlignment="1">
      <alignment horizontal="center" wrapText="1"/>
    </xf>
    <xf numFmtId="0" fontId="0" fillId="0" borderId="8" xfId="0" applyBorder="1"/>
    <xf numFmtId="0" fontId="1" fillId="3" borderId="4" xfId="0" applyFont="1" applyFill="1" applyBorder="1" applyAlignment="1">
      <alignment horizontal="center" wrapText="1"/>
    </xf>
    <xf numFmtId="0" fontId="0" fillId="0" borderId="9" xfId="0" applyBorder="1"/>
    <xf numFmtId="0" fontId="0" fillId="6" borderId="14" xfId="0" applyFill="1" applyBorder="1" applyAlignment="1">
      <alignment horizontal="left"/>
    </xf>
    <xf numFmtId="0" fontId="0" fillId="0" borderId="12" xfId="0" applyBorder="1"/>
    <xf numFmtId="9" fontId="0" fillId="6" borderId="13" xfId="0" applyNumberFormat="1" applyFill="1" applyBorder="1" applyAlignment="1">
      <alignment horizontal="center"/>
    </xf>
    <xf numFmtId="0" fontId="0" fillId="0" borderId="7" xfId="0" applyBorder="1"/>
    <xf numFmtId="0" fontId="0" fillId="7" borderId="15" xfId="0" applyFill="1" applyBorder="1" applyAlignment="1">
      <alignment horizontal="left"/>
    </xf>
    <xf numFmtId="9" fontId="0" fillId="7" borderId="15" xfId="0" applyNumberForma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0" fillId="0" borderId="4" xfId="0" applyBorder="1"/>
    <xf numFmtId="0" fontId="1" fillId="2" borderId="1" xfId="0" applyFont="1" applyFill="1" applyBorder="1" applyAlignment="1">
      <alignment horizontal="center" vertical="top"/>
    </xf>
    <xf numFmtId="0" fontId="0" fillId="0" borderId="2" xfId="0" applyBorder="1"/>
    <xf numFmtId="0" fontId="1" fillId="3" borderId="5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solid">
          <bgColor theme="9"/>
        </patternFill>
      </fill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solid"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D1 Pointcloud-based PSNR [dB] (Graph a)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74.433610599999994</c:v>
                </c:pt>
                <c:pt idx="1">
                  <c:v>75.622249199999999</c:v>
                </c:pt>
                <c:pt idx="2">
                  <c:v>77.289292599999996</c:v>
                </c:pt>
                <c:pt idx="3">
                  <c:v>78.727111699999995</c:v>
                </c:pt>
                <c:pt idx="4">
                  <c:v>80.394734400000004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0-0645-8C81-E7246543FDCD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30-0645-8C81-E7246543F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25391232"/>
        <c:axId val="-1525387968"/>
      </c:scatterChart>
      <c:valAx>
        <c:axId val="-152539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87968"/>
        <c:crosses val="autoZero"/>
        <c:crossBetween val="midCat"/>
      </c:valAx>
      <c:valAx>
        <c:axId val="-15253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525391232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D2 Pointcloud-based PSNR [dB] (Graph b)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76.408123599999996</c:v>
                </c:pt>
                <c:pt idx="1">
                  <c:v>77.881774800000002</c:v>
                </c:pt>
                <c:pt idx="2">
                  <c:v>79.922633200000007</c:v>
                </c:pt>
                <c:pt idx="3">
                  <c:v>81.873689900000002</c:v>
                </c:pt>
                <c:pt idx="4">
                  <c:v>84.503223599999998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DA40-BBD0-5D247D63BFA0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DA40-BBD0-5D247D63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7520"/>
        <c:axId val="-1422126432"/>
      </c:scatterChart>
      <c:valAx>
        <c:axId val="-142212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432"/>
        <c:crosses val="autoZero"/>
        <c:crossBetween val="midCat"/>
      </c:valAx>
      <c:valAx>
        <c:axId val="-142212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752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 Image-based PSNR [dB] (Graph c)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53.720557300000003</c:v>
                </c:pt>
                <c:pt idx="1">
                  <c:v>54.592300600000002</c:v>
                </c:pt>
                <c:pt idx="2">
                  <c:v>55.817408499999999</c:v>
                </c:pt>
                <c:pt idx="3">
                  <c:v>56.696662400000001</c:v>
                </c:pt>
                <c:pt idx="4">
                  <c:v>57.714081100000001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7-574A-BF2E-D3D66A8241C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7-574A-BF2E-D3D66A824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6976"/>
        <c:axId val="-1422125888"/>
      </c:scatterChart>
      <c:valAx>
        <c:axId val="-142212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5888"/>
        <c:crosses val="autoZero"/>
        <c:crossBetween val="midCat"/>
      </c:valAx>
      <c:valAx>
        <c:axId val="-142212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697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Pointcloud-based PSNR [dB] (Graph 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30.314523600000001</c:v>
                </c:pt>
                <c:pt idx="1">
                  <c:v>30.9728514</c:v>
                </c:pt>
                <c:pt idx="2">
                  <c:v>31.874237300000001</c:v>
                </c:pt>
                <c:pt idx="3">
                  <c:v>32.438408500000001</c:v>
                </c:pt>
                <c:pt idx="4">
                  <c:v>33.1401386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67-3748-BA5C-47514D444821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67-3748-BA5C-47514D444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2416"/>
        <c:axId val="-1422134048"/>
      </c:scatterChart>
      <c:valAx>
        <c:axId val="-14221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048"/>
        <c:crosses val="autoZero"/>
        <c:crossBetween val="midCat"/>
      </c:valAx>
      <c:valAx>
        <c:axId val="-142213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2416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Cb Pointcloud-based PSNR [dB] (Graph e)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41.477909799999999</c:v>
                </c:pt>
                <c:pt idx="1">
                  <c:v>41.976757499999998</c:v>
                </c:pt>
                <c:pt idx="2">
                  <c:v>44.481258799999999</c:v>
                </c:pt>
                <c:pt idx="3">
                  <c:v>44.8189116</c:v>
                </c:pt>
                <c:pt idx="4">
                  <c:v>45.30059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BD-E44D-9E01-99A24A5049B4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BD-E44D-9E01-99A24A50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0448"/>
        <c:axId val="-1422134592"/>
      </c:scatterChart>
      <c:valAx>
        <c:axId val="-142212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4592"/>
        <c:crosses val="autoZero"/>
        <c:crossBetween val="midCat"/>
      </c:valAx>
      <c:valAx>
        <c:axId val="-1422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448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Chroma Cr Pointcloud-based PSNR [dB] (Graph f)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39.835304899999997</c:v>
                </c:pt>
                <c:pt idx="1">
                  <c:v>40.402654499999997</c:v>
                </c:pt>
                <c:pt idx="2">
                  <c:v>43.441433500000002</c:v>
                </c:pt>
                <c:pt idx="3">
                  <c:v>43.993966399999998</c:v>
                </c:pt>
                <c:pt idx="4">
                  <c:v>44.425900599999999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A4-6F48-9D59-8CE25CE94376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A4-6F48-9D59-8CE25CE9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22080"/>
        <c:axId val="-1422119360"/>
      </c:scatterChart>
      <c:valAx>
        <c:axId val="-142212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19360"/>
        <c:crosses val="autoZero"/>
        <c:crossBetween val="midCat"/>
      </c:valAx>
      <c:valAx>
        <c:axId val="-142211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208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Luma Image-based PSNR [dB] (Graph g)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F032_v14.0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4.3096800000000002</c:v>
                </c:pt>
                <c:pt idx="1">
                  <c:v>6.2279999999999998</c:v>
                </c:pt>
                <c:pt idx="2">
                  <c:v>11.075519999999999</c:v>
                </c:pt>
                <c:pt idx="3">
                  <c:v>14.861520000000001</c:v>
                </c:pt>
                <c:pt idx="4">
                  <c:v>22.86384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29.4390824</c:v>
                </c:pt>
                <c:pt idx="1">
                  <c:v>29.883801699999999</c:v>
                </c:pt>
                <c:pt idx="2">
                  <c:v>31.263049899999999</c:v>
                </c:pt>
                <c:pt idx="3">
                  <c:v>31.838319800000001</c:v>
                </c:pt>
                <c:pt idx="4">
                  <c:v>32.634693499999997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D-524B-962E-44B04166FE64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6D-524B-962E-44B04166F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22130240"/>
        <c:axId val="-1422120992"/>
      </c:scatterChart>
      <c:valAx>
        <c:axId val="-142213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20992"/>
        <c:crosses val="autoZero"/>
        <c:crossBetween val="midCat"/>
      </c:valAx>
      <c:valAx>
        <c:axId val="-142212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FDFDF"/>
              </a:solidFill>
              <a:prstDash val="solid"/>
              <a:round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</c:title>
        <c:numFmt formatCode="0.00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22130240"/>
        <c:crosses val="autoZero"/>
        <c:crossBetween val="midCat"/>
      </c:valAx>
    </c:plotArea>
    <c:legend>
      <c:legendPos val="b"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9"/>
  <sheetViews>
    <sheetView tabSelected="1" zoomScale="90" zoomScaleNormal="90" workbookViewId="0">
      <selection activeCell="C2" sqref="C2:E2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6" x14ac:dyDescent="0.15">
      <c r="B1" t="s">
        <v>0</v>
      </c>
      <c r="C1" s="122" t="s">
        <v>438</v>
      </c>
      <c r="D1" s="122"/>
      <c r="E1" s="122"/>
    </row>
    <row r="2" spans="2:6" x14ac:dyDescent="0.15">
      <c r="B2" t="s">
        <v>1</v>
      </c>
      <c r="C2" s="123"/>
      <c r="D2" s="123"/>
      <c r="E2" s="123"/>
      <c r="F2" s="104"/>
    </row>
    <row r="4" spans="2:6" s="103" customFormat="1" x14ac:dyDescent="0.15">
      <c r="B4" s="103" t="s">
        <v>2</v>
      </c>
    </row>
    <row r="6" spans="2:6" ht="45" customHeight="1" x14ac:dyDescent="0.15">
      <c r="B6" s="117" t="s">
        <v>3</v>
      </c>
      <c r="C6" s="105" t="s">
        <v>4</v>
      </c>
    </row>
    <row r="7" spans="2:6" x14ac:dyDescent="0.15">
      <c r="B7" s="114"/>
      <c r="C7" s="106" t="s">
        <v>5</v>
      </c>
    </row>
    <row r="8" spans="2:6" x14ac:dyDescent="0.15">
      <c r="B8" s="116"/>
      <c r="C8" s="107" t="s">
        <v>6</v>
      </c>
    </row>
    <row r="9" spans="2:6" x14ac:dyDescent="0.15">
      <c r="B9" t="s">
        <v>7</v>
      </c>
      <c r="C9" s="86" t="e">
        <f>'C0 lossless AI'!V14</f>
        <v>#DIV/0!</v>
      </c>
    </row>
    <row r="10" spans="2:6" x14ac:dyDescent="0.15">
      <c r="B10" t="s">
        <v>8</v>
      </c>
      <c r="C10" s="86" t="e">
        <f>'C0 lossless AI'!V15</f>
        <v>#DIV/0!</v>
      </c>
    </row>
    <row r="11" spans="2:6" x14ac:dyDescent="0.15">
      <c r="B11" t="s">
        <v>9</v>
      </c>
      <c r="C11" s="86" t="e">
        <f>'C0 lossless AI'!V16</f>
        <v>#DIV/0!</v>
      </c>
    </row>
    <row r="12" spans="2:6" x14ac:dyDescent="0.15">
      <c r="B12" t="s">
        <v>10</v>
      </c>
      <c r="C12" s="86" t="e">
        <f>'C0 lossless AI'!V18</f>
        <v>#DIV/0!</v>
      </c>
    </row>
    <row r="13" spans="2:6" x14ac:dyDescent="0.15">
      <c r="B13" s="108" t="s">
        <v>11</v>
      </c>
      <c r="C13" s="109" t="e">
        <f>'C0 lossless AI'!V18</f>
        <v>#DIV/0!</v>
      </c>
    </row>
    <row r="14" spans="2:6" x14ac:dyDescent="0.15">
      <c r="B14" t="s">
        <v>12</v>
      </c>
      <c r="C14" s="87" t="e">
        <f>'C0 lossless AI'!S20</f>
        <v>#DIV/0!</v>
      </c>
    </row>
    <row r="15" spans="2:6" x14ac:dyDescent="0.15">
      <c r="B15" s="18" t="s">
        <v>13</v>
      </c>
      <c r="C15" s="110" t="e">
        <f>'C0 lossless AI'!T20</f>
        <v>#DIV/0!</v>
      </c>
    </row>
    <row r="17" spans="2:9" x14ac:dyDescent="0.15">
      <c r="B17" s="117" t="s">
        <v>14</v>
      </c>
      <c r="C17" s="118" t="s">
        <v>15</v>
      </c>
      <c r="D17" s="119"/>
      <c r="E17" s="119"/>
      <c r="F17" s="119"/>
      <c r="G17" s="119"/>
      <c r="H17" s="119"/>
      <c r="I17" s="119"/>
    </row>
    <row r="18" spans="2:9" x14ac:dyDescent="0.15">
      <c r="B18" s="114"/>
      <c r="C18" s="120" t="s">
        <v>16</v>
      </c>
      <c r="D18" s="114"/>
      <c r="E18" s="114"/>
      <c r="F18" s="114"/>
      <c r="G18" s="114"/>
      <c r="H18" s="121" t="s">
        <v>17</v>
      </c>
      <c r="I18" s="114"/>
    </row>
    <row r="19" spans="2:9" x14ac:dyDescent="0.15">
      <c r="B19" s="116"/>
      <c r="C19" s="107" t="s">
        <v>18</v>
      </c>
      <c r="D19" s="107" t="s">
        <v>19</v>
      </c>
      <c r="E19" s="107" t="s">
        <v>20</v>
      </c>
      <c r="F19" s="107" t="s">
        <v>21</v>
      </c>
      <c r="G19" s="107" t="s">
        <v>22</v>
      </c>
      <c r="H19" s="111" t="s">
        <v>23</v>
      </c>
      <c r="I19" s="111" t="s">
        <v>20</v>
      </c>
    </row>
    <row r="20" spans="2:9" x14ac:dyDescent="0.15">
      <c r="B20" t="s">
        <v>7</v>
      </c>
      <c r="C20" s="86" t="e">
        <f>'C1 lossy AI'!$AZ$50:$AZ$50</f>
        <v>#DIV/0!</v>
      </c>
      <c r="D20" s="86" t="e">
        <f>'C1 lossy AI'!$BA$50:$BA$50</f>
        <v>#DIV/0!</v>
      </c>
      <c r="E20" s="86" t="e">
        <f>'C1 lossy AI'!$BB$50:$BB$50</f>
        <v>#DIV/0!</v>
      </c>
      <c r="F20" s="86" t="e">
        <f>'C1 lossy AI'!$BC$50:$BC$50</f>
        <v>#DIV/0!</v>
      </c>
      <c r="G20" s="86" t="e">
        <f>'C1 lossy AI'!$BD$50:$BD$50</f>
        <v>#DIV/0!</v>
      </c>
      <c r="H20" s="86" t="e">
        <f>'C1 lossy AI'!$BE$50:$BE$50</f>
        <v>#DIV/0!</v>
      </c>
      <c r="I20" s="86" t="e">
        <f>'C1 lossy AI'!$BF$50:$BF$50</f>
        <v>#DIV/0!</v>
      </c>
    </row>
    <row r="21" spans="2:9" x14ac:dyDescent="0.15">
      <c r="B21" t="s">
        <v>8</v>
      </c>
      <c r="C21" s="86" t="e">
        <f>'C1 lossy AI'!$AZ$51:$AZ$51</f>
        <v>#DIV/0!</v>
      </c>
      <c r="D21" s="86" t="e">
        <f>'C1 lossy AI'!$BA$51:$BA$51</f>
        <v>#DIV/0!</v>
      </c>
      <c r="E21" s="86" t="e">
        <f>'C1 lossy AI'!$BB$51:$BB$51</f>
        <v>#DIV/0!</v>
      </c>
      <c r="F21" s="86" t="e">
        <f>'C1 lossy AI'!$BC$51:$BC$51</f>
        <v>#DIV/0!</v>
      </c>
      <c r="G21" s="86" t="e">
        <f>'C1 lossy AI'!$BD$51:$BD$51</f>
        <v>#DIV/0!</v>
      </c>
      <c r="H21" s="86" t="e">
        <f>'C1 lossy AI'!$BE$51:$BE$51</f>
        <v>#DIV/0!</v>
      </c>
      <c r="I21" s="86" t="e">
        <f>'C1 lossy AI'!$BF$51:$BF$51</f>
        <v>#DIV/0!</v>
      </c>
    </row>
    <row r="22" spans="2:9" x14ac:dyDescent="0.15">
      <c r="B22" t="s">
        <v>9</v>
      </c>
      <c r="C22" s="86" t="e">
        <f>'C1 lossy AI'!$AZ$52:$AZ$52</f>
        <v>#DIV/0!</v>
      </c>
      <c r="D22" s="86" t="e">
        <f>'C1 lossy AI'!$BA$52:$BA$52</f>
        <v>#DIV/0!</v>
      </c>
      <c r="E22" s="86" t="e">
        <f>'C1 lossy AI'!$BB$52:$BB$52</f>
        <v>#DIV/0!</v>
      </c>
      <c r="F22" s="86" t="e">
        <f>'C1 lossy AI'!$BC$52:$BC$52</f>
        <v>#DIV/0!</v>
      </c>
      <c r="G22" s="86" t="e">
        <f>'C1 lossy AI'!$BD$52:$BD$52</f>
        <v>#DIV/0!</v>
      </c>
      <c r="H22" s="86" t="e">
        <f>'C1 lossy AI'!$BE$52:$BE$52</f>
        <v>#DIV/0!</v>
      </c>
      <c r="I22" s="86" t="e">
        <f>'C1 lossy AI'!$BF$52:$BF$52</f>
        <v>#DIV/0!</v>
      </c>
    </row>
    <row r="23" spans="2:9" x14ac:dyDescent="0.15">
      <c r="B23" t="s">
        <v>10</v>
      </c>
      <c r="C23" s="86" t="e">
        <f>'C1 lossy AI'!$AZ$53:$AZ$53</f>
        <v>#DIV/0!</v>
      </c>
      <c r="D23" s="86" t="e">
        <f>'C1 lossy AI'!$BA$53:$BA$53</f>
        <v>#DIV/0!</v>
      </c>
      <c r="E23" s="86" t="e">
        <f>'C1 lossy AI'!$BB$53:$BB$53</f>
        <v>#DIV/0!</v>
      </c>
      <c r="F23" s="86" t="e">
        <f>'C1 lossy AI'!$BC$53:$BC$53</f>
        <v>#DIV/0!</v>
      </c>
      <c r="G23" s="86" t="e">
        <f>'C1 lossy AI'!$BD$53:$BD$53</f>
        <v>#DIV/0!</v>
      </c>
      <c r="H23" s="86" t="e">
        <f>'C1 lossy AI'!$BE$53:$BE$53</f>
        <v>#DIV/0!</v>
      </c>
      <c r="I23" s="86" t="e">
        <f>'C1 lossy AI'!$BF$53:$BF$53</f>
        <v>#DIV/0!</v>
      </c>
    </row>
    <row r="24" spans="2:9" x14ac:dyDescent="0.15">
      <c r="B24" s="108" t="s">
        <v>11</v>
      </c>
      <c r="C24" s="109" t="e">
        <f>'C1 lossy AI'!$AZ$54:$AZ$54</f>
        <v>#DIV/0!</v>
      </c>
      <c r="D24" s="109" t="e">
        <f>'C1 lossy AI'!$BA$54:$BA$54</f>
        <v>#DIV/0!</v>
      </c>
      <c r="E24" s="109" t="e">
        <f>'C1 lossy AI'!$BB$54:$BB$54</f>
        <v>#DIV/0!</v>
      </c>
      <c r="F24" s="109" t="e">
        <f>'C1 lossy AI'!$BC$54:$BC$54</f>
        <v>#DIV/0!</v>
      </c>
      <c r="G24" s="109" t="e">
        <f>'C1 lossy AI'!$BD$54:$BD$54</f>
        <v>#DIV/0!</v>
      </c>
      <c r="H24" s="109" t="e">
        <f>'C1 lossy AI'!$BE$54:$BE$54</f>
        <v>#DIV/0!</v>
      </c>
      <c r="I24" s="109" t="e">
        <f>'C1 lossy AI'!$BF$54:$BF$54</f>
        <v>#DIV/0!</v>
      </c>
    </row>
    <row r="25" spans="2:9" x14ac:dyDescent="0.15">
      <c r="B25" t="s">
        <v>12</v>
      </c>
      <c r="C25" s="113">
        <f>'C1 lossy AI'!AW56</f>
        <v>0</v>
      </c>
      <c r="D25" s="114"/>
      <c r="E25" s="114"/>
      <c r="F25" s="114"/>
      <c r="G25" s="114"/>
      <c r="H25" s="114"/>
      <c r="I25" s="114"/>
    </row>
    <row r="26" spans="2:9" x14ac:dyDescent="0.15">
      <c r="B26" s="18" t="s">
        <v>13</v>
      </c>
      <c r="C26" s="115">
        <f>'C1 lossy AI'!AX56</f>
        <v>0</v>
      </c>
      <c r="D26" s="116"/>
      <c r="E26" s="116"/>
      <c r="F26" s="116"/>
      <c r="G26" s="116"/>
      <c r="H26" s="116"/>
      <c r="I26" s="116"/>
    </row>
    <row r="28" spans="2:9" s="103" customFormat="1" x14ac:dyDescent="0.15">
      <c r="B28" s="103" t="s">
        <v>24</v>
      </c>
    </row>
    <row r="30" spans="2:9" x14ac:dyDescent="0.15">
      <c r="B30" s="117" t="s">
        <v>25</v>
      </c>
      <c r="C30" s="118" t="s">
        <v>26</v>
      </c>
      <c r="D30" s="119"/>
      <c r="E30" s="119"/>
      <c r="F30" s="119"/>
      <c r="G30" s="119"/>
      <c r="H30" s="119"/>
      <c r="I30" s="119"/>
    </row>
    <row r="31" spans="2:9" x14ac:dyDescent="0.15">
      <c r="B31" s="114"/>
      <c r="C31" s="120" t="s">
        <v>16</v>
      </c>
      <c r="D31" s="114"/>
      <c r="E31" s="114"/>
      <c r="F31" s="114"/>
      <c r="G31" s="114"/>
      <c r="H31" s="121" t="s">
        <v>17</v>
      </c>
      <c r="I31" s="114"/>
    </row>
    <row r="32" spans="2:9" x14ac:dyDescent="0.15">
      <c r="B32" s="116"/>
      <c r="C32" s="107" t="s">
        <v>18</v>
      </c>
      <c r="D32" s="107" t="s">
        <v>19</v>
      </c>
      <c r="E32" s="107" t="s">
        <v>20</v>
      </c>
      <c r="F32" s="107" t="s">
        <v>21</v>
      </c>
      <c r="G32" s="107" t="s">
        <v>22</v>
      </c>
      <c r="H32" s="111" t="s">
        <v>23</v>
      </c>
      <c r="I32" s="111" t="s">
        <v>20</v>
      </c>
    </row>
    <row r="33" spans="2:9" x14ac:dyDescent="0.15">
      <c r="B33" t="s">
        <v>7</v>
      </c>
      <c r="C33" s="86" t="e">
        <f>'C2 lossy RA'!$AZ$45:$AZ$45</f>
        <v>#DIV/0!</v>
      </c>
      <c r="D33" s="86" t="e">
        <f>'C2 lossy RA'!$BA$45:$BA$45</f>
        <v>#DIV/0!</v>
      </c>
      <c r="E33" s="86" t="e">
        <f>'C2 lossy RA'!$BB$45:$BB$45</f>
        <v>#DIV/0!</v>
      </c>
      <c r="F33" s="86" t="e">
        <f>'C2 lossy RA'!$BC$45:$BC$45</f>
        <v>#DIV/0!</v>
      </c>
      <c r="G33" s="86" t="e">
        <f>'C2 lossy RA'!$BD$45:$BD$45</f>
        <v>#DIV/0!</v>
      </c>
      <c r="H33" s="86" t="e">
        <f>'C2 lossy RA'!$BE$45:$BE$45</f>
        <v>#DIV/0!</v>
      </c>
      <c r="I33" s="86" t="e">
        <f>'C2 lossy RA'!$BF$45:$BF$45</f>
        <v>#DIV/0!</v>
      </c>
    </row>
    <row r="34" spans="2:9" x14ac:dyDescent="0.15">
      <c r="B34" t="s">
        <v>8</v>
      </c>
      <c r="C34" s="86" t="e">
        <f>'C2 lossy RA'!$AZ$46:$AZ$46</f>
        <v>#DIV/0!</v>
      </c>
      <c r="D34" s="86" t="e">
        <f>'C2 lossy RA'!$BA$46:$BA$46</f>
        <v>#DIV/0!</v>
      </c>
      <c r="E34" s="86" t="e">
        <f>'C2 lossy RA'!$BB$46:$BB$46</f>
        <v>#DIV/0!</v>
      </c>
      <c r="F34" s="86" t="e">
        <f>'C2 lossy RA'!$BC$46:$BC$46</f>
        <v>#DIV/0!</v>
      </c>
      <c r="G34" s="86" t="e">
        <f>'C2 lossy RA'!$BD$46:$BD$46</f>
        <v>#DIV/0!</v>
      </c>
      <c r="H34" s="86" t="e">
        <f>'C2 lossy RA'!$BE$46:$BE$46</f>
        <v>#DIV/0!</v>
      </c>
      <c r="I34" s="86" t="e">
        <f>'C2 lossy RA'!$BF$46:$BF$46</f>
        <v>#DIV/0!</v>
      </c>
    </row>
    <row r="35" spans="2:9" x14ac:dyDescent="0.15">
      <c r="B35" t="s">
        <v>9</v>
      </c>
      <c r="C35" s="86" t="e">
        <f>'C2 lossy RA'!$AZ$47:$AZ$47</f>
        <v>#DIV/0!</v>
      </c>
      <c r="D35" s="86" t="e">
        <f>'C2 lossy RA'!$BA$47:$BA$47</f>
        <v>#DIV/0!</v>
      </c>
      <c r="E35" s="86" t="e">
        <f>'C2 lossy RA'!$BB$47:$BB$47</f>
        <v>#DIV/0!</v>
      </c>
      <c r="F35" s="86" t="e">
        <f>'C2 lossy RA'!$BC$47:$BC$47</f>
        <v>#DIV/0!</v>
      </c>
      <c r="G35" s="86" t="e">
        <f>'C2 lossy RA'!$BD$47:$BD$47</f>
        <v>#DIV/0!</v>
      </c>
      <c r="H35" s="86" t="e">
        <f>'C2 lossy RA'!$BE$47:$BE$47</f>
        <v>#DIV/0!</v>
      </c>
      <c r="I35" s="86" t="e">
        <f>'C2 lossy RA'!$BF$47:$BF$47</f>
        <v>#DIV/0!</v>
      </c>
    </row>
    <row r="36" spans="2:9" x14ac:dyDescent="0.15">
      <c r="B36" t="s">
        <v>10</v>
      </c>
      <c r="C36" s="86" t="e">
        <f>'C2 lossy RA'!#REF!</f>
        <v>#REF!</v>
      </c>
      <c r="D36" s="86" t="e">
        <f>'C2 lossy RA'!#REF!</f>
        <v>#REF!</v>
      </c>
      <c r="E36" s="86" t="e">
        <f>'C2 lossy RA'!#REF!</f>
        <v>#REF!</v>
      </c>
      <c r="F36" s="86" t="e">
        <f>'C2 lossy RA'!#REF!</f>
        <v>#REF!</v>
      </c>
      <c r="G36" s="86" t="e">
        <f>'C2 lossy RA'!#REF!</f>
        <v>#REF!</v>
      </c>
      <c r="H36" s="86" t="e">
        <f>'C2 lossy RA'!#REF!</f>
        <v>#REF!</v>
      </c>
      <c r="I36" s="86" t="e">
        <f>'C2 lossy RA'!#REF!</f>
        <v>#REF!</v>
      </c>
    </row>
    <row r="37" spans="2:9" x14ac:dyDescent="0.15">
      <c r="B37" s="108" t="s">
        <v>11</v>
      </c>
      <c r="C37" s="109" t="e">
        <f>'C2 lossy RA'!$AZ$48:$AZ$48</f>
        <v>#DIV/0!</v>
      </c>
      <c r="D37" s="109" t="e">
        <f>'C2 lossy RA'!$BA$48:$BA$48</f>
        <v>#DIV/0!</v>
      </c>
      <c r="E37" s="109" t="e">
        <f>'C2 lossy RA'!$BB$48:$BB$48</f>
        <v>#DIV/0!</v>
      </c>
      <c r="F37" s="109" t="e">
        <f>'C2 lossy RA'!$BC$48:$BC$48</f>
        <v>#DIV/0!</v>
      </c>
      <c r="G37" s="109" t="e">
        <f>'C2 lossy RA'!$BD$48:$BD$48</f>
        <v>#DIV/0!</v>
      </c>
      <c r="H37" s="109" t="e">
        <f>'C2 lossy RA'!$BE$48:$BE$48</f>
        <v>#DIV/0!</v>
      </c>
      <c r="I37" s="109" t="e">
        <f>'C2 lossy RA'!$BF$48:$BF$48</f>
        <v>#DIV/0!</v>
      </c>
    </row>
    <row r="38" spans="2:9" x14ac:dyDescent="0.15">
      <c r="B38" t="s">
        <v>12</v>
      </c>
      <c r="C38" s="113">
        <f>'C2 lossy RA'!AW50</f>
        <v>0</v>
      </c>
      <c r="D38" s="114"/>
      <c r="E38" s="114"/>
      <c r="F38" s="114"/>
      <c r="G38" s="114"/>
      <c r="H38" s="114"/>
      <c r="I38" s="114"/>
    </row>
    <row r="39" spans="2:9" x14ac:dyDescent="0.15">
      <c r="B39" s="18" t="s">
        <v>13</v>
      </c>
      <c r="C39" s="115">
        <f>'C2 lossy RA'!AX50</f>
        <v>0</v>
      </c>
      <c r="D39" s="116"/>
      <c r="E39" s="116"/>
      <c r="F39" s="116"/>
      <c r="G39" s="116"/>
      <c r="H39" s="116"/>
      <c r="I39" s="116"/>
    </row>
  </sheetData>
  <mergeCells count="15">
    <mergeCell ref="C1:E1"/>
    <mergeCell ref="C2:E2"/>
    <mergeCell ref="C17:I17"/>
    <mergeCell ref="C18:G18"/>
    <mergeCell ref="H18:I18"/>
    <mergeCell ref="C38:I38"/>
    <mergeCell ref="C39:I39"/>
    <mergeCell ref="B6:B8"/>
    <mergeCell ref="B17:B19"/>
    <mergeCell ref="B30:B32"/>
    <mergeCell ref="C25:I25"/>
    <mergeCell ref="C26:I26"/>
    <mergeCell ref="C30:I30"/>
    <mergeCell ref="C31:G31"/>
    <mergeCell ref="H31:I31"/>
  </mergeCells>
  <phoneticPr fontId="2" type="noConversion"/>
  <conditionalFormatting sqref="C9:C13">
    <cfRule type="cellIs" dxfId="184" priority="1" operator="greaterThanOrEqual">
      <formula>1.03</formula>
    </cfRule>
    <cfRule type="cellIs" dxfId="183" priority="2" operator="lessThanOrEqual">
      <formula>0.97</formula>
    </cfRule>
  </conditionalFormatting>
  <conditionalFormatting sqref="C20:C24">
    <cfRule type="cellIs" dxfId="182" priority="15" operator="greaterThanOrEqual">
      <formula>0.03</formula>
    </cfRule>
    <cfRule type="cellIs" dxfId="181" priority="16" operator="lessThanOrEqual">
      <formula>-0.03</formula>
    </cfRule>
  </conditionalFormatting>
  <conditionalFormatting sqref="C33:C37">
    <cfRule type="cellIs" dxfId="180" priority="17" operator="greaterThanOrEqual">
      <formula>0.03</formula>
    </cfRule>
    <cfRule type="cellIs" dxfId="179" priority="18" operator="lessThanOrEqual">
      <formula>-0.03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27</v>
      </c>
      <c r="B1" s="102" t="s">
        <v>28</v>
      </c>
      <c r="C1" t="s">
        <v>29</v>
      </c>
      <c r="I1" t="s">
        <v>30</v>
      </c>
      <c r="M1" t="s">
        <v>28</v>
      </c>
      <c r="N1" t="s">
        <v>31</v>
      </c>
    </row>
    <row r="2" spans="1:14" x14ac:dyDescent="0.15">
      <c r="A2" t="s">
        <v>32</v>
      </c>
      <c r="B2" s="102" t="s">
        <v>33</v>
      </c>
      <c r="C2" t="s">
        <v>34</v>
      </c>
      <c r="I2" t="s">
        <v>35</v>
      </c>
      <c r="J2" t="s">
        <v>36</v>
      </c>
      <c r="M2" t="s">
        <v>37</v>
      </c>
      <c r="N2" t="s">
        <v>38</v>
      </c>
    </row>
    <row r="3" spans="1:14" x14ac:dyDescent="0.15">
      <c r="I3" t="s">
        <v>39</v>
      </c>
      <c r="J3" t="s">
        <v>40</v>
      </c>
      <c r="M3" t="s">
        <v>41</v>
      </c>
      <c r="N3" t="s">
        <v>41</v>
      </c>
    </row>
    <row r="4" spans="1:14" x14ac:dyDescent="0.15">
      <c r="A4" t="s">
        <v>42</v>
      </c>
      <c r="B4" s="102" t="s">
        <v>43</v>
      </c>
      <c r="C4" t="s">
        <v>44</v>
      </c>
      <c r="D4" s="102" t="s">
        <v>45</v>
      </c>
      <c r="E4" t="s">
        <v>46</v>
      </c>
      <c r="I4" t="s">
        <v>47</v>
      </c>
      <c r="J4" t="s">
        <v>48</v>
      </c>
      <c r="M4" t="s">
        <v>49</v>
      </c>
      <c r="N4" t="s">
        <v>49</v>
      </c>
    </row>
    <row r="5" spans="1:14" x14ac:dyDescent="0.15">
      <c r="A5" t="s">
        <v>42</v>
      </c>
      <c r="B5" s="102" t="s">
        <v>43</v>
      </c>
      <c r="C5" t="s">
        <v>44</v>
      </c>
      <c r="D5" s="102" t="s">
        <v>50</v>
      </c>
      <c r="E5" t="s">
        <v>51</v>
      </c>
      <c r="I5" t="s">
        <v>52</v>
      </c>
      <c r="J5" t="s">
        <v>53</v>
      </c>
      <c r="M5" t="s">
        <v>54</v>
      </c>
      <c r="N5" t="s">
        <v>54</v>
      </c>
    </row>
    <row r="6" spans="1:14" x14ac:dyDescent="0.15">
      <c r="A6" t="s">
        <v>42</v>
      </c>
      <c r="B6" s="102" t="s">
        <v>43</v>
      </c>
      <c r="C6" t="s">
        <v>44</v>
      </c>
      <c r="D6" s="102" t="s">
        <v>55</v>
      </c>
      <c r="E6" t="s">
        <v>56</v>
      </c>
      <c r="I6" t="s">
        <v>57</v>
      </c>
      <c r="J6" t="s">
        <v>58</v>
      </c>
      <c r="M6" t="s">
        <v>59</v>
      </c>
      <c r="N6" t="s">
        <v>59</v>
      </c>
    </row>
    <row r="7" spans="1:14" x14ac:dyDescent="0.15">
      <c r="A7" t="s">
        <v>42</v>
      </c>
      <c r="B7" s="102" t="s">
        <v>43</v>
      </c>
      <c r="C7" t="s">
        <v>44</v>
      </c>
      <c r="D7" s="102" t="s">
        <v>60</v>
      </c>
      <c r="E7" t="s">
        <v>61</v>
      </c>
      <c r="I7" t="s">
        <v>62</v>
      </c>
      <c r="J7" t="s">
        <v>63</v>
      </c>
      <c r="M7" t="s">
        <v>64</v>
      </c>
      <c r="N7" t="s">
        <v>64</v>
      </c>
    </row>
    <row r="8" spans="1:14" x14ac:dyDescent="0.15">
      <c r="A8" t="s">
        <v>42</v>
      </c>
      <c r="B8" s="102" t="s">
        <v>43</v>
      </c>
      <c r="C8" t="s">
        <v>44</v>
      </c>
      <c r="D8" s="102" t="s">
        <v>65</v>
      </c>
      <c r="E8" t="s">
        <v>66</v>
      </c>
      <c r="I8" t="s">
        <v>67</v>
      </c>
      <c r="J8" t="s">
        <v>68</v>
      </c>
      <c r="M8" t="s">
        <v>69</v>
      </c>
      <c r="N8" t="s">
        <v>69</v>
      </c>
    </row>
    <row r="9" spans="1:14" x14ac:dyDescent="0.15">
      <c r="A9" t="s">
        <v>42</v>
      </c>
      <c r="B9" s="102" t="s">
        <v>43</v>
      </c>
      <c r="C9" t="s">
        <v>44</v>
      </c>
      <c r="D9" s="102" t="s">
        <v>70</v>
      </c>
      <c r="E9" t="s">
        <v>71</v>
      </c>
      <c r="I9" t="s">
        <v>72</v>
      </c>
      <c r="J9" t="s">
        <v>73</v>
      </c>
      <c r="M9" t="s">
        <v>74</v>
      </c>
      <c r="N9" t="s">
        <v>74</v>
      </c>
    </row>
    <row r="10" spans="1:14" x14ac:dyDescent="0.15">
      <c r="A10" t="s">
        <v>42</v>
      </c>
      <c r="B10" s="102" t="s">
        <v>43</v>
      </c>
      <c r="C10" t="s">
        <v>44</v>
      </c>
      <c r="D10" s="102" t="s">
        <v>75</v>
      </c>
      <c r="E10" t="s">
        <v>76</v>
      </c>
      <c r="I10" t="s">
        <v>77</v>
      </c>
      <c r="J10" t="s">
        <v>78</v>
      </c>
      <c r="M10" t="s">
        <v>79</v>
      </c>
      <c r="N10" t="s">
        <v>79</v>
      </c>
    </row>
    <row r="11" spans="1:14" x14ac:dyDescent="0.15">
      <c r="I11" t="s">
        <v>55</v>
      </c>
      <c r="J11" t="s">
        <v>80</v>
      </c>
      <c r="M11" t="s">
        <v>33</v>
      </c>
      <c r="N11" t="s">
        <v>33</v>
      </c>
    </row>
    <row r="12" spans="1:14" x14ac:dyDescent="0.15">
      <c r="I12" t="s">
        <v>75</v>
      </c>
      <c r="J12" t="s">
        <v>81</v>
      </c>
    </row>
    <row r="13" spans="1:14" x14ac:dyDescent="0.15">
      <c r="I13" t="s">
        <v>82</v>
      </c>
      <c r="J13" t="s">
        <v>83</v>
      </c>
    </row>
    <row r="14" spans="1:14" x14ac:dyDescent="0.15">
      <c r="I14" t="s">
        <v>84</v>
      </c>
      <c r="J14" t="s">
        <v>85</v>
      </c>
    </row>
    <row r="15" spans="1:14" x14ac:dyDescent="0.15">
      <c r="I15" t="s">
        <v>86</v>
      </c>
      <c r="J15" t="s">
        <v>87</v>
      </c>
    </row>
    <row r="16" spans="1:14" x14ac:dyDescent="0.15">
      <c r="I16" t="s">
        <v>88</v>
      </c>
      <c r="J16" t="s">
        <v>89</v>
      </c>
    </row>
    <row r="17" spans="9:10" x14ac:dyDescent="0.15">
      <c r="I17" t="s">
        <v>65</v>
      </c>
      <c r="J17" t="s">
        <v>90</v>
      </c>
    </row>
    <row r="18" spans="9:10" x14ac:dyDescent="0.15">
      <c r="I18" t="s">
        <v>70</v>
      </c>
      <c r="J18" t="s">
        <v>91</v>
      </c>
    </row>
    <row r="19" spans="9:10" x14ac:dyDescent="0.15">
      <c r="I19" t="s">
        <v>45</v>
      </c>
      <c r="J19" t="s">
        <v>92</v>
      </c>
    </row>
    <row r="20" spans="9:10" x14ac:dyDescent="0.15">
      <c r="I20" t="s">
        <v>50</v>
      </c>
      <c r="J20" t="s">
        <v>93</v>
      </c>
    </row>
    <row r="21" spans="9:10" x14ac:dyDescent="0.15">
      <c r="I21" t="s">
        <v>60</v>
      </c>
      <c r="J21" t="s">
        <v>94</v>
      </c>
    </row>
    <row r="22" spans="9:10" x14ac:dyDescent="0.15">
      <c r="I22" t="s">
        <v>95</v>
      </c>
      <c r="J22" t="s">
        <v>96</v>
      </c>
    </row>
    <row r="23" spans="9:10" x14ac:dyDescent="0.15">
      <c r="I23" t="s">
        <v>97</v>
      </c>
      <c r="J23" t="s">
        <v>98</v>
      </c>
    </row>
    <row r="24" spans="9:10" x14ac:dyDescent="0.15">
      <c r="I24" t="s">
        <v>99</v>
      </c>
      <c r="J24" t="s">
        <v>100</v>
      </c>
    </row>
    <row r="25" spans="9:10" x14ac:dyDescent="0.15">
      <c r="I25" t="s">
        <v>101</v>
      </c>
      <c r="J25" t="s">
        <v>102</v>
      </c>
    </row>
    <row r="26" spans="9:10" x14ac:dyDescent="0.15">
      <c r="I26" t="s">
        <v>103</v>
      </c>
      <c r="J26" t="s">
        <v>104</v>
      </c>
    </row>
    <row r="27" spans="9:10" x14ac:dyDescent="0.15">
      <c r="I27" t="s">
        <v>105</v>
      </c>
      <c r="J27" t="s">
        <v>106</v>
      </c>
    </row>
    <row r="28" spans="9:10" x14ac:dyDescent="0.15">
      <c r="I28" t="s">
        <v>107</v>
      </c>
      <c r="J28" t="s">
        <v>108</v>
      </c>
    </row>
    <row r="29" spans="9:10" x14ac:dyDescent="0.15">
      <c r="I29" t="s">
        <v>109</v>
      </c>
      <c r="J29" t="s">
        <v>110</v>
      </c>
    </row>
    <row r="30" spans="9:10" x14ac:dyDescent="0.15">
      <c r="I30" t="s">
        <v>111</v>
      </c>
      <c r="J30" t="s">
        <v>112</v>
      </c>
    </row>
    <row r="31" spans="9:10" x14ac:dyDescent="0.15">
      <c r="I31" t="s">
        <v>113</v>
      </c>
      <c r="J31" t="s">
        <v>114</v>
      </c>
    </row>
    <row r="32" spans="9:10" x14ac:dyDescent="0.15">
      <c r="I32" t="s">
        <v>115</v>
      </c>
      <c r="J32" t="s">
        <v>116</v>
      </c>
    </row>
    <row r="33" spans="9:10" x14ac:dyDescent="0.15">
      <c r="I33" t="s">
        <v>117</v>
      </c>
      <c r="J33" t="s">
        <v>118</v>
      </c>
    </row>
    <row r="34" spans="9:10" x14ac:dyDescent="0.15">
      <c r="I34" t="s">
        <v>119</v>
      </c>
      <c r="J34" t="s">
        <v>120</v>
      </c>
    </row>
    <row r="35" spans="9:10" x14ac:dyDescent="0.15">
      <c r="I35" t="s">
        <v>121</v>
      </c>
      <c r="J35" t="s">
        <v>122</v>
      </c>
    </row>
    <row r="36" spans="9:10" x14ac:dyDescent="0.15">
      <c r="I36" t="s">
        <v>123</v>
      </c>
      <c r="J36" t="s">
        <v>124</v>
      </c>
    </row>
    <row r="37" spans="9:10" x14ac:dyDescent="0.15">
      <c r="I37" t="s">
        <v>125</v>
      </c>
      <c r="J37" t="s">
        <v>126</v>
      </c>
    </row>
    <row r="38" spans="9:10" x14ac:dyDescent="0.15">
      <c r="I38" t="s">
        <v>127</v>
      </c>
      <c r="J38" t="s">
        <v>128</v>
      </c>
    </row>
    <row r="39" spans="9:10" x14ac:dyDescent="0.15">
      <c r="I39" t="s">
        <v>129</v>
      </c>
      <c r="J39" t="s">
        <v>130</v>
      </c>
    </row>
    <row r="40" spans="9:10" x14ac:dyDescent="0.15">
      <c r="I40" t="s">
        <v>43</v>
      </c>
      <c r="J40" t="s">
        <v>131</v>
      </c>
    </row>
    <row r="41" spans="9:10" x14ac:dyDescent="0.15">
      <c r="I41" t="s">
        <v>132</v>
      </c>
      <c r="J41" t="s">
        <v>133</v>
      </c>
    </row>
    <row r="42" spans="9:10" x14ac:dyDescent="0.15">
      <c r="I42" t="s">
        <v>134</v>
      </c>
      <c r="J42" t="s">
        <v>135</v>
      </c>
    </row>
    <row r="43" spans="9:10" x14ac:dyDescent="0.15">
      <c r="I43" t="s">
        <v>136</v>
      </c>
      <c r="J43" t="s">
        <v>137</v>
      </c>
    </row>
    <row r="44" spans="9:10" x14ac:dyDescent="0.15">
      <c r="I44" t="s">
        <v>138</v>
      </c>
      <c r="J44" t="s">
        <v>139</v>
      </c>
    </row>
    <row r="45" spans="9:10" x14ac:dyDescent="0.15">
      <c r="I45" t="s">
        <v>140</v>
      </c>
      <c r="J45" t="s">
        <v>141</v>
      </c>
    </row>
    <row r="46" spans="9:10" x14ac:dyDescent="0.15">
      <c r="I46" t="s">
        <v>142</v>
      </c>
      <c r="J46" t="s">
        <v>143</v>
      </c>
    </row>
    <row r="47" spans="9:10" x14ac:dyDescent="0.15">
      <c r="I47" t="s">
        <v>144</v>
      </c>
      <c r="J47" t="s">
        <v>145</v>
      </c>
    </row>
    <row r="48" spans="9:10" x14ac:dyDescent="0.15">
      <c r="I48" t="s">
        <v>146</v>
      </c>
      <c r="J48" t="s">
        <v>147</v>
      </c>
    </row>
    <row r="49" spans="9:10" x14ac:dyDescent="0.15">
      <c r="I49" t="s">
        <v>148</v>
      </c>
      <c r="J49" t="s">
        <v>149</v>
      </c>
    </row>
    <row r="50" spans="9:10" x14ac:dyDescent="0.15">
      <c r="I50" t="s">
        <v>150</v>
      </c>
      <c r="J50" t="s">
        <v>151</v>
      </c>
    </row>
    <row r="51" spans="9:10" x14ac:dyDescent="0.15">
      <c r="I51" t="s">
        <v>152</v>
      </c>
      <c r="J51" t="s">
        <v>153</v>
      </c>
    </row>
    <row r="52" spans="9:10" x14ac:dyDescent="0.15">
      <c r="I52" t="s">
        <v>154</v>
      </c>
      <c r="J52" t="s">
        <v>155</v>
      </c>
    </row>
    <row r="53" spans="9:10" x14ac:dyDescent="0.15">
      <c r="I53" t="s">
        <v>156</v>
      </c>
      <c r="J53" t="s">
        <v>157</v>
      </c>
    </row>
    <row r="54" spans="9:10" x14ac:dyDescent="0.15">
      <c r="I54" t="s">
        <v>158</v>
      </c>
      <c r="J54" t="s">
        <v>159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30"/>
  <sheetViews>
    <sheetView workbookViewId="0">
      <pane xSplit="2" ySplit="4" topLeftCell="H5" activePane="bottomRight" state="frozen"/>
      <selection pane="topRight"/>
      <selection pane="bottomLeft"/>
      <selection pane="bottomRight" activeCell="Q5" sqref="Q5:R13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6" t="s">
        <v>160</v>
      </c>
      <c r="B1" s="114"/>
      <c r="C1" s="114"/>
      <c r="D1" s="114"/>
      <c r="E1" s="114"/>
      <c r="F1" s="114"/>
      <c r="H1" s="122" t="str">
        <f>Summary!C1</f>
        <v>F032_v14.0</v>
      </c>
      <c r="I1" s="114"/>
      <c r="J1" s="114"/>
      <c r="K1" s="114"/>
      <c r="L1" s="114"/>
      <c r="M1" s="114"/>
      <c r="O1" s="123">
        <f>Summary!C2</f>
        <v>0</v>
      </c>
      <c r="P1" s="114"/>
      <c r="Q1" s="114"/>
      <c r="R1" s="114"/>
      <c r="S1" s="114"/>
      <c r="T1" s="114"/>
    </row>
    <row r="2" spans="1:24" ht="30" customHeight="1" x14ac:dyDescent="0.15">
      <c r="A2" s="125" t="s">
        <v>161</v>
      </c>
      <c r="B2" s="124" t="s">
        <v>162</v>
      </c>
      <c r="C2" s="125" t="s">
        <v>163</v>
      </c>
      <c r="D2" s="124" t="s">
        <v>164</v>
      </c>
      <c r="E2" s="125" t="s">
        <v>165</v>
      </c>
      <c r="F2" s="124" t="s">
        <v>166</v>
      </c>
      <c r="H2" s="125" t="s">
        <v>131</v>
      </c>
      <c r="I2" s="124" t="s">
        <v>135</v>
      </c>
      <c r="J2" s="125" t="s">
        <v>124</v>
      </c>
      <c r="K2" s="66" t="s">
        <v>167</v>
      </c>
      <c r="L2" s="124" t="s">
        <v>126</v>
      </c>
      <c r="M2" s="125" t="s">
        <v>106</v>
      </c>
      <c r="O2" s="124" t="s">
        <v>131</v>
      </c>
      <c r="P2" s="125" t="s">
        <v>135</v>
      </c>
      <c r="Q2" s="124" t="s">
        <v>124</v>
      </c>
      <c r="R2" s="66" t="s">
        <v>167</v>
      </c>
      <c r="S2" s="125" t="s">
        <v>126</v>
      </c>
      <c r="T2" s="124" t="s">
        <v>106</v>
      </c>
      <c r="V2" s="125" t="s">
        <v>168</v>
      </c>
      <c r="X2" s="125" t="s">
        <v>169</v>
      </c>
    </row>
    <row r="3" spans="1:24" ht="15.75" customHeight="1" thickBot="1" x14ac:dyDescent="0.2">
      <c r="A3" s="116"/>
      <c r="B3" s="116"/>
      <c r="C3" s="116"/>
      <c r="D3" s="116"/>
      <c r="E3" s="116"/>
      <c r="F3" s="116"/>
      <c r="H3" s="116"/>
      <c r="I3" s="116"/>
      <c r="J3" s="116"/>
      <c r="K3" s="32" t="s">
        <v>170</v>
      </c>
      <c r="L3" s="116"/>
      <c r="M3" s="116"/>
      <c r="O3" s="116"/>
      <c r="P3" s="116"/>
      <c r="Q3" s="116"/>
      <c r="R3" s="32" t="s">
        <v>170</v>
      </c>
      <c r="S3" s="116"/>
      <c r="T3" s="116"/>
      <c r="V3" s="116"/>
      <c r="X3" s="116"/>
    </row>
    <row r="4" spans="1:24" ht="48.75" hidden="1" customHeight="1" x14ac:dyDescent="0.15">
      <c r="A4" s="34" t="s">
        <v>171</v>
      </c>
      <c r="B4" s="35" t="s">
        <v>172</v>
      </c>
      <c r="C4" s="34" t="s">
        <v>173</v>
      </c>
      <c r="D4" s="35" t="s">
        <v>174</v>
      </c>
      <c r="E4" s="34" t="s">
        <v>175</v>
      </c>
      <c r="F4" s="35" t="s">
        <v>176</v>
      </c>
      <c r="H4" s="34" t="s">
        <v>177</v>
      </c>
      <c r="I4" s="35" t="s">
        <v>178</v>
      </c>
      <c r="J4" s="34" t="s">
        <v>179</v>
      </c>
      <c r="K4" s="34"/>
      <c r="L4" s="35" t="s">
        <v>180</v>
      </c>
      <c r="M4" s="34" t="s">
        <v>181</v>
      </c>
      <c r="O4" s="35" t="s">
        <v>182</v>
      </c>
      <c r="P4" s="34" t="s">
        <v>183</v>
      </c>
      <c r="Q4" s="35" t="s">
        <v>184</v>
      </c>
      <c r="R4" s="35"/>
      <c r="S4" s="34" t="s">
        <v>185</v>
      </c>
      <c r="T4" s="35" t="s">
        <v>186</v>
      </c>
      <c r="V4" s="34" t="s">
        <v>187</v>
      </c>
    </row>
    <row r="5" spans="1:24" x14ac:dyDescent="0.15">
      <c r="A5" s="36" t="s">
        <v>188</v>
      </c>
      <c r="B5" s="36" t="s">
        <v>41</v>
      </c>
      <c r="C5" s="36">
        <v>11997440</v>
      </c>
      <c r="D5" s="38">
        <v>10</v>
      </c>
      <c r="E5" s="37">
        <v>32</v>
      </c>
      <c r="F5" s="37">
        <v>30</v>
      </c>
      <c r="H5" s="49">
        <f t="shared" ref="H5:H13" si="0">IF(OR(ISBLANK(J5),ISBLANK(F5)),"·",J5*F5/E5/1000000)</f>
        <v>852.68991000000005</v>
      </c>
      <c r="I5" s="50">
        <f t="shared" ref="I5:I13" si="1">IF(ISBLANK(J5),"·",J5/C5)</f>
        <v>75.810831644084075</v>
      </c>
      <c r="J5" s="52">
        <v>909535904</v>
      </c>
      <c r="K5" s="52">
        <v>13579056</v>
      </c>
      <c r="L5" s="73"/>
      <c r="M5" s="73"/>
      <c r="O5" s="49" t="str">
        <f t="shared" ref="O5:O13" si="2">IF(OR(ISBLANK(Q5),ISBLANK(F5)),"·",Q5*F5/E5/1000000)</f>
        <v>·</v>
      </c>
      <c r="P5" s="50" t="str">
        <f t="shared" ref="P5:P13" si="3">IF(ISBLANK(Q5),"·",Q5/C5)</f>
        <v>·</v>
      </c>
      <c r="Q5" s="52"/>
      <c r="R5" s="52"/>
      <c r="S5" s="73"/>
      <c r="T5" s="73"/>
      <c r="V5" s="6" t="e">
        <f t="shared" ref="V5:V18" si="4">P5/I5</f>
        <v>#VALUE!</v>
      </c>
      <c r="X5" s="6" t="str">
        <f t="shared" ref="X5:X13" si="5">IF(OR(ISBLANK(R5),ISBLANK(K5)),".",R5/K5-1)</f>
        <v>.</v>
      </c>
    </row>
    <row r="6" spans="1:24" ht="15.75" customHeight="1" thickBot="1" x14ac:dyDescent="0.2">
      <c r="A6" s="45"/>
      <c r="B6" s="45" t="s">
        <v>49</v>
      </c>
      <c r="C6" s="45">
        <v>9000000</v>
      </c>
      <c r="D6" s="47">
        <v>10</v>
      </c>
      <c r="E6" s="46">
        <v>32</v>
      </c>
      <c r="F6" s="46">
        <v>30</v>
      </c>
      <c r="H6" s="61">
        <f t="shared" si="0"/>
        <v>630.69938999999999</v>
      </c>
      <c r="I6" s="62">
        <f t="shared" si="1"/>
        <v>74.749557333333328</v>
      </c>
      <c r="J6" s="64">
        <v>672746016</v>
      </c>
      <c r="K6" s="64">
        <v>14378688</v>
      </c>
      <c r="L6" s="76"/>
      <c r="M6" s="76"/>
      <c r="O6" s="61" t="str">
        <f t="shared" si="2"/>
        <v>·</v>
      </c>
      <c r="P6" s="62" t="str">
        <f t="shared" si="3"/>
        <v>·</v>
      </c>
      <c r="Q6" s="64"/>
      <c r="R6" s="64"/>
      <c r="S6" s="76"/>
      <c r="T6" s="76"/>
      <c r="V6" s="14" t="e">
        <f t="shared" si="4"/>
        <v>#VALUE!</v>
      </c>
      <c r="X6" s="14" t="str">
        <f t="shared" si="5"/>
        <v>.</v>
      </c>
    </row>
    <row r="7" spans="1:24" x14ac:dyDescent="0.15">
      <c r="A7" s="36" t="s">
        <v>189</v>
      </c>
      <c r="B7" s="36" t="s">
        <v>54</v>
      </c>
      <c r="C7" s="36">
        <v>11842002</v>
      </c>
      <c r="D7" s="38">
        <v>12</v>
      </c>
      <c r="E7" s="37">
        <v>32</v>
      </c>
      <c r="F7" s="37">
        <v>30</v>
      </c>
      <c r="H7" s="49">
        <f t="shared" si="0"/>
        <v>597.33572249999997</v>
      </c>
      <c r="I7" s="50">
        <f t="shared" si="1"/>
        <v>53.804931294556447</v>
      </c>
      <c r="J7" s="52">
        <v>637158104</v>
      </c>
      <c r="K7" s="52">
        <v>16137280</v>
      </c>
      <c r="L7" s="73"/>
      <c r="M7" s="73"/>
      <c r="O7" s="49" t="str">
        <f t="shared" si="2"/>
        <v>·</v>
      </c>
      <c r="P7" s="50" t="str">
        <f t="shared" si="3"/>
        <v>·</v>
      </c>
      <c r="Q7" s="52"/>
      <c r="R7" s="52"/>
      <c r="S7" s="73"/>
      <c r="T7" s="73"/>
      <c r="V7" s="6" t="e">
        <f t="shared" si="4"/>
        <v>#VALUE!</v>
      </c>
      <c r="X7" s="6" t="str">
        <f t="shared" si="5"/>
        <v>.</v>
      </c>
    </row>
    <row r="8" spans="1:24" ht="15.75" customHeight="1" thickBot="1" x14ac:dyDescent="0.2">
      <c r="A8" s="45"/>
      <c r="B8" s="45" t="s">
        <v>59</v>
      </c>
      <c r="C8" s="45">
        <v>11812090</v>
      </c>
      <c r="D8" s="47">
        <v>12</v>
      </c>
      <c r="E8" s="46">
        <v>32</v>
      </c>
      <c r="F8" s="46">
        <v>50</v>
      </c>
      <c r="H8" s="61">
        <f t="shared" si="0"/>
        <v>972.60844999999995</v>
      </c>
      <c r="I8" s="62">
        <f t="shared" si="1"/>
        <v>52.697651981994717</v>
      </c>
      <c r="J8" s="64">
        <v>622469408</v>
      </c>
      <c r="K8" s="64">
        <v>15942112</v>
      </c>
      <c r="L8" s="76"/>
      <c r="M8" s="76"/>
      <c r="O8" s="61" t="str">
        <f t="shared" si="2"/>
        <v>·</v>
      </c>
      <c r="P8" s="62" t="str">
        <f t="shared" si="3"/>
        <v>·</v>
      </c>
      <c r="Q8" s="64"/>
      <c r="R8" s="64"/>
      <c r="S8" s="76"/>
      <c r="T8" s="76"/>
      <c r="V8" s="14" t="e">
        <f t="shared" si="4"/>
        <v>#VALUE!</v>
      </c>
      <c r="X8" s="14" t="str">
        <f t="shared" si="5"/>
        <v>.</v>
      </c>
    </row>
    <row r="9" spans="1:24" x14ac:dyDescent="0.15">
      <c r="A9" s="36" t="s">
        <v>190</v>
      </c>
      <c r="B9" s="36" t="s">
        <v>64</v>
      </c>
      <c r="C9" s="36">
        <v>12000000</v>
      </c>
      <c r="D9" s="38">
        <v>12</v>
      </c>
      <c r="E9" s="37">
        <v>32</v>
      </c>
      <c r="F9" s="37">
        <v>30</v>
      </c>
      <c r="H9" s="49">
        <f t="shared" si="0"/>
        <v>2868.3032400000002</v>
      </c>
      <c r="I9" s="50">
        <f t="shared" si="1"/>
        <v>254.96028799999999</v>
      </c>
      <c r="J9" s="52">
        <v>3059523456</v>
      </c>
      <c r="K9" s="52">
        <v>17820616</v>
      </c>
      <c r="L9" s="73"/>
      <c r="M9" s="73"/>
      <c r="O9" s="49" t="str">
        <f t="shared" si="2"/>
        <v>·</v>
      </c>
      <c r="P9" s="50" t="str">
        <f t="shared" si="3"/>
        <v>·</v>
      </c>
      <c r="Q9" s="52"/>
      <c r="R9" s="52"/>
      <c r="S9" s="73"/>
      <c r="T9" s="73"/>
      <c r="V9" s="6" t="e">
        <f t="shared" si="4"/>
        <v>#VALUE!</v>
      </c>
      <c r="X9" s="6" t="str">
        <f t="shared" si="5"/>
        <v>.</v>
      </c>
    </row>
    <row r="10" spans="1:24" x14ac:dyDescent="0.15">
      <c r="A10" s="39"/>
      <c r="B10" s="39" t="s">
        <v>69</v>
      </c>
      <c r="C10" s="39">
        <v>5997654</v>
      </c>
      <c r="D10" s="41">
        <v>12</v>
      </c>
      <c r="E10" s="40">
        <v>32</v>
      </c>
      <c r="F10" s="40">
        <v>30</v>
      </c>
      <c r="H10" s="53">
        <f t="shared" si="0"/>
        <v>2416.7262300000002</v>
      </c>
      <c r="I10" s="54">
        <f t="shared" si="1"/>
        <v>429.80827370168402</v>
      </c>
      <c r="J10" s="56">
        <v>2577841312</v>
      </c>
      <c r="K10" s="56">
        <v>25885688</v>
      </c>
      <c r="L10" s="74"/>
      <c r="M10" s="74"/>
      <c r="O10" s="53" t="str">
        <f t="shared" si="2"/>
        <v>·</v>
      </c>
      <c r="P10" s="54" t="str">
        <f t="shared" si="3"/>
        <v>·</v>
      </c>
      <c r="Q10" s="56"/>
      <c r="R10" s="56"/>
      <c r="S10" s="74"/>
      <c r="T10" s="74"/>
      <c r="V10" s="10" t="e">
        <f t="shared" si="4"/>
        <v>#VALUE!</v>
      </c>
      <c r="X10" s="10" t="str">
        <f t="shared" si="5"/>
        <v>.</v>
      </c>
    </row>
    <row r="11" spans="1:24" x14ac:dyDescent="0.15">
      <c r="A11" s="36"/>
      <c r="B11" s="36" t="s">
        <v>74</v>
      </c>
      <c r="C11" s="36">
        <v>9000000</v>
      </c>
      <c r="D11" s="38">
        <v>12</v>
      </c>
      <c r="E11" s="37">
        <v>32</v>
      </c>
      <c r="F11" s="37">
        <v>30</v>
      </c>
      <c r="H11" s="49">
        <f t="shared" si="0"/>
        <v>3549.9054974999999</v>
      </c>
      <c r="I11" s="50">
        <f t="shared" si="1"/>
        <v>420.72954044444447</v>
      </c>
      <c r="J11" s="52">
        <v>3786565864</v>
      </c>
      <c r="K11" s="52">
        <v>14482264</v>
      </c>
      <c r="L11" s="73"/>
      <c r="M11" s="73"/>
      <c r="O11" s="49" t="str">
        <f t="shared" si="2"/>
        <v>·</v>
      </c>
      <c r="P11" s="50" t="str">
        <f t="shared" si="3"/>
        <v>·</v>
      </c>
      <c r="Q11" s="52"/>
      <c r="R11" s="52"/>
      <c r="S11" s="73"/>
      <c r="T11" s="73"/>
      <c r="V11" s="6" t="e">
        <f t="shared" si="4"/>
        <v>#VALUE!</v>
      </c>
      <c r="X11" s="6" t="str">
        <f t="shared" si="5"/>
        <v>.</v>
      </c>
    </row>
    <row r="12" spans="1:24" ht="15.75" customHeight="1" thickBot="1" x14ac:dyDescent="0.2">
      <c r="A12" s="45"/>
      <c r="B12" s="45" t="s">
        <v>79</v>
      </c>
      <c r="C12" s="45">
        <v>9000000</v>
      </c>
      <c r="D12" s="47">
        <v>12</v>
      </c>
      <c r="E12" s="46">
        <v>32</v>
      </c>
      <c r="F12" s="46">
        <v>30</v>
      </c>
      <c r="H12" s="61">
        <f t="shared" si="0"/>
        <v>2569.3842974999998</v>
      </c>
      <c r="I12" s="62">
        <f t="shared" si="1"/>
        <v>304.51962044444446</v>
      </c>
      <c r="J12" s="64">
        <v>2740676584</v>
      </c>
      <c r="K12" s="64">
        <v>13917264</v>
      </c>
      <c r="L12" s="76"/>
      <c r="M12" s="76"/>
      <c r="O12" s="61" t="str">
        <f t="shared" si="2"/>
        <v>·</v>
      </c>
      <c r="P12" s="62" t="str">
        <f t="shared" si="3"/>
        <v>·</v>
      </c>
      <c r="Q12" s="64"/>
      <c r="R12" s="64"/>
      <c r="S12" s="76"/>
      <c r="T12" s="76"/>
      <c r="V12" s="14" t="e">
        <f t="shared" si="4"/>
        <v>#VALUE!</v>
      </c>
      <c r="X12" s="14" t="str">
        <f t="shared" si="5"/>
        <v>.</v>
      </c>
    </row>
    <row r="13" spans="1:24" ht="15.75" customHeight="1" thickBot="1" x14ac:dyDescent="0.2">
      <c r="A13" s="95" t="s">
        <v>191</v>
      </c>
      <c r="B13" s="95" t="s">
        <v>33</v>
      </c>
      <c r="C13" s="95">
        <v>199984</v>
      </c>
      <c r="D13" s="96">
        <v>10</v>
      </c>
      <c r="E13" s="97">
        <v>1</v>
      </c>
      <c r="F13" s="97">
        <v>30</v>
      </c>
      <c r="H13" s="98">
        <f t="shared" si="0"/>
        <v>946.33920000000001</v>
      </c>
      <c r="I13" s="99">
        <f t="shared" si="1"/>
        <v>157.73581886550923</v>
      </c>
      <c r="J13" s="100">
        <v>31544640</v>
      </c>
      <c r="K13" s="100">
        <v>2158320</v>
      </c>
      <c r="L13" s="101"/>
      <c r="M13" s="101"/>
      <c r="O13" s="98" t="str">
        <f t="shared" si="2"/>
        <v>·</v>
      </c>
      <c r="P13" s="62" t="str">
        <f t="shared" si="3"/>
        <v>·</v>
      </c>
      <c r="Q13" s="100"/>
      <c r="R13" s="100"/>
      <c r="S13" s="101"/>
      <c r="T13" s="101"/>
      <c r="V13" s="14" t="e">
        <f t="shared" si="4"/>
        <v>#VALUE!</v>
      </c>
      <c r="X13" s="14" t="str">
        <f t="shared" si="5"/>
        <v>.</v>
      </c>
    </row>
    <row r="14" spans="1:24" x14ac:dyDescent="0.15">
      <c r="B14" s="48" t="s">
        <v>7</v>
      </c>
      <c r="I14" s="65">
        <f>AVERAGE(I5:I6)</f>
        <v>75.280194488708702</v>
      </c>
      <c r="P14" s="65" t="e">
        <f>AVERAGE(P5:P6)</f>
        <v>#DIV/0!</v>
      </c>
      <c r="V14" s="86" t="e">
        <f t="shared" si="4"/>
        <v>#DIV/0!</v>
      </c>
      <c r="X14" s="65" t="e">
        <f>AVERAGE(X5:X6)</f>
        <v>#DIV/0!</v>
      </c>
    </row>
    <row r="15" spans="1:24" x14ac:dyDescent="0.15">
      <c r="B15" s="48" t="s">
        <v>8</v>
      </c>
      <c r="I15" s="65">
        <f>AVERAGE(I7:I8)</f>
        <v>53.251291638275582</v>
      </c>
      <c r="P15" s="65" t="e">
        <f>AVERAGE(P7:P8)</f>
        <v>#DIV/0!</v>
      </c>
      <c r="V15" s="86" t="e">
        <f t="shared" si="4"/>
        <v>#DIV/0!</v>
      </c>
      <c r="X15" s="65" t="e">
        <f>AVERAGE(X7:X8)</f>
        <v>#DIV/0!</v>
      </c>
    </row>
    <row r="16" spans="1:24" x14ac:dyDescent="0.15">
      <c r="B16" s="48" t="s">
        <v>9</v>
      </c>
      <c r="I16" s="65">
        <f>AVERAGE(I9:I12)</f>
        <v>352.50443064764323</v>
      </c>
      <c r="P16" s="65" t="e">
        <f>AVERAGE(P9:P12)</f>
        <v>#DIV/0!</v>
      </c>
      <c r="V16" s="86" t="e">
        <f t="shared" si="4"/>
        <v>#DIV/0!</v>
      </c>
      <c r="X16" s="65" t="e">
        <f>AVERAGE(X9:X12)</f>
        <v>#DIV/0!</v>
      </c>
    </row>
    <row r="17" spans="1:24" x14ac:dyDescent="0.15">
      <c r="B17" s="48" t="s">
        <v>10</v>
      </c>
      <c r="I17" s="65">
        <f>AVERAGE(I13)</f>
        <v>157.73581886550923</v>
      </c>
      <c r="P17" s="65" t="e">
        <f>AVERAGE(P13)</f>
        <v>#DIV/0!</v>
      </c>
      <c r="V17" s="86" t="e">
        <f t="shared" si="4"/>
        <v>#DIV/0!</v>
      </c>
      <c r="X17" s="65" t="e">
        <f>AVERAGE(X10:X13)</f>
        <v>#DIV/0!</v>
      </c>
    </row>
    <row r="18" spans="1:24" x14ac:dyDescent="0.15">
      <c r="B18" s="48" t="s">
        <v>11</v>
      </c>
      <c r="I18" s="65">
        <f>AVERAGE(I5:I13)</f>
        <v>202.75739041222786</v>
      </c>
      <c r="P18" s="65" t="e">
        <f>AVERAGE(P5:P13)</f>
        <v>#DIV/0!</v>
      </c>
      <c r="V18" s="86" t="e">
        <f t="shared" si="4"/>
        <v>#DIV/0!</v>
      </c>
      <c r="X18" s="65" t="e">
        <f>AVERAGE(X5:X12)</f>
        <v>#DIV/0!</v>
      </c>
    </row>
    <row r="19" spans="1:24" x14ac:dyDescent="0.15">
      <c r="A19" s="48" t="s">
        <v>192</v>
      </c>
      <c r="B19" s="48" t="s">
        <v>193</v>
      </c>
      <c r="L19" s="77">
        <f>SUM(L5:L6,L7:L8,L9:L12)</f>
        <v>0</v>
      </c>
      <c r="M19" s="77">
        <f>SUM(M5:M6,M7:M8,M9:M12)</f>
        <v>0</v>
      </c>
      <c r="S19" s="77">
        <f>SUM(S5:S6,S7:S8,S9:S12)</f>
        <v>0</v>
      </c>
      <c r="T19" s="77">
        <f>SUM(T5:T6,T7:T8,T9:T12)</f>
        <v>0</v>
      </c>
    </row>
    <row r="20" spans="1:24" x14ac:dyDescent="0.15">
      <c r="B20" s="48" t="s">
        <v>194</v>
      </c>
      <c r="S20" s="87" t="e">
        <f>S19/L19</f>
        <v>#DIV/0!</v>
      </c>
      <c r="T20" s="87" t="e">
        <f>T19/M19</f>
        <v>#DIV/0!</v>
      </c>
    </row>
    <row r="22" spans="1:24" x14ac:dyDescent="0.15">
      <c r="Q22" s="72">
        <f>Q5-J5</f>
        <v>-909535904</v>
      </c>
      <c r="R22" s="72">
        <f>R5-K5</f>
        <v>-13579056</v>
      </c>
    </row>
    <row r="23" spans="1:24" x14ac:dyDescent="0.15">
      <c r="Q23" s="72">
        <f t="shared" ref="Q23:R23" si="6">Q6-J6</f>
        <v>-672746016</v>
      </c>
      <c r="R23" s="72">
        <f t="shared" si="6"/>
        <v>-14378688</v>
      </c>
    </row>
    <row r="24" spans="1:24" x14ac:dyDescent="0.15">
      <c r="Q24" s="72">
        <f t="shared" ref="Q24:R24" si="7">Q7-J7</f>
        <v>-637158104</v>
      </c>
      <c r="R24" s="72">
        <f t="shared" si="7"/>
        <v>-16137280</v>
      </c>
    </row>
    <row r="25" spans="1:24" x14ac:dyDescent="0.15">
      <c r="Q25" s="72">
        <f t="shared" ref="Q25:R25" si="8">Q8-J8</f>
        <v>-622469408</v>
      </c>
      <c r="R25" s="72">
        <f t="shared" si="8"/>
        <v>-15942112</v>
      </c>
    </row>
    <row r="26" spans="1:24" x14ac:dyDescent="0.15">
      <c r="Q26" s="72">
        <f t="shared" ref="Q26:R26" si="9">Q9-J9</f>
        <v>-3059523456</v>
      </c>
      <c r="R26" s="72">
        <f t="shared" si="9"/>
        <v>-17820616</v>
      </c>
    </row>
    <row r="27" spans="1:24" x14ac:dyDescent="0.15">
      <c r="Q27" s="72">
        <f t="shared" ref="Q27:R27" si="10">Q10-J10</f>
        <v>-2577841312</v>
      </c>
      <c r="R27" s="72">
        <f t="shared" si="10"/>
        <v>-25885688</v>
      </c>
    </row>
    <row r="28" spans="1:24" x14ac:dyDescent="0.15">
      <c r="Q28" s="72">
        <f t="shared" ref="Q28:R28" si="11">Q11-J11</f>
        <v>-3786565864</v>
      </c>
      <c r="R28" s="72">
        <f t="shared" si="11"/>
        <v>-14482264</v>
      </c>
    </row>
    <row r="29" spans="1:24" x14ac:dyDescent="0.15">
      <c r="Q29" s="72">
        <f t="shared" ref="Q29:R29" si="12">Q12-J12</f>
        <v>-2740676584</v>
      </c>
      <c r="R29" s="72">
        <f t="shared" si="12"/>
        <v>-13917264</v>
      </c>
    </row>
    <row r="30" spans="1:24" x14ac:dyDescent="0.15">
      <c r="Q30" s="72"/>
      <c r="R30" s="72"/>
    </row>
  </sheetData>
  <mergeCells count="21">
    <mergeCell ref="A1:F1"/>
    <mergeCell ref="H1:M1"/>
    <mergeCell ref="O1:T1"/>
    <mergeCell ref="A2:A3"/>
    <mergeCell ref="B2:B3"/>
    <mergeCell ref="C2:C3"/>
    <mergeCell ref="D2:D3"/>
    <mergeCell ref="E2:E3"/>
    <mergeCell ref="F2:F3"/>
    <mergeCell ref="H2:H3"/>
    <mergeCell ref="I2:I3"/>
    <mergeCell ref="J2:J3"/>
    <mergeCell ref="L2:L3"/>
    <mergeCell ref="M2:M3"/>
    <mergeCell ref="O2:O3"/>
    <mergeCell ref="P2:P3"/>
    <mergeCell ref="Q2:Q3"/>
    <mergeCell ref="S2:S3"/>
    <mergeCell ref="T2:T3"/>
    <mergeCell ref="V2:V3"/>
    <mergeCell ref="X2:X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customWidth="1"/>
  </cols>
  <sheetData>
    <row r="1" spans="1:2" x14ac:dyDescent="0.15">
      <c r="A1" t="s">
        <v>195</v>
      </c>
      <c r="B1">
        <v>1</v>
      </c>
    </row>
    <row r="2" spans="1:2" x14ac:dyDescent="0.15">
      <c r="A2" t="s">
        <v>196</v>
      </c>
      <c r="B2">
        <v>2</v>
      </c>
    </row>
    <row r="3" spans="1:2" x14ac:dyDescent="0.15">
      <c r="A3" t="s">
        <v>197</v>
      </c>
      <c r="B3">
        <v>3</v>
      </c>
    </row>
    <row r="4" spans="1:2" x14ac:dyDescent="0.15">
      <c r="A4" t="s">
        <v>198</v>
      </c>
      <c r="B4">
        <v>4</v>
      </c>
    </row>
    <row r="5" spans="1:2" x14ac:dyDescent="0.15">
      <c r="A5" t="s">
        <v>199</v>
      </c>
      <c r="B5">
        <v>5</v>
      </c>
    </row>
    <row r="6" spans="1:2" x14ac:dyDescent="0.15">
      <c r="A6" t="s">
        <v>200</v>
      </c>
      <c r="B6">
        <v>6</v>
      </c>
    </row>
    <row r="7" spans="1:2" x14ac:dyDescent="0.15">
      <c r="A7" t="s">
        <v>201</v>
      </c>
      <c r="B7">
        <v>8</v>
      </c>
    </row>
    <row r="8" spans="1:2" x14ac:dyDescent="0.15">
      <c r="A8" t="s">
        <v>202</v>
      </c>
      <c r="B8">
        <v>9</v>
      </c>
    </row>
    <row r="9" spans="1:2" x14ac:dyDescent="0.15">
      <c r="A9" t="s">
        <v>203</v>
      </c>
      <c r="B9">
        <v>10</v>
      </c>
    </row>
    <row r="10" spans="1:2" x14ac:dyDescent="0.15">
      <c r="A10" t="s">
        <v>204</v>
      </c>
      <c r="B10">
        <v>11</v>
      </c>
    </row>
    <row r="11" spans="1:2" x14ac:dyDescent="0.15">
      <c r="A11" t="s">
        <v>205</v>
      </c>
      <c r="B11">
        <v>12</v>
      </c>
    </row>
    <row r="12" spans="1:2" x14ac:dyDescent="0.15">
      <c r="A12" t="s">
        <v>206</v>
      </c>
      <c r="B12">
        <v>14</v>
      </c>
    </row>
    <row r="13" spans="1:2" x14ac:dyDescent="0.15">
      <c r="A13" t="s">
        <v>207</v>
      </c>
      <c r="B13">
        <v>15</v>
      </c>
    </row>
    <row r="14" spans="1:2" x14ac:dyDescent="0.15">
      <c r="A14" t="s">
        <v>208</v>
      </c>
      <c r="B14">
        <v>16</v>
      </c>
    </row>
    <row r="15" spans="1:2" x14ac:dyDescent="0.15">
      <c r="A15" t="s">
        <v>209</v>
      </c>
      <c r="B15">
        <v>17</v>
      </c>
    </row>
    <row r="16" spans="1:2" x14ac:dyDescent="0.15">
      <c r="A16" t="s">
        <v>210</v>
      </c>
      <c r="B16">
        <v>18</v>
      </c>
    </row>
    <row r="17" spans="1:2" x14ac:dyDescent="0.15">
      <c r="A17" t="s">
        <v>211</v>
      </c>
      <c r="B17">
        <v>20</v>
      </c>
    </row>
    <row r="18" spans="1:2" x14ac:dyDescent="0.15">
      <c r="A18" t="s">
        <v>212</v>
      </c>
      <c r="B18" t="s">
        <v>213</v>
      </c>
    </row>
    <row r="19" spans="1:2" x14ac:dyDescent="0.15">
      <c r="A19" t="s">
        <v>214</v>
      </c>
      <c r="B19" t="s">
        <v>215</v>
      </c>
    </row>
    <row r="20" spans="1:2" x14ac:dyDescent="0.15">
      <c r="A20" t="s">
        <v>216</v>
      </c>
      <c r="B20" t="s">
        <v>217</v>
      </c>
    </row>
    <row r="21" spans="1:2" x14ac:dyDescent="0.15">
      <c r="A21" t="s">
        <v>218</v>
      </c>
      <c r="B21" t="s">
        <v>219</v>
      </c>
    </row>
    <row r="22" spans="1:2" x14ac:dyDescent="0.15">
      <c r="A22" t="s">
        <v>220</v>
      </c>
      <c r="B22" t="s">
        <v>221</v>
      </c>
    </row>
    <row r="23" spans="1:2" x14ac:dyDescent="0.15">
      <c r="A23" t="s">
        <v>222</v>
      </c>
      <c r="B23" t="s">
        <v>223</v>
      </c>
    </row>
    <row r="24" spans="1:2" x14ac:dyDescent="0.15">
      <c r="A24" t="s">
        <v>224</v>
      </c>
      <c r="B24" t="s">
        <v>225</v>
      </c>
    </row>
    <row r="25" spans="1:2" x14ac:dyDescent="0.15">
      <c r="A25" t="s">
        <v>226</v>
      </c>
      <c r="B25" t="s">
        <v>227</v>
      </c>
    </row>
    <row r="26" spans="1:2" x14ac:dyDescent="0.15">
      <c r="A26" t="s">
        <v>228</v>
      </c>
      <c r="B26" t="s">
        <v>229</v>
      </c>
    </row>
    <row r="27" spans="1:2" x14ac:dyDescent="0.15">
      <c r="A27" t="s">
        <v>230</v>
      </c>
      <c r="B27" t="s">
        <v>231</v>
      </c>
    </row>
    <row r="28" spans="1:2" x14ac:dyDescent="0.15">
      <c r="A28" t="s">
        <v>232</v>
      </c>
      <c r="B28" s="112" t="s">
        <v>233</v>
      </c>
    </row>
    <row r="29" spans="1:2" x14ac:dyDescent="0.15">
      <c r="A29" t="s">
        <v>234</v>
      </c>
      <c r="B29">
        <v>1</v>
      </c>
    </row>
    <row r="30" spans="1:2" x14ac:dyDescent="0.15">
      <c r="A30" t="s">
        <v>235</v>
      </c>
      <c r="B30">
        <v>2</v>
      </c>
    </row>
    <row r="31" spans="1:2" x14ac:dyDescent="0.15">
      <c r="A31" t="s">
        <v>236</v>
      </c>
      <c r="B31">
        <v>3</v>
      </c>
    </row>
    <row r="32" spans="1:2" x14ac:dyDescent="0.15">
      <c r="A32" t="s">
        <v>237</v>
      </c>
      <c r="B32">
        <v>4</v>
      </c>
    </row>
    <row r="33" spans="1:2" x14ac:dyDescent="0.15">
      <c r="A33" t="s">
        <v>238</v>
      </c>
      <c r="B33">
        <v>5</v>
      </c>
    </row>
    <row r="34" spans="1:2" x14ac:dyDescent="0.15">
      <c r="A34" t="s">
        <v>239</v>
      </c>
      <c r="B34">
        <v>6</v>
      </c>
    </row>
    <row r="35" spans="1:2" x14ac:dyDescent="0.15">
      <c r="A35" t="s">
        <v>240</v>
      </c>
      <c r="B35">
        <v>7</v>
      </c>
    </row>
    <row r="36" spans="1:2" x14ac:dyDescent="0.15">
      <c r="A36" t="s">
        <v>241</v>
      </c>
      <c r="B36">
        <v>8</v>
      </c>
    </row>
    <row r="37" spans="1:2" x14ac:dyDescent="0.15">
      <c r="A37" t="s">
        <v>242</v>
      </c>
      <c r="B37">
        <v>10</v>
      </c>
    </row>
    <row r="38" spans="1:2" x14ac:dyDescent="0.15">
      <c r="A38" t="s">
        <v>243</v>
      </c>
      <c r="B38">
        <v>11</v>
      </c>
    </row>
    <row r="39" spans="1:2" x14ac:dyDescent="0.15">
      <c r="A39" t="s">
        <v>244</v>
      </c>
      <c r="B39">
        <v>13</v>
      </c>
    </row>
    <row r="40" spans="1:2" x14ac:dyDescent="0.15">
      <c r="A40" t="s">
        <v>245</v>
      </c>
      <c r="B40">
        <v>14</v>
      </c>
    </row>
    <row r="41" spans="1:2" x14ac:dyDescent="0.15">
      <c r="A41" t="s">
        <v>246</v>
      </c>
      <c r="B41">
        <v>15</v>
      </c>
    </row>
    <row r="42" spans="1:2" x14ac:dyDescent="0.15">
      <c r="A42" t="s">
        <v>247</v>
      </c>
      <c r="B42">
        <v>16</v>
      </c>
    </row>
    <row r="43" spans="1:2" x14ac:dyDescent="0.15">
      <c r="A43" t="s">
        <v>248</v>
      </c>
      <c r="B43">
        <v>17</v>
      </c>
    </row>
    <row r="44" spans="1:2" x14ac:dyDescent="0.15">
      <c r="A44" t="s">
        <v>249</v>
      </c>
      <c r="B44">
        <v>18</v>
      </c>
    </row>
    <row r="45" spans="1:2" x14ac:dyDescent="0.15">
      <c r="A45" t="s">
        <v>250</v>
      </c>
      <c r="B45">
        <v>19</v>
      </c>
    </row>
    <row r="46" spans="1:2" x14ac:dyDescent="0.15">
      <c r="A46" t="s">
        <v>251</v>
      </c>
      <c r="B46">
        <v>20</v>
      </c>
    </row>
    <row r="47" spans="1:2" x14ac:dyDescent="0.15">
      <c r="A47" t="s">
        <v>252</v>
      </c>
      <c r="B47">
        <v>21</v>
      </c>
    </row>
    <row r="48" spans="1:2" x14ac:dyDescent="0.15">
      <c r="A48" t="s">
        <v>253</v>
      </c>
      <c r="B48">
        <v>22</v>
      </c>
    </row>
    <row r="49" spans="1:2" x14ac:dyDescent="0.15">
      <c r="A49" t="s">
        <v>254</v>
      </c>
      <c r="B49">
        <v>23</v>
      </c>
    </row>
    <row r="50" spans="1:2" x14ac:dyDescent="0.15">
      <c r="A50" t="s">
        <v>255</v>
      </c>
      <c r="B50">
        <v>24</v>
      </c>
    </row>
    <row r="51" spans="1:2" x14ac:dyDescent="0.15">
      <c r="A51" t="s">
        <v>256</v>
      </c>
      <c r="B51">
        <v>25</v>
      </c>
    </row>
    <row r="52" spans="1:2" x14ac:dyDescent="0.15">
      <c r="A52" t="s">
        <v>257</v>
      </c>
      <c r="B52">
        <v>26</v>
      </c>
    </row>
    <row r="53" spans="1:2" x14ac:dyDescent="0.15">
      <c r="A53" t="s">
        <v>258</v>
      </c>
      <c r="B53">
        <v>27</v>
      </c>
    </row>
    <row r="54" spans="1:2" x14ac:dyDescent="0.15">
      <c r="A54" t="s">
        <v>259</v>
      </c>
      <c r="B54">
        <v>28</v>
      </c>
    </row>
    <row r="55" spans="1:2" x14ac:dyDescent="0.15">
      <c r="A55" t="s">
        <v>260</v>
      </c>
      <c r="B55">
        <v>29</v>
      </c>
    </row>
    <row r="56" spans="1:2" x14ac:dyDescent="0.15">
      <c r="A56" t="s">
        <v>261</v>
      </c>
      <c r="B56">
        <v>31</v>
      </c>
    </row>
    <row r="57" spans="1:2" x14ac:dyDescent="0.15">
      <c r="A57" t="s">
        <v>262</v>
      </c>
      <c r="B57">
        <v>32</v>
      </c>
    </row>
    <row r="58" spans="1:2" x14ac:dyDescent="0.15">
      <c r="A58" t="s">
        <v>263</v>
      </c>
      <c r="B58">
        <v>34</v>
      </c>
    </row>
    <row r="59" spans="1:2" x14ac:dyDescent="0.15">
      <c r="A59" t="s">
        <v>264</v>
      </c>
      <c r="B59">
        <v>35</v>
      </c>
    </row>
    <row r="60" spans="1:2" x14ac:dyDescent="0.15">
      <c r="A60" t="s">
        <v>265</v>
      </c>
      <c r="B60">
        <v>36</v>
      </c>
    </row>
    <row r="61" spans="1:2" x14ac:dyDescent="0.15">
      <c r="A61" t="s">
        <v>266</v>
      </c>
      <c r="B61">
        <v>37</v>
      </c>
    </row>
    <row r="62" spans="1:2" x14ac:dyDescent="0.15">
      <c r="A62" t="s">
        <v>267</v>
      </c>
      <c r="B62">
        <v>38</v>
      </c>
    </row>
    <row r="63" spans="1:2" x14ac:dyDescent="0.15">
      <c r="A63" t="s">
        <v>268</v>
      </c>
      <c r="B63">
        <v>39</v>
      </c>
    </row>
    <row r="64" spans="1:2" x14ac:dyDescent="0.15">
      <c r="A64" t="s">
        <v>269</v>
      </c>
      <c r="B64">
        <v>40</v>
      </c>
    </row>
    <row r="65" spans="1:2" x14ac:dyDescent="0.15">
      <c r="A65" t="s">
        <v>270</v>
      </c>
      <c r="B65">
        <v>41</v>
      </c>
    </row>
    <row r="66" spans="1:2" x14ac:dyDescent="0.15">
      <c r="A66" t="s">
        <v>271</v>
      </c>
      <c r="B66">
        <v>42</v>
      </c>
    </row>
    <row r="67" spans="1:2" x14ac:dyDescent="0.15">
      <c r="A67" t="s">
        <v>272</v>
      </c>
      <c r="B67">
        <v>43</v>
      </c>
    </row>
    <row r="68" spans="1:2" x14ac:dyDescent="0.15">
      <c r="A68" t="s">
        <v>273</v>
      </c>
      <c r="B68">
        <v>44</v>
      </c>
    </row>
    <row r="69" spans="1:2" x14ac:dyDescent="0.15">
      <c r="A69" t="s">
        <v>274</v>
      </c>
      <c r="B69">
        <v>45</v>
      </c>
    </row>
    <row r="70" spans="1:2" x14ac:dyDescent="0.15">
      <c r="A70" t="s">
        <v>275</v>
      </c>
      <c r="B70">
        <v>46</v>
      </c>
    </row>
    <row r="71" spans="1:2" x14ac:dyDescent="0.15">
      <c r="A71" t="s">
        <v>276</v>
      </c>
      <c r="B71">
        <v>47</v>
      </c>
    </row>
    <row r="72" spans="1:2" x14ac:dyDescent="0.15">
      <c r="A72" t="s">
        <v>277</v>
      </c>
      <c r="B72">
        <v>48</v>
      </c>
    </row>
    <row r="73" spans="1:2" x14ac:dyDescent="0.15">
      <c r="A73" t="s">
        <v>278</v>
      </c>
      <c r="B73">
        <v>49</v>
      </c>
    </row>
    <row r="74" spans="1:2" x14ac:dyDescent="0.15">
      <c r="A74" t="s">
        <v>279</v>
      </c>
      <c r="B74">
        <v>50</v>
      </c>
    </row>
    <row r="75" spans="1:2" x14ac:dyDescent="0.15">
      <c r="A75" t="s">
        <v>280</v>
      </c>
      <c r="B75">
        <v>52</v>
      </c>
    </row>
    <row r="76" spans="1:2" x14ac:dyDescent="0.15">
      <c r="A76" t="s">
        <v>281</v>
      </c>
      <c r="B76">
        <v>53</v>
      </c>
    </row>
    <row r="77" spans="1:2" x14ac:dyDescent="0.15">
      <c r="A77" t="s">
        <v>282</v>
      </c>
      <c r="B77">
        <v>54</v>
      </c>
    </row>
    <row r="78" spans="1:2" x14ac:dyDescent="0.15">
      <c r="A78" t="s">
        <v>283</v>
      </c>
      <c r="B78">
        <v>55</v>
      </c>
    </row>
    <row r="79" spans="1:2" x14ac:dyDescent="0.15">
      <c r="A79" t="s">
        <v>284</v>
      </c>
      <c r="B79">
        <v>56</v>
      </c>
    </row>
    <row r="80" spans="1:2" x14ac:dyDescent="0.15">
      <c r="A80" t="s">
        <v>285</v>
      </c>
      <c r="B80">
        <v>57</v>
      </c>
    </row>
    <row r="81" spans="1:19" x14ac:dyDescent="0.15">
      <c r="A81" t="s">
        <v>286</v>
      </c>
      <c r="B81">
        <v>58</v>
      </c>
    </row>
    <row r="82" spans="1:19" x14ac:dyDescent="0.15">
      <c r="A82" t="s">
        <v>287</v>
      </c>
      <c r="B82" t="s">
        <v>288</v>
      </c>
    </row>
    <row r="83" spans="1:19" x14ac:dyDescent="0.15">
      <c r="A83" t="s">
        <v>289</v>
      </c>
      <c r="B83" s="112" t="s">
        <v>290</v>
      </c>
    </row>
    <row r="84" spans="1:19" x14ac:dyDescent="0.15">
      <c r="A84" t="s">
        <v>291</v>
      </c>
      <c r="B84" s="112" t="s">
        <v>292</v>
      </c>
    </row>
    <row r="85" spans="1:19" x14ac:dyDescent="0.15">
      <c r="A85" t="s">
        <v>293</v>
      </c>
      <c r="B85" s="112" t="s">
        <v>294</v>
      </c>
    </row>
    <row r="86" spans="1:19" x14ac:dyDescent="0.15">
      <c r="A86" t="s">
        <v>295</v>
      </c>
      <c r="B86" s="112" t="s">
        <v>296</v>
      </c>
    </row>
    <row r="87" spans="1:19" x14ac:dyDescent="0.15">
      <c r="A87" t="s">
        <v>297</v>
      </c>
      <c r="B87" s="112" t="s">
        <v>298</v>
      </c>
    </row>
    <row r="88" spans="1:19" x14ac:dyDescent="0.15">
      <c r="A88" t="s">
        <v>299</v>
      </c>
      <c r="B88" s="112" t="s">
        <v>300</v>
      </c>
    </row>
    <row r="89" spans="1:19" x14ac:dyDescent="0.15">
      <c r="A89" t="s">
        <v>301</v>
      </c>
      <c r="B89" s="112" t="s">
        <v>302</v>
      </c>
    </row>
    <row r="90" spans="1:19" x14ac:dyDescent="0.15">
      <c r="A90" t="s">
        <v>303</v>
      </c>
      <c r="B90" s="112" t="s">
        <v>304</v>
      </c>
    </row>
    <row r="91" spans="1:19" x14ac:dyDescent="0.15">
      <c r="A91" t="s">
        <v>305</v>
      </c>
      <c r="B91" s="112" t="s">
        <v>306</v>
      </c>
    </row>
    <row r="92" spans="1:19" x14ac:dyDescent="0.15">
      <c r="A92" t="s">
        <v>307</v>
      </c>
      <c r="B92" s="112" t="s">
        <v>308</v>
      </c>
    </row>
    <row r="93" spans="1:19" x14ac:dyDescent="0.15">
      <c r="A93" t="s">
        <v>309</v>
      </c>
      <c r="B93" t="s">
        <v>60</v>
      </c>
      <c r="C93" t="s">
        <v>105</v>
      </c>
      <c r="D93" t="s">
        <v>55</v>
      </c>
      <c r="E93" t="s">
        <v>134</v>
      </c>
      <c r="F93" t="s">
        <v>45</v>
      </c>
      <c r="G93" t="s">
        <v>50</v>
      </c>
      <c r="H93" t="s">
        <v>75</v>
      </c>
      <c r="I93" t="s">
        <v>43</v>
      </c>
      <c r="J93" t="s">
        <v>70</v>
      </c>
      <c r="K93" t="s">
        <v>123</v>
      </c>
      <c r="L93" t="s">
        <v>65</v>
      </c>
      <c r="M93" t="s">
        <v>84</v>
      </c>
      <c r="N93" t="s">
        <v>125</v>
      </c>
      <c r="O93" t="s">
        <v>150</v>
      </c>
      <c r="P93" t="s">
        <v>152</v>
      </c>
      <c r="Q93" t="s">
        <v>154</v>
      </c>
      <c r="R93" t="s">
        <v>156</v>
      </c>
      <c r="S93" t="s">
        <v>158</v>
      </c>
    </row>
    <row r="94" spans="1:19" x14ac:dyDescent="0.15">
      <c r="A94" t="s">
        <v>310</v>
      </c>
      <c r="B94">
        <v>1</v>
      </c>
    </row>
    <row r="95" spans="1:19" x14ac:dyDescent="0.15">
      <c r="A95" t="s">
        <v>311</v>
      </c>
      <c r="B95">
        <v>2</v>
      </c>
    </row>
    <row r="96" spans="1:19" x14ac:dyDescent="0.15">
      <c r="A96" t="s">
        <v>312</v>
      </c>
      <c r="B96">
        <v>3</v>
      </c>
    </row>
    <row r="97" spans="1:2" x14ac:dyDescent="0.15">
      <c r="A97" t="s">
        <v>313</v>
      </c>
      <c r="B97">
        <v>4</v>
      </c>
    </row>
    <row r="98" spans="1:2" x14ac:dyDescent="0.15">
      <c r="A98" t="s">
        <v>314</v>
      </c>
      <c r="B98">
        <v>5</v>
      </c>
    </row>
    <row r="99" spans="1:2" x14ac:dyDescent="0.15">
      <c r="A99" t="s">
        <v>315</v>
      </c>
      <c r="B99">
        <v>6</v>
      </c>
    </row>
    <row r="100" spans="1:2" x14ac:dyDescent="0.15">
      <c r="A100" t="s">
        <v>316</v>
      </c>
      <c r="B100">
        <v>7</v>
      </c>
    </row>
    <row r="101" spans="1:2" x14ac:dyDescent="0.15">
      <c r="A101" t="s">
        <v>317</v>
      </c>
      <c r="B101">
        <v>8</v>
      </c>
    </row>
    <row r="102" spans="1:2" x14ac:dyDescent="0.15">
      <c r="A102" t="s">
        <v>318</v>
      </c>
      <c r="B102">
        <v>10</v>
      </c>
    </row>
    <row r="103" spans="1:2" x14ac:dyDescent="0.15">
      <c r="A103" t="s">
        <v>319</v>
      </c>
      <c r="B103">
        <v>11</v>
      </c>
    </row>
    <row r="104" spans="1:2" x14ac:dyDescent="0.15">
      <c r="A104" t="s">
        <v>320</v>
      </c>
      <c r="B104">
        <v>13</v>
      </c>
    </row>
    <row r="105" spans="1:2" x14ac:dyDescent="0.15">
      <c r="A105" t="s">
        <v>321</v>
      </c>
      <c r="B105">
        <v>14</v>
      </c>
    </row>
    <row r="106" spans="1:2" x14ac:dyDescent="0.15">
      <c r="A106" t="s">
        <v>322</v>
      </c>
      <c r="B106">
        <v>15</v>
      </c>
    </row>
    <row r="107" spans="1:2" x14ac:dyDescent="0.15">
      <c r="A107" t="s">
        <v>323</v>
      </c>
      <c r="B107">
        <v>16</v>
      </c>
    </row>
    <row r="108" spans="1:2" x14ac:dyDescent="0.15">
      <c r="A108" t="s">
        <v>324</v>
      </c>
      <c r="B108">
        <v>17</v>
      </c>
    </row>
    <row r="109" spans="1:2" x14ac:dyDescent="0.15">
      <c r="A109" t="s">
        <v>325</v>
      </c>
      <c r="B109">
        <v>18</v>
      </c>
    </row>
    <row r="110" spans="1:2" x14ac:dyDescent="0.15">
      <c r="A110" t="s">
        <v>326</v>
      </c>
      <c r="B110">
        <v>19</v>
      </c>
    </row>
    <row r="111" spans="1:2" x14ac:dyDescent="0.15">
      <c r="A111" t="s">
        <v>327</v>
      </c>
      <c r="B111">
        <v>20</v>
      </c>
    </row>
    <row r="112" spans="1:2" x14ac:dyDescent="0.15">
      <c r="A112" t="s">
        <v>328</v>
      </c>
      <c r="B112">
        <v>21</v>
      </c>
    </row>
    <row r="113" spans="1:2" x14ac:dyDescent="0.15">
      <c r="A113" t="s">
        <v>329</v>
      </c>
      <c r="B113">
        <v>22</v>
      </c>
    </row>
    <row r="114" spans="1:2" x14ac:dyDescent="0.15">
      <c r="A114" t="s">
        <v>330</v>
      </c>
      <c r="B114">
        <v>23</v>
      </c>
    </row>
    <row r="115" spans="1:2" x14ac:dyDescent="0.15">
      <c r="A115" t="s">
        <v>331</v>
      </c>
      <c r="B115">
        <v>24</v>
      </c>
    </row>
    <row r="116" spans="1:2" x14ac:dyDescent="0.15">
      <c r="A116" t="s">
        <v>332</v>
      </c>
      <c r="B116">
        <v>25</v>
      </c>
    </row>
    <row r="117" spans="1:2" x14ac:dyDescent="0.15">
      <c r="A117" t="s">
        <v>333</v>
      </c>
      <c r="B117">
        <v>26</v>
      </c>
    </row>
    <row r="118" spans="1:2" x14ac:dyDescent="0.15">
      <c r="A118" t="s">
        <v>334</v>
      </c>
      <c r="B118">
        <v>27</v>
      </c>
    </row>
    <row r="119" spans="1:2" x14ac:dyDescent="0.15">
      <c r="A119" t="s">
        <v>335</v>
      </c>
      <c r="B119">
        <v>28</v>
      </c>
    </row>
    <row r="120" spans="1:2" x14ac:dyDescent="0.15">
      <c r="A120" t="s">
        <v>336</v>
      </c>
      <c r="B120">
        <v>29</v>
      </c>
    </row>
    <row r="121" spans="1:2" x14ac:dyDescent="0.15">
      <c r="A121" t="s">
        <v>337</v>
      </c>
      <c r="B121">
        <v>31</v>
      </c>
    </row>
    <row r="122" spans="1:2" x14ac:dyDescent="0.15">
      <c r="A122" t="s">
        <v>338</v>
      </c>
      <c r="B122">
        <v>32</v>
      </c>
    </row>
    <row r="123" spans="1:2" x14ac:dyDescent="0.15">
      <c r="A123" t="s">
        <v>339</v>
      </c>
      <c r="B123">
        <v>34</v>
      </c>
    </row>
    <row r="124" spans="1:2" x14ac:dyDescent="0.15">
      <c r="A124" t="s">
        <v>340</v>
      </c>
      <c r="B124">
        <v>35</v>
      </c>
    </row>
    <row r="125" spans="1:2" x14ac:dyDescent="0.15">
      <c r="A125" t="s">
        <v>341</v>
      </c>
      <c r="B125">
        <v>36</v>
      </c>
    </row>
    <row r="126" spans="1:2" x14ac:dyDescent="0.15">
      <c r="A126" t="s">
        <v>342</v>
      </c>
      <c r="B126">
        <v>37</v>
      </c>
    </row>
    <row r="127" spans="1:2" x14ac:dyDescent="0.15">
      <c r="A127" t="s">
        <v>343</v>
      </c>
      <c r="B127">
        <v>38</v>
      </c>
    </row>
    <row r="128" spans="1:2" x14ac:dyDescent="0.15">
      <c r="A128" t="s">
        <v>344</v>
      </c>
      <c r="B128">
        <v>39</v>
      </c>
    </row>
    <row r="129" spans="1:2" x14ac:dyDescent="0.15">
      <c r="A129" t="s">
        <v>345</v>
      </c>
      <c r="B129">
        <v>40</v>
      </c>
    </row>
    <row r="130" spans="1:2" x14ac:dyDescent="0.15">
      <c r="A130" t="s">
        <v>346</v>
      </c>
      <c r="B130">
        <v>41</v>
      </c>
    </row>
    <row r="131" spans="1:2" x14ac:dyDescent="0.15">
      <c r="A131" t="s">
        <v>347</v>
      </c>
      <c r="B131">
        <v>42</v>
      </c>
    </row>
    <row r="132" spans="1:2" x14ac:dyDescent="0.15">
      <c r="A132" t="s">
        <v>348</v>
      </c>
      <c r="B132">
        <v>43</v>
      </c>
    </row>
    <row r="133" spans="1:2" x14ac:dyDescent="0.15">
      <c r="A133" t="s">
        <v>349</v>
      </c>
      <c r="B133">
        <v>44</v>
      </c>
    </row>
    <row r="134" spans="1:2" x14ac:dyDescent="0.15">
      <c r="A134" t="s">
        <v>350</v>
      </c>
      <c r="B134">
        <v>45</v>
      </c>
    </row>
    <row r="135" spans="1:2" x14ac:dyDescent="0.15">
      <c r="A135" t="s">
        <v>351</v>
      </c>
      <c r="B135">
        <v>46</v>
      </c>
    </row>
    <row r="136" spans="1:2" x14ac:dyDescent="0.15">
      <c r="A136" t="s">
        <v>352</v>
      </c>
      <c r="B136">
        <v>47</v>
      </c>
    </row>
    <row r="137" spans="1:2" x14ac:dyDescent="0.15">
      <c r="A137" t="s">
        <v>353</v>
      </c>
      <c r="B137">
        <v>48</v>
      </c>
    </row>
    <row r="138" spans="1:2" x14ac:dyDescent="0.15">
      <c r="A138" t="s">
        <v>354</v>
      </c>
      <c r="B138">
        <v>49</v>
      </c>
    </row>
    <row r="139" spans="1:2" x14ac:dyDescent="0.15">
      <c r="A139" t="s">
        <v>355</v>
      </c>
      <c r="B139">
        <v>50</v>
      </c>
    </row>
    <row r="140" spans="1:2" x14ac:dyDescent="0.15">
      <c r="A140" t="s">
        <v>356</v>
      </c>
      <c r="B140">
        <v>52</v>
      </c>
    </row>
    <row r="141" spans="1:2" x14ac:dyDescent="0.15">
      <c r="A141" t="s">
        <v>357</v>
      </c>
      <c r="B141">
        <v>53</v>
      </c>
    </row>
    <row r="142" spans="1:2" x14ac:dyDescent="0.15">
      <c r="A142" t="s">
        <v>358</v>
      </c>
      <c r="B142">
        <v>54</v>
      </c>
    </row>
    <row r="143" spans="1:2" x14ac:dyDescent="0.15">
      <c r="A143" t="s">
        <v>359</v>
      </c>
      <c r="B143">
        <v>55</v>
      </c>
    </row>
    <row r="144" spans="1:2" x14ac:dyDescent="0.15">
      <c r="A144" t="s">
        <v>360</v>
      </c>
      <c r="B144">
        <v>56</v>
      </c>
    </row>
    <row r="145" spans="1:19" x14ac:dyDescent="0.15">
      <c r="A145" t="s">
        <v>361</v>
      </c>
      <c r="B145">
        <v>57</v>
      </c>
    </row>
    <row r="146" spans="1:19" x14ac:dyDescent="0.15">
      <c r="A146" t="s">
        <v>362</v>
      </c>
      <c r="B146">
        <v>58</v>
      </c>
    </row>
    <row r="147" spans="1:19" x14ac:dyDescent="0.15">
      <c r="A147" t="s">
        <v>363</v>
      </c>
      <c r="B147" t="s">
        <v>364</v>
      </c>
    </row>
    <row r="148" spans="1:19" x14ac:dyDescent="0.15">
      <c r="A148" t="s">
        <v>365</v>
      </c>
      <c r="B148" s="112" t="s">
        <v>366</v>
      </c>
    </row>
    <row r="149" spans="1:19" x14ac:dyDescent="0.15">
      <c r="A149" t="s">
        <v>367</v>
      </c>
      <c r="B149" s="112" t="s">
        <v>368</v>
      </c>
    </row>
    <row r="150" spans="1:19" x14ac:dyDescent="0.15">
      <c r="A150" t="s">
        <v>369</v>
      </c>
      <c r="B150" s="112" t="s">
        <v>370</v>
      </c>
    </row>
    <row r="151" spans="1:19" x14ac:dyDescent="0.15">
      <c r="A151" t="s">
        <v>371</v>
      </c>
      <c r="B151" s="112" t="s">
        <v>372</v>
      </c>
    </row>
    <row r="152" spans="1:19" x14ac:dyDescent="0.15">
      <c r="A152" t="s">
        <v>373</v>
      </c>
      <c r="B152" s="112" t="s">
        <v>374</v>
      </c>
    </row>
    <row r="153" spans="1:19" x14ac:dyDescent="0.15">
      <c r="A153" t="s">
        <v>375</v>
      </c>
      <c r="B153" s="112" t="s">
        <v>376</v>
      </c>
    </row>
    <row r="154" spans="1:19" x14ac:dyDescent="0.15">
      <c r="A154" t="s">
        <v>377</v>
      </c>
      <c r="B154" s="112" t="s">
        <v>378</v>
      </c>
    </row>
    <row r="155" spans="1:19" x14ac:dyDescent="0.15">
      <c r="A155" t="s">
        <v>379</v>
      </c>
      <c r="B155" s="112" t="s">
        <v>380</v>
      </c>
    </row>
    <row r="156" spans="1:19" x14ac:dyDescent="0.15">
      <c r="A156" t="s">
        <v>381</v>
      </c>
      <c r="B156" s="112" t="s">
        <v>382</v>
      </c>
    </row>
    <row r="157" spans="1:19" x14ac:dyDescent="0.15">
      <c r="A157" t="s">
        <v>383</v>
      </c>
      <c r="B157" s="112" t="s">
        <v>384</v>
      </c>
    </row>
    <row r="158" spans="1:19" x14ac:dyDescent="0.15">
      <c r="A158" t="s">
        <v>385</v>
      </c>
      <c r="B158" t="s">
        <v>60</v>
      </c>
      <c r="C158" t="s">
        <v>105</v>
      </c>
      <c r="D158" t="s">
        <v>55</v>
      </c>
      <c r="E158" t="s">
        <v>134</v>
      </c>
      <c r="F158" t="s">
        <v>45</v>
      </c>
      <c r="G158" t="s">
        <v>50</v>
      </c>
      <c r="H158" t="s">
        <v>75</v>
      </c>
      <c r="I158" t="s">
        <v>43</v>
      </c>
      <c r="J158" t="s">
        <v>70</v>
      </c>
      <c r="K158" t="s">
        <v>123</v>
      </c>
      <c r="L158" t="s">
        <v>65</v>
      </c>
      <c r="M158" t="s">
        <v>84</v>
      </c>
      <c r="N158" t="s">
        <v>125</v>
      </c>
      <c r="O158" t="s">
        <v>150</v>
      </c>
      <c r="P158" t="s">
        <v>152</v>
      </c>
      <c r="Q158" t="s">
        <v>154</v>
      </c>
      <c r="R158" t="s">
        <v>156</v>
      </c>
      <c r="S158" t="s">
        <v>158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104"/>
  <sheetViews>
    <sheetView zoomScale="55" zoomScaleNormal="55" workbookViewId="0">
      <pane xSplit="2" ySplit="4" topLeftCell="AB5" activePane="bottomRight" state="frozen"/>
      <selection pane="topRight"/>
      <selection pane="bottomLeft"/>
      <selection pane="bottomRight" activeCell="AI5" sqref="AI5:AX49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386</v>
      </c>
      <c r="B1" s="114"/>
      <c r="C1" s="114"/>
      <c r="D1" s="114"/>
      <c r="E1" s="114"/>
      <c r="F1" s="114"/>
      <c r="G1" s="114"/>
      <c r="H1" s="114"/>
      <c r="J1" s="122" t="str">
        <f>Summary!C1</f>
        <v>F032_v14.0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23">
        <f>Summary!C2</f>
        <v>0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30" t="s">
        <v>124</v>
      </c>
      <c r="M2" s="124" t="s">
        <v>389</v>
      </c>
      <c r="N2" s="125" t="s">
        <v>85</v>
      </c>
      <c r="O2" s="128" t="s">
        <v>124</v>
      </c>
      <c r="P2" s="128" t="s">
        <v>390</v>
      </c>
      <c r="Q2" s="128" t="s">
        <v>391</v>
      </c>
      <c r="R2" s="128" t="s">
        <v>392</v>
      </c>
      <c r="S2" s="128" t="s">
        <v>393</v>
      </c>
      <c r="T2" s="128" t="s">
        <v>394</v>
      </c>
      <c r="U2" s="127" t="s">
        <v>395</v>
      </c>
      <c r="V2" s="114"/>
      <c r="W2" s="114"/>
      <c r="X2" s="114"/>
      <c r="Y2" s="114"/>
      <c r="Z2" s="128" t="s">
        <v>396</v>
      </c>
      <c r="AA2" s="114"/>
      <c r="AB2" s="125" t="s">
        <v>126</v>
      </c>
      <c r="AC2" s="124" t="s">
        <v>106</v>
      </c>
      <c r="AE2" s="125" t="s">
        <v>131</v>
      </c>
      <c r="AF2" s="124" t="s">
        <v>135</v>
      </c>
      <c r="AG2" s="130" t="s">
        <v>124</v>
      </c>
      <c r="AH2" s="124" t="s">
        <v>389</v>
      </c>
      <c r="AI2" s="125" t="s">
        <v>85</v>
      </c>
      <c r="AJ2" s="124" t="s">
        <v>124</v>
      </c>
      <c r="AK2" s="128" t="s">
        <v>390</v>
      </c>
      <c r="AL2" s="128" t="s">
        <v>391</v>
      </c>
      <c r="AM2" s="128" t="s">
        <v>392</v>
      </c>
      <c r="AN2" s="128" t="s">
        <v>393</v>
      </c>
      <c r="AO2" s="128" t="s">
        <v>394</v>
      </c>
      <c r="AP2" s="127" t="s">
        <v>395</v>
      </c>
      <c r="AQ2" s="114"/>
      <c r="AR2" s="114"/>
      <c r="AS2" s="114"/>
      <c r="AT2" s="114"/>
      <c r="AU2" s="128" t="s">
        <v>396</v>
      </c>
      <c r="AV2" s="114"/>
      <c r="AW2" s="125" t="s">
        <v>126</v>
      </c>
      <c r="AX2" s="124" t="s">
        <v>106</v>
      </c>
      <c r="AZ2" s="127" t="s">
        <v>16</v>
      </c>
      <c r="BA2" s="114"/>
      <c r="BB2" s="114"/>
      <c r="BC2" s="114"/>
      <c r="BD2" s="114"/>
      <c r="BE2" s="128" t="s">
        <v>17</v>
      </c>
      <c r="BF2" s="114"/>
      <c r="BH2" s="127" t="s">
        <v>397</v>
      </c>
      <c r="BI2" s="127"/>
      <c r="BJ2" s="129" t="s">
        <v>398</v>
      </c>
      <c r="BK2" s="129"/>
      <c r="BL2" s="129"/>
      <c r="BM2" s="125" t="s">
        <v>399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31"/>
      <c r="M3" s="116"/>
      <c r="N3" s="116"/>
      <c r="O3" s="124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6"/>
      <c r="AC3" s="116"/>
      <c r="AE3" s="116"/>
      <c r="AF3" s="116"/>
      <c r="AG3" s="131"/>
      <c r="AH3" s="116"/>
      <c r="AI3" s="116"/>
      <c r="AJ3" s="116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6"/>
      <c r="AX3" s="116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6"/>
      <c r="BQ3" s="116"/>
      <c r="BR3" s="116"/>
      <c r="BS3" s="116"/>
      <c r="BT3" s="116"/>
    </row>
    <row r="4" spans="1:72" ht="1.5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4.9694925000000003</v>
      </c>
      <c r="K5" s="50">
        <f t="shared" ref="K5:K44" si="1">IF(ISBLANK(O5),"·",O5/D5)</f>
        <v>0.44182692307692306</v>
      </c>
      <c r="L5" s="37">
        <f t="shared" ref="L5:L44" si="2">IF(OR(ISBLANK(M5),ISBLANK(S5),ISBLANK(T5)),".",M5+S5+T5)</f>
        <v>5300792</v>
      </c>
      <c r="M5" s="37">
        <f t="shared" ref="M5:M44" si="3">IF(OR(ISBLANK(Q5),ISBLANK(P5),ISBLANK(R5)),".",P5+Q5+R5)</f>
        <v>1592400</v>
      </c>
      <c r="N5" s="51">
        <v>2416576</v>
      </c>
      <c r="O5" s="52">
        <v>5300792</v>
      </c>
      <c r="P5" s="52">
        <v>799344</v>
      </c>
      <c r="Q5" s="52">
        <v>0</v>
      </c>
      <c r="R5" s="52">
        <v>793056</v>
      </c>
      <c r="S5" s="52">
        <v>3695632</v>
      </c>
      <c r="T5" s="52">
        <v>12760</v>
      </c>
      <c r="U5" s="67">
        <v>70.206756299999995</v>
      </c>
      <c r="V5" s="67">
        <v>71.474474700000002</v>
      </c>
      <c r="W5" s="67">
        <v>28.8978857</v>
      </c>
      <c r="X5" s="67">
        <v>33.994759000000002</v>
      </c>
      <c r="Y5" s="67">
        <v>33.442345099999997</v>
      </c>
      <c r="Z5" s="67">
        <v>50.025035899999999</v>
      </c>
      <c r="AA5" s="67">
        <v>27.7077113</v>
      </c>
      <c r="AB5" s="73">
        <v>666.13394400000004</v>
      </c>
      <c r="AC5" s="73">
        <v>5.7204959999999998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9</v>
      </c>
      <c r="J6" s="53">
        <f t="shared" si="0"/>
        <v>9.1266224999999999</v>
      </c>
      <c r="K6" s="54">
        <f t="shared" si="1"/>
        <v>0.81142843806678755</v>
      </c>
      <c r="L6" s="40">
        <f t="shared" si="2"/>
        <v>9735064</v>
      </c>
      <c r="M6" s="40">
        <f t="shared" si="3"/>
        <v>1851984</v>
      </c>
      <c r="N6" s="55">
        <v>2416576</v>
      </c>
      <c r="O6" s="56">
        <v>9735064</v>
      </c>
      <c r="P6" s="56">
        <v>864944</v>
      </c>
      <c r="Q6" s="56">
        <v>0</v>
      </c>
      <c r="R6" s="56">
        <v>987040</v>
      </c>
      <c r="S6" s="56">
        <v>7870488</v>
      </c>
      <c r="T6" s="56">
        <v>12592</v>
      </c>
      <c r="U6" s="68">
        <v>70.891365300000004</v>
      </c>
      <c r="V6" s="68">
        <v>72.251663600000001</v>
      </c>
      <c r="W6" s="68">
        <v>31.678961900000001</v>
      </c>
      <c r="X6" s="68">
        <v>35.205328399999999</v>
      </c>
      <c r="Y6" s="68">
        <v>34.757099400000001</v>
      </c>
      <c r="Z6" s="68">
        <v>50.349338899999999</v>
      </c>
      <c r="AA6" s="68">
        <v>29.376905000000001</v>
      </c>
      <c r="AB6" s="74">
        <v>681.309034</v>
      </c>
      <c r="AC6" s="74">
        <v>6.5684100000000001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12</v>
      </c>
      <c r="J7" s="49">
        <f t="shared" si="0"/>
        <v>12.3331725</v>
      </c>
      <c r="K7" s="50">
        <f t="shared" si="1"/>
        <v>1.0965159233969914</v>
      </c>
      <c r="L7" s="37">
        <f t="shared" si="2"/>
        <v>13155384</v>
      </c>
      <c r="M7" s="37">
        <f t="shared" si="3"/>
        <v>2020184</v>
      </c>
      <c r="N7" s="51">
        <v>4871808</v>
      </c>
      <c r="O7" s="52">
        <v>13155384</v>
      </c>
      <c r="P7" s="52">
        <v>1269624</v>
      </c>
      <c r="Q7" s="52">
        <v>0</v>
      </c>
      <c r="R7" s="52">
        <v>750560</v>
      </c>
      <c r="S7" s="52">
        <v>11122624</v>
      </c>
      <c r="T7" s="52">
        <v>12576</v>
      </c>
      <c r="U7" s="67">
        <v>71.823906300000004</v>
      </c>
      <c r="V7" s="67">
        <v>73.337755799999996</v>
      </c>
      <c r="W7" s="67">
        <v>32.740761800000001</v>
      </c>
      <c r="X7" s="67">
        <v>36.949197900000001</v>
      </c>
      <c r="Y7" s="67">
        <v>36.690412700000003</v>
      </c>
      <c r="Z7" s="67">
        <v>51.113867599999999</v>
      </c>
      <c r="AA7" s="67">
        <v>30.4974369</v>
      </c>
      <c r="AB7" s="73">
        <v>1815.6011920000001</v>
      </c>
      <c r="AC7" s="73">
        <v>21.581765999999998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15</v>
      </c>
      <c r="J8" s="53">
        <f t="shared" si="0"/>
        <v>15.438855</v>
      </c>
      <c r="K8" s="54">
        <f t="shared" si="1"/>
        <v>1.3726354955723887</v>
      </c>
      <c r="L8" s="40">
        <f t="shared" si="2"/>
        <v>16468112</v>
      </c>
      <c r="M8" s="40">
        <f t="shared" si="3"/>
        <v>2722824</v>
      </c>
      <c r="N8" s="55">
        <v>4871808</v>
      </c>
      <c r="O8" s="56">
        <v>16468112</v>
      </c>
      <c r="P8" s="56">
        <v>1391504</v>
      </c>
      <c r="Q8" s="56">
        <v>0</v>
      </c>
      <c r="R8" s="56">
        <v>1331320</v>
      </c>
      <c r="S8" s="56">
        <v>13732040</v>
      </c>
      <c r="T8" s="56">
        <v>13248</v>
      </c>
      <c r="U8" s="68">
        <v>73.822909699999997</v>
      </c>
      <c r="V8" s="68">
        <v>75.636054799999997</v>
      </c>
      <c r="W8" s="68">
        <v>33.707043800000001</v>
      </c>
      <c r="X8" s="68">
        <v>37.473151299999998</v>
      </c>
      <c r="Y8" s="68">
        <v>37.212211400000001</v>
      </c>
      <c r="Z8" s="68">
        <v>52.036357299999999</v>
      </c>
      <c r="AA8" s="68">
        <v>31.6108321</v>
      </c>
      <c r="AB8" s="74">
        <v>1775.5295060000001</v>
      </c>
      <c r="AC8" s="74">
        <v>22.078130000000002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22</v>
      </c>
      <c r="J9" s="57">
        <f t="shared" si="0"/>
        <v>22.525485</v>
      </c>
      <c r="K9" s="58">
        <f t="shared" si="1"/>
        <v>2.0026925744158754</v>
      </c>
      <c r="L9" s="43">
        <f t="shared" si="2"/>
        <v>24027184</v>
      </c>
      <c r="M9" s="43">
        <f t="shared" si="3"/>
        <v>4503360</v>
      </c>
      <c r="N9" s="59">
        <v>9785856</v>
      </c>
      <c r="O9" s="60">
        <v>24027184</v>
      </c>
      <c r="P9" s="60">
        <v>2100120</v>
      </c>
      <c r="Q9" s="60">
        <v>0</v>
      </c>
      <c r="R9" s="60">
        <v>2403240</v>
      </c>
      <c r="S9" s="60">
        <v>19510360</v>
      </c>
      <c r="T9" s="60">
        <v>13464</v>
      </c>
      <c r="U9" s="69">
        <v>76.666885899999997</v>
      </c>
      <c r="V9" s="69">
        <v>79.160034300000007</v>
      </c>
      <c r="W9" s="69">
        <v>35.077469100000002</v>
      </c>
      <c r="X9" s="69">
        <v>38.612274800000002</v>
      </c>
      <c r="Y9" s="69">
        <v>38.331266399999997</v>
      </c>
      <c r="Z9" s="69">
        <v>53.752346500000002</v>
      </c>
      <c r="AA9" s="69">
        <v>33.272290900000002</v>
      </c>
      <c r="AB9" s="75">
        <v>2346.9208410000001</v>
      </c>
      <c r="AC9" s="75">
        <v>25.697417999999999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5</v>
      </c>
      <c r="J10" s="53">
        <f t="shared" si="0"/>
        <v>5.0777549999999998</v>
      </c>
      <c r="K10" s="54">
        <f t="shared" si="1"/>
        <v>0.60180800000000001</v>
      </c>
      <c r="L10" s="40">
        <f t="shared" si="2"/>
        <v>5416272</v>
      </c>
      <c r="M10" s="40">
        <f t="shared" si="3"/>
        <v>1517472</v>
      </c>
      <c r="N10" s="55">
        <v>2396032</v>
      </c>
      <c r="O10" s="56">
        <v>5416272</v>
      </c>
      <c r="P10" s="56">
        <v>866192</v>
      </c>
      <c r="Q10" s="56">
        <v>0</v>
      </c>
      <c r="R10" s="56">
        <v>651280</v>
      </c>
      <c r="S10" s="56">
        <v>3885536</v>
      </c>
      <c r="T10" s="56">
        <v>13264</v>
      </c>
      <c r="U10" s="68">
        <v>66.288057300000006</v>
      </c>
      <c r="V10" s="68">
        <v>67.090627400000002</v>
      </c>
      <c r="W10" s="68">
        <v>32.182650799999998</v>
      </c>
      <c r="X10" s="68">
        <v>44.824603699999997</v>
      </c>
      <c r="Y10" s="68">
        <v>45.156352499999997</v>
      </c>
      <c r="Z10" s="68">
        <v>44.833502199999998</v>
      </c>
      <c r="AA10" s="68">
        <v>29.836503700000002</v>
      </c>
      <c r="AB10" s="74">
        <v>1726.399958</v>
      </c>
      <c r="AC10" s="74">
        <v>17.852467999999998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9</v>
      </c>
      <c r="J11" s="49">
        <f t="shared" si="0"/>
        <v>9.1639499999999998</v>
      </c>
      <c r="K11" s="50">
        <f t="shared" si="1"/>
        <v>1.0860977777777778</v>
      </c>
      <c r="L11" s="37">
        <f t="shared" si="2"/>
        <v>9774880</v>
      </c>
      <c r="M11" s="37">
        <f t="shared" si="3"/>
        <v>2429512</v>
      </c>
      <c r="N11" s="51">
        <v>4848960</v>
      </c>
      <c r="O11" s="52">
        <v>9774880</v>
      </c>
      <c r="P11" s="52">
        <v>1375056</v>
      </c>
      <c r="Q11" s="52">
        <v>0</v>
      </c>
      <c r="R11" s="52">
        <v>1054456</v>
      </c>
      <c r="S11" s="52">
        <v>7332056</v>
      </c>
      <c r="T11" s="52">
        <v>13312</v>
      </c>
      <c r="U11" s="67">
        <v>70.523895699999997</v>
      </c>
      <c r="V11" s="67">
        <v>71.926345499999996</v>
      </c>
      <c r="W11" s="67">
        <v>34.906967000000002</v>
      </c>
      <c r="X11" s="67">
        <v>45.457560600000001</v>
      </c>
      <c r="Y11" s="67">
        <v>45.878956100000003</v>
      </c>
      <c r="Z11" s="67">
        <v>47.230454799999997</v>
      </c>
      <c r="AA11" s="67">
        <v>32.5052594</v>
      </c>
      <c r="AB11" s="73">
        <v>2010.3999839999999</v>
      </c>
      <c r="AC11" s="73">
        <v>22.152450000000002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12</v>
      </c>
      <c r="J12" s="53">
        <f t="shared" si="0"/>
        <v>12.126127500000001</v>
      </c>
      <c r="K12" s="54">
        <f t="shared" si="1"/>
        <v>1.4371706666666666</v>
      </c>
      <c r="L12" s="40">
        <f t="shared" si="2"/>
        <v>12934536</v>
      </c>
      <c r="M12" s="40">
        <f t="shared" si="3"/>
        <v>3669656</v>
      </c>
      <c r="N12" s="55">
        <v>4848960</v>
      </c>
      <c r="O12" s="56">
        <v>12934536</v>
      </c>
      <c r="P12" s="56">
        <v>1375056</v>
      </c>
      <c r="Q12" s="56">
        <v>0</v>
      </c>
      <c r="R12" s="56">
        <v>2294600</v>
      </c>
      <c r="S12" s="56">
        <v>9252376</v>
      </c>
      <c r="T12" s="56">
        <v>12504</v>
      </c>
      <c r="U12" s="68">
        <v>73.030366099999995</v>
      </c>
      <c r="V12" s="68">
        <v>74.828048699999997</v>
      </c>
      <c r="W12" s="68">
        <v>35.970099699999999</v>
      </c>
      <c r="X12" s="68">
        <v>45.801161899999997</v>
      </c>
      <c r="Y12" s="68">
        <v>46.255875500000002</v>
      </c>
      <c r="Z12" s="68">
        <v>48.461841499999998</v>
      </c>
      <c r="AA12" s="68">
        <v>33.826466699999997</v>
      </c>
      <c r="AB12" s="74">
        <v>1938.188402</v>
      </c>
      <c r="AC12" s="74">
        <v>22.927356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15</v>
      </c>
      <c r="J13" s="49">
        <f t="shared" si="0"/>
        <v>15.1401225</v>
      </c>
      <c r="K13" s="50">
        <f t="shared" si="1"/>
        <v>1.7943848888888889</v>
      </c>
      <c r="L13" s="37">
        <f t="shared" si="2"/>
        <v>16149464</v>
      </c>
      <c r="M13" s="37">
        <f t="shared" si="3"/>
        <v>4469232</v>
      </c>
      <c r="N13" s="51">
        <v>9761792</v>
      </c>
      <c r="O13" s="52">
        <v>16149464</v>
      </c>
      <c r="P13" s="52">
        <v>2275168</v>
      </c>
      <c r="Q13" s="52">
        <v>0</v>
      </c>
      <c r="R13" s="52">
        <v>2194064</v>
      </c>
      <c r="S13" s="52">
        <v>11667016</v>
      </c>
      <c r="T13" s="52">
        <v>13216</v>
      </c>
      <c r="U13" s="67">
        <v>74.658839900000004</v>
      </c>
      <c r="V13" s="67">
        <v>76.7692239</v>
      </c>
      <c r="W13" s="67">
        <v>37.012964599999997</v>
      </c>
      <c r="X13" s="67">
        <v>46.525706499999998</v>
      </c>
      <c r="Y13" s="67">
        <v>47.080674100000003</v>
      </c>
      <c r="Z13" s="67">
        <v>49.470493900000001</v>
      </c>
      <c r="AA13" s="67">
        <v>34.928113400000001</v>
      </c>
      <c r="AB13" s="73">
        <v>2519.1985089999998</v>
      </c>
      <c r="AC13" s="73">
        <v>25.732652999999999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22</v>
      </c>
      <c r="J14" s="61">
        <f t="shared" si="0"/>
        <v>22.313040000000001</v>
      </c>
      <c r="K14" s="62">
        <f t="shared" si="1"/>
        <v>2.6445084444444444</v>
      </c>
      <c r="L14" s="46">
        <f t="shared" si="2"/>
        <v>23800576</v>
      </c>
      <c r="M14" s="46">
        <f t="shared" si="3"/>
        <v>5523816</v>
      </c>
      <c r="N14" s="63">
        <v>9761792</v>
      </c>
      <c r="O14" s="64">
        <v>23800576</v>
      </c>
      <c r="P14" s="64">
        <v>2512784</v>
      </c>
      <c r="Q14" s="64">
        <v>0</v>
      </c>
      <c r="R14" s="64">
        <v>3011032</v>
      </c>
      <c r="S14" s="64">
        <v>18263648</v>
      </c>
      <c r="T14" s="64">
        <v>13112</v>
      </c>
      <c r="U14" s="70">
        <v>75.698384399999995</v>
      </c>
      <c r="V14" s="70">
        <v>78.080153199999998</v>
      </c>
      <c r="W14" s="70">
        <v>38.699639400000002</v>
      </c>
      <c r="X14" s="70">
        <v>47.559846200000003</v>
      </c>
      <c r="Y14" s="70">
        <v>48.1940837</v>
      </c>
      <c r="Z14" s="70">
        <v>49.955442699999999</v>
      </c>
      <c r="AA14" s="70">
        <v>36.2030496</v>
      </c>
      <c r="AB14" s="76">
        <v>2494.8316930000001</v>
      </c>
      <c r="AC14" s="76">
        <v>26.250703000000001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2.9438775000000001</v>
      </c>
      <c r="K15" s="50">
        <f t="shared" si="1"/>
        <v>0.26516935227675187</v>
      </c>
      <c r="L15" s="37">
        <f t="shared" si="2"/>
        <v>3140136</v>
      </c>
      <c r="M15" s="37">
        <f t="shared" si="3"/>
        <v>1142088</v>
      </c>
      <c r="N15" s="51">
        <v>2419392</v>
      </c>
      <c r="O15" s="52">
        <v>3140136</v>
      </c>
      <c r="P15" s="52">
        <v>684224</v>
      </c>
      <c r="Q15" s="52">
        <v>0</v>
      </c>
      <c r="R15" s="52">
        <v>457864</v>
      </c>
      <c r="S15" s="52">
        <v>1984744</v>
      </c>
      <c r="T15" s="52">
        <v>13304</v>
      </c>
      <c r="U15" s="67">
        <v>71.784125500000002</v>
      </c>
      <c r="V15" s="67">
        <v>73.072828299999998</v>
      </c>
      <c r="W15" s="67">
        <v>35.646815699999998</v>
      </c>
      <c r="X15" s="67">
        <v>43.376972000000002</v>
      </c>
      <c r="Y15" s="67">
        <v>44.949523200000002</v>
      </c>
      <c r="Z15" s="67">
        <v>45.653298999999997</v>
      </c>
      <c r="AA15" s="67">
        <v>32.435254100000002</v>
      </c>
      <c r="AB15" s="73">
        <v>1408.205776</v>
      </c>
      <c r="AC15" s="73">
        <v>16.50018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4.9497299999999997</v>
      </c>
      <c r="K16" s="54">
        <f t="shared" si="1"/>
        <v>0.44584623444583105</v>
      </c>
      <c r="L16" s="40">
        <f t="shared" si="2"/>
        <v>5279712</v>
      </c>
      <c r="M16" s="40">
        <f t="shared" si="3"/>
        <v>1437424</v>
      </c>
      <c r="N16" s="55">
        <v>2419392</v>
      </c>
      <c r="O16" s="56">
        <v>5279712</v>
      </c>
      <c r="P16" s="56">
        <v>745824</v>
      </c>
      <c r="Q16" s="56">
        <v>0</v>
      </c>
      <c r="R16" s="56">
        <v>691600</v>
      </c>
      <c r="S16" s="56">
        <v>3828768</v>
      </c>
      <c r="T16" s="56">
        <v>13520</v>
      </c>
      <c r="U16" s="68">
        <v>73.559442500000003</v>
      </c>
      <c r="V16" s="68">
        <v>75.037406000000004</v>
      </c>
      <c r="W16" s="68">
        <v>38.424884800000001</v>
      </c>
      <c r="X16" s="68">
        <v>44.041692900000001</v>
      </c>
      <c r="Y16" s="68">
        <v>46.285291999999998</v>
      </c>
      <c r="Z16" s="68">
        <v>46.429066499999998</v>
      </c>
      <c r="AA16" s="68">
        <v>34.092627700000001</v>
      </c>
      <c r="AB16" s="74">
        <v>1401.997717</v>
      </c>
      <c r="AC16" s="74">
        <v>16.929259999999999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9.8917649999999995</v>
      </c>
      <c r="K17" s="50">
        <f t="shared" si="1"/>
        <v>0.89099934284760296</v>
      </c>
      <c r="L17" s="37">
        <f t="shared" si="2"/>
        <v>10551216</v>
      </c>
      <c r="M17" s="37">
        <f t="shared" si="3"/>
        <v>2770360</v>
      </c>
      <c r="N17" s="51">
        <v>4841280</v>
      </c>
      <c r="O17" s="52">
        <v>10551216</v>
      </c>
      <c r="P17" s="52">
        <v>1251184</v>
      </c>
      <c r="Q17" s="52">
        <v>0</v>
      </c>
      <c r="R17" s="52">
        <v>1519176</v>
      </c>
      <c r="S17" s="52">
        <v>7767504</v>
      </c>
      <c r="T17" s="52">
        <v>13352</v>
      </c>
      <c r="U17" s="67">
        <v>78.265213799999998</v>
      </c>
      <c r="V17" s="67">
        <v>80.584549999999993</v>
      </c>
      <c r="W17" s="67">
        <v>41.072749399999999</v>
      </c>
      <c r="X17" s="67">
        <v>44.962732199999998</v>
      </c>
      <c r="Y17" s="67">
        <v>48.042839299999997</v>
      </c>
      <c r="Z17" s="67">
        <v>48.8243297</v>
      </c>
      <c r="AA17" s="67">
        <v>37.301545400000002</v>
      </c>
      <c r="AB17" s="73">
        <v>1656.244256</v>
      </c>
      <c r="AC17" s="73">
        <v>21.302462999999999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13.920299999999999</v>
      </c>
      <c r="K18" s="54">
        <f t="shared" si="1"/>
        <v>1.2538690670715982</v>
      </c>
      <c r="L18" s="40">
        <f t="shared" si="2"/>
        <v>14848320</v>
      </c>
      <c r="M18" s="40">
        <f t="shared" si="3"/>
        <v>3795304</v>
      </c>
      <c r="N18" s="55">
        <v>9684416</v>
      </c>
      <c r="O18" s="56">
        <v>14848320</v>
      </c>
      <c r="P18" s="56">
        <v>2160984</v>
      </c>
      <c r="Q18" s="56">
        <v>0</v>
      </c>
      <c r="R18" s="56">
        <v>1634320</v>
      </c>
      <c r="S18" s="56">
        <v>11039952</v>
      </c>
      <c r="T18" s="56">
        <v>13064</v>
      </c>
      <c r="U18" s="68">
        <v>79.557147200000003</v>
      </c>
      <c r="V18" s="68">
        <v>82.305703300000005</v>
      </c>
      <c r="W18" s="68">
        <v>41.922101900000001</v>
      </c>
      <c r="X18" s="68">
        <v>45.630288899999996</v>
      </c>
      <c r="Y18" s="68">
        <v>49.158534299999999</v>
      </c>
      <c r="Z18" s="68">
        <v>49.767646599999999</v>
      </c>
      <c r="AA18" s="68">
        <v>38.346824300000002</v>
      </c>
      <c r="AB18" s="74">
        <v>2068.882595</v>
      </c>
      <c r="AC18" s="74">
        <v>27.673962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20.9495775</v>
      </c>
      <c r="K19" s="58">
        <f t="shared" si="1"/>
        <v>1.8870302504593395</v>
      </c>
      <c r="L19" s="43">
        <f t="shared" si="2"/>
        <v>22346216</v>
      </c>
      <c r="M19" s="43">
        <f t="shared" si="3"/>
        <v>4007400</v>
      </c>
      <c r="N19" s="59">
        <v>9684416</v>
      </c>
      <c r="O19" s="60">
        <v>22346216</v>
      </c>
      <c r="P19" s="60">
        <v>2160984</v>
      </c>
      <c r="Q19" s="60">
        <v>0</v>
      </c>
      <c r="R19" s="60">
        <v>1846416</v>
      </c>
      <c r="S19" s="60">
        <v>18325736</v>
      </c>
      <c r="T19" s="60">
        <v>13080</v>
      </c>
      <c r="U19" s="69">
        <v>79.920488899999995</v>
      </c>
      <c r="V19" s="69">
        <v>82.837774699999997</v>
      </c>
      <c r="W19" s="69">
        <v>42.925536600000001</v>
      </c>
      <c r="X19" s="69">
        <v>46.549022399999998</v>
      </c>
      <c r="Y19" s="69">
        <v>50.508337699999998</v>
      </c>
      <c r="Z19" s="69">
        <v>49.944520400000002</v>
      </c>
      <c r="AA19" s="69">
        <v>38.904431099999996</v>
      </c>
      <c r="AB19" s="75">
        <v>2082.566241</v>
      </c>
      <c r="AC19" s="75">
        <v>29.04852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2.91465</v>
      </c>
      <c r="K20" s="54">
        <f t="shared" si="1"/>
        <v>0.26320151641242151</v>
      </c>
      <c r="L20" s="40">
        <f t="shared" si="2"/>
        <v>3108960</v>
      </c>
      <c r="M20" s="40">
        <f t="shared" si="3"/>
        <v>1115160</v>
      </c>
      <c r="N20" s="55">
        <v>2418048</v>
      </c>
      <c r="O20" s="56">
        <v>3108960</v>
      </c>
      <c r="P20" s="56">
        <v>661400</v>
      </c>
      <c r="Q20" s="56">
        <v>0</v>
      </c>
      <c r="R20" s="56">
        <v>453760</v>
      </c>
      <c r="S20" s="56">
        <v>1980592</v>
      </c>
      <c r="T20" s="56">
        <v>13208</v>
      </c>
      <c r="U20" s="68">
        <v>71.756627600000002</v>
      </c>
      <c r="V20" s="68">
        <v>73.100785400000007</v>
      </c>
      <c r="W20" s="68">
        <v>34.570575300000002</v>
      </c>
      <c r="X20" s="68">
        <v>42.818312200000001</v>
      </c>
      <c r="Y20" s="68">
        <v>44.060501899999998</v>
      </c>
      <c r="Z20" s="68">
        <v>48.570734199999997</v>
      </c>
      <c r="AA20" s="68">
        <v>31.527455400000001</v>
      </c>
      <c r="AB20" s="74">
        <v>580.035754</v>
      </c>
      <c r="AC20" s="74">
        <v>5.185975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4.9450649999999996</v>
      </c>
      <c r="K21" s="50">
        <f t="shared" si="1"/>
        <v>0.44655399679480939</v>
      </c>
      <c r="L21" s="37">
        <f t="shared" si="2"/>
        <v>5274736</v>
      </c>
      <c r="M21" s="37">
        <f t="shared" si="3"/>
        <v>1167416</v>
      </c>
      <c r="N21" s="51">
        <v>2418048</v>
      </c>
      <c r="O21" s="52">
        <v>5274736</v>
      </c>
      <c r="P21" s="52">
        <v>661400</v>
      </c>
      <c r="Q21" s="52">
        <v>0</v>
      </c>
      <c r="R21" s="52">
        <v>506016</v>
      </c>
      <c r="S21" s="52">
        <v>4093872</v>
      </c>
      <c r="T21" s="52">
        <v>13448</v>
      </c>
      <c r="U21" s="67">
        <v>72.203841699999998</v>
      </c>
      <c r="V21" s="67">
        <v>73.599488399999998</v>
      </c>
      <c r="W21" s="67">
        <v>37.469644199999998</v>
      </c>
      <c r="X21" s="67">
        <v>44.030189900000003</v>
      </c>
      <c r="Y21" s="67">
        <v>45.905553500000003</v>
      </c>
      <c r="Z21" s="67">
        <v>48.783051200000003</v>
      </c>
      <c r="AA21" s="67">
        <v>32.775376700000002</v>
      </c>
      <c r="AB21" s="73">
        <v>1334.9898149999999</v>
      </c>
      <c r="AC21" s="73">
        <v>15.243004000000001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9.9543149999999994</v>
      </c>
      <c r="K22" s="54">
        <f t="shared" si="1"/>
        <v>0.89890408894615603</v>
      </c>
      <c r="L22" s="40">
        <f t="shared" si="2"/>
        <v>10617936</v>
      </c>
      <c r="M22" s="40">
        <f t="shared" si="3"/>
        <v>2648016</v>
      </c>
      <c r="N22" s="55">
        <v>4836160</v>
      </c>
      <c r="O22" s="56">
        <v>10617936</v>
      </c>
      <c r="P22" s="56">
        <v>1106712</v>
      </c>
      <c r="Q22" s="56">
        <v>0</v>
      </c>
      <c r="R22" s="56">
        <v>1541304</v>
      </c>
      <c r="S22" s="56">
        <v>7956648</v>
      </c>
      <c r="T22" s="56">
        <v>13272</v>
      </c>
      <c r="U22" s="68">
        <v>78.044925399999997</v>
      </c>
      <c r="V22" s="68">
        <v>80.555999400000005</v>
      </c>
      <c r="W22" s="68">
        <v>40.456555700000003</v>
      </c>
      <c r="X22" s="68">
        <v>45.306996499999997</v>
      </c>
      <c r="Y22" s="68">
        <v>48.002074700000001</v>
      </c>
      <c r="Z22" s="68">
        <v>51.872414599999999</v>
      </c>
      <c r="AA22" s="68">
        <v>36.726072700000003</v>
      </c>
      <c r="AB22" s="74">
        <v>1535.7087289999999</v>
      </c>
      <c r="AC22" s="74">
        <v>22.882062999999999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13.992195000000001</v>
      </c>
      <c r="K23" s="50">
        <f t="shared" si="1"/>
        <v>1.2635365968257946</v>
      </c>
      <c r="L23" s="37">
        <f t="shared" si="2"/>
        <v>14925008</v>
      </c>
      <c r="M23" s="37">
        <f t="shared" si="3"/>
        <v>3742760</v>
      </c>
      <c r="N23" s="51">
        <v>9673280</v>
      </c>
      <c r="O23" s="52">
        <v>14925008</v>
      </c>
      <c r="P23" s="52">
        <v>2345528</v>
      </c>
      <c r="Q23" s="52">
        <v>0</v>
      </c>
      <c r="R23" s="52">
        <v>1397232</v>
      </c>
      <c r="S23" s="52">
        <v>11168824</v>
      </c>
      <c r="T23" s="52">
        <v>13424</v>
      </c>
      <c r="U23" s="67">
        <v>78.929543199999998</v>
      </c>
      <c r="V23" s="67">
        <v>81.764967799999994</v>
      </c>
      <c r="W23" s="67">
        <v>41.461212000000003</v>
      </c>
      <c r="X23" s="67">
        <v>45.805070299999997</v>
      </c>
      <c r="Y23" s="67">
        <v>48.7263837</v>
      </c>
      <c r="Z23" s="67">
        <v>52.6242655</v>
      </c>
      <c r="AA23" s="67">
        <v>37.640508400000002</v>
      </c>
      <c r="AB23" s="73">
        <v>1973.4664069999999</v>
      </c>
      <c r="AC23" s="73">
        <v>28.487677999999999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20.866125</v>
      </c>
      <c r="K24" s="62">
        <f t="shared" si="1"/>
        <v>1.8842728086223521</v>
      </c>
      <c r="L24" s="46">
        <f t="shared" si="2"/>
        <v>22257200</v>
      </c>
      <c r="M24" s="46">
        <f t="shared" si="3"/>
        <v>3955328</v>
      </c>
      <c r="N24" s="63">
        <v>9673280</v>
      </c>
      <c r="O24" s="64">
        <v>22257200</v>
      </c>
      <c r="P24" s="64">
        <v>2110896</v>
      </c>
      <c r="Q24" s="64">
        <v>0</v>
      </c>
      <c r="R24" s="64">
        <v>1844432</v>
      </c>
      <c r="S24" s="64">
        <v>18288752</v>
      </c>
      <c r="T24" s="64">
        <v>13120</v>
      </c>
      <c r="U24" s="70">
        <v>79.641642599999997</v>
      </c>
      <c r="V24" s="70">
        <v>82.838215500000004</v>
      </c>
      <c r="W24" s="70">
        <v>42.466918200000002</v>
      </c>
      <c r="X24" s="70">
        <v>46.888919799999996</v>
      </c>
      <c r="Y24" s="70">
        <v>50.087581700000001</v>
      </c>
      <c r="Z24" s="70">
        <v>53.014076500000002</v>
      </c>
      <c r="AA24" s="70">
        <v>38.406443899999999</v>
      </c>
      <c r="AB24" s="76">
        <v>2007.5892710000001</v>
      </c>
      <c r="AC24" s="76">
        <v>28.296944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4.0275375000000002</v>
      </c>
      <c r="K25" s="50">
        <f t="shared" si="1"/>
        <v>0.35800333333333334</v>
      </c>
      <c r="L25" s="37">
        <f t="shared" si="2"/>
        <v>4296040</v>
      </c>
      <c r="M25" s="37">
        <f t="shared" si="3"/>
        <v>1208696</v>
      </c>
      <c r="N25" s="51">
        <v>2455232</v>
      </c>
      <c r="O25" s="52">
        <v>4296040</v>
      </c>
      <c r="P25" s="52">
        <v>676136</v>
      </c>
      <c r="Q25" s="52">
        <v>0</v>
      </c>
      <c r="R25" s="52">
        <v>532560</v>
      </c>
      <c r="S25" s="52">
        <v>3073904</v>
      </c>
      <c r="T25" s="52">
        <v>13440</v>
      </c>
      <c r="U25" s="67">
        <v>73.885798800000003</v>
      </c>
      <c r="V25" s="67">
        <v>75.764960000000002</v>
      </c>
      <c r="W25" s="67">
        <v>31.635521600000001</v>
      </c>
      <c r="X25" s="67">
        <v>40.5889563</v>
      </c>
      <c r="Y25" s="67">
        <v>36.975707300000003</v>
      </c>
      <c r="Z25" s="67">
        <v>44.617045400000002</v>
      </c>
      <c r="AA25" s="67">
        <v>28.831173100000001</v>
      </c>
      <c r="AB25" s="73">
        <v>758.87138300000004</v>
      </c>
      <c r="AC25" s="73">
        <v>6.4348229999999997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8.0538900000000009</v>
      </c>
      <c r="K26" s="54">
        <f t="shared" si="1"/>
        <v>0.71590133333333328</v>
      </c>
      <c r="L26" s="40">
        <f t="shared" si="2"/>
        <v>8590816</v>
      </c>
      <c r="M26" s="40">
        <f t="shared" si="3"/>
        <v>1911696</v>
      </c>
      <c r="N26" s="55">
        <v>4912704</v>
      </c>
      <c r="O26" s="56">
        <v>8590816</v>
      </c>
      <c r="P26" s="56">
        <v>1140944</v>
      </c>
      <c r="Q26" s="56">
        <v>0</v>
      </c>
      <c r="R26" s="56">
        <v>770752</v>
      </c>
      <c r="S26" s="56">
        <v>6665184</v>
      </c>
      <c r="T26" s="56">
        <v>13936</v>
      </c>
      <c r="U26" s="68">
        <v>76.8628602</v>
      </c>
      <c r="V26" s="68">
        <v>79.295916700000006</v>
      </c>
      <c r="W26" s="68">
        <v>33.996498199999998</v>
      </c>
      <c r="X26" s="68">
        <v>42.456589000000001</v>
      </c>
      <c r="Y26" s="68">
        <v>39.838376099999998</v>
      </c>
      <c r="Z26" s="68">
        <v>46.1665955</v>
      </c>
      <c r="AA26" s="68">
        <v>31.413465200000001</v>
      </c>
      <c r="AB26" s="74">
        <v>1687.367827</v>
      </c>
      <c r="AC26" s="74">
        <v>19.791142000000001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12.055859999999999</v>
      </c>
      <c r="K27" s="50">
        <f t="shared" si="1"/>
        <v>1.0716319999999999</v>
      </c>
      <c r="L27" s="37">
        <f t="shared" si="2"/>
        <v>12859584</v>
      </c>
      <c r="M27" s="37">
        <f t="shared" si="3"/>
        <v>2801760</v>
      </c>
      <c r="N27" s="51">
        <v>9828224</v>
      </c>
      <c r="O27" s="52">
        <v>12859584</v>
      </c>
      <c r="P27" s="52">
        <v>2165344</v>
      </c>
      <c r="Q27" s="52">
        <v>0</v>
      </c>
      <c r="R27" s="52">
        <v>636416</v>
      </c>
      <c r="S27" s="52">
        <v>10044344</v>
      </c>
      <c r="T27" s="52">
        <v>13480</v>
      </c>
      <c r="U27" s="67">
        <v>78.781094400000001</v>
      </c>
      <c r="V27" s="67">
        <v>81.697402299999993</v>
      </c>
      <c r="W27" s="67">
        <v>34.9038726</v>
      </c>
      <c r="X27" s="67">
        <v>43.698012300000002</v>
      </c>
      <c r="Y27" s="67">
        <v>41.627586899999997</v>
      </c>
      <c r="Z27" s="67">
        <v>47.5257589</v>
      </c>
      <c r="AA27" s="67">
        <v>32.6436706</v>
      </c>
      <c r="AB27" s="73">
        <v>4967.1222710000002</v>
      </c>
      <c r="AC27" s="73">
        <v>70.849063000000001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17.133457499999999</v>
      </c>
      <c r="K28" s="54">
        <f t="shared" si="1"/>
        <v>1.522974</v>
      </c>
      <c r="L28" s="40">
        <f t="shared" si="2"/>
        <v>18275688</v>
      </c>
      <c r="M28" s="40">
        <f t="shared" si="3"/>
        <v>4805288</v>
      </c>
      <c r="N28" s="55">
        <v>19659392</v>
      </c>
      <c r="O28" s="56">
        <v>18275688</v>
      </c>
      <c r="P28" s="56">
        <v>4233336</v>
      </c>
      <c r="Q28" s="56">
        <v>0</v>
      </c>
      <c r="R28" s="56">
        <v>571952</v>
      </c>
      <c r="S28" s="56">
        <v>13456936</v>
      </c>
      <c r="T28" s="56">
        <v>13464</v>
      </c>
      <c r="U28" s="68">
        <v>80.414000999999999</v>
      </c>
      <c r="V28" s="68">
        <v>84.030110500000006</v>
      </c>
      <c r="W28" s="68">
        <v>35.643337299999999</v>
      </c>
      <c r="X28" s="68">
        <v>44.005604300000002</v>
      </c>
      <c r="Y28" s="68">
        <v>42.095617099999998</v>
      </c>
      <c r="Z28" s="68">
        <v>48.980789700000003</v>
      </c>
      <c r="AA28" s="68">
        <v>33.8078492</v>
      </c>
      <c r="AB28" s="74">
        <v>5913.1166059999996</v>
      </c>
      <c r="AC28" s="74">
        <v>98.518564999999995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25.0882875</v>
      </c>
      <c r="K29" s="58">
        <f t="shared" si="1"/>
        <v>2.23007</v>
      </c>
      <c r="L29" s="43">
        <f t="shared" si="2"/>
        <v>26760840</v>
      </c>
      <c r="M29" s="43">
        <f t="shared" si="3"/>
        <v>7586504</v>
      </c>
      <c r="N29" s="59">
        <v>39320512</v>
      </c>
      <c r="O29" s="60">
        <v>26760840</v>
      </c>
      <c r="P29" s="60">
        <v>7498088</v>
      </c>
      <c r="Q29" s="60">
        <v>0</v>
      </c>
      <c r="R29" s="60">
        <v>88416</v>
      </c>
      <c r="S29" s="60">
        <v>19160960</v>
      </c>
      <c r="T29" s="60">
        <v>13376</v>
      </c>
      <c r="U29" s="69">
        <v>82.249555799999996</v>
      </c>
      <c r="V29" s="69">
        <v>86.656771899999995</v>
      </c>
      <c r="W29" s="69">
        <v>36.315323200000002</v>
      </c>
      <c r="X29" s="69">
        <v>44.608672599999998</v>
      </c>
      <c r="Y29" s="69">
        <v>42.928614000000003</v>
      </c>
      <c r="Z29" s="69">
        <v>50.397319400000001</v>
      </c>
      <c r="AA29" s="69">
        <v>34.828697499999997</v>
      </c>
      <c r="AB29" s="75">
        <v>8033.1436039999999</v>
      </c>
      <c r="AC29" s="75">
        <v>125.159312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3.9405450000000002</v>
      </c>
      <c r="K30" s="54">
        <f t="shared" si="1"/>
        <v>0.70081535213601853</v>
      </c>
      <c r="L30" s="40">
        <f t="shared" si="2"/>
        <v>4203248</v>
      </c>
      <c r="M30" s="40">
        <f t="shared" si="3"/>
        <v>1337328</v>
      </c>
      <c r="N30" s="55">
        <v>2427584</v>
      </c>
      <c r="O30" s="56">
        <v>4203248</v>
      </c>
      <c r="P30" s="56">
        <v>710864</v>
      </c>
      <c r="Q30" s="56">
        <v>0</v>
      </c>
      <c r="R30" s="56">
        <v>626464</v>
      </c>
      <c r="S30" s="56">
        <v>2852528</v>
      </c>
      <c r="T30" s="56">
        <v>13392</v>
      </c>
      <c r="U30" s="68">
        <v>74.813914499999996</v>
      </c>
      <c r="V30" s="68">
        <v>76.651692199999999</v>
      </c>
      <c r="W30" s="68">
        <v>38.128746999999997</v>
      </c>
      <c r="X30" s="68">
        <v>44.219943399999998</v>
      </c>
      <c r="Y30" s="68">
        <v>42.8060592</v>
      </c>
      <c r="Z30" s="68">
        <v>47.566550900000003</v>
      </c>
      <c r="AA30" s="68">
        <v>35.148485700000002</v>
      </c>
      <c r="AB30" s="74">
        <v>1438.74938</v>
      </c>
      <c r="AC30" s="74">
        <v>18.385282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7.8657824999999999</v>
      </c>
      <c r="K31" s="50">
        <f t="shared" si="1"/>
        <v>1.3989083064811674</v>
      </c>
      <c r="L31" s="37">
        <f t="shared" si="2"/>
        <v>8390168</v>
      </c>
      <c r="M31" s="37">
        <f t="shared" si="3"/>
        <v>1714096</v>
      </c>
      <c r="N31" s="51">
        <v>2427584</v>
      </c>
      <c r="O31" s="52">
        <v>8390168</v>
      </c>
      <c r="P31" s="52">
        <v>710864</v>
      </c>
      <c r="Q31" s="52">
        <v>0</v>
      </c>
      <c r="R31" s="52">
        <v>1003232</v>
      </c>
      <c r="S31" s="52">
        <v>6662464</v>
      </c>
      <c r="T31" s="52">
        <v>13608</v>
      </c>
      <c r="U31" s="67">
        <v>76.4613552</v>
      </c>
      <c r="V31" s="67">
        <v>78.577861400000003</v>
      </c>
      <c r="W31" s="67">
        <v>40.636128800000002</v>
      </c>
      <c r="X31" s="67">
        <v>45.877731799999999</v>
      </c>
      <c r="Y31" s="67">
        <v>44.730934499999996</v>
      </c>
      <c r="Z31" s="67">
        <v>48.422133000000002</v>
      </c>
      <c r="AA31" s="67">
        <v>36.705418000000002</v>
      </c>
      <c r="AB31" s="73">
        <v>1449.562938</v>
      </c>
      <c r="AC31" s="73">
        <v>19.157150999999999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12.080325</v>
      </c>
      <c r="K32" s="54">
        <f t="shared" si="1"/>
        <v>2.1484533786043678</v>
      </c>
      <c r="L32" s="40">
        <f t="shared" si="2"/>
        <v>12885680</v>
      </c>
      <c r="M32" s="40">
        <f t="shared" si="3"/>
        <v>3049384</v>
      </c>
      <c r="N32" s="55">
        <v>2450608</v>
      </c>
      <c r="O32" s="56">
        <v>12885680</v>
      </c>
      <c r="P32" s="56">
        <v>1961504</v>
      </c>
      <c r="Q32" s="56">
        <v>0</v>
      </c>
      <c r="R32" s="56">
        <v>1087880</v>
      </c>
      <c r="S32" s="56">
        <v>9824688</v>
      </c>
      <c r="T32" s="56">
        <v>11608</v>
      </c>
      <c r="U32" s="68">
        <v>78.545695899999998</v>
      </c>
      <c r="V32" s="68">
        <v>81.129902799999996</v>
      </c>
      <c r="W32" s="68">
        <v>41.9329179</v>
      </c>
      <c r="X32" s="68">
        <v>46.588744200000001</v>
      </c>
      <c r="Y32" s="68">
        <v>45.574115900000002</v>
      </c>
      <c r="Z32" s="68">
        <v>49.736248000000003</v>
      </c>
      <c r="AA32" s="68">
        <v>38.118233600000003</v>
      </c>
      <c r="AB32" s="74">
        <v>2157.4318830000002</v>
      </c>
      <c r="AC32" s="74">
        <v>21.783154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17.475375</v>
      </c>
      <c r="K33" s="50">
        <f t="shared" si="1"/>
        <v>3.1079485412129477</v>
      </c>
      <c r="L33" s="37">
        <f t="shared" si="2"/>
        <v>18640400</v>
      </c>
      <c r="M33" s="37">
        <f t="shared" si="3"/>
        <v>3803456</v>
      </c>
      <c r="N33" s="51">
        <v>2450608</v>
      </c>
      <c r="O33" s="52">
        <v>18640400</v>
      </c>
      <c r="P33" s="52">
        <v>1961504</v>
      </c>
      <c r="Q33" s="52">
        <v>0</v>
      </c>
      <c r="R33" s="52">
        <v>1841952</v>
      </c>
      <c r="S33" s="52">
        <v>14825536</v>
      </c>
      <c r="T33" s="52">
        <v>11408</v>
      </c>
      <c r="U33" s="67">
        <v>79.8072564</v>
      </c>
      <c r="V33" s="67">
        <v>82.894679699999998</v>
      </c>
      <c r="W33" s="67">
        <v>43.0829503</v>
      </c>
      <c r="X33" s="67">
        <v>47.701912299999996</v>
      </c>
      <c r="Y33" s="67">
        <v>46.907864199999999</v>
      </c>
      <c r="Z33" s="67">
        <v>50.407744000000001</v>
      </c>
      <c r="AA33" s="67">
        <v>39.296783300000001</v>
      </c>
      <c r="AB33" s="73">
        <v>4964.8614989999996</v>
      </c>
      <c r="AC33" s="73">
        <v>64.437736999999998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25.46754</v>
      </c>
      <c r="K34" s="62">
        <f t="shared" si="1"/>
        <v>4.5293336361183894</v>
      </c>
      <c r="L34" s="46">
        <f t="shared" si="2"/>
        <v>27165376</v>
      </c>
      <c r="M34" s="46">
        <f t="shared" si="3"/>
        <v>6272408</v>
      </c>
      <c r="N34" s="63">
        <v>7367456</v>
      </c>
      <c r="O34" s="64">
        <v>27165376</v>
      </c>
      <c r="P34" s="64">
        <v>4545536</v>
      </c>
      <c r="Q34" s="64">
        <v>0</v>
      </c>
      <c r="R34" s="64">
        <v>1726872</v>
      </c>
      <c r="S34" s="64">
        <v>20881624</v>
      </c>
      <c r="T34" s="64">
        <v>11344</v>
      </c>
      <c r="U34" s="70">
        <v>82.633280600000006</v>
      </c>
      <c r="V34" s="70">
        <v>87.131613799999997</v>
      </c>
      <c r="W34" s="70">
        <v>44.112991200000003</v>
      </c>
      <c r="X34" s="70">
        <v>48.402286599999996</v>
      </c>
      <c r="Y34" s="70">
        <v>47.713173599999998</v>
      </c>
      <c r="Z34" s="70">
        <v>52.6938794</v>
      </c>
      <c r="AA34" s="70">
        <v>41.401958299999997</v>
      </c>
      <c r="AB34" s="76">
        <v>6931.3034950000001</v>
      </c>
      <c r="AC34" s="76">
        <v>70.493892000000002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4</v>
      </c>
      <c r="J35" s="49">
        <f t="shared" si="0"/>
        <v>3.8941875000000001</v>
      </c>
      <c r="K35" s="50">
        <f t="shared" si="1"/>
        <v>0.46153333333333335</v>
      </c>
      <c r="L35" s="37">
        <f t="shared" si="2"/>
        <v>4153800</v>
      </c>
      <c r="M35" s="37">
        <f t="shared" si="3"/>
        <v>1370944</v>
      </c>
      <c r="N35" s="51">
        <v>1840960</v>
      </c>
      <c r="O35" s="52">
        <v>4153800</v>
      </c>
      <c r="P35" s="52">
        <v>614904</v>
      </c>
      <c r="Q35" s="52">
        <v>0</v>
      </c>
      <c r="R35" s="52">
        <v>756040</v>
      </c>
      <c r="S35" s="52">
        <v>2769216</v>
      </c>
      <c r="T35" s="52">
        <v>13640</v>
      </c>
      <c r="U35" s="67">
        <v>72.176712800000004</v>
      </c>
      <c r="V35" s="67">
        <v>73.618522400000003</v>
      </c>
      <c r="W35" s="67">
        <v>29.622446100000001</v>
      </c>
      <c r="X35" s="67">
        <v>38.6234787</v>
      </c>
      <c r="Y35" s="67">
        <v>38.369240599999998</v>
      </c>
      <c r="Z35" s="67">
        <v>48.060682399999997</v>
      </c>
      <c r="AA35" s="67">
        <v>28.4110078</v>
      </c>
      <c r="AB35" s="73">
        <v>700.93272200000001</v>
      </c>
      <c r="AC35" s="73">
        <v>6.094843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6</v>
      </c>
      <c r="J36" s="53">
        <f t="shared" si="0"/>
        <v>6.1632375000000001</v>
      </c>
      <c r="K36" s="54">
        <f t="shared" si="1"/>
        <v>0.73045777777777776</v>
      </c>
      <c r="L36" s="40">
        <f t="shared" si="2"/>
        <v>6574120</v>
      </c>
      <c r="M36" s="40">
        <f t="shared" si="3"/>
        <v>1749816</v>
      </c>
      <c r="N36" s="55">
        <v>3680896</v>
      </c>
      <c r="O36" s="56">
        <v>6574120</v>
      </c>
      <c r="P36" s="56">
        <v>942512</v>
      </c>
      <c r="Q36" s="56">
        <v>0</v>
      </c>
      <c r="R36" s="56">
        <v>807304</v>
      </c>
      <c r="S36" s="56">
        <v>4810584</v>
      </c>
      <c r="T36" s="56">
        <v>13720</v>
      </c>
      <c r="U36" s="68">
        <v>74.719236600000002</v>
      </c>
      <c r="V36" s="68">
        <v>76.548856799999996</v>
      </c>
      <c r="W36" s="68">
        <v>30.304481899999999</v>
      </c>
      <c r="X36" s="68">
        <v>38.805502099999998</v>
      </c>
      <c r="Y36" s="68">
        <v>38.660890500000001</v>
      </c>
      <c r="Z36" s="68">
        <v>49.373146400000003</v>
      </c>
      <c r="AA36" s="68">
        <v>28.903979400000001</v>
      </c>
      <c r="AB36" s="74">
        <v>855.21345499999995</v>
      </c>
      <c r="AC36" s="74">
        <v>6.3930660000000001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11</v>
      </c>
      <c r="J37" s="49">
        <f t="shared" si="0"/>
        <v>11.240415</v>
      </c>
      <c r="K37" s="50">
        <f t="shared" si="1"/>
        <v>1.3321973333333332</v>
      </c>
      <c r="L37" s="37">
        <f t="shared" si="2"/>
        <v>11989776</v>
      </c>
      <c r="M37" s="37">
        <f t="shared" si="3"/>
        <v>2100800</v>
      </c>
      <c r="N37" s="51">
        <v>7365824</v>
      </c>
      <c r="O37" s="52">
        <v>11989776</v>
      </c>
      <c r="P37" s="52">
        <v>1602384</v>
      </c>
      <c r="Q37" s="52">
        <v>0</v>
      </c>
      <c r="R37" s="52">
        <v>498416</v>
      </c>
      <c r="S37" s="52">
        <v>9875080</v>
      </c>
      <c r="T37" s="52">
        <v>13896</v>
      </c>
      <c r="U37" s="67">
        <v>75.5333033</v>
      </c>
      <c r="V37" s="67">
        <v>77.444665000000001</v>
      </c>
      <c r="W37" s="67">
        <v>31.2413214</v>
      </c>
      <c r="X37" s="67">
        <v>39.028236</v>
      </c>
      <c r="Y37" s="67">
        <v>39.210670899999997</v>
      </c>
      <c r="Z37" s="67">
        <v>49.903984700000002</v>
      </c>
      <c r="AA37" s="67">
        <v>30.254761899999998</v>
      </c>
      <c r="AB37" s="73">
        <v>5635.309174</v>
      </c>
      <c r="AC37" s="73">
        <v>63.844804000000003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16</v>
      </c>
      <c r="J38" s="53">
        <f t="shared" si="0"/>
        <v>16.467285</v>
      </c>
      <c r="K38" s="54">
        <f t="shared" si="1"/>
        <v>1.9516782222222222</v>
      </c>
      <c r="L38" s="40">
        <f t="shared" si="2"/>
        <v>17565104</v>
      </c>
      <c r="M38" s="40">
        <f t="shared" si="3"/>
        <v>2719760</v>
      </c>
      <c r="N38" s="55">
        <v>7365824</v>
      </c>
      <c r="O38" s="56">
        <v>17565104</v>
      </c>
      <c r="P38" s="56">
        <v>1775992</v>
      </c>
      <c r="Q38" s="56">
        <v>0</v>
      </c>
      <c r="R38" s="56">
        <v>943768</v>
      </c>
      <c r="S38" s="56">
        <v>14831256</v>
      </c>
      <c r="T38" s="56">
        <v>14088</v>
      </c>
      <c r="U38" s="68">
        <v>77.121172900000005</v>
      </c>
      <c r="V38" s="68">
        <v>79.370635300000004</v>
      </c>
      <c r="W38" s="68">
        <v>31.929052599999999</v>
      </c>
      <c r="X38" s="68">
        <v>39.093400799999998</v>
      </c>
      <c r="Y38" s="68">
        <v>39.335960900000003</v>
      </c>
      <c r="Z38" s="68">
        <v>50.846184600000001</v>
      </c>
      <c r="AA38" s="68">
        <v>30.9558535</v>
      </c>
      <c r="AB38" s="74">
        <v>5654.1329960000003</v>
      </c>
      <c r="AC38" s="74">
        <v>71.657976000000005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24</v>
      </c>
      <c r="J39" s="57">
        <f t="shared" si="0"/>
        <v>24.664282499999999</v>
      </c>
      <c r="K39" s="58">
        <f t="shared" si="1"/>
        <v>2.9231742222222223</v>
      </c>
      <c r="L39" s="43">
        <f t="shared" si="2"/>
        <v>26308568</v>
      </c>
      <c r="M39" s="43">
        <f t="shared" si="3"/>
        <v>3929960</v>
      </c>
      <c r="N39" s="59">
        <v>14733888</v>
      </c>
      <c r="O39" s="60">
        <v>26308568</v>
      </c>
      <c r="P39" s="60">
        <v>3114912</v>
      </c>
      <c r="Q39" s="60">
        <v>0</v>
      </c>
      <c r="R39" s="60">
        <v>815048</v>
      </c>
      <c r="S39" s="60">
        <v>22364904</v>
      </c>
      <c r="T39" s="60">
        <v>13704</v>
      </c>
      <c r="U39" s="69">
        <v>79.481248500000007</v>
      </c>
      <c r="V39" s="69">
        <v>82.309624900000003</v>
      </c>
      <c r="W39" s="69">
        <v>32.735195400000002</v>
      </c>
      <c r="X39" s="69">
        <v>39.175828699999997</v>
      </c>
      <c r="Y39" s="69">
        <v>39.475061199999999</v>
      </c>
      <c r="Z39" s="69">
        <v>52.049809799999998</v>
      </c>
      <c r="AA39" s="69">
        <v>31.826236399999999</v>
      </c>
      <c r="AB39" s="75">
        <v>6395.1573010000002</v>
      </c>
      <c r="AC39" s="75">
        <v>74.028242000000006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4</v>
      </c>
      <c r="J40" s="53">
        <f t="shared" si="0"/>
        <v>4.0055699999999996</v>
      </c>
      <c r="K40" s="54">
        <f t="shared" si="1"/>
        <v>0.47473422222222222</v>
      </c>
      <c r="L40" s="40">
        <f t="shared" si="2"/>
        <v>4272608</v>
      </c>
      <c r="M40" s="40">
        <f t="shared" si="3"/>
        <v>1205552</v>
      </c>
      <c r="N40" s="55">
        <v>1838720</v>
      </c>
      <c r="O40" s="56">
        <v>4272608</v>
      </c>
      <c r="P40" s="56">
        <v>530288</v>
      </c>
      <c r="Q40" s="56">
        <v>0</v>
      </c>
      <c r="R40" s="56">
        <v>675264</v>
      </c>
      <c r="S40" s="56">
        <v>3053504</v>
      </c>
      <c r="T40" s="56">
        <v>13552</v>
      </c>
      <c r="U40" s="68">
        <v>72.645732199999998</v>
      </c>
      <c r="V40" s="68">
        <v>73.9608341</v>
      </c>
      <c r="W40" s="68">
        <v>32.563791399999999</v>
      </c>
      <c r="X40" s="68">
        <v>42.2139545</v>
      </c>
      <c r="Y40" s="68">
        <v>42.566307000000002</v>
      </c>
      <c r="Z40" s="68">
        <v>48.151674200000002</v>
      </c>
      <c r="AA40" s="68">
        <v>31.662633899999999</v>
      </c>
      <c r="AB40" s="74">
        <v>1490.7614599999999</v>
      </c>
      <c r="AC40" s="74">
        <v>15.933419000000001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6</v>
      </c>
      <c r="J41" s="49">
        <f t="shared" si="0"/>
        <v>6.1032525</v>
      </c>
      <c r="K41" s="50">
        <f t="shared" si="1"/>
        <v>0.72334844444444446</v>
      </c>
      <c r="L41" s="37">
        <f t="shared" si="2"/>
        <v>6510136</v>
      </c>
      <c r="M41" s="37">
        <f t="shared" si="3"/>
        <v>1303712</v>
      </c>
      <c r="N41" s="51">
        <v>1838720</v>
      </c>
      <c r="O41" s="52">
        <v>6510136</v>
      </c>
      <c r="P41" s="52">
        <v>575728</v>
      </c>
      <c r="Q41" s="52">
        <v>0</v>
      </c>
      <c r="R41" s="52">
        <v>727984</v>
      </c>
      <c r="S41" s="52">
        <v>5192920</v>
      </c>
      <c r="T41" s="52">
        <v>13504</v>
      </c>
      <c r="U41" s="67">
        <v>72.885461000000006</v>
      </c>
      <c r="V41" s="67">
        <v>74.230482600000002</v>
      </c>
      <c r="W41" s="67">
        <v>33.210661299999998</v>
      </c>
      <c r="X41" s="67">
        <v>42.516198000000003</v>
      </c>
      <c r="Y41" s="67">
        <v>42.839952699999998</v>
      </c>
      <c r="Z41" s="67">
        <v>48.325825399999999</v>
      </c>
      <c r="AA41" s="67">
        <v>32.0933402</v>
      </c>
      <c r="AB41" s="73">
        <v>4727.7597020000003</v>
      </c>
      <c r="AC41" s="73">
        <v>56.606546999999999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11</v>
      </c>
      <c r="J42" s="53">
        <f t="shared" si="0"/>
        <v>11.162834999999999</v>
      </c>
      <c r="K42" s="54">
        <f t="shared" si="1"/>
        <v>1.3230026666666668</v>
      </c>
      <c r="L42" s="40">
        <f t="shared" si="2"/>
        <v>11907024</v>
      </c>
      <c r="M42" s="40">
        <f t="shared" si="3"/>
        <v>2199632</v>
      </c>
      <c r="N42" s="55">
        <v>7368384</v>
      </c>
      <c r="O42" s="56">
        <v>11907024</v>
      </c>
      <c r="P42" s="56">
        <v>1558048</v>
      </c>
      <c r="Q42" s="56">
        <v>0</v>
      </c>
      <c r="R42" s="56">
        <v>641584</v>
      </c>
      <c r="S42" s="56">
        <v>9693592</v>
      </c>
      <c r="T42" s="56">
        <v>13800</v>
      </c>
      <c r="U42" s="68">
        <v>76.476013100000003</v>
      </c>
      <c r="V42" s="68">
        <v>78.351185000000001</v>
      </c>
      <c r="W42" s="68">
        <v>34.205372799999999</v>
      </c>
      <c r="X42" s="68">
        <v>42.837952000000001</v>
      </c>
      <c r="Y42" s="68">
        <v>43.3814882</v>
      </c>
      <c r="Z42" s="68">
        <v>50.790737499999999</v>
      </c>
      <c r="AA42" s="68">
        <v>33.348000999999996</v>
      </c>
      <c r="AB42" s="74">
        <v>5357.3098959999998</v>
      </c>
      <c r="AC42" s="74">
        <v>72.818360999999996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16</v>
      </c>
      <c r="J43" s="49">
        <f t="shared" si="0"/>
        <v>16.459432499999998</v>
      </c>
      <c r="K43" s="50">
        <f t="shared" si="1"/>
        <v>1.9507475555555556</v>
      </c>
      <c r="L43" s="37">
        <f t="shared" si="2"/>
        <v>17556728</v>
      </c>
      <c r="M43" s="37">
        <f t="shared" si="3"/>
        <v>2646368</v>
      </c>
      <c r="N43" s="51">
        <v>7368384</v>
      </c>
      <c r="O43" s="52">
        <v>17556728</v>
      </c>
      <c r="P43" s="52">
        <v>1731008</v>
      </c>
      <c r="Q43" s="52">
        <v>0</v>
      </c>
      <c r="R43" s="52">
        <v>915360</v>
      </c>
      <c r="S43" s="52">
        <v>14896432</v>
      </c>
      <c r="T43" s="52">
        <v>13928</v>
      </c>
      <c r="U43" s="67">
        <v>77.444710599999993</v>
      </c>
      <c r="V43" s="67">
        <v>79.532313099999996</v>
      </c>
      <c r="W43" s="67">
        <v>34.905922500000003</v>
      </c>
      <c r="X43" s="67">
        <v>42.971181600000001</v>
      </c>
      <c r="Y43" s="67">
        <v>43.568160399999996</v>
      </c>
      <c r="Z43" s="67">
        <v>51.223780499999997</v>
      </c>
      <c r="AA43" s="67">
        <v>33.979614699999999</v>
      </c>
      <c r="AB43" s="73">
        <v>5300.5949739999996</v>
      </c>
      <c r="AC43" s="73">
        <v>70.993566999999999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24</v>
      </c>
      <c r="J44" s="61">
        <f t="shared" si="0"/>
        <v>24.639285000000001</v>
      </c>
      <c r="K44" s="62">
        <f t="shared" si="1"/>
        <v>2.9202115555555554</v>
      </c>
      <c r="L44" s="46">
        <f t="shared" si="2"/>
        <v>26281904</v>
      </c>
      <c r="M44" s="46">
        <f t="shared" si="3"/>
        <v>3693320</v>
      </c>
      <c r="N44" s="63">
        <v>14739328</v>
      </c>
      <c r="O44" s="64">
        <v>26281904</v>
      </c>
      <c r="P44" s="64">
        <v>2692472</v>
      </c>
      <c r="Q44" s="64">
        <v>0</v>
      </c>
      <c r="R44" s="64">
        <v>1000848</v>
      </c>
      <c r="S44" s="64">
        <v>22574840</v>
      </c>
      <c r="T44" s="64">
        <v>13744</v>
      </c>
      <c r="U44" s="70">
        <v>79.916263299999997</v>
      </c>
      <c r="V44" s="70">
        <v>82.628330000000005</v>
      </c>
      <c r="W44" s="70">
        <v>35.766206400000002</v>
      </c>
      <c r="X44" s="70">
        <v>43.107514299999998</v>
      </c>
      <c r="Y44" s="70">
        <v>43.767651899999997</v>
      </c>
      <c r="Z44" s="70">
        <v>52.799460099999997</v>
      </c>
      <c r="AA44" s="70">
        <v>34.972565799999998</v>
      </c>
      <c r="AB44" s="76">
        <v>5982.2384739999998</v>
      </c>
      <c r="AC44" s="76">
        <v>76.530328999999995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ht="15" customHeight="1" x14ac:dyDescent="0.15">
      <c r="A45" s="36" t="s">
        <v>191</v>
      </c>
      <c r="B45" s="36" t="s">
        <v>33</v>
      </c>
      <c r="C45" s="37" t="s">
        <v>431</v>
      </c>
      <c r="D45" s="36">
        <v>199984</v>
      </c>
      <c r="E45" s="38">
        <v>10</v>
      </c>
      <c r="F45" s="37">
        <v>1</v>
      </c>
      <c r="G45" s="37">
        <v>30</v>
      </c>
      <c r="H45" s="37">
        <v>4</v>
      </c>
      <c r="J45" s="49">
        <f t="shared" ref="J45:J49" si="12">IF(OR(ISBLANK(O45),ISBLANK(G45)),"·",O45*G45/F45/1000000)</f>
        <v>4.3096800000000002</v>
      </c>
      <c r="K45" s="50">
        <f t="shared" ref="K45:K49" si="13">IF(ISBLANK(O45),"·",O45/D45)</f>
        <v>0.71833746699735979</v>
      </c>
      <c r="L45" s="37">
        <f t="shared" ref="L45:L49" si="14">IF(OR(ISBLANK(M45),ISBLANK(S45),ISBLANK(T45)),".",M45+S45+T45)</f>
        <v>143656</v>
      </c>
      <c r="M45" s="37">
        <f t="shared" ref="M45:M49" si="15">IF(OR(ISBLANK(Q45),ISBLANK(P45),ISBLANK(R45)),".",P45+Q45+R45)</f>
        <v>45608</v>
      </c>
      <c r="N45" s="51">
        <v>76800</v>
      </c>
      <c r="O45" s="52">
        <v>143656</v>
      </c>
      <c r="P45" s="52">
        <v>21128</v>
      </c>
      <c r="Q45" s="52">
        <v>0</v>
      </c>
      <c r="R45" s="52">
        <v>24480</v>
      </c>
      <c r="S45" s="52">
        <v>96512</v>
      </c>
      <c r="T45" s="52">
        <v>1536</v>
      </c>
      <c r="U45" s="67">
        <v>74.433610599999994</v>
      </c>
      <c r="V45" s="67">
        <v>76.408123599999996</v>
      </c>
      <c r="W45" s="67">
        <v>30.314523600000001</v>
      </c>
      <c r="X45" s="67">
        <v>41.477909799999999</v>
      </c>
      <c r="Y45" s="67">
        <v>39.835304899999997</v>
      </c>
      <c r="Z45" s="67">
        <v>53.720557300000003</v>
      </c>
      <c r="AA45" s="67">
        <v>29.4390824</v>
      </c>
      <c r="AB45" s="73">
        <v>50.027917000000002</v>
      </c>
      <c r="AC45" s="73">
        <v>0.17050999999999999</v>
      </c>
      <c r="AE45" s="49" t="str">
        <f t="shared" ref="AE45:AE49" si="16">IF(OR(ISBLANK(AJ45),ISBLANK(G45)),"·",AJ45*G45/F45/1000000)</f>
        <v>·</v>
      </c>
      <c r="AF45" s="50" t="str">
        <f t="shared" ref="AF45:AF49" si="17">IF(ISBLANK(AJ45),"·",AJ45/D45)</f>
        <v>·</v>
      </c>
      <c r="AG45" s="37" t="str">
        <f t="shared" ref="AG45:AG49" si="18">IF(OR(ISBLANK(AH45),ISBLANK(AN45),ISBLANK(AO45)),".",AH45+AN45+AO45)</f>
        <v>.</v>
      </c>
      <c r="AH45" s="37" t="str">
        <f t="shared" ref="AH45:AH49" si="19">IF(OR(ISBLANK(AL45),ISBLANK(AK45),ISBLANK(AM45)),".",AK45+AL45+AM45)</f>
        <v>.</v>
      </c>
      <c r="AI45" s="51"/>
      <c r="AJ45" s="52"/>
      <c r="AK45" s="52"/>
      <c r="AL45" s="52"/>
      <c r="AM45" s="52"/>
      <c r="AN45" s="52"/>
      <c r="AO45" s="52"/>
      <c r="AP45" s="67"/>
      <c r="AQ45" s="67"/>
      <c r="AR45" s="67"/>
      <c r="AS45" s="67"/>
      <c r="AT45" s="67"/>
      <c r="AU45" s="67"/>
      <c r="AV45" s="67"/>
      <c r="AW45" s="73"/>
      <c r="AX45" s="73"/>
      <c r="AZ45" s="6" t="str">
        <f t="array" ref="AZ45">IF(OR(AND(ISBLANK(L45:L49)),AND(ISBLANK(AG45:AG49)),AND(ISBLANK(U45:U49)),AND(ISBLANK(AP45:AP49))),"·",bdRateExtend(L45:L49,U45:U49,AG45:AG49,AP45:AP49))</f>
        <v>·</v>
      </c>
      <c r="BA45" s="6" t="str">
        <f t="array" ref="BA45">IF(OR(AND(ISBLANK(L45:L49)),AND(ISBLANK(AG45:AG49)),AND(ISBLANK(V45:V49)),AND(ISBLANK(AQ45:AQ49))),"·",bdRateExtend(L45:L49,V45:V49,AG45:AG49,AQ45:AQ49))</f>
        <v>·</v>
      </c>
      <c r="BB45" s="6" t="str">
        <f t="array" ref="BB45">IF(OR(AND(ISBLANK(L45:L49)),AND(ISBLANK(AG45:AG49)),AND(ISBLANK(W45:W49)),AND(ISBLANK(AR45:AR49))),"·",bdRateExtend(L45:L49,W45:W49,AG45:AG49,AR45:AR49))</f>
        <v>·</v>
      </c>
      <c r="BC45" s="6" t="str">
        <f t="array" ref="BC45">IF(OR(AND(ISBLANK(L45:L49)),AND(ISBLANK(AG45:AG49)),AND(ISBLANK(X45:X49)),AND(ISBLANK(AS45:AS49))),"·",bdRateExtend(L45:L49,X45:X49,AG45:AG49,AS45:AS49))</f>
        <v>·</v>
      </c>
      <c r="BD45" s="6" t="str">
        <f t="array" ref="BD45">IF(OR(AND(ISBLANK(L45:L49)),AND(ISBLANK(AG45:AG49)),AND(ISBLANK(Y45:Y49)),AND(ISBLANK(AT45:AT49))),"·",bdRateExtend(L45:L49,Y45:Y49,AG45:AG49,AT45:AT49))</f>
        <v>·</v>
      </c>
      <c r="BE45" s="6" t="str">
        <f t="array" ref="BE45">IF(OR(AND(ISBLANK(L45:L49)),AND(ISBLANK(AG45:AG49)),AND(ISBLANK(Z45:Z49)),AND(ISBLANK(AU45:AU49))),"·",bdRateExtend(L45:L49,Z45:Z49,AG45:AG49,AU45:AU49))</f>
        <v>·</v>
      </c>
      <c r="BF45" s="6" t="str">
        <f t="array" ref="BF45">IF(OR(AND(ISBLANK(L45:L49)),AND(ISBLANK(AG45:AG49)),AND(ISBLANK(AA45:AA49)),AND(ISBLANK(AV45:AV49))),"·",bdRateExtend(L45:L49,AA45:AA49,AG45:AG49,AV45:AV49))</f>
        <v>·</v>
      </c>
      <c r="BH45" s="6" t="str">
        <f t="array" ref="BH45">IF(OR(AND(ISBLANK(M45:M49)),AND(ISBLANK(AH45:AH49)),AND(ISBLANK(U45:U49)),AND(ISBLANK(AP45:AP49))),"·",bdRateExtend(M45:M49,U45:U49,AH45:AH49,AP45:AP49))</f>
        <v>·</v>
      </c>
      <c r="BI45" s="6" t="str">
        <f t="array" ref="BI45">IF(OR(AND(ISBLANK(M45:M49)),AND(ISBLANK(AH45:AH49)),AND(ISBLANK(V45:V49)),AND(ISBLANK(AQ45:AQ49))),"·",bdRateExtend(M45:M49,V45:V49,AH45:AH49,AQ45:AQ49))</f>
        <v>·</v>
      </c>
      <c r="BJ45" s="6" t="str">
        <f t="array" ref="BJ45">IF(OR(AND(ISBLANK(S45:S49)),AND(ISBLANK(AN45:AN49)),AND(ISBLANK(W45:W49)),AND(ISBLANK(AR45:AR49))),"·",bdRateExtend(S45:S49,W45:W49,AN45:AN49,AR45:AR49))</f>
        <v>·</v>
      </c>
      <c r="BK45" s="6" t="str">
        <f t="array" ref="BK45">IF(OR(AND(ISBLANK(S45:S49)),AND(ISBLANK(AN45:AN49)),AND(ISBLANK(X45:X49)),AND(ISBLANK(AS45:AS49))),"·",bdRateExtend(S45:S49,X45:X49,AN45:AN49,AS45:AS49))</f>
        <v>·</v>
      </c>
      <c r="BL45" s="6" t="str">
        <f t="array" ref="BL45">IF(OR(AND(ISBLANK(S45:S49)),AND(ISBLANK(AN45:AN49)),AND(ISBLANK(Y45:Y49)),AND(ISBLANK(AT45:AT49))),"·",bdRateExtend(S45:S49,Y45:Y49,AN45:AN49,AT45:AT49))</f>
        <v>·</v>
      </c>
      <c r="BM45" s="6" t="str">
        <f t="array" ref="BM45">IF(OR(AND(ISBLANK(M45:M49)),AND(ISBLANK(AH45:AH49)),AND(ISBLANK(Z45:Z49)),AND(ISBLANK(AU45:AU49))),"·",bdRateExtend(M45:M49,Z45:Z49,AH45:AH49,AU45:AU49))</f>
        <v>·</v>
      </c>
      <c r="BN45" s="6" t="str">
        <f t="array" ref="BN45">IF(OR(AND(ISBLANK(S45:S49)),AND(ISBLANK(AN45:AN49)),AND(ISBLANK(AA45:AA49)),AND(ISBLANK(AV45:AV49))),"·",bdRateExtend(S45:S49,AA45:AA49,AN45:AN49,AV45:AV49))</f>
        <v>·</v>
      </c>
      <c r="BP45" s="6">
        <f t="shared" ref="BP45:BP49" si="20">IF(AND(AK45=0,AK45=0),0,AK45/P45-1)</f>
        <v>0</v>
      </c>
      <c r="BQ45" s="6">
        <f t="shared" ref="BQ45:BQ49" si="21">IF(AND(AL45=0,AL45=0),0,AL45/Q45-1)</f>
        <v>0</v>
      </c>
      <c r="BR45" s="6">
        <f t="shared" ref="BR45:BR49" si="22">IF(AND(AM45=0,AM45=0),0,AM45/R45-1)</f>
        <v>0</v>
      </c>
      <c r="BS45" s="6">
        <f t="shared" ref="BS45:BS49" si="23">IF(AND(AN45=0,AN45=0),0,AN45/S45-1)</f>
        <v>0</v>
      </c>
      <c r="BT45" s="6">
        <f t="shared" ref="BT45:BT49" si="24">IF(AND(AO45=0,AO45=0),0,AO45/T45-1)</f>
        <v>0</v>
      </c>
    </row>
    <row r="46" spans="1:72" ht="15" customHeight="1" outlineLevel="1" x14ac:dyDescent="0.15">
      <c r="A46" s="39"/>
      <c r="B46" s="39" t="s">
        <v>33</v>
      </c>
      <c r="C46" s="40" t="s">
        <v>432</v>
      </c>
      <c r="D46" s="39">
        <v>199984</v>
      </c>
      <c r="E46" s="41">
        <v>10</v>
      </c>
      <c r="F46" s="40">
        <v>1</v>
      </c>
      <c r="G46" s="40">
        <v>30</v>
      </c>
      <c r="H46" s="40">
        <v>9</v>
      </c>
      <c r="J46" s="53">
        <f t="shared" si="12"/>
        <v>6.2279999999999998</v>
      </c>
      <c r="K46" s="54">
        <f t="shared" si="13"/>
        <v>1.0380830466437314</v>
      </c>
      <c r="L46" s="40">
        <f t="shared" si="14"/>
        <v>207600</v>
      </c>
      <c r="M46" s="40">
        <f t="shared" si="15"/>
        <v>55416</v>
      </c>
      <c r="N46" s="55">
        <v>153600</v>
      </c>
      <c r="O46" s="56">
        <v>207600</v>
      </c>
      <c r="P46" s="56">
        <v>35008</v>
      </c>
      <c r="Q46" s="56">
        <v>0</v>
      </c>
      <c r="R46" s="56">
        <v>20408</v>
      </c>
      <c r="S46" s="56">
        <v>150632</v>
      </c>
      <c r="T46" s="56">
        <v>1552</v>
      </c>
      <c r="U46" s="68">
        <v>75.622249199999999</v>
      </c>
      <c r="V46" s="68">
        <v>77.881774800000002</v>
      </c>
      <c r="W46" s="68">
        <v>30.9728514</v>
      </c>
      <c r="X46" s="68">
        <v>41.976757499999998</v>
      </c>
      <c r="Y46" s="68">
        <v>40.402654499999997</v>
      </c>
      <c r="Z46" s="68">
        <v>54.592300600000002</v>
      </c>
      <c r="AA46" s="68">
        <v>29.883801699999999</v>
      </c>
      <c r="AB46" s="74">
        <v>60.653565</v>
      </c>
      <c r="AC46" s="74">
        <v>0.23850099999999999</v>
      </c>
      <c r="AE46" s="53" t="str">
        <f t="shared" si="16"/>
        <v>·</v>
      </c>
      <c r="AF46" s="54" t="str">
        <f t="shared" si="17"/>
        <v>·</v>
      </c>
      <c r="AG46" s="40" t="str">
        <f t="shared" si="18"/>
        <v>.</v>
      </c>
      <c r="AH46" s="40" t="str">
        <f t="shared" si="19"/>
        <v>.</v>
      </c>
      <c r="AI46" s="55"/>
      <c r="AJ46" s="56"/>
      <c r="AK46" s="56"/>
      <c r="AL46" s="56"/>
      <c r="AM46" s="56"/>
      <c r="AN46" s="56"/>
      <c r="AO46" s="56"/>
      <c r="AP46" s="68"/>
      <c r="AQ46" s="68"/>
      <c r="AR46" s="68"/>
      <c r="AS46" s="68"/>
      <c r="AT46" s="68"/>
      <c r="AU46" s="68"/>
      <c r="AV46" s="68"/>
      <c r="AW46" s="74"/>
      <c r="AX46" s="74"/>
      <c r="AZ46" s="10"/>
      <c r="BA46" s="10"/>
      <c r="BB46" s="10"/>
      <c r="BC46" s="10"/>
      <c r="BD46" s="10"/>
      <c r="BE46" s="10"/>
      <c r="BF46" s="10"/>
      <c r="BH46" s="88"/>
      <c r="BI46" s="88"/>
      <c r="BJ46" s="88"/>
      <c r="BK46" s="88"/>
      <c r="BL46" s="88"/>
      <c r="BM46" s="88"/>
      <c r="BN46" s="88"/>
      <c r="BP46" s="10">
        <f t="shared" si="20"/>
        <v>0</v>
      </c>
      <c r="BQ46" s="10">
        <f t="shared" si="21"/>
        <v>0</v>
      </c>
      <c r="BR46" s="10">
        <f t="shared" si="22"/>
        <v>0</v>
      </c>
      <c r="BS46" s="10">
        <f t="shared" si="23"/>
        <v>0</v>
      </c>
      <c r="BT46" s="10">
        <f t="shared" si="24"/>
        <v>0</v>
      </c>
    </row>
    <row r="47" spans="1:72" ht="15" customHeight="1" outlineLevel="1" x14ac:dyDescent="0.15">
      <c r="A47" s="36"/>
      <c r="B47" s="36" t="s">
        <v>33</v>
      </c>
      <c r="C47" s="37" t="s">
        <v>433</v>
      </c>
      <c r="D47" s="36">
        <v>199984</v>
      </c>
      <c r="E47" s="38">
        <v>10</v>
      </c>
      <c r="F47" s="37">
        <v>1</v>
      </c>
      <c r="G47" s="37">
        <v>30</v>
      </c>
      <c r="H47" s="37">
        <v>12</v>
      </c>
      <c r="J47" s="49">
        <f t="shared" si="12"/>
        <v>11.075519999999999</v>
      </c>
      <c r="K47" s="50">
        <f t="shared" si="13"/>
        <v>1.8460676854148332</v>
      </c>
      <c r="L47" s="37">
        <f t="shared" si="14"/>
        <v>369184</v>
      </c>
      <c r="M47" s="37">
        <f t="shared" si="15"/>
        <v>82168</v>
      </c>
      <c r="N47" s="51">
        <v>307200</v>
      </c>
      <c r="O47" s="52">
        <v>369184</v>
      </c>
      <c r="P47" s="52">
        <v>67168</v>
      </c>
      <c r="Q47" s="52">
        <v>0</v>
      </c>
      <c r="R47" s="52">
        <v>15000</v>
      </c>
      <c r="S47" s="52">
        <v>285432</v>
      </c>
      <c r="T47" s="52">
        <v>1584</v>
      </c>
      <c r="U47" s="67">
        <v>77.289292599999996</v>
      </c>
      <c r="V47" s="67">
        <v>79.922633200000007</v>
      </c>
      <c r="W47" s="67">
        <v>31.874237300000001</v>
      </c>
      <c r="X47" s="67">
        <v>44.481258799999999</v>
      </c>
      <c r="Y47" s="67">
        <v>43.441433500000002</v>
      </c>
      <c r="Z47" s="67">
        <v>55.817408499999999</v>
      </c>
      <c r="AA47" s="67">
        <v>31.263049899999999</v>
      </c>
      <c r="AB47" s="73">
        <v>233.47128900000001</v>
      </c>
      <c r="AC47" s="73">
        <v>1.91883</v>
      </c>
      <c r="AE47" s="49" t="str">
        <f t="shared" si="16"/>
        <v>·</v>
      </c>
      <c r="AF47" s="50" t="str">
        <f t="shared" si="17"/>
        <v>·</v>
      </c>
      <c r="AG47" s="37" t="str">
        <f t="shared" si="18"/>
        <v>.</v>
      </c>
      <c r="AH47" s="37" t="str">
        <f t="shared" si="19"/>
        <v>.</v>
      </c>
      <c r="AI47" s="51"/>
      <c r="AJ47" s="52"/>
      <c r="AK47" s="52"/>
      <c r="AL47" s="52"/>
      <c r="AM47" s="52"/>
      <c r="AN47" s="52"/>
      <c r="AO47" s="52"/>
      <c r="AP47" s="67"/>
      <c r="AQ47" s="67"/>
      <c r="AR47" s="67"/>
      <c r="AS47" s="67"/>
      <c r="AT47" s="67"/>
      <c r="AU47" s="67"/>
      <c r="AV47" s="67"/>
      <c r="AW47" s="73"/>
      <c r="AX47" s="73"/>
      <c r="AZ47" s="6"/>
      <c r="BA47" s="6"/>
      <c r="BB47" s="6"/>
      <c r="BC47" s="6"/>
      <c r="BD47" s="6"/>
      <c r="BE47" s="6"/>
      <c r="BF47" s="6"/>
      <c r="BH47" s="89"/>
      <c r="BI47" s="89"/>
      <c r="BJ47" s="89"/>
      <c r="BK47" s="89"/>
      <c r="BL47" s="89"/>
      <c r="BM47" s="89"/>
      <c r="BN47" s="89"/>
      <c r="BP47" s="6">
        <f t="shared" si="20"/>
        <v>0</v>
      </c>
      <c r="BQ47" s="6">
        <f t="shared" si="21"/>
        <v>0</v>
      </c>
      <c r="BR47" s="6">
        <f t="shared" si="22"/>
        <v>0</v>
      </c>
      <c r="BS47" s="6">
        <f t="shared" si="23"/>
        <v>0</v>
      </c>
      <c r="BT47" s="6">
        <f t="shared" si="24"/>
        <v>0</v>
      </c>
    </row>
    <row r="48" spans="1:72" ht="15" customHeight="1" outlineLevel="1" x14ac:dyDescent="0.15">
      <c r="A48" s="39"/>
      <c r="B48" s="39" t="s">
        <v>33</v>
      </c>
      <c r="C48" s="40" t="s">
        <v>434</v>
      </c>
      <c r="D48" s="39">
        <v>199984</v>
      </c>
      <c r="E48" s="41">
        <v>10</v>
      </c>
      <c r="F48" s="40">
        <v>1</v>
      </c>
      <c r="G48" s="40">
        <v>30</v>
      </c>
      <c r="H48" s="40">
        <v>15</v>
      </c>
      <c r="J48" s="53">
        <f t="shared" si="12"/>
        <v>14.861520000000001</v>
      </c>
      <c r="K48" s="54">
        <f t="shared" si="13"/>
        <v>2.4771181694535565</v>
      </c>
      <c r="L48" s="40">
        <f t="shared" si="14"/>
        <v>495384</v>
      </c>
      <c r="M48" s="40">
        <f t="shared" si="15"/>
        <v>91944</v>
      </c>
      <c r="N48" s="55">
        <v>307200</v>
      </c>
      <c r="O48" s="56">
        <v>495384</v>
      </c>
      <c r="P48" s="56">
        <v>67168</v>
      </c>
      <c r="Q48" s="56">
        <v>0</v>
      </c>
      <c r="R48" s="56">
        <v>24776</v>
      </c>
      <c r="S48" s="56">
        <v>401856</v>
      </c>
      <c r="T48" s="56">
        <v>1584</v>
      </c>
      <c r="U48" s="68">
        <v>78.727111699999995</v>
      </c>
      <c r="V48" s="68">
        <v>81.873689900000002</v>
      </c>
      <c r="W48" s="68">
        <v>32.438408500000001</v>
      </c>
      <c r="X48" s="68">
        <v>44.8189116</v>
      </c>
      <c r="Y48" s="68">
        <v>43.993966399999998</v>
      </c>
      <c r="Z48" s="68">
        <v>56.696662400000001</v>
      </c>
      <c r="AA48" s="68">
        <v>31.838319800000001</v>
      </c>
      <c r="AB48" s="74">
        <v>232.009648</v>
      </c>
      <c r="AC48" s="74">
        <v>1.92252</v>
      </c>
      <c r="AE48" s="53" t="str">
        <f t="shared" si="16"/>
        <v>·</v>
      </c>
      <c r="AF48" s="54" t="str">
        <f t="shared" si="17"/>
        <v>·</v>
      </c>
      <c r="AG48" s="40" t="str">
        <f t="shared" si="18"/>
        <v>.</v>
      </c>
      <c r="AH48" s="40" t="str">
        <f t="shared" si="19"/>
        <v>.</v>
      </c>
      <c r="AI48" s="55"/>
      <c r="AJ48" s="56"/>
      <c r="AK48" s="56"/>
      <c r="AL48" s="56"/>
      <c r="AM48" s="56"/>
      <c r="AN48" s="56"/>
      <c r="AO48" s="56"/>
      <c r="AP48" s="68"/>
      <c r="AQ48" s="68"/>
      <c r="AR48" s="68"/>
      <c r="AS48" s="68"/>
      <c r="AT48" s="68"/>
      <c r="AU48" s="68"/>
      <c r="AV48" s="68"/>
      <c r="AW48" s="74"/>
      <c r="AX48" s="74"/>
      <c r="AZ48" s="10"/>
      <c r="BA48" s="10"/>
      <c r="BB48" s="10"/>
      <c r="BC48" s="10"/>
      <c r="BD48" s="10"/>
      <c r="BE48" s="10"/>
      <c r="BF48" s="10"/>
      <c r="BH48" s="88"/>
      <c r="BI48" s="88"/>
      <c r="BJ48" s="88"/>
      <c r="BK48" s="88"/>
      <c r="BL48" s="88"/>
      <c r="BM48" s="88"/>
      <c r="BN48" s="88"/>
      <c r="BP48" s="10">
        <f t="shared" si="20"/>
        <v>0</v>
      </c>
      <c r="BQ48" s="10">
        <f t="shared" si="21"/>
        <v>0</v>
      </c>
      <c r="BR48" s="10">
        <f t="shared" si="22"/>
        <v>0</v>
      </c>
      <c r="BS48" s="10">
        <f t="shared" si="23"/>
        <v>0</v>
      </c>
      <c r="BT48" s="10">
        <f t="shared" si="24"/>
        <v>0</v>
      </c>
    </row>
    <row r="49" spans="1:72" ht="15.75" customHeight="1" outlineLevel="1" thickBot="1" x14ac:dyDescent="0.2">
      <c r="A49" s="42"/>
      <c r="B49" s="42" t="s">
        <v>33</v>
      </c>
      <c r="C49" s="43" t="s">
        <v>435</v>
      </c>
      <c r="D49" s="42">
        <v>199984</v>
      </c>
      <c r="E49" s="44">
        <v>10</v>
      </c>
      <c r="F49" s="43">
        <v>1</v>
      </c>
      <c r="G49" s="43">
        <v>30</v>
      </c>
      <c r="H49" s="43">
        <v>22</v>
      </c>
      <c r="J49" s="57">
        <f t="shared" si="12"/>
        <v>22.86384</v>
      </c>
      <c r="K49" s="58">
        <f t="shared" si="13"/>
        <v>3.8109448755900472</v>
      </c>
      <c r="L49" s="43">
        <f t="shared" si="14"/>
        <v>762128</v>
      </c>
      <c r="M49" s="43">
        <f t="shared" si="15"/>
        <v>147280</v>
      </c>
      <c r="N49" s="59">
        <v>614272</v>
      </c>
      <c r="O49" s="60">
        <v>762128</v>
      </c>
      <c r="P49" s="60">
        <v>119024</v>
      </c>
      <c r="Q49" s="60">
        <v>0</v>
      </c>
      <c r="R49" s="60">
        <v>28256</v>
      </c>
      <c r="S49" s="60">
        <v>613216</v>
      </c>
      <c r="T49" s="60">
        <v>1632</v>
      </c>
      <c r="U49" s="69">
        <v>80.394734400000004</v>
      </c>
      <c r="V49" s="69">
        <v>84.503223599999998</v>
      </c>
      <c r="W49" s="69">
        <v>33.1401386</v>
      </c>
      <c r="X49" s="69">
        <v>45.30059</v>
      </c>
      <c r="Y49" s="69">
        <v>44.425900599999999</v>
      </c>
      <c r="Z49" s="69">
        <v>57.714081100000001</v>
      </c>
      <c r="AA49" s="69">
        <v>32.634693499999997</v>
      </c>
      <c r="AB49" s="75">
        <v>266.67775</v>
      </c>
      <c r="AC49" s="75">
        <v>2.4583240000000002</v>
      </c>
      <c r="AE49" s="57" t="str">
        <f t="shared" si="16"/>
        <v>·</v>
      </c>
      <c r="AF49" s="58" t="str">
        <f t="shared" si="17"/>
        <v>·</v>
      </c>
      <c r="AG49" s="43" t="str">
        <f t="shared" si="18"/>
        <v>.</v>
      </c>
      <c r="AH49" s="43" t="str">
        <f t="shared" si="19"/>
        <v>.</v>
      </c>
      <c r="AI49" s="59"/>
      <c r="AJ49" s="60"/>
      <c r="AK49" s="60"/>
      <c r="AL49" s="60"/>
      <c r="AM49" s="60"/>
      <c r="AN49" s="60"/>
      <c r="AO49" s="60"/>
      <c r="AP49" s="69"/>
      <c r="AQ49" s="69"/>
      <c r="AR49" s="69"/>
      <c r="AS49" s="69"/>
      <c r="AT49" s="69"/>
      <c r="AU49" s="69"/>
      <c r="AV49" s="69"/>
      <c r="AW49" s="75"/>
      <c r="AX49" s="75"/>
      <c r="AZ49" s="85"/>
      <c r="BA49" s="85"/>
      <c r="BB49" s="85"/>
      <c r="BC49" s="85"/>
      <c r="BD49" s="85"/>
      <c r="BE49" s="85"/>
      <c r="BF49" s="85"/>
      <c r="BH49" s="90"/>
      <c r="BI49" s="90"/>
      <c r="BJ49" s="90"/>
      <c r="BK49" s="90"/>
      <c r="BL49" s="90"/>
      <c r="BM49" s="90"/>
      <c r="BN49" s="90"/>
      <c r="BP49" s="85">
        <f t="shared" si="20"/>
        <v>0</v>
      </c>
      <c r="BQ49" s="85">
        <f t="shared" si="21"/>
        <v>0</v>
      </c>
      <c r="BR49" s="85">
        <f t="shared" si="22"/>
        <v>0</v>
      </c>
      <c r="BS49" s="85">
        <f t="shared" si="23"/>
        <v>0</v>
      </c>
      <c r="BT49" s="85">
        <f t="shared" si="24"/>
        <v>0</v>
      </c>
    </row>
    <row r="50" spans="1:72" x14ac:dyDescent="0.15">
      <c r="B50" s="48" t="s">
        <v>7</v>
      </c>
      <c r="K50" s="65">
        <f>AVERAGE(K5:K14)</f>
        <v>1.3289069132306743</v>
      </c>
      <c r="L50" s="65"/>
      <c r="M50" s="65"/>
      <c r="AF50" s="65" t="e">
        <f>AVERAGE(AF5:AF14)</f>
        <v>#DIV/0!</v>
      </c>
      <c r="AG50" s="65"/>
      <c r="AH50" s="65"/>
      <c r="AZ50" s="86" t="e">
        <f t="shared" ref="AZ50:BF50" si="25">AVERAGE(AZ5:AZ14)</f>
        <v>#DIV/0!</v>
      </c>
      <c r="BA50" s="86" t="e">
        <f t="shared" si="25"/>
        <v>#DIV/0!</v>
      </c>
      <c r="BB50" s="86" t="e">
        <f t="shared" si="25"/>
        <v>#DIV/0!</v>
      </c>
      <c r="BC50" s="86" t="e">
        <f t="shared" si="25"/>
        <v>#DIV/0!</v>
      </c>
      <c r="BD50" s="86" t="e">
        <f t="shared" si="25"/>
        <v>#DIV/0!</v>
      </c>
      <c r="BE50" s="86" t="e">
        <f t="shared" si="25"/>
        <v>#DIV/0!</v>
      </c>
      <c r="BF50" s="86" t="e">
        <f t="shared" si="25"/>
        <v>#DIV/0!</v>
      </c>
      <c r="BH50" s="86" t="e">
        <f t="shared" ref="BH50:BN50" si="26">AVERAGE(BH5:BH14)</f>
        <v>#DIV/0!</v>
      </c>
      <c r="BI50" s="86" t="e">
        <f t="shared" si="26"/>
        <v>#DIV/0!</v>
      </c>
      <c r="BJ50" s="86" t="e">
        <f t="shared" si="26"/>
        <v>#DIV/0!</v>
      </c>
      <c r="BK50" s="86" t="e">
        <f t="shared" si="26"/>
        <v>#DIV/0!</v>
      </c>
      <c r="BL50" s="86" t="e">
        <f t="shared" si="26"/>
        <v>#DIV/0!</v>
      </c>
      <c r="BM50" s="86" t="e">
        <f t="shared" si="26"/>
        <v>#DIV/0!</v>
      </c>
      <c r="BN50" s="86" t="e">
        <f t="shared" si="26"/>
        <v>#DIV/0!</v>
      </c>
      <c r="BP50" s="86">
        <f>AVERAGE(BP5:BP14)</f>
        <v>0</v>
      </c>
      <c r="BQ50" s="86">
        <f>AVERAGE(BQ5:BQ14)</f>
        <v>0</v>
      </c>
      <c r="BR50" s="86">
        <f>AVERAGE(BR5:BR14)</f>
        <v>0</v>
      </c>
      <c r="BS50" s="86">
        <f>AVERAGE(BS5:BS14)</f>
        <v>0</v>
      </c>
      <c r="BT50" s="86">
        <f>AVERAGE(BT5:BT14)</f>
        <v>0</v>
      </c>
    </row>
    <row r="51" spans="1:72" x14ac:dyDescent="0.15">
      <c r="B51" s="48" t="s">
        <v>8</v>
      </c>
      <c r="K51" s="65">
        <f>AVERAGE(K15:K24)</f>
        <v>0.94993832547026569</v>
      </c>
      <c r="L51" s="65"/>
      <c r="M51" s="65"/>
      <c r="AF51" s="65" t="e">
        <f>AVERAGE(AF15:AF24)</f>
        <v>#DIV/0!</v>
      </c>
      <c r="AG51" s="65"/>
      <c r="AH51" s="65"/>
      <c r="AZ51" s="86" t="e">
        <f t="shared" ref="AZ51:BF51" si="27">AVERAGE(AZ15:AZ24)</f>
        <v>#DIV/0!</v>
      </c>
      <c r="BA51" s="86" t="e">
        <f t="shared" si="27"/>
        <v>#DIV/0!</v>
      </c>
      <c r="BB51" s="86" t="e">
        <f t="shared" si="27"/>
        <v>#DIV/0!</v>
      </c>
      <c r="BC51" s="86" t="e">
        <f t="shared" si="27"/>
        <v>#DIV/0!</v>
      </c>
      <c r="BD51" s="86" t="e">
        <f t="shared" si="27"/>
        <v>#DIV/0!</v>
      </c>
      <c r="BE51" s="86" t="e">
        <f t="shared" si="27"/>
        <v>#DIV/0!</v>
      </c>
      <c r="BF51" s="86" t="e">
        <f t="shared" si="27"/>
        <v>#DIV/0!</v>
      </c>
      <c r="BH51" s="86" t="e">
        <f t="shared" ref="BH51:BN51" si="28">AVERAGE(BH15:BH24)</f>
        <v>#DIV/0!</v>
      </c>
      <c r="BI51" s="86" t="e">
        <f t="shared" si="28"/>
        <v>#DIV/0!</v>
      </c>
      <c r="BJ51" s="86" t="e">
        <f t="shared" si="28"/>
        <v>#DIV/0!</v>
      </c>
      <c r="BK51" s="86" t="e">
        <f t="shared" si="28"/>
        <v>#DIV/0!</v>
      </c>
      <c r="BL51" s="86" t="e">
        <f t="shared" si="28"/>
        <v>#DIV/0!</v>
      </c>
      <c r="BM51" s="86" t="e">
        <f t="shared" si="28"/>
        <v>#DIV/0!</v>
      </c>
      <c r="BN51" s="86" t="e">
        <f t="shared" si="28"/>
        <v>#DIV/0!</v>
      </c>
      <c r="BP51" s="86">
        <f>AVERAGE(BP15:BP24)</f>
        <v>0</v>
      </c>
      <c r="BQ51" s="86">
        <f>AVERAGE(BQ15:BQ24)</f>
        <v>0</v>
      </c>
      <c r="BR51" s="86">
        <f>AVERAGE(BR15:BR24)</f>
        <v>0</v>
      </c>
      <c r="BS51" s="86">
        <f>AVERAGE(BS15:BS24)</f>
        <v>0</v>
      </c>
      <c r="BT51" s="86">
        <f>AVERAGE(BT15:BT24)</f>
        <v>0</v>
      </c>
    </row>
    <row r="52" spans="1:72" x14ac:dyDescent="0.15">
      <c r="B52" s="48" t="s">
        <v>9</v>
      </c>
      <c r="K52" s="65">
        <f>AVERAGE(K25:K44)</f>
        <v>1.6287562607276445</v>
      </c>
      <c r="L52" s="65"/>
      <c r="M52" s="65"/>
      <c r="AF52" s="65" t="e">
        <f>AVERAGE(AF25:AF44)</f>
        <v>#DIV/0!</v>
      </c>
      <c r="AG52" s="65"/>
      <c r="AH52" s="65"/>
      <c r="AZ52" s="86" t="e">
        <f t="shared" ref="AZ52:BF52" si="29">AVERAGE(AZ25:AZ44)</f>
        <v>#DIV/0!</v>
      </c>
      <c r="BA52" s="86" t="e">
        <f t="shared" si="29"/>
        <v>#DIV/0!</v>
      </c>
      <c r="BB52" s="86" t="e">
        <f t="shared" si="29"/>
        <v>#DIV/0!</v>
      </c>
      <c r="BC52" s="86" t="e">
        <f t="shared" si="29"/>
        <v>#DIV/0!</v>
      </c>
      <c r="BD52" s="86" t="e">
        <f t="shared" si="29"/>
        <v>#DIV/0!</v>
      </c>
      <c r="BE52" s="86" t="e">
        <f t="shared" si="29"/>
        <v>#DIV/0!</v>
      </c>
      <c r="BF52" s="86" t="e">
        <f t="shared" si="29"/>
        <v>#DIV/0!</v>
      </c>
      <c r="BH52" s="86" t="e">
        <f t="shared" ref="BH52:BN52" si="30">AVERAGE(BH25:BH44)</f>
        <v>#DIV/0!</v>
      </c>
      <c r="BI52" s="86" t="e">
        <f t="shared" si="30"/>
        <v>#DIV/0!</v>
      </c>
      <c r="BJ52" s="86" t="e">
        <f t="shared" si="30"/>
        <v>#DIV/0!</v>
      </c>
      <c r="BK52" s="86" t="e">
        <f t="shared" si="30"/>
        <v>#DIV/0!</v>
      </c>
      <c r="BL52" s="86" t="e">
        <f t="shared" si="30"/>
        <v>#DIV/0!</v>
      </c>
      <c r="BM52" s="86" t="e">
        <f t="shared" si="30"/>
        <v>#DIV/0!</v>
      </c>
      <c r="BN52" s="86" t="e">
        <f t="shared" si="30"/>
        <v>#DIV/0!</v>
      </c>
      <c r="BP52" s="86">
        <f>AVERAGE(BP25:BP44)</f>
        <v>0</v>
      </c>
      <c r="BQ52" s="86">
        <f>AVERAGE(BQ25:BQ44)</f>
        <v>0</v>
      </c>
      <c r="BR52" s="86">
        <f>AVERAGE(BR25:BR44)</f>
        <v>0</v>
      </c>
      <c r="BS52" s="86">
        <f>AVERAGE(BS25:BS44)</f>
        <v>0</v>
      </c>
      <c r="BT52" s="86">
        <f>AVERAGE(BT25:BT44)</f>
        <v>0</v>
      </c>
    </row>
    <row r="53" spans="1:72" x14ac:dyDescent="0.15">
      <c r="B53" s="48" t="s">
        <v>10</v>
      </c>
      <c r="K53" s="65">
        <f>AVERAGE(K45:K49)</f>
        <v>1.9781102488199056</v>
      </c>
      <c r="L53" s="65"/>
      <c r="M53" s="65"/>
      <c r="AF53" s="65" t="e">
        <f>AVERAGE(AF45:AF49)</f>
        <v>#DIV/0!</v>
      </c>
      <c r="AG53" s="65"/>
      <c r="AH53" s="65"/>
      <c r="AZ53" s="86" t="e">
        <f>AVERAGE(AZ45:AZ49)</f>
        <v>#DIV/0!</v>
      </c>
      <c r="BA53" s="86" t="e">
        <f t="shared" ref="BA53:BN53" si="31">AVERAGE(BA45:BA49)</f>
        <v>#DIV/0!</v>
      </c>
      <c r="BB53" s="86" t="e">
        <f t="shared" si="31"/>
        <v>#DIV/0!</v>
      </c>
      <c r="BC53" s="86" t="e">
        <f t="shared" si="31"/>
        <v>#DIV/0!</v>
      </c>
      <c r="BD53" s="86" t="e">
        <f t="shared" si="31"/>
        <v>#DIV/0!</v>
      </c>
      <c r="BE53" s="86" t="e">
        <f t="shared" si="31"/>
        <v>#DIV/0!</v>
      </c>
      <c r="BF53" s="86" t="e">
        <f t="shared" si="31"/>
        <v>#DIV/0!</v>
      </c>
      <c r="BG53" s="86"/>
      <c r="BH53" s="86" t="e">
        <f t="shared" si="31"/>
        <v>#DIV/0!</v>
      </c>
      <c r="BI53" s="86" t="e">
        <f t="shared" si="31"/>
        <v>#DIV/0!</v>
      </c>
      <c r="BJ53" s="86" t="e">
        <f t="shared" si="31"/>
        <v>#DIV/0!</v>
      </c>
      <c r="BK53" s="86" t="e">
        <f t="shared" si="31"/>
        <v>#DIV/0!</v>
      </c>
      <c r="BL53" s="86" t="e">
        <f t="shared" si="31"/>
        <v>#DIV/0!</v>
      </c>
      <c r="BM53" s="86" t="e">
        <f t="shared" si="31"/>
        <v>#DIV/0!</v>
      </c>
      <c r="BN53" s="86" t="e">
        <f t="shared" si="31"/>
        <v>#DIV/0!</v>
      </c>
      <c r="BP53" s="86">
        <f>AVERAGE(BP45:BP49)</f>
        <v>0</v>
      </c>
      <c r="BQ53" s="86">
        <f t="shared" ref="BQ53:BT53" si="32">AVERAGE(BQ45:BQ49)</f>
        <v>0</v>
      </c>
      <c r="BR53" s="86">
        <f t="shared" si="32"/>
        <v>0</v>
      </c>
      <c r="BS53" s="86">
        <f t="shared" si="32"/>
        <v>0</v>
      </c>
      <c r="BT53" s="86">
        <f t="shared" si="32"/>
        <v>0</v>
      </c>
    </row>
    <row r="54" spans="1:72" x14ac:dyDescent="0.15">
      <c r="B54" s="48" t="s">
        <v>11</v>
      </c>
      <c r="K54" s="65">
        <f>AVERAGE(K5:K49)</f>
        <v>1.4500917521258185</v>
      </c>
      <c r="L54" s="65"/>
      <c r="M54" s="65"/>
      <c r="AF54" s="65" t="e">
        <f>AVERAGE(AF5:AF49)</f>
        <v>#DIV/0!</v>
      </c>
      <c r="AG54" s="65"/>
      <c r="AH54" s="65"/>
      <c r="AJ54" s="72"/>
      <c r="AK54" s="72"/>
      <c r="AZ54" s="86" t="e">
        <f t="shared" ref="AZ54:BF54" si="33">AVERAGE(AZ5:AZ49)</f>
        <v>#DIV/0!</v>
      </c>
      <c r="BA54" s="86" t="e">
        <f t="shared" si="33"/>
        <v>#DIV/0!</v>
      </c>
      <c r="BB54" s="86" t="e">
        <f t="shared" si="33"/>
        <v>#DIV/0!</v>
      </c>
      <c r="BC54" s="86" t="e">
        <f t="shared" si="33"/>
        <v>#DIV/0!</v>
      </c>
      <c r="BD54" s="86" t="e">
        <f t="shared" si="33"/>
        <v>#DIV/0!</v>
      </c>
      <c r="BE54" s="86" t="e">
        <f t="shared" si="33"/>
        <v>#DIV/0!</v>
      </c>
      <c r="BF54" s="86" t="e">
        <f t="shared" si="33"/>
        <v>#DIV/0!</v>
      </c>
      <c r="BH54" s="86" t="e">
        <f t="shared" ref="BH54:BN54" si="34">AVERAGE(BH5:BH49)</f>
        <v>#DIV/0!</v>
      </c>
      <c r="BI54" s="86" t="e">
        <f t="shared" si="34"/>
        <v>#DIV/0!</v>
      </c>
      <c r="BJ54" s="86" t="e">
        <f t="shared" si="34"/>
        <v>#DIV/0!</v>
      </c>
      <c r="BK54" s="86" t="e">
        <f t="shared" si="34"/>
        <v>#DIV/0!</v>
      </c>
      <c r="BL54" s="86" t="e">
        <f t="shared" si="34"/>
        <v>#DIV/0!</v>
      </c>
      <c r="BM54" s="86" t="e">
        <f t="shared" si="34"/>
        <v>#DIV/0!</v>
      </c>
      <c r="BN54" s="86" t="e">
        <f t="shared" si="34"/>
        <v>#DIV/0!</v>
      </c>
      <c r="BP54" s="86">
        <f>AVERAGE(BP5:BP49)</f>
        <v>0</v>
      </c>
      <c r="BQ54" s="86">
        <f t="shared" ref="BQ54:BT54" si="35">AVERAGE(BQ5:BQ49)</f>
        <v>0</v>
      </c>
      <c r="BR54" s="86">
        <f t="shared" si="35"/>
        <v>0</v>
      </c>
      <c r="BS54" s="86">
        <f t="shared" si="35"/>
        <v>0</v>
      </c>
      <c r="BT54" s="86">
        <f t="shared" si="35"/>
        <v>0</v>
      </c>
    </row>
    <row r="55" spans="1:72" x14ac:dyDescent="0.15">
      <c r="A55" s="48" t="s">
        <v>192</v>
      </c>
      <c r="B55" s="48" t="s">
        <v>193</v>
      </c>
      <c r="AB55" s="77">
        <f>SUM(AB5:AB14,AB15:AB24,AB25:AB44,AB45:AB49)</f>
        <v>115267.98083299999</v>
      </c>
      <c r="AC55" s="77">
        <f>SUM(AC5:AC14,AC15:AC24,AC25:AC44,AC45:AC49)</f>
        <v>1444.731859</v>
      </c>
      <c r="AW55" s="77">
        <f>SUM(AW5:AW14,AW15:AW24,AW25:AW44,AW45:AW49)</f>
        <v>0</v>
      </c>
      <c r="AX55" s="77">
        <f>SUM(AX5:AX14,AX15:AX24,AX25:AX44,AX45:AX49)</f>
        <v>0</v>
      </c>
    </row>
    <row r="56" spans="1:72" x14ac:dyDescent="0.15">
      <c r="B56" s="48" t="s">
        <v>194</v>
      </c>
      <c r="AW56" s="87">
        <f>AW55/AB55</f>
        <v>0</v>
      </c>
      <c r="AX56" s="87">
        <f>AX55/AC55</f>
        <v>0</v>
      </c>
    </row>
    <row r="59" spans="1:72" ht="15.75" customHeight="1" x14ac:dyDescent="0.15"/>
    <row r="60" spans="1:72" x14ac:dyDescent="0.15">
      <c r="AG60" s="79" t="e">
        <f t="shared" ref="AG60:AG98" si="36">AG5-L5</f>
        <v>#VALUE!</v>
      </c>
      <c r="AH60" s="79" t="e">
        <f t="shared" ref="AH60:AH98" si="37">AH5-M5</f>
        <v>#VALUE!</v>
      </c>
      <c r="AI60" s="79">
        <f t="shared" ref="AI60:AI98" si="38">AI5-N5</f>
        <v>-2416576</v>
      </c>
      <c r="AJ60" s="79">
        <f t="shared" ref="AJ60:AJ98" si="39">AJ5-O5</f>
        <v>-5300792</v>
      </c>
      <c r="AK60" s="79">
        <f t="shared" ref="AK60:AK98" si="40">AK5-P5</f>
        <v>-799344</v>
      </c>
      <c r="AL60" s="79">
        <f t="shared" ref="AL60:AL98" si="41">AL5-Q5</f>
        <v>0</v>
      </c>
      <c r="AM60" s="79">
        <f t="shared" ref="AM60:AM98" si="42">AM5-R5</f>
        <v>-793056</v>
      </c>
      <c r="AN60" s="79">
        <f t="shared" ref="AN60:AN98" si="43">AN5-S5</f>
        <v>-3695632</v>
      </c>
      <c r="AO60" s="79">
        <f t="shared" ref="AO60:AO98" si="44">AO5-T5</f>
        <v>-12760</v>
      </c>
      <c r="AP60" s="79">
        <f t="shared" ref="AP60:AP98" si="45">AP5-U5</f>
        <v>-70.206756299999995</v>
      </c>
      <c r="AQ60" s="81">
        <f t="shared" ref="AQ60:AQ98" si="46">AQ5-V5</f>
        <v>-71.474474700000002</v>
      </c>
      <c r="AR60" s="81">
        <f t="shared" ref="AR60:AR98" si="47">AR5-W5</f>
        <v>-28.8978857</v>
      </c>
      <c r="AS60" s="81">
        <f t="shared" ref="AS60:AS98" si="48">AS5-X5</f>
        <v>-33.994759000000002</v>
      </c>
      <c r="AT60" s="81">
        <f t="shared" ref="AT60:AT98" si="49">AT5-Y5</f>
        <v>-33.442345099999997</v>
      </c>
      <c r="AU60" s="81">
        <f t="shared" ref="AU60:AU98" si="50">AU5-Z5</f>
        <v>-50.025035899999999</v>
      </c>
      <c r="AV60" s="82">
        <f t="shared" ref="AV60:AV98" si="51">AV5-AA5</f>
        <v>-27.7077113</v>
      </c>
    </row>
    <row r="61" spans="1:72" x14ac:dyDescent="0.15">
      <c r="AG61" s="80" t="e">
        <f t="shared" si="36"/>
        <v>#VALUE!</v>
      </c>
      <c r="AH61" s="80" t="e">
        <f t="shared" si="37"/>
        <v>#VALUE!</v>
      </c>
      <c r="AI61" s="80">
        <f t="shared" si="38"/>
        <v>-2416576</v>
      </c>
      <c r="AJ61" s="80">
        <f t="shared" si="39"/>
        <v>-9735064</v>
      </c>
      <c r="AK61" s="80">
        <f t="shared" si="40"/>
        <v>-864944</v>
      </c>
      <c r="AL61" s="80">
        <f t="shared" si="41"/>
        <v>0</v>
      </c>
      <c r="AM61" s="80">
        <f t="shared" si="42"/>
        <v>-987040</v>
      </c>
      <c r="AN61" s="80">
        <f t="shared" si="43"/>
        <v>-7870488</v>
      </c>
      <c r="AO61" s="80">
        <f t="shared" si="44"/>
        <v>-12592</v>
      </c>
      <c r="AP61" s="80">
        <f t="shared" si="45"/>
        <v>-70.891365300000004</v>
      </c>
      <c r="AQ61" s="83">
        <f t="shared" si="46"/>
        <v>-72.251663600000001</v>
      </c>
      <c r="AR61" s="83">
        <f t="shared" si="47"/>
        <v>-31.678961900000001</v>
      </c>
      <c r="AS61" s="83">
        <f t="shared" si="48"/>
        <v>-35.205328399999999</v>
      </c>
      <c r="AT61" s="83">
        <f t="shared" si="49"/>
        <v>-34.757099400000001</v>
      </c>
      <c r="AU61" s="83">
        <f t="shared" si="50"/>
        <v>-50.349338899999999</v>
      </c>
      <c r="AV61" s="84">
        <f t="shared" si="51"/>
        <v>-29.376905000000001</v>
      </c>
    </row>
    <row r="62" spans="1:72" x14ac:dyDescent="0.15">
      <c r="AG62" s="80" t="e">
        <f t="shared" si="36"/>
        <v>#VALUE!</v>
      </c>
      <c r="AH62" s="80" t="e">
        <f t="shared" si="37"/>
        <v>#VALUE!</v>
      </c>
      <c r="AI62" s="80">
        <f t="shared" si="38"/>
        <v>-4871808</v>
      </c>
      <c r="AJ62" s="80">
        <f t="shared" si="39"/>
        <v>-13155384</v>
      </c>
      <c r="AK62" s="80">
        <f t="shared" si="40"/>
        <v>-1269624</v>
      </c>
      <c r="AL62" s="80">
        <f t="shared" si="41"/>
        <v>0</v>
      </c>
      <c r="AM62" s="80">
        <f t="shared" si="42"/>
        <v>-750560</v>
      </c>
      <c r="AN62" s="80">
        <f t="shared" si="43"/>
        <v>-11122624</v>
      </c>
      <c r="AO62" s="80">
        <f t="shared" si="44"/>
        <v>-12576</v>
      </c>
      <c r="AP62" s="80">
        <f t="shared" si="45"/>
        <v>-71.823906300000004</v>
      </c>
      <c r="AQ62" s="83">
        <f t="shared" si="46"/>
        <v>-73.337755799999996</v>
      </c>
      <c r="AR62" s="83">
        <f t="shared" si="47"/>
        <v>-32.740761800000001</v>
      </c>
      <c r="AS62" s="83">
        <f t="shared" si="48"/>
        <v>-36.949197900000001</v>
      </c>
      <c r="AT62" s="83">
        <f t="shared" si="49"/>
        <v>-36.690412700000003</v>
      </c>
      <c r="AU62" s="83">
        <f t="shared" si="50"/>
        <v>-51.113867599999999</v>
      </c>
      <c r="AV62" s="84">
        <f t="shared" si="51"/>
        <v>-30.4974369</v>
      </c>
    </row>
    <row r="63" spans="1:72" x14ac:dyDescent="0.15">
      <c r="AG63" s="80" t="e">
        <f t="shared" si="36"/>
        <v>#VALUE!</v>
      </c>
      <c r="AH63" s="80" t="e">
        <f t="shared" si="37"/>
        <v>#VALUE!</v>
      </c>
      <c r="AI63" s="80">
        <f t="shared" si="38"/>
        <v>-4871808</v>
      </c>
      <c r="AJ63" s="80">
        <f t="shared" si="39"/>
        <v>-16468112</v>
      </c>
      <c r="AK63" s="80">
        <f t="shared" si="40"/>
        <v>-1391504</v>
      </c>
      <c r="AL63" s="80">
        <f t="shared" si="41"/>
        <v>0</v>
      </c>
      <c r="AM63" s="80">
        <f t="shared" si="42"/>
        <v>-1331320</v>
      </c>
      <c r="AN63" s="80">
        <f t="shared" si="43"/>
        <v>-13732040</v>
      </c>
      <c r="AO63" s="80">
        <f t="shared" si="44"/>
        <v>-13248</v>
      </c>
      <c r="AP63" s="80">
        <f t="shared" si="45"/>
        <v>-73.822909699999997</v>
      </c>
      <c r="AQ63" s="83">
        <f t="shared" si="46"/>
        <v>-75.636054799999997</v>
      </c>
      <c r="AR63" s="83">
        <f t="shared" si="47"/>
        <v>-33.707043800000001</v>
      </c>
      <c r="AS63" s="83">
        <f t="shared" si="48"/>
        <v>-37.473151299999998</v>
      </c>
      <c r="AT63" s="83">
        <f t="shared" si="49"/>
        <v>-37.212211400000001</v>
      </c>
      <c r="AU63" s="83">
        <f t="shared" si="50"/>
        <v>-52.036357299999999</v>
      </c>
      <c r="AV63" s="84">
        <f t="shared" si="51"/>
        <v>-31.6108321</v>
      </c>
    </row>
    <row r="64" spans="1:72" x14ac:dyDescent="0.15">
      <c r="AG64" s="80" t="e">
        <f t="shared" si="36"/>
        <v>#VALUE!</v>
      </c>
      <c r="AH64" s="80" t="e">
        <f t="shared" si="37"/>
        <v>#VALUE!</v>
      </c>
      <c r="AI64" s="80">
        <f t="shared" si="38"/>
        <v>-9785856</v>
      </c>
      <c r="AJ64" s="80">
        <f t="shared" si="39"/>
        <v>-24027184</v>
      </c>
      <c r="AK64" s="80">
        <f t="shared" si="40"/>
        <v>-2100120</v>
      </c>
      <c r="AL64" s="80">
        <f t="shared" si="41"/>
        <v>0</v>
      </c>
      <c r="AM64" s="80">
        <f t="shared" si="42"/>
        <v>-2403240</v>
      </c>
      <c r="AN64" s="80">
        <f t="shared" si="43"/>
        <v>-19510360</v>
      </c>
      <c r="AO64" s="80">
        <f t="shared" si="44"/>
        <v>-13464</v>
      </c>
      <c r="AP64" s="80">
        <f t="shared" si="45"/>
        <v>-76.666885899999997</v>
      </c>
      <c r="AQ64" s="83">
        <f t="shared" si="46"/>
        <v>-79.160034300000007</v>
      </c>
      <c r="AR64" s="83">
        <f t="shared" si="47"/>
        <v>-35.077469100000002</v>
      </c>
      <c r="AS64" s="83">
        <f t="shared" si="48"/>
        <v>-38.612274800000002</v>
      </c>
      <c r="AT64" s="83">
        <f t="shared" si="49"/>
        <v>-38.331266399999997</v>
      </c>
      <c r="AU64" s="83">
        <f t="shared" si="50"/>
        <v>-53.752346500000002</v>
      </c>
      <c r="AV64" s="84">
        <f t="shared" si="51"/>
        <v>-33.272290900000002</v>
      </c>
    </row>
    <row r="65" spans="33:48" x14ac:dyDescent="0.15">
      <c r="AG65" s="80" t="e">
        <f t="shared" si="36"/>
        <v>#VALUE!</v>
      </c>
      <c r="AH65" s="80" t="e">
        <f t="shared" si="37"/>
        <v>#VALUE!</v>
      </c>
      <c r="AI65" s="80">
        <f t="shared" si="38"/>
        <v>-2396032</v>
      </c>
      <c r="AJ65" s="80">
        <f t="shared" si="39"/>
        <v>-5416272</v>
      </c>
      <c r="AK65" s="80">
        <f t="shared" si="40"/>
        <v>-866192</v>
      </c>
      <c r="AL65" s="80">
        <f t="shared" si="41"/>
        <v>0</v>
      </c>
      <c r="AM65" s="80">
        <f t="shared" si="42"/>
        <v>-651280</v>
      </c>
      <c r="AN65" s="80">
        <f t="shared" si="43"/>
        <v>-3885536</v>
      </c>
      <c r="AO65" s="80">
        <f t="shared" si="44"/>
        <v>-13264</v>
      </c>
      <c r="AP65" s="80">
        <f t="shared" si="45"/>
        <v>-66.288057300000006</v>
      </c>
      <c r="AQ65" s="83">
        <f t="shared" si="46"/>
        <v>-67.090627400000002</v>
      </c>
      <c r="AR65" s="83">
        <f t="shared" si="47"/>
        <v>-32.182650799999998</v>
      </c>
      <c r="AS65" s="83">
        <f t="shared" si="48"/>
        <v>-44.824603699999997</v>
      </c>
      <c r="AT65" s="83">
        <f t="shared" si="49"/>
        <v>-45.156352499999997</v>
      </c>
      <c r="AU65" s="83">
        <f t="shared" si="50"/>
        <v>-44.833502199999998</v>
      </c>
      <c r="AV65" s="84">
        <f t="shared" si="51"/>
        <v>-29.836503700000002</v>
      </c>
    </row>
    <row r="66" spans="33:48" x14ac:dyDescent="0.15">
      <c r="AG66" s="80" t="e">
        <f t="shared" si="36"/>
        <v>#VALUE!</v>
      </c>
      <c r="AH66" s="80" t="e">
        <f t="shared" si="37"/>
        <v>#VALUE!</v>
      </c>
      <c r="AI66" s="80">
        <f t="shared" si="38"/>
        <v>-4848960</v>
      </c>
      <c r="AJ66" s="80">
        <f t="shared" si="39"/>
        <v>-9774880</v>
      </c>
      <c r="AK66" s="80">
        <f t="shared" si="40"/>
        <v>-1375056</v>
      </c>
      <c r="AL66" s="80">
        <f t="shared" si="41"/>
        <v>0</v>
      </c>
      <c r="AM66" s="80">
        <f t="shared" si="42"/>
        <v>-1054456</v>
      </c>
      <c r="AN66" s="80">
        <f t="shared" si="43"/>
        <v>-7332056</v>
      </c>
      <c r="AO66" s="80">
        <f t="shared" si="44"/>
        <v>-13312</v>
      </c>
      <c r="AP66" s="80">
        <f t="shared" si="45"/>
        <v>-70.523895699999997</v>
      </c>
      <c r="AQ66" s="83">
        <f t="shared" si="46"/>
        <v>-71.926345499999996</v>
      </c>
      <c r="AR66" s="83">
        <f t="shared" si="47"/>
        <v>-34.906967000000002</v>
      </c>
      <c r="AS66" s="83">
        <f t="shared" si="48"/>
        <v>-45.457560600000001</v>
      </c>
      <c r="AT66" s="83">
        <f t="shared" si="49"/>
        <v>-45.878956100000003</v>
      </c>
      <c r="AU66" s="83">
        <f t="shared" si="50"/>
        <v>-47.230454799999997</v>
      </c>
      <c r="AV66" s="84">
        <f t="shared" si="51"/>
        <v>-32.5052594</v>
      </c>
    </row>
    <row r="67" spans="33:48" x14ac:dyDescent="0.15">
      <c r="AG67" s="80" t="e">
        <f t="shared" si="36"/>
        <v>#VALUE!</v>
      </c>
      <c r="AH67" s="80" t="e">
        <f t="shared" si="37"/>
        <v>#VALUE!</v>
      </c>
      <c r="AI67" s="80">
        <f t="shared" si="38"/>
        <v>-4848960</v>
      </c>
      <c r="AJ67" s="80">
        <f t="shared" si="39"/>
        <v>-12934536</v>
      </c>
      <c r="AK67" s="80">
        <f t="shared" si="40"/>
        <v>-1375056</v>
      </c>
      <c r="AL67" s="80">
        <f t="shared" si="41"/>
        <v>0</v>
      </c>
      <c r="AM67" s="80">
        <f t="shared" si="42"/>
        <v>-2294600</v>
      </c>
      <c r="AN67" s="80">
        <f t="shared" si="43"/>
        <v>-9252376</v>
      </c>
      <c r="AO67" s="80">
        <f t="shared" si="44"/>
        <v>-12504</v>
      </c>
      <c r="AP67" s="80">
        <f t="shared" si="45"/>
        <v>-73.030366099999995</v>
      </c>
      <c r="AQ67" s="83">
        <f t="shared" si="46"/>
        <v>-74.828048699999997</v>
      </c>
      <c r="AR67" s="83">
        <f t="shared" si="47"/>
        <v>-35.970099699999999</v>
      </c>
      <c r="AS67" s="83">
        <f t="shared" si="48"/>
        <v>-45.801161899999997</v>
      </c>
      <c r="AT67" s="83">
        <f t="shared" si="49"/>
        <v>-46.255875500000002</v>
      </c>
      <c r="AU67" s="83">
        <f t="shared" si="50"/>
        <v>-48.461841499999998</v>
      </c>
      <c r="AV67" s="84">
        <f t="shared" si="51"/>
        <v>-33.826466699999997</v>
      </c>
    </row>
    <row r="68" spans="33:48" x14ac:dyDescent="0.15">
      <c r="AG68" s="80" t="e">
        <f t="shared" si="36"/>
        <v>#VALUE!</v>
      </c>
      <c r="AH68" s="80" t="e">
        <f t="shared" si="37"/>
        <v>#VALUE!</v>
      </c>
      <c r="AI68" s="80">
        <f t="shared" si="38"/>
        <v>-9761792</v>
      </c>
      <c r="AJ68" s="80">
        <f t="shared" si="39"/>
        <v>-16149464</v>
      </c>
      <c r="AK68" s="80">
        <f t="shared" si="40"/>
        <v>-2275168</v>
      </c>
      <c r="AL68" s="80">
        <f t="shared" si="41"/>
        <v>0</v>
      </c>
      <c r="AM68" s="80">
        <f t="shared" si="42"/>
        <v>-2194064</v>
      </c>
      <c r="AN68" s="80">
        <f t="shared" si="43"/>
        <v>-11667016</v>
      </c>
      <c r="AO68" s="80">
        <f t="shared" si="44"/>
        <v>-13216</v>
      </c>
      <c r="AP68" s="80">
        <f t="shared" si="45"/>
        <v>-74.658839900000004</v>
      </c>
      <c r="AQ68" s="83">
        <f t="shared" si="46"/>
        <v>-76.7692239</v>
      </c>
      <c r="AR68" s="83">
        <f t="shared" si="47"/>
        <v>-37.012964599999997</v>
      </c>
      <c r="AS68" s="83">
        <f t="shared" si="48"/>
        <v>-46.525706499999998</v>
      </c>
      <c r="AT68" s="83">
        <f t="shared" si="49"/>
        <v>-47.080674100000003</v>
      </c>
      <c r="AU68" s="83">
        <f t="shared" si="50"/>
        <v>-49.470493900000001</v>
      </c>
      <c r="AV68" s="84">
        <f t="shared" si="51"/>
        <v>-34.928113400000001</v>
      </c>
    </row>
    <row r="69" spans="33:48" x14ac:dyDescent="0.15">
      <c r="AG69" s="80" t="e">
        <f t="shared" si="36"/>
        <v>#VALUE!</v>
      </c>
      <c r="AH69" s="80" t="e">
        <f t="shared" si="37"/>
        <v>#VALUE!</v>
      </c>
      <c r="AI69" s="80">
        <f t="shared" si="38"/>
        <v>-9761792</v>
      </c>
      <c r="AJ69" s="80">
        <f t="shared" si="39"/>
        <v>-23800576</v>
      </c>
      <c r="AK69" s="80">
        <f t="shared" si="40"/>
        <v>-2512784</v>
      </c>
      <c r="AL69" s="80">
        <f t="shared" si="41"/>
        <v>0</v>
      </c>
      <c r="AM69" s="80">
        <f t="shared" si="42"/>
        <v>-3011032</v>
      </c>
      <c r="AN69" s="80">
        <f t="shared" si="43"/>
        <v>-18263648</v>
      </c>
      <c r="AO69" s="80">
        <f t="shared" si="44"/>
        <v>-13112</v>
      </c>
      <c r="AP69" s="80">
        <f t="shared" si="45"/>
        <v>-75.698384399999995</v>
      </c>
      <c r="AQ69" s="83">
        <f t="shared" si="46"/>
        <v>-78.080153199999998</v>
      </c>
      <c r="AR69" s="83">
        <f t="shared" si="47"/>
        <v>-38.699639400000002</v>
      </c>
      <c r="AS69" s="83">
        <f t="shared" si="48"/>
        <v>-47.559846200000003</v>
      </c>
      <c r="AT69" s="83">
        <f t="shared" si="49"/>
        <v>-48.1940837</v>
      </c>
      <c r="AU69" s="83">
        <f t="shared" si="50"/>
        <v>-49.955442699999999</v>
      </c>
      <c r="AV69" s="84">
        <f t="shared" si="51"/>
        <v>-36.2030496</v>
      </c>
    </row>
    <row r="70" spans="33:48" x14ac:dyDescent="0.15">
      <c r="AG70" s="80" t="e">
        <f t="shared" si="36"/>
        <v>#VALUE!</v>
      </c>
      <c r="AH70" s="80" t="e">
        <f t="shared" si="37"/>
        <v>#VALUE!</v>
      </c>
      <c r="AI70" s="80">
        <f t="shared" si="38"/>
        <v>-2419392</v>
      </c>
      <c r="AJ70" s="80">
        <f t="shared" si="39"/>
        <v>-3140136</v>
      </c>
      <c r="AK70" s="80">
        <f t="shared" si="40"/>
        <v>-684224</v>
      </c>
      <c r="AL70" s="80">
        <f t="shared" si="41"/>
        <v>0</v>
      </c>
      <c r="AM70" s="80">
        <f t="shared" si="42"/>
        <v>-457864</v>
      </c>
      <c r="AN70" s="80">
        <f t="shared" si="43"/>
        <v>-1984744</v>
      </c>
      <c r="AO70" s="80">
        <f t="shared" si="44"/>
        <v>-13304</v>
      </c>
      <c r="AP70" s="80">
        <f t="shared" si="45"/>
        <v>-71.784125500000002</v>
      </c>
      <c r="AQ70" s="83">
        <f t="shared" si="46"/>
        <v>-73.072828299999998</v>
      </c>
      <c r="AR70" s="83">
        <f t="shared" si="47"/>
        <v>-35.646815699999998</v>
      </c>
      <c r="AS70" s="83">
        <f t="shared" si="48"/>
        <v>-43.376972000000002</v>
      </c>
      <c r="AT70" s="83">
        <f t="shared" si="49"/>
        <v>-44.949523200000002</v>
      </c>
      <c r="AU70" s="83">
        <f t="shared" si="50"/>
        <v>-45.653298999999997</v>
      </c>
      <c r="AV70" s="84">
        <f t="shared" si="51"/>
        <v>-32.435254100000002</v>
      </c>
    </row>
    <row r="71" spans="33:48" x14ac:dyDescent="0.15">
      <c r="AG71" s="80" t="e">
        <f t="shared" si="36"/>
        <v>#VALUE!</v>
      </c>
      <c r="AH71" s="80" t="e">
        <f t="shared" si="37"/>
        <v>#VALUE!</v>
      </c>
      <c r="AI71" s="80">
        <f t="shared" si="38"/>
        <v>-2419392</v>
      </c>
      <c r="AJ71" s="80">
        <f t="shared" si="39"/>
        <v>-5279712</v>
      </c>
      <c r="AK71" s="80">
        <f t="shared" si="40"/>
        <v>-745824</v>
      </c>
      <c r="AL71" s="80">
        <f t="shared" si="41"/>
        <v>0</v>
      </c>
      <c r="AM71" s="80">
        <f t="shared" si="42"/>
        <v>-691600</v>
      </c>
      <c r="AN71" s="80">
        <f t="shared" si="43"/>
        <v>-3828768</v>
      </c>
      <c r="AO71" s="80">
        <f t="shared" si="44"/>
        <v>-13520</v>
      </c>
      <c r="AP71" s="80">
        <f t="shared" si="45"/>
        <v>-73.559442500000003</v>
      </c>
      <c r="AQ71" s="83">
        <f t="shared" si="46"/>
        <v>-75.037406000000004</v>
      </c>
      <c r="AR71" s="83">
        <f t="shared" si="47"/>
        <v>-38.424884800000001</v>
      </c>
      <c r="AS71" s="83">
        <f t="shared" si="48"/>
        <v>-44.041692900000001</v>
      </c>
      <c r="AT71" s="83">
        <f t="shared" si="49"/>
        <v>-46.285291999999998</v>
      </c>
      <c r="AU71" s="83">
        <f t="shared" si="50"/>
        <v>-46.429066499999998</v>
      </c>
      <c r="AV71" s="84">
        <f t="shared" si="51"/>
        <v>-34.092627700000001</v>
      </c>
    </row>
    <row r="72" spans="33:48" x14ac:dyDescent="0.15">
      <c r="AG72" s="80" t="e">
        <f t="shared" si="36"/>
        <v>#VALUE!</v>
      </c>
      <c r="AH72" s="80" t="e">
        <f t="shared" si="37"/>
        <v>#VALUE!</v>
      </c>
      <c r="AI72" s="80">
        <f t="shared" si="38"/>
        <v>-4841280</v>
      </c>
      <c r="AJ72" s="80">
        <f t="shared" si="39"/>
        <v>-10551216</v>
      </c>
      <c r="AK72" s="80">
        <f t="shared" si="40"/>
        <v>-1251184</v>
      </c>
      <c r="AL72" s="80">
        <f t="shared" si="41"/>
        <v>0</v>
      </c>
      <c r="AM72" s="80">
        <f t="shared" si="42"/>
        <v>-1519176</v>
      </c>
      <c r="AN72" s="80">
        <f t="shared" si="43"/>
        <v>-7767504</v>
      </c>
      <c r="AO72" s="80">
        <f t="shared" si="44"/>
        <v>-13352</v>
      </c>
      <c r="AP72" s="80">
        <f t="shared" si="45"/>
        <v>-78.265213799999998</v>
      </c>
      <c r="AQ72" s="83">
        <f t="shared" si="46"/>
        <v>-80.584549999999993</v>
      </c>
      <c r="AR72" s="83">
        <f t="shared" si="47"/>
        <v>-41.072749399999999</v>
      </c>
      <c r="AS72" s="83">
        <f t="shared" si="48"/>
        <v>-44.962732199999998</v>
      </c>
      <c r="AT72" s="83">
        <f t="shared" si="49"/>
        <v>-48.042839299999997</v>
      </c>
      <c r="AU72" s="83">
        <f t="shared" si="50"/>
        <v>-48.8243297</v>
      </c>
      <c r="AV72" s="84">
        <f t="shared" si="51"/>
        <v>-37.301545400000002</v>
      </c>
    </row>
    <row r="73" spans="33:48" x14ac:dyDescent="0.15">
      <c r="AG73" s="80" t="e">
        <f t="shared" si="36"/>
        <v>#VALUE!</v>
      </c>
      <c r="AH73" s="80" t="e">
        <f t="shared" si="37"/>
        <v>#VALUE!</v>
      </c>
      <c r="AI73" s="80">
        <f t="shared" si="38"/>
        <v>-9684416</v>
      </c>
      <c r="AJ73" s="80">
        <f t="shared" si="39"/>
        <v>-14848320</v>
      </c>
      <c r="AK73" s="80">
        <f t="shared" si="40"/>
        <v>-2160984</v>
      </c>
      <c r="AL73" s="80">
        <f t="shared" si="41"/>
        <v>0</v>
      </c>
      <c r="AM73" s="80">
        <f t="shared" si="42"/>
        <v>-1634320</v>
      </c>
      <c r="AN73" s="80">
        <f t="shared" si="43"/>
        <v>-11039952</v>
      </c>
      <c r="AO73" s="80">
        <f t="shared" si="44"/>
        <v>-13064</v>
      </c>
      <c r="AP73" s="80">
        <f t="shared" si="45"/>
        <v>-79.557147200000003</v>
      </c>
      <c r="AQ73" s="83">
        <f t="shared" si="46"/>
        <v>-82.305703300000005</v>
      </c>
      <c r="AR73" s="83">
        <f t="shared" si="47"/>
        <v>-41.922101900000001</v>
      </c>
      <c r="AS73" s="83">
        <f t="shared" si="48"/>
        <v>-45.630288899999996</v>
      </c>
      <c r="AT73" s="83">
        <f t="shared" si="49"/>
        <v>-49.158534299999999</v>
      </c>
      <c r="AU73" s="83">
        <f t="shared" si="50"/>
        <v>-49.767646599999999</v>
      </c>
      <c r="AV73" s="84">
        <f t="shared" si="51"/>
        <v>-38.346824300000002</v>
      </c>
    </row>
    <row r="74" spans="33:48" x14ac:dyDescent="0.15">
      <c r="AG74" s="80" t="e">
        <f t="shared" si="36"/>
        <v>#VALUE!</v>
      </c>
      <c r="AH74" s="80" t="e">
        <f t="shared" si="37"/>
        <v>#VALUE!</v>
      </c>
      <c r="AI74" s="80">
        <f t="shared" si="38"/>
        <v>-9684416</v>
      </c>
      <c r="AJ74" s="80">
        <f t="shared" si="39"/>
        <v>-22346216</v>
      </c>
      <c r="AK74" s="80">
        <f t="shared" si="40"/>
        <v>-2160984</v>
      </c>
      <c r="AL74" s="80">
        <f t="shared" si="41"/>
        <v>0</v>
      </c>
      <c r="AM74" s="80">
        <f t="shared" si="42"/>
        <v>-1846416</v>
      </c>
      <c r="AN74" s="80">
        <f t="shared" si="43"/>
        <v>-18325736</v>
      </c>
      <c r="AO74" s="80">
        <f t="shared" si="44"/>
        <v>-13080</v>
      </c>
      <c r="AP74" s="80">
        <f t="shared" si="45"/>
        <v>-79.920488899999995</v>
      </c>
      <c r="AQ74" s="83">
        <f t="shared" si="46"/>
        <v>-82.837774699999997</v>
      </c>
      <c r="AR74" s="83">
        <f t="shared" si="47"/>
        <v>-42.925536600000001</v>
      </c>
      <c r="AS74" s="83">
        <f t="shared" si="48"/>
        <v>-46.549022399999998</v>
      </c>
      <c r="AT74" s="83">
        <f t="shared" si="49"/>
        <v>-50.508337699999998</v>
      </c>
      <c r="AU74" s="83">
        <f t="shared" si="50"/>
        <v>-49.944520400000002</v>
      </c>
      <c r="AV74" s="84">
        <f t="shared" si="51"/>
        <v>-38.904431099999996</v>
      </c>
    </row>
    <row r="75" spans="33:48" x14ac:dyDescent="0.15">
      <c r="AG75" s="80" t="e">
        <f t="shared" si="36"/>
        <v>#VALUE!</v>
      </c>
      <c r="AH75" s="80" t="e">
        <f t="shared" si="37"/>
        <v>#VALUE!</v>
      </c>
      <c r="AI75" s="80">
        <f t="shared" si="38"/>
        <v>-2418048</v>
      </c>
      <c r="AJ75" s="80">
        <f t="shared" si="39"/>
        <v>-3108960</v>
      </c>
      <c r="AK75" s="80">
        <f t="shared" si="40"/>
        <v>-661400</v>
      </c>
      <c r="AL75" s="80">
        <f t="shared" si="41"/>
        <v>0</v>
      </c>
      <c r="AM75" s="80">
        <f t="shared" si="42"/>
        <v>-453760</v>
      </c>
      <c r="AN75" s="80">
        <f t="shared" si="43"/>
        <v>-1980592</v>
      </c>
      <c r="AO75" s="80">
        <f t="shared" si="44"/>
        <v>-13208</v>
      </c>
      <c r="AP75" s="80">
        <f t="shared" si="45"/>
        <v>-71.756627600000002</v>
      </c>
      <c r="AQ75" s="83">
        <f t="shared" si="46"/>
        <v>-73.100785400000007</v>
      </c>
      <c r="AR75" s="83">
        <f t="shared" si="47"/>
        <v>-34.570575300000002</v>
      </c>
      <c r="AS75" s="83">
        <f t="shared" si="48"/>
        <v>-42.818312200000001</v>
      </c>
      <c r="AT75" s="83">
        <f t="shared" si="49"/>
        <v>-44.060501899999998</v>
      </c>
      <c r="AU75" s="83">
        <f t="shared" si="50"/>
        <v>-48.570734199999997</v>
      </c>
      <c r="AV75" s="84">
        <f t="shared" si="51"/>
        <v>-31.527455400000001</v>
      </c>
    </row>
    <row r="76" spans="33:48" x14ac:dyDescent="0.15">
      <c r="AG76" s="80" t="e">
        <f t="shared" si="36"/>
        <v>#VALUE!</v>
      </c>
      <c r="AH76" s="80" t="e">
        <f t="shared" si="37"/>
        <v>#VALUE!</v>
      </c>
      <c r="AI76" s="80">
        <f t="shared" si="38"/>
        <v>-2418048</v>
      </c>
      <c r="AJ76" s="80">
        <f t="shared" si="39"/>
        <v>-5274736</v>
      </c>
      <c r="AK76" s="80">
        <f t="shared" si="40"/>
        <v>-661400</v>
      </c>
      <c r="AL76" s="80">
        <f t="shared" si="41"/>
        <v>0</v>
      </c>
      <c r="AM76" s="80">
        <f t="shared" si="42"/>
        <v>-506016</v>
      </c>
      <c r="AN76" s="80">
        <f t="shared" si="43"/>
        <v>-4093872</v>
      </c>
      <c r="AO76" s="80">
        <f t="shared" si="44"/>
        <v>-13448</v>
      </c>
      <c r="AP76" s="80">
        <f t="shared" si="45"/>
        <v>-72.203841699999998</v>
      </c>
      <c r="AQ76" s="83">
        <f t="shared" si="46"/>
        <v>-73.599488399999998</v>
      </c>
      <c r="AR76" s="83">
        <f t="shared" si="47"/>
        <v>-37.469644199999998</v>
      </c>
      <c r="AS76" s="83">
        <f t="shared" si="48"/>
        <v>-44.030189900000003</v>
      </c>
      <c r="AT76" s="83">
        <f t="shared" si="49"/>
        <v>-45.905553500000003</v>
      </c>
      <c r="AU76" s="83">
        <f t="shared" si="50"/>
        <v>-48.783051200000003</v>
      </c>
      <c r="AV76" s="84">
        <f t="shared" si="51"/>
        <v>-32.775376700000002</v>
      </c>
    </row>
    <row r="77" spans="33:48" x14ac:dyDescent="0.15">
      <c r="AG77" s="80" t="e">
        <f t="shared" si="36"/>
        <v>#VALUE!</v>
      </c>
      <c r="AH77" s="80" t="e">
        <f t="shared" si="37"/>
        <v>#VALUE!</v>
      </c>
      <c r="AI77" s="80">
        <f t="shared" si="38"/>
        <v>-4836160</v>
      </c>
      <c r="AJ77" s="80">
        <f t="shared" si="39"/>
        <v>-10617936</v>
      </c>
      <c r="AK77" s="80">
        <f t="shared" si="40"/>
        <v>-1106712</v>
      </c>
      <c r="AL77" s="80">
        <f t="shared" si="41"/>
        <v>0</v>
      </c>
      <c r="AM77" s="80">
        <f t="shared" si="42"/>
        <v>-1541304</v>
      </c>
      <c r="AN77" s="80">
        <f t="shared" si="43"/>
        <v>-7956648</v>
      </c>
      <c r="AO77" s="80">
        <f t="shared" si="44"/>
        <v>-13272</v>
      </c>
      <c r="AP77" s="80">
        <f t="shared" si="45"/>
        <v>-78.044925399999997</v>
      </c>
      <c r="AQ77" s="83">
        <f t="shared" si="46"/>
        <v>-80.555999400000005</v>
      </c>
      <c r="AR77" s="83">
        <f t="shared" si="47"/>
        <v>-40.456555700000003</v>
      </c>
      <c r="AS77" s="83">
        <f t="shared" si="48"/>
        <v>-45.306996499999997</v>
      </c>
      <c r="AT77" s="83">
        <f t="shared" si="49"/>
        <v>-48.002074700000001</v>
      </c>
      <c r="AU77" s="83">
        <f t="shared" si="50"/>
        <v>-51.872414599999999</v>
      </c>
      <c r="AV77" s="84">
        <f t="shared" si="51"/>
        <v>-36.726072700000003</v>
      </c>
    </row>
    <row r="78" spans="33:48" x14ac:dyDescent="0.15">
      <c r="AG78" s="80" t="e">
        <f t="shared" si="36"/>
        <v>#VALUE!</v>
      </c>
      <c r="AH78" s="80" t="e">
        <f t="shared" si="37"/>
        <v>#VALUE!</v>
      </c>
      <c r="AI78" s="80">
        <f t="shared" si="38"/>
        <v>-9673280</v>
      </c>
      <c r="AJ78" s="80">
        <f t="shared" si="39"/>
        <v>-14925008</v>
      </c>
      <c r="AK78" s="80">
        <f t="shared" si="40"/>
        <v>-2345528</v>
      </c>
      <c r="AL78" s="80">
        <f t="shared" si="41"/>
        <v>0</v>
      </c>
      <c r="AM78" s="80">
        <f t="shared" si="42"/>
        <v>-1397232</v>
      </c>
      <c r="AN78" s="80">
        <f t="shared" si="43"/>
        <v>-11168824</v>
      </c>
      <c r="AO78" s="80">
        <f t="shared" si="44"/>
        <v>-13424</v>
      </c>
      <c r="AP78" s="80">
        <f t="shared" si="45"/>
        <v>-78.929543199999998</v>
      </c>
      <c r="AQ78" s="83">
        <f t="shared" si="46"/>
        <v>-81.764967799999994</v>
      </c>
      <c r="AR78" s="83">
        <f t="shared" si="47"/>
        <v>-41.461212000000003</v>
      </c>
      <c r="AS78" s="83">
        <f t="shared" si="48"/>
        <v>-45.805070299999997</v>
      </c>
      <c r="AT78" s="83">
        <f t="shared" si="49"/>
        <v>-48.7263837</v>
      </c>
      <c r="AU78" s="83">
        <f t="shared" si="50"/>
        <v>-52.6242655</v>
      </c>
      <c r="AV78" s="84">
        <f t="shared" si="51"/>
        <v>-37.640508400000002</v>
      </c>
    </row>
    <row r="79" spans="33:48" x14ac:dyDescent="0.15">
      <c r="AG79" s="80" t="e">
        <f t="shared" si="36"/>
        <v>#VALUE!</v>
      </c>
      <c r="AH79" s="80" t="e">
        <f t="shared" si="37"/>
        <v>#VALUE!</v>
      </c>
      <c r="AI79" s="80">
        <f t="shared" si="38"/>
        <v>-9673280</v>
      </c>
      <c r="AJ79" s="80">
        <f t="shared" si="39"/>
        <v>-22257200</v>
      </c>
      <c r="AK79" s="80">
        <f t="shared" si="40"/>
        <v>-2110896</v>
      </c>
      <c r="AL79" s="80">
        <f t="shared" si="41"/>
        <v>0</v>
      </c>
      <c r="AM79" s="80">
        <f t="shared" si="42"/>
        <v>-1844432</v>
      </c>
      <c r="AN79" s="80">
        <f t="shared" si="43"/>
        <v>-18288752</v>
      </c>
      <c r="AO79" s="80">
        <f t="shared" si="44"/>
        <v>-13120</v>
      </c>
      <c r="AP79" s="80">
        <f t="shared" si="45"/>
        <v>-79.641642599999997</v>
      </c>
      <c r="AQ79" s="83">
        <f t="shared" si="46"/>
        <v>-82.838215500000004</v>
      </c>
      <c r="AR79" s="83">
        <f t="shared" si="47"/>
        <v>-42.466918200000002</v>
      </c>
      <c r="AS79" s="83">
        <f t="shared" si="48"/>
        <v>-46.888919799999996</v>
      </c>
      <c r="AT79" s="83">
        <f t="shared" si="49"/>
        <v>-50.087581700000001</v>
      </c>
      <c r="AU79" s="83">
        <f t="shared" si="50"/>
        <v>-53.014076500000002</v>
      </c>
      <c r="AV79" s="84">
        <f t="shared" si="51"/>
        <v>-38.406443899999999</v>
      </c>
    </row>
    <row r="80" spans="33:48" x14ac:dyDescent="0.15">
      <c r="AG80" s="80" t="e">
        <f t="shared" si="36"/>
        <v>#VALUE!</v>
      </c>
      <c r="AH80" s="80" t="e">
        <f t="shared" si="37"/>
        <v>#VALUE!</v>
      </c>
      <c r="AI80" s="80">
        <f t="shared" si="38"/>
        <v>-2455232</v>
      </c>
      <c r="AJ80" s="80">
        <f t="shared" si="39"/>
        <v>-4296040</v>
      </c>
      <c r="AK80" s="80">
        <f t="shared" si="40"/>
        <v>-676136</v>
      </c>
      <c r="AL80" s="80">
        <f t="shared" si="41"/>
        <v>0</v>
      </c>
      <c r="AM80" s="80">
        <f t="shared" si="42"/>
        <v>-532560</v>
      </c>
      <c r="AN80" s="80">
        <f t="shared" si="43"/>
        <v>-3073904</v>
      </c>
      <c r="AO80" s="80">
        <f t="shared" si="44"/>
        <v>-13440</v>
      </c>
      <c r="AP80" s="80">
        <f t="shared" si="45"/>
        <v>-73.885798800000003</v>
      </c>
      <c r="AQ80" s="83">
        <f t="shared" si="46"/>
        <v>-75.764960000000002</v>
      </c>
      <c r="AR80" s="83">
        <f t="shared" si="47"/>
        <v>-31.635521600000001</v>
      </c>
      <c r="AS80" s="83">
        <f t="shared" si="48"/>
        <v>-40.5889563</v>
      </c>
      <c r="AT80" s="83">
        <f t="shared" si="49"/>
        <v>-36.975707300000003</v>
      </c>
      <c r="AU80" s="83">
        <f t="shared" si="50"/>
        <v>-44.617045400000002</v>
      </c>
      <c r="AV80" s="84">
        <f t="shared" si="51"/>
        <v>-28.831173100000001</v>
      </c>
    </row>
    <row r="81" spans="33:48" x14ac:dyDescent="0.15">
      <c r="AG81" s="80" t="e">
        <f t="shared" si="36"/>
        <v>#VALUE!</v>
      </c>
      <c r="AH81" s="80" t="e">
        <f t="shared" si="37"/>
        <v>#VALUE!</v>
      </c>
      <c r="AI81" s="80">
        <f t="shared" si="38"/>
        <v>-4912704</v>
      </c>
      <c r="AJ81" s="80">
        <f t="shared" si="39"/>
        <v>-8590816</v>
      </c>
      <c r="AK81" s="80">
        <f t="shared" si="40"/>
        <v>-1140944</v>
      </c>
      <c r="AL81" s="80">
        <f t="shared" si="41"/>
        <v>0</v>
      </c>
      <c r="AM81" s="80">
        <f t="shared" si="42"/>
        <v>-770752</v>
      </c>
      <c r="AN81" s="80">
        <f t="shared" si="43"/>
        <v>-6665184</v>
      </c>
      <c r="AO81" s="80">
        <f t="shared" si="44"/>
        <v>-13936</v>
      </c>
      <c r="AP81" s="80">
        <f t="shared" si="45"/>
        <v>-76.8628602</v>
      </c>
      <c r="AQ81" s="83">
        <f t="shared" si="46"/>
        <v>-79.295916700000006</v>
      </c>
      <c r="AR81" s="83">
        <f t="shared" si="47"/>
        <v>-33.996498199999998</v>
      </c>
      <c r="AS81" s="83">
        <f t="shared" si="48"/>
        <v>-42.456589000000001</v>
      </c>
      <c r="AT81" s="83">
        <f t="shared" si="49"/>
        <v>-39.838376099999998</v>
      </c>
      <c r="AU81" s="83">
        <f t="shared" si="50"/>
        <v>-46.1665955</v>
      </c>
      <c r="AV81" s="84">
        <f t="shared" si="51"/>
        <v>-31.413465200000001</v>
      </c>
    </row>
    <row r="82" spans="33:48" x14ac:dyDescent="0.15">
      <c r="AG82" s="80" t="e">
        <f t="shared" si="36"/>
        <v>#VALUE!</v>
      </c>
      <c r="AH82" s="80" t="e">
        <f t="shared" si="37"/>
        <v>#VALUE!</v>
      </c>
      <c r="AI82" s="80">
        <f t="shared" si="38"/>
        <v>-9828224</v>
      </c>
      <c r="AJ82" s="80">
        <f t="shared" si="39"/>
        <v>-12859584</v>
      </c>
      <c r="AK82" s="80">
        <f t="shared" si="40"/>
        <v>-2165344</v>
      </c>
      <c r="AL82" s="80">
        <f t="shared" si="41"/>
        <v>0</v>
      </c>
      <c r="AM82" s="80">
        <f t="shared" si="42"/>
        <v>-636416</v>
      </c>
      <c r="AN82" s="80">
        <f t="shared" si="43"/>
        <v>-10044344</v>
      </c>
      <c r="AO82" s="80">
        <f t="shared" si="44"/>
        <v>-13480</v>
      </c>
      <c r="AP82" s="80">
        <f t="shared" si="45"/>
        <v>-78.781094400000001</v>
      </c>
      <c r="AQ82" s="83">
        <f t="shared" si="46"/>
        <v>-81.697402299999993</v>
      </c>
      <c r="AR82" s="83">
        <f t="shared" si="47"/>
        <v>-34.9038726</v>
      </c>
      <c r="AS82" s="83">
        <f t="shared" si="48"/>
        <v>-43.698012300000002</v>
      </c>
      <c r="AT82" s="83">
        <f t="shared" si="49"/>
        <v>-41.627586899999997</v>
      </c>
      <c r="AU82" s="83">
        <f t="shared" si="50"/>
        <v>-47.5257589</v>
      </c>
      <c r="AV82" s="84">
        <f t="shared" si="51"/>
        <v>-32.6436706</v>
      </c>
    </row>
    <row r="83" spans="33:48" x14ac:dyDescent="0.15">
      <c r="AG83" s="80" t="e">
        <f t="shared" si="36"/>
        <v>#VALUE!</v>
      </c>
      <c r="AH83" s="80" t="e">
        <f t="shared" si="37"/>
        <v>#VALUE!</v>
      </c>
      <c r="AI83" s="80">
        <f t="shared" si="38"/>
        <v>-19659392</v>
      </c>
      <c r="AJ83" s="80">
        <f t="shared" si="39"/>
        <v>-18275688</v>
      </c>
      <c r="AK83" s="80">
        <f t="shared" si="40"/>
        <v>-4233336</v>
      </c>
      <c r="AL83" s="80">
        <f t="shared" si="41"/>
        <v>0</v>
      </c>
      <c r="AM83" s="80">
        <f t="shared" si="42"/>
        <v>-571952</v>
      </c>
      <c r="AN83" s="80">
        <f t="shared" si="43"/>
        <v>-13456936</v>
      </c>
      <c r="AO83" s="80">
        <f t="shared" si="44"/>
        <v>-13464</v>
      </c>
      <c r="AP83" s="80">
        <f t="shared" si="45"/>
        <v>-80.414000999999999</v>
      </c>
      <c r="AQ83" s="83">
        <f t="shared" si="46"/>
        <v>-84.030110500000006</v>
      </c>
      <c r="AR83" s="83">
        <f t="shared" si="47"/>
        <v>-35.643337299999999</v>
      </c>
      <c r="AS83" s="83">
        <f t="shared" si="48"/>
        <v>-44.005604300000002</v>
      </c>
      <c r="AT83" s="83">
        <f t="shared" si="49"/>
        <v>-42.095617099999998</v>
      </c>
      <c r="AU83" s="83">
        <f t="shared" si="50"/>
        <v>-48.980789700000003</v>
      </c>
      <c r="AV83" s="84">
        <f t="shared" si="51"/>
        <v>-33.8078492</v>
      </c>
    </row>
    <row r="84" spans="33:48" x14ac:dyDescent="0.15">
      <c r="AG84" s="80" t="e">
        <f t="shared" si="36"/>
        <v>#VALUE!</v>
      </c>
      <c r="AH84" s="80" t="e">
        <f t="shared" si="37"/>
        <v>#VALUE!</v>
      </c>
      <c r="AI84" s="80">
        <f t="shared" si="38"/>
        <v>-39320512</v>
      </c>
      <c r="AJ84" s="80">
        <f t="shared" si="39"/>
        <v>-26760840</v>
      </c>
      <c r="AK84" s="80">
        <f t="shared" si="40"/>
        <v>-7498088</v>
      </c>
      <c r="AL84" s="80">
        <f t="shared" si="41"/>
        <v>0</v>
      </c>
      <c r="AM84" s="80">
        <f t="shared" si="42"/>
        <v>-88416</v>
      </c>
      <c r="AN84" s="80">
        <f t="shared" si="43"/>
        <v>-19160960</v>
      </c>
      <c r="AO84" s="80">
        <f t="shared" si="44"/>
        <v>-13376</v>
      </c>
      <c r="AP84" s="80">
        <f t="shared" si="45"/>
        <v>-82.249555799999996</v>
      </c>
      <c r="AQ84" s="83">
        <f t="shared" si="46"/>
        <v>-86.656771899999995</v>
      </c>
      <c r="AR84" s="83">
        <f t="shared" si="47"/>
        <v>-36.315323200000002</v>
      </c>
      <c r="AS84" s="83">
        <f t="shared" si="48"/>
        <v>-44.608672599999998</v>
      </c>
      <c r="AT84" s="83">
        <f t="shared" si="49"/>
        <v>-42.928614000000003</v>
      </c>
      <c r="AU84" s="83">
        <f t="shared" si="50"/>
        <v>-50.397319400000001</v>
      </c>
      <c r="AV84" s="84">
        <f t="shared" si="51"/>
        <v>-34.828697499999997</v>
      </c>
    </row>
    <row r="85" spans="33:48" x14ac:dyDescent="0.15">
      <c r="AG85" s="80" t="e">
        <f t="shared" si="36"/>
        <v>#VALUE!</v>
      </c>
      <c r="AH85" s="80" t="e">
        <f t="shared" si="37"/>
        <v>#VALUE!</v>
      </c>
      <c r="AI85" s="80">
        <f t="shared" si="38"/>
        <v>-2427584</v>
      </c>
      <c r="AJ85" s="80">
        <f t="shared" si="39"/>
        <v>-4203248</v>
      </c>
      <c r="AK85" s="80">
        <f t="shared" si="40"/>
        <v>-710864</v>
      </c>
      <c r="AL85" s="80">
        <f t="shared" si="41"/>
        <v>0</v>
      </c>
      <c r="AM85" s="80">
        <f t="shared" si="42"/>
        <v>-626464</v>
      </c>
      <c r="AN85" s="80">
        <f t="shared" si="43"/>
        <v>-2852528</v>
      </c>
      <c r="AO85" s="80">
        <f t="shared" si="44"/>
        <v>-13392</v>
      </c>
      <c r="AP85" s="80">
        <f t="shared" si="45"/>
        <v>-74.813914499999996</v>
      </c>
      <c r="AQ85" s="83">
        <f t="shared" si="46"/>
        <v>-76.651692199999999</v>
      </c>
      <c r="AR85" s="83">
        <f t="shared" si="47"/>
        <v>-38.128746999999997</v>
      </c>
      <c r="AS85" s="83">
        <f t="shared" si="48"/>
        <v>-44.219943399999998</v>
      </c>
      <c r="AT85" s="83">
        <f t="shared" si="49"/>
        <v>-42.8060592</v>
      </c>
      <c r="AU85" s="83">
        <f t="shared" si="50"/>
        <v>-47.566550900000003</v>
      </c>
      <c r="AV85" s="84">
        <f t="shared" si="51"/>
        <v>-35.148485700000002</v>
      </c>
    </row>
    <row r="86" spans="33:48" x14ac:dyDescent="0.15">
      <c r="AG86" s="80" t="e">
        <f t="shared" si="36"/>
        <v>#VALUE!</v>
      </c>
      <c r="AH86" s="80" t="e">
        <f t="shared" si="37"/>
        <v>#VALUE!</v>
      </c>
      <c r="AI86" s="80">
        <f t="shared" si="38"/>
        <v>-2427584</v>
      </c>
      <c r="AJ86" s="80">
        <f t="shared" si="39"/>
        <v>-8390168</v>
      </c>
      <c r="AK86" s="80">
        <f t="shared" si="40"/>
        <v>-710864</v>
      </c>
      <c r="AL86" s="80">
        <f t="shared" si="41"/>
        <v>0</v>
      </c>
      <c r="AM86" s="80">
        <f t="shared" si="42"/>
        <v>-1003232</v>
      </c>
      <c r="AN86" s="80">
        <f t="shared" si="43"/>
        <v>-6662464</v>
      </c>
      <c r="AO86" s="80">
        <f t="shared" si="44"/>
        <v>-13608</v>
      </c>
      <c r="AP86" s="80">
        <f t="shared" si="45"/>
        <v>-76.4613552</v>
      </c>
      <c r="AQ86" s="83">
        <f t="shared" si="46"/>
        <v>-78.577861400000003</v>
      </c>
      <c r="AR86" s="83">
        <f t="shared" si="47"/>
        <v>-40.636128800000002</v>
      </c>
      <c r="AS86" s="83">
        <f t="shared" si="48"/>
        <v>-45.877731799999999</v>
      </c>
      <c r="AT86" s="83">
        <f t="shared" si="49"/>
        <v>-44.730934499999996</v>
      </c>
      <c r="AU86" s="83">
        <f t="shared" si="50"/>
        <v>-48.422133000000002</v>
      </c>
      <c r="AV86" s="84">
        <f t="shared" si="51"/>
        <v>-36.705418000000002</v>
      </c>
    </row>
    <row r="87" spans="33:48" x14ac:dyDescent="0.15">
      <c r="AG87" s="80" t="e">
        <f t="shared" si="36"/>
        <v>#VALUE!</v>
      </c>
      <c r="AH87" s="80" t="e">
        <f t="shared" si="37"/>
        <v>#VALUE!</v>
      </c>
      <c r="AI87" s="80">
        <f t="shared" si="38"/>
        <v>-2450608</v>
      </c>
      <c r="AJ87" s="80">
        <f t="shared" si="39"/>
        <v>-12885680</v>
      </c>
      <c r="AK87" s="80">
        <f t="shared" si="40"/>
        <v>-1961504</v>
      </c>
      <c r="AL87" s="80">
        <f t="shared" si="41"/>
        <v>0</v>
      </c>
      <c r="AM87" s="80">
        <f t="shared" si="42"/>
        <v>-1087880</v>
      </c>
      <c r="AN87" s="80">
        <f t="shared" si="43"/>
        <v>-9824688</v>
      </c>
      <c r="AO87" s="80">
        <f t="shared" si="44"/>
        <v>-11608</v>
      </c>
      <c r="AP87" s="80">
        <f t="shared" si="45"/>
        <v>-78.545695899999998</v>
      </c>
      <c r="AQ87" s="83">
        <f t="shared" si="46"/>
        <v>-81.129902799999996</v>
      </c>
      <c r="AR87" s="83">
        <f t="shared" si="47"/>
        <v>-41.9329179</v>
      </c>
      <c r="AS87" s="83">
        <f t="shared" si="48"/>
        <v>-46.588744200000001</v>
      </c>
      <c r="AT87" s="83">
        <f t="shared" si="49"/>
        <v>-45.574115900000002</v>
      </c>
      <c r="AU87" s="83">
        <f t="shared" si="50"/>
        <v>-49.736248000000003</v>
      </c>
      <c r="AV87" s="84">
        <f t="shared" si="51"/>
        <v>-38.118233600000003</v>
      </c>
    </row>
    <row r="88" spans="33:48" x14ac:dyDescent="0.15">
      <c r="AG88" s="80" t="e">
        <f t="shared" si="36"/>
        <v>#VALUE!</v>
      </c>
      <c r="AH88" s="80" t="e">
        <f t="shared" si="37"/>
        <v>#VALUE!</v>
      </c>
      <c r="AI88" s="80">
        <f t="shared" si="38"/>
        <v>-2450608</v>
      </c>
      <c r="AJ88" s="80">
        <f t="shared" si="39"/>
        <v>-18640400</v>
      </c>
      <c r="AK88" s="80">
        <f t="shared" si="40"/>
        <v>-1961504</v>
      </c>
      <c r="AL88" s="80">
        <f t="shared" si="41"/>
        <v>0</v>
      </c>
      <c r="AM88" s="80">
        <f t="shared" si="42"/>
        <v>-1841952</v>
      </c>
      <c r="AN88" s="80">
        <f t="shared" si="43"/>
        <v>-14825536</v>
      </c>
      <c r="AO88" s="80">
        <f t="shared" si="44"/>
        <v>-11408</v>
      </c>
      <c r="AP88" s="80">
        <f t="shared" si="45"/>
        <v>-79.8072564</v>
      </c>
      <c r="AQ88" s="83">
        <f t="shared" si="46"/>
        <v>-82.894679699999998</v>
      </c>
      <c r="AR88" s="83">
        <f t="shared" si="47"/>
        <v>-43.0829503</v>
      </c>
      <c r="AS88" s="83">
        <f t="shared" si="48"/>
        <v>-47.701912299999996</v>
      </c>
      <c r="AT88" s="83">
        <f t="shared" si="49"/>
        <v>-46.907864199999999</v>
      </c>
      <c r="AU88" s="83">
        <f t="shared" si="50"/>
        <v>-50.407744000000001</v>
      </c>
      <c r="AV88" s="84">
        <f t="shared" si="51"/>
        <v>-39.296783300000001</v>
      </c>
    </row>
    <row r="89" spans="33:48" x14ac:dyDescent="0.15">
      <c r="AG89" s="80" t="e">
        <f t="shared" si="36"/>
        <v>#VALUE!</v>
      </c>
      <c r="AH89" s="80" t="e">
        <f t="shared" si="37"/>
        <v>#VALUE!</v>
      </c>
      <c r="AI89" s="80">
        <f t="shared" si="38"/>
        <v>-7367456</v>
      </c>
      <c r="AJ89" s="80">
        <f t="shared" si="39"/>
        <v>-27165376</v>
      </c>
      <c r="AK89" s="80">
        <f t="shared" si="40"/>
        <v>-4545536</v>
      </c>
      <c r="AL89" s="80">
        <f t="shared" si="41"/>
        <v>0</v>
      </c>
      <c r="AM89" s="80">
        <f t="shared" si="42"/>
        <v>-1726872</v>
      </c>
      <c r="AN89" s="80">
        <f t="shared" si="43"/>
        <v>-20881624</v>
      </c>
      <c r="AO89" s="80">
        <f t="shared" si="44"/>
        <v>-11344</v>
      </c>
      <c r="AP89" s="80">
        <f t="shared" si="45"/>
        <v>-82.633280600000006</v>
      </c>
      <c r="AQ89" s="83">
        <f t="shared" si="46"/>
        <v>-87.131613799999997</v>
      </c>
      <c r="AR89" s="83">
        <f t="shared" si="47"/>
        <v>-44.112991200000003</v>
      </c>
      <c r="AS89" s="83">
        <f t="shared" si="48"/>
        <v>-48.402286599999996</v>
      </c>
      <c r="AT89" s="83">
        <f t="shared" si="49"/>
        <v>-47.713173599999998</v>
      </c>
      <c r="AU89" s="83">
        <f t="shared" si="50"/>
        <v>-52.6938794</v>
      </c>
      <c r="AV89" s="84">
        <f t="shared" si="51"/>
        <v>-41.401958299999997</v>
      </c>
    </row>
    <row r="90" spans="33:48" x14ac:dyDescent="0.15">
      <c r="AG90" s="80" t="e">
        <f t="shared" si="36"/>
        <v>#VALUE!</v>
      </c>
      <c r="AH90" s="80" t="e">
        <f t="shared" si="37"/>
        <v>#VALUE!</v>
      </c>
      <c r="AI90" s="80">
        <f t="shared" si="38"/>
        <v>-1840960</v>
      </c>
      <c r="AJ90" s="80">
        <f t="shared" si="39"/>
        <v>-4153800</v>
      </c>
      <c r="AK90" s="80">
        <f t="shared" si="40"/>
        <v>-614904</v>
      </c>
      <c r="AL90" s="80">
        <f t="shared" si="41"/>
        <v>0</v>
      </c>
      <c r="AM90" s="80">
        <f t="shared" si="42"/>
        <v>-756040</v>
      </c>
      <c r="AN90" s="80">
        <f t="shared" si="43"/>
        <v>-2769216</v>
      </c>
      <c r="AO90" s="80">
        <f t="shared" si="44"/>
        <v>-13640</v>
      </c>
      <c r="AP90" s="80">
        <f t="shared" si="45"/>
        <v>-72.176712800000004</v>
      </c>
      <c r="AQ90" s="83">
        <f t="shared" si="46"/>
        <v>-73.618522400000003</v>
      </c>
      <c r="AR90" s="83">
        <f t="shared" si="47"/>
        <v>-29.622446100000001</v>
      </c>
      <c r="AS90" s="83">
        <f t="shared" si="48"/>
        <v>-38.6234787</v>
      </c>
      <c r="AT90" s="83">
        <f t="shared" si="49"/>
        <v>-38.369240599999998</v>
      </c>
      <c r="AU90" s="83">
        <f t="shared" si="50"/>
        <v>-48.060682399999997</v>
      </c>
      <c r="AV90" s="84">
        <f t="shared" si="51"/>
        <v>-28.4110078</v>
      </c>
    </row>
    <row r="91" spans="33:48" x14ac:dyDescent="0.15">
      <c r="AG91" s="80" t="e">
        <f t="shared" si="36"/>
        <v>#VALUE!</v>
      </c>
      <c r="AH91" s="80" t="e">
        <f t="shared" si="37"/>
        <v>#VALUE!</v>
      </c>
      <c r="AI91" s="80">
        <f t="shared" si="38"/>
        <v>-3680896</v>
      </c>
      <c r="AJ91" s="80">
        <f t="shared" si="39"/>
        <v>-6574120</v>
      </c>
      <c r="AK91" s="80">
        <f t="shared" si="40"/>
        <v>-942512</v>
      </c>
      <c r="AL91" s="80">
        <f t="shared" si="41"/>
        <v>0</v>
      </c>
      <c r="AM91" s="80">
        <f t="shared" si="42"/>
        <v>-807304</v>
      </c>
      <c r="AN91" s="80">
        <f t="shared" si="43"/>
        <v>-4810584</v>
      </c>
      <c r="AO91" s="80">
        <f t="shared" si="44"/>
        <v>-13720</v>
      </c>
      <c r="AP91" s="80">
        <f t="shared" si="45"/>
        <v>-74.719236600000002</v>
      </c>
      <c r="AQ91" s="83">
        <f t="shared" si="46"/>
        <v>-76.548856799999996</v>
      </c>
      <c r="AR91" s="83">
        <f t="shared" si="47"/>
        <v>-30.304481899999999</v>
      </c>
      <c r="AS91" s="83">
        <f t="shared" si="48"/>
        <v>-38.805502099999998</v>
      </c>
      <c r="AT91" s="83">
        <f t="shared" si="49"/>
        <v>-38.660890500000001</v>
      </c>
      <c r="AU91" s="83">
        <f t="shared" si="50"/>
        <v>-49.373146400000003</v>
      </c>
      <c r="AV91" s="84">
        <f t="shared" si="51"/>
        <v>-28.903979400000001</v>
      </c>
    </row>
    <row r="92" spans="33:48" x14ac:dyDescent="0.15">
      <c r="AG92" s="80" t="e">
        <f t="shared" si="36"/>
        <v>#VALUE!</v>
      </c>
      <c r="AH92" s="80" t="e">
        <f t="shared" si="37"/>
        <v>#VALUE!</v>
      </c>
      <c r="AI92" s="80">
        <f t="shared" si="38"/>
        <v>-7365824</v>
      </c>
      <c r="AJ92" s="80">
        <f t="shared" si="39"/>
        <v>-11989776</v>
      </c>
      <c r="AK92" s="80">
        <f t="shared" si="40"/>
        <v>-1602384</v>
      </c>
      <c r="AL92" s="80">
        <f t="shared" si="41"/>
        <v>0</v>
      </c>
      <c r="AM92" s="80">
        <f t="shared" si="42"/>
        <v>-498416</v>
      </c>
      <c r="AN92" s="80">
        <f t="shared" si="43"/>
        <v>-9875080</v>
      </c>
      <c r="AO92" s="80">
        <f t="shared" si="44"/>
        <v>-13896</v>
      </c>
      <c r="AP92" s="80">
        <f t="shared" si="45"/>
        <v>-75.5333033</v>
      </c>
      <c r="AQ92" s="83">
        <f t="shared" si="46"/>
        <v>-77.444665000000001</v>
      </c>
      <c r="AR92" s="83">
        <f t="shared" si="47"/>
        <v>-31.2413214</v>
      </c>
      <c r="AS92" s="83">
        <f t="shared" si="48"/>
        <v>-39.028236</v>
      </c>
      <c r="AT92" s="83">
        <f t="shared" si="49"/>
        <v>-39.210670899999997</v>
      </c>
      <c r="AU92" s="83">
        <f t="shared" si="50"/>
        <v>-49.903984700000002</v>
      </c>
      <c r="AV92" s="84">
        <f t="shared" si="51"/>
        <v>-30.254761899999998</v>
      </c>
    </row>
    <row r="93" spans="33:48" x14ac:dyDescent="0.15">
      <c r="AG93" s="80" t="e">
        <f t="shared" si="36"/>
        <v>#VALUE!</v>
      </c>
      <c r="AH93" s="80" t="e">
        <f t="shared" si="37"/>
        <v>#VALUE!</v>
      </c>
      <c r="AI93" s="80">
        <f t="shared" si="38"/>
        <v>-7365824</v>
      </c>
      <c r="AJ93" s="80">
        <f t="shared" si="39"/>
        <v>-17565104</v>
      </c>
      <c r="AK93" s="80">
        <f t="shared" si="40"/>
        <v>-1775992</v>
      </c>
      <c r="AL93" s="80">
        <f t="shared" si="41"/>
        <v>0</v>
      </c>
      <c r="AM93" s="80">
        <f t="shared" si="42"/>
        <v>-943768</v>
      </c>
      <c r="AN93" s="80">
        <f t="shared" si="43"/>
        <v>-14831256</v>
      </c>
      <c r="AO93" s="80">
        <f t="shared" si="44"/>
        <v>-14088</v>
      </c>
      <c r="AP93" s="80">
        <f t="shared" si="45"/>
        <v>-77.121172900000005</v>
      </c>
      <c r="AQ93" s="83">
        <f t="shared" si="46"/>
        <v>-79.370635300000004</v>
      </c>
      <c r="AR93" s="83">
        <f t="shared" si="47"/>
        <v>-31.929052599999999</v>
      </c>
      <c r="AS93" s="83">
        <f t="shared" si="48"/>
        <v>-39.093400799999998</v>
      </c>
      <c r="AT93" s="83">
        <f t="shared" si="49"/>
        <v>-39.335960900000003</v>
      </c>
      <c r="AU93" s="83">
        <f t="shared" si="50"/>
        <v>-50.846184600000001</v>
      </c>
      <c r="AV93" s="84">
        <f t="shared" si="51"/>
        <v>-30.9558535</v>
      </c>
    </row>
    <row r="94" spans="33:48" x14ac:dyDescent="0.15">
      <c r="AG94" s="80" t="e">
        <f t="shared" si="36"/>
        <v>#VALUE!</v>
      </c>
      <c r="AH94" s="80" t="e">
        <f t="shared" si="37"/>
        <v>#VALUE!</v>
      </c>
      <c r="AI94" s="80">
        <f t="shared" si="38"/>
        <v>-14733888</v>
      </c>
      <c r="AJ94" s="80">
        <f t="shared" si="39"/>
        <v>-26308568</v>
      </c>
      <c r="AK94" s="80">
        <f t="shared" si="40"/>
        <v>-3114912</v>
      </c>
      <c r="AL94" s="80">
        <f t="shared" si="41"/>
        <v>0</v>
      </c>
      <c r="AM94" s="80">
        <f t="shared" si="42"/>
        <v>-815048</v>
      </c>
      <c r="AN94" s="80">
        <f t="shared" si="43"/>
        <v>-22364904</v>
      </c>
      <c r="AO94" s="80">
        <f t="shared" si="44"/>
        <v>-13704</v>
      </c>
      <c r="AP94" s="80">
        <f t="shared" si="45"/>
        <v>-79.481248500000007</v>
      </c>
      <c r="AQ94" s="83">
        <f t="shared" si="46"/>
        <v>-82.309624900000003</v>
      </c>
      <c r="AR94" s="83">
        <f t="shared" si="47"/>
        <v>-32.735195400000002</v>
      </c>
      <c r="AS94" s="83">
        <f t="shared" si="48"/>
        <v>-39.175828699999997</v>
      </c>
      <c r="AT94" s="83">
        <f t="shared" si="49"/>
        <v>-39.475061199999999</v>
      </c>
      <c r="AU94" s="83">
        <f t="shared" si="50"/>
        <v>-52.049809799999998</v>
      </c>
      <c r="AV94" s="84">
        <f t="shared" si="51"/>
        <v>-31.826236399999999</v>
      </c>
    </row>
    <row r="95" spans="33:48" x14ac:dyDescent="0.15">
      <c r="AG95" s="80" t="e">
        <f t="shared" si="36"/>
        <v>#VALUE!</v>
      </c>
      <c r="AH95" s="80" t="e">
        <f t="shared" si="37"/>
        <v>#VALUE!</v>
      </c>
      <c r="AI95" s="80">
        <f t="shared" si="38"/>
        <v>-1838720</v>
      </c>
      <c r="AJ95" s="80">
        <f t="shared" si="39"/>
        <v>-4272608</v>
      </c>
      <c r="AK95" s="80">
        <f t="shared" si="40"/>
        <v>-530288</v>
      </c>
      <c r="AL95" s="80">
        <f t="shared" si="41"/>
        <v>0</v>
      </c>
      <c r="AM95" s="80">
        <f t="shared" si="42"/>
        <v>-675264</v>
      </c>
      <c r="AN95" s="80">
        <f t="shared" si="43"/>
        <v>-3053504</v>
      </c>
      <c r="AO95" s="80">
        <f t="shared" si="44"/>
        <v>-13552</v>
      </c>
      <c r="AP95" s="80">
        <f t="shared" si="45"/>
        <v>-72.645732199999998</v>
      </c>
      <c r="AQ95" s="83">
        <f t="shared" si="46"/>
        <v>-73.9608341</v>
      </c>
      <c r="AR95" s="83">
        <f t="shared" si="47"/>
        <v>-32.563791399999999</v>
      </c>
      <c r="AS95" s="83">
        <f t="shared" si="48"/>
        <v>-42.2139545</v>
      </c>
      <c r="AT95" s="83">
        <f t="shared" si="49"/>
        <v>-42.566307000000002</v>
      </c>
      <c r="AU95" s="83">
        <f t="shared" si="50"/>
        <v>-48.151674200000002</v>
      </c>
      <c r="AV95" s="84">
        <f t="shared" si="51"/>
        <v>-31.662633899999999</v>
      </c>
    </row>
    <row r="96" spans="33:48" x14ac:dyDescent="0.15">
      <c r="AG96" s="80" t="e">
        <f t="shared" si="36"/>
        <v>#VALUE!</v>
      </c>
      <c r="AH96" s="80" t="e">
        <f t="shared" si="37"/>
        <v>#VALUE!</v>
      </c>
      <c r="AI96" s="80">
        <f t="shared" si="38"/>
        <v>-1838720</v>
      </c>
      <c r="AJ96" s="80">
        <f t="shared" si="39"/>
        <v>-6510136</v>
      </c>
      <c r="AK96" s="80">
        <f t="shared" si="40"/>
        <v>-575728</v>
      </c>
      <c r="AL96" s="80">
        <f t="shared" si="41"/>
        <v>0</v>
      </c>
      <c r="AM96" s="80">
        <f t="shared" si="42"/>
        <v>-727984</v>
      </c>
      <c r="AN96" s="80">
        <f t="shared" si="43"/>
        <v>-5192920</v>
      </c>
      <c r="AO96" s="80">
        <f t="shared" si="44"/>
        <v>-13504</v>
      </c>
      <c r="AP96" s="80">
        <f t="shared" si="45"/>
        <v>-72.885461000000006</v>
      </c>
      <c r="AQ96" s="83">
        <f t="shared" si="46"/>
        <v>-74.230482600000002</v>
      </c>
      <c r="AR96" s="83">
        <f t="shared" si="47"/>
        <v>-33.210661299999998</v>
      </c>
      <c r="AS96" s="83">
        <f t="shared" si="48"/>
        <v>-42.516198000000003</v>
      </c>
      <c r="AT96" s="83">
        <f t="shared" si="49"/>
        <v>-42.839952699999998</v>
      </c>
      <c r="AU96" s="83">
        <f t="shared" si="50"/>
        <v>-48.325825399999999</v>
      </c>
      <c r="AV96" s="84">
        <f t="shared" si="51"/>
        <v>-32.0933402</v>
      </c>
    </row>
    <row r="97" spans="33:48" x14ac:dyDescent="0.15">
      <c r="AG97" s="80" t="e">
        <f t="shared" si="36"/>
        <v>#VALUE!</v>
      </c>
      <c r="AH97" s="80" t="e">
        <f t="shared" si="37"/>
        <v>#VALUE!</v>
      </c>
      <c r="AI97" s="80">
        <f t="shared" si="38"/>
        <v>-7368384</v>
      </c>
      <c r="AJ97" s="80">
        <f t="shared" si="39"/>
        <v>-11907024</v>
      </c>
      <c r="AK97" s="80">
        <f t="shared" si="40"/>
        <v>-1558048</v>
      </c>
      <c r="AL97" s="80">
        <f t="shared" si="41"/>
        <v>0</v>
      </c>
      <c r="AM97" s="80">
        <f t="shared" si="42"/>
        <v>-641584</v>
      </c>
      <c r="AN97" s="80">
        <f t="shared" si="43"/>
        <v>-9693592</v>
      </c>
      <c r="AO97" s="80">
        <f t="shared" si="44"/>
        <v>-13800</v>
      </c>
      <c r="AP97" s="80">
        <f t="shared" si="45"/>
        <v>-76.476013100000003</v>
      </c>
      <c r="AQ97" s="83">
        <f t="shared" si="46"/>
        <v>-78.351185000000001</v>
      </c>
      <c r="AR97" s="83">
        <f t="shared" si="47"/>
        <v>-34.205372799999999</v>
      </c>
      <c r="AS97" s="83">
        <f t="shared" si="48"/>
        <v>-42.837952000000001</v>
      </c>
      <c r="AT97" s="83">
        <f t="shared" si="49"/>
        <v>-43.3814882</v>
      </c>
      <c r="AU97" s="83">
        <f t="shared" si="50"/>
        <v>-50.790737499999999</v>
      </c>
      <c r="AV97" s="84">
        <f t="shared" si="51"/>
        <v>-33.348000999999996</v>
      </c>
    </row>
    <row r="98" spans="33:48" x14ac:dyDescent="0.15">
      <c r="AG98" s="80" t="e">
        <f t="shared" si="36"/>
        <v>#VALUE!</v>
      </c>
      <c r="AH98" s="80" t="e">
        <f t="shared" si="37"/>
        <v>#VALUE!</v>
      </c>
      <c r="AI98" s="80">
        <f t="shared" si="38"/>
        <v>-7368384</v>
      </c>
      <c r="AJ98" s="80">
        <f t="shared" si="39"/>
        <v>-17556728</v>
      </c>
      <c r="AK98" s="80">
        <f t="shared" si="40"/>
        <v>-1731008</v>
      </c>
      <c r="AL98" s="80">
        <f t="shared" si="41"/>
        <v>0</v>
      </c>
      <c r="AM98" s="80">
        <f t="shared" si="42"/>
        <v>-915360</v>
      </c>
      <c r="AN98" s="80">
        <f t="shared" si="43"/>
        <v>-14896432</v>
      </c>
      <c r="AO98" s="80">
        <f t="shared" si="44"/>
        <v>-13928</v>
      </c>
      <c r="AP98" s="80">
        <f t="shared" si="45"/>
        <v>-77.444710599999993</v>
      </c>
      <c r="AQ98" s="83">
        <f t="shared" si="46"/>
        <v>-79.532313099999996</v>
      </c>
      <c r="AR98" s="83">
        <f t="shared" si="47"/>
        <v>-34.905922500000003</v>
      </c>
      <c r="AS98" s="83">
        <f t="shared" si="48"/>
        <v>-42.971181600000001</v>
      </c>
      <c r="AT98" s="83">
        <f t="shared" si="49"/>
        <v>-43.568160399999996</v>
      </c>
      <c r="AU98" s="83">
        <f t="shared" si="50"/>
        <v>-51.223780499999997</v>
      </c>
      <c r="AV98" s="84">
        <f t="shared" si="51"/>
        <v>-33.979614699999999</v>
      </c>
    </row>
    <row r="99" spans="33:48" ht="15.75" customHeight="1" x14ac:dyDescent="0.15">
      <c r="AG99" s="92" t="e">
        <f t="shared" ref="AG99" si="52">AG44-L44</f>
        <v>#VALUE!</v>
      </c>
      <c r="AH99" s="92" t="e">
        <f t="shared" ref="AH99" si="53">AH44-M44</f>
        <v>#VALUE!</v>
      </c>
      <c r="AI99" s="92">
        <f t="shared" ref="AI99" si="54">AI44-N44</f>
        <v>-14739328</v>
      </c>
      <c r="AJ99" s="92">
        <f t="shared" ref="AJ99" si="55">AJ44-O44</f>
        <v>-26281904</v>
      </c>
      <c r="AK99" s="92">
        <f t="shared" ref="AK99" si="56">AK44-P44</f>
        <v>-2692472</v>
      </c>
      <c r="AL99" s="92">
        <f t="shared" ref="AL99" si="57">AL44-Q44</f>
        <v>0</v>
      </c>
      <c r="AM99" s="92">
        <f t="shared" ref="AM99" si="58">AM44-R44</f>
        <v>-1000848</v>
      </c>
      <c r="AN99" s="92">
        <f t="shared" ref="AN99" si="59">AN44-S44</f>
        <v>-22574840</v>
      </c>
      <c r="AO99" s="92">
        <f t="shared" ref="AO99" si="60">AO44-T44</f>
        <v>-13744</v>
      </c>
      <c r="AP99" s="92">
        <f t="shared" ref="AP99" si="61">AP44-U44</f>
        <v>-79.916263299999997</v>
      </c>
      <c r="AQ99" s="93">
        <f t="shared" ref="AQ99" si="62">AQ44-V44</f>
        <v>-82.628330000000005</v>
      </c>
      <c r="AR99" s="93">
        <f t="shared" ref="AR99" si="63">AR44-W44</f>
        <v>-35.766206400000002</v>
      </c>
      <c r="AS99" s="93">
        <f t="shared" ref="AS99" si="64">AS44-X44</f>
        <v>-43.107514299999998</v>
      </c>
      <c r="AT99" s="93">
        <f t="shared" ref="AT99" si="65">AT44-Y44</f>
        <v>-43.767651899999997</v>
      </c>
      <c r="AU99" s="93">
        <f t="shared" ref="AU99" si="66">AU44-Z44</f>
        <v>-52.799460099999997</v>
      </c>
      <c r="AV99" s="94">
        <f t="shared" ref="AV99" si="67">AV44-AA44</f>
        <v>-34.972565799999998</v>
      </c>
    </row>
    <row r="100" spans="33:48" x14ac:dyDescent="0.15">
      <c r="AG100" s="80" t="e">
        <f t="shared" ref="AG100:AV103" si="68">AG45-L45</f>
        <v>#VALUE!</v>
      </c>
      <c r="AH100" s="80" t="e">
        <f t="shared" si="68"/>
        <v>#VALUE!</v>
      </c>
      <c r="AI100" s="80">
        <f t="shared" si="68"/>
        <v>-76800</v>
      </c>
      <c r="AJ100" s="80">
        <f t="shared" si="68"/>
        <v>-143656</v>
      </c>
      <c r="AK100" s="80">
        <f t="shared" si="68"/>
        <v>-21128</v>
      </c>
      <c r="AL100" s="80">
        <f t="shared" si="68"/>
        <v>0</v>
      </c>
      <c r="AM100" s="80">
        <f t="shared" si="68"/>
        <v>-24480</v>
      </c>
      <c r="AN100" s="80">
        <f t="shared" si="68"/>
        <v>-96512</v>
      </c>
      <c r="AO100" s="80">
        <f t="shared" si="68"/>
        <v>-1536</v>
      </c>
      <c r="AP100" s="80">
        <f t="shared" si="68"/>
        <v>-74.433610599999994</v>
      </c>
      <c r="AQ100" s="83">
        <f t="shared" si="68"/>
        <v>-76.408123599999996</v>
      </c>
      <c r="AR100" s="83">
        <f t="shared" si="68"/>
        <v>-30.314523600000001</v>
      </c>
      <c r="AS100" s="83">
        <f t="shared" si="68"/>
        <v>-41.477909799999999</v>
      </c>
      <c r="AT100" s="83">
        <f t="shared" si="68"/>
        <v>-39.835304899999997</v>
      </c>
      <c r="AU100" s="83">
        <f t="shared" si="68"/>
        <v>-53.720557300000003</v>
      </c>
      <c r="AV100" s="84">
        <f t="shared" si="68"/>
        <v>-29.4390824</v>
      </c>
    </row>
    <row r="101" spans="33:48" x14ac:dyDescent="0.15">
      <c r="AG101" s="80" t="e">
        <f t="shared" si="68"/>
        <v>#VALUE!</v>
      </c>
      <c r="AH101" s="80" t="e">
        <f t="shared" si="68"/>
        <v>#VALUE!</v>
      </c>
      <c r="AI101" s="80">
        <f t="shared" si="68"/>
        <v>-153600</v>
      </c>
      <c r="AJ101" s="80">
        <f t="shared" si="68"/>
        <v>-207600</v>
      </c>
      <c r="AK101" s="80">
        <f t="shared" si="68"/>
        <v>-35008</v>
      </c>
      <c r="AL101" s="80">
        <f t="shared" si="68"/>
        <v>0</v>
      </c>
      <c r="AM101" s="80">
        <f t="shared" si="68"/>
        <v>-20408</v>
      </c>
      <c r="AN101" s="80">
        <f t="shared" si="68"/>
        <v>-150632</v>
      </c>
      <c r="AO101" s="80">
        <f t="shared" si="68"/>
        <v>-1552</v>
      </c>
      <c r="AP101" s="80">
        <f t="shared" si="68"/>
        <v>-75.622249199999999</v>
      </c>
      <c r="AQ101" s="83">
        <f t="shared" si="68"/>
        <v>-77.881774800000002</v>
      </c>
      <c r="AR101" s="83">
        <f t="shared" si="68"/>
        <v>-30.9728514</v>
      </c>
      <c r="AS101" s="83">
        <f t="shared" si="68"/>
        <v>-41.976757499999998</v>
      </c>
      <c r="AT101" s="83">
        <f t="shared" si="68"/>
        <v>-40.402654499999997</v>
      </c>
      <c r="AU101" s="83">
        <f t="shared" si="68"/>
        <v>-54.592300600000002</v>
      </c>
      <c r="AV101" s="84">
        <f t="shared" si="68"/>
        <v>-29.883801699999999</v>
      </c>
    </row>
    <row r="102" spans="33:48" x14ac:dyDescent="0.15">
      <c r="AG102" s="80" t="e">
        <f t="shared" si="68"/>
        <v>#VALUE!</v>
      </c>
      <c r="AH102" s="80" t="e">
        <f t="shared" si="68"/>
        <v>#VALUE!</v>
      </c>
      <c r="AI102" s="80">
        <f t="shared" si="68"/>
        <v>-307200</v>
      </c>
      <c r="AJ102" s="80">
        <f t="shared" si="68"/>
        <v>-369184</v>
      </c>
      <c r="AK102" s="80">
        <f t="shared" si="68"/>
        <v>-67168</v>
      </c>
      <c r="AL102" s="80">
        <f t="shared" si="68"/>
        <v>0</v>
      </c>
      <c r="AM102" s="80">
        <f t="shared" si="68"/>
        <v>-15000</v>
      </c>
      <c r="AN102" s="80">
        <f t="shared" si="68"/>
        <v>-285432</v>
      </c>
      <c r="AO102" s="80">
        <f t="shared" si="68"/>
        <v>-1584</v>
      </c>
      <c r="AP102" s="80">
        <f t="shared" si="68"/>
        <v>-77.289292599999996</v>
      </c>
      <c r="AQ102" s="83">
        <f t="shared" si="68"/>
        <v>-79.922633200000007</v>
      </c>
      <c r="AR102" s="83">
        <f t="shared" si="68"/>
        <v>-31.874237300000001</v>
      </c>
      <c r="AS102" s="83">
        <f t="shared" si="68"/>
        <v>-44.481258799999999</v>
      </c>
      <c r="AT102" s="83">
        <f t="shared" si="68"/>
        <v>-43.441433500000002</v>
      </c>
      <c r="AU102" s="83">
        <f t="shared" si="68"/>
        <v>-55.817408499999999</v>
      </c>
      <c r="AV102" s="84">
        <f t="shared" si="68"/>
        <v>-31.263049899999999</v>
      </c>
    </row>
    <row r="103" spans="33:48" x14ac:dyDescent="0.15">
      <c r="AG103" s="80" t="e">
        <f t="shared" si="68"/>
        <v>#VALUE!</v>
      </c>
      <c r="AH103" s="80" t="e">
        <f t="shared" si="68"/>
        <v>#VALUE!</v>
      </c>
      <c r="AI103" s="80">
        <f t="shared" si="68"/>
        <v>-307200</v>
      </c>
      <c r="AJ103" s="80">
        <f t="shared" si="68"/>
        <v>-495384</v>
      </c>
      <c r="AK103" s="80">
        <f t="shared" si="68"/>
        <v>-67168</v>
      </c>
      <c r="AL103" s="80">
        <f t="shared" si="68"/>
        <v>0</v>
      </c>
      <c r="AM103" s="80">
        <f t="shared" si="68"/>
        <v>-24776</v>
      </c>
      <c r="AN103" s="80">
        <f t="shared" si="68"/>
        <v>-401856</v>
      </c>
      <c r="AO103" s="80">
        <f t="shared" si="68"/>
        <v>-1584</v>
      </c>
      <c r="AP103" s="80">
        <f t="shared" si="68"/>
        <v>-78.727111699999995</v>
      </c>
      <c r="AQ103" s="83">
        <f t="shared" si="68"/>
        <v>-81.873689900000002</v>
      </c>
      <c r="AR103" s="83">
        <f t="shared" si="68"/>
        <v>-32.438408500000001</v>
      </c>
      <c r="AS103" s="83">
        <f t="shared" si="68"/>
        <v>-44.8189116</v>
      </c>
      <c r="AT103" s="83">
        <f t="shared" si="68"/>
        <v>-43.993966399999998</v>
      </c>
      <c r="AU103" s="83">
        <f t="shared" si="68"/>
        <v>-56.696662400000001</v>
      </c>
      <c r="AV103" s="84">
        <f t="shared" si="68"/>
        <v>-31.838319800000001</v>
      </c>
    </row>
    <row r="104" spans="33:48" x14ac:dyDescent="0.15">
      <c r="AG104" s="92" t="e">
        <f t="shared" ref="AG104" si="69">AG49-L49</f>
        <v>#VALUE!</v>
      </c>
      <c r="AH104" s="92" t="e">
        <f t="shared" ref="AH104" si="70">AH49-M49</f>
        <v>#VALUE!</v>
      </c>
      <c r="AI104" s="92">
        <f t="shared" ref="AI104" si="71">AI49-N49</f>
        <v>-614272</v>
      </c>
      <c r="AJ104" s="92">
        <f t="shared" ref="AJ104" si="72">AJ49-O49</f>
        <v>-762128</v>
      </c>
      <c r="AK104" s="92">
        <f t="shared" ref="AK104" si="73">AK49-P49</f>
        <v>-119024</v>
      </c>
      <c r="AL104" s="92">
        <f t="shared" ref="AL104" si="74">AL49-Q49</f>
        <v>0</v>
      </c>
      <c r="AM104" s="92">
        <f t="shared" ref="AM104" si="75">AM49-R49</f>
        <v>-28256</v>
      </c>
      <c r="AN104" s="92">
        <f t="shared" ref="AN104" si="76">AN49-S49</f>
        <v>-613216</v>
      </c>
      <c r="AO104" s="92">
        <f t="shared" ref="AO104" si="77">AO49-T49</f>
        <v>-1632</v>
      </c>
      <c r="AP104" s="92">
        <f t="shared" ref="AP104" si="78">AP49-U49</f>
        <v>-80.394734400000004</v>
      </c>
      <c r="AQ104" s="93">
        <f t="shared" ref="AQ104" si="79">AQ49-V49</f>
        <v>-84.503223599999998</v>
      </c>
      <c r="AR104" s="93">
        <f t="shared" ref="AR104" si="80">AR49-W49</f>
        <v>-33.1401386</v>
      </c>
      <c r="AS104" s="93">
        <f t="shared" ref="AS104" si="81">AS49-X49</f>
        <v>-45.30059</v>
      </c>
      <c r="AT104" s="93">
        <f t="shared" ref="AT104" si="82">AT49-Y49</f>
        <v>-44.425900599999999</v>
      </c>
      <c r="AU104" s="93">
        <f t="shared" ref="AU104" si="83">AU49-Z49</f>
        <v>-57.714081100000001</v>
      </c>
      <c r="AV104" s="94">
        <f t="shared" ref="AV104" si="84">AV49-AA49</f>
        <v>-32.634693499999997</v>
      </c>
    </row>
  </sheetData>
  <mergeCells count="52"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J2:J3"/>
    <mergeCell ref="K2:K3"/>
    <mergeCell ref="A2:A3"/>
    <mergeCell ref="B2:B3"/>
    <mergeCell ref="C2:C3"/>
    <mergeCell ref="D2:D3"/>
    <mergeCell ref="E2:E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50">
    <cfRule type="expression" dxfId="148" priority="36">
      <formula>OR(J5&lt;H5*0.9,J5&gt;H5)</formula>
    </cfRule>
  </conditionalFormatting>
  <conditionalFormatting sqref="L5:L49">
    <cfRule type="expression" dxfId="147" priority="22">
      <formula>NOT(L5=O5)</formula>
    </cfRule>
  </conditionalFormatting>
  <conditionalFormatting sqref="AE5:AE50">
    <cfRule type="expression" dxfId="146" priority="35">
      <formula>OR(AE5&lt;H5*0.9,AE5&gt;H5)</formula>
    </cfRule>
  </conditionalFormatting>
  <conditionalFormatting sqref="AG5:AG49">
    <cfRule type="expression" dxfId="145" priority="21">
      <formula>NOT(AG5=AJ5)</formula>
    </cfRule>
  </conditionalFormatting>
  <conditionalFormatting sqref="BQ5:BQ52">
    <cfRule type="cellIs" dxfId="144" priority="31" operator="greaterThanOrEqual">
      <formula>0.001</formula>
    </cfRule>
    <cfRule type="cellIs" dxfId="143" priority="32" operator="lessThanOrEqual">
      <formula>-0.001</formula>
    </cfRule>
  </conditionalFormatting>
  <conditionalFormatting sqref="BR5:BR52">
    <cfRule type="cellIs" dxfId="142" priority="29" operator="greaterThanOrEqual">
      <formula>0.001</formula>
    </cfRule>
    <cfRule type="cellIs" dxfId="141" priority="30" operator="lessThanOrEqual">
      <formula>-0.001</formula>
    </cfRule>
  </conditionalFormatting>
  <conditionalFormatting sqref="BS5:BS52">
    <cfRule type="cellIs" dxfId="140" priority="27" operator="greaterThanOrEqual">
      <formula>0.001</formula>
    </cfRule>
    <cfRule type="cellIs" dxfId="139" priority="28" operator="lessThanOrEqual">
      <formula>-0.001</formula>
    </cfRule>
  </conditionalFormatting>
  <conditionalFormatting sqref="BT5:BT52">
    <cfRule type="cellIs" dxfId="138" priority="5" operator="greaterThanOrEqual">
      <formula>0.001</formula>
    </cfRule>
    <cfRule type="cellIs" dxfId="137" priority="6" operator="lessThanOrEqual">
      <formula>-0.001</formula>
    </cfRule>
  </conditionalFormatting>
  <conditionalFormatting sqref="AZ5:AZ54 BA53:BN53">
    <cfRule type="cellIs" dxfId="136" priority="37" operator="greaterThanOrEqual">
      <formula>0.03</formula>
    </cfRule>
    <cfRule type="cellIs" dxfId="135" priority="38" operator="lessThanOrEqual">
      <formula>-0.03</formula>
    </cfRule>
  </conditionalFormatting>
  <conditionalFormatting sqref="BA5:BA52 BA54">
    <cfRule type="cellIs" dxfId="134" priority="39" operator="greaterThanOrEqual">
      <formula>0.03</formula>
    </cfRule>
    <cfRule type="cellIs" dxfId="133" priority="40" operator="lessThanOrEqual">
      <formula>-0.03</formula>
    </cfRule>
  </conditionalFormatting>
  <conditionalFormatting sqref="BB5:BB52 BB54">
    <cfRule type="cellIs" dxfId="132" priority="47" operator="greaterThanOrEqual">
      <formula>0.03</formula>
    </cfRule>
    <cfRule type="cellIs" dxfId="131" priority="48" operator="lessThanOrEqual">
      <formula>-0.03</formula>
    </cfRule>
  </conditionalFormatting>
  <conditionalFormatting sqref="BC5:BC52 BC54">
    <cfRule type="cellIs" dxfId="130" priority="49" operator="greaterThanOrEqual">
      <formula>0.03</formula>
    </cfRule>
    <cfRule type="cellIs" dxfId="129" priority="50" operator="lessThanOrEqual">
      <formula>-0.03</formula>
    </cfRule>
  </conditionalFormatting>
  <conditionalFormatting sqref="BD5:BD52 BD54">
    <cfRule type="cellIs" dxfId="128" priority="41" operator="greaterThanOrEqual">
      <formula>0.03</formula>
    </cfRule>
    <cfRule type="cellIs" dxfId="127" priority="42" operator="lessThanOrEqual">
      <formula>-0.03</formula>
    </cfRule>
  </conditionalFormatting>
  <conditionalFormatting sqref="BE5:BE52 BE54">
    <cfRule type="cellIs" dxfId="126" priority="43" operator="greaterThanOrEqual">
      <formula>0.03</formula>
    </cfRule>
    <cfRule type="cellIs" dxfId="125" priority="44" operator="lessThanOrEqual">
      <formula>-0.03</formula>
    </cfRule>
  </conditionalFormatting>
  <conditionalFormatting sqref="BF5:BF52 BF54">
    <cfRule type="cellIs" dxfId="124" priority="45" operator="greaterThanOrEqual">
      <formula>0.03</formula>
    </cfRule>
    <cfRule type="cellIs" dxfId="123" priority="46" operator="lessThanOrEqual">
      <formula>-0.03</formula>
    </cfRule>
  </conditionalFormatting>
  <conditionalFormatting sqref="BH5:BH52 BH54">
    <cfRule type="cellIs" dxfId="122" priority="11" operator="greaterThanOrEqual">
      <formula>0.03</formula>
    </cfRule>
    <cfRule type="cellIs" dxfId="121" priority="12" operator="lessThanOrEqual">
      <formula>-0.03</formula>
    </cfRule>
  </conditionalFormatting>
  <conditionalFormatting sqref="BI5:BI52 BI54">
    <cfRule type="cellIs" dxfId="120" priority="7" operator="greaterThanOrEqual">
      <formula>0.03</formula>
    </cfRule>
    <cfRule type="cellIs" dxfId="119" priority="8" operator="lessThanOrEqual">
      <formula>-0.03</formula>
    </cfRule>
  </conditionalFormatting>
  <conditionalFormatting sqref="BJ5:BJ52 BJ54">
    <cfRule type="cellIs" dxfId="118" priority="15" operator="greaterThanOrEqual">
      <formula>0.03</formula>
    </cfRule>
    <cfRule type="cellIs" dxfId="117" priority="16" operator="lessThanOrEqual">
      <formula>-0.03</formula>
    </cfRule>
  </conditionalFormatting>
  <conditionalFormatting sqref="BK5:BK52 BK54">
    <cfRule type="cellIs" dxfId="116" priority="17" operator="greaterThanOrEqual">
      <formula>0.03</formula>
    </cfRule>
    <cfRule type="cellIs" dxfId="115" priority="18" operator="lessThanOrEqual">
      <formula>-0.03</formula>
    </cfRule>
  </conditionalFormatting>
  <conditionalFormatting sqref="BL5:BL52 BL54">
    <cfRule type="cellIs" dxfId="114" priority="9" operator="greaterThanOrEqual">
      <formula>0.03</formula>
    </cfRule>
    <cfRule type="cellIs" dxfId="113" priority="10" operator="lessThanOrEqual">
      <formula>-0.03</formula>
    </cfRule>
  </conditionalFormatting>
  <conditionalFormatting sqref="BM5:BM52 BM54">
    <cfRule type="cellIs" dxfId="112" priority="19" operator="greaterThanOrEqual">
      <formula>0.03</formula>
    </cfRule>
    <cfRule type="cellIs" dxfId="111" priority="20" operator="lessThanOrEqual">
      <formula>-0.03</formula>
    </cfRule>
  </conditionalFormatting>
  <conditionalFormatting sqref="BN5:BN52 BN54">
    <cfRule type="cellIs" dxfId="110" priority="13" operator="greaterThanOrEqual">
      <formula>0.03</formula>
    </cfRule>
    <cfRule type="cellIs" dxfId="109" priority="14" operator="lessThanOrEqual">
      <formula>-0.03</formula>
    </cfRule>
  </conditionalFormatting>
  <conditionalFormatting sqref="BP5:BP54 BQ53:BT54">
    <cfRule type="cellIs" dxfId="108" priority="33" operator="greaterThanOrEqual">
      <formula>0.001</formula>
    </cfRule>
    <cfRule type="cellIs" dxfId="107" priority="34" operator="lessThanOrEqual">
      <formula>-0.001</formula>
    </cfRule>
  </conditionalFormatting>
  <conditionalFormatting sqref="AG60:AQ99">
    <cfRule type="cellIs" dxfId="106" priority="25" operator="lessThan">
      <formula>0</formula>
    </cfRule>
    <cfRule type="cellIs" dxfId="105" priority="26" operator="greaterThan">
      <formula>0</formula>
    </cfRule>
  </conditionalFormatting>
  <conditionalFormatting sqref="AR60:AV99">
    <cfRule type="cellIs" dxfId="104" priority="23" operator="lessThan">
      <formula>0</formula>
    </cfRule>
    <cfRule type="cellIs" dxfId="103" priority="24" operator="greaterThan">
      <formula>0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8"/>
  <sheetViews>
    <sheetView zoomScale="55" zoomScaleNormal="55" workbookViewId="0">
      <pane xSplit="2" ySplit="4" topLeftCell="AC5" activePane="bottomRight" state="frozen"/>
      <selection pane="topRight"/>
      <selection pane="bottomLeft"/>
      <selection pane="bottomRight" activeCell="AI5" sqref="AI5:AX44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6" t="s">
        <v>436</v>
      </c>
      <c r="B1" s="114"/>
      <c r="C1" s="114"/>
      <c r="D1" s="114"/>
      <c r="E1" s="114"/>
      <c r="F1" s="114"/>
      <c r="G1" s="114"/>
      <c r="H1" s="114"/>
      <c r="J1" s="122" t="str">
        <f>Summary!C1</f>
        <v>F032_v14.0</v>
      </c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E1" s="123">
        <f>Summary!C2</f>
        <v>0</v>
      </c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</row>
    <row r="2" spans="1:72" ht="33" customHeight="1" x14ac:dyDescent="0.15">
      <c r="A2" s="125" t="s">
        <v>161</v>
      </c>
      <c r="B2" s="124" t="s">
        <v>162</v>
      </c>
      <c r="C2" s="125" t="s">
        <v>387</v>
      </c>
      <c r="D2" s="124" t="s">
        <v>163</v>
      </c>
      <c r="E2" s="125" t="s">
        <v>164</v>
      </c>
      <c r="F2" s="124" t="s">
        <v>165</v>
      </c>
      <c r="G2" s="125" t="s">
        <v>166</v>
      </c>
      <c r="H2" s="124" t="s">
        <v>388</v>
      </c>
      <c r="J2" s="125" t="s">
        <v>131</v>
      </c>
      <c r="K2" s="124" t="s">
        <v>135</v>
      </c>
      <c r="L2" s="130" t="s">
        <v>124</v>
      </c>
      <c r="M2" s="124" t="s">
        <v>389</v>
      </c>
      <c r="N2" s="125" t="s">
        <v>85</v>
      </c>
      <c r="O2" s="124" t="s">
        <v>124</v>
      </c>
      <c r="P2" s="128" t="s">
        <v>390</v>
      </c>
      <c r="Q2" s="128" t="s">
        <v>391</v>
      </c>
      <c r="R2" s="128" t="s">
        <v>392</v>
      </c>
      <c r="S2" s="128" t="s">
        <v>393</v>
      </c>
      <c r="T2" s="128" t="s">
        <v>394</v>
      </c>
      <c r="U2" s="127" t="s">
        <v>395</v>
      </c>
      <c r="V2" s="114"/>
      <c r="W2" s="114"/>
      <c r="X2" s="114"/>
      <c r="Y2" s="114"/>
      <c r="Z2" s="128" t="s">
        <v>396</v>
      </c>
      <c r="AA2" s="114"/>
      <c r="AB2" s="125" t="s">
        <v>126</v>
      </c>
      <c r="AC2" s="124" t="s">
        <v>106</v>
      </c>
      <c r="AE2" s="125" t="s">
        <v>131</v>
      </c>
      <c r="AF2" s="124" t="s">
        <v>135</v>
      </c>
      <c r="AG2" s="130" t="s">
        <v>124</v>
      </c>
      <c r="AH2" s="124" t="s">
        <v>389</v>
      </c>
      <c r="AI2" s="125" t="s">
        <v>85</v>
      </c>
      <c r="AJ2" s="124" t="s">
        <v>124</v>
      </c>
      <c r="AK2" s="128" t="s">
        <v>390</v>
      </c>
      <c r="AL2" s="128" t="s">
        <v>391</v>
      </c>
      <c r="AM2" s="128" t="s">
        <v>392</v>
      </c>
      <c r="AN2" s="128" t="s">
        <v>393</v>
      </c>
      <c r="AO2" s="128" t="s">
        <v>394</v>
      </c>
      <c r="AP2" s="127" t="s">
        <v>395</v>
      </c>
      <c r="AQ2" s="114"/>
      <c r="AR2" s="114"/>
      <c r="AS2" s="114"/>
      <c r="AT2" s="114"/>
      <c r="AU2" s="128" t="s">
        <v>396</v>
      </c>
      <c r="AV2" s="114"/>
      <c r="AW2" s="125" t="s">
        <v>126</v>
      </c>
      <c r="AX2" s="124" t="s">
        <v>106</v>
      </c>
      <c r="AZ2" s="127" t="s">
        <v>16</v>
      </c>
      <c r="BA2" s="114"/>
      <c r="BB2" s="114"/>
      <c r="BC2" s="114"/>
      <c r="BD2" s="114"/>
      <c r="BE2" s="128" t="s">
        <v>17</v>
      </c>
      <c r="BF2" s="114"/>
      <c r="BH2" s="127" t="s">
        <v>397</v>
      </c>
      <c r="BI2" s="127"/>
      <c r="BJ2" s="129" t="s">
        <v>398</v>
      </c>
      <c r="BK2" s="129"/>
      <c r="BL2" s="129"/>
      <c r="BM2" s="125" t="s">
        <v>437</v>
      </c>
      <c r="BN2" s="124" t="s">
        <v>400</v>
      </c>
      <c r="BP2" s="125" t="s">
        <v>401</v>
      </c>
      <c r="BQ2" s="125" t="s">
        <v>402</v>
      </c>
      <c r="BR2" s="125" t="s">
        <v>403</v>
      </c>
      <c r="BS2" s="125" t="s">
        <v>404</v>
      </c>
      <c r="BT2" s="125" t="s">
        <v>405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31"/>
      <c r="M3" s="116"/>
      <c r="N3" s="116"/>
      <c r="O3" s="116"/>
      <c r="P3" s="124"/>
      <c r="Q3" s="124"/>
      <c r="R3" s="124"/>
      <c r="S3" s="124"/>
      <c r="T3" s="124"/>
      <c r="U3" s="32" t="s">
        <v>18</v>
      </c>
      <c r="V3" s="32" t="s">
        <v>19</v>
      </c>
      <c r="W3" s="32" t="s">
        <v>20</v>
      </c>
      <c r="X3" s="32" t="s">
        <v>21</v>
      </c>
      <c r="Y3" s="32" t="s">
        <v>22</v>
      </c>
      <c r="Z3" s="33" t="s">
        <v>23</v>
      </c>
      <c r="AA3" s="33" t="s">
        <v>20</v>
      </c>
      <c r="AB3" s="116"/>
      <c r="AC3" s="116"/>
      <c r="AE3" s="116"/>
      <c r="AF3" s="116"/>
      <c r="AG3" s="131"/>
      <c r="AH3" s="116"/>
      <c r="AI3" s="116"/>
      <c r="AJ3" s="116"/>
      <c r="AK3" s="124"/>
      <c r="AL3" s="124"/>
      <c r="AM3" s="124"/>
      <c r="AN3" s="124"/>
      <c r="AO3" s="124"/>
      <c r="AP3" s="32" t="s">
        <v>18</v>
      </c>
      <c r="AQ3" s="32" t="s">
        <v>19</v>
      </c>
      <c r="AR3" s="32" t="s">
        <v>20</v>
      </c>
      <c r="AS3" s="32" t="s">
        <v>21</v>
      </c>
      <c r="AT3" s="32" t="s">
        <v>22</v>
      </c>
      <c r="AU3" s="33" t="s">
        <v>23</v>
      </c>
      <c r="AV3" s="33" t="s">
        <v>20</v>
      </c>
      <c r="AW3" s="116"/>
      <c r="AX3" s="116"/>
      <c r="AZ3" s="32" t="s">
        <v>18</v>
      </c>
      <c r="BA3" s="32" t="s">
        <v>19</v>
      </c>
      <c r="BB3" s="32" t="s">
        <v>20</v>
      </c>
      <c r="BC3" s="32" t="s">
        <v>21</v>
      </c>
      <c r="BD3" s="32" t="s">
        <v>22</v>
      </c>
      <c r="BE3" s="33" t="s">
        <v>23</v>
      </c>
      <c r="BF3" s="33" t="s">
        <v>20</v>
      </c>
      <c r="BH3" s="32" t="s">
        <v>18</v>
      </c>
      <c r="BI3" s="32" t="s">
        <v>19</v>
      </c>
      <c r="BJ3" s="2" t="s">
        <v>20</v>
      </c>
      <c r="BK3" s="2" t="s">
        <v>21</v>
      </c>
      <c r="BL3" s="2" t="s">
        <v>22</v>
      </c>
      <c r="BM3" s="125"/>
      <c r="BN3" s="124"/>
      <c r="BP3" s="116"/>
      <c r="BQ3" s="116"/>
      <c r="BR3" s="116"/>
      <c r="BS3" s="116"/>
      <c r="BT3" s="116"/>
    </row>
    <row r="4" spans="1:72" ht="54" hidden="1" customHeight="1" x14ac:dyDescent="0.15">
      <c r="A4" s="34" t="s">
        <v>171</v>
      </c>
      <c r="B4" s="35" t="s">
        <v>172</v>
      </c>
      <c r="C4" s="34" t="s">
        <v>406</v>
      </c>
      <c r="D4" s="35" t="s">
        <v>173</v>
      </c>
      <c r="E4" s="34" t="s">
        <v>174</v>
      </c>
      <c r="F4" s="35" t="s">
        <v>175</v>
      </c>
      <c r="G4" s="34" t="s">
        <v>176</v>
      </c>
      <c r="H4" s="35" t="s">
        <v>407</v>
      </c>
      <c r="J4" s="34" t="s">
        <v>177</v>
      </c>
      <c r="K4" s="35" t="s">
        <v>178</v>
      </c>
      <c r="L4" s="35"/>
      <c r="M4" s="35"/>
      <c r="N4" s="34" t="s">
        <v>408</v>
      </c>
      <c r="O4" s="35" t="s">
        <v>179</v>
      </c>
      <c r="P4" s="35"/>
      <c r="Q4" s="35"/>
      <c r="R4" s="35"/>
      <c r="S4" s="35"/>
      <c r="T4" s="35"/>
      <c r="U4" s="34" t="s">
        <v>409</v>
      </c>
      <c r="V4" s="34" t="s">
        <v>410</v>
      </c>
      <c r="W4" s="34" t="s">
        <v>411</v>
      </c>
      <c r="X4" s="34" t="s">
        <v>412</v>
      </c>
      <c r="Y4" s="34" t="s">
        <v>413</v>
      </c>
      <c r="Z4" s="35" t="s">
        <v>414</v>
      </c>
      <c r="AA4" s="35" t="s">
        <v>415</v>
      </c>
      <c r="AB4" s="34" t="s">
        <v>180</v>
      </c>
      <c r="AC4" s="35" t="s">
        <v>181</v>
      </c>
      <c r="AE4" s="34" t="s">
        <v>182</v>
      </c>
      <c r="AF4" s="35" t="s">
        <v>183</v>
      </c>
      <c r="AG4" s="35"/>
      <c r="AH4" s="35"/>
      <c r="AI4" s="34" t="s">
        <v>416</v>
      </c>
      <c r="AJ4" s="35" t="s">
        <v>184</v>
      </c>
      <c r="AK4" s="35"/>
      <c r="AL4" s="35"/>
      <c r="AM4" s="35"/>
      <c r="AN4" s="35"/>
      <c r="AO4" s="35"/>
      <c r="AP4" s="34" t="s">
        <v>417</v>
      </c>
      <c r="AQ4" s="34" t="s">
        <v>418</v>
      </c>
      <c r="AR4" s="34" t="s">
        <v>419</v>
      </c>
      <c r="AS4" s="34" t="s">
        <v>420</v>
      </c>
      <c r="AT4" s="34" t="s">
        <v>421</v>
      </c>
      <c r="AU4" s="35" t="s">
        <v>422</v>
      </c>
      <c r="AV4" s="35" t="s">
        <v>423</v>
      </c>
      <c r="AW4" s="34" t="s">
        <v>185</v>
      </c>
      <c r="AX4" s="35" t="s">
        <v>186</v>
      </c>
      <c r="AZ4" s="34" t="s">
        <v>424</v>
      </c>
      <c r="BA4" s="34" t="s">
        <v>425</v>
      </c>
      <c r="BB4" s="34" t="s">
        <v>426</v>
      </c>
      <c r="BC4" s="34" t="s">
        <v>427</v>
      </c>
      <c r="BD4" s="34" t="s">
        <v>428</v>
      </c>
      <c r="BE4" s="35" t="s">
        <v>429</v>
      </c>
      <c r="BF4" s="35" t="s">
        <v>430</v>
      </c>
      <c r="BH4" s="34" t="s">
        <v>424</v>
      </c>
      <c r="BI4" s="34" t="s">
        <v>425</v>
      </c>
      <c r="BJ4" s="34" t="s">
        <v>426</v>
      </c>
      <c r="BK4" s="34" t="s">
        <v>427</v>
      </c>
      <c r="BL4" s="34" t="s">
        <v>428</v>
      </c>
      <c r="BM4" s="35" t="s">
        <v>429</v>
      </c>
      <c r="BN4" s="35" t="s">
        <v>430</v>
      </c>
    </row>
    <row r="5" spans="1:72" ht="15" customHeight="1" x14ac:dyDescent="0.15">
      <c r="A5" s="36" t="s">
        <v>188</v>
      </c>
      <c r="B5" s="36" t="s">
        <v>41</v>
      </c>
      <c r="C5" s="37" t="s">
        <v>431</v>
      </c>
      <c r="D5" s="36">
        <v>11997440</v>
      </c>
      <c r="E5" s="38">
        <v>10</v>
      </c>
      <c r="F5" s="37">
        <v>32</v>
      </c>
      <c r="G5" s="37">
        <v>30</v>
      </c>
      <c r="H5" s="37">
        <v>4</v>
      </c>
      <c r="J5" s="49">
        <f t="shared" ref="J5:J44" si="0">IF(OR(ISBLANK(O5),ISBLANK(G5)),"·",O5*G5/F5/1000000)</f>
        <v>3.9367800000000002</v>
      </c>
      <c r="K5" s="50">
        <f t="shared" ref="K5:K44" si="1">IF(ISBLANK(O5),"·",O5/D5)</f>
        <v>0.35001066894270777</v>
      </c>
      <c r="L5" s="37">
        <f t="shared" ref="L5:L44" si="2">IF(OR(ISBLANK(M5),ISBLANK(S5),ISBLANK(T5)),".",M5+S5+T5)</f>
        <v>4199232</v>
      </c>
      <c r="M5" s="37">
        <f t="shared" ref="M5:M44" si="3">IF(OR(ISBLANK(Q5),ISBLANK(P5),ISBLANK(R5)),".",P5+Q5+R5)</f>
        <v>1365104</v>
      </c>
      <c r="N5" s="51">
        <v>2416576</v>
      </c>
      <c r="O5" s="52">
        <v>4199232</v>
      </c>
      <c r="P5" s="52">
        <v>799344</v>
      </c>
      <c r="Q5" s="52">
        <v>0</v>
      </c>
      <c r="R5" s="52">
        <v>565760</v>
      </c>
      <c r="S5" s="52">
        <v>2822520</v>
      </c>
      <c r="T5" s="52">
        <v>11608</v>
      </c>
      <c r="U5" s="67">
        <v>69.1088357</v>
      </c>
      <c r="V5" s="67">
        <v>70.231322800000001</v>
      </c>
      <c r="W5" s="67">
        <v>27.9510456</v>
      </c>
      <c r="X5" s="67">
        <v>33.5987717</v>
      </c>
      <c r="Y5" s="67">
        <v>32.995333199999997</v>
      </c>
      <c r="Z5" s="67">
        <v>49.488893500000003</v>
      </c>
      <c r="AA5" s="67">
        <v>26.907177000000001</v>
      </c>
      <c r="AB5" s="73">
        <v>1185.423055</v>
      </c>
      <c r="AC5" s="73">
        <v>5.3865119999999997</v>
      </c>
      <c r="AE5" s="49" t="str">
        <f t="shared" ref="AE5:AE44" si="4">IF(OR(ISBLANK(AJ5),ISBLANK(G5)),"·",AJ5*G5/F5/1000000)</f>
        <v>·</v>
      </c>
      <c r="AF5" s="50" t="str">
        <f t="shared" ref="AF5:AF44" si="5">IF(ISBLANK(AJ5),"·",AJ5/D5)</f>
        <v>·</v>
      </c>
      <c r="AG5" s="37" t="str">
        <f t="shared" ref="AG5:AG44" si="6">IF(OR(ISBLANK(AH5),ISBLANK(AN5),ISBLANK(AO5)),".",AH5+AN5+AO5)</f>
        <v>.</v>
      </c>
      <c r="AH5" s="37" t="str">
        <f t="shared" ref="AH5:AH44" si="7">IF(OR(ISBLANK(AL5),ISBLANK(AK5),ISBLANK(AM5)),".",AK5+AL5+AM5)</f>
        <v>.</v>
      </c>
      <c r="AI5" s="51"/>
      <c r="AJ5" s="52"/>
      <c r="AK5" s="52"/>
      <c r="AL5" s="52"/>
      <c r="AM5" s="52"/>
      <c r="AN5" s="52"/>
      <c r="AO5" s="52"/>
      <c r="AP5" s="67"/>
      <c r="AQ5" s="67"/>
      <c r="AR5" s="67"/>
      <c r="AS5" s="67"/>
      <c r="AT5" s="67"/>
      <c r="AU5" s="67"/>
      <c r="AV5" s="67"/>
      <c r="AW5" s="73"/>
      <c r="AX5" s="73"/>
      <c r="AY5">
        <v>1118.76</v>
      </c>
      <c r="AZ5" s="6" t="str">
        <f t="array" ref="AZ5">IF(OR(AND(ISBLANK(L5:L9)),AND(ISBLANK(AG5:AG9)),AND(ISBLANK(U5:U9)),AND(ISBLANK(AP5:AP9))),"·",bdRateExtend(L5:L9,U5:U9,AG5:AG9,AP5:AP9))</f>
        <v>·</v>
      </c>
      <c r="BA5" s="6" t="str">
        <f t="array" ref="BA5">IF(OR(AND(ISBLANK(L5:L9)),AND(ISBLANK(AG5:AG9)),AND(ISBLANK(V5:V9)),AND(ISBLANK(AQ5:AQ9))),"·",bdRateExtend(L5:L9,V5:V9,AG5:AG9,AQ5:AQ9))</f>
        <v>·</v>
      </c>
      <c r="BB5" s="6" t="str">
        <f t="array" ref="BB5">IF(OR(AND(ISBLANK(L5:L9)),AND(ISBLANK(AG5:AG9)),AND(ISBLANK(W5:W9)),AND(ISBLANK(AR5:AR9))),"·",bdRateExtend(L5:L9,W5:W9,AG5:AG9,AR5:AR9))</f>
        <v>·</v>
      </c>
      <c r="BC5" s="6" t="str">
        <f t="array" ref="BC5">IF(OR(AND(ISBLANK(L5:L9)),AND(ISBLANK(AG5:AG9)),AND(ISBLANK(X5:X9)),AND(ISBLANK(AS5:AS9))),"·",bdRateExtend(L5:L9,X5:X9,AG5:AG9,AS5:AS9))</f>
        <v>·</v>
      </c>
      <c r="BD5" s="6" t="str">
        <f t="array" ref="BD5">IF(OR(AND(ISBLANK(L5:L9)),AND(ISBLANK(AG5:AG9)),AND(ISBLANK(Y5:Y9)),AND(ISBLANK(AT5:AT9))),"·",bdRateExtend(L5:L9,Y5:Y9,AG5:AG9,AT5:AT9))</f>
        <v>·</v>
      </c>
      <c r="BE5" s="6" t="str">
        <f t="array" ref="BE5">IF(OR(AND(ISBLANK(L5:L9)),AND(ISBLANK(AG5:AG9)),AND(ISBLANK(Z5:Z9)),AND(ISBLANK(AU5:AU9))),"·",bdRateExtend(L5:L9,Z5:Z9,AG5:AG9,AU5:AU9))</f>
        <v>·</v>
      </c>
      <c r="BF5" s="6" t="str">
        <f t="array" ref="BF5">IF(OR(AND(ISBLANK(L5:L9)),AND(ISBLANK(AG5:AG9)),AND(ISBLANK(AA5:AA9)),AND(ISBLANK(AV5:AV9))),"·",bdRateExtend(L5:L9,AA5:AA9,AG5:AG9,AV5:AV9))</f>
        <v>·</v>
      </c>
      <c r="BH5" s="6" t="str">
        <f t="array" ref="BH5">IF(OR(AND(ISBLANK(M5:M9)),AND(ISBLANK(AH5:AH9)),AND(ISBLANK(U5:U9)),AND(ISBLANK(AP5:AP9))),"·",bdRateExtend(M5:M9,U5:U9,AH5:AH9,AP5:AP9))</f>
        <v>·</v>
      </c>
      <c r="BI5" s="6" t="str">
        <f t="array" ref="BI5">IF(OR(AND(ISBLANK(M5:M9)),AND(ISBLANK(AH5:AH9)),AND(ISBLANK(V5:V9)),AND(ISBLANK(AQ5:AQ9))),"·",bdRateExtend(M5:M9,V5:V9,AH5:AH9,AQ5:AQ9))</f>
        <v>·</v>
      </c>
      <c r="BJ5" s="6" t="str">
        <f t="array" ref="BJ5">IF(OR(AND(ISBLANK(S5:S9)),AND(ISBLANK(AN5:AN9)),AND(ISBLANK(W5:W9)),AND(ISBLANK(AR5:AR9))),"·",bdRateExtend(S5:S9,W5:W9,AN5:AN9,AR5:AR9))</f>
        <v>·</v>
      </c>
      <c r="BK5" s="6" t="str">
        <f t="array" ref="BK5">IF(OR(AND(ISBLANK(S5:S9)),AND(ISBLANK(AN5:AN9)),AND(ISBLANK(X5:X9)),AND(ISBLANK(AS5:AS9))),"·",bdRateExtend(S5:S9,X5:X9,AN5:AN9,AS5:AS9))</f>
        <v>·</v>
      </c>
      <c r="BL5" s="6" t="str">
        <f t="array" ref="BL5">IF(OR(AND(ISBLANK(S5:S9)),AND(ISBLANK(AN5:AN9)),AND(ISBLANK(Y5:Y9)),AND(ISBLANK(AT5:AT9))),"·",bdRateExtend(S5:S9,Y5:Y9,AN5:AN9,AT5:AT9))</f>
        <v>·</v>
      </c>
      <c r="BM5" s="6" t="str">
        <f t="array" ref="BM5">IF(OR(AND(ISBLANK(M5:M9)),AND(ISBLANK(AH5:AH9)),AND(ISBLANK(Z5:Z9)),AND(ISBLANK(AU5:AU9))),"·",bdRateExtend(M5:M9,Z5:Z9,AH5:AH9,AU5:AU9))</f>
        <v>·</v>
      </c>
      <c r="BN5" s="6" t="str">
        <f t="array" ref="BN5">IF(OR(AND(ISBLANK(S5:S9)),AND(ISBLANK(AN5:AN9)),AND(ISBLANK(AA5:AA9)),AND(ISBLANK(AV5:AV9))),"·",bdRateExtend(S5:S9,AA5:AA9,AN5:AN9,AV5:AV9))</f>
        <v>·</v>
      </c>
      <c r="BP5" s="6">
        <f t="shared" ref="BP5:BP44" si="8">IF(AND(AK5=0,AK5=0),0,AK5/P5-1)</f>
        <v>0</v>
      </c>
      <c r="BQ5" s="6">
        <f t="shared" ref="BQ5:BQ44" si="9">IF(AND(AL5=0,AL5=0),0,AL5/Q5-1)</f>
        <v>0</v>
      </c>
      <c r="BR5" s="6">
        <f t="shared" ref="BR5:BR44" si="10">IF(AND(AM5=0,AM5=0),0,AM5/R5-1)</f>
        <v>0</v>
      </c>
      <c r="BS5" s="6">
        <f t="shared" ref="BS5:BT44" si="11">IF(AND(AN5=0,AN5=0),0,AN5/S5-1)</f>
        <v>0</v>
      </c>
      <c r="BT5" s="6">
        <f t="shared" si="11"/>
        <v>0</v>
      </c>
    </row>
    <row r="6" spans="1:72" ht="15" customHeight="1" outlineLevel="1" x14ac:dyDescent="0.15">
      <c r="A6" s="39"/>
      <c r="B6" s="39" t="s">
        <v>41</v>
      </c>
      <c r="C6" s="40" t="s">
        <v>432</v>
      </c>
      <c r="D6" s="39">
        <v>11997440</v>
      </c>
      <c r="E6" s="41">
        <v>10</v>
      </c>
      <c r="F6" s="40">
        <v>32</v>
      </c>
      <c r="G6" s="40">
        <v>30</v>
      </c>
      <c r="H6" s="40">
        <v>8</v>
      </c>
      <c r="J6" s="53">
        <f t="shared" si="0"/>
        <v>8.0197950000000002</v>
      </c>
      <c r="K6" s="54">
        <f t="shared" si="1"/>
        <v>0.71302277819268112</v>
      </c>
      <c r="L6" s="40">
        <f t="shared" si="2"/>
        <v>8554448</v>
      </c>
      <c r="M6" s="40">
        <f t="shared" si="3"/>
        <v>1786432</v>
      </c>
      <c r="N6" s="55">
        <v>2416576</v>
      </c>
      <c r="O6" s="56">
        <v>8554448</v>
      </c>
      <c r="P6" s="56">
        <v>799344</v>
      </c>
      <c r="Q6" s="56">
        <v>0</v>
      </c>
      <c r="R6" s="56">
        <v>987088</v>
      </c>
      <c r="S6" s="56">
        <v>6757032</v>
      </c>
      <c r="T6" s="56">
        <v>10984</v>
      </c>
      <c r="U6" s="68">
        <v>70.8927592</v>
      </c>
      <c r="V6" s="68">
        <v>72.252472100000006</v>
      </c>
      <c r="W6" s="68">
        <v>31.2338795</v>
      </c>
      <c r="X6" s="68">
        <v>34.790546200000001</v>
      </c>
      <c r="Y6" s="68">
        <v>34.310077</v>
      </c>
      <c r="Z6" s="68">
        <v>50.358477100000002</v>
      </c>
      <c r="AA6" s="68">
        <v>29.171534300000001</v>
      </c>
      <c r="AB6" s="74">
        <v>1273.3940030000001</v>
      </c>
      <c r="AC6" s="74">
        <v>5.8975460000000002</v>
      </c>
      <c r="AE6" s="53" t="str">
        <f t="shared" si="4"/>
        <v>·</v>
      </c>
      <c r="AF6" s="54" t="str">
        <f t="shared" si="5"/>
        <v>·</v>
      </c>
      <c r="AG6" s="40" t="str">
        <f t="shared" si="6"/>
        <v>.</v>
      </c>
      <c r="AH6" s="40" t="str">
        <f t="shared" si="7"/>
        <v>.</v>
      </c>
      <c r="AI6" s="55"/>
      <c r="AJ6" s="56"/>
      <c r="AK6" s="56"/>
      <c r="AL6" s="56"/>
      <c r="AM6" s="56"/>
      <c r="AN6" s="56"/>
      <c r="AO6" s="56"/>
      <c r="AP6" s="68"/>
      <c r="AQ6" s="68"/>
      <c r="AR6" s="68"/>
      <c r="AS6" s="68"/>
      <c r="AT6" s="68"/>
      <c r="AU6" s="68"/>
      <c r="AV6" s="68"/>
      <c r="AW6" s="74"/>
      <c r="AX6" s="74"/>
      <c r="AY6">
        <v>1118.77</v>
      </c>
      <c r="AZ6" s="10"/>
      <c r="BA6" s="10"/>
      <c r="BB6" s="10"/>
      <c r="BC6" s="10"/>
      <c r="BD6" s="10"/>
      <c r="BE6" s="10"/>
      <c r="BF6" s="10"/>
      <c r="BH6" s="88"/>
      <c r="BI6" s="88"/>
      <c r="BJ6" s="88"/>
      <c r="BK6" s="88"/>
      <c r="BL6" s="88"/>
      <c r="BM6" s="88"/>
      <c r="BN6" s="88"/>
      <c r="BP6" s="10">
        <f t="shared" si="8"/>
        <v>0</v>
      </c>
      <c r="BQ6" s="10">
        <f t="shared" si="9"/>
        <v>0</v>
      </c>
      <c r="BR6" s="10">
        <f t="shared" si="10"/>
        <v>0</v>
      </c>
      <c r="BS6" s="10">
        <f t="shared" si="11"/>
        <v>0</v>
      </c>
      <c r="BT6" s="10">
        <f t="shared" si="11"/>
        <v>0</v>
      </c>
    </row>
    <row r="7" spans="1:72" ht="15" customHeight="1" outlineLevel="1" x14ac:dyDescent="0.15">
      <c r="A7" s="36"/>
      <c r="B7" s="36" t="s">
        <v>41</v>
      </c>
      <c r="C7" s="37" t="s">
        <v>433</v>
      </c>
      <c r="D7" s="36">
        <v>11997440</v>
      </c>
      <c r="E7" s="38">
        <v>10</v>
      </c>
      <c r="F7" s="37">
        <v>32</v>
      </c>
      <c r="G7" s="37">
        <v>30</v>
      </c>
      <c r="H7" s="37">
        <v>11</v>
      </c>
      <c r="J7" s="49">
        <f t="shared" si="0"/>
        <v>11.090317499999999</v>
      </c>
      <c r="K7" s="50">
        <f t="shared" si="1"/>
        <v>0.98601635015469968</v>
      </c>
      <c r="L7" s="37">
        <f t="shared" si="2"/>
        <v>11829672</v>
      </c>
      <c r="M7" s="37">
        <f t="shared" si="3"/>
        <v>2226168</v>
      </c>
      <c r="N7" s="51">
        <v>4871808</v>
      </c>
      <c r="O7" s="52">
        <v>11829672</v>
      </c>
      <c r="P7" s="52">
        <v>1269624</v>
      </c>
      <c r="Q7" s="52">
        <v>0</v>
      </c>
      <c r="R7" s="52">
        <v>956544</v>
      </c>
      <c r="S7" s="52">
        <v>9592496</v>
      </c>
      <c r="T7" s="52">
        <v>11008</v>
      </c>
      <c r="U7" s="67">
        <v>72.684705699999995</v>
      </c>
      <c r="V7" s="67">
        <v>74.31559</v>
      </c>
      <c r="W7" s="67">
        <v>32.3601016</v>
      </c>
      <c r="X7" s="67">
        <v>36.479445200000001</v>
      </c>
      <c r="Y7" s="67">
        <v>36.217432000000002</v>
      </c>
      <c r="Z7" s="67">
        <v>51.506037900000003</v>
      </c>
      <c r="AA7" s="67">
        <v>30.530772599999999</v>
      </c>
      <c r="AB7" s="73">
        <v>3313.0303749999998</v>
      </c>
      <c r="AC7" s="73">
        <v>18.855373</v>
      </c>
      <c r="AE7" s="49" t="str">
        <f t="shared" si="4"/>
        <v>·</v>
      </c>
      <c r="AF7" s="50" t="str">
        <f t="shared" si="5"/>
        <v>·</v>
      </c>
      <c r="AG7" s="37" t="str">
        <f t="shared" si="6"/>
        <v>.</v>
      </c>
      <c r="AH7" s="37" t="str">
        <f t="shared" si="7"/>
        <v>.</v>
      </c>
      <c r="AI7" s="51"/>
      <c r="AJ7" s="52"/>
      <c r="AK7" s="52"/>
      <c r="AL7" s="52"/>
      <c r="AM7" s="52"/>
      <c r="AN7" s="52"/>
      <c r="AO7" s="52"/>
      <c r="AP7" s="67"/>
      <c r="AQ7" s="67"/>
      <c r="AR7" s="67"/>
      <c r="AS7" s="67"/>
      <c r="AT7" s="67"/>
      <c r="AU7" s="67"/>
      <c r="AV7" s="67"/>
      <c r="AW7" s="73"/>
      <c r="AX7" s="73"/>
      <c r="AY7">
        <v>2692.22</v>
      </c>
      <c r="AZ7" s="6"/>
      <c r="BA7" s="6"/>
      <c r="BB7" s="6"/>
      <c r="BC7" s="6"/>
      <c r="BD7" s="6"/>
      <c r="BE7" s="6"/>
      <c r="BF7" s="6"/>
      <c r="BH7" s="89"/>
      <c r="BI7" s="89"/>
      <c r="BJ7" s="89"/>
      <c r="BK7" s="89"/>
      <c r="BL7" s="89"/>
      <c r="BM7" s="89"/>
      <c r="BN7" s="89"/>
      <c r="BP7" s="6">
        <f t="shared" si="8"/>
        <v>0</v>
      </c>
      <c r="BQ7" s="6">
        <f t="shared" si="9"/>
        <v>0</v>
      </c>
      <c r="BR7" s="6">
        <f t="shared" si="10"/>
        <v>0</v>
      </c>
      <c r="BS7" s="6">
        <f t="shared" si="11"/>
        <v>0</v>
      </c>
      <c r="BT7" s="6">
        <f t="shared" si="11"/>
        <v>0</v>
      </c>
    </row>
    <row r="8" spans="1:72" ht="15" customHeight="1" outlineLevel="1" x14ac:dyDescent="0.15">
      <c r="A8" s="39"/>
      <c r="B8" s="39" t="s">
        <v>41</v>
      </c>
      <c r="C8" s="40" t="s">
        <v>434</v>
      </c>
      <c r="D8" s="39">
        <v>11997440</v>
      </c>
      <c r="E8" s="41">
        <v>10</v>
      </c>
      <c r="F8" s="40">
        <v>32</v>
      </c>
      <c r="G8" s="40">
        <v>30</v>
      </c>
      <c r="H8" s="40">
        <v>14</v>
      </c>
      <c r="J8" s="53">
        <f t="shared" si="0"/>
        <v>14.165445</v>
      </c>
      <c r="K8" s="54">
        <f t="shared" si="1"/>
        <v>1.2594193427931293</v>
      </c>
      <c r="L8" s="40">
        <f t="shared" si="2"/>
        <v>15109808</v>
      </c>
      <c r="M8" s="40">
        <f t="shared" si="3"/>
        <v>2895864</v>
      </c>
      <c r="N8" s="55">
        <v>9785856</v>
      </c>
      <c r="O8" s="56">
        <v>15109808</v>
      </c>
      <c r="P8" s="56">
        <v>2100120</v>
      </c>
      <c r="Q8" s="56">
        <v>0</v>
      </c>
      <c r="R8" s="56">
        <v>795744</v>
      </c>
      <c r="S8" s="56">
        <v>12202736</v>
      </c>
      <c r="T8" s="56">
        <v>11208</v>
      </c>
      <c r="U8" s="68">
        <v>73.512494399999994</v>
      </c>
      <c r="V8" s="68">
        <v>75.266345700000002</v>
      </c>
      <c r="W8" s="68">
        <v>33.372557800000003</v>
      </c>
      <c r="X8" s="68">
        <v>37.064739199999998</v>
      </c>
      <c r="Y8" s="68">
        <v>36.794804599999999</v>
      </c>
      <c r="Z8" s="68">
        <v>52.089126399999998</v>
      </c>
      <c r="AA8" s="68">
        <v>31.323933799999999</v>
      </c>
      <c r="AB8" s="74">
        <v>3917.9391690000002</v>
      </c>
      <c r="AC8" s="74">
        <v>25.346772999999999</v>
      </c>
      <c r="AE8" s="53" t="str">
        <f t="shared" si="4"/>
        <v>·</v>
      </c>
      <c r="AF8" s="54" t="str">
        <f t="shared" si="5"/>
        <v>·</v>
      </c>
      <c r="AG8" s="40" t="str">
        <f t="shared" si="6"/>
        <v>.</v>
      </c>
      <c r="AH8" s="40" t="str">
        <f t="shared" si="7"/>
        <v>.</v>
      </c>
      <c r="AI8" s="55"/>
      <c r="AJ8" s="56"/>
      <c r="AK8" s="56"/>
      <c r="AL8" s="56"/>
      <c r="AM8" s="56"/>
      <c r="AN8" s="56"/>
      <c r="AO8" s="56"/>
      <c r="AP8" s="68"/>
      <c r="AQ8" s="68"/>
      <c r="AR8" s="68"/>
      <c r="AS8" s="68"/>
      <c r="AT8" s="68"/>
      <c r="AU8" s="68"/>
      <c r="AV8" s="68"/>
      <c r="AW8" s="74"/>
      <c r="AX8" s="74"/>
      <c r="AY8">
        <v>3447.57</v>
      </c>
      <c r="AZ8" s="10"/>
      <c r="BA8" s="10"/>
      <c r="BB8" s="10"/>
      <c r="BC8" s="10"/>
      <c r="BD8" s="10"/>
      <c r="BE8" s="10"/>
      <c r="BF8" s="10"/>
      <c r="BH8" s="88"/>
      <c r="BI8" s="88"/>
      <c r="BJ8" s="88"/>
      <c r="BK8" s="88"/>
      <c r="BL8" s="88"/>
      <c r="BM8" s="88"/>
      <c r="BN8" s="88"/>
      <c r="BP8" s="10">
        <f t="shared" si="8"/>
        <v>0</v>
      </c>
      <c r="BQ8" s="10">
        <f t="shared" si="9"/>
        <v>0</v>
      </c>
      <c r="BR8" s="10">
        <f t="shared" si="10"/>
        <v>0</v>
      </c>
      <c r="BS8" s="10">
        <f t="shared" si="11"/>
        <v>0</v>
      </c>
      <c r="BT8" s="10">
        <f t="shared" si="11"/>
        <v>0</v>
      </c>
    </row>
    <row r="9" spans="1:72" ht="15.75" customHeight="1" outlineLevel="1" thickBot="1" x14ac:dyDescent="0.2">
      <c r="A9" s="36"/>
      <c r="B9" s="42" t="s">
        <v>41</v>
      </c>
      <c r="C9" s="43" t="s">
        <v>435</v>
      </c>
      <c r="D9" s="42">
        <v>11997440</v>
      </c>
      <c r="E9" s="44">
        <v>10</v>
      </c>
      <c r="F9" s="43">
        <v>32</v>
      </c>
      <c r="G9" s="43">
        <v>30</v>
      </c>
      <c r="H9" s="43">
        <v>21</v>
      </c>
      <c r="J9" s="57">
        <f t="shared" si="0"/>
        <v>21.328890000000001</v>
      </c>
      <c r="K9" s="58">
        <f t="shared" si="1"/>
        <v>1.896305878587432</v>
      </c>
      <c r="L9" s="43">
        <f t="shared" si="2"/>
        <v>22750816</v>
      </c>
      <c r="M9" s="43">
        <f t="shared" si="3"/>
        <v>3581592</v>
      </c>
      <c r="N9" s="59">
        <v>9785856</v>
      </c>
      <c r="O9" s="60">
        <v>22750816</v>
      </c>
      <c r="P9" s="60">
        <v>2100120</v>
      </c>
      <c r="Q9" s="60">
        <v>0</v>
      </c>
      <c r="R9" s="60">
        <v>1481472</v>
      </c>
      <c r="S9" s="60">
        <v>19158888</v>
      </c>
      <c r="T9" s="60">
        <v>10336</v>
      </c>
      <c r="U9" s="69">
        <v>75.1608047</v>
      </c>
      <c r="V9" s="69">
        <v>77.234549200000004</v>
      </c>
      <c r="W9" s="69">
        <v>34.998242699999999</v>
      </c>
      <c r="X9" s="69">
        <v>38.6011448</v>
      </c>
      <c r="Y9" s="69">
        <v>38.316167299999996</v>
      </c>
      <c r="Z9" s="69">
        <v>52.989425799999999</v>
      </c>
      <c r="AA9" s="69">
        <v>32.693355599999997</v>
      </c>
      <c r="AB9" s="75">
        <v>4169.7814660000004</v>
      </c>
      <c r="AC9" s="75">
        <v>26.278151999999999</v>
      </c>
      <c r="AE9" s="57" t="str">
        <f t="shared" si="4"/>
        <v>·</v>
      </c>
      <c r="AF9" s="58" t="str">
        <f t="shared" si="5"/>
        <v>·</v>
      </c>
      <c r="AG9" s="43" t="str">
        <f t="shared" si="6"/>
        <v>.</v>
      </c>
      <c r="AH9" s="43" t="str">
        <f t="shared" si="7"/>
        <v>.</v>
      </c>
      <c r="AI9" s="59"/>
      <c r="AJ9" s="60"/>
      <c r="AK9" s="60"/>
      <c r="AL9" s="60"/>
      <c r="AM9" s="60"/>
      <c r="AN9" s="60"/>
      <c r="AO9" s="60"/>
      <c r="AP9" s="69"/>
      <c r="AQ9" s="69"/>
      <c r="AR9" s="69"/>
      <c r="AS9" s="69"/>
      <c r="AT9" s="69"/>
      <c r="AU9" s="69"/>
      <c r="AV9" s="69"/>
      <c r="AW9" s="75"/>
      <c r="AX9" s="75"/>
      <c r="AY9">
        <v>3445.89</v>
      </c>
      <c r="AZ9" s="85"/>
      <c r="BA9" s="85"/>
      <c r="BB9" s="85"/>
      <c r="BC9" s="85"/>
      <c r="BD9" s="85"/>
      <c r="BE9" s="85"/>
      <c r="BF9" s="85"/>
      <c r="BH9" s="90"/>
      <c r="BI9" s="90"/>
      <c r="BJ9" s="90"/>
      <c r="BK9" s="90"/>
      <c r="BL9" s="90"/>
      <c r="BM9" s="90"/>
      <c r="BN9" s="90"/>
      <c r="BP9" s="85">
        <f t="shared" si="8"/>
        <v>0</v>
      </c>
      <c r="BQ9" s="85">
        <f t="shared" si="9"/>
        <v>0</v>
      </c>
      <c r="BR9" s="85">
        <f t="shared" si="10"/>
        <v>0</v>
      </c>
      <c r="BS9" s="85">
        <f t="shared" si="11"/>
        <v>0</v>
      </c>
      <c r="BT9" s="85">
        <f t="shared" si="11"/>
        <v>0</v>
      </c>
    </row>
    <row r="10" spans="1:72" ht="15" customHeight="1" x14ac:dyDescent="0.15">
      <c r="A10" s="39"/>
      <c r="B10" s="39" t="s">
        <v>49</v>
      </c>
      <c r="C10" s="40" t="s">
        <v>431</v>
      </c>
      <c r="D10" s="39">
        <v>9000000</v>
      </c>
      <c r="E10" s="41">
        <v>10</v>
      </c>
      <c r="F10" s="40">
        <v>32</v>
      </c>
      <c r="G10" s="40">
        <v>30</v>
      </c>
      <c r="H10" s="40">
        <v>4</v>
      </c>
      <c r="J10" s="53">
        <f t="shared" si="0"/>
        <v>3.2085824999999999</v>
      </c>
      <c r="K10" s="54">
        <f t="shared" si="1"/>
        <v>0.38027644444444442</v>
      </c>
      <c r="L10" s="40">
        <f t="shared" si="2"/>
        <v>3422488</v>
      </c>
      <c r="M10" s="40">
        <f t="shared" si="3"/>
        <v>1346712</v>
      </c>
      <c r="N10" s="55">
        <v>1032192</v>
      </c>
      <c r="O10" s="56">
        <v>3422488</v>
      </c>
      <c r="P10" s="56">
        <v>44064</v>
      </c>
      <c r="Q10" s="56">
        <v>123992</v>
      </c>
      <c r="R10" s="56">
        <v>1178656</v>
      </c>
      <c r="S10" s="56">
        <v>2068000</v>
      </c>
      <c r="T10" s="56">
        <v>7776</v>
      </c>
      <c r="U10" s="68">
        <v>69.063881100000003</v>
      </c>
      <c r="V10" s="68">
        <v>70.255101600000003</v>
      </c>
      <c r="W10" s="68">
        <v>36.093772899999998</v>
      </c>
      <c r="X10" s="68">
        <v>46.3265551</v>
      </c>
      <c r="Y10" s="68">
        <v>46.847520199999998</v>
      </c>
      <c r="Z10" s="68">
        <v>46.539166000000002</v>
      </c>
      <c r="AA10" s="68">
        <v>32.681522399999999</v>
      </c>
      <c r="AB10" s="74">
        <v>3246.4135959999999</v>
      </c>
      <c r="AC10" s="74">
        <v>15.487981</v>
      </c>
      <c r="AE10" s="53" t="str">
        <f t="shared" si="4"/>
        <v>·</v>
      </c>
      <c r="AF10" s="54" t="str">
        <f t="shared" si="5"/>
        <v>·</v>
      </c>
      <c r="AG10" s="40" t="str">
        <f t="shared" si="6"/>
        <v>.</v>
      </c>
      <c r="AH10" s="40" t="str">
        <f t="shared" si="7"/>
        <v>.</v>
      </c>
      <c r="AI10" s="55"/>
      <c r="AJ10" s="56"/>
      <c r="AK10" s="56"/>
      <c r="AL10" s="56"/>
      <c r="AM10" s="56"/>
      <c r="AN10" s="56"/>
      <c r="AO10" s="56"/>
      <c r="AP10" s="68"/>
      <c r="AQ10" s="68"/>
      <c r="AR10" s="68"/>
      <c r="AS10" s="68"/>
      <c r="AT10" s="68"/>
      <c r="AU10" s="68"/>
      <c r="AV10" s="68"/>
      <c r="AW10" s="74"/>
      <c r="AX10" s="74"/>
      <c r="AY10">
        <v>2404.84</v>
      </c>
      <c r="AZ10" s="10" t="str">
        <f t="array" ref="AZ10">IF(OR(AND(ISBLANK(L10:L14)),AND(ISBLANK(AG10:AG14)),AND(ISBLANK(U10:U14)),AND(ISBLANK(AP10:AP14))),"·",bdRateExtend(L10:L14,U10:U14,AG10:AG14,AP10:AP14))</f>
        <v>·</v>
      </c>
      <c r="BA10" s="10" t="str">
        <f t="array" ref="BA10">IF(OR(AND(ISBLANK(L10:L14)),AND(ISBLANK(AG10:AG14)),AND(ISBLANK(V10:V14)),AND(ISBLANK(AQ10:AQ14))),"·",bdRateExtend(L10:L14,V10:V14,AG10:AG14,AQ10:AQ14))</f>
        <v>·</v>
      </c>
      <c r="BB10" s="10" t="str">
        <f t="array" ref="BB10">IF(OR(AND(ISBLANK(L10:L14)),AND(ISBLANK(AG10:AG14)),AND(ISBLANK(W10:W14)),AND(ISBLANK(AR10:AR14))),"·",bdRateExtend(L10:L14,W10:W14,AG10:AG14,AR10:AR14))</f>
        <v>·</v>
      </c>
      <c r="BC10" s="10" t="str">
        <f t="array" ref="BC10">IF(OR(AND(ISBLANK(L10:L14)),AND(ISBLANK(AG10:AG14)),AND(ISBLANK(X10:X14)),AND(ISBLANK(AS10:AS14))),"·",bdRateExtend(L10:L14,X10:X14,AG10:AG14,AS10:AS14))</f>
        <v>·</v>
      </c>
      <c r="BD10" s="10" t="str">
        <f t="array" ref="BD10">IF(OR(AND(ISBLANK(L10:L14)),AND(ISBLANK(AG10:AG14)),AND(ISBLANK(Y10:Y14)),AND(ISBLANK(AT10:AT14))),"·",bdRateExtend(L10:L14,Y10:Y14,AG10:AG14,AT10:AT14))</f>
        <v>·</v>
      </c>
      <c r="BE10" s="10" t="str">
        <f t="array" ref="BE10">IF(OR(AND(ISBLANK(L10:L14)),AND(ISBLANK(AG10:AG14)),AND(ISBLANK(Z10:Z14)),AND(ISBLANK(AU10:AU14))),"·",bdRateExtend(L10:L14,Z10:Z14,AG10:AG14,AU10:AU14))</f>
        <v>·</v>
      </c>
      <c r="BF10" s="10" t="str">
        <f t="array" ref="BF10">IF(OR(AND(ISBLANK(L10:L14)),AND(ISBLANK(AG10:AG14)),AND(ISBLANK(AA10:AA14)),AND(ISBLANK(AV10:AV14))),"·",bdRateExtend(L10:L14,AA10:AA14,AG10:AG14,AV10:AV14))</f>
        <v>·</v>
      </c>
      <c r="BH10" s="10" t="str">
        <f t="array" ref="BH10">IF(OR(AND(ISBLANK(M10:M14)),AND(ISBLANK(AH10:AH14)),AND(ISBLANK(U10:U14)),AND(ISBLANK(AP10:AP14))),"·",bdRateExtend(M10:M14,U10:U14,AH10:AH14,AP10:AP14))</f>
        <v>·</v>
      </c>
      <c r="BI10" s="10" t="str">
        <f t="array" ref="BI10">IF(OR(AND(ISBLANK(M10:M14)),AND(ISBLANK(AH10:AH14)),AND(ISBLANK(V10:V14)),AND(ISBLANK(AQ10:AQ14))),"·",bdRateExtend(M10:M14,V10:V14,AH10:AH14,AQ10:AQ14))</f>
        <v>·</v>
      </c>
      <c r="BJ10" s="10" t="str">
        <f t="array" ref="BJ10">IF(OR(AND(ISBLANK(S10:S14)),AND(ISBLANK(AN10:AN14)),AND(ISBLANK(W10:W14)),AND(ISBLANK(AR10:AR14))),"·",bdRateExtend(S10:S14,W10:W14,AN10:AN14,AR10:AR14))</f>
        <v>·</v>
      </c>
      <c r="BK10" s="10" t="str">
        <f t="array" ref="BK10">IF(OR(AND(ISBLANK(S10:S14)),AND(ISBLANK(AN10:AN14)),AND(ISBLANK(X10:X14)),AND(ISBLANK(AS10:AS14))),"·",bdRateExtend(S10:S14,X10:X14,AN10:AN14,AS10:AS14))</f>
        <v>·</v>
      </c>
      <c r="BL10" s="10" t="str">
        <f t="array" ref="BL10">IF(OR(AND(ISBLANK(S10:S14)),AND(ISBLANK(AN10:AN14)),AND(ISBLANK(Y10:Y14)),AND(ISBLANK(AT10:AT14))),"·",bdRateExtend(S10:S14,Y10:Y14,AN10:AN14,AT10:AT14))</f>
        <v>·</v>
      </c>
      <c r="BM10" s="10" t="str">
        <f t="array" ref="BM10">IF(OR(AND(ISBLANK(M10:M14)),AND(ISBLANK(AH10:AH14)),AND(ISBLANK(Z10:Z14)),AND(ISBLANK(AU10:AU14))),"·",bdRateExtend(M10:M14,Z10:Z14,AH10:AH14,AU10:AU14))</f>
        <v>·</v>
      </c>
      <c r="BN10" s="10" t="str">
        <f t="array" ref="BN10">IF(OR(AND(ISBLANK(S10:S14)),AND(ISBLANK(AN10:AN14)),AND(ISBLANK(AA10:AA14)),AND(ISBLANK(AV10:AV14))),"·",bdRateExtend(S10:S14,AA10:AA14,AN10:AN14,AV10:AV14))</f>
        <v>·</v>
      </c>
      <c r="BP10" s="10">
        <f t="shared" si="8"/>
        <v>0</v>
      </c>
      <c r="BQ10" s="10">
        <f t="shared" si="9"/>
        <v>0</v>
      </c>
      <c r="BR10" s="10">
        <f t="shared" si="10"/>
        <v>0</v>
      </c>
      <c r="BS10" s="10">
        <f t="shared" si="11"/>
        <v>0</v>
      </c>
      <c r="BT10" s="10">
        <f t="shared" si="11"/>
        <v>0</v>
      </c>
    </row>
    <row r="11" spans="1:72" ht="15" customHeight="1" outlineLevel="1" x14ac:dyDescent="0.15">
      <c r="A11" s="36"/>
      <c r="B11" s="36" t="s">
        <v>49</v>
      </c>
      <c r="C11" s="37" t="s">
        <v>432</v>
      </c>
      <c r="D11" s="36">
        <v>9000000</v>
      </c>
      <c r="E11" s="38">
        <v>10</v>
      </c>
      <c r="F11" s="37">
        <v>32</v>
      </c>
      <c r="G11" s="37">
        <v>30</v>
      </c>
      <c r="H11" s="37">
        <v>8</v>
      </c>
      <c r="J11" s="49">
        <f t="shared" si="0"/>
        <v>5.3346749999999998</v>
      </c>
      <c r="K11" s="50">
        <f t="shared" si="1"/>
        <v>0.63225777777777781</v>
      </c>
      <c r="L11" s="37">
        <f t="shared" si="2"/>
        <v>5690320</v>
      </c>
      <c r="M11" s="37">
        <f t="shared" si="3"/>
        <v>2500192</v>
      </c>
      <c r="N11" s="51">
        <v>2035712</v>
      </c>
      <c r="O11" s="52">
        <v>5690320</v>
      </c>
      <c r="P11" s="52">
        <v>73624</v>
      </c>
      <c r="Q11" s="52">
        <v>196576</v>
      </c>
      <c r="R11" s="52">
        <v>2229992</v>
      </c>
      <c r="S11" s="52">
        <v>3182288</v>
      </c>
      <c r="T11" s="52">
        <v>7840</v>
      </c>
      <c r="U11" s="67">
        <v>72.115307299999998</v>
      </c>
      <c r="V11" s="67">
        <v>73.744564100000005</v>
      </c>
      <c r="W11" s="67">
        <v>37.2483687</v>
      </c>
      <c r="X11" s="67">
        <v>47.019682699999997</v>
      </c>
      <c r="Y11" s="67">
        <v>47.612152199999997</v>
      </c>
      <c r="Z11" s="67">
        <v>48.673809800000001</v>
      </c>
      <c r="AA11" s="67">
        <v>34.669037400000001</v>
      </c>
      <c r="AB11" s="73">
        <v>4129.5739579999999</v>
      </c>
      <c r="AC11" s="73">
        <v>15.624549999999999</v>
      </c>
      <c r="AE11" s="49" t="str">
        <f t="shared" si="4"/>
        <v>·</v>
      </c>
      <c r="AF11" s="50" t="str">
        <f t="shared" si="5"/>
        <v>·</v>
      </c>
      <c r="AG11" s="37" t="str">
        <f t="shared" si="6"/>
        <v>.</v>
      </c>
      <c r="AH11" s="37" t="str">
        <f t="shared" si="7"/>
        <v>.</v>
      </c>
      <c r="AI11" s="51"/>
      <c r="AJ11" s="52"/>
      <c r="AK11" s="52"/>
      <c r="AL11" s="52"/>
      <c r="AM11" s="52"/>
      <c r="AN11" s="52"/>
      <c r="AO11" s="52"/>
      <c r="AP11" s="67"/>
      <c r="AQ11" s="67"/>
      <c r="AR11" s="67"/>
      <c r="AS11" s="67"/>
      <c r="AT11" s="67"/>
      <c r="AU11" s="67"/>
      <c r="AV11" s="67"/>
      <c r="AW11" s="73"/>
      <c r="AX11" s="73"/>
      <c r="AY11">
        <v>2696.32</v>
      </c>
      <c r="AZ11" s="6"/>
      <c r="BA11" s="6"/>
      <c r="BB11" s="6"/>
      <c r="BC11" s="6"/>
      <c r="BD11" s="6"/>
      <c r="BE11" s="6"/>
      <c r="BF11" s="6"/>
      <c r="BH11" s="6"/>
      <c r="BI11" s="6"/>
      <c r="BJ11" s="6"/>
      <c r="BK11" s="6"/>
      <c r="BL11" s="6"/>
      <c r="BM11" s="6"/>
      <c r="BN11" s="6"/>
      <c r="BP11" s="6">
        <f t="shared" si="8"/>
        <v>0</v>
      </c>
      <c r="BQ11" s="6">
        <f t="shared" si="9"/>
        <v>0</v>
      </c>
      <c r="BR11" s="6">
        <f t="shared" si="10"/>
        <v>0</v>
      </c>
      <c r="BS11" s="6">
        <f t="shared" si="11"/>
        <v>0</v>
      </c>
      <c r="BT11" s="6">
        <f t="shared" si="11"/>
        <v>0</v>
      </c>
    </row>
    <row r="12" spans="1:72" ht="15" customHeight="1" outlineLevel="1" x14ac:dyDescent="0.15">
      <c r="A12" s="39"/>
      <c r="B12" s="39" t="s">
        <v>49</v>
      </c>
      <c r="C12" s="40" t="s">
        <v>433</v>
      </c>
      <c r="D12" s="39">
        <v>9000000</v>
      </c>
      <c r="E12" s="41">
        <v>10</v>
      </c>
      <c r="F12" s="40">
        <v>32</v>
      </c>
      <c r="G12" s="40">
        <v>30</v>
      </c>
      <c r="H12" s="40">
        <v>11</v>
      </c>
      <c r="J12" s="53">
        <f t="shared" si="0"/>
        <v>7.476915</v>
      </c>
      <c r="K12" s="54">
        <f t="shared" si="1"/>
        <v>0.88615288888888888</v>
      </c>
      <c r="L12" s="40">
        <f t="shared" si="2"/>
        <v>7975376</v>
      </c>
      <c r="M12" s="40">
        <f t="shared" si="3"/>
        <v>2885680</v>
      </c>
      <c r="N12" s="55">
        <v>2240512</v>
      </c>
      <c r="O12" s="56">
        <v>7975376</v>
      </c>
      <c r="P12" s="56">
        <v>79224</v>
      </c>
      <c r="Q12" s="56">
        <v>216488</v>
      </c>
      <c r="R12" s="56">
        <v>2589968</v>
      </c>
      <c r="S12" s="56">
        <v>5081880</v>
      </c>
      <c r="T12" s="56">
        <v>7816</v>
      </c>
      <c r="U12" s="68">
        <v>72.5876169</v>
      </c>
      <c r="V12" s="68">
        <v>74.321102300000007</v>
      </c>
      <c r="W12" s="68">
        <v>38.252924499999999</v>
      </c>
      <c r="X12" s="68">
        <v>47.550651700000003</v>
      </c>
      <c r="Y12" s="68">
        <v>48.198344599999999</v>
      </c>
      <c r="Z12" s="68">
        <v>48.959029999999998</v>
      </c>
      <c r="AA12" s="68">
        <v>35.3712777</v>
      </c>
      <c r="AB12" s="74">
        <v>4583.6838429999998</v>
      </c>
      <c r="AC12" s="74">
        <v>15.81906</v>
      </c>
      <c r="AE12" s="53" t="str">
        <f t="shared" si="4"/>
        <v>·</v>
      </c>
      <c r="AF12" s="54" t="str">
        <f t="shared" si="5"/>
        <v>·</v>
      </c>
      <c r="AG12" s="40" t="str">
        <f t="shared" si="6"/>
        <v>.</v>
      </c>
      <c r="AH12" s="40" t="str">
        <f t="shared" si="7"/>
        <v>.</v>
      </c>
      <c r="AI12" s="55"/>
      <c r="AJ12" s="56"/>
      <c r="AK12" s="56"/>
      <c r="AL12" s="56"/>
      <c r="AM12" s="56"/>
      <c r="AN12" s="56"/>
      <c r="AO12" s="56"/>
      <c r="AP12" s="68"/>
      <c r="AQ12" s="68"/>
      <c r="AR12" s="68"/>
      <c r="AS12" s="68"/>
      <c r="AT12" s="68"/>
      <c r="AU12" s="68"/>
      <c r="AV12" s="68"/>
      <c r="AW12" s="74"/>
      <c r="AX12" s="74"/>
      <c r="AY12">
        <v>2814.62</v>
      </c>
      <c r="AZ12" s="10"/>
      <c r="BA12" s="10"/>
      <c r="BB12" s="10"/>
      <c r="BC12" s="10"/>
      <c r="BD12" s="10"/>
      <c r="BE12" s="10"/>
      <c r="BF12" s="10"/>
      <c r="BH12" s="10"/>
      <c r="BI12" s="10"/>
      <c r="BJ12" s="10"/>
      <c r="BK12" s="10"/>
      <c r="BL12" s="10"/>
      <c r="BM12" s="10"/>
      <c r="BN12" s="10"/>
      <c r="BP12" s="10">
        <f t="shared" si="8"/>
        <v>0</v>
      </c>
      <c r="BQ12" s="10">
        <f t="shared" si="9"/>
        <v>0</v>
      </c>
      <c r="BR12" s="10">
        <f t="shared" si="10"/>
        <v>0</v>
      </c>
      <c r="BS12" s="10">
        <f t="shared" si="11"/>
        <v>0</v>
      </c>
      <c r="BT12" s="10">
        <f t="shared" si="11"/>
        <v>0</v>
      </c>
    </row>
    <row r="13" spans="1:72" ht="15" customHeight="1" outlineLevel="1" x14ac:dyDescent="0.15">
      <c r="A13" s="36"/>
      <c r="B13" s="36" t="s">
        <v>49</v>
      </c>
      <c r="C13" s="37" t="s">
        <v>434</v>
      </c>
      <c r="D13" s="36">
        <v>9000000</v>
      </c>
      <c r="E13" s="38">
        <v>10</v>
      </c>
      <c r="F13" s="37">
        <v>32</v>
      </c>
      <c r="G13" s="37">
        <v>30</v>
      </c>
      <c r="H13" s="37">
        <v>14</v>
      </c>
      <c r="J13" s="49">
        <f t="shared" si="0"/>
        <v>9.7357650000000007</v>
      </c>
      <c r="K13" s="50">
        <f t="shared" si="1"/>
        <v>1.1538684444444445</v>
      </c>
      <c r="L13" s="37">
        <f t="shared" si="2"/>
        <v>10384816</v>
      </c>
      <c r="M13" s="37">
        <f t="shared" si="3"/>
        <v>3109864</v>
      </c>
      <c r="N13" s="51">
        <v>2446336</v>
      </c>
      <c r="O13" s="52">
        <v>10384816</v>
      </c>
      <c r="P13" s="52">
        <v>85056</v>
      </c>
      <c r="Q13" s="52">
        <v>233712</v>
      </c>
      <c r="R13" s="52">
        <v>2791096</v>
      </c>
      <c r="S13" s="52">
        <v>7267136</v>
      </c>
      <c r="T13" s="52">
        <v>7816</v>
      </c>
      <c r="U13" s="67">
        <v>72.881562299999999</v>
      </c>
      <c r="V13" s="67">
        <v>74.6387529</v>
      </c>
      <c r="W13" s="67">
        <v>38.8207843</v>
      </c>
      <c r="X13" s="67">
        <v>48.027495799999997</v>
      </c>
      <c r="Y13" s="67">
        <v>48.7120897</v>
      </c>
      <c r="Z13" s="67">
        <v>49.127073299999999</v>
      </c>
      <c r="AA13" s="67">
        <v>35.763481599999999</v>
      </c>
      <c r="AB13" s="73">
        <v>4767.266783</v>
      </c>
      <c r="AC13" s="73">
        <v>16.311202999999999</v>
      </c>
      <c r="AE13" s="49" t="str">
        <f t="shared" si="4"/>
        <v>·</v>
      </c>
      <c r="AF13" s="50" t="str">
        <f t="shared" si="5"/>
        <v>·</v>
      </c>
      <c r="AG13" s="37" t="str">
        <f t="shared" si="6"/>
        <v>.</v>
      </c>
      <c r="AH13" s="37" t="str">
        <f t="shared" si="7"/>
        <v>.</v>
      </c>
      <c r="AI13" s="51"/>
      <c r="AJ13" s="52"/>
      <c r="AK13" s="52"/>
      <c r="AL13" s="52"/>
      <c r="AM13" s="52"/>
      <c r="AN13" s="52"/>
      <c r="AO13" s="52"/>
      <c r="AP13" s="67"/>
      <c r="AQ13" s="67"/>
      <c r="AR13" s="67"/>
      <c r="AS13" s="67"/>
      <c r="AT13" s="67"/>
      <c r="AU13" s="67"/>
      <c r="AV13" s="67"/>
      <c r="AW13" s="73"/>
      <c r="AX13" s="73"/>
      <c r="AY13">
        <v>2889.21</v>
      </c>
      <c r="AZ13" s="6"/>
      <c r="BA13" s="6"/>
      <c r="BB13" s="6"/>
      <c r="BC13" s="6"/>
      <c r="BD13" s="6"/>
      <c r="BE13" s="6"/>
      <c r="BF13" s="6"/>
      <c r="BH13" s="6"/>
      <c r="BI13" s="6"/>
      <c r="BJ13" s="6"/>
      <c r="BK13" s="6"/>
      <c r="BL13" s="6"/>
      <c r="BM13" s="6"/>
      <c r="BN13" s="6"/>
      <c r="BP13" s="6">
        <f t="shared" si="8"/>
        <v>0</v>
      </c>
      <c r="BQ13" s="6">
        <f t="shared" si="9"/>
        <v>0</v>
      </c>
      <c r="BR13" s="6">
        <f t="shared" si="10"/>
        <v>0</v>
      </c>
      <c r="BS13" s="6">
        <f t="shared" si="11"/>
        <v>0</v>
      </c>
      <c r="BT13" s="6">
        <f t="shared" si="11"/>
        <v>0</v>
      </c>
    </row>
    <row r="14" spans="1:72" ht="15.75" customHeight="1" outlineLevel="1" thickBot="1" x14ac:dyDescent="0.2">
      <c r="A14" s="45"/>
      <c r="B14" s="45" t="s">
        <v>49</v>
      </c>
      <c r="C14" s="46" t="s">
        <v>435</v>
      </c>
      <c r="D14" s="45">
        <v>9000000</v>
      </c>
      <c r="E14" s="47">
        <v>10</v>
      </c>
      <c r="F14" s="46">
        <v>32</v>
      </c>
      <c r="G14" s="46">
        <v>30</v>
      </c>
      <c r="H14" s="46">
        <v>21</v>
      </c>
      <c r="J14" s="61">
        <f t="shared" si="0"/>
        <v>15.63378</v>
      </c>
      <c r="K14" s="62">
        <f t="shared" si="1"/>
        <v>1.8528924444444443</v>
      </c>
      <c r="L14" s="46">
        <f t="shared" si="2"/>
        <v>16676032</v>
      </c>
      <c r="M14" s="46">
        <f t="shared" si="3"/>
        <v>4878944</v>
      </c>
      <c r="N14" s="63">
        <v>3769296</v>
      </c>
      <c r="O14" s="64">
        <v>16676032</v>
      </c>
      <c r="P14" s="64">
        <v>613464</v>
      </c>
      <c r="Q14" s="64">
        <v>319696</v>
      </c>
      <c r="R14" s="64">
        <v>3945784</v>
      </c>
      <c r="S14" s="64">
        <v>11788856</v>
      </c>
      <c r="T14" s="64">
        <v>8232</v>
      </c>
      <c r="U14" s="70">
        <v>74.584400500000001</v>
      </c>
      <c r="V14" s="70">
        <v>76.713922699999998</v>
      </c>
      <c r="W14" s="70">
        <v>39.477036499999997</v>
      </c>
      <c r="X14" s="70">
        <v>48.495742399999997</v>
      </c>
      <c r="Y14" s="70">
        <v>49.181094100000003</v>
      </c>
      <c r="Z14" s="70">
        <v>50.229749300000002</v>
      </c>
      <c r="AA14" s="70">
        <v>36.767121299999999</v>
      </c>
      <c r="AB14" s="76">
        <v>6057.7682610000002</v>
      </c>
      <c r="AC14" s="76">
        <v>15.377139</v>
      </c>
      <c r="AE14" s="61" t="str">
        <f t="shared" si="4"/>
        <v>·</v>
      </c>
      <c r="AF14" s="62" t="str">
        <f t="shared" si="5"/>
        <v>·</v>
      </c>
      <c r="AG14" s="46" t="str">
        <f t="shared" si="6"/>
        <v>.</v>
      </c>
      <c r="AH14" s="46" t="str">
        <f t="shared" si="7"/>
        <v>.</v>
      </c>
      <c r="AI14" s="63"/>
      <c r="AJ14" s="64"/>
      <c r="AK14" s="64"/>
      <c r="AL14" s="64"/>
      <c r="AM14" s="64"/>
      <c r="AN14" s="64"/>
      <c r="AO14" s="64"/>
      <c r="AP14" s="70"/>
      <c r="AQ14" s="70"/>
      <c r="AR14" s="70"/>
      <c r="AS14" s="70"/>
      <c r="AT14" s="70"/>
      <c r="AU14" s="70"/>
      <c r="AV14" s="70"/>
      <c r="AW14" s="76"/>
      <c r="AX14" s="76"/>
      <c r="AY14">
        <v>3270.29</v>
      </c>
      <c r="AZ14" s="14"/>
      <c r="BA14" s="14"/>
      <c r="BB14" s="14"/>
      <c r="BC14" s="14"/>
      <c r="BD14" s="14"/>
      <c r="BE14" s="14"/>
      <c r="BF14" s="14"/>
      <c r="BH14" s="14"/>
      <c r="BI14" s="14"/>
      <c r="BJ14" s="14"/>
      <c r="BK14" s="14"/>
      <c r="BL14" s="14"/>
      <c r="BM14" s="14"/>
      <c r="BN14" s="14"/>
      <c r="BP14" s="14">
        <f t="shared" si="8"/>
        <v>0</v>
      </c>
      <c r="BQ14" s="14">
        <f t="shared" si="9"/>
        <v>0</v>
      </c>
      <c r="BR14" s="14">
        <f t="shared" si="10"/>
        <v>0</v>
      </c>
      <c r="BS14" s="14">
        <f t="shared" si="11"/>
        <v>0</v>
      </c>
      <c r="BT14" s="14">
        <f t="shared" si="11"/>
        <v>0</v>
      </c>
    </row>
    <row r="15" spans="1:72" ht="15" customHeight="1" x14ac:dyDescent="0.15">
      <c r="A15" s="36" t="s">
        <v>189</v>
      </c>
      <c r="B15" s="36" t="s">
        <v>54</v>
      </c>
      <c r="C15" s="37" t="s">
        <v>431</v>
      </c>
      <c r="D15" s="36">
        <v>11842002</v>
      </c>
      <c r="E15" s="38">
        <v>12</v>
      </c>
      <c r="F15" s="37">
        <v>32</v>
      </c>
      <c r="G15" s="37">
        <v>30</v>
      </c>
      <c r="H15" s="37">
        <v>3</v>
      </c>
      <c r="J15" s="49">
        <f t="shared" si="0"/>
        <v>2.8732424999999999</v>
      </c>
      <c r="K15" s="50">
        <f t="shared" si="1"/>
        <v>0.25880691457407284</v>
      </c>
      <c r="L15" s="37">
        <f t="shared" si="2"/>
        <v>3064792</v>
      </c>
      <c r="M15" s="37">
        <f t="shared" si="3"/>
        <v>1137856</v>
      </c>
      <c r="N15" s="51">
        <v>2419392</v>
      </c>
      <c r="O15" s="52">
        <v>3064792</v>
      </c>
      <c r="P15" s="52">
        <v>684224</v>
      </c>
      <c r="Q15" s="52">
        <v>0</v>
      </c>
      <c r="R15" s="52">
        <v>453632</v>
      </c>
      <c r="S15" s="52">
        <v>1916000</v>
      </c>
      <c r="T15" s="52">
        <v>10936</v>
      </c>
      <c r="U15" s="67">
        <v>71.784125500000002</v>
      </c>
      <c r="V15" s="67">
        <v>73.072828299999998</v>
      </c>
      <c r="W15" s="67">
        <v>35.624709500000002</v>
      </c>
      <c r="X15" s="67">
        <v>43.4086718</v>
      </c>
      <c r="Y15" s="67">
        <v>44.9916512</v>
      </c>
      <c r="Z15" s="67">
        <v>45.653298999999997</v>
      </c>
      <c r="AA15" s="67">
        <v>32.425269100000001</v>
      </c>
      <c r="AB15" s="73">
        <v>2605.4410119999998</v>
      </c>
      <c r="AC15" s="73">
        <v>14.939907</v>
      </c>
      <c r="AE15" s="49" t="str">
        <f t="shared" si="4"/>
        <v>·</v>
      </c>
      <c r="AF15" s="50" t="str">
        <f t="shared" si="5"/>
        <v>·</v>
      </c>
      <c r="AG15" s="37" t="str">
        <f t="shared" si="6"/>
        <v>.</v>
      </c>
      <c r="AH15" s="37" t="str">
        <f t="shared" si="7"/>
        <v>.</v>
      </c>
      <c r="AI15" s="51"/>
      <c r="AJ15" s="52"/>
      <c r="AK15" s="52"/>
      <c r="AL15" s="52"/>
      <c r="AM15" s="52"/>
      <c r="AN15" s="52"/>
      <c r="AO15" s="52"/>
      <c r="AP15" s="67"/>
      <c r="AQ15" s="67"/>
      <c r="AR15" s="67"/>
      <c r="AS15" s="67"/>
      <c r="AT15" s="67"/>
      <c r="AU15" s="67"/>
      <c r="AV15" s="67"/>
      <c r="AW15" s="73"/>
      <c r="AX15" s="73"/>
      <c r="AY15">
        <v>2288.13</v>
      </c>
      <c r="AZ15" s="6" t="str">
        <f t="array" ref="AZ15">IF(OR(AND(ISBLANK(L15:L19)),AND(ISBLANK(AG15:AG19)),AND(ISBLANK(U15:U19)),AND(ISBLANK(AP15:AP19))),"·",bdRateExtend(L15:L19,U15:U19,AG15:AG19,AP15:AP19))</f>
        <v>·</v>
      </c>
      <c r="BA15" s="6" t="str">
        <f t="array" ref="BA15">IF(OR(AND(ISBLANK(L15:L19)),AND(ISBLANK(AG15:AG19)),AND(ISBLANK(V15:V19)),AND(ISBLANK(AQ15:AQ19))),"·",bdRateExtend(L15:L19,V15:V19,AG15:AG19,AQ15:AQ19))</f>
        <v>·</v>
      </c>
      <c r="BB15" s="6" t="str">
        <f t="array" ref="BB15">IF(OR(AND(ISBLANK(L15:L19)),AND(ISBLANK(AG15:AG19)),AND(ISBLANK(W15:W19)),AND(ISBLANK(AR15:AR19))),"·",bdRateExtend(L15:L19,W15:W19,AG15:AG19,AR15:AR19))</f>
        <v>·</v>
      </c>
      <c r="BC15" s="6" t="str">
        <f t="array" ref="BC15">IF(OR(AND(ISBLANK(L15:L19)),AND(ISBLANK(AG15:AG19)),AND(ISBLANK(X15:X19)),AND(ISBLANK(AS15:AS19))),"·",bdRateExtend(L15:L19,X15:X19,AG15:AG19,AS15:AS19))</f>
        <v>·</v>
      </c>
      <c r="BD15" s="6" t="str">
        <f t="array" ref="BD15">IF(OR(AND(ISBLANK(L15:L19)),AND(ISBLANK(AG15:AG19)),AND(ISBLANK(Y15:Y19)),AND(ISBLANK(AT15:AT19))),"·",bdRateExtend(L15:L19,Y15:Y19,AG15:AG19,AT15:AT19))</f>
        <v>·</v>
      </c>
      <c r="BE15" s="6" t="str">
        <f t="array" ref="BE15">IF(OR(AND(ISBLANK(L15:L19)),AND(ISBLANK(AG15:AG19)),AND(ISBLANK(Z15:Z19)),AND(ISBLANK(AU15:AU19))),"·",bdRateExtend(L15:L19,Z15:Z19,AG15:AG19,AU15:AU19))</f>
        <v>·</v>
      </c>
      <c r="BF15" s="6" t="str">
        <f t="array" ref="BF15">IF(OR(AND(ISBLANK(L15:L19)),AND(ISBLANK(AG15:AG19)),AND(ISBLANK(AA15:AA19)),AND(ISBLANK(AV15:AV19))),"·",bdRateExtend(L15:L19,AA15:AA19,AG15:AG19,AV15:AV19))</f>
        <v>·</v>
      </c>
      <c r="BH15" s="6" t="str">
        <f t="array" ref="BH15">IF(OR(AND(ISBLANK(M15:M19)),AND(ISBLANK(AH15:AH19)),AND(ISBLANK(U15:U19)),AND(ISBLANK(AP15:AP19))),"·",bdRateExtend(M15:M19,U15:U19,AH15:AH19,AP15:AP19))</f>
        <v>·</v>
      </c>
      <c r="BI15" s="6" t="str">
        <f t="array" ref="BI15">IF(OR(AND(ISBLANK(M15:M19)),AND(ISBLANK(AH15:AH19)),AND(ISBLANK(V15:V19)),AND(ISBLANK(AQ15:AQ19))),"·",bdRateExtend(M15:M19,V15:V19,AH15:AH19,AQ15:AQ19))</f>
        <v>·</v>
      </c>
      <c r="BJ15" s="6" t="str">
        <f t="array" ref="BJ15">IF(OR(AND(ISBLANK(S15:S19)),AND(ISBLANK(AN15:AN19)),AND(ISBLANK(W15:W19)),AND(ISBLANK(AR15:AR19))),"·",bdRateExtend(S15:S19,W15:W19,AN15:AN19,AR15:AR19))</f>
        <v>·</v>
      </c>
      <c r="BK15" s="6" t="str">
        <f t="array" ref="BK15">IF(OR(AND(ISBLANK(S15:S19)),AND(ISBLANK(AN15:AN19)),AND(ISBLANK(X15:X19)),AND(ISBLANK(AS15:AS19))),"·",bdRateExtend(S15:S19,X15:X19,AN15:AN19,AS15:AS19))</f>
        <v>·</v>
      </c>
      <c r="BL15" s="6" t="str">
        <f t="array" ref="BL15">IF(OR(AND(ISBLANK(S15:S19)),AND(ISBLANK(AN15:AN19)),AND(ISBLANK(Y15:Y19)),AND(ISBLANK(AT15:AT19))),"·",bdRateExtend(S15:S19,Y15:Y19,AN15:AN19,AT15:AT19))</f>
        <v>·</v>
      </c>
      <c r="BM15" s="6" t="str">
        <f t="array" ref="BM15">IF(OR(AND(ISBLANK(M15:M19)),AND(ISBLANK(AH15:AH19)),AND(ISBLANK(Z15:Z19)),AND(ISBLANK(AU15:AU19))),"·",bdRateExtend(M15:M19,Z15:Z19,AH15:AH19,AU15:AU19))</f>
        <v>·</v>
      </c>
      <c r="BN15" s="6" t="str">
        <f t="array" ref="BN15">IF(OR(AND(ISBLANK(S15:S19)),AND(ISBLANK(AN15:AN19)),AND(ISBLANK(AA15:AA19)),AND(ISBLANK(AV15:AV19))),"·",bdRateExtend(S15:S19,AA15:AA19,AN15:AN19,AV15:AV19))</f>
        <v>·</v>
      </c>
      <c r="BP15" s="6">
        <f t="shared" si="8"/>
        <v>0</v>
      </c>
      <c r="BQ15" s="6">
        <f t="shared" si="9"/>
        <v>0</v>
      </c>
      <c r="BR15" s="6">
        <f t="shared" si="10"/>
        <v>0</v>
      </c>
      <c r="BS15" s="6">
        <f t="shared" si="11"/>
        <v>0</v>
      </c>
      <c r="BT15" s="6">
        <f t="shared" si="11"/>
        <v>0</v>
      </c>
    </row>
    <row r="16" spans="1:72" ht="15" customHeight="1" outlineLevel="1" x14ac:dyDescent="0.15">
      <c r="A16" s="39"/>
      <c r="B16" s="39" t="s">
        <v>54</v>
      </c>
      <c r="C16" s="40" t="s">
        <v>432</v>
      </c>
      <c r="D16" s="39">
        <v>11842002</v>
      </c>
      <c r="E16" s="41">
        <v>12</v>
      </c>
      <c r="F16" s="40">
        <v>32</v>
      </c>
      <c r="G16" s="40">
        <v>30</v>
      </c>
      <c r="H16" s="40">
        <v>5</v>
      </c>
      <c r="J16" s="53">
        <f t="shared" si="0"/>
        <v>4.7952975000000002</v>
      </c>
      <c r="K16" s="54">
        <f t="shared" si="1"/>
        <v>0.43193574870195089</v>
      </c>
      <c r="L16" s="40">
        <f t="shared" si="2"/>
        <v>5114984</v>
      </c>
      <c r="M16" s="40">
        <f t="shared" si="3"/>
        <v>1433072</v>
      </c>
      <c r="N16" s="55">
        <v>2419392</v>
      </c>
      <c r="O16" s="56">
        <v>5114984</v>
      </c>
      <c r="P16" s="56">
        <v>745824</v>
      </c>
      <c r="Q16" s="56">
        <v>0</v>
      </c>
      <c r="R16" s="56">
        <v>687248</v>
      </c>
      <c r="S16" s="56">
        <v>3670752</v>
      </c>
      <c r="T16" s="56">
        <v>11160</v>
      </c>
      <c r="U16" s="68">
        <v>73.559442500000003</v>
      </c>
      <c r="V16" s="68">
        <v>75.037406000000004</v>
      </c>
      <c r="W16" s="68">
        <v>38.410486400000003</v>
      </c>
      <c r="X16" s="68">
        <v>44.029680800000001</v>
      </c>
      <c r="Y16" s="68">
        <v>46.246426800000002</v>
      </c>
      <c r="Z16" s="68">
        <v>46.429066499999998</v>
      </c>
      <c r="AA16" s="68">
        <v>34.086715699999999</v>
      </c>
      <c r="AB16" s="74">
        <v>2722.8359390000001</v>
      </c>
      <c r="AC16" s="74">
        <v>16.910339</v>
      </c>
      <c r="AE16" s="53" t="str">
        <f t="shared" si="4"/>
        <v>·</v>
      </c>
      <c r="AF16" s="54" t="str">
        <f t="shared" si="5"/>
        <v>·</v>
      </c>
      <c r="AG16" s="40" t="str">
        <f t="shared" si="6"/>
        <v>.</v>
      </c>
      <c r="AH16" s="40" t="str">
        <f t="shared" si="7"/>
        <v>.</v>
      </c>
      <c r="AI16" s="55"/>
      <c r="AJ16" s="56"/>
      <c r="AK16" s="56"/>
      <c r="AL16" s="56"/>
      <c r="AM16" s="56"/>
      <c r="AN16" s="56"/>
      <c r="AO16" s="56"/>
      <c r="AP16" s="68"/>
      <c r="AQ16" s="68"/>
      <c r="AR16" s="68"/>
      <c r="AS16" s="68"/>
      <c r="AT16" s="68"/>
      <c r="AU16" s="68"/>
      <c r="AV16" s="68"/>
      <c r="AW16" s="74"/>
      <c r="AX16" s="74"/>
      <c r="AY16">
        <v>2282.48</v>
      </c>
      <c r="AZ16" s="10"/>
      <c r="BA16" s="10"/>
      <c r="BB16" s="10"/>
      <c r="BC16" s="10"/>
      <c r="BD16" s="10"/>
      <c r="BE16" s="10"/>
      <c r="BF16" s="10"/>
      <c r="BH16" s="10"/>
      <c r="BI16" s="10"/>
      <c r="BJ16" s="10"/>
      <c r="BK16" s="10"/>
      <c r="BL16" s="10"/>
      <c r="BM16" s="10"/>
      <c r="BN16" s="10"/>
      <c r="BP16" s="10">
        <f t="shared" si="8"/>
        <v>0</v>
      </c>
      <c r="BQ16" s="10">
        <f t="shared" si="9"/>
        <v>0</v>
      </c>
      <c r="BR16" s="10">
        <f t="shared" si="10"/>
        <v>0</v>
      </c>
      <c r="BS16" s="10">
        <f t="shared" si="11"/>
        <v>0</v>
      </c>
      <c r="BT16" s="10">
        <f t="shared" si="11"/>
        <v>0</v>
      </c>
    </row>
    <row r="17" spans="1:72" ht="15" customHeight="1" outlineLevel="1" x14ac:dyDescent="0.15">
      <c r="A17" s="36"/>
      <c r="B17" s="36" t="s">
        <v>54</v>
      </c>
      <c r="C17" s="37" t="s">
        <v>433</v>
      </c>
      <c r="D17" s="36">
        <v>11842002</v>
      </c>
      <c r="E17" s="38">
        <v>12</v>
      </c>
      <c r="F17" s="37">
        <v>32</v>
      </c>
      <c r="G17" s="37">
        <v>30</v>
      </c>
      <c r="H17" s="37">
        <v>10</v>
      </c>
      <c r="J17" s="49">
        <f t="shared" si="0"/>
        <v>9.6050550000000001</v>
      </c>
      <c r="K17" s="50">
        <f t="shared" si="1"/>
        <v>0.86517397987266009</v>
      </c>
      <c r="L17" s="37">
        <f t="shared" si="2"/>
        <v>10245392</v>
      </c>
      <c r="M17" s="37">
        <f t="shared" si="3"/>
        <v>2764360</v>
      </c>
      <c r="N17" s="51">
        <v>4841280</v>
      </c>
      <c r="O17" s="52">
        <v>10245392</v>
      </c>
      <c r="P17" s="52">
        <v>1251184</v>
      </c>
      <c r="Q17" s="52">
        <v>0</v>
      </c>
      <c r="R17" s="52">
        <v>1513176</v>
      </c>
      <c r="S17" s="52">
        <v>7470152</v>
      </c>
      <c r="T17" s="52">
        <v>10880</v>
      </c>
      <c r="U17" s="67">
        <v>78.265213799999998</v>
      </c>
      <c r="V17" s="67">
        <v>80.584549999999993</v>
      </c>
      <c r="W17" s="67">
        <v>41.071710299999999</v>
      </c>
      <c r="X17" s="67">
        <v>44.981728599999997</v>
      </c>
      <c r="Y17" s="67">
        <v>48.077898599999997</v>
      </c>
      <c r="Z17" s="67">
        <v>48.8243297</v>
      </c>
      <c r="AA17" s="67">
        <v>37.300195000000002</v>
      </c>
      <c r="AB17" s="73">
        <v>3143.0501060000001</v>
      </c>
      <c r="AC17" s="73">
        <v>20.091638</v>
      </c>
      <c r="AE17" s="49" t="str">
        <f t="shared" si="4"/>
        <v>·</v>
      </c>
      <c r="AF17" s="50" t="str">
        <f t="shared" si="5"/>
        <v>·</v>
      </c>
      <c r="AG17" s="37" t="str">
        <f t="shared" si="6"/>
        <v>.</v>
      </c>
      <c r="AH17" s="37" t="str">
        <f t="shared" si="7"/>
        <v>.</v>
      </c>
      <c r="AI17" s="51"/>
      <c r="AJ17" s="52"/>
      <c r="AK17" s="52"/>
      <c r="AL17" s="52"/>
      <c r="AM17" s="52"/>
      <c r="AN17" s="52"/>
      <c r="AO17" s="52"/>
      <c r="AP17" s="67"/>
      <c r="AQ17" s="67"/>
      <c r="AR17" s="67"/>
      <c r="AS17" s="67"/>
      <c r="AT17" s="67"/>
      <c r="AU17" s="67"/>
      <c r="AV17" s="67"/>
      <c r="AW17" s="73"/>
      <c r="AX17" s="73"/>
      <c r="AY17">
        <v>2607.41</v>
      </c>
      <c r="AZ17" s="6"/>
      <c r="BA17" s="6"/>
      <c r="BB17" s="6"/>
      <c r="BC17" s="6"/>
      <c r="BD17" s="6"/>
      <c r="BE17" s="6"/>
      <c r="BF17" s="6"/>
      <c r="BH17" s="6"/>
      <c r="BI17" s="6"/>
      <c r="BJ17" s="6"/>
      <c r="BK17" s="6"/>
      <c r="BL17" s="6"/>
      <c r="BM17" s="6"/>
      <c r="BN17" s="6"/>
      <c r="BP17" s="6">
        <f t="shared" si="8"/>
        <v>0</v>
      </c>
      <c r="BQ17" s="6">
        <f t="shared" si="9"/>
        <v>0</v>
      </c>
      <c r="BR17" s="6">
        <f t="shared" si="10"/>
        <v>0</v>
      </c>
      <c r="BS17" s="6">
        <f t="shared" si="11"/>
        <v>0</v>
      </c>
      <c r="BT17" s="6">
        <f t="shared" si="11"/>
        <v>0</v>
      </c>
    </row>
    <row r="18" spans="1:72" ht="15" customHeight="1" outlineLevel="1" x14ac:dyDescent="0.15">
      <c r="A18" s="39"/>
      <c r="B18" s="39" t="s">
        <v>54</v>
      </c>
      <c r="C18" s="40" t="s">
        <v>434</v>
      </c>
      <c r="D18" s="39">
        <v>11842002</v>
      </c>
      <c r="E18" s="41">
        <v>12</v>
      </c>
      <c r="F18" s="40">
        <v>32</v>
      </c>
      <c r="G18" s="40">
        <v>30</v>
      </c>
      <c r="H18" s="40">
        <v>14</v>
      </c>
      <c r="J18" s="53">
        <f t="shared" si="0"/>
        <v>13.44918</v>
      </c>
      <c r="K18" s="54">
        <f t="shared" si="1"/>
        <v>1.2114329992513091</v>
      </c>
      <c r="L18" s="40">
        <f t="shared" si="2"/>
        <v>14345792</v>
      </c>
      <c r="M18" s="40">
        <f t="shared" si="3"/>
        <v>3787560</v>
      </c>
      <c r="N18" s="55">
        <v>9684416</v>
      </c>
      <c r="O18" s="56">
        <v>14345792</v>
      </c>
      <c r="P18" s="56">
        <v>2160984</v>
      </c>
      <c r="Q18" s="56">
        <v>0</v>
      </c>
      <c r="R18" s="56">
        <v>1626576</v>
      </c>
      <c r="S18" s="56">
        <v>10547600</v>
      </c>
      <c r="T18" s="56">
        <v>10632</v>
      </c>
      <c r="U18" s="68">
        <v>79.557147200000003</v>
      </c>
      <c r="V18" s="68">
        <v>82.305703300000005</v>
      </c>
      <c r="W18" s="68">
        <v>41.920158800000003</v>
      </c>
      <c r="X18" s="68">
        <v>45.629831099999997</v>
      </c>
      <c r="Y18" s="68">
        <v>49.159776700000002</v>
      </c>
      <c r="Z18" s="68">
        <v>49.767646599999999</v>
      </c>
      <c r="AA18" s="68">
        <v>38.345589199999999</v>
      </c>
      <c r="AB18" s="74">
        <v>3583.811925</v>
      </c>
      <c r="AC18" s="74">
        <v>26.511671</v>
      </c>
      <c r="AE18" s="53" t="str">
        <f t="shared" si="4"/>
        <v>·</v>
      </c>
      <c r="AF18" s="54" t="str">
        <f t="shared" si="5"/>
        <v>·</v>
      </c>
      <c r="AG18" s="40" t="str">
        <f t="shared" si="6"/>
        <v>.</v>
      </c>
      <c r="AH18" s="40" t="str">
        <f t="shared" si="7"/>
        <v>.</v>
      </c>
      <c r="AI18" s="55"/>
      <c r="AJ18" s="56"/>
      <c r="AK18" s="56"/>
      <c r="AL18" s="56"/>
      <c r="AM18" s="56"/>
      <c r="AN18" s="56"/>
      <c r="AO18" s="56"/>
      <c r="AP18" s="68"/>
      <c r="AQ18" s="68"/>
      <c r="AR18" s="68"/>
      <c r="AS18" s="68"/>
      <c r="AT18" s="68"/>
      <c r="AU18" s="68"/>
      <c r="AV18" s="68"/>
      <c r="AW18" s="74"/>
      <c r="AX18" s="74"/>
      <c r="AY18">
        <v>3367.72</v>
      </c>
      <c r="AZ18" s="10"/>
      <c r="BA18" s="10"/>
      <c r="BB18" s="10"/>
      <c r="BC18" s="10"/>
      <c r="BD18" s="10"/>
      <c r="BE18" s="10"/>
      <c r="BF18" s="10"/>
      <c r="BH18" s="10"/>
      <c r="BI18" s="10"/>
      <c r="BJ18" s="10"/>
      <c r="BK18" s="10"/>
      <c r="BL18" s="10"/>
      <c r="BM18" s="10"/>
      <c r="BN18" s="10"/>
      <c r="BP18" s="10">
        <f t="shared" si="8"/>
        <v>0</v>
      </c>
      <c r="BQ18" s="10">
        <f t="shared" si="9"/>
        <v>0</v>
      </c>
      <c r="BR18" s="10">
        <f t="shared" si="10"/>
        <v>0</v>
      </c>
      <c r="BS18" s="10">
        <f t="shared" si="11"/>
        <v>0</v>
      </c>
      <c r="BT18" s="10">
        <f t="shared" si="11"/>
        <v>0</v>
      </c>
    </row>
    <row r="19" spans="1:72" ht="15.75" customHeight="1" outlineLevel="1" thickBot="1" x14ac:dyDescent="0.2">
      <c r="A19" s="36"/>
      <c r="B19" s="42" t="s">
        <v>54</v>
      </c>
      <c r="C19" s="43" t="s">
        <v>435</v>
      </c>
      <c r="D19" s="42">
        <v>11842002</v>
      </c>
      <c r="E19" s="44">
        <v>12</v>
      </c>
      <c r="F19" s="43">
        <v>32</v>
      </c>
      <c r="G19" s="43">
        <v>30</v>
      </c>
      <c r="H19" s="43">
        <v>21</v>
      </c>
      <c r="J19" s="57">
        <f t="shared" si="0"/>
        <v>20.184697499999999</v>
      </c>
      <c r="K19" s="58">
        <f t="shared" si="1"/>
        <v>1.8181337919044431</v>
      </c>
      <c r="L19" s="43">
        <f t="shared" si="2"/>
        <v>21530344</v>
      </c>
      <c r="M19" s="43">
        <f t="shared" si="3"/>
        <v>3999912</v>
      </c>
      <c r="N19" s="59">
        <v>9684416</v>
      </c>
      <c r="O19" s="60">
        <v>21530344</v>
      </c>
      <c r="P19" s="60">
        <v>2160984</v>
      </c>
      <c r="Q19" s="60">
        <v>0</v>
      </c>
      <c r="R19" s="60">
        <v>1838928</v>
      </c>
      <c r="S19" s="60">
        <v>17519784</v>
      </c>
      <c r="T19" s="60">
        <v>10648</v>
      </c>
      <c r="U19" s="69">
        <v>79.920488899999995</v>
      </c>
      <c r="V19" s="69">
        <v>82.837774699999997</v>
      </c>
      <c r="W19" s="69">
        <v>42.927062200000002</v>
      </c>
      <c r="X19" s="69">
        <v>46.553979699999999</v>
      </c>
      <c r="Y19" s="69">
        <v>50.509822200000002</v>
      </c>
      <c r="Z19" s="69">
        <v>49.944520400000002</v>
      </c>
      <c r="AA19" s="69">
        <v>38.905743600000001</v>
      </c>
      <c r="AB19" s="75">
        <v>3805.2934140000002</v>
      </c>
      <c r="AC19" s="75">
        <v>25.423264</v>
      </c>
      <c r="AE19" s="57" t="str">
        <f t="shared" si="4"/>
        <v>·</v>
      </c>
      <c r="AF19" s="58" t="str">
        <f t="shared" si="5"/>
        <v>·</v>
      </c>
      <c r="AG19" s="43" t="str">
        <f t="shared" si="6"/>
        <v>.</v>
      </c>
      <c r="AH19" s="43" t="str">
        <f t="shared" si="7"/>
        <v>.</v>
      </c>
      <c r="AI19" s="59"/>
      <c r="AJ19" s="60"/>
      <c r="AK19" s="60"/>
      <c r="AL19" s="60"/>
      <c r="AM19" s="60"/>
      <c r="AN19" s="60"/>
      <c r="AO19" s="60"/>
      <c r="AP19" s="69"/>
      <c r="AQ19" s="69"/>
      <c r="AR19" s="69"/>
      <c r="AS19" s="69"/>
      <c r="AT19" s="69"/>
      <c r="AU19" s="69"/>
      <c r="AV19" s="69"/>
      <c r="AW19" s="75"/>
      <c r="AX19" s="75"/>
      <c r="AY19">
        <v>3351.87</v>
      </c>
      <c r="AZ19" s="85"/>
      <c r="BA19" s="85"/>
      <c r="BB19" s="85"/>
      <c r="BC19" s="85"/>
      <c r="BD19" s="85"/>
      <c r="BE19" s="85"/>
      <c r="BF19" s="85"/>
      <c r="BH19" s="85"/>
      <c r="BI19" s="85"/>
      <c r="BJ19" s="85"/>
      <c r="BK19" s="85"/>
      <c r="BL19" s="85"/>
      <c r="BM19" s="85"/>
      <c r="BN19" s="85"/>
      <c r="BP19" s="85">
        <f t="shared" si="8"/>
        <v>0</v>
      </c>
      <c r="BQ19" s="85">
        <f t="shared" si="9"/>
        <v>0</v>
      </c>
      <c r="BR19" s="85">
        <f t="shared" si="10"/>
        <v>0</v>
      </c>
      <c r="BS19" s="85">
        <f t="shared" si="11"/>
        <v>0</v>
      </c>
      <c r="BT19" s="85">
        <f t="shared" si="11"/>
        <v>0</v>
      </c>
    </row>
    <row r="20" spans="1:72" ht="15" customHeight="1" x14ac:dyDescent="0.15">
      <c r="A20" s="39"/>
      <c r="B20" s="39" t="s">
        <v>59</v>
      </c>
      <c r="C20" s="40" t="s">
        <v>431</v>
      </c>
      <c r="D20" s="39">
        <v>11812090</v>
      </c>
      <c r="E20" s="41">
        <v>12</v>
      </c>
      <c r="F20" s="40">
        <v>32</v>
      </c>
      <c r="G20" s="40">
        <v>30</v>
      </c>
      <c r="H20" s="40">
        <v>3</v>
      </c>
      <c r="J20" s="53">
        <f t="shared" si="0"/>
        <v>2.8637925000000002</v>
      </c>
      <c r="K20" s="54">
        <f t="shared" si="1"/>
        <v>0.25860893372807015</v>
      </c>
      <c r="L20" s="40">
        <f t="shared" si="2"/>
        <v>3054712</v>
      </c>
      <c r="M20" s="40">
        <f t="shared" si="3"/>
        <v>1110888</v>
      </c>
      <c r="N20" s="55">
        <v>2418048</v>
      </c>
      <c r="O20" s="56">
        <v>3054712</v>
      </c>
      <c r="P20" s="56">
        <v>661400</v>
      </c>
      <c r="Q20" s="56">
        <v>0</v>
      </c>
      <c r="R20" s="56">
        <v>449488</v>
      </c>
      <c r="S20" s="56">
        <v>1933080</v>
      </c>
      <c r="T20" s="56">
        <v>10744</v>
      </c>
      <c r="U20" s="68">
        <v>71.756627600000002</v>
      </c>
      <c r="V20" s="68">
        <v>73.100785400000007</v>
      </c>
      <c r="W20" s="68">
        <v>34.530457699999999</v>
      </c>
      <c r="X20" s="68">
        <v>42.8531622</v>
      </c>
      <c r="Y20" s="68">
        <v>44.1003629</v>
      </c>
      <c r="Z20" s="68">
        <v>48.570734199999997</v>
      </c>
      <c r="AA20" s="68">
        <v>31.511587800000001</v>
      </c>
      <c r="AB20" s="74">
        <v>981.796288</v>
      </c>
      <c r="AC20" s="74">
        <v>4.9769829999999997</v>
      </c>
      <c r="AE20" s="53" t="str">
        <f t="shared" si="4"/>
        <v>·</v>
      </c>
      <c r="AF20" s="54" t="str">
        <f t="shared" si="5"/>
        <v>·</v>
      </c>
      <c r="AG20" s="40" t="str">
        <f t="shared" si="6"/>
        <v>.</v>
      </c>
      <c r="AH20" s="40" t="str">
        <f t="shared" si="7"/>
        <v>.</v>
      </c>
      <c r="AI20" s="55"/>
      <c r="AJ20" s="56"/>
      <c r="AK20" s="56"/>
      <c r="AL20" s="56"/>
      <c r="AM20" s="56"/>
      <c r="AN20" s="56"/>
      <c r="AO20" s="56"/>
      <c r="AP20" s="68"/>
      <c r="AQ20" s="68"/>
      <c r="AR20" s="68"/>
      <c r="AS20" s="68"/>
      <c r="AT20" s="68"/>
      <c r="AU20" s="68"/>
      <c r="AV20" s="68"/>
      <c r="AW20" s="74"/>
      <c r="AX20" s="74"/>
      <c r="AY20">
        <v>1061.25</v>
      </c>
      <c r="AZ20" s="10" t="str">
        <f t="array" ref="AZ20">IF(OR(AND(ISBLANK(L20:L24)),AND(ISBLANK(AG20:AG24)),AND(ISBLANK(U20:U24)),AND(ISBLANK(AP20:AP24))),"·",bdRateExtend(L20:L24,U20:U24,AG20:AG24,AP20:AP24))</f>
        <v>·</v>
      </c>
      <c r="BA20" s="10" t="str">
        <f t="array" ref="BA20">IF(OR(AND(ISBLANK(L20:L24)),AND(ISBLANK(AG20:AG24)),AND(ISBLANK(V20:V24)),AND(ISBLANK(AQ20:AQ24))),"·",bdRateExtend(L20:L24,V20:V24,AG20:AG24,AQ20:AQ24))</f>
        <v>·</v>
      </c>
      <c r="BB20" s="10" t="str">
        <f t="array" ref="BB20">IF(OR(AND(ISBLANK(L20:L24)),AND(ISBLANK(AG20:AG24)),AND(ISBLANK(W20:W24)),AND(ISBLANK(AR20:AR24))),"·",bdRateExtend(L20:L24,W20:W24,AG20:AG24,AR20:AR24))</f>
        <v>·</v>
      </c>
      <c r="BC20" s="10" t="str">
        <f t="array" ref="BC20">IF(OR(AND(ISBLANK(L20:L24)),AND(ISBLANK(AG20:AG24)),AND(ISBLANK(X20:X24)),AND(ISBLANK(AS20:AS24))),"·",bdRateExtend(L20:L24,X20:X24,AG20:AG24,AS20:AS24))</f>
        <v>·</v>
      </c>
      <c r="BD20" s="10" t="str">
        <f t="array" ref="BD20">IF(OR(AND(ISBLANK(L20:L24)),AND(ISBLANK(AG20:AG24)),AND(ISBLANK(Y20:Y24)),AND(ISBLANK(AT20:AT24))),"·",bdRateExtend(L20:L24,Y20:Y24,AG20:AG24,AT20:AT24))</f>
        <v>·</v>
      </c>
      <c r="BE20" s="10" t="str">
        <f t="array" ref="BE20">IF(OR(AND(ISBLANK(L20:L24)),AND(ISBLANK(AG20:AG24)),AND(ISBLANK(Z20:Z24)),AND(ISBLANK(AU20:AU24))),"·",bdRateExtend(L20:L24,Z20:Z24,AG20:AG24,AU20:AU24))</f>
        <v>·</v>
      </c>
      <c r="BF20" s="10" t="str">
        <f t="array" ref="BF20">IF(OR(AND(ISBLANK(L20:L24)),AND(ISBLANK(AG20:AG24)),AND(ISBLANK(AA20:AA24)),AND(ISBLANK(AV20:AV24))),"·",bdRateExtend(L20:L24,AA20:AA24,AG20:AG24,AV20:AV24))</f>
        <v>·</v>
      </c>
      <c r="BH20" s="10" t="str">
        <f t="array" ref="BH20">IF(OR(AND(ISBLANK(M20:M24)),AND(ISBLANK(AH20:AH24)),AND(ISBLANK(U20:U24)),AND(ISBLANK(AP20:AP24))),"·",bdRateExtend(M20:M24,U20:U24,AH20:AH24,AP20:AP24))</f>
        <v>·</v>
      </c>
      <c r="BI20" s="10" t="str">
        <f t="array" ref="BI20">IF(OR(AND(ISBLANK(M20:M24)),AND(ISBLANK(AH20:AH24)),AND(ISBLANK(V20:V24)),AND(ISBLANK(AQ20:AQ24))),"·",bdRateExtend(M20:M24,V20:V24,AH20:AH24,AQ20:AQ24))</f>
        <v>·</v>
      </c>
      <c r="BJ20" s="10" t="str">
        <f t="array" ref="BJ20">IF(OR(AND(ISBLANK(S20:S24)),AND(ISBLANK(AN20:AN24)),AND(ISBLANK(W20:W24)),AND(ISBLANK(AR20:AR24))),"·",bdRateExtend(S20:S24,W20:W24,AN20:AN24,AR20:AR24))</f>
        <v>·</v>
      </c>
      <c r="BK20" s="10" t="str">
        <f t="array" ref="BK20">IF(OR(AND(ISBLANK(S20:S24)),AND(ISBLANK(AN20:AN24)),AND(ISBLANK(X20:X24)),AND(ISBLANK(AS20:AS24))),"·",bdRateExtend(S20:S24,X20:X24,AN20:AN24,AS20:AS24))</f>
        <v>·</v>
      </c>
      <c r="BL20" s="10" t="str">
        <f t="array" ref="BL20">IF(OR(AND(ISBLANK(S20:S24)),AND(ISBLANK(AN20:AN24)),AND(ISBLANK(Y20:Y24)),AND(ISBLANK(AT20:AT24))),"·",bdRateExtend(S20:S24,Y20:Y24,AN20:AN24,AT20:AT24))</f>
        <v>·</v>
      </c>
      <c r="BM20" s="10" t="str">
        <f t="array" ref="BM20">IF(OR(AND(ISBLANK(M20:M24)),AND(ISBLANK(AH20:AH24)),AND(ISBLANK(Z20:Z24)),AND(ISBLANK(AU20:AU24))),"·",bdRateExtend(M20:M24,Z20:Z24,AH20:AH24,AU20:AU24))</f>
        <v>·</v>
      </c>
      <c r="BN20" s="10" t="str">
        <f t="array" ref="BN20">IF(OR(AND(ISBLANK(S20:S24)),AND(ISBLANK(AN20:AN24)),AND(ISBLANK(AA20:AA24)),AND(ISBLANK(AV20:AV24))),"·",bdRateExtend(S20:S24,AA20:AA24,AN20:AN24,AV20:AV24))</f>
        <v>·</v>
      </c>
      <c r="BP20" s="10">
        <f t="shared" si="8"/>
        <v>0</v>
      </c>
      <c r="BQ20" s="10">
        <f t="shared" si="9"/>
        <v>0</v>
      </c>
      <c r="BR20" s="10">
        <f t="shared" si="10"/>
        <v>0</v>
      </c>
      <c r="BS20" s="10">
        <f t="shared" si="11"/>
        <v>0</v>
      </c>
      <c r="BT20" s="10">
        <f t="shared" si="11"/>
        <v>0</v>
      </c>
    </row>
    <row r="21" spans="1:72" ht="15" customHeight="1" outlineLevel="1" x14ac:dyDescent="0.15">
      <c r="A21" s="36"/>
      <c r="B21" s="36" t="s">
        <v>59</v>
      </c>
      <c r="C21" s="37" t="s">
        <v>432</v>
      </c>
      <c r="D21" s="36">
        <v>11812090</v>
      </c>
      <c r="E21" s="38">
        <v>12</v>
      </c>
      <c r="F21" s="37">
        <v>32</v>
      </c>
      <c r="G21" s="37">
        <v>30</v>
      </c>
      <c r="H21" s="37">
        <v>5</v>
      </c>
      <c r="J21" s="49">
        <f t="shared" si="0"/>
        <v>4.8536700000000002</v>
      </c>
      <c r="K21" s="50">
        <f t="shared" si="1"/>
        <v>0.43830075795223367</v>
      </c>
      <c r="L21" s="37">
        <f t="shared" si="2"/>
        <v>5177248</v>
      </c>
      <c r="M21" s="37">
        <f t="shared" si="3"/>
        <v>1219056</v>
      </c>
      <c r="N21" s="51">
        <v>2418048</v>
      </c>
      <c r="O21" s="52">
        <v>5177248</v>
      </c>
      <c r="P21" s="52">
        <v>722464</v>
      </c>
      <c r="Q21" s="52">
        <v>0</v>
      </c>
      <c r="R21" s="52">
        <v>496592</v>
      </c>
      <c r="S21" s="52">
        <v>3947072</v>
      </c>
      <c r="T21" s="52">
        <v>11120</v>
      </c>
      <c r="U21" s="67">
        <v>72.207643300000001</v>
      </c>
      <c r="V21" s="67">
        <v>73.604112200000003</v>
      </c>
      <c r="W21" s="67">
        <v>37.4644434</v>
      </c>
      <c r="X21" s="67">
        <v>44.030022600000002</v>
      </c>
      <c r="Y21" s="67">
        <v>45.999777399999999</v>
      </c>
      <c r="Z21" s="67">
        <v>48.814551600000001</v>
      </c>
      <c r="AA21" s="67">
        <v>32.782964</v>
      </c>
      <c r="AB21" s="73">
        <v>2607.1335640000002</v>
      </c>
      <c r="AC21" s="73">
        <v>16.110302999999998</v>
      </c>
      <c r="AE21" s="49" t="str">
        <f t="shared" si="4"/>
        <v>·</v>
      </c>
      <c r="AF21" s="50" t="str">
        <f t="shared" si="5"/>
        <v>·</v>
      </c>
      <c r="AG21" s="37" t="str">
        <f t="shared" si="6"/>
        <v>.</v>
      </c>
      <c r="AH21" s="37" t="str">
        <f t="shared" si="7"/>
        <v>.</v>
      </c>
      <c r="AI21" s="51"/>
      <c r="AJ21" s="52"/>
      <c r="AK21" s="52"/>
      <c r="AL21" s="52"/>
      <c r="AM21" s="52"/>
      <c r="AN21" s="52"/>
      <c r="AO21" s="52"/>
      <c r="AP21" s="67"/>
      <c r="AQ21" s="67"/>
      <c r="AR21" s="67"/>
      <c r="AS21" s="67"/>
      <c r="AT21" s="67"/>
      <c r="AU21" s="67"/>
      <c r="AV21" s="67"/>
      <c r="AW21" s="73"/>
      <c r="AX21" s="73"/>
      <c r="AY21">
        <v>2280.0500000000002</v>
      </c>
      <c r="AZ21" s="6"/>
      <c r="BA21" s="6"/>
      <c r="BB21" s="6"/>
      <c r="BC21" s="6"/>
      <c r="BD21" s="6"/>
      <c r="BE21" s="6"/>
      <c r="BF21" s="6"/>
      <c r="BH21" s="6"/>
      <c r="BI21" s="6"/>
      <c r="BJ21" s="6"/>
      <c r="BK21" s="6"/>
      <c r="BL21" s="6"/>
      <c r="BM21" s="6"/>
      <c r="BN21" s="6"/>
      <c r="BP21" s="6">
        <f t="shared" si="8"/>
        <v>0</v>
      </c>
      <c r="BQ21" s="6">
        <f t="shared" si="9"/>
        <v>0</v>
      </c>
      <c r="BR21" s="6">
        <f t="shared" si="10"/>
        <v>0</v>
      </c>
      <c r="BS21" s="6">
        <f t="shared" si="11"/>
        <v>0</v>
      </c>
      <c r="BT21" s="6">
        <f t="shared" si="11"/>
        <v>0</v>
      </c>
    </row>
    <row r="22" spans="1:72" ht="15" customHeight="1" outlineLevel="1" x14ac:dyDescent="0.15">
      <c r="A22" s="39"/>
      <c r="B22" s="39" t="s">
        <v>59</v>
      </c>
      <c r="C22" s="40" t="s">
        <v>433</v>
      </c>
      <c r="D22" s="39">
        <v>11812090</v>
      </c>
      <c r="E22" s="41">
        <v>12</v>
      </c>
      <c r="F22" s="40">
        <v>32</v>
      </c>
      <c r="G22" s="40">
        <v>30</v>
      </c>
      <c r="H22" s="40">
        <v>10</v>
      </c>
      <c r="J22" s="53">
        <f t="shared" si="0"/>
        <v>9.6480525000000004</v>
      </c>
      <c r="K22" s="54">
        <f t="shared" si="1"/>
        <v>0.87124767928452962</v>
      </c>
      <c r="L22" s="40">
        <f t="shared" si="2"/>
        <v>10291256</v>
      </c>
      <c r="M22" s="40">
        <f t="shared" si="3"/>
        <v>2642416</v>
      </c>
      <c r="N22" s="55">
        <v>4836160</v>
      </c>
      <c r="O22" s="56">
        <v>10291256</v>
      </c>
      <c r="P22" s="56">
        <v>1106712</v>
      </c>
      <c r="Q22" s="56">
        <v>0</v>
      </c>
      <c r="R22" s="56">
        <v>1535704</v>
      </c>
      <c r="S22" s="56">
        <v>7638064</v>
      </c>
      <c r="T22" s="56">
        <v>10776</v>
      </c>
      <c r="U22" s="68">
        <v>78.044925399999997</v>
      </c>
      <c r="V22" s="68">
        <v>80.555999400000005</v>
      </c>
      <c r="W22" s="68">
        <v>40.450785799999998</v>
      </c>
      <c r="X22" s="68">
        <v>45.310985000000002</v>
      </c>
      <c r="Y22" s="68">
        <v>48.014772899999997</v>
      </c>
      <c r="Z22" s="68">
        <v>51.872414599999999</v>
      </c>
      <c r="AA22" s="68">
        <v>36.724092800000001</v>
      </c>
      <c r="AB22" s="74">
        <v>3032.2812199999998</v>
      </c>
      <c r="AC22" s="74">
        <v>20.401145</v>
      </c>
      <c r="AE22" s="53" t="str">
        <f t="shared" si="4"/>
        <v>·</v>
      </c>
      <c r="AF22" s="54" t="str">
        <f t="shared" si="5"/>
        <v>·</v>
      </c>
      <c r="AG22" s="40" t="str">
        <f t="shared" si="6"/>
        <v>.</v>
      </c>
      <c r="AH22" s="40" t="str">
        <f t="shared" si="7"/>
        <v>.</v>
      </c>
      <c r="AI22" s="55"/>
      <c r="AJ22" s="56"/>
      <c r="AK22" s="56"/>
      <c r="AL22" s="56"/>
      <c r="AM22" s="56"/>
      <c r="AN22" s="56"/>
      <c r="AO22" s="56"/>
      <c r="AP22" s="68"/>
      <c r="AQ22" s="68"/>
      <c r="AR22" s="68"/>
      <c r="AS22" s="68"/>
      <c r="AT22" s="68"/>
      <c r="AU22" s="68"/>
      <c r="AV22" s="68"/>
      <c r="AW22" s="74"/>
      <c r="AX22" s="74"/>
      <c r="AY22">
        <v>2622.02</v>
      </c>
      <c r="AZ22" s="10"/>
      <c r="BA22" s="10"/>
      <c r="BB22" s="10"/>
      <c r="BC22" s="10"/>
      <c r="BD22" s="10"/>
      <c r="BE22" s="10"/>
      <c r="BF22" s="10"/>
      <c r="BH22" s="10"/>
      <c r="BI22" s="10"/>
      <c r="BJ22" s="10"/>
      <c r="BK22" s="10"/>
      <c r="BL22" s="10"/>
      <c r="BM22" s="10"/>
      <c r="BN22" s="10"/>
      <c r="BP22" s="10">
        <f t="shared" si="8"/>
        <v>0</v>
      </c>
      <c r="BQ22" s="10">
        <f t="shared" si="9"/>
        <v>0</v>
      </c>
      <c r="BR22" s="10">
        <f t="shared" si="10"/>
        <v>0</v>
      </c>
      <c r="BS22" s="10">
        <f t="shared" si="11"/>
        <v>0</v>
      </c>
      <c r="BT22" s="10">
        <f t="shared" si="11"/>
        <v>0</v>
      </c>
    </row>
    <row r="23" spans="1:72" ht="15" customHeight="1" outlineLevel="1" x14ac:dyDescent="0.15">
      <c r="A23" s="36"/>
      <c r="B23" s="36" t="s">
        <v>59</v>
      </c>
      <c r="C23" s="37" t="s">
        <v>434</v>
      </c>
      <c r="D23" s="36">
        <v>11812090</v>
      </c>
      <c r="E23" s="38">
        <v>12</v>
      </c>
      <c r="F23" s="37">
        <v>32</v>
      </c>
      <c r="G23" s="37">
        <v>30</v>
      </c>
      <c r="H23" s="37">
        <v>14</v>
      </c>
      <c r="J23" s="49">
        <f t="shared" si="0"/>
        <v>13.572285000000001</v>
      </c>
      <c r="K23" s="50">
        <f t="shared" si="1"/>
        <v>1.225617481749631</v>
      </c>
      <c r="L23" s="37">
        <f t="shared" si="2"/>
        <v>14477104</v>
      </c>
      <c r="M23" s="37">
        <f t="shared" si="3"/>
        <v>3734424</v>
      </c>
      <c r="N23" s="51">
        <v>9673280</v>
      </c>
      <c r="O23" s="52">
        <v>14477104</v>
      </c>
      <c r="P23" s="52">
        <v>2345528</v>
      </c>
      <c r="Q23" s="52">
        <v>0</v>
      </c>
      <c r="R23" s="52">
        <v>1388896</v>
      </c>
      <c r="S23" s="52">
        <v>10731752</v>
      </c>
      <c r="T23" s="52">
        <v>10928</v>
      </c>
      <c r="U23" s="67">
        <v>78.929543199999998</v>
      </c>
      <c r="V23" s="67">
        <v>81.764967799999994</v>
      </c>
      <c r="W23" s="67">
        <v>41.4612616</v>
      </c>
      <c r="X23" s="67">
        <v>45.799754900000003</v>
      </c>
      <c r="Y23" s="67">
        <v>48.736630699999999</v>
      </c>
      <c r="Z23" s="67">
        <v>52.6242655</v>
      </c>
      <c r="AA23" s="67">
        <v>37.640686000000002</v>
      </c>
      <c r="AB23" s="73">
        <v>3515.9450310000002</v>
      </c>
      <c r="AC23" s="73">
        <v>29.059225000000001</v>
      </c>
      <c r="AE23" s="49" t="str">
        <f t="shared" si="4"/>
        <v>·</v>
      </c>
      <c r="AF23" s="50" t="str">
        <f t="shared" si="5"/>
        <v>·</v>
      </c>
      <c r="AG23" s="37" t="str">
        <f t="shared" si="6"/>
        <v>.</v>
      </c>
      <c r="AH23" s="37" t="str">
        <f t="shared" si="7"/>
        <v>.</v>
      </c>
      <c r="AI23" s="51"/>
      <c r="AJ23" s="52"/>
      <c r="AK23" s="52"/>
      <c r="AL23" s="52"/>
      <c r="AM23" s="52"/>
      <c r="AN23" s="52"/>
      <c r="AO23" s="52"/>
      <c r="AP23" s="67"/>
      <c r="AQ23" s="67"/>
      <c r="AR23" s="67"/>
      <c r="AS23" s="67"/>
      <c r="AT23" s="67"/>
      <c r="AU23" s="67"/>
      <c r="AV23" s="67"/>
      <c r="AW23" s="73"/>
      <c r="AX23" s="73"/>
      <c r="AY23">
        <v>3354.09</v>
      </c>
      <c r="AZ23" s="6"/>
      <c r="BA23" s="6"/>
      <c r="BB23" s="6"/>
      <c r="BC23" s="6"/>
      <c r="BD23" s="6"/>
      <c r="BE23" s="6"/>
      <c r="BF23" s="6"/>
      <c r="BH23" s="6"/>
      <c r="BI23" s="6"/>
      <c r="BJ23" s="6"/>
      <c r="BK23" s="6"/>
      <c r="BL23" s="6"/>
      <c r="BM23" s="6"/>
      <c r="BN23" s="6"/>
      <c r="BP23" s="6">
        <f t="shared" si="8"/>
        <v>0</v>
      </c>
      <c r="BQ23" s="6">
        <f t="shared" si="9"/>
        <v>0</v>
      </c>
      <c r="BR23" s="6">
        <f t="shared" si="10"/>
        <v>0</v>
      </c>
      <c r="BS23" s="6">
        <f t="shared" si="11"/>
        <v>0</v>
      </c>
      <c r="BT23" s="6">
        <f t="shared" si="11"/>
        <v>0</v>
      </c>
    </row>
    <row r="24" spans="1:72" ht="15.75" customHeight="1" outlineLevel="1" thickBot="1" x14ac:dyDescent="0.2">
      <c r="A24" s="45"/>
      <c r="B24" s="45" t="s">
        <v>59</v>
      </c>
      <c r="C24" s="46" t="s">
        <v>435</v>
      </c>
      <c r="D24" s="45">
        <v>11812090</v>
      </c>
      <c r="E24" s="47">
        <v>12</v>
      </c>
      <c r="F24" s="46">
        <v>32</v>
      </c>
      <c r="G24" s="46">
        <v>30</v>
      </c>
      <c r="H24" s="46">
        <v>21</v>
      </c>
      <c r="J24" s="61">
        <f t="shared" si="0"/>
        <v>20.186722499999998</v>
      </c>
      <c r="K24" s="62">
        <f t="shared" si="1"/>
        <v>1.8229207532282603</v>
      </c>
      <c r="L24" s="46">
        <f t="shared" si="2"/>
        <v>21532504</v>
      </c>
      <c r="M24" s="46">
        <f t="shared" si="3"/>
        <v>3947992</v>
      </c>
      <c r="N24" s="63">
        <v>9673280</v>
      </c>
      <c r="O24" s="64">
        <v>21532504</v>
      </c>
      <c r="P24" s="64">
        <v>2110896</v>
      </c>
      <c r="Q24" s="64">
        <v>0</v>
      </c>
      <c r="R24" s="64">
        <v>1837096</v>
      </c>
      <c r="S24" s="64">
        <v>17573904</v>
      </c>
      <c r="T24" s="64">
        <v>10608</v>
      </c>
      <c r="U24" s="70">
        <v>79.641642599999997</v>
      </c>
      <c r="V24" s="70">
        <v>82.838215500000004</v>
      </c>
      <c r="W24" s="70">
        <v>42.467933899999998</v>
      </c>
      <c r="X24" s="70">
        <v>46.885863000000001</v>
      </c>
      <c r="Y24" s="70">
        <v>50.075228699999997</v>
      </c>
      <c r="Z24" s="70">
        <v>53.014076500000002</v>
      </c>
      <c r="AA24" s="70">
        <v>38.406951599999999</v>
      </c>
      <c r="AB24" s="76">
        <v>3718.6991170000001</v>
      </c>
      <c r="AC24" s="76">
        <v>27.703859999999999</v>
      </c>
      <c r="AE24" s="61" t="str">
        <f t="shared" si="4"/>
        <v>·</v>
      </c>
      <c r="AF24" s="62" t="str">
        <f t="shared" si="5"/>
        <v>·</v>
      </c>
      <c r="AG24" s="46" t="str">
        <f t="shared" si="6"/>
        <v>.</v>
      </c>
      <c r="AH24" s="46" t="str">
        <f t="shared" si="7"/>
        <v>.</v>
      </c>
      <c r="AI24" s="63"/>
      <c r="AJ24" s="64"/>
      <c r="AK24" s="64"/>
      <c r="AL24" s="64"/>
      <c r="AM24" s="64"/>
      <c r="AN24" s="64"/>
      <c r="AO24" s="64"/>
      <c r="AP24" s="70"/>
      <c r="AQ24" s="70"/>
      <c r="AR24" s="70"/>
      <c r="AS24" s="70"/>
      <c r="AT24" s="70"/>
      <c r="AU24" s="70"/>
      <c r="AV24" s="70"/>
      <c r="AW24" s="76"/>
      <c r="AX24" s="76"/>
      <c r="AY24">
        <v>3343.82</v>
      </c>
      <c r="AZ24" s="14"/>
      <c r="BA24" s="14"/>
      <c r="BB24" s="14"/>
      <c r="BC24" s="14"/>
      <c r="BD24" s="14"/>
      <c r="BE24" s="14"/>
      <c r="BF24" s="14"/>
      <c r="BH24" s="14"/>
      <c r="BI24" s="14"/>
      <c r="BJ24" s="14"/>
      <c r="BK24" s="14"/>
      <c r="BL24" s="14"/>
      <c r="BM24" s="14"/>
      <c r="BN24" s="14"/>
      <c r="BP24" s="14">
        <f t="shared" si="8"/>
        <v>0</v>
      </c>
      <c r="BQ24" s="14">
        <f t="shared" si="9"/>
        <v>0</v>
      </c>
      <c r="BR24" s="14">
        <f t="shared" si="10"/>
        <v>0</v>
      </c>
      <c r="BS24" s="14">
        <f t="shared" si="11"/>
        <v>0</v>
      </c>
      <c r="BT24" s="14">
        <f t="shared" si="11"/>
        <v>0</v>
      </c>
    </row>
    <row r="25" spans="1:72" ht="15" customHeight="1" x14ac:dyDescent="0.15">
      <c r="A25" s="36" t="s">
        <v>190</v>
      </c>
      <c r="B25" s="36" t="s">
        <v>64</v>
      </c>
      <c r="C25" s="37" t="s">
        <v>431</v>
      </c>
      <c r="D25" s="36">
        <v>12000000</v>
      </c>
      <c r="E25" s="38">
        <v>12</v>
      </c>
      <c r="F25" s="37">
        <v>32</v>
      </c>
      <c r="G25" s="37">
        <v>30</v>
      </c>
      <c r="H25" s="37">
        <v>4</v>
      </c>
      <c r="J25" s="49">
        <f t="shared" si="0"/>
        <v>4.0177800000000001</v>
      </c>
      <c r="K25" s="50">
        <f t="shared" si="1"/>
        <v>0.35713600000000001</v>
      </c>
      <c r="L25" s="37">
        <f t="shared" si="2"/>
        <v>4285632</v>
      </c>
      <c r="M25" s="37">
        <f t="shared" si="3"/>
        <v>1238272</v>
      </c>
      <c r="N25" s="51">
        <v>2455232</v>
      </c>
      <c r="O25" s="52">
        <v>4285632</v>
      </c>
      <c r="P25" s="52">
        <v>676136</v>
      </c>
      <c r="Q25" s="52">
        <v>0</v>
      </c>
      <c r="R25" s="52">
        <v>562136</v>
      </c>
      <c r="S25" s="52">
        <v>3036576</v>
      </c>
      <c r="T25" s="52">
        <v>10784</v>
      </c>
      <c r="U25" s="67">
        <v>74.167058999999995</v>
      </c>
      <c r="V25" s="67">
        <v>76.095010299999998</v>
      </c>
      <c r="W25" s="67">
        <v>31.620250200000001</v>
      </c>
      <c r="X25" s="67">
        <v>40.614705399999998</v>
      </c>
      <c r="Y25" s="67">
        <v>36.980015700000003</v>
      </c>
      <c r="Z25" s="67">
        <v>44.725940100000003</v>
      </c>
      <c r="AA25" s="67">
        <v>28.896784499999999</v>
      </c>
      <c r="AB25" s="73">
        <v>1164.2723550000001</v>
      </c>
      <c r="AC25" s="73">
        <v>5.3727939999999998</v>
      </c>
      <c r="AE25" s="49" t="str">
        <f t="shared" si="4"/>
        <v>·</v>
      </c>
      <c r="AF25" s="50" t="str">
        <f t="shared" si="5"/>
        <v>·</v>
      </c>
      <c r="AG25" s="37" t="str">
        <f t="shared" si="6"/>
        <v>.</v>
      </c>
      <c r="AH25" s="37" t="str">
        <f t="shared" si="7"/>
        <v>.</v>
      </c>
      <c r="AI25" s="51"/>
      <c r="AJ25" s="52"/>
      <c r="AK25" s="52"/>
      <c r="AL25" s="52"/>
      <c r="AM25" s="52"/>
      <c r="AN25" s="52"/>
      <c r="AO25" s="52"/>
      <c r="AP25" s="67"/>
      <c r="AQ25" s="67"/>
      <c r="AR25" s="67"/>
      <c r="AS25" s="67"/>
      <c r="AT25" s="67"/>
      <c r="AU25" s="67"/>
      <c r="AV25" s="67"/>
      <c r="AW25" s="73"/>
      <c r="AX25" s="73"/>
      <c r="AY25">
        <v>1145.6300000000001</v>
      </c>
      <c r="AZ25" s="6" t="str">
        <f t="array" ref="AZ25">IF(OR(AND(ISBLANK(L25:L29)),AND(ISBLANK(AG25:AG29)),AND(ISBLANK(U25:U29)),AND(ISBLANK(AP25:AP29))),"·",bdRateExtend(L25:L29,U25:U29,AG25:AG29,AP25:AP29))</f>
        <v>·</v>
      </c>
      <c r="BA25" s="6" t="str">
        <f t="array" ref="BA25">IF(OR(AND(ISBLANK(L25:L29)),AND(ISBLANK(AG25:AG29)),AND(ISBLANK(V25:V29)),AND(ISBLANK(AQ25:AQ29))),"·",bdRateExtend(L25:L29,V25:V29,AG25:AG29,AQ25:AQ29))</f>
        <v>·</v>
      </c>
      <c r="BB25" s="6" t="str">
        <f t="array" ref="BB25">IF(OR(AND(ISBLANK(L25:L29)),AND(ISBLANK(AG25:AG29)),AND(ISBLANK(W25:W29)),AND(ISBLANK(AR25:AR29))),"·",bdRateExtend(L25:L29,W25:W29,AG25:AG29,AR25:AR29))</f>
        <v>·</v>
      </c>
      <c r="BC25" s="6" t="str">
        <f t="array" ref="BC25">IF(OR(AND(ISBLANK(L25:L29)),AND(ISBLANK(AG25:AG29)),AND(ISBLANK(X25:X29)),AND(ISBLANK(AS25:AS29))),"·",bdRateExtend(L25:L29,X25:X29,AG25:AG29,AS25:AS29))</f>
        <v>·</v>
      </c>
      <c r="BD25" s="6" t="str">
        <f t="array" ref="BD25">IF(OR(AND(ISBLANK(L25:L29)),AND(ISBLANK(AG25:AG29)),AND(ISBLANK(Y25:Y29)),AND(ISBLANK(AT25:AT29))),"·",bdRateExtend(L25:L29,Y25:Y29,AG25:AG29,AT25:AT29))</f>
        <v>·</v>
      </c>
      <c r="BE25" s="6" t="str">
        <f t="array" ref="BE25">IF(OR(AND(ISBLANK(L25:L29)),AND(ISBLANK(AG25:AG29)),AND(ISBLANK(Z25:Z29)),AND(ISBLANK(AU25:AU29))),"·",bdRateExtend(L25:L29,Z25:Z29,AG25:AG29,AU25:AU29))</f>
        <v>·</v>
      </c>
      <c r="BF25" s="6" t="str">
        <f t="array" ref="BF25">IF(OR(AND(ISBLANK(L25:L29)),AND(ISBLANK(AG25:AG29)),AND(ISBLANK(AA25:AA29)),AND(ISBLANK(AV25:AV29))),"·",bdRateExtend(L25:L29,AA25:AA29,AG25:AG29,AV25:AV29))</f>
        <v>·</v>
      </c>
      <c r="BH25" s="6" t="str">
        <f t="array" ref="BH25">IF(OR(AND(ISBLANK(M25:M29)),AND(ISBLANK(AH25:AH29)),AND(ISBLANK(U25:U29)),AND(ISBLANK(AP25:AP29))),"·",bdRateExtend(M25:M29,U25:U29,AH25:AH29,AP25:AP29))</f>
        <v>·</v>
      </c>
      <c r="BI25" s="6" t="str">
        <f t="array" ref="BI25">IF(OR(AND(ISBLANK(M25:M29)),AND(ISBLANK(AH25:AH29)),AND(ISBLANK(V25:V29)),AND(ISBLANK(AQ25:AQ29))),"·",bdRateExtend(M25:M29,V25:V29,AH25:AH29,AQ25:AQ29))</f>
        <v>·</v>
      </c>
      <c r="BJ25" s="6" t="str">
        <f t="array" ref="BJ25">IF(OR(AND(ISBLANK(S25:S29)),AND(ISBLANK(AN25:AN29)),AND(ISBLANK(W25:W29)),AND(ISBLANK(AR25:AR29))),"·",bdRateExtend(S25:S29,W25:W29,AN25:AN29,AR25:AR29))</f>
        <v>·</v>
      </c>
      <c r="BK25" s="6" t="str">
        <f t="array" ref="BK25">IF(OR(AND(ISBLANK(S25:S29)),AND(ISBLANK(AN25:AN29)),AND(ISBLANK(X25:X29)),AND(ISBLANK(AS25:AS29))),"·",bdRateExtend(S25:S29,X25:X29,AN25:AN29,AS25:AS29))</f>
        <v>·</v>
      </c>
      <c r="BL25" s="6" t="str">
        <f t="array" ref="BL25">IF(OR(AND(ISBLANK(S25:S29)),AND(ISBLANK(AN25:AN29)),AND(ISBLANK(Y25:Y29)),AND(ISBLANK(AT25:AT29))),"·",bdRateExtend(S25:S29,Y25:Y29,AN25:AN29,AT25:AT29))</f>
        <v>·</v>
      </c>
      <c r="BM25" s="6" t="str">
        <f t="array" ref="BM25">IF(OR(AND(ISBLANK(M25:M29)),AND(ISBLANK(AH25:AH29)),AND(ISBLANK(Z25:Z29)),AND(ISBLANK(AU25:AU29))),"·",bdRateExtend(M25:M29,Z25:Z29,AH25:AH29,AU25:AU29))</f>
        <v>·</v>
      </c>
      <c r="BN25" s="6" t="str">
        <f t="array" ref="BN25">IF(OR(AND(ISBLANK(S25:S29)),AND(ISBLANK(AN25:AN29)),AND(ISBLANK(AA25:AA29)),AND(ISBLANK(AV25:AV29))),"·",bdRateExtend(S25:S29,AA25:AA29,AN25:AN29,AV25:AV29))</f>
        <v>·</v>
      </c>
      <c r="BP25" s="6">
        <f t="shared" si="8"/>
        <v>0</v>
      </c>
      <c r="BQ25" s="6">
        <f t="shared" si="9"/>
        <v>0</v>
      </c>
      <c r="BR25" s="6">
        <f t="shared" si="10"/>
        <v>0</v>
      </c>
      <c r="BS25" s="6">
        <f t="shared" si="11"/>
        <v>0</v>
      </c>
      <c r="BT25" s="6">
        <f t="shared" si="11"/>
        <v>0</v>
      </c>
    </row>
    <row r="26" spans="1:72" ht="15" customHeight="1" outlineLevel="1" x14ac:dyDescent="0.15">
      <c r="A26" s="39"/>
      <c r="B26" s="39" t="s">
        <v>64</v>
      </c>
      <c r="C26" s="40" t="s">
        <v>432</v>
      </c>
      <c r="D26" s="39">
        <v>12000000</v>
      </c>
      <c r="E26" s="41">
        <v>12</v>
      </c>
      <c r="F26" s="40">
        <v>32</v>
      </c>
      <c r="G26" s="40">
        <v>30</v>
      </c>
      <c r="H26" s="40">
        <v>8</v>
      </c>
      <c r="J26" s="53">
        <f t="shared" si="0"/>
        <v>7.9382925000000002</v>
      </c>
      <c r="K26" s="54">
        <f t="shared" si="1"/>
        <v>0.70562599999999998</v>
      </c>
      <c r="L26" s="40">
        <f t="shared" si="2"/>
        <v>8467512</v>
      </c>
      <c r="M26" s="40">
        <f t="shared" si="3"/>
        <v>1979352</v>
      </c>
      <c r="N26" s="55">
        <v>4912704</v>
      </c>
      <c r="O26" s="56">
        <v>8467512</v>
      </c>
      <c r="P26" s="56">
        <v>1140944</v>
      </c>
      <c r="Q26" s="56">
        <v>0</v>
      </c>
      <c r="R26" s="56">
        <v>838408</v>
      </c>
      <c r="S26" s="56">
        <v>6477112</v>
      </c>
      <c r="T26" s="56">
        <v>11048</v>
      </c>
      <c r="U26" s="68">
        <v>77.193662900000007</v>
      </c>
      <c r="V26" s="68">
        <v>79.725188700000004</v>
      </c>
      <c r="W26" s="68">
        <v>34.0151301</v>
      </c>
      <c r="X26" s="68">
        <v>42.450614600000002</v>
      </c>
      <c r="Y26" s="68">
        <v>39.827658399999997</v>
      </c>
      <c r="Z26" s="68">
        <v>46.334146599999997</v>
      </c>
      <c r="AA26" s="68">
        <v>31.556448799999998</v>
      </c>
      <c r="AB26" s="74">
        <v>3176.0578850000002</v>
      </c>
      <c r="AC26" s="74">
        <v>19.940646000000001</v>
      </c>
      <c r="AE26" s="53" t="str">
        <f t="shared" si="4"/>
        <v>·</v>
      </c>
      <c r="AF26" s="54" t="str">
        <f t="shared" si="5"/>
        <v>·</v>
      </c>
      <c r="AG26" s="40" t="str">
        <f t="shared" si="6"/>
        <v>.</v>
      </c>
      <c r="AH26" s="40" t="str">
        <f t="shared" si="7"/>
        <v>.</v>
      </c>
      <c r="AI26" s="55"/>
      <c r="AJ26" s="56"/>
      <c r="AK26" s="56"/>
      <c r="AL26" s="56"/>
      <c r="AM26" s="56"/>
      <c r="AN26" s="56"/>
      <c r="AO26" s="56"/>
      <c r="AP26" s="68"/>
      <c r="AQ26" s="68"/>
      <c r="AR26" s="68"/>
      <c r="AS26" s="68"/>
      <c r="AT26" s="68"/>
      <c r="AU26" s="68"/>
      <c r="AV26" s="68"/>
      <c r="AW26" s="74"/>
      <c r="AX26" s="74"/>
      <c r="AY26">
        <v>2653.53</v>
      </c>
      <c r="AZ26" s="10"/>
      <c r="BA26" s="10"/>
      <c r="BB26" s="10"/>
      <c r="BC26" s="10"/>
      <c r="BD26" s="10"/>
      <c r="BE26" s="10"/>
      <c r="BF26" s="10"/>
      <c r="BH26" s="10"/>
      <c r="BI26" s="10"/>
      <c r="BJ26" s="10"/>
      <c r="BK26" s="10"/>
      <c r="BL26" s="10"/>
      <c r="BM26" s="10"/>
      <c r="BN26" s="10"/>
      <c r="BP26" s="10">
        <f t="shared" si="8"/>
        <v>0</v>
      </c>
      <c r="BQ26" s="10">
        <f t="shared" si="9"/>
        <v>0</v>
      </c>
      <c r="BR26" s="10">
        <f t="shared" si="10"/>
        <v>0</v>
      </c>
      <c r="BS26" s="10">
        <f t="shared" si="11"/>
        <v>0</v>
      </c>
      <c r="BT26" s="10">
        <f t="shared" si="11"/>
        <v>0</v>
      </c>
    </row>
    <row r="27" spans="1:72" ht="15" customHeight="1" outlineLevel="1" x14ac:dyDescent="0.15">
      <c r="A27" s="36"/>
      <c r="B27" s="36" t="s">
        <v>64</v>
      </c>
      <c r="C27" s="37" t="s">
        <v>433</v>
      </c>
      <c r="D27" s="36">
        <v>12000000</v>
      </c>
      <c r="E27" s="38">
        <v>12</v>
      </c>
      <c r="F27" s="37">
        <v>32</v>
      </c>
      <c r="G27" s="37">
        <v>30</v>
      </c>
      <c r="H27" s="37">
        <v>12</v>
      </c>
      <c r="J27" s="49">
        <f t="shared" si="0"/>
        <v>11.6405625</v>
      </c>
      <c r="K27" s="50">
        <f t="shared" si="1"/>
        <v>1.0347166666666667</v>
      </c>
      <c r="L27" s="37">
        <f t="shared" si="2"/>
        <v>12416600</v>
      </c>
      <c r="M27" s="37">
        <f t="shared" si="3"/>
        <v>2843648</v>
      </c>
      <c r="N27" s="51">
        <v>9828224</v>
      </c>
      <c r="O27" s="52">
        <v>12416600</v>
      </c>
      <c r="P27" s="52">
        <v>2165344</v>
      </c>
      <c r="Q27" s="52">
        <v>0</v>
      </c>
      <c r="R27" s="52">
        <v>678304</v>
      </c>
      <c r="S27" s="52">
        <v>9562504</v>
      </c>
      <c r="T27" s="52">
        <v>10448</v>
      </c>
      <c r="U27" s="67">
        <v>78.894637200000005</v>
      </c>
      <c r="V27" s="67">
        <v>81.866926500000005</v>
      </c>
      <c r="W27" s="67">
        <v>34.919797799999998</v>
      </c>
      <c r="X27" s="67">
        <v>43.682099200000003</v>
      </c>
      <c r="Y27" s="67">
        <v>41.627892299999999</v>
      </c>
      <c r="Z27" s="67">
        <v>47.607158900000002</v>
      </c>
      <c r="AA27" s="67">
        <v>32.705272700000002</v>
      </c>
      <c r="AB27" s="73">
        <v>10304.739674</v>
      </c>
      <c r="AC27" s="73">
        <v>67.315049000000002</v>
      </c>
      <c r="AE27" s="49" t="str">
        <f t="shared" si="4"/>
        <v>·</v>
      </c>
      <c r="AF27" s="50" t="str">
        <f t="shared" si="5"/>
        <v>·</v>
      </c>
      <c r="AG27" s="37" t="str">
        <f t="shared" si="6"/>
        <v>.</v>
      </c>
      <c r="AH27" s="37" t="str">
        <f t="shared" si="7"/>
        <v>.</v>
      </c>
      <c r="AI27" s="51"/>
      <c r="AJ27" s="52"/>
      <c r="AK27" s="52"/>
      <c r="AL27" s="52"/>
      <c r="AM27" s="52"/>
      <c r="AN27" s="52"/>
      <c r="AO27" s="52"/>
      <c r="AP27" s="67"/>
      <c r="AQ27" s="67"/>
      <c r="AR27" s="67"/>
      <c r="AS27" s="67"/>
      <c r="AT27" s="67"/>
      <c r="AU27" s="67"/>
      <c r="AV27" s="67"/>
      <c r="AW27" s="73"/>
      <c r="AX27" s="73"/>
      <c r="AY27">
        <v>8180.41</v>
      </c>
      <c r="AZ27" s="6"/>
      <c r="BA27" s="6"/>
      <c r="BB27" s="6"/>
      <c r="BC27" s="6"/>
      <c r="BD27" s="6"/>
      <c r="BE27" s="6"/>
      <c r="BF27" s="6"/>
      <c r="BH27" s="6"/>
      <c r="BI27" s="6"/>
      <c r="BJ27" s="6"/>
      <c r="BK27" s="6"/>
      <c r="BL27" s="6"/>
      <c r="BM27" s="6"/>
      <c r="BN27" s="6"/>
      <c r="BP27" s="6">
        <f t="shared" si="8"/>
        <v>0</v>
      </c>
      <c r="BQ27" s="6">
        <f t="shared" si="9"/>
        <v>0</v>
      </c>
      <c r="BR27" s="6">
        <f t="shared" si="10"/>
        <v>0</v>
      </c>
      <c r="BS27" s="6">
        <f t="shared" si="11"/>
        <v>0</v>
      </c>
      <c r="BT27" s="6">
        <f t="shared" si="11"/>
        <v>0</v>
      </c>
    </row>
    <row r="28" spans="1:72" ht="15" customHeight="1" outlineLevel="1" x14ac:dyDescent="0.15">
      <c r="A28" s="39"/>
      <c r="B28" s="39" t="s">
        <v>64</v>
      </c>
      <c r="C28" s="40" t="s">
        <v>434</v>
      </c>
      <c r="D28" s="39">
        <v>12000000</v>
      </c>
      <c r="E28" s="41">
        <v>12</v>
      </c>
      <c r="F28" s="40">
        <v>32</v>
      </c>
      <c r="G28" s="40">
        <v>30</v>
      </c>
      <c r="H28" s="40">
        <v>17</v>
      </c>
      <c r="J28" s="53">
        <f t="shared" si="0"/>
        <v>16.5789075</v>
      </c>
      <c r="K28" s="54">
        <f t="shared" si="1"/>
        <v>1.4736806666666666</v>
      </c>
      <c r="L28" s="40">
        <f t="shared" si="2"/>
        <v>17684168</v>
      </c>
      <c r="M28" s="40">
        <f t="shared" si="3"/>
        <v>4877696</v>
      </c>
      <c r="N28" s="55">
        <v>19659392</v>
      </c>
      <c r="O28" s="56">
        <v>17684168</v>
      </c>
      <c r="P28" s="56">
        <v>4233336</v>
      </c>
      <c r="Q28" s="56">
        <v>0</v>
      </c>
      <c r="R28" s="56">
        <v>644360</v>
      </c>
      <c r="S28" s="56">
        <v>12796272</v>
      </c>
      <c r="T28" s="56">
        <v>10200</v>
      </c>
      <c r="U28" s="68">
        <v>80.650733599999995</v>
      </c>
      <c r="V28" s="68">
        <v>84.399173099999999</v>
      </c>
      <c r="W28" s="68">
        <v>35.674808300000002</v>
      </c>
      <c r="X28" s="68">
        <v>43.991991800000001</v>
      </c>
      <c r="Y28" s="68">
        <v>42.093262199999998</v>
      </c>
      <c r="Z28" s="68">
        <v>49.045717799999998</v>
      </c>
      <c r="AA28" s="68">
        <v>33.910986100000002</v>
      </c>
      <c r="AB28" s="74">
        <v>11571.116422999999</v>
      </c>
      <c r="AC28" s="74">
        <v>84.902234000000007</v>
      </c>
      <c r="AE28" s="53" t="str">
        <f t="shared" si="4"/>
        <v>·</v>
      </c>
      <c r="AF28" s="54" t="str">
        <f t="shared" si="5"/>
        <v>·</v>
      </c>
      <c r="AG28" s="40" t="str">
        <f t="shared" si="6"/>
        <v>.</v>
      </c>
      <c r="AH28" s="40" t="str">
        <f t="shared" si="7"/>
        <v>.</v>
      </c>
      <c r="AI28" s="55"/>
      <c r="AJ28" s="56"/>
      <c r="AK28" s="56"/>
      <c r="AL28" s="56"/>
      <c r="AM28" s="56"/>
      <c r="AN28" s="56"/>
      <c r="AO28" s="56"/>
      <c r="AP28" s="68"/>
      <c r="AQ28" s="68"/>
      <c r="AR28" s="68"/>
      <c r="AS28" s="68"/>
      <c r="AT28" s="68"/>
      <c r="AU28" s="68"/>
      <c r="AV28" s="68"/>
      <c r="AW28" s="74"/>
      <c r="AX28" s="74"/>
      <c r="AY28">
        <v>9532.92</v>
      </c>
      <c r="AZ28" s="10"/>
      <c r="BA28" s="10"/>
      <c r="BB28" s="10"/>
      <c r="BC28" s="10"/>
      <c r="BD28" s="10"/>
      <c r="BE28" s="10"/>
      <c r="BF28" s="10"/>
      <c r="BH28" s="10"/>
      <c r="BI28" s="10"/>
      <c r="BJ28" s="10"/>
      <c r="BK28" s="10"/>
      <c r="BL28" s="10"/>
      <c r="BM28" s="10"/>
      <c r="BN28" s="10"/>
      <c r="BP28" s="10">
        <f t="shared" si="8"/>
        <v>0</v>
      </c>
      <c r="BQ28" s="10">
        <f t="shared" si="9"/>
        <v>0</v>
      </c>
      <c r="BR28" s="10">
        <f t="shared" si="10"/>
        <v>0</v>
      </c>
      <c r="BS28" s="10">
        <f t="shared" si="11"/>
        <v>0</v>
      </c>
      <c r="BT28" s="10">
        <f t="shared" si="11"/>
        <v>0</v>
      </c>
    </row>
    <row r="29" spans="1:72" ht="15.75" customHeight="1" outlineLevel="1" thickBot="1" x14ac:dyDescent="0.2">
      <c r="A29" s="36"/>
      <c r="B29" s="42" t="s">
        <v>64</v>
      </c>
      <c r="C29" s="43" t="s">
        <v>435</v>
      </c>
      <c r="D29" s="42">
        <v>12000000</v>
      </c>
      <c r="E29" s="44">
        <v>12</v>
      </c>
      <c r="F29" s="43">
        <v>32</v>
      </c>
      <c r="G29" s="43">
        <v>30</v>
      </c>
      <c r="H29" s="43">
        <v>25</v>
      </c>
      <c r="J29" s="57">
        <f t="shared" si="0"/>
        <v>24.592755</v>
      </c>
      <c r="K29" s="58">
        <f t="shared" si="1"/>
        <v>2.1860226666666667</v>
      </c>
      <c r="L29" s="43">
        <f t="shared" si="2"/>
        <v>26232272</v>
      </c>
      <c r="M29" s="43">
        <f t="shared" si="3"/>
        <v>10040296</v>
      </c>
      <c r="N29" s="59">
        <v>14745456</v>
      </c>
      <c r="O29" s="60">
        <v>26232272</v>
      </c>
      <c r="P29" s="60">
        <v>9153112</v>
      </c>
      <c r="Q29" s="60">
        <v>0</v>
      </c>
      <c r="R29" s="60">
        <v>887184</v>
      </c>
      <c r="S29" s="60">
        <v>16183096</v>
      </c>
      <c r="T29" s="60">
        <v>8880</v>
      </c>
      <c r="U29" s="69">
        <v>85.020890800000004</v>
      </c>
      <c r="V29" s="69">
        <v>90.732500000000002</v>
      </c>
      <c r="W29" s="69">
        <v>36.389134800000001</v>
      </c>
      <c r="X29" s="69">
        <v>44.296586699999999</v>
      </c>
      <c r="Y29" s="69">
        <v>42.527574600000001</v>
      </c>
      <c r="Z29" s="69">
        <v>53.220122699999997</v>
      </c>
      <c r="AA29" s="69">
        <v>35.567962999999999</v>
      </c>
      <c r="AB29" s="75">
        <v>15028.975785000001</v>
      </c>
      <c r="AC29" s="75">
        <v>60.96163</v>
      </c>
      <c r="AE29" s="57" t="str">
        <f t="shared" si="4"/>
        <v>·</v>
      </c>
      <c r="AF29" s="58" t="str">
        <f t="shared" si="5"/>
        <v>·</v>
      </c>
      <c r="AG29" s="43" t="str">
        <f t="shared" si="6"/>
        <v>.</v>
      </c>
      <c r="AH29" s="43" t="str">
        <f t="shared" si="7"/>
        <v>.</v>
      </c>
      <c r="AI29" s="59"/>
      <c r="AJ29" s="60"/>
      <c r="AK29" s="60"/>
      <c r="AL29" s="60"/>
      <c r="AM29" s="60"/>
      <c r="AN29" s="60"/>
      <c r="AO29" s="60"/>
      <c r="AP29" s="69"/>
      <c r="AQ29" s="69"/>
      <c r="AR29" s="69"/>
      <c r="AS29" s="69"/>
      <c r="AT29" s="69"/>
      <c r="AU29" s="69"/>
      <c r="AV29" s="69"/>
      <c r="AW29" s="75"/>
      <c r="AX29" s="75"/>
      <c r="AY29">
        <v>11771.5</v>
      </c>
      <c r="AZ29" s="85"/>
      <c r="BA29" s="85"/>
      <c r="BB29" s="85"/>
      <c r="BC29" s="85"/>
      <c r="BD29" s="85"/>
      <c r="BE29" s="85"/>
      <c r="BF29" s="85"/>
      <c r="BH29" s="85"/>
      <c r="BI29" s="85"/>
      <c r="BJ29" s="85"/>
      <c r="BK29" s="85"/>
      <c r="BL29" s="85"/>
      <c r="BM29" s="85"/>
      <c r="BN29" s="85"/>
      <c r="BP29" s="85">
        <f t="shared" si="8"/>
        <v>0</v>
      </c>
      <c r="BQ29" s="85">
        <f t="shared" si="9"/>
        <v>0</v>
      </c>
      <c r="BR29" s="85">
        <f t="shared" si="10"/>
        <v>0</v>
      </c>
      <c r="BS29" s="85">
        <f t="shared" si="11"/>
        <v>0</v>
      </c>
      <c r="BT29" s="85">
        <f t="shared" si="11"/>
        <v>0</v>
      </c>
    </row>
    <row r="30" spans="1:72" ht="15" customHeight="1" x14ac:dyDescent="0.15">
      <c r="A30" s="39"/>
      <c r="B30" s="39" t="s">
        <v>69</v>
      </c>
      <c r="C30" s="40" t="s">
        <v>431</v>
      </c>
      <c r="D30" s="39">
        <v>5997654</v>
      </c>
      <c r="E30" s="41">
        <v>12</v>
      </c>
      <c r="F30" s="40">
        <v>32</v>
      </c>
      <c r="G30" s="40">
        <v>30</v>
      </c>
      <c r="H30" s="40">
        <v>4</v>
      </c>
      <c r="J30" s="53">
        <f t="shared" si="0"/>
        <v>3.3456225000000002</v>
      </c>
      <c r="K30" s="54">
        <f t="shared" si="1"/>
        <v>0.59500998223638779</v>
      </c>
      <c r="L30" s="40">
        <f t="shared" si="2"/>
        <v>3568664</v>
      </c>
      <c r="M30" s="40">
        <f t="shared" si="3"/>
        <v>931696</v>
      </c>
      <c r="N30" s="55">
        <v>2424384</v>
      </c>
      <c r="O30" s="56">
        <v>3568664</v>
      </c>
      <c r="P30" s="56">
        <v>356432</v>
      </c>
      <c r="Q30" s="56">
        <v>67272</v>
      </c>
      <c r="R30" s="56">
        <v>507992</v>
      </c>
      <c r="S30" s="56">
        <v>2626360</v>
      </c>
      <c r="T30" s="56">
        <v>10608</v>
      </c>
      <c r="U30" s="68">
        <v>74.719796700000003</v>
      </c>
      <c r="V30" s="68">
        <v>76.526658400000002</v>
      </c>
      <c r="W30" s="68">
        <v>38.749863599999998</v>
      </c>
      <c r="X30" s="68">
        <v>44.541080299999997</v>
      </c>
      <c r="Y30" s="68">
        <v>43.164181800000001</v>
      </c>
      <c r="Z30" s="68">
        <v>47.561810199999996</v>
      </c>
      <c r="AA30" s="68">
        <v>35.327995399999999</v>
      </c>
      <c r="AB30" s="74">
        <v>2506.501115</v>
      </c>
      <c r="AC30" s="74">
        <v>14.443766999999999</v>
      </c>
      <c r="AE30" s="53" t="str">
        <f t="shared" si="4"/>
        <v>·</v>
      </c>
      <c r="AF30" s="54" t="str">
        <f t="shared" si="5"/>
        <v>·</v>
      </c>
      <c r="AG30" s="40" t="str">
        <f t="shared" si="6"/>
        <v>.</v>
      </c>
      <c r="AH30" s="40" t="str">
        <f t="shared" si="7"/>
        <v>.</v>
      </c>
      <c r="AI30" s="55"/>
      <c r="AJ30" s="56"/>
      <c r="AK30" s="56"/>
      <c r="AL30" s="56"/>
      <c r="AM30" s="56"/>
      <c r="AN30" s="56"/>
      <c r="AO30" s="56"/>
      <c r="AP30" s="68"/>
      <c r="AQ30" s="68"/>
      <c r="AR30" s="68"/>
      <c r="AS30" s="68"/>
      <c r="AT30" s="68"/>
      <c r="AU30" s="68"/>
      <c r="AV30" s="68"/>
      <c r="AW30" s="74"/>
      <c r="AX30" s="74"/>
      <c r="AY30">
        <v>2368.11</v>
      </c>
      <c r="AZ30" s="10" t="str">
        <f t="array" ref="AZ30">IF(OR(AND(ISBLANK(L30:L34)),AND(ISBLANK(AG30:AG34)),AND(ISBLANK(U30:U34)),AND(ISBLANK(AP30:AP34))),"·",bdRateExtend(L30:L34,U30:U34,AG30:AG34,AP30:AP34))</f>
        <v>·</v>
      </c>
      <c r="BA30" s="10" t="str">
        <f t="array" ref="BA30">IF(OR(AND(ISBLANK(L30:L34)),AND(ISBLANK(AG30:AG34)),AND(ISBLANK(V30:V34)),AND(ISBLANK(AQ30:AQ34))),"·",bdRateExtend(L30:L34,V30:V34,AG30:AG34,AQ30:AQ34))</f>
        <v>·</v>
      </c>
      <c r="BB30" s="10" t="str">
        <f t="array" ref="BB30">IF(OR(AND(ISBLANK(L30:L34)),AND(ISBLANK(AG30:AG34)),AND(ISBLANK(W30:W34)),AND(ISBLANK(AR30:AR34))),"·",bdRateExtend(L30:L34,W30:W34,AG30:AG34,AR30:AR34))</f>
        <v>·</v>
      </c>
      <c r="BC30" s="10" t="str">
        <f t="array" ref="BC30">IF(OR(AND(ISBLANK(L30:L34)),AND(ISBLANK(AG30:AG34)),AND(ISBLANK(X30:X34)),AND(ISBLANK(AS30:AS34))),"·",bdRateExtend(L30:L34,X30:X34,AG30:AG34,AS30:AS34))</f>
        <v>·</v>
      </c>
      <c r="BD30" s="10" t="str">
        <f t="array" ref="BD30">IF(OR(AND(ISBLANK(L30:L34)),AND(ISBLANK(AG30:AG34)),AND(ISBLANK(Y30:Y34)),AND(ISBLANK(AT30:AT34))),"·",bdRateExtend(L30:L34,Y30:Y34,AG30:AG34,AT30:AT34))</f>
        <v>·</v>
      </c>
      <c r="BE30" s="10" t="str">
        <f t="array" ref="BE30">IF(OR(AND(ISBLANK(L30:L34)),AND(ISBLANK(AG30:AG34)),AND(ISBLANK(Z30:Z34)),AND(ISBLANK(AU30:AU34))),"·",bdRateExtend(L30:L34,Z30:Z34,AG30:AG34,AU30:AU34))</f>
        <v>·</v>
      </c>
      <c r="BF30" s="10" t="str">
        <f t="array" ref="BF30">IF(OR(AND(ISBLANK(L30:L34)),AND(ISBLANK(AG30:AG34)),AND(ISBLANK(AA30:AA34)),AND(ISBLANK(AV30:AV34))),"·",bdRateExtend(L30:L34,AA30:AA34,AG30:AG34,AV30:AV34))</f>
        <v>·</v>
      </c>
      <c r="BH30" s="10" t="str">
        <f t="array" ref="BH30">IF(OR(AND(ISBLANK(M30:M34)),AND(ISBLANK(AH30:AH34)),AND(ISBLANK(U30:U34)),AND(ISBLANK(AP30:AP34))),"·",bdRateExtend(M30:M34,U30:U34,AH30:AH34,AP30:AP34))</f>
        <v>·</v>
      </c>
      <c r="BI30" s="10" t="str">
        <f t="array" ref="BI30">IF(OR(AND(ISBLANK(M30:M34)),AND(ISBLANK(AH30:AH34)),AND(ISBLANK(V30:V34)),AND(ISBLANK(AQ30:AQ34))),"·",bdRateExtend(M30:M34,V30:V34,AH30:AH34,AQ30:AQ34))</f>
        <v>·</v>
      </c>
      <c r="BJ30" s="10" t="str">
        <f t="array" ref="BJ30">IF(OR(AND(ISBLANK(S30:S34)),AND(ISBLANK(AN30:AN34)),AND(ISBLANK(W30:W34)),AND(ISBLANK(AR30:AR34))),"·",bdRateExtend(S30:S34,W30:W34,AN30:AN34,AR30:AR34))</f>
        <v>·</v>
      </c>
      <c r="BK30" s="10" t="str">
        <f t="array" ref="BK30">IF(OR(AND(ISBLANK(S30:S34)),AND(ISBLANK(AN30:AN34)),AND(ISBLANK(X30:X34)),AND(ISBLANK(AS30:AS34))),"·",bdRateExtend(S30:S34,X30:X34,AN30:AN34,AS30:AS34))</f>
        <v>·</v>
      </c>
      <c r="BL30" s="10" t="str">
        <f t="array" ref="BL30">IF(OR(AND(ISBLANK(S30:S34)),AND(ISBLANK(AN30:AN34)),AND(ISBLANK(Y30:Y34)),AND(ISBLANK(AT30:AT34))),"·",bdRateExtend(S30:S34,Y30:Y34,AN30:AN34,AT30:AT34))</f>
        <v>·</v>
      </c>
      <c r="BM30" s="10" t="str">
        <f t="array" ref="BM30">IF(OR(AND(ISBLANK(M30:M34)),AND(ISBLANK(AH30:AH34)),AND(ISBLANK(Z30:Z34)),AND(ISBLANK(AU30:AU34))),"·",bdRateExtend(M30:M34,Z30:Z34,AH30:AH34,AU30:AU34))</f>
        <v>·</v>
      </c>
      <c r="BN30" s="10" t="str">
        <f t="array" ref="BN30">IF(OR(AND(ISBLANK(S30:S34)),AND(ISBLANK(AN30:AN34)),AND(ISBLANK(AA30:AA34)),AND(ISBLANK(AV30:AV34))),"·",bdRateExtend(S30:S34,AA30:AA34,AN30:AN34,AV30:AV34))</f>
        <v>·</v>
      </c>
      <c r="BP30" s="10">
        <f t="shared" si="8"/>
        <v>0</v>
      </c>
      <c r="BQ30" s="10">
        <f t="shared" si="9"/>
        <v>0</v>
      </c>
      <c r="BR30" s="10">
        <f t="shared" si="10"/>
        <v>0</v>
      </c>
      <c r="BS30" s="10">
        <f t="shared" si="11"/>
        <v>0</v>
      </c>
      <c r="BT30" s="10">
        <f t="shared" si="11"/>
        <v>0</v>
      </c>
    </row>
    <row r="31" spans="1:72" ht="15" customHeight="1" outlineLevel="1" x14ac:dyDescent="0.15">
      <c r="A31" s="36"/>
      <c r="B31" s="36" t="s">
        <v>69</v>
      </c>
      <c r="C31" s="37" t="s">
        <v>432</v>
      </c>
      <c r="D31" s="36">
        <v>5997654</v>
      </c>
      <c r="E31" s="38">
        <v>12</v>
      </c>
      <c r="F31" s="37">
        <v>32</v>
      </c>
      <c r="G31" s="37">
        <v>30</v>
      </c>
      <c r="H31" s="37">
        <v>8</v>
      </c>
      <c r="J31" s="49">
        <f t="shared" si="0"/>
        <v>6.9872174999999999</v>
      </c>
      <c r="K31" s="50">
        <f t="shared" si="1"/>
        <v>1.2426578792307792</v>
      </c>
      <c r="L31" s="37">
        <f t="shared" si="2"/>
        <v>7453032</v>
      </c>
      <c r="M31" s="37">
        <f t="shared" si="3"/>
        <v>1513192</v>
      </c>
      <c r="N31" s="51">
        <v>1220720</v>
      </c>
      <c r="O31" s="52">
        <v>7453032</v>
      </c>
      <c r="P31" s="52">
        <v>585992</v>
      </c>
      <c r="Q31" s="52">
        <v>108920</v>
      </c>
      <c r="R31" s="52">
        <v>818280</v>
      </c>
      <c r="S31" s="52">
        <v>5930632</v>
      </c>
      <c r="T31" s="52">
        <v>9208</v>
      </c>
      <c r="U31" s="67">
        <v>76.568342599999994</v>
      </c>
      <c r="V31" s="67">
        <v>78.661382399999994</v>
      </c>
      <c r="W31" s="67">
        <v>41.0505274</v>
      </c>
      <c r="X31" s="67">
        <v>45.922226799999997</v>
      </c>
      <c r="Y31" s="67">
        <v>44.750857799999999</v>
      </c>
      <c r="Z31" s="67">
        <v>48.374250400000001</v>
      </c>
      <c r="AA31" s="67">
        <v>36.842125199999998</v>
      </c>
      <c r="AB31" s="73">
        <v>3075.1514240000001</v>
      </c>
      <c r="AC31" s="73">
        <v>13.888648999999999</v>
      </c>
      <c r="AE31" s="49" t="str">
        <f t="shared" si="4"/>
        <v>·</v>
      </c>
      <c r="AF31" s="50" t="str">
        <f t="shared" si="5"/>
        <v>·</v>
      </c>
      <c r="AG31" s="37" t="str">
        <f t="shared" si="6"/>
        <v>.</v>
      </c>
      <c r="AH31" s="37" t="str">
        <f t="shared" si="7"/>
        <v>.</v>
      </c>
      <c r="AI31" s="51"/>
      <c r="AJ31" s="52"/>
      <c r="AK31" s="52"/>
      <c r="AL31" s="52"/>
      <c r="AM31" s="52"/>
      <c r="AN31" s="52"/>
      <c r="AO31" s="52"/>
      <c r="AP31" s="67"/>
      <c r="AQ31" s="67"/>
      <c r="AR31" s="67"/>
      <c r="AS31" s="67"/>
      <c r="AT31" s="67"/>
      <c r="AU31" s="67"/>
      <c r="AV31" s="67"/>
      <c r="AW31" s="73"/>
      <c r="AX31" s="73"/>
      <c r="AY31">
        <v>2435.0700000000002</v>
      </c>
      <c r="AZ31" s="6"/>
      <c r="BA31" s="6"/>
      <c r="BB31" s="6"/>
      <c r="BC31" s="6"/>
      <c r="BD31" s="6"/>
      <c r="BE31" s="6"/>
      <c r="BF31" s="6"/>
      <c r="BH31" s="6"/>
      <c r="BI31" s="6"/>
      <c r="BJ31" s="6"/>
      <c r="BK31" s="6"/>
      <c r="BL31" s="6"/>
      <c r="BM31" s="6"/>
      <c r="BN31" s="6"/>
      <c r="BP31" s="6">
        <f t="shared" si="8"/>
        <v>0</v>
      </c>
      <c r="BQ31" s="6">
        <f t="shared" si="9"/>
        <v>0</v>
      </c>
      <c r="BR31" s="6">
        <f t="shared" si="10"/>
        <v>0</v>
      </c>
      <c r="BS31" s="6">
        <f t="shared" si="11"/>
        <v>0</v>
      </c>
      <c r="BT31" s="6">
        <f t="shared" si="11"/>
        <v>0</v>
      </c>
    </row>
    <row r="32" spans="1:72" ht="15" customHeight="1" outlineLevel="1" x14ac:dyDescent="0.15">
      <c r="A32" s="39"/>
      <c r="B32" s="39" t="s">
        <v>69</v>
      </c>
      <c r="C32" s="40" t="s">
        <v>433</v>
      </c>
      <c r="D32" s="39">
        <v>5997654</v>
      </c>
      <c r="E32" s="41">
        <v>12</v>
      </c>
      <c r="F32" s="40">
        <v>32</v>
      </c>
      <c r="G32" s="40">
        <v>30</v>
      </c>
      <c r="H32" s="40">
        <v>12</v>
      </c>
      <c r="J32" s="53">
        <f t="shared" si="0"/>
        <v>10.125209999999999</v>
      </c>
      <c r="K32" s="54">
        <f t="shared" si="1"/>
        <v>1.8007414232298162</v>
      </c>
      <c r="L32" s="40">
        <f t="shared" si="2"/>
        <v>10800224</v>
      </c>
      <c r="M32" s="40">
        <f t="shared" si="3"/>
        <v>2859144</v>
      </c>
      <c r="N32" s="55">
        <v>4908880</v>
      </c>
      <c r="O32" s="56">
        <v>10800224</v>
      </c>
      <c r="P32" s="56">
        <v>1668192</v>
      </c>
      <c r="Q32" s="56">
        <v>319000</v>
      </c>
      <c r="R32" s="56">
        <v>871952</v>
      </c>
      <c r="S32" s="56">
        <v>7932112</v>
      </c>
      <c r="T32" s="56">
        <v>8968</v>
      </c>
      <c r="U32" s="68">
        <v>80.003583899999995</v>
      </c>
      <c r="V32" s="68">
        <v>83.053107800000006</v>
      </c>
      <c r="W32" s="68">
        <v>42.192708400000001</v>
      </c>
      <c r="X32" s="68">
        <v>46.6370182</v>
      </c>
      <c r="Y32" s="68">
        <v>45.707981099999998</v>
      </c>
      <c r="Z32" s="68">
        <v>50.753309199999997</v>
      </c>
      <c r="AA32" s="68">
        <v>39.090456199999998</v>
      </c>
      <c r="AB32" s="74">
        <v>9886.2311370000007</v>
      </c>
      <c r="AC32" s="74">
        <v>59.572147999999999</v>
      </c>
      <c r="AE32" s="53" t="str">
        <f t="shared" si="4"/>
        <v>·</v>
      </c>
      <c r="AF32" s="54" t="str">
        <f t="shared" si="5"/>
        <v>·</v>
      </c>
      <c r="AG32" s="40" t="str">
        <f t="shared" si="6"/>
        <v>.</v>
      </c>
      <c r="AH32" s="40" t="str">
        <f t="shared" si="7"/>
        <v>.</v>
      </c>
      <c r="AI32" s="55"/>
      <c r="AJ32" s="56"/>
      <c r="AK32" s="56"/>
      <c r="AL32" s="56"/>
      <c r="AM32" s="56"/>
      <c r="AN32" s="56"/>
      <c r="AO32" s="56"/>
      <c r="AP32" s="68"/>
      <c r="AQ32" s="68"/>
      <c r="AR32" s="68"/>
      <c r="AS32" s="68"/>
      <c r="AT32" s="68"/>
      <c r="AU32" s="68"/>
      <c r="AV32" s="68"/>
      <c r="AW32" s="74"/>
      <c r="AX32" s="74"/>
      <c r="AY32">
        <v>8519.0400000000009</v>
      </c>
      <c r="AZ32" s="10"/>
      <c r="BA32" s="10"/>
      <c r="BB32" s="10"/>
      <c r="BC32" s="10"/>
      <c r="BD32" s="10"/>
      <c r="BE32" s="10"/>
      <c r="BF32" s="10"/>
      <c r="BH32" s="10"/>
      <c r="BI32" s="10"/>
      <c r="BJ32" s="10"/>
      <c r="BK32" s="10"/>
      <c r="BL32" s="10"/>
      <c r="BM32" s="10"/>
      <c r="BN32" s="10"/>
      <c r="BP32" s="10">
        <f t="shared" si="8"/>
        <v>0</v>
      </c>
      <c r="BQ32" s="10">
        <f t="shared" si="9"/>
        <v>0</v>
      </c>
      <c r="BR32" s="10">
        <f t="shared" si="10"/>
        <v>0</v>
      </c>
      <c r="BS32" s="10">
        <f t="shared" si="11"/>
        <v>0</v>
      </c>
      <c r="BT32" s="10">
        <f t="shared" si="11"/>
        <v>0</v>
      </c>
    </row>
    <row r="33" spans="1:72" ht="15" customHeight="1" outlineLevel="1" x14ac:dyDescent="0.15">
      <c r="A33" s="36"/>
      <c r="B33" s="36" t="s">
        <v>69</v>
      </c>
      <c r="C33" s="37" t="s">
        <v>434</v>
      </c>
      <c r="D33" s="36">
        <v>5997654</v>
      </c>
      <c r="E33" s="38">
        <v>12</v>
      </c>
      <c r="F33" s="37">
        <v>32</v>
      </c>
      <c r="G33" s="37">
        <v>30</v>
      </c>
      <c r="H33" s="37">
        <v>17</v>
      </c>
      <c r="J33" s="49">
        <f t="shared" si="0"/>
        <v>14.43618</v>
      </c>
      <c r="K33" s="50">
        <f t="shared" si="1"/>
        <v>2.5674358674241629</v>
      </c>
      <c r="L33" s="37">
        <f t="shared" si="2"/>
        <v>15398592</v>
      </c>
      <c r="M33" s="37">
        <f t="shared" si="3"/>
        <v>3782824</v>
      </c>
      <c r="N33" s="51">
        <v>4908880</v>
      </c>
      <c r="O33" s="52">
        <v>15398592</v>
      </c>
      <c r="P33" s="52">
        <v>1668192</v>
      </c>
      <c r="Q33" s="52">
        <v>319000</v>
      </c>
      <c r="R33" s="52">
        <v>1795632</v>
      </c>
      <c r="S33" s="52">
        <v>11606536</v>
      </c>
      <c r="T33" s="52">
        <v>9232</v>
      </c>
      <c r="U33" s="67">
        <v>81.433875499999999</v>
      </c>
      <c r="V33" s="67">
        <v>85.377361500000006</v>
      </c>
      <c r="W33" s="67">
        <v>43.197819600000003</v>
      </c>
      <c r="X33" s="67">
        <v>47.7143388</v>
      </c>
      <c r="Y33" s="67">
        <v>46.906802900000002</v>
      </c>
      <c r="Z33" s="67">
        <v>51.750560900000004</v>
      </c>
      <c r="AA33" s="67">
        <v>40.305828099999999</v>
      </c>
      <c r="AB33" s="73">
        <v>10417.010764000001</v>
      </c>
      <c r="AC33" s="73">
        <v>65.566241000000005</v>
      </c>
      <c r="AE33" s="49" t="str">
        <f t="shared" si="4"/>
        <v>·</v>
      </c>
      <c r="AF33" s="50" t="str">
        <f t="shared" si="5"/>
        <v>·</v>
      </c>
      <c r="AG33" s="37" t="str">
        <f t="shared" si="6"/>
        <v>.</v>
      </c>
      <c r="AH33" s="37" t="str">
        <f t="shared" si="7"/>
        <v>.</v>
      </c>
      <c r="AI33" s="51"/>
      <c r="AJ33" s="52"/>
      <c r="AK33" s="52"/>
      <c r="AL33" s="52"/>
      <c r="AM33" s="52"/>
      <c r="AN33" s="52"/>
      <c r="AO33" s="52"/>
      <c r="AP33" s="67"/>
      <c r="AQ33" s="67"/>
      <c r="AR33" s="67"/>
      <c r="AS33" s="67"/>
      <c r="AT33" s="67"/>
      <c r="AU33" s="67"/>
      <c r="AV33" s="67"/>
      <c r="AW33" s="73"/>
      <c r="AX33" s="73"/>
      <c r="AY33">
        <v>8428.9</v>
      </c>
      <c r="AZ33" s="6"/>
      <c r="BA33" s="6"/>
      <c r="BB33" s="6"/>
      <c r="BC33" s="6"/>
      <c r="BD33" s="6"/>
      <c r="BE33" s="6"/>
      <c r="BF33" s="6"/>
      <c r="BH33" s="6"/>
      <c r="BI33" s="6"/>
      <c r="BJ33" s="6"/>
      <c r="BK33" s="6"/>
      <c r="BL33" s="6"/>
      <c r="BM33" s="6"/>
      <c r="BN33" s="6"/>
      <c r="BP33" s="6">
        <f t="shared" si="8"/>
        <v>0</v>
      </c>
      <c r="BQ33" s="6">
        <f t="shared" si="9"/>
        <v>0</v>
      </c>
      <c r="BR33" s="6">
        <f t="shared" si="10"/>
        <v>0</v>
      </c>
      <c r="BS33" s="6">
        <f t="shared" si="11"/>
        <v>0</v>
      </c>
      <c r="BT33" s="6">
        <f t="shared" si="11"/>
        <v>0</v>
      </c>
    </row>
    <row r="34" spans="1:72" ht="15.75" customHeight="1" outlineLevel="1" thickBot="1" x14ac:dyDescent="0.2">
      <c r="A34" s="39"/>
      <c r="B34" s="45" t="s">
        <v>69</v>
      </c>
      <c r="C34" s="46" t="s">
        <v>435</v>
      </c>
      <c r="D34" s="45">
        <v>5997654</v>
      </c>
      <c r="E34" s="47">
        <v>12</v>
      </c>
      <c r="F34" s="46">
        <v>32</v>
      </c>
      <c r="G34" s="46">
        <v>30</v>
      </c>
      <c r="H34" s="46">
        <v>25</v>
      </c>
      <c r="J34" s="61">
        <f t="shared" si="0"/>
        <v>21.114525</v>
      </c>
      <c r="K34" s="62">
        <f t="shared" si="1"/>
        <v>3.7551616015195273</v>
      </c>
      <c r="L34" s="46">
        <f t="shared" si="2"/>
        <v>22522160</v>
      </c>
      <c r="M34" s="46">
        <f t="shared" si="3"/>
        <v>5979728</v>
      </c>
      <c r="N34" s="63">
        <v>12284400</v>
      </c>
      <c r="O34" s="64">
        <v>22522160</v>
      </c>
      <c r="P34" s="64">
        <v>4447224</v>
      </c>
      <c r="Q34" s="64">
        <v>1173480</v>
      </c>
      <c r="R34" s="64">
        <v>359024</v>
      </c>
      <c r="S34" s="64">
        <v>16533752</v>
      </c>
      <c r="T34" s="64">
        <v>8680</v>
      </c>
      <c r="U34" s="70">
        <v>84.496476400000006</v>
      </c>
      <c r="V34" s="70">
        <v>89.212844500000003</v>
      </c>
      <c r="W34" s="70">
        <v>44.263981100000002</v>
      </c>
      <c r="X34" s="70">
        <v>48.425674000000001</v>
      </c>
      <c r="Y34" s="70">
        <v>47.749610500000003</v>
      </c>
      <c r="Z34" s="70">
        <v>54.256250600000001</v>
      </c>
      <c r="AA34" s="70">
        <v>42.334978599999999</v>
      </c>
      <c r="AB34" s="76">
        <v>13747.02828</v>
      </c>
      <c r="AC34" s="76">
        <v>62.321838999999997</v>
      </c>
      <c r="AE34" s="61" t="str">
        <f t="shared" si="4"/>
        <v>·</v>
      </c>
      <c r="AF34" s="62" t="str">
        <f t="shared" si="5"/>
        <v>·</v>
      </c>
      <c r="AG34" s="46" t="str">
        <f t="shared" si="6"/>
        <v>.</v>
      </c>
      <c r="AH34" s="46" t="str">
        <f t="shared" si="7"/>
        <v>.</v>
      </c>
      <c r="AI34" s="63"/>
      <c r="AJ34" s="64"/>
      <c r="AK34" s="64"/>
      <c r="AL34" s="64"/>
      <c r="AM34" s="64"/>
      <c r="AN34" s="64"/>
      <c r="AO34" s="64"/>
      <c r="AP34" s="70"/>
      <c r="AQ34" s="70"/>
      <c r="AR34" s="70"/>
      <c r="AS34" s="70"/>
      <c r="AT34" s="70"/>
      <c r="AU34" s="70"/>
      <c r="AV34" s="70"/>
      <c r="AW34" s="76"/>
      <c r="AX34" s="76"/>
      <c r="AY34">
        <v>10953.7</v>
      </c>
      <c r="AZ34" s="14"/>
      <c r="BA34" s="14"/>
      <c r="BB34" s="14"/>
      <c r="BC34" s="14"/>
      <c r="BD34" s="14"/>
      <c r="BE34" s="14"/>
      <c r="BF34" s="14"/>
      <c r="BH34" s="14"/>
      <c r="BI34" s="14"/>
      <c r="BJ34" s="14"/>
      <c r="BK34" s="14"/>
      <c r="BL34" s="14"/>
      <c r="BM34" s="14"/>
      <c r="BN34" s="14"/>
      <c r="BP34" s="14">
        <f t="shared" si="8"/>
        <v>0</v>
      </c>
      <c r="BQ34" s="14">
        <f t="shared" si="9"/>
        <v>0</v>
      </c>
      <c r="BR34" s="14">
        <f t="shared" si="10"/>
        <v>0</v>
      </c>
      <c r="BS34" s="14">
        <f t="shared" si="11"/>
        <v>0</v>
      </c>
      <c r="BT34" s="14">
        <f t="shared" si="11"/>
        <v>0</v>
      </c>
    </row>
    <row r="35" spans="1:72" ht="15" customHeight="1" x14ac:dyDescent="0.15">
      <c r="A35" s="36"/>
      <c r="B35" s="36" t="s">
        <v>74</v>
      </c>
      <c r="C35" s="37" t="s">
        <v>431</v>
      </c>
      <c r="D35" s="36">
        <v>9000000</v>
      </c>
      <c r="E35" s="38">
        <v>12</v>
      </c>
      <c r="F35" s="37">
        <v>32</v>
      </c>
      <c r="G35" s="37">
        <v>30</v>
      </c>
      <c r="H35" s="37">
        <v>3</v>
      </c>
      <c r="J35" s="49">
        <f t="shared" si="0"/>
        <v>2.8996724999999999</v>
      </c>
      <c r="K35" s="50">
        <f t="shared" si="1"/>
        <v>0.34366488888888891</v>
      </c>
      <c r="L35" s="37">
        <f t="shared" si="2"/>
        <v>3092984</v>
      </c>
      <c r="M35" s="37">
        <f t="shared" si="3"/>
        <v>792696</v>
      </c>
      <c r="N35" s="51">
        <v>3680704</v>
      </c>
      <c r="O35" s="52">
        <v>3092984</v>
      </c>
      <c r="P35" s="52">
        <v>418128</v>
      </c>
      <c r="Q35" s="52">
        <v>69000</v>
      </c>
      <c r="R35" s="52">
        <v>305568</v>
      </c>
      <c r="S35" s="52">
        <v>2290104</v>
      </c>
      <c r="T35" s="52">
        <v>10184</v>
      </c>
      <c r="U35" s="67">
        <v>73.723912499999997</v>
      </c>
      <c r="V35" s="67">
        <v>75.428009399999993</v>
      </c>
      <c r="W35" s="67">
        <v>30.175224799999999</v>
      </c>
      <c r="X35" s="67">
        <v>38.825280300000003</v>
      </c>
      <c r="Y35" s="67">
        <v>38.9464021</v>
      </c>
      <c r="Z35" s="67">
        <v>48.860739500000001</v>
      </c>
      <c r="AA35" s="67">
        <v>29.331433499999999</v>
      </c>
      <c r="AB35" s="73">
        <v>7499.4191929999997</v>
      </c>
      <c r="AC35" s="73">
        <v>57.275340999999997</v>
      </c>
      <c r="AE35" s="49" t="str">
        <f t="shared" si="4"/>
        <v>·</v>
      </c>
      <c r="AF35" s="50" t="str">
        <f t="shared" si="5"/>
        <v>·</v>
      </c>
      <c r="AG35" s="37" t="str">
        <f t="shared" si="6"/>
        <v>.</v>
      </c>
      <c r="AH35" s="37" t="str">
        <f t="shared" si="7"/>
        <v>.</v>
      </c>
      <c r="AI35" s="51"/>
      <c r="AJ35" s="52"/>
      <c r="AK35" s="52"/>
      <c r="AL35" s="52"/>
      <c r="AM35" s="52"/>
      <c r="AN35" s="52"/>
      <c r="AO35" s="52"/>
      <c r="AP35" s="67"/>
      <c r="AQ35" s="67"/>
      <c r="AR35" s="67"/>
      <c r="AS35" s="67"/>
      <c r="AT35" s="67"/>
      <c r="AU35" s="67"/>
      <c r="AV35" s="67"/>
      <c r="AW35" s="73"/>
      <c r="AX35" s="73"/>
      <c r="AY35">
        <v>7144.47</v>
      </c>
      <c r="AZ35" s="6" t="str">
        <f t="array" ref="AZ35">IF(OR(AND(ISBLANK(L35:L39)),AND(ISBLANK(AG35:AG39)),AND(ISBLANK(U35:U39)),AND(ISBLANK(AP35:AP39))),"·",bdRateExtend(L35:L39,U35:U39,AG35:AG39,AP35:AP39))</f>
        <v>·</v>
      </c>
      <c r="BA35" s="6" t="str">
        <f t="array" ref="BA35">IF(OR(AND(ISBLANK(L35:L39)),AND(ISBLANK(AG35:AG39)),AND(ISBLANK(V35:V39)),AND(ISBLANK(AQ35:AQ39))),"·",bdRateExtend(L35:L39,V35:V39,AG35:AG39,AQ35:AQ39))</f>
        <v>·</v>
      </c>
      <c r="BB35" s="6" t="str">
        <f t="array" ref="BB35">IF(OR(AND(ISBLANK(L35:L39)),AND(ISBLANK(AG35:AG39)),AND(ISBLANK(W35:W39)),AND(ISBLANK(AR35:AR39))),"·",bdRateExtend(L35:L39,W35:W39,AG35:AG39,AR35:AR39))</f>
        <v>·</v>
      </c>
      <c r="BC35" s="6" t="str">
        <f t="array" ref="BC35">IF(OR(AND(ISBLANK(L35:L39)),AND(ISBLANK(AG35:AG39)),AND(ISBLANK(X35:X39)),AND(ISBLANK(AS35:AS39))),"·",bdRateExtend(L35:L39,X35:X39,AG35:AG39,AS35:AS39))</f>
        <v>·</v>
      </c>
      <c r="BD35" s="6" t="str">
        <f t="array" ref="BD35">IF(OR(AND(ISBLANK(L35:L39)),AND(ISBLANK(AG35:AG39)),AND(ISBLANK(Y35:Y39)),AND(ISBLANK(AT35:AT39))),"·",bdRateExtend(L35:L39,Y35:Y39,AG35:AG39,AT35:AT39))</f>
        <v>·</v>
      </c>
      <c r="BE35" s="6" t="str">
        <f t="array" ref="BE35">IF(OR(AND(ISBLANK(L35:L39)),AND(ISBLANK(AG35:AG39)),AND(ISBLANK(Z35:Z39)),AND(ISBLANK(AU35:AU39))),"·",bdRateExtend(L35:L39,Z35:Z39,AG35:AG39,AU35:AU39))</f>
        <v>·</v>
      </c>
      <c r="BF35" s="6" t="str">
        <f t="array" ref="BF35">IF(OR(AND(ISBLANK(L35:L39)),AND(ISBLANK(AG35:AG39)),AND(ISBLANK(AA35:AA39)),AND(ISBLANK(AV35:AV39))),"·",bdRateExtend(L35:L39,AA35:AA39,AG35:AG39,AV35:AV39))</f>
        <v>·</v>
      </c>
      <c r="BH35" s="91" t="str">
        <f t="array" ref="BH35">IF(OR(AND(ISBLANK(M35:M39)),AND(ISBLANK(AH35:AH39)),AND(ISBLANK(U35:U39)),AND(ISBLANK(AP35:AP39))),"·",bdRateExtend(M35:M39,U35:U39,AH35:AH39,AP35:AP39))</f>
        <v>·</v>
      </c>
      <c r="BI35" s="6" t="str">
        <f t="array" ref="BI35">IF(OR(AND(ISBLANK(M35:M39)),AND(ISBLANK(AH35:AH39)),AND(ISBLANK(V35:V39)),AND(ISBLANK(AQ35:AQ39))),"·",bdRateExtend(M35:M39,V35:V39,AH35:AH39,AQ35:AQ39))</f>
        <v>·</v>
      </c>
      <c r="BJ35" s="6" t="str">
        <f t="array" ref="BJ35">IF(OR(AND(ISBLANK(S35:S39)),AND(ISBLANK(AN35:AN39)),AND(ISBLANK(W35:W39)),AND(ISBLANK(AR35:AR39))),"·",bdRateExtend(S35:S39,W35:W39,AN35:AN39,AR35:AR39))</f>
        <v>·</v>
      </c>
      <c r="BK35" s="6" t="str">
        <f t="array" ref="BK35">IF(OR(AND(ISBLANK(S35:S39)),AND(ISBLANK(AN35:AN39)),AND(ISBLANK(X35:X39)),AND(ISBLANK(AS35:AS39))),"·",bdRateExtend(S35:S39,X35:X39,AN35:AN39,AS35:AS39))</f>
        <v>·</v>
      </c>
      <c r="BL35" s="6" t="str">
        <f t="array" ref="BL35">IF(OR(AND(ISBLANK(S35:S39)),AND(ISBLANK(AN35:AN39)),AND(ISBLANK(Y35:Y39)),AND(ISBLANK(AT35:AT39))),"·",bdRateExtend(S35:S39,Y35:Y39,AN35:AN39,AT35:AT39))</f>
        <v>·</v>
      </c>
      <c r="BM35" s="6" t="str">
        <f t="array" ref="BM35">IF(OR(AND(ISBLANK(M35:M39)),AND(ISBLANK(AH35:AH39)),AND(ISBLANK(Z35:Z39)),AND(ISBLANK(AU35:AU39))),"·",bdRateExtend(M35:M39,Z35:Z39,AH35:AH39,AU35:AU39))</f>
        <v>·</v>
      </c>
      <c r="BN35" s="6" t="str">
        <f t="array" ref="BN35">IF(OR(AND(ISBLANK(S35:S39)),AND(ISBLANK(AN35:AN39)),AND(ISBLANK(AA35:AA39)),AND(ISBLANK(AV35:AV39))),"·",bdRateExtend(S35:S39,AA35:AA39,AN35:AN39,AV35:AV39))</f>
        <v>·</v>
      </c>
      <c r="BP35" s="6">
        <f t="shared" si="8"/>
        <v>0</v>
      </c>
      <c r="BQ35" s="6">
        <f t="shared" si="9"/>
        <v>0</v>
      </c>
      <c r="BR35" s="6">
        <f t="shared" si="10"/>
        <v>0</v>
      </c>
      <c r="BS35" s="6">
        <f t="shared" si="11"/>
        <v>0</v>
      </c>
      <c r="BT35" s="6">
        <f t="shared" si="11"/>
        <v>0</v>
      </c>
    </row>
    <row r="36" spans="1:72" ht="15" customHeight="1" outlineLevel="1" x14ac:dyDescent="0.15">
      <c r="A36" s="39"/>
      <c r="B36" s="39" t="s">
        <v>74</v>
      </c>
      <c r="C36" s="40" t="s">
        <v>432</v>
      </c>
      <c r="D36" s="39">
        <v>9000000</v>
      </c>
      <c r="E36" s="41">
        <v>12</v>
      </c>
      <c r="F36" s="40">
        <v>32</v>
      </c>
      <c r="G36" s="40">
        <v>30</v>
      </c>
      <c r="H36" s="40">
        <v>4</v>
      </c>
      <c r="J36" s="53">
        <f t="shared" si="0"/>
        <v>3.9008324999999999</v>
      </c>
      <c r="K36" s="54">
        <f t="shared" si="1"/>
        <v>0.46232088888888889</v>
      </c>
      <c r="L36" s="40">
        <f t="shared" si="2"/>
        <v>4160888</v>
      </c>
      <c r="M36" s="40">
        <f t="shared" si="3"/>
        <v>928824</v>
      </c>
      <c r="N36" s="55">
        <v>7364992</v>
      </c>
      <c r="O36" s="56">
        <v>4160888</v>
      </c>
      <c r="P36" s="56">
        <v>666928</v>
      </c>
      <c r="Q36" s="56">
        <v>132408</v>
      </c>
      <c r="R36" s="56">
        <v>129488</v>
      </c>
      <c r="S36" s="56">
        <v>3222040</v>
      </c>
      <c r="T36" s="56">
        <v>10024</v>
      </c>
      <c r="U36" s="68">
        <v>74.039069499999997</v>
      </c>
      <c r="V36" s="68">
        <v>75.754838300000003</v>
      </c>
      <c r="W36" s="68">
        <v>30.6384121</v>
      </c>
      <c r="X36" s="68">
        <v>38.947303599999998</v>
      </c>
      <c r="Y36" s="68">
        <v>39.072815599999998</v>
      </c>
      <c r="Z36" s="68">
        <v>49.124562300000001</v>
      </c>
      <c r="AA36" s="68">
        <v>29.6733428</v>
      </c>
      <c r="AB36" s="74">
        <v>7995.1012559999999</v>
      </c>
      <c r="AC36" s="74">
        <v>63.323793000000002</v>
      </c>
      <c r="AE36" s="53" t="str">
        <f t="shared" si="4"/>
        <v>·</v>
      </c>
      <c r="AF36" s="54" t="str">
        <f t="shared" si="5"/>
        <v>·</v>
      </c>
      <c r="AG36" s="40" t="str">
        <f t="shared" si="6"/>
        <v>.</v>
      </c>
      <c r="AH36" s="40" t="str">
        <f t="shared" si="7"/>
        <v>.</v>
      </c>
      <c r="AI36" s="55"/>
      <c r="AJ36" s="56"/>
      <c r="AK36" s="56"/>
      <c r="AL36" s="56"/>
      <c r="AM36" s="56"/>
      <c r="AN36" s="56"/>
      <c r="AO36" s="56"/>
      <c r="AP36" s="68"/>
      <c r="AQ36" s="68"/>
      <c r="AR36" s="68"/>
      <c r="AS36" s="68"/>
      <c r="AT36" s="68"/>
      <c r="AU36" s="68"/>
      <c r="AV36" s="68"/>
      <c r="AW36" s="74"/>
      <c r="AX36" s="74"/>
      <c r="AY36">
        <v>7769.96</v>
      </c>
      <c r="AZ36" s="10"/>
      <c r="BA36" s="10"/>
      <c r="BB36" s="10"/>
      <c r="BC36" s="10"/>
      <c r="BD36" s="10"/>
      <c r="BE36" s="10"/>
      <c r="BF36" s="10"/>
      <c r="BH36" s="10"/>
      <c r="BI36" s="10"/>
      <c r="BJ36" s="10"/>
      <c r="BK36" s="10"/>
      <c r="BL36" s="10"/>
      <c r="BM36" s="10"/>
      <c r="BN36" s="10"/>
      <c r="BP36" s="10">
        <f t="shared" si="8"/>
        <v>0</v>
      </c>
      <c r="BQ36" s="10">
        <f t="shared" si="9"/>
        <v>0</v>
      </c>
      <c r="BR36" s="10">
        <f t="shared" si="10"/>
        <v>0</v>
      </c>
      <c r="BS36" s="10">
        <f t="shared" si="11"/>
        <v>0</v>
      </c>
      <c r="BT36" s="10">
        <f t="shared" si="11"/>
        <v>0</v>
      </c>
    </row>
    <row r="37" spans="1:72" ht="15" customHeight="1" outlineLevel="1" x14ac:dyDescent="0.15">
      <c r="A37" s="36"/>
      <c r="B37" s="36" t="s">
        <v>74</v>
      </c>
      <c r="C37" s="37" t="s">
        <v>433</v>
      </c>
      <c r="D37" s="36">
        <v>9000000</v>
      </c>
      <c r="E37" s="38">
        <v>12</v>
      </c>
      <c r="F37" s="37">
        <v>32</v>
      </c>
      <c r="G37" s="37">
        <v>30</v>
      </c>
      <c r="H37" s="37">
        <v>6</v>
      </c>
      <c r="J37" s="49">
        <f t="shared" si="0"/>
        <v>5.7917325000000002</v>
      </c>
      <c r="K37" s="50">
        <f t="shared" si="1"/>
        <v>0.68642755555555557</v>
      </c>
      <c r="L37" s="37">
        <f t="shared" si="2"/>
        <v>6177848</v>
      </c>
      <c r="M37" s="37">
        <f t="shared" si="3"/>
        <v>1237576</v>
      </c>
      <c r="N37" s="51">
        <v>7364992</v>
      </c>
      <c r="O37" s="52">
        <v>6177848</v>
      </c>
      <c r="P37" s="52">
        <v>666928</v>
      </c>
      <c r="Q37" s="52">
        <v>132408</v>
      </c>
      <c r="R37" s="52">
        <v>438240</v>
      </c>
      <c r="S37" s="52">
        <v>4930168</v>
      </c>
      <c r="T37" s="52">
        <v>10104</v>
      </c>
      <c r="U37" s="67">
        <v>76.779802900000007</v>
      </c>
      <c r="V37" s="67">
        <v>78.950369300000006</v>
      </c>
      <c r="W37" s="67">
        <v>31.270876600000001</v>
      </c>
      <c r="X37" s="67">
        <v>39.027085300000003</v>
      </c>
      <c r="Y37" s="67">
        <v>39.231578900000002</v>
      </c>
      <c r="Z37" s="67">
        <v>50.689145400000001</v>
      </c>
      <c r="AA37" s="67">
        <v>30.4461111</v>
      </c>
      <c r="AB37" s="73">
        <v>8075.7164940000002</v>
      </c>
      <c r="AC37" s="73">
        <v>66.917877000000004</v>
      </c>
      <c r="AE37" s="49" t="str">
        <f t="shared" si="4"/>
        <v>·</v>
      </c>
      <c r="AF37" s="50" t="str">
        <f t="shared" si="5"/>
        <v>·</v>
      </c>
      <c r="AG37" s="37" t="str">
        <f t="shared" si="6"/>
        <v>.</v>
      </c>
      <c r="AH37" s="37" t="str">
        <f t="shared" si="7"/>
        <v>.</v>
      </c>
      <c r="AI37" s="51"/>
      <c r="AJ37" s="52"/>
      <c r="AK37" s="52"/>
      <c r="AL37" s="52"/>
      <c r="AM37" s="52"/>
      <c r="AN37" s="52"/>
      <c r="AO37" s="52"/>
      <c r="AP37" s="67"/>
      <c r="AQ37" s="67"/>
      <c r="AR37" s="67"/>
      <c r="AS37" s="67"/>
      <c r="AT37" s="67"/>
      <c r="AU37" s="67"/>
      <c r="AV37" s="67"/>
      <c r="AW37" s="73"/>
      <c r="AX37" s="73"/>
      <c r="AY37">
        <v>7865.67</v>
      </c>
      <c r="AZ37" s="6"/>
      <c r="BA37" s="6"/>
      <c r="BB37" s="6"/>
      <c r="BC37" s="6"/>
      <c r="BD37" s="6"/>
      <c r="BE37" s="6"/>
      <c r="BF37" s="6"/>
      <c r="BH37" s="6"/>
      <c r="BI37" s="6"/>
      <c r="BJ37" s="6"/>
      <c r="BK37" s="6"/>
      <c r="BL37" s="6"/>
      <c r="BM37" s="6"/>
      <c r="BN37" s="6"/>
      <c r="BP37" s="6">
        <f t="shared" si="8"/>
        <v>0</v>
      </c>
      <c r="BQ37" s="6">
        <f t="shared" si="9"/>
        <v>0</v>
      </c>
      <c r="BR37" s="6">
        <f t="shared" si="10"/>
        <v>0</v>
      </c>
      <c r="BS37" s="6">
        <f t="shared" si="11"/>
        <v>0</v>
      </c>
      <c r="BT37" s="6">
        <f t="shared" si="11"/>
        <v>0</v>
      </c>
    </row>
    <row r="38" spans="1:72" ht="15" customHeight="1" outlineLevel="1" x14ac:dyDescent="0.15">
      <c r="A38" s="39"/>
      <c r="B38" s="39" t="s">
        <v>74</v>
      </c>
      <c r="C38" s="40" t="s">
        <v>434</v>
      </c>
      <c r="D38" s="39">
        <v>9000000</v>
      </c>
      <c r="E38" s="41">
        <v>12</v>
      </c>
      <c r="F38" s="40">
        <v>32</v>
      </c>
      <c r="G38" s="40">
        <v>30</v>
      </c>
      <c r="H38" s="40">
        <v>8</v>
      </c>
      <c r="J38" s="53">
        <f t="shared" si="0"/>
        <v>7.6958175000000004</v>
      </c>
      <c r="K38" s="54">
        <f t="shared" si="1"/>
        <v>0.91209688888888885</v>
      </c>
      <c r="L38" s="40">
        <f t="shared" si="2"/>
        <v>8208872</v>
      </c>
      <c r="M38" s="40">
        <f t="shared" si="3"/>
        <v>2022600</v>
      </c>
      <c r="N38" s="55">
        <v>14733568</v>
      </c>
      <c r="O38" s="56">
        <v>8208872</v>
      </c>
      <c r="P38" s="56">
        <v>1300264</v>
      </c>
      <c r="Q38" s="56">
        <v>316856</v>
      </c>
      <c r="R38" s="56">
        <v>405480</v>
      </c>
      <c r="S38" s="56">
        <v>6176256</v>
      </c>
      <c r="T38" s="56">
        <v>10016</v>
      </c>
      <c r="U38" s="68">
        <v>79.390922000000003</v>
      </c>
      <c r="V38" s="68">
        <v>82.222752099999994</v>
      </c>
      <c r="W38" s="68">
        <v>31.690460999999999</v>
      </c>
      <c r="X38" s="68">
        <v>39.108295300000002</v>
      </c>
      <c r="Y38" s="68">
        <v>39.387587600000003</v>
      </c>
      <c r="Z38" s="68">
        <v>52.037329399999997</v>
      </c>
      <c r="AA38" s="68">
        <v>31.0457073</v>
      </c>
      <c r="AB38" s="74">
        <v>9034.4337190000006</v>
      </c>
      <c r="AC38" s="74">
        <v>74.558865999999995</v>
      </c>
      <c r="AE38" s="53" t="str">
        <f t="shared" si="4"/>
        <v>·</v>
      </c>
      <c r="AF38" s="54" t="str">
        <f t="shared" si="5"/>
        <v>·</v>
      </c>
      <c r="AG38" s="40" t="str">
        <f t="shared" si="6"/>
        <v>.</v>
      </c>
      <c r="AH38" s="40" t="str">
        <f t="shared" si="7"/>
        <v>.</v>
      </c>
      <c r="AI38" s="55"/>
      <c r="AJ38" s="56"/>
      <c r="AK38" s="56"/>
      <c r="AL38" s="56"/>
      <c r="AM38" s="56"/>
      <c r="AN38" s="56"/>
      <c r="AO38" s="56"/>
      <c r="AP38" s="68"/>
      <c r="AQ38" s="68"/>
      <c r="AR38" s="68"/>
      <c r="AS38" s="68"/>
      <c r="AT38" s="68"/>
      <c r="AU38" s="68"/>
      <c r="AV38" s="68"/>
      <c r="AW38" s="74"/>
      <c r="AX38" s="74"/>
      <c r="AY38">
        <v>8849.64</v>
      </c>
      <c r="AZ38" s="10"/>
      <c r="BA38" s="10"/>
      <c r="BB38" s="10"/>
      <c r="BC38" s="10"/>
      <c r="BD38" s="10"/>
      <c r="BE38" s="10"/>
      <c r="BF38" s="10"/>
      <c r="BH38" s="10"/>
      <c r="BI38" s="10"/>
      <c r="BJ38" s="10"/>
      <c r="BK38" s="10"/>
      <c r="BL38" s="10"/>
      <c r="BM38" s="10"/>
      <c r="BN38" s="10"/>
      <c r="BP38" s="10">
        <f t="shared" si="8"/>
        <v>0</v>
      </c>
      <c r="BQ38" s="10">
        <f t="shared" si="9"/>
        <v>0</v>
      </c>
      <c r="BR38" s="10">
        <f t="shared" si="10"/>
        <v>0</v>
      </c>
      <c r="BS38" s="10">
        <f t="shared" si="11"/>
        <v>0</v>
      </c>
      <c r="BT38" s="10">
        <f t="shared" si="11"/>
        <v>0</v>
      </c>
    </row>
    <row r="39" spans="1:72" ht="15.75" customHeight="1" outlineLevel="1" thickBot="1" x14ac:dyDescent="0.2">
      <c r="A39" s="36"/>
      <c r="B39" s="42" t="s">
        <v>74</v>
      </c>
      <c r="C39" s="43" t="s">
        <v>435</v>
      </c>
      <c r="D39" s="42">
        <v>9000000</v>
      </c>
      <c r="E39" s="44">
        <v>12</v>
      </c>
      <c r="F39" s="43">
        <v>32</v>
      </c>
      <c r="G39" s="43">
        <v>30</v>
      </c>
      <c r="H39" s="43">
        <v>12</v>
      </c>
      <c r="J39" s="57">
        <f t="shared" si="0"/>
        <v>11.566784999999999</v>
      </c>
      <c r="K39" s="58">
        <f t="shared" si="1"/>
        <v>1.3708782222222222</v>
      </c>
      <c r="L39" s="43">
        <f t="shared" si="2"/>
        <v>12337904</v>
      </c>
      <c r="M39" s="43">
        <f t="shared" si="3"/>
        <v>2651488</v>
      </c>
      <c r="N39" s="59">
        <v>22099520</v>
      </c>
      <c r="O39" s="60">
        <v>12337904</v>
      </c>
      <c r="P39" s="60">
        <v>1830208</v>
      </c>
      <c r="Q39" s="60">
        <v>455360</v>
      </c>
      <c r="R39" s="60">
        <v>365920</v>
      </c>
      <c r="S39" s="60">
        <v>9676808</v>
      </c>
      <c r="T39" s="60">
        <v>9608</v>
      </c>
      <c r="U39" s="69">
        <v>80.708058899999997</v>
      </c>
      <c r="V39" s="69">
        <v>84.004032899999999</v>
      </c>
      <c r="W39" s="69">
        <v>32.461677399999999</v>
      </c>
      <c r="X39" s="69">
        <v>39.193198299999999</v>
      </c>
      <c r="Y39" s="69">
        <v>39.520949799999997</v>
      </c>
      <c r="Z39" s="69">
        <v>52.9035169</v>
      </c>
      <c r="AA39" s="69">
        <v>31.7921397</v>
      </c>
      <c r="AB39" s="75">
        <v>10040.327773999999</v>
      </c>
      <c r="AC39" s="75">
        <v>79.926984000000004</v>
      </c>
      <c r="AE39" s="57" t="str">
        <f t="shared" si="4"/>
        <v>·</v>
      </c>
      <c r="AF39" s="58" t="str">
        <f t="shared" si="5"/>
        <v>·</v>
      </c>
      <c r="AG39" s="43" t="str">
        <f t="shared" si="6"/>
        <v>.</v>
      </c>
      <c r="AH39" s="43" t="str">
        <f t="shared" si="7"/>
        <v>.</v>
      </c>
      <c r="AI39" s="59"/>
      <c r="AJ39" s="60"/>
      <c r="AK39" s="60"/>
      <c r="AL39" s="60"/>
      <c r="AM39" s="60"/>
      <c r="AN39" s="60"/>
      <c r="AO39" s="60"/>
      <c r="AP39" s="69"/>
      <c r="AQ39" s="69"/>
      <c r="AR39" s="69"/>
      <c r="AS39" s="69"/>
      <c r="AT39" s="69"/>
      <c r="AU39" s="69"/>
      <c r="AV39" s="69"/>
      <c r="AW39" s="75"/>
      <c r="AX39" s="75"/>
      <c r="AY39">
        <v>9909.3799999999992</v>
      </c>
      <c r="AZ39" s="85"/>
      <c r="BA39" s="85"/>
      <c r="BB39" s="85"/>
      <c r="BC39" s="85"/>
      <c r="BD39" s="85"/>
      <c r="BE39" s="85"/>
      <c r="BF39" s="85"/>
      <c r="BH39" s="85"/>
      <c r="BI39" s="85"/>
      <c r="BJ39" s="85"/>
      <c r="BK39" s="85"/>
      <c r="BL39" s="85"/>
      <c r="BM39" s="85"/>
      <c r="BN39" s="85"/>
      <c r="BP39" s="85">
        <f t="shared" si="8"/>
        <v>0</v>
      </c>
      <c r="BQ39" s="85">
        <f t="shared" si="9"/>
        <v>0</v>
      </c>
      <c r="BR39" s="85">
        <f t="shared" si="10"/>
        <v>0</v>
      </c>
      <c r="BS39" s="85">
        <f t="shared" si="11"/>
        <v>0</v>
      </c>
      <c r="BT39" s="85">
        <f t="shared" si="11"/>
        <v>0</v>
      </c>
    </row>
    <row r="40" spans="1:72" ht="15" customHeight="1" x14ac:dyDescent="0.15">
      <c r="A40" s="39"/>
      <c r="B40" s="39" t="s">
        <v>79</v>
      </c>
      <c r="C40" s="40" t="s">
        <v>431</v>
      </c>
      <c r="D40" s="39">
        <v>9000000</v>
      </c>
      <c r="E40" s="41">
        <v>12</v>
      </c>
      <c r="F40" s="40">
        <v>32</v>
      </c>
      <c r="G40" s="40">
        <v>30</v>
      </c>
      <c r="H40" s="40">
        <v>3</v>
      </c>
      <c r="J40" s="53">
        <f t="shared" si="0"/>
        <v>2.8098299999999998</v>
      </c>
      <c r="K40" s="54">
        <f t="shared" si="1"/>
        <v>0.33301688888888886</v>
      </c>
      <c r="L40" s="40">
        <f t="shared" si="2"/>
        <v>2997152</v>
      </c>
      <c r="M40" s="40">
        <f t="shared" si="3"/>
        <v>636408</v>
      </c>
      <c r="N40" s="55">
        <v>3682048</v>
      </c>
      <c r="O40" s="56">
        <v>2997152</v>
      </c>
      <c r="P40" s="56">
        <v>339832</v>
      </c>
      <c r="Q40" s="56">
        <v>7304</v>
      </c>
      <c r="R40" s="56">
        <v>289272</v>
      </c>
      <c r="S40" s="56">
        <v>2350040</v>
      </c>
      <c r="T40" s="56">
        <v>10704</v>
      </c>
      <c r="U40" s="68">
        <v>74.765563200000003</v>
      </c>
      <c r="V40" s="68">
        <v>76.394318600000005</v>
      </c>
      <c r="W40" s="68">
        <v>33.346512400000002</v>
      </c>
      <c r="X40" s="68">
        <v>42.554039799999998</v>
      </c>
      <c r="Y40" s="68">
        <v>42.961681599999999</v>
      </c>
      <c r="Z40" s="68">
        <v>49.467248300000001</v>
      </c>
      <c r="AA40" s="68">
        <v>32.488805900000003</v>
      </c>
      <c r="AB40" s="74">
        <v>6705.8815379999996</v>
      </c>
      <c r="AC40" s="74">
        <v>53.110914000000001</v>
      </c>
      <c r="AE40" s="53" t="str">
        <f t="shared" si="4"/>
        <v>·</v>
      </c>
      <c r="AF40" s="54" t="str">
        <f t="shared" si="5"/>
        <v>·</v>
      </c>
      <c r="AG40" s="40" t="str">
        <f t="shared" si="6"/>
        <v>.</v>
      </c>
      <c r="AH40" s="40" t="str">
        <f t="shared" si="7"/>
        <v>.</v>
      </c>
      <c r="AI40" s="55"/>
      <c r="AJ40" s="56"/>
      <c r="AK40" s="56"/>
      <c r="AL40" s="56"/>
      <c r="AM40" s="56"/>
      <c r="AN40" s="56"/>
      <c r="AO40" s="56"/>
      <c r="AP40" s="68"/>
      <c r="AQ40" s="68"/>
      <c r="AR40" s="68"/>
      <c r="AS40" s="68"/>
      <c r="AT40" s="68"/>
      <c r="AU40" s="68"/>
      <c r="AV40" s="68"/>
      <c r="AW40" s="74"/>
      <c r="AX40" s="74"/>
      <c r="AY40">
        <v>7181.57</v>
      </c>
      <c r="AZ40" s="10" t="str">
        <f t="array" ref="AZ40">IF(OR(AND(ISBLANK(L40:L44)),AND(ISBLANK(AG40:AG44)),AND(ISBLANK(U40:U44)),AND(ISBLANK(AP40:AP44))),"·",bdRateExtend(L40:L44,U40:U44,AG40:AG44,AP40:AP44))</f>
        <v>·</v>
      </c>
      <c r="BA40" s="10" t="str">
        <f t="array" ref="BA40">IF(OR(AND(ISBLANK(L40:L44)),AND(ISBLANK(AG40:AG44)),AND(ISBLANK(V40:V44)),AND(ISBLANK(AQ40:AQ44))),"·",bdRateExtend(L40:L44,V40:V44,AG40:AG44,AQ40:AQ44))</f>
        <v>·</v>
      </c>
      <c r="BB40" s="10" t="str">
        <f t="array" ref="BB40">IF(OR(AND(ISBLANK(L40:L44)),AND(ISBLANK(AG40:AG44)),AND(ISBLANK(W40:W44)),AND(ISBLANK(AR40:AR44))),"·",bdRateExtend(L40:L44,W40:W44,AG40:AG44,AR40:AR44))</f>
        <v>·</v>
      </c>
      <c r="BC40" s="10" t="str">
        <f t="array" ref="BC40">IF(OR(AND(ISBLANK(L40:L44)),AND(ISBLANK(AG40:AG44)),AND(ISBLANK(X40:X44)),AND(ISBLANK(AS40:AS44))),"·",bdRateExtend(L40:L44,X40:X44,AG40:AG44,AS40:AS44))</f>
        <v>·</v>
      </c>
      <c r="BD40" s="10" t="str">
        <f t="array" ref="BD40">IF(OR(AND(ISBLANK(L40:L44)),AND(ISBLANK(AG40:AG44)),AND(ISBLANK(Y40:Y44)),AND(ISBLANK(AT40:AT44))),"·",bdRateExtend(L40:L44,Y40:Y44,AG40:AG44,AT40:AT44))</f>
        <v>·</v>
      </c>
      <c r="BE40" s="10" t="str">
        <f t="array" ref="BE40">IF(OR(AND(ISBLANK(L40:L44)),AND(ISBLANK(AG40:AG44)),AND(ISBLANK(Z40:Z44)),AND(ISBLANK(AU40:AU44))),"·",bdRateExtend(L40:L44,Z40:Z44,AG40:AG44,AU40:AU44))</f>
        <v>·</v>
      </c>
      <c r="BF40" s="10" t="str">
        <f t="array" ref="BF40">IF(OR(AND(ISBLANK(L40:L44)),AND(ISBLANK(AG40:AG44)),AND(ISBLANK(AA40:AA44)),AND(ISBLANK(AV40:AV44))),"·",bdRateExtend(L40:L44,AA40:AA44,AG40:AG44,AV40:AV44))</f>
        <v>·</v>
      </c>
      <c r="BH40" s="10" t="str">
        <f t="array" ref="BH40">IF(OR(AND(ISBLANK(M40:M44)),AND(ISBLANK(AH40:AH44)),AND(ISBLANK(U40:U44)),AND(ISBLANK(AP40:AP44))),"·",bdRateExtend(M40:M44,U40:U44,AH40:AH44,AP40:AP44))</f>
        <v>·</v>
      </c>
      <c r="BI40" s="10" t="str">
        <f t="array" ref="BI40">IF(OR(AND(ISBLANK(M40:M44)),AND(ISBLANK(AH40:AH44)),AND(ISBLANK(V40:V44)),AND(ISBLANK(AQ40:AQ44))),"·",bdRateExtend(M40:M44,V40:V44,AH40:AH44,AQ40:AQ44))</f>
        <v>·</v>
      </c>
      <c r="BJ40" s="10" t="str">
        <f t="array" ref="BJ40">IF(OR(AND(ISBLANK(S40:S44)),AND(ISBLANK(AN40:AN44)),AND(ISBLANK(W40:W44)),AND(ISBLANK(AR40:AR44))),"·",bdRateExtend(S40:S44,W40:W44,AN40:AN44,AR40:AR44))</f>
        <v>·</v>
      </c>
      <c r="BK40" s="10" t="str">
        <f t="array" ref="BK40">IF(OR(AND(ISBLANK(S40:S44)),AND(ISBLANK(AN40:AN44)),AND(ISBLANK(X40:X44)),AND(ISBLANK(AS40:AS44))),"·",bdRateExtend(S40:S44,X40:X44,AN40:AN44,AS40:AS44))</f>
        <v>·</v>
      </c>
      <c r="BL40" s="10" t="str">
        <f t="array" ref="BL40">IF(OR(AND(ISBLANK(S40:S44)),AND(ISBLANK(AN40:AN44)),AND(ISBLANK(Y40:Y44)),AND(ISBLANK(AT40:AT44))),"·",bdRateExtend(S40:S44,Y40:Y44,AN40:AN44,AT40:AT44))</f>
        <v>·</v>
      </c>
      <c r="BM40" s="10" t="str">
        <f t="array" ref="BM40">IF(OR(AND(ISBLANK(M40:M44)),AND(ISBLANK(AH40:AH44)),AND(ISBLANK(Z40:Z44)),AND(ISBLANK(AU40:AU44))),"·",bdRateExtend(M40:M44,Z40:Z44,AH40:AH44,AU40:AU44))</f>
        <v>·</v>
      </c>
      <c r="BN40" s="10" t="str">
        <f t="array" ref="BN40">IF(OR(AND(ISBLANK(S40:S44)),AND(ISBLANK(AN40:AN44)),AND(ISBLANK(AA40:AA44)),AND(ISBLANK(AV40:AV44))),"·",bdRateExtend(S40:S44,AA40:AA44,AN40:AN44,AV40:AV44))</f>
        <v>·</v>
      </c>
      <c r="BP40" s="10">
        <f t="shared" si="8"/>
        <v>0</v>
      </c>
      <c r="BQ40" s="10">
        <f t="shared" si="9"/>
        <v>0</v>
      </c>
      <c r="BR40" s="10">
        <f t="shared" si="10"/>
        <v>0</v>
      </c>
      <c r="BS40" s="10">
        <f t="shared" si="11"/>
        <v>0</v>
      </c>
      <c r="BT40" s="10">
        <f t="shared" si="11"/>
        <v>0</v>
      </c>
    </row>
    <row r="41" spans="1:72" ht="15" customHeight="1" outlineLevel="1" x14ac:dyDescent="0.15">
      <c r="A41" s="36"/>
      <c r="B41" s="36" t="s">
        <v>79</v>
      </c>
      <c r="C41" s="37" t="s">
        <v>432</v>
      </c>
      <c r="D41" s="36">
        <v>9000000</v>
      </c>
      <c r="E41" s="38">
        <v>12</v>
      </c>
      <c r="F41" s="37">
        <v>32</v>
      </c>
      <c r="G41" s="37">
        <v>30</v>
      </c>
      <c r="H41" s="37">
        <v>4</v>
      </c>
      <c r="J41" s="49">
        <f t="shared" si="0"/>
        <v>3.6545325000000002</v>
      </c>
      <c r="K41" s="50">
        <f t="shared" si="1"/>
        <v>0.43312977777777778</v>
      </c>
      <c r="L41" s="37">
        <f t="shared" si="2"/>
        <v>3898168</v>
      </c>
      <c r="M41" s="37">
        <f t="shared" si="3"/>
        <v>1017912</v>
      </c>
      <c r="N41" s="51">
        <v>7369024</v>
      </c>
      <c r="O41" s="52">
        <v>3898168</v>
      </c>
      <c r="P41" s="52">
        <v>653240</v>
      </c>
      <c r="Q41" s="52">
        <v>68496</v>
      </c>
      <c r="R41" s="52">
        <v>296176</v>
      </c>
      <c r="S41" s="52">
        <v>2870160</v>
      </c>
      <c r="T41" s="52">
        <v>10096</v>
      </c>
      <c r="U41" s="67">
        <v>76.732968600000007</v>
      </c>
      <c r="V41" s="67">
        <v>78.667444500000002</v>
      </c>
      <c r="W41" s="67">
        <v>33.651097800000002</v>
      </c>
      <c r="X41" s="67">
        <v>42.725312000000002</v>
      </c>
      <c r="Y41" s="67">
        <v>43.177730500000003</v>
      </c>
      <c r="Z41" s="67">
        <v>50.856106699999998</v>
      </c>
      <c r="AA41" s="67">
        <v>32.993529799999997</v>
      </c>
      <c r="AB41" s="73">
        <v>7285.8395829999999</v>
      </c>
      <c r="AC41" s="73">
        <v>64.645169999999993</v>
      </c>
      <c r="AE41" s="49" t="str">
        <f t="shared" si="4"/>
        <v>·</v>
      </c>
      <c r="AF41" s="50" t="str">
        <f t="shared" si="5"/>
        <v>·</v>
      </c>
      <c r="AG41" s="37" t="str">
        <f t="shared" si="6"/>
        <v>.</v>
      </c>
      <c r="AH41" s="37" t="str">
        <f t="shared" si="7"/>
        <v>.</v>
      </c>
      <c r="AI41" s="51"/>
      <c r="AJ41" s="52"/>
      <c r="AK41" s="52"/>
      <c r="AL41" s="52"/>
      <c r="AM41" s="52"/>
      <c r="AN41" s="52"/>
      <c r="AO41" s="52"/>
      <c r="AP41" s="67"/>
      <c r="AQ41" s="67"/>
      <c r="AR41" s="67"/>
      <c r="AS41" s="67"/>
      <c r="AT41" s="67"/>
      <c r="AU41" s="67"/>
      <c r="AV41" s="67"/>
      <c r="AW41" s="73"/>
      <c r="AX41" s="73"/>
      <c r="AY41">
        <v>7784.72</v>
      </c>
      <c r="AZ41" s="6"/>
      <c r="BA41" s="6"/>
      <c r="BB41" s="6"/>
      <c r="BC41" s="6"/>
      <c r="BD41" s="6"/>
      <c r="BE41" s="6"/>
      <c r="BF41" s="6"/>
      <c r="BH41" s="6"/>
      <c r="BI41" s="6"/>
      <c r="BJ41" s="6"/>
      <c r="BK41" s="6"/>
      <c r="BL41" s="6"/>
      <c r="BM41" s="6"/>
      <c r="BN41" s="6"/>
      <c r="BP41" s="6">
        <f t="shared" si="8"/>
        <v>0</v>
      </c>
      <c r="BQ41" s="6">
        <f t="shared" si="9"/>
        <v>0</v>
      </c>
      <c r="BR41" s="6">
        <f t="shared" si="10"/>
        <v>0</v>
      </c>
      <c r="BS41" s="6">
        <f t="shared" si="11"/>
        <v>0</v>
      </c>
      <c r="BT41" s="6">
        <f t="shared" si="11"/>
        <v>0</v>
      </c>
    </row>
    <row r="42" spans="1:72" ht="15" customHeight="1" outlineLevel="1" x14ac:dyDescent="0.15">
      <c r="A42" s="39"/>
      <c r="B42" s="39" t="s">
        <v>79</v>
      </c>
      <c r="C42" s="40" t="s">
        <v>433</v>
      </c>
      <c r="D42" s="39">
        <v>9000000</v>
      </c>
      <c r="E42" s="41">
        <v>12</v>
      </c>
      <c r="F42" s="40">
        <v>32</v>
      </c>
      <c r="G42" s="40">
        <v>30</v>
      </c>
      <c r="H42" s="40">
        <v>6</v>
      </c>
      <c r="J42" s="53">
        <f t="shared" si="0"/>
        <v>5.7245324999999996</v>
      </c>
      <c r="K42" s="54">
        <f t="shared" si="1"/>
        <v>0.67846311111111113</v>
      </c>
      <c r="L42" s="40">
        <f t="shared" si="2"/>
        <v>6106168</v>
      </c>
      <c r="M42" s="40">
        <f t="shared" si="3"/>
        <v>1512424</v>
      </c>
      <c r="N42" s="55">
        <v>14739584</v>
      </c>
      <c r="O42" s="56">
        <v>6106168</v>
      </c>
      <c r="P42" s="56">
        <v>1162112</v>
      </c>
      <c r="Q42" s="56">
        <v>128976</v>
      </c>
      <c r="R42" s="56">
        <v>221336</v>
      </c>
      <c r="S42" s="56">
        <v>4584064</v>
      </c>
      <c r="T42" s="56">
        <v>9680</v>
      </c>
      <c r="U42" s="68">
        <v>78.634495799999996</v>
      </c>
      <c r="V42" s="68">
        <v>80.923143100000004</v>
      </c>
      <c r="W42" s="68">
        <v>34.287683199999996</v>
      </c>
      <c r="X42" s="68">
        <v>42.8729376</v>
      </c>
      <c r="Y42" s="68">
        <v>43.438575100000001</v>
      </c>
      <c r="Z42" s="68">
        <v>52.0243514</v>
      </c>
      <c r="AA42" s="68">
        <v>33.676662299999997</v>
      </c>
      <c r="AB42" s="74">
        <v>8345.7212159999999</v>
      </c>
      <c r="AC42" s="74">
        <v>74.427020999999996</v>
      </c>
      <c r="AE42" s="53" t="str">
        <f t="shared" si="4"/>
        <v>·</v>
      </c>
      <c r="AF42" s="54" t="str">
        <f t="shared" si="5"/>
        <v>·</v>
      </c>
      <c r="AG42" s="40" t="str">
        <f t="shared" si="6"/>
        <v>.</v>
      </c>
      <c r="AH42" s="40" t="str">
        <f t="shared" si="7"/>
        <v>.</v>
      </c>
      <c r="AI42" s="55"/>
      <c r="AJ42" s="56"/>
      <c r="AK42" s="56"/>
      <c r="AL42" s="56"/>
      <c r="AM42" s="56"/>
      <c r="AN42" s="56"/>
      <c r="AO42" s="56"/>
      <c r="AP42" s="68"/>
      <c r="AQ42" s="68"/>
      <c r="AR42" s="68"/>
      <c r="AS42" s="68"/>
      <c r="AT42" s="68"/>
      <c r="AU42" s="68"/>
      <c r="AV42" s="68"/>
      <c r="AW42" s="74"/>
      <c r="AX42" s="74"/>
      <c r="AY42">
        <v>8645.74</v>
      </c>
      <c r="AZ42" s="10"/>
      <c r="BA42" s="10"/>
      <c r="BB42" s="10"/>
      <c r="BC42" s="10"/>
      <c r="BD42" s="10"/>
      <c r="BE42" s="10"/>
      <c r="BF42" s="10"/>
      <c r="BH42" s="10"/>
      <c r="BI42" s="10"/>
      <c r="BJ42" s="10"/>
      <c r="BK42" s="10"/>
      <c r="BL42" s="10"/>
      <c r="BM42" s="10"/>
      <c r="BN42" s="10"/>
      <c r="BP42" s="10">
        <f t="shared" si="8"/>
        <v>0</v>
      </c>
      <c r="BQ42" s="10">
        <f t="shared" si="9"/>
        <v>0</v>
      </c>
      <c r="BR42" s="10">
        <f t="shared" si="10"/>
        <v>0</v>
      </c>
      <c r="BS42" s="10">
        <f t="shared" si="11"/>
        <v>0</v>
      </c>
      <c r="BT42" s="10">
        <f t="shared" si="11"/>
        <v>0</v>
      </c>
    </row>
    <row r="43" spans="1:72" ht="15" customHeight="1" outlineLevel="1" x14ac:dyDescent="0.15">
      <c r="A43" s="36"/>
      <c r="B43" s="36" t="s">
        <v>79</v>
      </c>
      <c r="C43" s="37" t="s">
        <v>434</v>
      </c>
      <c r="D43" s="36">
        <v>9000000</v>
      </c>
      <c r="E43" s="38">
        <v>12</v>
      </c>
      <c r="F43" s="37">
        <v>32</v>
      </c>
      <c r="G43" s="37">
        <v>30</v>
      </c>
      <c r="H43" s="37">
        <v>8</v>
      </c>
      <c r="J43" s="49">
        <f t="shared" si="0"/>
        <v>7.5666074999999999</v>
      </c>
      <c r="K43" s="50">
        <f t="shared" si="1"/>
        <v>0.89678311111111109</v>
      </c>
      <c r="L43" s="37">
        <f t="shared" si="2"/>
        <v>8071048</v>
      </c>
      <c r="M43" s="37">
        <f t="shared" si="3"/>
        <v>1773960</v>
      </c>
      <c r="N43" s="51">
        <v>14739584</v>
      </c>
      <c r="O43" s="52">
        <v>8071048</v>
      </c>
      <c r="P43" s="52">
        <v>1162112</v>
      </c>
      <c r="Q43" s="52">
        <v>128976</v>
      </c>
      <c r="R43" s="52">
        <v>482872</v>
      </c>
      <c r="S43" s="52">
        <v>6287224</v>
      </c>
      <c r="T43" s="52">
        <v>9864</v>
      </c>
      <c r="U43" s="67">
        <v>79.941020399999999</v>
      </c>
      <c r="V43" s="67">
        <v>82.705547499999994</v>
      </c>
      <c r="W43" s="67">
        <v>34.353905300000001</v>
      </c>
      <c r="X43" s="67">
        <v>42.998474000000002</v>
      </c>
      <c r="Y43" s="67">
        <v>43.629778999999999</v>
      </c>
      <c r="Z43" s="67">
        <v>52.730958800000003</v>
      </c>
      <c r="AA43" s="67">
        <v>33.779969399999999</v>
      </c>
      <c r="AB43" s="73">
        <v>3813.6717309999999</v>
      </c>
      <c r="AC43" s="73">
        <v>26.892198</v>
      </c>
      <c r="AE43" s="49" t="str">
        <f t="shared" si="4"/>
        <v>·</v>
      </c>
      <c r="AF43" s="50" t="str">
        <f t="shared" si="5"/>
        <v>·</v>
      </c>
      <c r="AG43" s="37" t="str">
        <f t="shared" si="6"/>
        <v>.</v>
      </c>
      <c r="AH43" s="37" t="str">
        <f t="shared" si="7"/>
        <v>.</v>
      </c>
      <c r="AI43" s="51"/>
      <c r="AJ43" s="52"/>
      <c r="AK43" s="52"/>
      <c r="AL43" s="52"/>
      <c r="AM43" s="52"/>
      <c r="AN43" s="52"/>
      <c r="AO43" s="52"/>
      <c r="AP43" s="67"/>
      <c r="AQ43" s="67"/>
      <c r="AR43" s="67"/>
      <c r="AS43" s="67"/>
      <c r="AT43" s="67"/>
      <c r="AU43" s="67"/>
      <c r="AV43" s="67"/>
      <c r="AW43" s="73"/>
      <c r="AX43" s="73"/>
      <c r="AY43">
        <v>3971.1</v>
      </c>
      <c r="AZ43" s="6"/>
      <c r="BA43" s="6"/>
      <c r="BB43" s="6"/>
      <c r="BC43" s="6"/>
      <c r="BD43" s="6"/>
      <c r="BE43" s="6"/>
      <c r="BF43" s="6"/>
      <c r="BH43" s="6"/>
      <c r="BI43" s="6"/>
      <c r="BJ43" s="6"/>
      <c r="BK43" s="6"/>
      <c r="BL43" s="6"/>
      <c r="BM43" s="6"/>
      <c r="BN43" s="6"/>
      <c r="BP43" s="6">
        <f t="shared" si="8"/>
        <v>0</v>
      </c>
      <c r="BQ43" s="6">
        <f t="shared" si="9"/>
        <v>0</v>
      </c>
      <c r="BR43" s="6">
        <f t="shared" si="10"/>
        <v>0</v>
      </c>
      <c r="BS43" s="6">
        <f t="shared" si="11"/>
        <v>0</v>
      </c>
      <c r="BT43" s="6">
        <f t="shared" si="11"/>
        <v>0</v>
      </c>
    </row>
    <row r="44" spans="1:72" ht="15.75" customHeight="1" outlineLevel="1" thickBot="1" x14ac:dyDescent="0.2">
      <c r="A44" s="45"/>
      <c r="B44" s="45" t="s">
        <v>79</v>
      </c>
      <c r="C44" s="46" t="s">
        <v>435</v>
      </c>
      <c r="D44" s="45">
        <v>9000000</v>
      </c>
      <c r="E44" s="47">
        <v>12</v>
      </c>
      <c r="F44" s="46">
        <v>32</v>
      </c>
      <c r="G44" s="46">
        <v>30</v>
      </c>
      <c r="H44" s="46">
        <v>12</v>
      </c>
      <c r="J44" s="61">
        <f t="shared" si="0"/>
        <v>11.622195</v>
      </c>
      <c r="K44" s="62">
        <f t="shared" si="1"/>
        <v>1.3774453333333334</v>
      </c>
      <c r="L44" s="46">
        <f t="shared" si="2"/>
        <v>12397008</v>
      </c>
      <c r="M44" s="46">
        <f t="shared" si="3"/>
        <v>2319200</v>
      </c>
      <c r="N44" s="63">
        <v>22110080</v>
      </c>
      <c r="O44" s="64">
        <v>12397008</v>
      </c>
      <c r="P44" s="64">
        <v>1636160</v>
      </c>
      <c r="Q44" s="64">
        <v>189784</v>
      </c>
      <c r="R44" s="64">
        <v>493256</v>
      </c>
      <c r="S44" s="64">
        <v>10068344</v>
      </c>
      <c r="T44" s="64">
        <v>9464</v>
      </c>
      <c r="U44" s="70">
        <v>81.354024300000006</v>
      </c>
      <c r="V44" s="70">
        <v>84.629003999999995</v>
      </c>
      <c r="W44" s="70">
        <v>34.918774999999997</v>
      </c>
      <c r="X44" s="70">
        <v>43.103833100000003</v>
      </c>
      <c r="Y44" s="70">
        <v>43.756202299999998</v>
      </c>
      <c r="Z44" s="70">
        <v>53.6072031</v>
      </c>
      <c r="AA44" s="70">
        <v>34.365051200000003</v>
      </c>
      <c r="AB44" s="76">
        <v>4953.5369890000002</v>
      </c>
      <c r="AC44" s="76">
        <v>38.323006999999997</v>
      </c>
      <c r="AE44" s="61" t="str">
        <f t="shared" si="4"/>
        <v>·</v>
      </c>
      <c r="AF44" s="62" t="str">
        <f t="shared" si="5"/>
        <v>·</v>
      </c>
      <c r="AG44" s="46" t="str">
        <f t="shared" si="6"/>
        <v>.</v>
      </c>
      <c r="AH44" s="46" t="str">
        <f t="shared" si="7"/>
        <v>.</v>
      </c>
      <c r="AI44" s="63"/>
      <c r="AJ44" s="64"/>
      <c r="AK44" s="64"/>
      <c r="AL44" s="64"/>
      <c r="AM44" s="64"/>
      <c r="AN44" s="64"/>
      <c r="AO44" s="64"/>
      <c r="AP44" s="70"/>
      <c r="AQ44" s="70"/>
      <c r="AR44" s="70"/>
      <c r="AS44" s="70"/>
      <c r="AT44" s="70"/>
      <c r="AU44" s="70"/>
      <c r="AV44" s="70"/>
      <c r="AW44" s="76"/>
      <c r="AX44" s="76"/>
      <c r="AY44">
        <v>5033</v>
      </c>
      <c r="AZ44" s="14"/>
      <c r="BA44" s="14"/>
      <c r="BB44" s="14"/>
      <c r="BC44" s="14"/>
      <c r="BD44" s="14"/>
      <c r="BE44" s="14"/>
      <c r="BF44" s="14"/>
      <c r="BH44" s="14"/>
      <c r="BI44" s="14"/>
      <c r="BJ44" s="14"/>
      <c r="BK44" s="14"/>
      <c r="BL44" s="14"/>
      <c r="BM44" s="14"/>
      <c r="BN44" s="14"/>
      <c r="BP44" s="14">
        <f t="shared" si="8"/>
        <v>0</v>
      </c>
      <c r="BQ44" s="14">
        <f t="shared" si="9"/>
        <v>0</v>
      </c>
      <c r="BR44" s="14">
        <f t="shared" si="10"/>
        <v>0</v>
      </c>
      <c r="BS44" s="14">
        <f t="shared" si="11"/>
        <v>0</v>
      </c>
      <c r="BT44" s="14">
        <f t="shared" si="11"/>
        <v>0</v>
      </c>
    </row>
    <row r="45" spans="1:72" x14ac:dyDescent="0.15">
      <c r="B45" s="48" t="s">
        <v>7</v>
      </c>
      <c r="K45" s="65">
        <f>AVERAGE(K5:K14)</f>
        <v>1.011022301867065</v>
      </c>
      <c r="L45" s="65"/>
      <c r="M45" s="65"/>
      <c r="T45" s="71"/>
      <c r="AF45" s="65" t="e">
        <f>AVERAGE(AF5:AF14)</f>
        <v>#DIV/0!</v>
      </c>
      <c r="AG45" s="65"/>
      <c r="AH45" s="65"/>
      <c r="AZ45" s="86" t="e">
        <f t="shared" ref="AZ45:BF45" si="12">AVERAGE(AZ5:AZ14)</f>
        <v>#DIV/0!</v>
      </c>
      <c r="BA45" s="86" t="e">
        <f t="shared" si="12"/>
        <v>#DIV/0!</v>
      </c>
      <c r="BB45" s="86" t="e">
        <f t="shared" si="12"/>
        <v>#DIV/0!</v>
      </c>
      <c r="BC45" s="86" t="e">
        <f t="shared" si="12"/>
        <v>#DIV/0!</v>
      </c>
      <c r="BD45" s="86" t="e">
        <f t="shared" si="12"/>
        <v>#DIV/0!</v>
      </c>
      <c r="BE45" s="86" t="e">
        <f t="shared" si="12"/>
        <v>#DIV/0!</v>
      </c>
      <c r="BF45" s="86" t="e">
        <f t="shared" si="12"/>
        <v>#DIV/0!</v>
      </c>
      <c r="BH45" s="86" t="e">
        <f t="shared" ref="BH45:BN45" si="13">AVERAGE(BH5:BH14)</f>
        <v>#DIV/0!</v>
      </c>
      <c r="BI45" s="86" t="e">
        <f t="shared" si="13"/>
        <v>#DIV/0!</v>
      </c>
      <c r="BJ45" s="86" t="e">
        <f t="shared" si="13"/>
        <v>#DIV/0!</v>
      </c>
      <c r="BK45" s="86" t="e">
        <f t="shared" si="13"/>
        <v>#DIV/0!</v>
      </c>
      <c r="BL45" s="86" t="e">
        <f t="shared" si="13"/>
        <v>#DIV/0!</v>
      </c>
      <c r="BM45" s="86" t="e">
        <f t="shared" si="13"/>
        <v>#DIV/0!</v>
      </c>
      <c r="BN45" s="86" t="e">
        <f t="shared" si="13"/>
        <v>#DIV/0!</v>
      </c>
      <c r="BP45" s="86">
        <f>AVERAGE(BP5:BP14)</f>
        <v>0</v>
      </c>
      <c r="BQ45" s="86">
        <f>AVERAGE(BQ5:BQ14)</f>
        <v>0</v>
      </c>
      <c r="BR45" s="86">
        <f>AVERAGE(BR5:BR14)</f>
        <v>0</v>
      </c>
      <c r="BS45" s="86">
        <f>AVERAGE(BS5:BS14)</f>
        <v>0</v>
      </c>
      <c r="BT45" s="86">
        <f>AVERAGE(BT5:BT14)</f>
        <v>0</v>
      </c>
    </row>
    <row r="46" spans="1:72" x14ac:dyDescent="0.15">
      <c r="B46" s="48" t="s">
        <v>8</v>
      </c>
      <c r="K46" s="65">
        <f>AVERAGE(K15:K24)</f>
        <v>0.92021790402471593</v>
      </c>
      <c r="L46" s="65"/>
      <c r="M46" s="65"/>
      <c r="AF46" s="65" t="e">
        <f>AVERAGE(AF15:AF24)</f>
        <v>#DIV/0!</v>
      </c>
      <c r="AG46" s="65"/>
      <c r="AH46" s="65"/>
      <c r="AZ46" s="86" t="e">
        <f t="shared" ref="AZ46:BF46" si="14">AVERAGE(AZ15:AZ24)</f>
        <v>#DIV/0!</v>
      </c>
      <c r="BA46" s="86" t="e">
        <f t="shared" si="14"/>
        <v>#DIV/0!</v>
      </c>
      <c r="BB46" s="86" t="e">
        <f t="shared" si="14"/>
        <v>#DIV/0!</v>
      </c>
      <c r="BC46" s="86" t="e">
        <f t="shared" si="14"/>
        <v>#DIV/0!</v>
      </c>
      <c r="BD46" s="86" t="e">
        <f t="shared" si="14"/>
        <v>#DIV/0!</v>
      </c>
      <c r="BE46" s="86" t="e">
        <f t="shared" si="14"/>
        <v>#DIV/0!</v>
      </c>
      <c r="BF46" s="86" t="e">
        <f t="shared" si="14"/>
        <v>#DIV/0!</v>
      </c>
      <c r="BH46" s="86" t="e">
        <f t="shared" ref="BH46:BN46" si="15">AVERAGE(BH15:BH24)</f>
        <v>#DIV/0!</v>
      </c>
      <c r="BI46" s="86" t="e">
        <f t="shared" si="15"/>
        <v>#DIV/0!</v>
      </c>
      <c r="BJ46" s="86" t="e">
        <f t="shared" si="15"/>
        <v>#DIV/0!</v>
      </c>
      <c r="BK46" s="86" t="e">
        <f t="shared" si="15"/>
        <v>#DIV/0!</v>
      </c>
      <c r="BL46" s="86" t="e">
        <f t="shared" si="15"/>
        <v>#DIV/0!</v>
      </c>
      <c r="BM46" s="86" t="e">
        <f t="shared" si="15"/>
        <v>#DIV/0!</v>
      </c>
      <c r="BN46" s="86" t="e">
        <f t="shared" si="15"/>
        <v>#DIV/0!</v>
      </c>
      <c r="BP46" s="86">
        <f>AVERAGE(BP15:BP24)</f>
        <v>0</v>
      </c>
      <c r="BQ46" s="86">
        <f>AVERAGE(BQ15:BQ24)</f>
        <v>0</v>
      </c>
      <c r="BR46" s="86">
        <f>AVERAGE(BR15:BR24)</f>
        <v>0</v>
      </c>
      <c r="BS46" s="86">
        <f>AVERAGE(BS15:BS24)</f>
        <v>0</v>
      </c>
      <c r="BT46" s="86">
        <f>AVERAGE(BT15:BT24)</f>
        <v>0</v>
      </c>
    </row>
    <row r="47" spans="1:72" x14ac:dyDescent="0.15">
      <c r="B47" s="48" t="s">
        <v>9</v>
      </c>
      <c r="K47" s="65">
        <f>AVERAGE(K25:K44)</f>
        <v>1.1606207710153673</v>
      </c>
      <c r="L47" s="65"/>
      <c r="M47" s="65"/>
      <c r="T47" s="72"/>
      <c r="AF47" s="65" t="e">
        <f>AVERAGE(AF25:AF44)</f>
        <v>#DIV/0!</v>
      </c>
      <c r="AG47" s="65"/>
      <c r="AH47" s="65"/>
      <c r="AZ47" s="86" t="e">
        <f t="shared" ref="AZ47:BF47" si="16">AVERAGE(AZ25:AZ44)</f>
        <v>#DIV/0!</v>
      </c>
      <c r="BA47" s="86" t="e">
        <f t="shared" si="16"/>
        <v>#DIV/0!</v>
      </c>
      <c r="BB47" s="86" t="e">
        <f t="shared" si="16"/>
        <v>#DIV/0!</v>
      </c>
      <c r="BC47" s="86" t="e">
        <f t="shared" si="16"/>
        <v>#DIV/0!</v>
      </c>
      <c r="BD47" s="86" t="e">
        <f t="shared" si="16"/>
        <v>#DIV/0!</v>
      </c>
      <c r="BE47" s="86" t="e">
        <f t="shared" si="16"/>
        <v>#DIV/0!</v>
      </c>
      <c r="BF47" s="86" t="e">
        <f t="shared" si="16"/>
        <v>#DIV/0!</v>
      </c>
      <c r="BH47" s="86" t="e">
        <f t="shared" ref="BH47:BN47" si="17">AVERAGE(BH25:BH44)</f>
        <v>#DIV/0!</v>
      </c>
      <c r="BI47" s="86" t="e">
        <f t="shared" si="17"/>
        <v>#DIV/0!</v>
      </c>
      <c r="BJ47" s="86" t="e">
        <f t="shared" si="17"/>
        <v>#DIV/0!</v>
      </c>
      <c r="BK47" s="86" t="e">
        <f t="shared" si="17"/>
        <v>#DIV/0!</v>
      </c>
      <c r="BL47" s="86" t="e">
        <f t="shared" si="17"/>
        <v>#DIV/0!</v>
      </c>
      <c r="BM47" s="86" t="e">
        <f t="shared" si="17"/>
        <v>#DIV/0!</v>
      </c>
      <c r="BN47" s="86" t="e">
        <f t="shared" si="17"/>
        <v>#DIV/0!</v>
      </c>
      <c r="BP47" s="86">
        <f>AVERAGE(BP25:BP44)</f>
        <v>0</v>
      </c>
      <c r="BQ47" s="86">
        <f>AVERAGE(BQ25:BQ44)</f>
        <v>0</v>
      </c>
      <c r="BR47" s="86">
        <f>AVERAGE(BR25:BR44)</f>
        <v>0</v>
      </c>
      <c r="BS47" s="86">
        <f>AVERAGE(BS25:BS44)</f>
        <v>0</v>
      </c>
      <c r="BT47" s="86">
        <f>AVERAGE(BT25:BT44)</f>
        <v>0</v>
      </c>
    </row>
    <row r="48" spans="1:72" x14ac:dyDescent="0.15">
      <c r="B48" s="48" t="s">
        <v>11</v>
      </c>
      <c r="K48" s="65">
        <f>AVERAGE(K5:K44)</f>
        <v>1.0631204369806291</v>
      </c>
      <c r="L48" s="65"/>
      <c r="M48" s="65"/>
      <c r="AF48" s="65" t="e">
        <f>AVERAGE(AF5:AF44)</f>
        <v>#DIV/0!</v>
      </c>
      <c r="AG48" s="65"/>
      <c r="AH48" s="65"/>
      <c r="AZ48" s="86" t="e">
        <f t="shared" ref="AZ48:BF48" si="18">AVERAGE(AZ5:AZ44)</f>
        <v>#DIV/0!</v>
      </c>
      <c r="BA48" s="86" t="e">
        <f t="shared" si="18"/>
        <v>#DIV/0!</v>
      </c>
      <c r="BB48" s="86" t="e">
        <f t="shared" si="18"/>
        <v>#DIV/0!</v>
      </c>
      <c r="BC48" s="86" t="e">
        <f t="shared" si="18"/>
        <v>#DIV/0!</v>
      </c>
      <c r="BD48" s="86" t="e">
        <f t="shared" si="18"/>
        <v>#DIV/0!</v>
      </c>
      <c r="BE48" s="86" t="e">
        <f t="shared" si="18"/>
        <v>#DIV/0!</v>
      </c>
      <c r="BF48" s="86" t="e">
        <f t="shared" si="18"/>
        <v>#DIV/0!</v>
      </c>
      <c r="BH48" s="86" t="e">
        <f t="shared" ref="BH48:BN48" si="19">AVERAGE(BH5:BH44)</f>
        <v>#DIV/0!</v>
      </c>
      <c r="BI48" s="86" t="e">
        <f t="shared" si="19"/>
        <v>#DIV/0!</v>
      </c>
      <c r="BJ48" s="86" t="e">
        <f t="shared" si="19"/>
        <v>#DIV/0!</v>
      </c>
      <c r="BK48" s="86" t="e">
        <f t="shared" si="19"/>
        <v>#DIV/0!</v>
      </c>
      <c r="BL48" s="86" t="e">
        <f t="shared" si="19"/>
        <v>#DIV/0!</v>
      </c>
      <c r="BM48" s="86" t="e">
        <f t="shared" si="19"/>
        <v>#DIV/0!</v>
      </c>
      <c r="BN48" s="86" t="e">
        <f t="shared" si="19"/>
        <v>#DIV/0!</v>
      </c>
      <c r="BP48" s="86">
        <f>AVERAGE(BP5:BP44)</f>
        <v>0</v>
      </c>
      <c r="BQ48" s="86">
        <f>AVERAGE(BQ5:BQ44)</f>
        <v>0</v>
      </c>
      <c r="BR48" s="86">
        <f>AVERAGE(BR5:BR44)</f>
        <v>0</v>
      </c>
      <c r="BS48" s="86">
        <f>AVERAGE(BS5:BS44)</f>
        <v>0</v>
      </c>
      <c r="BT48" s="86">
        <f>AVERAGE(BT5:BT44)</f>
        <v>0</v>
      </c>
    </row>
    <row r="49" spans="1:50" x14ac:dyDescent="0.15">
      <c r="A49" s="48" t="s">
        <v>192</v>
      </c>
      <c r="B49" s="48" t="s">
        <v>193</v>
      </c>
      <c r="AB49" s="77">
        <f>SUM(AB5:AB14,AB15:AB24,AB25:AB44)</f>
        <v>220987.29645999998</v>
      </c>
      <c r="AC49" s="77">
        <f>SUM(AC5:AC14,AC15:AC24,AC25:AC44)</f>
        <v>1416.1987919999999</v>
      </c>
      <c r="AW49" s="77">
        <f>SUM(AW5:AW14,AW15:AW24,AW25:AW44)</f>
        <v>0</v>
      </c>
      <c r="AX49" s="77">
        <f>SUM(AX5:AX14,AX15:AX24,AX25:AX44)</f>
        <v>0</v>
      </c>
    </row>
    <row r="50" spans="1:50" x14ac:dyDescent="0.15">
      <c r="B50" s="48" t="s">
        <v>194</v>
      </c>
      <c r="AJ50" s="72"/>
      <c r="AW50" s="87">
        <f>AW49/AB49</f>
        <v>0</v>
      </c>
      <c r="AX50" s="87">
        <f>AX49/AC49</f>
        <v>0</v>
      </c>
    </row>
    <row r="51" spans="1:50" x14ac:dyDescent="0.15">
      <c r="AJ51" s="72"/>
    </row>
    <row r="52" spans="1:50" x14ac:dyDescent="0.15">
      <c r="AJ52" s="72"/>
      <c r="AL52" s="78"/>
    </row>
    <row r="53" spans="1:50" ht="15.75" customHeight="1" x14ac:dyDescent="0.15">
      <c r="AJ53" s="72"/>
    </row>
    <row r="54" spans="1:50" x14ac:dyDescent="0.15">
      <c r="AG54" s="79" t="e">
        <f t="shared" ref="AG54:AG93" si="20">AG5-L5</f>
        <v>#VALUE!</v>
      </c>
      <c r="AH54" s="79" t="e">
        <f t="shared" ref="AH54:AH93" si="21">AH5-M5</f>
        <v>#VALUE!</v>
      </c>
      <c r="AI54" s="79">
        <f t="shared" ref="AI54:AI93" si="22">AI5-N5</f>
        <v>-2416576</v>
      </c>
      <c r="AJ54" s="79">
        <f t="shared" ref="AJ54:AJ93" si="23">AJ5-O5</f>
        <v>-4199232</v>
      </c>
      <c r="AK54" s="79">
        <f t="shared" ref="AK54:AK93" si="24">AK5-P5</f>
        <v>-799344</v>
      </c>
      <c r="AL54" s="79">
        <f t="shared" ref="AL54:AL93" si="25">AL5-Q5</f>
        <v>0</v>
      </c>
      <c r="AM54" s="79">
        <f t="shared" ref="AM54:AM93" si="26">AM5-R5</f>
        <v>-565760</v>
      </c>
      <c r="AN54" s="79">
        <f t="shared" ref="AN54:AN93" si="27">AN5-S5</f>
        <v>-2822520</v>
      </c>
      <c r="AO54" s="79">
        <f t="shared" ref="AO54:AO93" si="28">AO5-T5</f>
        <v>-11608</v>
      </c>
      <c r="AP54" s="79">
        <f t="shared" ref="AP54:AP93" si="29">AP5-U5</f>
        <v>-69.1088357</v>
      </c>
      <c r="AQ54" s="81">
        <f t="shared" ref="AQ54:AQ93" si="30">AQ5-V5</f>
        <v>-70.231322800000001</v>
      </c>
      <c r="AR54" s="81">
        <f t="shared" ref="AR54:AR93" si="31">AR5-W5</f>
        <v>-27.9510456</v>
      </c>
      <c r="AS54" s="81">
        <f t="shared" ref="AS54:AS93" si="32">AS5-X5</f>
        <v>-33.5987717</v>
      </c>
      <c r="AT54" s="81">
        <f t="shared" ref="AT54:AT93" si="33">AT5-Y5</f>
        <v>-32.995333199999997</v>
      </c>
      <c r="AU54" s="81">
        <f t="shared" ref="AU54:AU93" si="34">AU5-Z5</f>
        <v>-49.488893500000003</v>
      </c>
      <c r="AV54" s="82">
        <f t="shared" ref="AV54:AV93" si="35">AV5-AA5</f>
        <v>-26.907177000000001</v>
      </c>
    </row>
    <row r="55" spans="1:50" x14ac:dyDescent="0.15">
      <c r="AG55" s="80" t="e">
        <f t="shared" si="20"/>
        <v>#VALUE!</v>
      </c>
      <c r="AH55" s="80" t="e">
        <f t="shared" si="21"/>
        <v>#VALUE!</v>
      </c>
      <c r="AI55" s="80">
        <f t="shared" si="22"/>
        <v>-2416576</v>
      </c>
      <c r="AJ55" s="80">
        <f t="shared" si="23"/>
        <v>-8554448</v>
      </c>
      <c r="AK55" s="80">
        <f t="shared" si="24"/>
        <v>-799344</v>
      </c>
      <c r="AL55" s="80">
        <f t="shared" si="25"/>
        <v>0</v>
      </c>
      <c r="AM55" s="80">
        <f t="shared" si="26"/>
        <v>-987088</v>
      </c>
      <c r="AN55" s="80">
        <f t="shared" si="27"/>
        <v>-6757032</v>
      </c>
      <c r="AO55" s="80">
        <f t="shared" si="28"/>
        <v>-10984</v>
      </c>
      <c r="AP55" s="80">
        <f t="shared" si="29"/>
        <v>-70.8927592</v>
      </c>
      <c r="AQ55" s="83">
        <f t="shared" si="30"/>
        <v>-72.252472100000006</v>
      </c>
      <c r="AR55" s="83">
        <f t="shared" si="31"/>
        <v>-31.2338795</v>
      </c>
      <c r="AS55" s="83">
        <f t="shared" si="32"/>
        <v>-34.790546200000001</v>
      </c>
      <c r="AT55" s="83">
        <f t="shared" si="33"/>
        <v>-34.310077</v>
      </c>
      <c r="AU55" s="83">
        <f t="shared" si="34"/>
        <v>-50.358477100000002</v>
      </c>
      <c r="AV55" s="84">
        <f t="shared" si="35"/>
        <v>-29.171534300000001</v>
      </c>
    </row>
    <row r="56" spans="1:50" x14ac:dyDescent="0.15">
      <c r="AG56" s="80" t="e">
        <f t="shared" si="20"/>
        <v>#VALUE!</v>
      </c>
      <c r="AH56" s="80" t="e">
        <f t="shared" si="21"/>
        <v>#VALUE!</v>
      </c>
      <c r="AI56" s="80">
        <f t="shared" si="22"/>
        <v>-4871808</v>
      </c>
      <c r="AJ56" s="80">
        <f t="shared" si="23"/>
        <v>-11829672</v>
      </c>
      <c r="AK56" s="80">
        <f t="shared" si="24"/>
        <v>-1269624</v>
      </c>
      <c r="AL56" s="80">
        <f t="shared" si="25"/>
        <v>0</v>
      </c>
      <c r="AM56" s="80">
        <f t="shared" si="26"/>
        <v>-956544</v>
      </c>
      <c r="AN56" s="80">
        <f t="shared" si="27"/>
        <v>-9592496</v>
      </c>
      <c r="AO56" s="80">
        <f t="shared" si="28"/>
        <v>-11008</v>
      </c>
      <c r="AP56" s="80">
        <f t="shared" si="29"/>
        <v>-72.684705699999995</v>
      </c>
      <c r="AQ56" s="83">
        <f t="shared" si="30"/>
        <v>-74.31559</v>
      </c>
      <c r="AR56" s="83">
        <f t="shared" si="31"/>
        <v>-32.3601016</v>
      </c>
      <c r="AS56" s="83">
        <f t="shared" si="32"/>
        <v>-36.479445200000001</v>
      </c>
      <c r="AT56" s="83">
        <f t="shared" si="33"/>
        <v>-36.217432000000002</v>
      </c>
      <c r="AU56" s="83">
        <f t="shared" si="34"/>
        <v>-51.506037900000003</v>
      </c>
      <c r="AV56" s="84">
        <f t="shared" si="35"/>
        <v>-30.530772599999999</v>
      </c>
    </row>
    <row r="57" spans="1:50" x14ac:dyDescent="0.15">
      <c r="AG57" s="80" t="e">
        <f t="shared" si="20"/>
        <v>#VALUE!</v>
      </c>
      <c r="AH57" s="80" t="e">
        <f t="shared" si="21"/>
        <v>#VALUE!</v>
      </c>
      <c r="AI57" s="80">
        <f t="shared" si="22"/>
        <v>-9785856</v>
      </c>
      <c r="AJ57" s="80">
        <f t="shared" si="23"/>
        <v>-15109808</v>
      </c>
      <c r="AK57" s="80">
        <f t="shared" si="24"/>
        <v>-2100120</v>
      </c>
      <c r="AL57" s="80">
        <f t="shared" si="25"/>
        <v>0</v>
      </c>
      <c r="AM57" s="80">
        <f t="shared" si="26"/>
        <v>-795744</v>
      </c>
      <c r="AN57" s="80">
        <f t="shared" si="27"/>
        <v>-12202736</v>
      </c>
      <c r="AO57" s="80">
        <f t="shared" si="28"/>
        <v>-11208</v>
      </c>
      <c r="AP57" s="80">
        <f t="shared" si="29"/>
        <v>-73.512494399999994</v>
      </c>
      <c r="AQ57" s="83">
        <f t="shared" si="30"/>
        <v>-75.266345700000002</v>
      </c>
      <c r="AR57" s="83">
        <f t="shared" si="31"/>
        <v>-33.372557800000003</v>
      </c>
      <c r="AS57" s="83">
        <f t="shared" si="32"/>
        <v>-37.064739199999998</v>
      </c>
      <c r="AT57" s="83">
        <f t="shared" si="33"/>
        <v>-36.794804599999999</v>
      </c>
      <c r="AU57" s="83">
        <f t="shared" si="34"/>
        <v>-52.089126399999998</v>
      </c>
      <c r="AV57" s="84">
        <f t="shared" si="35"/>
        <v>-31.323933799999999</v>
      </c>
    </row>
    <row r="58" spans="1:50" x14ac:dyDescent="0.15">
      <c r="AG58" s="80" t="e">
        <f t="shared" si="20"/>
        <v>#VALUE!</v>
      </c>
      <c r="AH58" s="80" t="e">
        <f t="shared" si="21"/>
        <v>#VALUE!</v>
      </c>
      <c r="AI58" s="80">
        <f t="shared" si="22"/>
        <v>-9785856</v>
      </c>
      <c r="AJ58" s="80">
        <f t="shared" si="23"/>
        <v>-22750816</v>
      </c>
      <c r="AK58" s="80">
        <f t="shared" si="24"/>
        <v>-2100120</v>
      </c>
      <c r="AL58" s="80">
        <f t="shared" si="25"/>
        <v>0</v>
      </c>
      <c r="AM58" s="80">
        <f t="shared" si="26"/>
        <v>-1481472</v>
      </c>
      <c r="AN58" s="80">
        <f t="shared" si="27"/>
        <v>-19158888</v>
      </c>
      <c r="AO58" s="80">
        <f t="shared" si="28"/>
        <v>-10336</v>
      </c>
      <c r="AP58" s="80">
        <f t="shared" si="29"/>
        <v>-75.1608047</v>
      </c>
      <c r="AQ58" s="83">
        <f t="shared" si="30"/>
        <v>-77.234549200000004</v>
      </c>
      <c r="AR58" s="83">
        <f t="shared" si="31"/>
        <v>-34.998242699999999</v>
      </c>
      <c r="AS58" s="83">
        <f t="shared" si="32"/>
        <v>-38.6011448</v>
      </c>
      <c r="AT58" s="83">
        <f t="shared" si="33"/>
        <v>-38.316167299999996</v>
      </c>
      <c r="AU58" s="83">
        <f t="shared" si="34"/>
        <v>-52.989425799999999</v>
      </c>
      <c r="AV58" s="84">
        <f t="shared" si="35"/>
        <v>-32.693355599999997</v>
      </c>
    </row>
    <row r="59" spans="1:50" x14ac:dyDescent="0.15">
      <c r="AG59" s="80" t="e">
        <f t="shared" si="20"/>
        <v>#VALUE!</v>
      </c>
      <c r="AH59" s="80" t="e">
        <f t="shared" si="21"/>
        <v>#VALUE!</v>
      </c>
      <c r="AI59" s="80">
        <f t="shared" si="22"/>
        <v>-1032192</v>
      </c>
      <c r="AJ59" s="80">
        <f t="shared" si="23"/>
        <v>-3422488</v>
      </c>
      <c r="AK59" s="80">
        <f t="shared" si="24"/>
        <v>-44064</v>
      </c>
      <c r="AL59" s="80">
        <f t="shared" si="25"/>
        <v>-123992</v>
      </c>
      <c r="AM59" s="80">
        <f t="shared" si="26"/>
        <v>-1178656</v>
      </c>
      <c r="AN59" s="80">
        <f t="shared" si="27"/>
        <v>-2068000</v>
      </c>
      <c r="AO59" s="80">
        <f t="shared" si="28"/>
        <v>-7776</v>
      </c>
      <c r="AP59" s="80">
        <f t="shared" si="29"/>
        <v>-69.063881100000003</v>
      </c>
      <c r="AQ59" s="83">
        <f t="shared" si="30"/>
        <v>-70.255101600000003</v>
      </c>
      <c r="AR59" s="83">
        <f t="shared" si="31"/>
        <v>-36.093772899999998</v>
      </c>
      <c r="AS59" s="83">
        <f t="shared" si="32"/>
        <v>-46.3265551</v>
      </c>
      <c r="AT59" s="83">
        <f t="shared" si="33"/>
        <v>-46.847520199999998</v>
      </c>
      <c r="AU59" s="83">
        <f t="shared" si="34"/>
        <v>-46.539166000000002</v>
      </c>
      <c r="AV59" s="84">
        <f t="shared" si="35"/>
        <v>-32.681522399999999</v>
      </c>
    </row>
    <row r="60" spans="1:50" x14ac:dyDescent="0.15">
      <c r="AG60" s="80" t="e">
        <f t="shared" si="20"/>
        <v>#VALUE!</v>
      </c>
      <c r="AH60" s="80" t="e">
        <f t="shared" si="21"/>
        <v>#VALUE!</v>
      </c>
      <c r="AI60" s="80">
        <f t="shared" si="22"/>
        <v>-2035712</v>
      </c>
      <c r="AJ60" s="80">
        <f t="shared" si="23"/>
        <v>-5690320</v>
      </c>
      <c r="AK60" s="80">
        <f t="shared" si="24"/>
        <v>-73624</v>
      </c>
      <c r="AL60" s="80">
        <f t="shared" si="25"/>
        <v>-196576</v>
      </c>
      <c r="AM60" s="80">
        <f t="shared" si="26"/>
        <v>-2229992</v>
      </c>
      <c r="AN60" s="80">
        <f t="shared" si="27"/>
        <v>-3182288</v>
      </c>
      <c r="AO60" s="80">
        <f t="shared" si="28"/>
        <v>-7840</v>
      </c>
      <c r="AP60" s="80">
        <f t="shared" si="29"/>
        <v>-72.115307299999998</v>
      </c>
      <c r="AQ60" s="83">
        <f t="shared" si="30"/>
        <v>-73.744564100000005</v>
      </c>
      <c r="AR60" s="83">
        <f t="shared" si="31"/>
        <v>-37.2483687</v>
      </c>
      <c r="AS60" s="83">
        <f t="shared" si="32"/>
        <v>-47.019682699999997</v>
      </c>
      <c r="AT60" s="83">
        <f t="shared" si="33"/>
        <v>-47.612152199999997</v>
      </c>
      <c r="AU60" s="83">
        <f t="shared" si="34"/>
        <v>-48.673809800000001</v>
      </c>
      <c r="AV60" s="84">
        <f t="shared" si="35"/>
        <v>-34.669037400000001</v>
      </c>
    </row>
    <row r="61" spans="1:50" x14ac:dyDescent="0.15">
      <c r="AG61" s="80" t="e">
        <f t="shared" si="20"/>
        <v>#VALUE!</v>
      </c>
      <c r="AH61" s="80" t="e">
        <f t="shared" si="21"/>
        <v>#VALUE!</v>
      </c>
      <c r="AI61" s="80">
        <f t="shared" si="22"/>
        <v>-2240512</v>
      </c>
      <c r="AJ61" s="80">
        <f t="shared" si="23"/>
        <v>-7975376</v>
      </c>
      <c r="AK61" s="80">
        <f t="shared" si="24"/>
        <v>-79224</v>
      </c>
      <c r="AL61" s="80">
        <f t="shared" si="25"/>
        <v>-216488</v>
      </c>
      <c r="AM61" s="80">
        <f t="shared" si="26"/>
        <v>-2589968</v>
      </c>
      <c r="AN61" s="80">
        <f t="shared" si="27"/>
        <v>-5081880</v>
      </c>
      <c r="AO61" s="80">
        <f t="shared" si="28"/>
        <v>-7816</v>
      </c>
      <c r="AP61" s="80">
        <f t="shared" si="29"/>
        <v>-72.5876169</v>
      </c>
      <c r="AQ61" s="83">
        <f t="shared" si="30"/>
        <v>-74.321102300000007</v>
      </c>
      <c r="AR61" s="83">
        <f t="shared" si="31"/>
        <v>-38.252924499999999</v>
      </c>
      <c r="AS61" s="83">
        <f t="shared" si="32"/>
        <v>-47.550651700000003</v>
      </c>
      <c r="AT61" s="83">
        <f t="shared" si="33"/>
        <v>-48.198344599999999</v>
      </c>
      <c r="AU61" s="83">
        <f t="shared" si="34"/>
        <v>-48.959029999999998</v>
      </c>
      <c r="AV61" s="84">
        <f t="shared" si="35"/>
        <v>-35.3712777</v>
      </c>
    </row>
    <row r="62" spans="1:50" x14ac:dyDescent="0.15">
      <c r="AG62" s="80" t="e">
        <f t="shared" si="20"/>
        <v>#VALUE!</v>
      </c>
      <c r="AH62" s="80" t="e">
        <f t="shared" si="21"/>
        <v>#VALUE!</v>
      </c>
      <c r="AI62" s="80">
        <f t="shared" si="22"/>
        <v>-2446336</v>
      </c>
      <c r="AJ62" s="80">
        <f t="shared" si="23"/>
        <v>-10384816</v>
      </c>
      <c r="AK62" s="80">
        <f t="shared" si="24"/>
        <v>-85056</v>
      </c>
      <c r="AL62" s="80">
        <f t="shared" si="25"/>
        <v>-233712</v>
      </c>
      <c r="AM62" s="80">
        <f t="shared" si="26"/>
        <v>-2791096</v>
      </c>
      <c r="AN62" s="80">
        <f t="shared" si="27"/>
        <v>-7267136</v>
      </c>
      <c r="AO62" s="80">
        <f t="shared" si="28"/>
        <v>-7816</v>
      </c>
      <c r="AP62" s="80">
        <f t="shared" si="29"/>
        <v>-72.881562299999999</v>
      </c>
      <c r="AQ62" s="83">
        <f t="shared" si="30"/>
        <v>-74.6387529</v>
      </c>
      <c r="AR62" s="83">
        <f t="shared" si="31"/>
        <v>-38.8207843</v>
      </c>
      <c r="AS62" s="83">
        <f t="shared" si="32"/>
        <v>-48.027495799999997</v>
      </c>
      <c r="AT62" s="83">
        <f t="shared" si="33"/>
        <v>-48.7120897</v>
      </c>
      <c r="AU62" s="83">
        <f t="shared" si="34"/>
        <v>-49.127073299999999</v>
      </c>
      <c r="AV62" s="84">
        <f t="shared" si="35"/>
        <v>-35.763481599999999</v>
      </c>
    </row>
    <row r="63" spans="1:50" x14ac:dyDescent="0.15">
      <c r="AG63" s="80" t="e">
        <f t="shared" si="20"/>
        <v>#VALUE!</v>
      </c>
      <c r="AH63" s="80" t="e">
        <f t="shared" si="21"/>
        <v>#VALUE!</v>
      </c>
      <c r="AI63" s="80">
        <f t="shared" si="22"/>
        <v>-3769296</v>
      </c>
      <c r="AJ63" s="80">
        <f t="shared" si="23"/>
        <v>-16676032</v>
      </c>
      <c r="AK63" s="80">
        <f t="shared" si="24"/>
        <v>-613464</v>
      </c>
      <c r="AL63" s="80">
        <f t="shared" si="25"/>
        <v>-319696</v>
      </c>
      <c r="AM63" s="80">
        <f t="shared" si="26"/>
        <v>-3945784</v>
      </c>
      <c r="AN63" s="80">
        <f t="shared" si="27"/>
        <v>-11788856</v>
      </c>
      <c r="AO63" s="80">
        <f t="shared" si="28"/>
        <v>-8232</v>
      </c>
      <c r="AP63" s="80">
        <f t="shared" si="29"/>
        <v>-74.584400500000001</v>
      </c>
      <c r="AQ63" s="83">
        <f t="shared" si="30"/>
        <v>-76.713922699999998</v>
      </c>
      <c r="AR63" s="83">
        <f t="shared" si="31"/>
        <v>-39.477036499999997</v>
      </c>
      <c r="AS63" s="83">
        <f t="shared" si="32"/>
        <v>-48.495742399999997</v>
      </c>
      <c r="AT63" s="83">
        <f t="shared" si="33"/>
        <v>-49.181094100000003</v>
      </c>
      <c r="AU63" s="83">
        <f t="shared" si="34"/>
        <v>-50.229749300000002</v>
      </c>
      <c r="AV63" s="84">
        <f t="shared" si="35"/>
        <v>-36.767121299999999</v>
      </c>
    </row>
    <row r="64" spans="1:50" x14ac:dyDescent="0.15">
      <c r="AG64" s="80" t="e">
        <f t="shared" si="20"/>
        <v>#VALUE!</v>
      </c>
      <c r="AH64" s="80" t="e">
        <f t="shared" si="21"/>
        <v>#VALUE!</v>
      </c>
      <c r="AI64" s="80">
        <f t="shared" si="22"/>
        <v>-2419392</v>
      </c>
      <c r="AJ64" s="80">
        <f t="shared" si="23"/>
        <v>-3064792</v>
      </c>
      <c r="AK64" s="80">
        <f t="shared" si="24"/>
        <v>-684224</v>
      </c>
      <c r="AL64" s="80">
        <f t="shared" si="25"/>
        <v>0</v>
      </c>
      <c r="AM64" s="80">
        <f t="shared" si="26"/>
        <v>-453632</v>
      </c>
      <c r="AN64" s="80">
        <f t="shared" si="27"/>
        <v>-1916000</v>
      </c>
      <c r="AO64" s="80">
        <f t="shared" si="28"/>
        <v>-10936</v>
      </c>
      <c r="AP64" s="80">
        <f t="shared" si="29"/>
        <v>-71.784125500000002</v>
      </c>
      <c r="AQ64" s="83">
        <f t="shared" si="30"/>
        <v>-73.072828299999998</v>
      </c>
      <c r="AR64" s="83">
        <f t="shared" si="31"/>
        <v>-35.624709500000002</v>
      </c>
      <c r="AS64" s="83">
        <f t="shared" si="32"/>
        <v>-43.4086718</v>
      </c>
      <c r="AT64" s="83">
        <f t="shared" si="33"/>
        <v>-44.9916512</v>
      </c>
      <c r="AU64" s="83">
        <f t="shared" si="34"/>
        <v>-45.653298999999997</v>
      </c>
      <c r="AV64" s="84">
        <f t="shared" si="35"/>
        <v>-32.425269100000001</v>
      </c>
    </row>
    <row r="65" spans="33:48" x14ac:dyDescent="0.15">
      <c r="AG65" s="80" t="e">
        <f t="shared" si="20"/>
        <v>#VALUE!</v>
      </c>
      <c r="AH65" s="80" t="e">
        <f t="shared" si="21"/>
        <v>#VALUE!</v>
      </c>
      <c r="AI65" s="80">
        <f t="shared" si="22"/>
        <v>-2419392</v>
      </c>
      <c r="AJ65" s="80">
        <f t="shared" si="23"/>
        <v>-5114984</v>
      </c>
      <c r="AK65" s="80">
        <f t="shared" si="24"/>
        <v>-745824</v>
      </c>
      <c r="AL65" s="80">
        <f t="shared" si="25"/>
        <v>0</v>
      </c>
      <c r="AM65" s="80">
        <f t="shared" si="26"/>
        <v>-687248</v>
      </c>
      <c r="AN65" s="80">
        <f t="shared" si="27"/>
        <v>-3670752</v>
      </c>
      <c r="AO65" s="80">
        <f t="shared" si="28"/>
        <v>-11160</v>
      </c>
      <c r="AP65" s="80">
        <f t="shared" si="29"/>
        <v>-73.559442500000003</v>
      </c>
      <c r="AQ65" s="83">
        <f t="shared" si="30"/>
        <v>-75.037406000000004</v>
      </c>
      <c r="AR65" s="83">
        <f t="shared" si="31"/>
        <v>-38.410486400000003</v>
      </c>
      <c r="AS65" s="83">
        <f t="shared" si="32"/>
        <v>-44.029680800000001</v>
      </c>
      <c r="AT65" s="83">
        <f t="shared" si="33"/>
        <v>-46.246426800000002</v>
      </c>
      <c r="AU65" s="83">
        <f t="shared" si="34"/>
        <v>-46.429066499999998</v>
      </c>
      <c r="AV65" s="84">
        <f t="shared" si="35"/>
        <v>-34.086715699999999</v>
      </c>
    </row>
    <row r="66" spans="33:48" x14ac:dyDescent="0.15">
      <c r="AG66" s="80" t="e">
        <f t="shared" si="20"/>
        <v>#VALUE!</v>
      </c>
      <c r="AH66" s="80" t="e">
        <f t="shared" si="21"/>
        <v>#VALUE!</v>
      </c>
      <c r="AI66" s="80">
        <f t="shared" si="22"/>
        <v>-4841280</v>
      </c>
      <c r="AJ66" s="80">
        <f t="shared" si="23"/>
        <v>-10245392</v>
      </c>
      <c r="AK66" s="80">
        <f t="shared" si="24"/>
        <v>-1251184</v>
      </c>
      <c r="AL66" s="80">
        <f t="shared" si="25"/>
        <v>0</v>
      </c>
      <c r="AM66" s="80">
        <f t="shared" si="26"/>
        <v>-1513176</v>
      </c>
      <c r="AN66" s="80">
        <f t="shared" si="27"/>
        <v>-7470152</v>
      </c>
      <c r="AO66" s="80">
        <f t="shared" si="28"/>
        <v>-10880</v>
      </c>
      <c r="AP66" s="80">
        <f t="shared" si="29"/>
        <v>-78.265213799999998</v>
      </c>
      <c r="AQ66" s="83">
        <f t="shared" si="30"/>
        <v>-80.584549999999993</v>
      </c>
      <c r="AR66" s="83">
        <f t="shared" si="31"/>
        <v>-41.071710299999999</v>
      </c>
      <c r="AS66" s="83">
        <f t="shared" si="32"/>
        <v>-44.981728599999997</v>
      </c>
      <c r="AT66" s="83">
        <f t="shared" si="33"/>
        <v>-48.077898599999997</v>
      </c>
      <c r="AU66" s="83">
        <f t="shared" si="34"/>
        <v>-48.8243297</v>
      </c>
      <c r="AV66" s="84">
        <f t="shared" si="35"/>
        <v>-37.300195000000002</v>
      </c>
    </row>
    <row r="67" spans="33:48" x14ac:dyDescent="0.15">
      <c r="AG67" s="80" t="e">
        <f t="shared" si="20"/>
        <v>#VALUE!</v>
      </c>
      <c r="AH67" s="80" t="e">
        <f t="shared" si="21"/>
        <v>#VALUE!</v>
      </c>
      <c r="AI67" s="80">
        <f t="shared" si="22"/>
        <v>-9684416</v>
      </c>
      <c r="AJ67" s="80">
        <f t="shared" si="23"/>
        <v>-14345792</v>
      </c>
      <c r="AK67" s="80">
        <f t="shared" si="24"/>
        <v>-2160984</v>
      </c>
      <c r="AL67" s="80">
        <f t="shared" si="25"/>
        <v>0</v>
      </c>
      <c r="AM67" s="80">
        <f t="shared" si="26"/>
        <v>-1626576</v>
      </c>
      <c r="AN67" s="80">
        <f t="shared" si="27"/>
        <v>-10547600</v>
      </c>
      <c r="AO67" s="80">
        <f t="shared" si="28"/>
        <v>-10632</v>
      </c>
      <c r="AP67" s="80">
        <f t="shared" si="29"/>
        <v>-79.557147200000003</v>
      </c>
      <c r="AQ67" s="83">
        <f t="shared" si="30"/>
        <v>-82.305703300000005</v>
      </c>
      <c r="AR67" s="83">
        <f t="shared" si="31"/>
        <v>-41.920158800000003</v>
      </c>
      <c r="AS67" s="83">
        <f t="shared" si="32"/>
        <v>-45.629831099999997</v>
      </c>
      <c r="AT67" s="83">
        <f t="shared" si="33"/>
        <v>-49.159776700000002</v>
      </c>
      <c r="AU67" s="83">
        <f t="shared" si="34"/>
        <v>-49.767646599999999</v>
      </c>
      <c r="AV67" s="84">
        <f t="shared" si="35"/>
        <v>-38.345589199999999</v>
      </c>
    </row>
    <row r="68" spans="33:48" x14ac:dyDescent="0.15">
      <c r="AG68" s="80" t="e">
        <f t="shared" si="20"/>
        <v>#VALUE!</v>
      </c>
      <c r="AH68" s="80" t="e">
        <f t="shared" si="21"/>
        <v>#VALUE!</v>
      </c>
      <c r="AI68" s="80">
        <f t="shared" si="22"/>
        <v>-9684416</v>
      </c>
      <c r="AJ68" s="80">
        <f t="shared" si="23"/>
        <v>-21530344</v>
      </c>
      <c r="AK68" s="80">
        <f t="shared" si="24"/>
        <v>-2160984</v>
      </c>
      <c r="AL68" s="80">
        <f t="shared" si="25"/>
        <v>0</v>
      </c>
      <c r="AM68" s="80">
        <f t="shared" si="26"/>
        <v>-1838928</v>
      </c>
      <c r="AN68" s="80">
        <f t="shared" si="27"/>
        <v>-17519784</v>
      </c>
      <c r="AO68" s="80">
        <f t="shared" si="28"/>
        <v>-10648</v>
      </c>
      <c r="AP68" s="80">
        <f t="shared" si="29"/>
        <v>-79.920488899999995</v>
      </c>
      <c r="AQ68" s="83">
        <f t="shared" si="30"/>
        <v>-82.837774699999997</v>
      </c>
      <c r="AR68" s="83">
        <f t="shared" si="31"/>
        <v>-42.927062200000002</v>
      </c>
      <c r="AS68" s="83">
        <f t="shared" si="32"/>
        <v>-46.553979699999999</v>
      </c>
      <c r="AT68" s="83">
        <f t="shared" si="33"/>
        <v>-50.509822200000002</v>
      </c>
      <c r="AU68" s="83">
        <f t="shared" si="34"/>
        <v>-49.944520400000002</v>
      </c>
      <c r="AV68" s="84">
        <f t="shared" si="35"/>
        <v>-38.905743600000001</v>
      </c>
    </row>
    <row r="69" spans="33:48" x14ac:dyDescent="0.15">
      <c r="AG69" s="80" t="e">
        <f t="shared" si="20"/>
        <v>#VALUE!</v>
      </c>
      <c r="AH69" s="80" t="e">
        <f t="shared" si="21"/>
        <v>#VALUE!</v>
      </c>
      <c r="AI69" s="80">
        <f t="shared" si="22"/>
        <v>-2418048</v>
      </c>
      <c r="AJ69" s="80">
        <f t="shared" si="23"/>
        <v>-3054712</v>
      </c>
      <c r="AK69" s="80">
        <f t="shared" si="24"/>
        <v>-661400</v>
      </c>
      <c r="AL69" s="80">
        <f t="shared" si="25"/>
        <v>0</v>
      </c>
      <c r="AM69" s="80">
        <f t="shared" si="26"/>
        <v>-449488</v>
      </c>
      <c r="AN69" s="80">
        <f t="shared" si="27"/>
        <v>-1933080</v>
      </c>
      <c r="AO69" s="80">
        <f t="shared" si="28"/>
        <v>-10744</v>
      </c>
      <c r="AP69" s="80">
        <f t="shared" si="29"/>
        <v>-71.756627600000002</v>
      </c>
      <c r="AQ69" s="83">
        <f t="shared" si="30"/>
        <v>-73.100785400000007</v>
      </c>
      <c r="AR69" s="83">
        <f t="shared" si="31"/>
        <v>-34.530457699999999</v>
      </c>
      <c r="AS69" s="83">
        <f t="shared" si="32"/>
        <v>-42.8531622</v>
      </c>
      <c r="AT69" s="83">
        <f t="shared" si="33"/>
        <v>-44.1003629</v>
      </c>
      <c r="AU69" s="83">
        <f t="shared" si="34"/>
        <v>-48.570734199999997</v>
      </c>
      <c r="AV69" s="84">
        <f t="shared" si="35"/>
        <v>-31.511587800000001</v>
      </c>
    </row>
    <row r="70" spans="33:48" x14ac:dyDescent="0.15">
      <c r="AG70" s="80" t="e">
        <f t="shared" si="20"/>
        <v>#VALUE!</v>
      </c>
      <c r="AH70" s="80" t="e">
        <f t="shared" si="21"/>
        <v>#VALUE!</v>
      </c>
      <c r="AI70" s="80">
        <f t="shared" si="22"/>
        <v>-2418048</v>
      </c>
      <c r="AJ70" s="80">
        <f t="shared" si="23"/>
        <v>-5177248</v>
      </c>
      <c r="AK70" s="80">
        <f t="shared" si="24"/>
        <v>-722464</v>
      </c>
      <c r="AL70" s="80">
        <f t="shared" si="25"/>
        <v>0</v>
      </c>
      <c r="AM70" s="80">
        <f t="shared" si="26"/>
        <v>-496592</v>
      </c>
      <c r="AN70" s="80">
        <f t="shared" si="27"/>
        <v>-3947072</v>
      </c>
      <c r="AO70" s="80">
        <f t="shared" si="28"/>
        <v>-11120</v>
      </c>
      <c r="AP70" s="80">
        <f t="shared" si="29"/>
        <v>-72.207643300000001</v>
      </c>
      <c r="AQ70" s="83">
        <f t="shared" si="30"/>
        <v>-73.604112200000003</v>
      </c>
      <c r="AR70" s="83">
        <f t="shared" si="31"/>
        <v>-37.4644434</v>
      </c>
      <c r="AS70" s="83">
        <f t="shared" si="32"/>
        <v>-44.030022600000002</v>
      </c>
      <c r="AT70" s="83">
        <f t="shared" si="33"/>
        <v>-45.999777399999999</v>
      </c>
      <c r="AU70" s="83">
        <f t="shared" si="34"/>
        <v>-48.814551600000001</v>
      </c>
      <c r="AV70" s="84">
        <f t="shared" si="35"/>
        <v>-32.782964</v>
      </c>
    </row>
    <row r="71" spans="33:48" x14ac:dyDescent="0.15">
      <c r="AG71" s="80" t="e">
        <f t="shared" si="20"/>
        <v>#VALUE!</v>
      </c>
      <c r="AH71" s="80" t="e">
        <f t="shared" si="21"/>
        <v>#VALUE!</v>
      </c>
      <c r="AI71" s="80">
        <f t="shared" si="22"/>
        <v>-4836160</v>
      </c>
      <c r="AJ71" s="80">
        <f t="shared" si="23"/>
        <v>-10291256</v>
      </c>
      <c r="AK71" s="80">
        <f t="shared" si="24"/>
        <v>-1106712</v>
      </c>
      <c r="AL71" s="80">
        <f t="shared" si="25"/>
        <v>0</v>
      </c>
      <c r="AM71" s="80">
        <f t="shared" si="26"/>
        <v>-1535704</v>
      </c>
      <c r="AN71" s="80">
        <f t="shared" si="27"/>
        <v>-7638064</v>
      </c>
      <c r="AO71" s="80">
        <f t="shared" si="28"/>
        <v>-10776</v>
      </c>
      <c r="AP71" s="80">
        <f t="shared" si="29"/>
        <v>-78.044925399999997</v>
      </c>
      <c r="AQ71" s="83">
        <f t="shared" si="30"/>
        <v>-80.555999400000005</v>
      </c>
      <c r="AR71" s="83">
        <f t="shared" si="31"/>
        <v>-40.450785799999998</v>
      </c>
      <c r="AS71" s="83">
        <f t="shared" si="32"/>
        <v>-45.310985000000002</v>
      </c>
      <c r="AT71" s="83">
        <f t="shared" si="33"/>
        <v>-48.014772899999997</v>
      </c>
      <c r="AU71" s="83">
        <f t="shared" si="34"/>
        <v>-51.872414599999999</v>
      </c>
      <c r="AV71" s="84">
        <f t="shared" si="35"/>
        <v>-36.724092800000001</v>
      </c>
    </row>
    <row r="72" spans="33:48" x14ac:dyDescent="0.15">
      <c r="AG72" s="80" t="e">
        <f t="shared" si="20"/>
        <v>#VALUE!</v>
      </c>
      <c r="AH72" s="80" t="e">
        <f t="shared" si="21"/>
        <v>#VALUE!</v>
      </c>
      <c r="AI72" s="80">
        <f t="shared" si="22"/>
        <v>-9673280</v>
      </c>
      <c r="AJ72" s="80">
        <f t="shared" si="23"/>
        <v>-14477104</v>
      </c>
      <c r="AK72" s="80">
        <f t="shared" si="24"/>
        <v>-2345528</v>
      </c>
      <c r="AL72" s="80">
        <f t="shared" si="25"/>
        <v>0</v>
      </c>
      <c r="AM72" s="80">
        <f t="shared" si="26"/>
        <v>-1388896</v>
      </c>
      <c r="AN72" s="80">
        <f t="shared" si="27"/>
        <v>-10731752</v>
      </c>
      <c r="AO72" s="80">
        <f t="shared" si="28"/>
        <v>-10928</v>
      </c>
      <c r="AP72" s="80">
        <f t="shared" si="29"/>
        <v>-78.929543199999998</v>
      </c>
      <c r="AQ72" s="83">
        <f t="shared" si="30"/>
        <v>-81.764967799999994</v>
      </c>
      <c r="AR72" s="83">
        <f t="shared" si="31"/>
        <v>-41.4612616</v>
      </c>
      <c r="AS72" s="83">
        <f t="shared" si="32"/>
        <v>-45.799754900000003</v>
      </c>
      <c r="AT72" s="83">
        <f t="shared" si="33"/>
        <v>-48.736630699999999</v>
      </c>
      <c r="AU72" s="83">
        <f t="shared" si="34"/>
        <v>-52.6242655</v>
      </c>
      <c r="AV72" s="84">
        <f t="shared" si="35"/>
        <v>-37.640686000000002</v>
      </c>
    </row>
    <row r="73" spans="33:48" x14ac:dyDescent="0.15">
      <c r="AG73" s="80" t="e">
        <f t="shared" si="20"/>
        <v>#VALUE!</v>
      </c>
      <c r="AH73" s="80" t="e">
        <f t="shared" si="21"/>
        <v>#VALUE!</v>
      </c>
      <c r="AI73" s="80">
        <f t="shared" si="22"/>
        <v>-9673280</v>
      </c>
      <c r="AJ73" s="80">
        <f t="shared" si="23"/>
        <v>-21532504</v>
      </c>
      <c r="AK73" s="80">
        <f t="shared" si="24"/>
        <v>-2110896</v>
      </c>
      <c r="AL73" s="80">
        <f t="shared" si="25"/>
        <v>0</v>
      </c>
      <c r="AM73" s="80">
        <f t="shared" si="26"/>
        <v>-1837096</v>
      </c>
      <c r="AN73" s="80">
        <f t="shared" si="27"/>
        <v>-17573904</v>
      </c>
      <c r="AO73" s="80">
        <f t="shared" si="28"/>
        <v>-10608</v>
      </c>
      <c r="AP73" s="80">
        <f t="shared" si="29"/>
        <v>-79.641642599999997</v>
      </c>
      <c r="AQ73" s="83">
        <f t="shared" si="30"/>
        <v>-82.838215500000004</v>
      </c>
      <c r="AR73" s="83">
        <f t="shared" si="31"/>
        <v>-42.467933899999998</v>
      </c>
      <c r="AS73" s="83">
        <f t="shared" si="32"/>
        <v>-46.885863000000001</v>
      </c>
      <c r="AT73" s="83">
        <f t="shared" si="33"/>
        <v>-50.075228699999997</v>
      </c>
      <c r="AU73" s="83">
        <f t="shared" si="34"/>
        <v>-53.014076500000002</v>
      </c>
      <c r="AV73" s="84">
        <f t="shared" si="35"/>
        <v>-38.406951599999999</v>
      </c>
    </row>
    <row r="74" spans="33:48" x14ac:dyDescent="0.15">
      <c r="AG74" s="80" t="e">
        <f t="shared" si="20"/>
        <v>#VALUE!</v>
      </c>
      <c r="AH74" s="80" t="e">
        <f t="shared" si="21"/>
        <v>#VALUE!</v>
      </c>
      <c r="AI74" s="80">
        <f t="shared" si="22"/>
        <v>-2455232</v>
      </c>
      <c r="AJ74" s="80">
        <f t="shared" si="23"/>
        <v>-4285632</v>
      </c>
      <c r="AK74" s="80">
        <f t="shared" si="24"/>
        <v>-676136</v>
      </c>
      <c r="AL74" s="80">
        <f t="shared" si="25"/>
        <v>0</v>
      </c>
      <c r="AM74" s="80">
        <f t="shared" si="26"/>
        <v>-562136</v>
      </c>
      <c r="AN74" s="80">
        <f t="shared" si="27"/>
        <v>-3036576</v>
      </c>
      <c r="AO74" s="80">
        <f t="shared" si="28"/>
        <v>-10784</v>
      </c>
      <c r="AP74" s="80">
        <f t="shared" si="29"/>
        <v>-74.167058999999995</v>
      </c>
      <c r="AQ74" s="83">
        <f t="shared" si="30"/>
        <v>-76.095010299999998</v>
      </c>
      <c r="AR74" s="83">
        <f t="shared" si="31"/>
        <v>-31.620250200000001</v>
      </c>
      <c r="AS74" s="83">
        <f t="shared" si="32"/>
        <v>-40.614705399999998</v>
      </c>
      <c r="AT74" s="83">
        <f t="shared" si="33"/>
        <v>-36.980015700000003</v>
      </c>
      <c r="AU74" s="83">
        <f t="shared" si="34"/>
        <v>-44.725940100000003</v>
      </c>
      <c r="AV74" s="84">
        <f t="shared" si="35"/>
        <v>-28.896784499999999</v>
      </c>
    </row>
    <row r="75" spans="33:48" x14ac:dyDescent="0.15">
      <c r="AG75" s="80" t="e">
        <f t="shared" si="20"/>
        <v>#VALUE!</v>
      </c>
      <c r="AH75" s="80" t="e">
        <f t="shared" si="21"/>
        <v>#VALUE!</v>
      </c>
      <c r="AI75" s="80">
        <f t="shared" si="22"/>
        <v>-4912704</v>
      </c>
      <c r="AJ75" s="80">
        <f t="shared" si="23"/>
        <v>-8467512</v>
      </c>
      <c r="AK75" s="80">
        <f t="shared" si="24"/>
        <v>-1140944</v>
      </c>
      <c r="AL75" s="80">
        <f t="shared" si="25"/>
        <v>0</v>
      </c>
      <c r="AM75" s="80">
        <f t="shared" si="26"/>
        <v>-838408</v>
      </c>
      <c r="AN75" s="80">
        <f t="shared" si="27"/>
        <v>-6477112</v>
      </c>
      <c r="AO75" s="80">
        <f t="shared" si="28"/>
        <v>-11048</v>
      </c>
      <c r="AP75" s="80">
        <f t="shared" si="29"/>
        <v>-77.193662900000007</v>
      </c>
      <c r="AQ75" s="83">
        <f t="shared" si="30"/>
        <v>-79.725188700000004</v>
      </c>
      <c r="AR75" s="83">
        <f t="shared" si="31"/>
        <v>-34.0151301</v>
      </c>
      <c r="AS75" s="83">
        <f t="shared" si="32"/>
        <v>-42.450614600000002</v>
      </c>
      <c r="AT75" s="83">
        <f t="shared" si="33"/>
        <v>-39.827658399999997</v>
      </c>
      <c r="AU75" s="83">
        <f t="shared" si="34"/>
        <v>-46.334146599999997</v>
      </c>
      <c r="AV75" s="84">
        <f t="shared" si="35"/>
        <v>-31.556448799999998</v>
      </c>
    </row>
    <row r="76" spans="33:48" x14ac:dyDescent="0.15">
      <c r="AG76" s="80" t="e">
        <f t="shared" si="20"/>
        <v>#VALUE!</v>
      </c>
      <c r="AH76" s="80" t="e">
        <f t="shared" si="21"/>
        <v>#VALUE!</v>
      </c>
      <c r="AI76" s="80">
        <f t="shared" si="22"/>
        <v>-9828224</v>
      </c>
      <c r="AJ76" s="80">
        <f t="shared" si="23"/>
        <v>-12416600</v>
      </c>
      <c r="AK76" s="80">
        <f t="shared" si="24"/>
        <v>-2165344</v>
      </c>
      <c r="AL76" s="80">
        <f t="shared" si="25"/>
        <v>0</v>
      </c>
      <c r="AM76" s="80">
        <f t="shared" si="26"/>
        <v>-678304</v>
      </c>
      <c r="AN76" s="80">
        <f t="shared" si="27"/>
        <v>-9562504</v>
      </c>
      <c r="AO76" s="80">
        <f t="shared" si="28"/>
        <v>-10448</v>
      </c>
      <c r="AP76" s="80">
        <f t="shared" si="29"/>
        <v>-78.894637200000005</v>
      </c>
      <c r="AQ76" s="83">
        <f t="shared" si="30"/>
        <v>-81.866926500000005</v>
      </c>
      <c r="AR76" s="83">
        <f t="shared" si="31"/>
        <v>-34.919797799999998</v>
      </c>
      <c r="AS76" s="83">
        <f t="shared" si="32"/>
        <v>-43.682099200000003</v>
      </c>
      <c r="AT76" s="83">
        <f t="shared" si="33"/>
        <v>-41.627892299999999</v>
      </c>
      <c r="AU76" s="83">
        <f t="shared" si="34"/>
        <v>-47.607158900000002</v>
      </c>
      <c r="AV76" s="84">
        <f t="shared" si="35"/>
        <v>-32.705272700000002</v>
      </c>
    </row>
    <row r="77" spans="33:48" x14ac:dyDescent="0.15">
      <c r="AG77" s="80" t="e">
        <f t="shared" si="20"/>
        <v>#VALUE!</v>
      </c>
      <c r="AH77" s="80" t="e">
        <f t="shared" si="21"/>
        <v>#VALUE!</v>
      </c>
      <c r="AI77" s="80">
        <f t="shared" si="22"/>
        <v>-19659392</v>
      </c>
      <c r="AJ77" s="80">
        <f t="shared" si="23"/>
        <v>-17684168</v>
      </c>
      <c r="AK77" s="80">
        <f t="shared" si="24"/>
        <v>-4233336</v>
      </c>
      <c r="AL77" s="80">
        <f t="shared" si="25"/>
        <v>0</v>
      </c>
      <c r="AM77" s="80">
        <f t="shared" si="26"/>
        <v>-644360</v>
      </c>
      <c r="AN77" s="80">
        <f t="shared" si="27"/>
        <v>-12796272</v>
      </c>
      <c r="AO77" s="80">
        <f t="shared" si="28"/>
        <v>-10200</v>
      </c>
      <c r="AP77" s="80">
        <f t="shared" si="29"/>
        <v>-80.650733599999995</v>
      </c>
      <c r="AQ77" s="83">
        <f t="shared" si="30"/>
        <v>-84.399173099999999</v>
      </c>
      <c r="AR77" s="83">
        <f t="shared" si="31"/>
        <v>-35.674808300000002</v>
      </c>
      <c r="AS77" s="83">
        <f t="shared" si="32"/>
        <v>-43.991991800000001</v>
      </c>
      <c r="AT77" s="83">
        <f t="shared" si="33"/>
        <v>-42.093262199999998</v>
      </c>
      <c r="AU77" s="83">
        <f t="shared" si="34"/>
        <v>-49.045717799999998</v>
      </c>
      <c r="AV77" s="84">
        <f t="shared" si="35"/>
        <v>-33.910986100000002</v>
      </c>
    </row>
    <row r="78" spans="33:48" x14ac:dyDescent="0.15">
      <c r="AG78" s="80" t="e">
        <f t="shared" si="20"/>
        <v>#VALUE!</v>
      </c>
      <c r="AH78" s="80" t="e">
        <f t="shared" si="21"/>
        <v>#VALUE!</v>
      </c>
      <c r="AI78" s="80">
        <f t="shared" si="22"/>
        <v>-14745456</v>
      </c>
      <c r="AJ78" s="80">
        <f t="shared" si="23"/>
        <v>-26232272</v>
      </c>
      <c r="AK78" s="80">
        <f t="shared" si="24"/>
        <v>-9153112</v>
      </c>
      <c r="AL78" s="80">
        <f t="shared" si="25"/>
        <v>0</v>
      </c>
      <c r="AM78" s="80">
        <f t="shared" si="26"/>
        <v>-887184</v>
      </c>
      <c r="AN78" s="80">
        <f t="shared" si="27"/>
        <v>-16183096</v>
      </c>
      <c r="AO78" s="80">
        <f t="shared" si="28"/>
        <v>-8880</v>
      </c>
      <c r="AP78" s="80">
        <f t="shared" si="29"/>
        <v>-85.020890800000004</v>
      </c>
      <c r="AQ78" s="83">
        <f t="shared" si="30"/>
        <v>-90.732500000000002</v>
      </c>
      <c r="AR78" s="83">
        <f t="shared" si="31"/>
        <v>-36.389134800000001</v>
      </c>
      <c r="AS78" s="83">
        <f t="shared" si="32"/>
        <v>-44.296586699999999</v>
      </c>
      <c r="AT78" s="83">
        <f t="shared" si="33"/>
        <v>-42.527574600000001</v>
      </c>
      <c r="AU78" s="83">
        <f t="shared" si="34"/>
        <v>-53.220122699999997</v>
      </c>
      <c r="AV78" s="84">
        <f t="shared" si="35"/>
        <v>-35.567962999999999</v>
      </c>
    </row>
    <row r="79" spans="33:48" x14ac:dyDescent="0.15">
      <c r="AG79" s="80" t="e">
        <f t="shared" si="20"/>
        <v>#VALUE!</v>
      </c>
      <c r="AH79" s="80" t="e">
        <f t="shared" si="21"/>
        <v>#VALUE!</v>
      </c>
      <c r="AI79" s="80">
        <f t="shared" si="22"/>
        <v>-2424384</v>
      </c>
      <c r="AJ79" s="80">
        <f t="shared" si="23"/>
        <v>-3568664</v>
      </c>
      <c r="AK79" s="80">
        <f t="shared" si="24"/>
        <v>-356432</v>
      </c>
      <c r="AL79" s="80">
        <f t="shared" si="25"/>
        <v>-67272</v>
      </c>
      <c r="AM79" s="80">
        <f t="shared" si="26"/>
        <v>-507992</v>
      </c>
      <c r="AN79" s="80">
        <f t="shared" si="27"/>
        <v>-2626360</v>
      </c>
      <c r="AO79" s="80">
        <f t="shared" si="28"/>
        <v>-10608</v>
      </c>
      <c r="AP79" s="80">
        <f t="shared" si="29"/>
        <v>-74.719796700000003</v>
      </c>
      <c r="AQ79" s="83">
        <f t="shared" si="30"/>
        <v>-76.526658400000002</v>
      </c>
      <c r="AR79" s="83">
        <f t="shared" si="31"/>
        <v>-38.749863599999998</v>
      </c>
      <c r="AS79" s="83">
        <f t="shared" si="32"/>
        <v>-44.541080299999997</v>
      </c>
      <c r="AT79" s="83">
        <f t="shared" si="33"/>
        <v>-43.164181800000001</v>
      </c>
      <c r="AU79" s="83">
        <f t="shared" si="34"/>
        <v>-47.561810199999996</v>
      </c>
      <c r="AV79" s="84">
        <f t="shared" si="35"/>
        <v>-35.327995399999999</v>
      </c>
    </row>
    <row r="80" spans="33:48" x14ac:dyDescent="0.15">
      <c r="AG80" s="80" t="e">
        <f t="shared" si="20"/>
        <v>#VALUE!</v>
      </c>
      <c r="AH80" s="80" t="e">
        <f t="shared" si="21"/>
        <v>#VALUE!</v>
      </c>
      <c r="AI80" s="80">
        <f t="shared" si="22"/>
        <v>-1220720</v>
      </c>
      <c r="AJ80" s="80">
        <f t="shared" si="23"/>
        <v>-7453032</v>
      </c>
      <c r="AK80" s="80">
        <f t="shared" si="24"/>
        <v>-585992</v>
      </c>
      <c r="AL80" s="80">
        <f t="shared" si="25"/>
        <v>-108920</v>
      </c>
      <c r="AM80" s="80">
        <f t="shared" si="26"/>
        <v>-818280</v>
      </c>
      <c r="AN80" s="80">
        <f t="shared" si="27"/>
        <v>-5930632</v>
      </c>
      <c r="AO80" s="80">
        <f t="shared" si="28"/>
        <v>-9208</v>
      </c>
      <c r="AP80" s="80">
        <f t="shared" si="29"/>
        <v>-76.568342599999994</v>
      </c>
      <c r="AQ80" s="83">
        <f t="shared" si="30"/>
        <v>-78.661382399999994</v>
      </c>
      <c r="AR80" s="83">
        <f t="shared" si="31"/>
        <v>-41.0505274</v>
      </c>
      <c r="AS80" s="83">
        <f t="shared" si="32"/>
        <v>-45.922226799999997</v>
      </c>
      <c r="AT80" s="83">
        <f t="shared" si="33"/>
        <v>-44.750857799999999</v>
      </c>
      <c r="AU80" s="83">
        <f t="shared" si="34"/>
        <v>-48.374250400000001</v>
      </c>
      <c r="AV80" s="84">
        <f t="shared" si="35"/>
        <v>-36.842125199999998</v>
      </c>
    </row>
    <row r="81" spans="33:48" x14ac:dyDescent="0.15">
      <c r="AG81" s="80" t="e">
        <f t="shared" si="20"/>
        <v>#VALUE!</v>
      </c>
      <c r="AH81" s="80" t="e">
        <f t="shared" si="21"/>
        <v>#VALUE!</v>
      </c>
      <c r="AI81" s="80">
        <f t="shared" si="22"/>
        <v>-4908880</v>
      </c>
      <c r="AJ81" s="80">
        <f t="shared" si="23"/>
        <v>-10800224</v>
      </c>
      <c r="AK81" s="80">
        <f t="shared" si="24"/>
        <v>-1668192</v>
      </c>
      <c r="AL81" s="80">
        <f t="shared" si="25"/>
        <v>-319000</v>
      </c>
      <c r="AM81" s="80">
        <f t="shared" si="26"/>
        <v>-871952</v>
      </c>
      <c r="AN81" s="80">
        <f t="shared" si="27"/>
        <v>-7932112</v>
      </c>
      <c r="AO81" s="80">
        <f t="shared" si="28"/>
        <v>-8968</v>
      </c>
      <c r="AP81" s="80">
        <f t="shared" si="29"/>
        <v>-80.003583899999995</v>
      </c>
      <c r="AQ81" s="83">
        <f t="shared" si="30"/>
        <v>-83.053107800000006</v>
      </c>
      <c r="AR81" s="83">
        <f t="shared" si="31"/>
        <v>-42.192708400000001</v>
      </c>
      <c r="AS81" s="83">
        <f t="shared" si="32"/>
        <v>-46.6370182</v>
      </c>
      <c r="AT81" s="83">
        <f t="shared" si="33"/>
        <v>-45.707981099999998</v>
      </c>
      <c r="AU81" s="83">
        <f t="shared" si="34"/>
        <v>-50.753309199999997</v>
      </c>
      <c r="AV81" s="84">
        <f t="shared" si="35"/>
        <v>-39.090456199999998</v>
      </c>
    </row>
    <row r="82" spans="33:48" x14ac:dyDescent="0.15">
      <c r="AG82" s="80" t="e">
        <f t="shared" si="20"/>
        <v>#VALUE!</v>
      </c>
      <c r="AH82" s="80" t="e">
        <f t="shared" si="21"/>
        <v>#VALUE!</v>
      </c>
      <c r="AI82" s="80">
        <f t="shared" si="22"/>
        <v>-4908880</v>
      </c>
      <c r="AJ82" s="80">
        <f t="shared" si="23"/>
        <v>-15398592</v>
      </c>
      <c r="AK82" s="80">
        <f t="shared" si="24"/>
        <v>-1668192</v>
      </c>
      <c r="AL82" s="80">
        <f t="shared" si="25"/>
        <v>-319000</v>
      </c>
      <c r="AM82" s="80">
        <f t="shared" si="26"/>
        <v>-1795632</v>
      </c>
      <c r="AN82" s="80">
        <f t="shared" si="27"/>
        <v>-11606536</v>
      </c>
      <c r="AO82" s="80">
        <f t="shared" si="28"/>
        <v>-9232</v>
      </c>
      <c r="AP82" s="80">
        <f t="shared" si="29"/>
        <v>-81.433875499999999</v>
      </c>
      <c r="AQ82" s="83">
        <f t="shared" si="30"/>
        <v>-85.377361500000006</v>
      </c>
      <c r="AR82" s="83">
        <f t="shared" si="31"/>
        <v>-43.197819600000003</v>
      </c>
      <c r="AS82" s="83">
        <f t="shared" si="32"/>
        <v>-47.7143388</v>
      </c>
      <c r="AT82" s="83">
        <f t="shared" si="33"/>
        <v>-46.906802900000002</v>
      </c>
      <c r="AU82" s="83">
        <f t="shared" si="34"/>
        <v>-51.750560900000004</v>
      </c>
      <c r="AV82" s="84">
        <f t="shared" si="35"/>
        <v>-40.305828099999999</v>
      </c>
    </row>
    <row r="83" spans="33:48" x14ac:dyDescent="0.15">
      <c r="AG83" s="80" t="e">
        <f t="shared" si="20"/>
        <v>#VALUE!</v>
      </c>
      <c r="AH83" s="80" t="e">
        <f t="shared" si="21"/>
        <v>#VALUE!</v>
      </c>
      <c r="AI83" s="80">
        <f t="shared" si="22"/>
        <v>-12284400</v>
      </c>
      <c r="AJ83" s="80">
        <f t="shared" si="23"/>
        <v>-22522160</v>
      </c>
      <c r="AK83" s="80">
        <f t="shared" si="24"/>
        <v>-4447224</v>
      </c>
      <c r="AL83" s="80">
        <f t="shared" si="25"/>
        <v>-1173480</v>
      </c>
      <c r="AM83" s="80">
        <f t="shared" si="26"/>
        <v>-359024</v>
      </c>
      <c r="AN83" s="80">
        <f t="shared" si="27"/>
        <v>-16533752</v>
      </c>
      <c r="AO83" s="80">
        <f t="shared" si="28"/>
        <v>-8680</v>
      </c>
      <c r="AP83" s="80">
        <f t="shared" si="29"/>
        <v>-84.496476400000006</v>
      </c>
      <c r="AQ83" s="83">
        <f t="shared" si="30"/>
        <v>-89.212844500000003</v>
      </c>
      <c r="AR83" s="83">
        <f t="shared" si="31"/>
        <v>-44.263981100000002</v>
      </c>
      <c r="AS83" s="83">
        <f t="shared" si="32"/>
        <v>-48.425674000000001</v>
      </c>
      <c r="AT83" s="83">
        <f t="shared" si="33"/>
        <v>-47.749610500000003</v>
      </c>
      <c r="AU83" s="83">
        <f t="shared" si="34"/>
        <v>-54.256250600000001</v>
      </c>
      <c r="AV83" s="84">
        <f t="shared" si="35"/>
        <v>-42.334978599999999</v>
      </c>
    </row>
    <row r="84" spans="33:48" x14ac:dyDescent="0.15">
      <c r="AG84" s="80" t="e">
        <f t="shared" si="20"/>
        <v>#VALUE!</v>
      </c>
      <c r="AH84" s="80" t="e">
        <f t="shared" si="21"/>
        <v>#VALUE!</v>
      </c>
      <c r="AI84" s="80">
        <f t="shared" si="22"/>
        <v>-3680704</v>
      </c>
      <c r="AJ84" s="80">
        <f t="shared" si="23"/>
        <v>-3092984</v>
      </c>
      <c r="AK84" s="80">
        <f t="shared" si="24"/>
        <v>-418128</v>
      </c>
      <c r="AL84" s="80">
        <f t="shared" si="25"/>
        <v>-69000</v>
      </c>
      <c r="AM84" s="80">
        <f t="shared" si="26"/>
        <v>-305568</v>
      </c>
      <c r="AN84" s="80">
        <f t="shared" si="27"/>
        <v>-2290104</v>
      </c>
      <c r="AO84" s="80">
        <f t="shared" si="28"/>
        <v>-10184</v>
      </c>
      <c r="AP84" s="80">
        <f t="shared" si="29"/>
        <v>-73.723912499999997</v>
      </c>
      <c r="AQ84" s="83">
        <f t="shared" si="30"/>
        <v>-75.428009399999993</v>
      </c>
      <c r="AR84" s="83">
        <f t="shared" si="31"/>
        <v>-30.175224799999999</v>
      </c>
      <c r="AS84" s="83">
        <f t="shared" si="32"/>
        <v>-38.825280300000003</v>
      </c>
      <c r="AT84" s="83">
        <f t="shared" si="33"/>
        <v>-38.9464021</v>
      </c>
      <c r="AU84" s="83">
        <f t="shared" si="34"/>
        <v>-48.860739500000001</v>
      </c>
      <c r="AV84" s="84">
        <f t="shared" si="35"/>
        <v>-29.331433499999999</v>
      </c>
    </row>
    <row r="85" spans="33:48" x14ac:dyDescent="0.15">
      <c r="AG85" s="80" t="e">
        <f t="shared" si="20"/>
        <v>#VALUE!</v>
      </c>
      <c r="AH85" s="80" t="e">
        <f t="shared" si="21"/>
        <v>#VALUE!</v>
      </c>
      <c r="AI85" s="80">
        <f t="shared" si="22"/>
        <v>-7364992</v>
      </c>
      <c r="AJ85" s="80">
        <f t="shared" si="23"/>
        <v>-4160888</v>
      </c>
      <c r="AK85" s="80">
        <f t="shared" si="24"/>
        <v>-666928</v>
      </c>
      <c r="AL85" s="80">
        <f t="shared" si="25"/>
        <v>-132408</v>
      </c>
      <c r="AM85" s="80">
        <f t="shared" si="26"/>
        <v>-129488</v>
      </c>
      <c r="AN85" s="80">
        <f t="shared" si="27"/>
        <v>-3222040</v>
      </c>
      <c r="AO85" s="80">
        <f t="shared" si="28"/>
        <v>-10024</v>
      </c>
      <c r="AP85" s="80">
        <f t="shared" si="29"/>
        <v>-74.039069499999997</v>
      </c>
      <c r="AQ85" s="83">
        <f t="shared" si="30"/>
        <v>-75.754838300000003</v>
      </c>
      <c r="AR85" s="83">
        <f t="shared" si="31"/>
        <v>-30.6384121</v>
      </c>
      <c r="AS85" s="83">
        <f t="shared" si="32"/>
        <v>-38.947303599999998</v>
      </c>
      <c r="AT85" s="83">
        <f t="shared" si="33"/>
        <v>-39.072815599999998</v>
      </c>
      <c r="AU85" s="83">
        <f t="shared" si="34"/>
        <v>-49.124562300000001</v>
      </c>
      <c r="AV85" s="84">
        <f t="shared" si="35"/>
        <v>-29.6733428</v>
      </c>
    </row>
    <row r="86" spans="33:48" x14ac:dyDescent="0.15">
      <c r="AG86" s="80" t="e">
        <f t="shared" si="20"/>
        <v>#VALUE!</v>
      </c>
      <c r="AH86" s="80" t="e">
        <f t="shared" si="21"/>
        <v>#VALUE!</v>
      </c>
      <c r="AI86" s="80">
        <f t="shared" si="22"/>
        <v>-7364992</v>
      </c>
      <c r="AJ86" s="80">
        <f t="shared" si="23"/>
        <v>-6177848</v>
      </c>
      <c r="AK86" s="80">
        <f t="shared" si="24"/>
        <v>-666928</v>
      </c>
      <c r="AL86" s="80">
        <f t="shared" si="25"/>
        <v>-132408</v>
      </c>
      <c r="AM86" s="80">
        <f t="shared" si="26"/>
        <v>-438240</v>
      </c>
      <c r="AN86" s="80">
        <f t="shared" si="27"/>
        <v>-4930168</v>
      </c>
      <c r="AO86" s="80">
        <f t="shared" si="28"/>
        <v>-10104</v>
      </c>
      <c r="AP86" s="80">
        <f t="shared" si="29"/>
        <v>-76.779802900000007</v>
      </c>
      <c r="AQ86" s="83">
        <f t="shared" si="30"/>
        <v>-78.950369300000006</v>
      </c>
      <c r="AR86" s="83">
        <f t="shared" si="31"/>
        <v>-31.270876600000001</v>
      </c>
      <c r="AS86" s="83">
        <f t="shared" si="32"/>
        <v>-39.027085300000003</v>
      </c>
      <c r="AT86" s="83">
        <f t="shared" si="33"/>
        <v>-39.231578900000002</v>
      </c>
      <c r="AU86" s="83">
        <f t="shared" si="34"/>
        <v>-50.689145400000001</v>
      </c>
      <c r="AV86" s="84">
        <f t="shared" si="35"/>
        <v>-30.4461111</v>
      </c>
    </row>
    <row r="87" spans="33:48" x14ac:dyDescent="0.15">
      <c r="AG87" s="80" t="e">
        <f t="shared" si="20"/>
        <v>#VALUE!</v>
      </c>
      <c r="AH87" s="80" t="e">
        <f t="shared" si="21"/>
        <v>#VALUE!</v>
      </c>
      <c r="AI87" s="80">
        <f t="shared" si="22"/>
        <v>-14733568</v>
      </c>
      <c r="AJ87" s="80">
        <f t="shared" si="23"/>
        <v>-8208872</v>
      </c>
      <c r="AK87" s="80">
        <f t="shared" si="24"/>
        <v>-1300264</v>
      </c>
      <c r="AL87" s="80">
        <f t="shared" si="25"/>
        <v>-316856</v>
      </c>
      <c r="AM87" s="80">
        <f t="shared" si="26"/>
        <v>-405480</v>
      </c>
      <c r="AN87" s="80">
        <f t="shared" si="27"/>
        <v>-6176256</v>
      </c>
      <c r="AO87" s="80">
        <f t="shared" si="28"/>
        <v>-10016</v>
      </c>
      <c r="AP87" s="80">
        <f t="shared" si="29"/>
        <v>-79.390922000000003</v>
      </c>
      <c r="AQ87" s="83">
        <f t="shared" si="30"/>
        <v>-82.222752099999994</v>
      </c>
      <c r="AR87" s="83">
        <f t="shared" si="31"/>
        <v>-31.690460999999999</v>
      </c>
      <c r="AS87" s="83">
        <f t="shared" si="32"/>
        <v>-39.108295300000002</v>
      </c>
      <c r="AT87" s="83">
        <f t="shared" si="33"/>
        <v>-39.387587600000003</v>
      </c>
      <c r="AU87" s="83">
        <f t="shared" si="34"/>
        <v>-52.037329399999997</v>
      </c>
      <c r="AV87" s="84">
        <f t="shared" si="35"/>
        <v>-31.0457073</v>
      </c>
    </row>
    <row r="88" spans="33:48" x14ac:dyDescent="0.15">
      <c r="AG88" s="80" t="e">
        <f t="shared" si="20"/>
        <v>#VALUE!</v>
      </c>
      <c r="AH88" s="80" t="e">
        <f t="shared" si="21"/>
        <v>#VALUE!</v>
      </c>
      <c r="AI88" s="80">
        <f t="shared" si="22"/>
        <v>-22099520</v>
      </c>
      <c r="AJ88" s="80">
        <f t="shared" si="23"/>
        <v>-12337904</v>
      </c>
      <c r="AK88" s="80">
        <f t="shared" si="24"/>
        <v>-1830208</v>
      </c>
      <c r="AL88" s="80">
        <f t="shared" si="25"/>
        <v>-455360</v>
      </c>
      <c r="AM88" s="80">
        <f t="shared" si="26"/>
        <v>-365920</v>
      </c>
      <c r="AN88" s="80">
        <f t="shared" si="27"/>
        <v>-9676808</v>
      </c>
      <c r="AO88" s="80">
        <f t="shared" si="28"/>
        <v>-9608</v>
      </c>
      <c r="AP88" s="80">
        <f t="shared" si="29"/>
        <v>-80.708058899999997</v>
      </c>
      <c r="AQ88" s="83">
        <f t="shared" si="30"/>
        <v>-84.004032899999999</v>
      </c>
      <c r="AR88" s="83">
        <f t="shared" si="31"/>
        <v>-32.461677399999999</v>
      </c>
      <c r="AS88" s="83">
        <f t="shared" si="32"/>
        <v>-39.193198299999999</v>
      </c>
      <c r="AT88" s="83">
        <f t="shared" si="33"/>
        <v>-39.520949799999997</v>
      </c>
      <c r="AU88" s="83">
        <f t="shared" si="34"/>
        <v>-52.9035169</v>
      </c>
      <c r="AV88" s="84">
        <f t="shared" si="35"/>
        <v>-31.7921397</v>
      </c>
    </row>
    <row r="89" spans="33:48" x14ac:dyDescent="0.15">
      <c r="AG89" s="80" t="e">
        <f t="shared" si="20"/>
        <v>#VALUE!</v>
      </c>
      <c r="AH89" s="80" t="e">
        <f t="shared" si="21"/>
        <v>#VALUE!</v>
      </c>
      <c r="AI89" s="80">
        <f t="shared" si="22"/>
        <v>-3682048</v>
      </c>
      <c r="AJ89" s="80">
        <f t="shared" si="23"/>
        <v>-2997152</v>
      </c>
      <c r="AK89" s="80">
        <f t="shared" si="24"/>
        <v>-339832</v>
      </c>
      <c r="AL89" s="80">
        <f t="shared" si="25"/>
        <v>-7304</v>
      </c>
      <c r="AM89" s="80">
        <f t="shared" si="26"/>
        <v>-289272</v>
      </c>
      <c r="AN89" s="80">
        <f t="shared" si="27"/>
        <v>-2350040</v>
      </c>
      <c r="AO89" s="80">
        <f t="shared" si="28"/>
        <v>-10704</v>
      </c>
      <c r="AP89" s="80">
        <f t="shared" si="29"/>
        <v>-74.765563200000003</v>
      </c>
      <c r="AQ89" s="83">
        <f t="shared" si="30"/>
        <v>-76.394318600000005</v>
      </c>
      <c r="AR89" s="83">
        <f t="shared" si="31"/>
        <v>-33.346512400000002</v>
      </c>
      <c r="AS89" s="83">
        <f t="shared" si="32"/>
        <v>-42.554039799999998</v>
      </c>
      <c r="AT89" s="83">
        <f t="shared" si="33"/>
        <v>-42.961681599999999</v>
      </c>
      <c r="AU89" s="83">
        <f t="shared" si="34"/>
        <v>-49.467248300000001</v>
      </c>
      <c r="AV89" s="84">
        <f t="shared" si="35"/>
        <v>-32.488805900000003</v>
      </c>
    </row>
    <row r="90" spans="33:48" x14ac:dyDescent="0.15">
      <c r="AG90" s="80" t="e">
        <f t="shared" si="20"/>
        <v>#VALUE!</v>
      </c>
      <c r="AH90" s="80" t="e">
        <f t="shared" si="21"/>
        <v>#VALUE!</v>
      </c>
      <c r="AI90" s="80">
        <f t="shared" si="22"/>
        <v>-7369024</v>
      </c>
      <c r="AJ90" s="80">
        <f t="shared" si="23"/>
        <v>-3898168</v>
      </c>
      <c r="AK90" s="80">
        <f t="shared" si="24"/>
        <v>-653240</v>
      </c>
      <c r="AL90" s="80">
        <f t="shared" si="25"/>
        <v>-68496</v>
      </c>
      <c r="AM90" s="80">
        <f t="shared" si="26"/>
        <v>-296176</v>
      </c>
      <c r="AN90" s="80">
        <f t="shared" si="27"/>
        <v>-2870160</v>
      </c>
      <c r="AO90" s="80">
        <f t="shared" si="28"/>
        <v>-10096</v>
      </c>
      <c r="AP90" s="80">
        <f t="shared" si="29"/>
        <v>-76.732968600000007</v>
      </c>
      <c r="AQ90" s="83">
        <f t="shared" si="30"/>
        <v>-78.667444500000002</v>
      </c>
      <c r="AR90" s="83">
        <f t="shared" si="31"/>
        <v>-33.651097800000002</v>
      </c>
      <c r="AS90" s="83">
        <f t="shared" si="32"/>
        <v>-42.725312000000002</v>
      </c>
      <c r="AT90" s="83">
        <f t="shared" si="33"/>
        <v>-43.177730500000003</v>
      </c>
      <c r="AU90" s="83">
        <f t="shared" si="34"/>
        <v>-50.856106699999998</v>
      </c>
      <c r="AV90" s="84">
        <f t="shared" si="35"/>
        <v>-32.993529799999997</v>
      </c>
    </row>
    <row r="91" spans="33:48" x14ac:dyDescent="0.15">
      <c r="AG91" s="80" t="e">
        <f t="shared" si="20"/>
        <v>#VALUE!</v>
      </c>
      <c r="AH91" s="80" t="e">
        <f t="shared" si="21"/>
        <v>#VALUE!</v>
      </c>
      <c r="AI91" s="80">
        <f t="shared" si="22"/>
        <v>-14739584</v>
      </c>
      <c r="AJ91" s="80">
        <f t="shared" si="23"/>
        <v>-6106168</v>
      </c>
      <c r="AK91" s="80">
        <f t="shared" si="24"/>
        <v>-1162112</v>
      </c>
      <c r="AL91" s="80">
        <f t="shared" si="25"/>
        <v>-128976</v>
      </c>
      <c r="AM91" s="80">
        <f t="shared" si="26"/>
        <v>-221336</v>
      </c>
      <c r="AN91" s="80">
        <f t="shared" si="27"/>
        <v>-4584064</v>
      </c>
      <c r="AO91" s="80">
        <f t="shared" si="28"/>
        <v>-9680</v>
      </c>
      <c r="AP91" s="80">
        <f t="shared" si="29"/>
        <v>-78.634495799999996</v>
      </c>
      <c r="AQ91" s="83">
        <f t="shared" si="30"/>
        <v>-80.923143100000004</v>
      </c>
      <c r="AR91" s="83">
        <f t="shared" si="31"/>
        <v>-34.287683199999996</v>
      </c>
      <c r="AS91" s="83">
        <f t="shared" si="32"/>
        <v>-42.8729376</v>
      </c>
      <c r="AT91" s="83">
        <f t="shared" si="33"/>
        <v>-43.438575100000001</v>
      </c>
      <c r="AU91" s="83">
        <f t="shared" si="34"/>
        <v>-52.0243514</v>
      </c>
      <c r="AV91" s="84">
        <f t="shared" si="35"/>
        <v>-33.676662299999997</v>
      </c>
    </row>
    <row r="92" spans="33:48" x14ac:dyDescent="0.15">
      <c r="AG92" s="80" t="e">
        <f t="shared" si="20"/>
        <v>#VALUE!</v>
      </c>
      <c r="AH92" s="80" t="e">
        <f t="shared" si="21"/>
        <v>#VALUE!</v>
      </c>
      <c r="AI92" s="80">
        <f t="shared" si="22"/>
        <v>-14739584</v>
      </c>
      <c r="AJ92" s="80">
        <f t="shared" si="23"/>
        <v>-8071048</v>
      </c>
      <c r="AK92" s="80">
        <f t="shared" si="24"/>
        <v>-1162112</v>
      </c>
      <c r="AL92" s="80">
        <f t="shared" si="25"/>
        <v>-128976</v>
      </c>
      <c r="AM92" s="80">
        <f t="shared" si="26"/>
        <v>-482872</v>
      </c>
      <c r="AN92" s="80">
        <f t="shared" si="27"/>
        <v>-6287224</v>
      </c>
      <c r="AO92" s="80">
        <f t="shared" si="28"/>
        <v>-9864</v>
      </c>
      <c r="AP92" s="80">
        <f t="shared" si="29"/>
        <v>-79.941020399999999</v>
      </c>
      <c r="AQ92" s="83">
        <f t="shared" si="30"/>
        <v>-82.705547499999994</v>
      </c>
      <c r="AR92" s="83">
        <f t="shared" si="31"/>
        <v>-34.353905300000001</v>
      </c>
      <c r="AS92" s="83">
        <f t="shared" si="32"/>
        <v>-42.998474000000002</v>
      </c>
      <c r="AT92" s="83">
        <f t="shared" si="33"/>
        <v>-43.629778999999999</v>
      </c>
      <c r="AU92" s="83">
        <f t="shared" si="34"/>
        <v>-52.730958800000003</v>
      </c>
      <c r="AV92" s="84">
        <f t="shared" si="35"/>
        <v>-33.779969399999999</v>
      </c>
    </row>
    <row r="93" spans="33:48" ht="15.75" customHeight="1" x14ac:dyDescent="0.15">
      <c r="AG93" s="92" t="e">
        <f t="shared" si="20"/>
        <v>#VALUE!</v>
      </c>
      <c r="AH93" s="92" t="e">
        <f t="shared" si="21"/>
        <v>#VALUE!</v>
      </c>
      <c r="AI93" s="92">
        <f t="shared" si="22"/>
        <v>-22110080</v>
      </c>
      <c r="AJ93" s="92">
        <f t="shared" si="23"/>
        <v>-12397008</v>
      </c>
      <c r="AK93" s="92">
        <f t="shared" si="24"/>
        <v>-1636160</v>
      </c>
      <c r="AL93" s="92">
        <f t="shared" si="25"/>
        <v>-189784</v>
      </c>
      <c r="AM93" s="92">
        <f t="shared" si="26"/>
        <v>-493256</v>
      </c>
      <c r="AN93" s="92">
        <f t="shared" si="27"/>
        <v>-10068344</v>
      </c>
      <c r="AO93" s="92">
        <f t="shared" si="28"/>
        <v>-9464</v>
      </c>
      <c r="AP93" s="92">
        <f t="shared" si="29"/>
        <v>-81.354024300000006</v>
      </c>
      <c r="AQ93" s="93">
        <f t="shared" si="30"/>
        <v>-84.629003999999995</v>
      </c>
      <c r="AR93" s="93">
        <f t="shared" si="31"/>
        <v>-34.918774999999997</v>
      </c>
      <c r="AS93" s="93">
        <f t="shared" si="32"/>
        <v>-43.103833100000003</v>
      </c>
      <c r="AT93" s="93">
        <f t="shared" si="33"/>
        <v>-43.756202299999998</v>
      </c>
      <c r="AU93" s="93">
        <f t="shared" si="34"/>
        <v>-53.6072031</v>
      </c>
      <c r="AV93" s="94">
        <f t="shared" si="35"/>
        <v>-34.365051200000003</v>
      </c>
    </row>
    <row r="94" spans="33:48" x14ac:dyDescent="0.15">
      <c r="AG94" s="80" t="e">
        <f>#REF!-#REF!</f>
        <v>#REF!</v>
      </c>
      <c r="AH94" s="80" t="e">
        <f>#REF!-#REF!</f>
        <v>#REF!</v>
      </c>
      <c r="AI94" s="80" t="e">
        <f>#REF!-#REF!</f>
        <v>#REF!</v>
      </c>
      <c r="AJ94" s="80" t="e">
        <f>#REF!-#REF!</f>
        <v>#REF!</v>
      </c>
      <c r="AK94" s="80" t="e">
        <f>#REF!-#REF!</f>
        <v>#REF!</v>
      </c>
      <c r="AL94" s="80" t="e">
        <f>#REF!-#REF!</f>
        <v>#REF!</v>
      </c>
      <c r="AM94" s="80" t="e">
        <f>#REF!-#REF!</f>
        <v>#REF!</v>
      </c>
      <c r="AN94" s="80" t="e">
        <f>#REF!-#REF!</f>
        <v>#REF!</v>
      </c>
      <c r="AO94" s="80" t="e">
        <f>#REF!-#REF!</f>
        <v>#REF!</v>
      </c>
      <c r="AP94" s="80" t="e">
        <f>#REF!-#REF!</f>
        <v>#REF!</v>
      </c>
      <c r="AQ94" s="83" t="e">
        <f>#REF!-#REF!</f>
        <v>#REF!</v>
      </c>
      <c r="AR94" s="83" t="e">
        <f>#REF!-#REF!</f>
        <v>#REF!</v>
      </c>
      <c r="AS94" s="83" t="e">
        <f>#REF!-#REF!</f>
        <v>#REF!</v>
      </c>
      <c r="AT94" s="83" t="e">
        <f>#REF!-#REF!</f>
        <v>#REF!</v>
      </c>
      <c r="AU94" s="83" t="e">
        <f>#REF!-#REF!</f>
        <v>#REF!</v>
      </c>
      <c r="AV94" s="84" t="e">
        <f>#REF!-#REF!</f>
        <v>#REF!</v>
      </c>
    </row>
    <row r="95" spans="33:48" x14ac:dyDescent="0.15">
      <c r="AG95" s="80" t="e">
        <f>#REF!-#REF!</f>
        <v>#REF!</v>
      </c>
      <c r="AH95" s="80" t="e">
        <f>#REF!-#REF!</f>
        <v>#REF!</v>
      </c>
      <c r="AI95" s="80" t="e">
        <f>#REF!-#REF!</f>
        <v>#REF!</v>
      </c>
      <c r="AJ95" s="80" t="e">
        <f>#REF!-#REF!</f>
        <v>#REF!</v>
      </c>
      <c r="AK95" s="80" t="e">
        <f>#REF!-#REF!</f>
        <v>#REF!</v>
      </c>
      <c r="AL95" s="80" t="e">
        <f>#REF!-#REF!</f>
        <v>#REF!</v>
      </c>
      <c r="AM95" s="80" t="e">
        <f>#REF!-#REF!</f>
        <v>#REF!</v>
      </c>
      <c r="AN95" s="80" t="e">
        <f>#REF!-#REF!</f>
        <v>#REF!</v>
      </c>
      <c r="AO95" s="80" t="e">
        <f>#REF!-#REF!</f>
        <v>#REF!</v>
      </c>
      <c r="AP95" s="80" t="e">
        <f>#REF!-#REF!</f>
        <v>#REF!</v>
      </c>
      <c r="AQ95" s="83" t="e">
        <f>#REF!-#REF!</f>
        <v>#REF!</v>
      </c>
      <c r="AR95" s="83" t="e">
        <f>#REF!-#REF!</f>
        <v>#REF!</v>
      </c>
      <c r="AS95" s="83" t="e">
        <f>#REF!-#REF!</f>
        <v>#REF!</v>
      </c>
      <c r="AT95" s="83" t="e">
        <f>#REF!-#REF!</f>
        <v>#REF!</v>
      </c>
      <c r="AU95" s="83" t="e">
        <f>#REF!-#REF!</f>
        <v>#REF!</v>
      </c>
      <c r="AV95" s="84" t="e">
        <f>#REF!-#REF!</f>
        <v>#REF!</v>
      </c>
    </row>
    <row r="96" spans="33:48" x14ac:dyDescent="0.15">
      <c r="AG96" s="80" t="e">
        <f>#REF!-#REF!</f>
        <v>#REF!</v>
      </c>
      <c r="AH96" s="80" t="e">
        <f>#REF!-#REF!</f>
        <v>#REF!</v>
      </c>
      <c r="AI96" s="80" t="e">
        <f>#REF!-#REF!</f>
        <v>#REF!</v>
      </c>
      <c r="AJ96" s="80" t="e">
        <f>#REF!-#REF!</f>
        <v>#REF!</v>
      </c>
      <c r="AK96" s="80" t="e">
        <f>#REF!-#REF!</f>
        <v>#REF!</v>
      </c>
      <c r="AL96" s="80" t="e">
        <f>#REF!-#REF!</f>
        <v>#REF!</v>
      </c>
      <c r="AM96" s="80" t="e">
        <f>#REF!-#REF!</f>
        <v>#REF!</v>
      </c>
      <c r="AN96" s="80" t="e">
        <f>#REF!-#REF!</f>
        <v>#REF!</v>
      </c>
      <c r="AO96" s="80" t="e">
        <f>#REF!-#REF!</f>
        <v>#REF!</v>
      </c>
      <c r="AP96" s="80" t="e">
        <f>#REF!-#REF!</f>
        <v>#REF!</v>
      </c>
      <c r="AQ96" s="83" t="e">
        <f>#REF!-#REF!</f>
        <v>#REF!</v>
      </c>
      <c r="AR96" s="83" t="e">
        <f>#REF!-#REF!</f>
        <v>#REF!</v>
      </c>
      <c r="AS96" s="83" t="e">
        <f>#REF!-#REF!</f>
        <v>#REF!</v>
      </c>
      <c r="AT96" s="83" t="e">
        <f>#REF!-#REF!</f>
        <v>#REF!</v>
      </c>
      <c r="AU96" s="83" t="e">
        <f>#REF!-#REF!</f>
        <v>#REF!</v>
      </c>
      <c r="AV96" s="84" t="e">
        <f>#REF!-#REF!</f>
        <v>#REF!</v>
      </c>
    </row>
    <row r="97" spans="33:48" x14ac:dyDescent="0.15">
      <c r="AG97" s="80" t="e">
        <f>#REF!-#REF!</f>
        <v>#REF!</v>
      </c>
      <c r="AH97" s="80" t="e">
        <f>#REF!-#REF!</f>
        <v>#REF!</v>
      </c>
      <c r="AI97" s="80" t="e">
        <f>#REF!-#REF!</f>
        <v>#REF!</v>
      </c>
      <c r="AJ97" s="80" t="e">
        <f>#REF!-#REF!</f>
        <v>#REF!</v>
      </c>
      <c r="AK97" s="80" t="e">
        <f>#REF!-#REF!</f>
        <v>#REF!</v>
      </c>
      <c r="AL97" s="80" t="e">
        <f>#REF!-#REF!</f>
        <v>#REF!</v>
      </c>
      <c r="AM97" s="80" t="e">
        <f>#REF!-#REF!</f>
        <v>#REF!</v>
      </c>
      <c r="AN97" s="80" t="e">
        <f>#REF!-#REF!</f>
        <v>#REF!</v>
      </c>
      <c r="AO97" s="80" t="e">
        <f>#REF!-#REF!</f>
        <v>#REF!</v>
      </c>
      <c r="AP97" s="80" t="e">
        <f>#REF!-#REF!</f>
        <v>#REF!</v>
      </c>
      <c r="AQ97" s="83" t="e">
        <f>#REF!-#REF!</f>
        <v>#REF!</v>
      </c>
      <c r="AR97" s="83" t="e">
        <f>#REF!-#REF!</f>
        <v>#REF!</v>
      </c>
      <c r="AS97" s="83" t="e">
        <f>#REF!-#REF!</f>
        <v>#REF!</v>
      </c>
      <c r="AT97" s="83" t="e">
        <f>#REF!-#REF!</f>
        <v>#REF!</v>
      </c>
      <c r="AU97" s="83" t="e">
        <f>#REF!-#REF!</f>
        <v>#REF!</v>
      </c>
      <c r="AV97" s="84" t="e">
        <f>#REF!-#REF!</f>
        <v>#REF!</v>
      </c>
    </row>
    <row r="98" spans="33:48" x14ac:dyDescent="0.15">
      <c r="AG98" s="92" t="e">
        <f>#REF!-#REF!</f>
        <v>#REF!</v>
      </c>
      <c r="AH98" s="92" t="e">
        <f>#REF!-#REF!</f>
        <v>#REF!</v>
      </c>
      <c r="AI98" s="92" t="e">
        <f>#REF!-#REF!</f>
        <v>#REF!</v>
      </c>
      <c r="AJ98" s="92" t="e">
        <f>#REF!-#REF!</f>
        <v>#REF!</v>
      </c>
      <c r="AK98" s="92" t="e">
        <f>#REF!-#REF!</f>
        <v>#REF!</v>
      </c>
      <c r="AL98" s="92" t="e">
        <f>#REF!-#REF!</f>
        <v>#REF!</v>
      </c>
      <c r="AM98" s="92" t="e">
        <f>#REF!-#REF!</f>
        <v>#REF!</v>
      </c>
      <c r="AN98" s="92" t="e">
        <f>#REF!-#REF!</f>
        <v>#REF!</v>
      </c>
      <c r="AO98" s="92" t="e">
        <f>#REF!-#REF!</f>
        <v>#REF!</v>
      </c>
      <c r="AP98" s="92" t="e">
        <f>#REF!-#REF!</f>
        <v>#REF!</v>
      </c>
      <c r="AQ98" s="93" t="e">
        <f>#REF!-#REF!</f>
        <v>#REF!</v>
      </c>
      <c r="AR98" s="93" t="e">
        <f>#REF!-#REF!</f>
        <v>#REF!</v>
      </c>
      <c r="AS98" s="93" t="e">
        <f>#REF!-#REF!</f>
        <v>#REF!</v>
      </c>
      <c r="AT98" s="93" t="e">
        <f>#REF!-#REF!</f>
        <v>#REF!</v>
      </c>
      <c r="AU98" s="93" t="e">
        <f>#REF!-#REF!</f>
        <v>#REF!</v>
      </c>
      <c r="AV98" s="94" t="e">
        <f>#REF!-#REF!</f>
        <v>#REF!</v>
      </c>
    </row>
  </sheetData>
  <mergeCells count="52">
    <mergeCell ref="AB2:AB3"/>
    <mergeCell ref="AC2:AC3"/>
    <mergeCell ref="L2:L3"/>
    <mergeCell ref="M2:M3"/>
    <mergeCell ref="A1:H1"/>
    <mergeCell ref="J1:AC1"/>
    <mergeCell ref="N2:N3"/>
    <mergeCell ref="O2:O3"/>
    <mergeCell ref="P2:P3"/>
    <mergeCell ref="Q2:Q3"/>
    <mergeCell ref="R2:R3"/>
    <mergeCell ref="S2:S3"/>
    <mergeCell ref="T2:T3"/>
    <mergeCell ref="F2:F3"/>
    <mergeCell ref="G2:G3"/>
    <mergeCell ref="H2:H3"/>
    <mergeCell ref="AE1:AX1"/>
    <mergeCell ref="U2:Y2"/>
    <mergeCell ref="Z2:AA2"/>
    <mergeCell ref="AP2:AT2"/>
    <mergeCell ref="AU2:AV2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J2:J3"/>
    <mergeCell ref="K2:K3"/>
    <mergeCell ref="A2:A3"/>
    <mergeCell ref="B2:B3"/>
    <mergeCell ref="C2:C3"/>
    <mergeCell ref="D2:D3"/>
    <mergeCell ref="E2:E3"/>
    <mergeCell ref="AW2:AW3"/>
    <mergeCell ref="AX2:AX3"/>
    <mergeCell ref="BM2:BM3"/>
    <mergeCell ref="BN2:BN3"/>
    <mergeCell ref="AZ2:BD2"/>
    <mergeCell ref="BE2:BF2"/>
    <mergeCell ref="BH2:BI2"/>
    <mergeCell ref="BJ2:BL2"/>
    <mergeCell ref="BP2:BP3"/>
    <mergeCell ref="BQ2:BQ3"/>
    <mergeCell ref="BR2:BR3"/>
    <mergeCell ref="BS2:BS3"/>
    <mergeCell ref="BT2:BT3"/>
  </mergeCells>
  <phoneticPr fontId="2" type="noConversion"/>
  <conditionalFormatting sqref="J5:J45">
    <cfRule type="expression" dxfId="98" priority="70">
      <formula>OR(J5&lt;H5*0.9,J5&gt;H5)</formula>
    </cfRule>
  </conditionalFormatting>
  <conditionalFormatting sqref="AE5:AE45">
    <cfRule type="expression" dxfId="97" priority="69">
      <formula>OR(AE5&lt;H5*0.9,AE5&gt;H5)</formula>
    </cfRule>
  </conditionalFormatting>
  <conditionalFormatting sqref="AZ5:AZ44">
    <cfRule type="cellIs" dxfId="96" priority="23" operator="greaterThanOrEqual">
      <formula>0.03</formula>
    </cfRule>
    <cfRule type="cellIs" dxfId="95" priority="24" operator="lessThanOrEqual">
      <formula>-0.03</formula>
    </cfRule>
  </conditionalFormatting>
  <conditionalFormatting sqref="BA5:BA44">
    <cfRule type="cellIs" dxfId="94" priority="25" operator="greaterThanOrEqual">
      <formula>0.03</formula>
    </cfRule>
    <cfRule type="cellIs" dxfId="93" priority="26" operator="lessThanOrEqual">
      <formula>-0.03</formula>
    </cfRule>
  </conditionalFormatting>
  <conditionalFormatting sqref="BA45:BA47">
    <cfRule type="cellIs" dxfId="92" priority="71" operator="greaterThanOrEqual">
      <formula>0.03</formula>
    </cfRule>
    <cfRule type="cellIs" dxfId="91" priority="72" operator="lessThanOrEqual">
      <formula>-0.03</formula>
    </cfRule>
  </conditionalFormatting>
  <conditionalFormatting sqref="BB5:BB44">
    <cfRule type="cellIs" dxfId="90" priority="33" operator="greaterThanOrEqual">
      <formula>0.03</formula>
    </cfRule>
    <cfRule type="cellIs" dxfId="89" priority="34" operator="lessThanOrEqual">
      <formula>-0.03</formula>
    </cfRule>
  </conditionalFormatting>
  <conditionalFormatting sqref="BB45:BB47">
    <cfRule type="cellIs" dxfId="88" priority="79" operator="greaterThanOrEqual">
      <formula>0.03</formula>
    </cfRule>
    <cfRule type="cellIs" dxfId="87" priority="80" operator="lessThanOrEqual">
      <formula>-0.03</formula>
    </cfRule>
  </conditionalFormatting>
  <conditionalFormatting sqref="BC5:BC44">
    <cfRule type="cellIs" dxfId="86" priority="35" operator="greaterThanOrEqual">
      <formula>0.03</formula>
    </cfRule>
    <cfRule type="cellIs" dxfId="85" priority="36" operator="lessThanOrEqual">
      <formula>-0.03</formula>
    </cfRule>
  </conditionalFormatting>
  <conditionalFormatting sqref="BC45:BC47">
    <cfRule type="cellIs" dxfId="84" priority="81" operator="greaterThanOrEqual">
      <formula>0.03</formula>
    </cfRule>
    <cfRule type="cellIs" dxfId="83" priority="82" operator="lessThanOrEqual">
      <formula>-0.03</formula>
    </cfRule>
  </conditionalFormatting>
  <conditionalFormatting sqref="BD5:BD44">
    <cfRule type="cellIs" dxfId="82" priority="27" operator="greaterThanOrEqual">
      <formula>0.03</formula>
    </cfRule>
    <cfRule type="cellIs" dxfId="81" priority="28" operator="lessThanOrEqual">
      <formula>-0.03</formula>
    </cfRule>
  </conditionalFormatting>
  <conditionalFormatting sqref="BD45:BD47">
    <cfRule type="cellIs" dxfId="80" priority="73" operator="greaterThanOrEqual">
      <formula>0.03</formula>
    </cfRule>
    <cfRule type="cellIs" dxfId="79" priority="74" operator="lessThanOrEqual">
      <formula>-0.03</formula>
    </cfRule>
  </conditionalFormatting>
  <conditionalFormatting sqref="BE5:BE44">
    <cfRule type="cellIs" dxfId="78" priority="29" operator="greaterThanOrEqual">
      <formula>0.03</formula>
    </cfRule>
    <cfRule type="cellIs" dxfId="77" priority="30" operator="lessThanOrEqual">
      <formula>-0.03</formula>
    </cfRule>
  </conditionalFormatting>
  <conditionalFormatting sqref="BE45:BE47">
    <cfRule type="cellIs" dxfId="76" priority="83" operator="greaterThanOrEqual">
      <formula>0.03</formula>
    </cfRule>
    <cfRule type="cellIs" dxfId="75" priority="84" operator="lessThanOrEqual">
      <formula>-0.03</formula>
    </cfRule>
  </conditionalFormatting>
  <conditionalFormatting sqref="BF5:BF44">
    <cfRule type="cellIs" dxfId="74" priority="31" operator="greaterThanOrEqual">
      <formula>0.03</formula>
    </cfRule>
    <cfRule type="cellIs" dxfId="73" priority="32" operator="lessThanOrEqual">
      <formula>-0.03</formula>
    </cfRule>
  </conditionalFormatting>
  <conditionalFormatting sqref="BF45:BF47">
    <cfRule type="cellIs" dxfId="72" priority="77" operator="greaterThanOrEqual">
      <formula>0.03</formula>
    </cfRule>
    <cfRule type="cellIs" dxfId="71" priority="78" operator="lessThanOrEqual">
      <formula>-0.03</formula>
    </cfRule>
  </conditionalFormatting>
  <conditionalFormatting sqref="BH5:BH44">
    <cfRule type="cellIs" dxfId="70" priority="13" operator="greaterThanOrEqual">
      <formula>0.03</formula>
    </cfRule>
    <cfRule type="cellIs" dxfId="69" priority="14" operator="lessThanOrEqual">
      <formula>-0.03</formula>
    </cfRule>
  </conditionalFormatting>
  <conditionalFormatting sqref="BI5:BI44">
    <cfRule type="cellIs" dxfId="68" priority="9" operator="greaterThanOrEqual">
      <formula>0.03</formula>
    </cfRule>
    <cfRule type="cellIs" dxfId="67" priority="10" operator="lessThanOrEqual">
      <formula>-0.03</formula>
    </cfRule>
  </conditionalFormatting>
  <conditionalFormatting sqref="BI45:BI47">
    <cfRule type="cellIs" dxfId="66" priority="39" operator="greaterThanOrEqual">
      <formula>0.03</formula>
    </cfRule>
    <cfRule type="cellIs" dxfId="65" priority="40" operator="lessThanOrEqual">
      <formula>-0.03</formula>
    </cfRule>
  </conditionalFormatting>
  <conditionalFormatting sqref="BJ5:BJ44">
    <cfRule type="cellIs" dxfId="64" priority="17" operator="greaterThanOrEqual">
      <formula>0.03</formula>
    </cfRule>
    <cfRule type="cellIs" dxfId="63" priority="18" operator="lessThanOrEqual">
      <formula>-0.03</formula>
    </cfRule>
  </conditionalFormatting>
  <conditionalFormatting sqref="BJ45:BJ47">
    <cfRule type="cellIs" dxfId="62" priority="47" operator="greaterThanOrEqual">
      <formula>0.03</formula>
    </cfRule>
    <cfRule type="cellIs" dxfId="61" priority="48" operator="lessThanOrEqual">
      <formula>-0.03</formula>
    </cfRule>
  </conditionalFormatting>
  <conditionalFormatting sqref="BK5:BK44">
    <cfRule type="cellIs" dxfId="60" priority="19" operator="greaterThanOrEqual">
      <formula>0.03</formula>
    </cfRule>
    <cfRule type="cellIs" dxfId="59" priority="20" operator="lessThanOrEqual">
      <formula>-0.03</formula>
    </cfRule>
  </conditionalFormatting>
  <conditionalFormatting sqref="BK45:BK47">
    <cfRule type="cellIs" dxfId="58" priority="49" operator="greaterThanOrEqual">
      <formula>0.03</formula>
    </cfRule>
    <cfRule type="cellIs" dxfId="57" priority="50" operator="lessThanOrEqual">
      <formula>-0.03</formula>
    </cfRule>
  </conditionalFormatting>
  <conditionalFormatting sqref="BL5:BL44">
    <cfRule type="cellIs" dxfId="56" priority="11" operator="greaterThanOrEqual">
      <formula>0.03</formula>
    </cfRule>
    <cfRule type="cellIs" dxfId="55" priority="12" operator="lessThanOrEqual">
      <formula>-0.03</formula>
    </cfRule>
  </conditionalFormatting>
  <conditionalFormatting sqref="BL45:BL47">
    <cfRule type="cellIs" dxfId="54" priority="41" operator="greaterThanOrEqual">
      <formula>0.03</formula>
    </cfRule>
    <cfRule type="cellIs" dxfId="53" priority="42" operator="lessThanOrEqual">
      <formula>-0.03</formula>
    </cfRule>
  </conditionalFormatting>
  <conditionalFormatting sqref="BM5:BM44">
    <cfRule type="cellIs" dxfId="52" priority="21" operator="greaterThanOrEqual">
      <formula>0.03</formula>
    </cfRule>
    <cfRule type="cellIs" dxfId="51" priority="22" operator="lessThanOrEqual">
      <formula>-0.03</formula>
    </cfRule>
  </conditionalFormatting>
  <conditionalFormatting sqref="BM45:BM47">
    <cfRule type="cellIs" dxfId="50" priority="51" operator="greaterThanOrEqual">
      <formula>0.03</formula>
    </cfRule>
    <cfRule type="cellIs" dxfId="49" priority="52" operator="lessThanOrEqual">
      <formula>-0.03</formula>
    </cfRule>
  </conditionalFormatting>
  <conditionalFormatting sqref="BN5:BN44">
    <cfRule type="cellIs" dxfId="48" priority="15" operator="greaterThanOrEqual">
      <formula>0.03</formula>
    </cfRule>
    <cfRule type="cellIs" dxfId="47" priority="16" operator="lessThanOrEqual">
      <formula>-0.03</formula>
    </cfRule>
  </conditionalFormatting>
  <conditionalFormatting sqref="BN45:BN47">
    <cfRule type="cellIs" dxfId="46" priority="45" operator="greaterThanOrEqual">
      <formula>0.03</formula>
    </cfRule>
    <cfRule type="cellIs" dxfId="45" priority="46" operator="lessThanOrEqual">
      <formula>-0.03</formula>
    </cfRule>
  </conditionalFormatting>
  <conditionalFormatting sqref="L5:L44 AG5:AG44">
    <cfRule type="expression" dxfId="44" priority="54">
      <formula>NOT(L5=O5)</formula>
    </cfRule>
  </conditionalFormatting>
  <conditionalFormatting sqref="BP5:BT48">
    <cfRule type="cellIs" dxfId="43" priority="67" operator="greaterThanOrEqual">
      <formula>0.001</formula>
    </cfRule>
    <cfRule type="cellIs" dxfId="42" priority="68" operator="lessThanOrEqual">
      <formula>-0.001</formula>
    </cfRule>
  </conditionalFormatting>
  <conditionalFormatting sqref="AZ45:AZ47 AZ48:BF48">
    <cfRule type="cellIs" dxfId="41" priority="75" operator="greaterThanOrEqual">
      <formula>0.03</formula>
    </cfRule>
    <cfRule type="cellIs" dxfId="40" priority="76" operator="lessThanOrEqual">
      <formula>-0.03</formula>
    </cfRule>
  </conditionalFormatting>
  <conditionalFormatting sqref="BH45:BH47 BH48:BN48">
    <cfRule type="cellIs" dxfId="39" priority="43" operator="greaterThanOrEqual">
      <formula>0.03</formula>
    </cfRule>
    <cfRule type="cellIs" dxfId="38" priority="44" operator="lessThanOrEqual">
      <formula>-0.03</formula>
    </cfRule>
  </conditionalFormatting>
  <conditionalFormatting sqref="AG54:AQ93">
    <cfRule type="cellIs" dxfId="37" priority="59" operator="lessThan">
      <formula>0</formula>
    </cfRule>
    <cfRule type="cellIs" dxfId="36" priority="60" operator="greaterThan">
      <formula>0</formula>
    </cfRule>
  </conditionalFormatting>
  <conditionalFormatting sqref="AR54:AV93">
    <cfRule type="cellIs" dxfId="35" priority="57" operator="lessThan">
      <formula>0</formula>
    </cfRule>
    <cfRule type="cellIs" dxfId="34" priority="58" operator="greaterThan">
      <formula>0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9"/>
  <sheetViews>
    <sheetView workbookViewId="0">
      <selection activeCell="Q12" sqref="Q12"/>
    </sheetView>
  </sheetViews>
  <sheetFormatPr defaultColWidth="8.875" defaultRowHeight="13.5" x14ac:dyDescent="0.15"/>
  <sheetData>
    <row r="1" spans="1:16" ht="15.75" customHeight="1" x14ac:dyDescent="0.15">
      <c r="C1" s="146" t="s">
        <v>386</v>
      </c>
      <c r="D1" s="147"/>
      <c r="E1" s="147"/>
      <c r="F1" s="147"/>
      <c r="G1" s="147"/>
      <c r="H1" s="147"/>
      <c r="I1" s="145"/>
      <c r="J1" s="146" t="s">
        <v>436</v>
      </c>
      <c r="K1" s="147"/>
      <c r="L1" s="147"/>
      <c r="M1" s="147"/>
      <c r="N1" s="147"/>
      <c r="O1" s="147"/>
      <c r="P1" s="145"/>
    </row>
    <row r="2" spans="1:16" ht="15.75" customHeight="1" x14ac:dyDescent="0.15">
      <c r="A2" s="132" t="s">
        <v>161</v>
      </c>
      <c r="B2" s="134" t="s">
        <v>162</v>
      </c>
      <c r="C2" s="148" t="s">
        <v>16</v>
      </c>
      <c r="D2" s="119"/>
      <c r="E2" s="119"/>
      <c r="F2" s="119"/>
      <c r="G2" s="119"/>
      <c r="H2" s="149" t="s">
        <v>17</v>
      </c>
      <c r="I2" s="139"/>
      <c r="J2" s="148" t="s">
        <v>16</v>
      </c>
      <c r="K2" s="119"/>
      <c r="L2" s="119"/>
      <c r="M2" s="119"/>
      <c r="N2" s="119"/>
      <c r="O2" s="149" t="s">
        <v>17</v>
      </c>
      <c r="P2" s="139"/>
    </row>
    <row r="3" spans="1:16" ht="30.75" customHeight="1" x14ac:dyDescent="0.15">
      <c r="A3" s="133"/>
      <c r="B3" s="135"/>
      <c r="C3" s="1" t="s">
        <v>18</v>
      </c>
      <c r="D3" s="2" t="s">
        <v>19</v>
      </c>
      <c r="E3" s="2" t="s">
        <v>20</v>
      </c>
      <c r="F3" s="2" t="s">
        <v>21</v>
      </c>
      <c r="G3" s="2" t="s">
        <v>22</v>
      </c>
      <c r="H3" s="2" t="s">
        <v>23</v>
      </c>
      <c r="I3" s="19" t="s">
        <v>20</v>
      </c>
      <c r="J3" s="1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  <c r="P3" s="19" t="s">
        <v>20</v>
      </c>
    </row>
    <row r="4" spans="1:16" x14ac:dyDescent="0.15">
      <c r="A4" s="3" t="s">
        <v>188</v>
      </c>
      <c r="B4" s="4" t="s">
        <v>41</v>
      </c>
      <c r="C4" s="5" t="str">
        <f>'C1 lossy AI'!AZ5</f>
        <v>·</v>
      </c>
      <c r="D4" s="6" t="str">
        <f>'C1 lossy AI'!BA5</f>
        <v>·</v>
      </c>
      <c r="E4" s="6" t="str">
        <f>'C1 lossy AI'!BB5</f>
        <v>·</v>
      </c>
      <c r="F4" s="6" t="str">
        <f>'C1 lossy AI'!BC5</f>
        <v>·</v>
      </c>
      <c r="G4" s="6" t="str">
        <f>'C1 lossy AI'!BD5</f>
        <v>·</v>
      </c>
      <c r="H4" s="6" t="str">
        <f>'C1 lossy AI'!BE5</f>
        <v>·</v>
      </c>
      <c r="I4" s="20" t="str">
        <f>'C1 lossy AI'!BF5</f>
        <v>·</v>
      </c>
      <c r="J4" s="5" t="str">
        <f>'C2 lossy RA'!AZ5</f>
        <v>·</v>
      </c>
      <c r="K4" s="6" t="str">
        <f>'C2 lossy RA'!BA5</f>
        <v>·</v>
      </c>
      <c r="L4" s="6" t="str">
        <f>'C2 lossy RA'!BB5</f>
        <v>·</v>
      </c>
      <c r="M4" s="6" t="str">
        <f>'C2 lossy RA'!BC5</f>
        <v>·</v>
      </c>
      <c r="N4" s="6" t="str">
        <f>'C2 lossy RA'!BD5</f>
        <v>·</v>
      </c>
      <c r="O4" s="6" t="str">
        <f>'C2 lossy RA'!BE5</f>
        <v>·</v>
      </c>
      <c r="P4" s="20" t="str">
        <f>'C2 lossy RA'!BF5</f>
        <v>·</v>
      </c>
    </row>
    <row r="5" spans="1:16" x14ac:dyDescent="0.15">
      <c r="A5" s="7"/>
      <c r="B5" s="8" t="s">
        <v>49</v>
      </c>
      <c r="C5" s="9" t="str">
        <f>'C1 lossy AI'!AZ10</f>
        <v>·</v>
      </c>
      <c r="D5" s="10" t="str">
        <f>'C1 lossy AI'!BA10</f>
        <v>·</v>
      </c>
      <c r="E5" s="10" t="str">
        <f>'C1 lossy AI'!BB10</f>
        <v>·</v>
      </c>
      <c r="F5" s="10" t="str">
        <f>'C1 lossy AI'!BC10</f>
        <v>·</v>
      </c>
      <c r="G5" s="10" t="str">
        <f>'C1 lossy AI'!BD10</f>
        <v>·</v>
      </c>
      <c r="H5" s="10" t="str">
        <f>'C1 lossy AI'!BE10</f>
        <v>·</v>
      </c>
      <c r="I5" s="21" t="str">
        <f>'C1 lossy AI'!BF10</f>
        <v>·</v>
      </c>
      <c r="J5" s="9" t="str">
        <f>'C2 lossy RA'!AZ10</f>
        <v>·</v>
      </c>
      <c r="K5" s="10" t="str">
        <f>'C2 lossy RA'!BA10</f>
        <v>·</v>
      </c>
      <c r="L5" s="10" t="str">
        <f>'C2 lossy RA'!BB10</f>
        <v>·</v>
      </c>
      <c r="M5" s="10" t="str">
        <f>'C2 lossy RA'!BC10</f>
        <v>·</v>
      </c>
      <c r="N5" s="10" t="str">
        <f>'C2 lossy RA'!BD10</f>
        <v>·</v>
      </c>
      <c r="O5" s="10" t="str">
        <f>'C2 lossy RA'!BE10</f>
        <v>·</v>
      </c>
      <c r="P5" s="21" t="str">
        <f>'C2 lossy RA'!BF10</f>
        <v>·</v>
      </c>
    </row>
    <row r="6" spans="1:16" x14ac:dyDescent="0.15">
      <c r="A6" s="3" t="s">
        <v>189</v>
      </c>
      <c r="B6" s="4" t="s">
        <v>54</v>
      </c>
      <c r="C6" s="5" t="str">
        <f>'C1 lossy AI'!AZ15</f>
        <v>·</v>
      </c>
      <c r="D6" s="6" t="str">
        <f>'C1 lossy AI'!BA15</f>
        <v>·</v>
      </c>
      <c r="E6" s="6" t="str">
        <f>'C1 lossy AI'!BB15</f>
        <v>·</v>
      </c>
      <c r="F6" s="6" t="str">
        <f>'C1 lossy AI'!BC15</f>
        <v>·</v>
      </c>
      <c r="G6" s="6" t="str">
        <f>'C1 lossy AI'!BD15</f>
        <v>·</v>
      </c>
      <c r="H6" s="6" t="str">
        <f>'C1 lossy AI'!BE15</f>
        <v>·</v>
      </c>
      <c r="I6" s="20" t="str">
        <f>'C1 lossy AI'!BF15</f>
        <v>·</v>
      </c>
      <c r="J6" s="5" t="str">
        <f>'C2 lossy RA'!AZ15</f>
        <v>·</v>
      </c>
      <c r="K6" s="6" t="str">
        <f>'C2 lossy RA'!BA15</f>
        <v>·</v>
      </c>
      <c r="L6" s="6" t="str">
        <f>'C2 lossy RA'!BB15</f>
        <v>·</v>
      </c>
      <c r="M6" s="6" t="str">
        <f>'C2 lossy RA'!BC15</f>
        <v>·</v>
      </c>
      <c r="N6" s="6" t="str">
        <f>'C2 lossy RA'!BD15</f>
        <v>·</v>
      </c>
      <c r="O6" s="6" t="str">
        <f>'C2 lossy RA'!BE15</f>
        <v>·</v>
      </c>
      <c r="P6" s="20" t="str">
        <f>'C2 lossy RA'!BF15</f>
        <v>·</v>
      </c>
    </row>
    <row r="7" spans="1:16" x14ac:dyDescent="0.15">
      <c r="A7" s="7"/>
      <c r="B7" s="8" t="s">
        <v>59</v>
      </c>
      <c r="C7" s="9" t="str">
        <f>'C1 lossy AI'!AZ20</f>
        <v>·</v>
      </c>
      <c r="D7" s="10" t="str">
        <f>'C1 lossy AI'!BA20</f>
        <v>·</v>
      </c>
      <c r="E7" s="10" t="str">
        <f>'C1 lossy AI'!BB20</f>
        <v>·</v>
      </c>
      <c r="F7" s="10" t="str">
        <f>'C1 lossy AI'!BC20</f>
        <v>·</v>
      </c>
      <c r="G7" s="10" t="str">
        <f>'C1 lossy AI'!BD20</f>
        <v>·</v>
      </c>
      <c r="H7" s="10" t="str">
        <f>'C1 lossy AI'!BE20</f>
        <v>·</v>
      </c>
      <c r="I7" s="21" t="str">
        <f>'C1 lossy AI'!BF20</f>
        <v>·</v>
      </c>
      <c r="J7" s="9" t="str">
        <f>'C2 lossy RA'!AZ20</f>
        <v>·</v>
      </c>
      <c r="K7" s="10" t="str">
        <f>'C2 lossy RA'!BA20</f>
        <v>·</v>
      </c>
      <c r="L7" s="10" t="str">
        <f>'C2 lossy RA'!BB20</f>
        <v>·</v>
      </c>
      <c r="M7" s="10" t="str">
        <f>'C2 lossy RA'!BC20</f>
        <v>·</v>
      </c>
      <c r="N7" s="10" t="str">
        <f>'C2 lossy RA'!BD20</f>
        <v>·</v>
      </c>
      <c r="O7" s="10" t="str">
        <f>'C2 lossy RA'!BE20</f>
        <v>·</v>
      </c>
      <c r="P7" s="21" t="str">
        <f>'C2 lossy RA'!BF20</f>
        <v>·</v>
      </c>
    </row>
    <row r="8" spans="1:16" x14ac:dyDescent="0.15">
      <c r="A8" s="3" t="s">
        <v>190</v>
      </c>
      <c r="B8" s="4" t="s">
        <v>64</v>
      </c>
      <c r="C8" s="5" t="str">
        <f>'C1 lossy AI'!AZ25</f>
        <v>·</v>
      </c>
      <c r="D8" s="6" t="str">
        <f>'C1 lossy AI'!BA25</f>
        <v>·</v>
      </c>
      <c r="E8" s="6" t="str">
        <f>'C1 lossy AI'!BB25</f>
        <v>·</v>
      </c>
      <c r="F8" s="6" t="str">
        <f>'C1 lossy AI'!BC25</f>
        <v>·</v>
      </c>
      <c r="G8" s="6" t="str">
        <f>'C1 lossy AI'!BD25</f>
        <v>·</v>
      </c>
      <c r="H8" s="6" t="str">
        <f>'C1 lossy AI'!BE25</f>
        <v>·</v>
      </c>
      <c r="I8" s="20" t="str">
        <f>'C1 lossy AI'!BF25</f>
        <v>·</v>
      </c>
      <c r="J8" s="5" t="str">
        <f>'C2 lossy RA'!AZ25</f>
        <v>·</v>
      </c>
      <c r="K8" s="6" t="str">
        <f>'C2 lossy RA'!BA25</f>
        <v>·</v>
      </c>
      <c r="L8" s="6" t="str">
        <f>'C2 lossy RA'!BB25</f>
        <v>·</v>
      </c>
      <c r="M8" s="6" t="str">
        <f>'C2 lossy RA'!BC25</f>
        <v>·</v>
      </c>
      <c r="N8" s="6" t="str">
        <f>'C2 lossy RA'!BD25</f>
        <v>·</v>
      </c>
      <c r="O8" s="6" t="str">
        <f>'C2 lossy RA'!BE25</f>
        <v>·</v>
      </c>
      <c r="P8" s="20" t="str">
        <f>'C2 lossy RA'!BF25</f>
        <v>·</v>
      </c>
    </row>
    <row r="9" spans="1:16" x14ac:dyDescent="0.15">
      <c r="A9" s="7"/>
      <c r="B9" s="8" t="s">
        <v>69</v>
      </c>
      <c r="C9" s="9" t="str">
        <f>'C1 lossy AI'!AZ30</f>
        <v>·</v>
      </c>
      <c r="D9" s="10" t="str">
        <f>'C1 lossy AI'!BA30</f>
        <v>·</v>
      </c>
      <c r="E9" s="10" t="str">
        <f>'C1 lossy AI'!BB30</f>
        <v>·</v>
      </c>
      <c r="F9" s="10" t="str">
        <f>'C1 lossy AI'!BC30</f>
        <v>·</v>
      </c>
      <c r="G9" s="10" t="str">
        <f>'C1 lossy AI'!BD30</f>
        <v>·</v>
      </c>
      <c r="H9" s="10" t="str">
        <f>'C1 lossy AI'!BE30</f>
        <v>·</v>
      </c>
      <c r="I9" s="21" t="str">
        <f>'C1 lossy AI'!BF30</f>
        <v>·</v>
      </c>
      <c r="J9" s="9" t="str">
        <f>'C2 lossy RA'!AZ30</f>
        <v>·</v>
      </c>
      <c r="K9" s="10" t="str">
        <f>'C2 lossy RA'!BA30</f>
        <v>·</v>
      </c>
      <c r="L9" s="10" t="str">
        <f>'C2 lossy RA'!BB30</f>
        <v>·</v>
      </c>
      <c r="M9" s="10" t="str">
        <f>'C2 lossy RA'!BC30</f>
        <v>·</v>
      </c>
      <c r="N9" s="10" t="str">
        <f>'C2 lossy RA'!BD30</f>
        <v>·</v>
      </c>
      <c r="O9" s="10" t="str">
        <f>'C2 lossy RA'!BE30</f>
        <v>·</v>
      </c>
      <c r="P9" s="21" t="str">
        <f>'C2 lossy RA'!BF30</f>
        <v>·</v>
      </c>
    </row>
    <row r="10" spans="1:16" x14ac:dyDescent="0.15">
      <c r="A10" s="3"/>
      <c r="B10" s="4" t="s">
        <v>74</v>
      </c>
      <c r="C10" s="5" t="str">
        <f>'C1 lossy AI'!AZ35</f>
        <v>·</v>
      </c>
      <c r="D10" s="6" t="str">
        <f>'C1 lossy AI'!BA35</f>
        <v>·</v>
      </c>
      <c r="E10" s="6" t="str">
        <f>'C1 lossy AI'!BB35</f>
        <v>·</v>
      </c>
      <c r="F10" s="6" t="str">
        <f>'C1 lossy AI'!BC35</f>
        <v>·</v>
      </c>
      <c r="G10" s="6" t="str">
        <f>'C1 lossy AI'!BD35</f>
        <v>·</v>
      </c>
      <c r="H10" s="6" t="str">
        <f>'C1 lossy AI'!BE35</f>
        <v>·</v>
      </c>
      <c r="I10" s="20" t="str">
        <f>'C1 lossy AI'!BF35</f>
        <v>·</v>
      </c>
      <c r="J10" s="5" t="str">
        <f>'C2 lossy RA'!AZ35</f>
        <v>·</v>
      </c>
      <c r="K10" s="6" t="str">
        <f>'C2 lossy RA'!BA35</f>
        <v>·</v>
      </c>
      <c r="L10" s="6" t="str">
        <f>'C2 lossy RA'!BB35</f>
        <v>·</v>
      </c>
      <c r="M10" s="6" t="str">
        <f>'C2 lossy RA'!BC35</f>
        <v>·</v>
      </c>
      <c r="N10" s="6" t="str">
        <f>'C2 lossy RA'!BD35</f>
        <v>·</v>
      </c>
      <c r="O10" s="6" t="str">
        <f>'C2 lossy RA'!BE35</f>
        <v>·</v>
      </c>
      <c r="P10" s="20" t="str">
        <f>'C2 lossy RA'!BF35</f>
        <v>·</v>
      </c>
    </row>
    <row r="11" spans="1:16" ht="15.75" customHeight="1" x14ac:dyDescent="0.15">
      <c r="A11" s="11"/>
      <c r="B11" s="12" t="s">
        <v>79</v>
      </c>
      <c r="C11" s="13" t="str">
        <f>'C1 lossy AI'!AZ40</f>
        <v>·</v>
      </c>
      <c r="D11" s="14" t="str">
        <f>'C1 lossy AI'!BA40</f>
        <v>·</v>
      </c>
      <c r="E11" s="14" t="str">
        <f>'C1 lossy AI'!BB40</f>
        <v>·</v>
      </c>
      <c r="F11" s="14" t="str">
        <f>'C1 lossy AI'!BC40</f>
        <v>·</v>
      </c>
      <c r="G11" s="14" t="str">
        <f>'C1 lossy AI'!BD40</f>
        <v>·</v>
      </c>
      <c r="H11" s="14" t="str">
        <f>'C1 lossy AI'!BE40</f>
        <v>·</v>
      </c>
      <c r="I11" s="22" t="str">
        <f>'C1 lossy AI'!BF40</f>
        <v>·</v>
      </c>
      <c r="J11" s="13" t="str">
        <f>'C2 lossy RA'!AZ40</f>
        <v>·</v>
      </c>
      <c r="K11" s="14" t="str">
        <f>'C2 lossy RA'!BA40</f>
        <v>·</v>
      </c>
      <c r="L11" s="14" t="str">
        <f>'C2 lossy RA'!BB40</f>
        <v>·</v>
      </c>
      <c r="M11" s="14" t="str">
        <f>'C2 lossy RA'!BC40</f>
        <v>·</v>
      </c>
      <c r="N11" s="14" t="str">
        <f>'C2 lossy RA'!BD40</f>
        <v>·</v>
      </c>
      <c r="O11" s="14" t="str">
        <f>'C2 lossy RA'!BE40</f>
        <v>·</v>
      </c>
      <c r="P11" s="22" t="str">
        <f>'C2 lossy RA'!BF40</f>
        <v>·</v>
      </c>
    </row>
    <row r="12" spans="1:16" x14ac:dyDescent="0.15">
      <c r="A12" s="3" t="s">
        <v>191</v>
      </c>
      <c r="B12" s="4" t="s">
        <v>33</v>
      </c>
      <c r="C12" s="13" t="str">
        <f>'C1 lossy AI'!AZ45</f>
        <v>·</v>
      </c>
      <c r="D12" s="14" t="str">
        <f>'C1 lossy AI'!BA45</f>
        <v>·</v>
      </c>
      <c r="E12" s="14" t="str">
        <f>'C1 lossy AI'!BB45</f>
        <v>·</v>
      </c>
      <c r="F12" s="14" t="str">
        <f>'C1 lossy AI'!BC45</f>
        <v>·</v>
      </c>
      <c r="G12" s="14" t="str">
        <f>'C1 lossy AI'!BD45</f>
        <v>·</v>
      </c>
      <c r="H12" s="14" t="str">
        <f>'C1 lossy AI'!BE45</f>
        <v>·</v>
      </c>
      <c r="I12" s="22" t="str">
        <f>'C1 lossy AI'!BF45</f>
        <v>·</v>
      </c>
      <c r="J12" s="13"/>
      <c r="K12" s="14"/>
      <c r="L12" s="14"/>
      <c r="M12" s="14"/>
      <c r="N12" s="14"/>
      <c r="O12" s="14"/>
      <c r="P12" s="22"/>
    </row>
    <row r="13" spans="1:16" x14ac:dyDescent="0.15">
      <c r="A13" s="142" t="str">
        <f>Summary!B20</f>
        <v>Cat1-A average</v>
      </c>
      <c r="B13" s="139"/>
      <c r="C13" s="15" t="e">
        <f>Summary!C20</f>
        <v>#DIV/0!</v>
      </c>
      <c r="D13" s="15" t="e">
        <f>Summary!D20</f>
        <v>#DIV/0!</v>
      </c>
      <c r="E13" s="15" t="e">
        <f>Summary!E20</f>
        <v>#DIV/0!</v>
      </c>
      <c r="F13" s="15" t="e">
        <f>Summary!F20</f>
        <v>#DIV/0!</v>
      </c>
      <c r="G13" s="15" t="e">
        <f>Summary!G20</f>
        <v>#DIV/0!</v>
      </c>
      <c r="H13" s="15" t="e">
        <f>Summary!H20</f>
        <v>#DIV/0!</v>
      </c>
      <c r="I13" s="15" t="e">
        <f>Summary!I20</f>
        <v>#DIV/0!</v>
      </c>
      <c r="J13" s="23" t="e">
        <f>Summary!C33</f>
        <v>#DIV/0!</v>
      </c>
      <c r="K13" s="24" t="e">
        <f>Summary!D33</f>
        <v>#DIV/0!</v>
      </c>
      <c r="L13" s="24" t="e">
        <f>Summary!E33</f>
        <v>#DIV/0!</v>
      </c>
      <c r="M13" s="24" t="e">
        <f>Summary!F33</f>
        <v>#DIV/0!</v>
      </c>
      <c r="N13" s="24" t="e">
        <f>Summary!G33</f>
        <v>#DIV/0!</v>
      </c>
      <c r="O13" s="24" t="e">
        <f>Summary!H33</f>
        <v>#DIV/0!</v>
      </c>
      <c r="P13" s="25" t="e">
        <f>Summary!I33</f>
        <v>#DIV/0!</v>
      </c>
    </row>
    <row r="14" spans="1:16" x14ac:dyDescent="0.15">
      <c r="A14" s="143" t="str">
        <f>Summary!B21</f>
        <v>Cat1-B average</v>
      </c>
      <c r="B14" s="137"/>
      <c r="C14" s="16" t="e">
        <f>Summary!C21</f>
        <v>#DIV/0!</v>
      </c>
      <c r="D14" s="16" t="e">
        <f>Summary!D21</f>
        <v>#DIV/0!</v>
      </c>
      <c r="E14" s="16" t="e">
        <f>Summary!E21</f>
        <v>#DIV/0!</v>
      </c>
      <c r="F14" s="16" t="e">
        <f>Summary!F21</f>
        <v>#DIV/0!</v>
      </c>
      <c r="G14" s="16" t="e">
        <f>Summary!G21</f>
        <v>#DIV/0!</v>
      </c>
      <c r="H14" s="16" t="e">
        <f>Summary!H21</f>
        <v>#DIV/0!</v>
      </c>
      <c r="I14" s="16" t="e">
        <f>Summary!I21</f>
        <v>#DIV/0!</v>
      </c>
      <c r="J14" s="26" t="e">
        <f>Summary!C34</f>
        <v>#DIV/0!</v>
      </c>
      <c r="K14" s="16" t="e">
        <f>Summary!D34</f>
        <v>#DIV/0!</v>
      </c>
      <c r="L14" s="16" t="e">
        <f>Summary!E34</f>
        <v>#DIV/0!</v>
      </c>
      <c r="M14" s="16" t="e">
        <f>Summary!F34</f>
        <v>#DIV/0!</v>
      </c>
      <c r="N14" s="16" t="e">
        <f>Summary!G34</f>
        <v>#DIV/0!</v>
      </c>
      <c r="O14" s="16" t="e">
        <f>Summary!H34</f>
        <v>#DIV/0!</v>
      </c>
      <c r="P14" s="27" t="e">
        <f>Summary!I34</f>
        <v>#DIV/0!</v>
      </c>
    </row>
    <row r="15" spans="1:16" x14ac:dyDescent="0.15">
      <c r="A15" s="136" t="str">
        <f>Summary!B22</f>
        <v>Cat1-C average</v>
      </c>
      <c r="B15" s="137"/>
      <c r="C15" s="15" t="e">
        <f>Summary!C22</f>
        <v>#DIV/0!</v>
      </c>
      <c r="D15" s="15" t="e">
        <f>Summary!D22</f>
        <v>#DIV/0!</v>
      </c>
      <c r="E15" s="15" t="e">
        <f>Summary!E22</f>
        <v>#DIV/0!</v>
      </c>
      <c r="F15" s="15" t="e">
        <f>Summary!F22</f>
        <v>#DIV/0!</v>
      </c>
      <c r="G15" s="15" t="e">
        <f>Summary!G22</f>
        <v>#DIV/0!</v>
      </c>
      <c r="H15" s="15" t="e">
        <f>Summary!H22</f>
        <v>#DIV/0!</v>
      </c>
      <c r="I15" s="15" t="e">
        <f>Summary!I22</f>
        <v>#DIV/0!</v>
      </c>
      <c r="J15" s="28" t="e">
        <f>Summary!C35</f>
        <v>#DIV/0!</v>
      </c>
      <c r="K15" s="15" t="e">
        <f>Summary!D35</f>
        <v>#DIV/0!</v>
      </c>
      <c r="L15" s="15" t="e">
        <f>Summary!E35</f>
        <v>#DIV/0!</v>
      </c>
      <c r="M15" s="15" t="e">
        <f>Summary!F35</f>
        <v>#DIV/0!</v>
      </c>
      <c r="N15" s="15" t="e">
        <f>Summary!G35</f>
        <v>#DIV/0!</v>
      </c>
      <c r="O15" s="15" t="e">
        <f>Summary!H35</f>
        <v>#DIV/0!</v>
      </c>
      <c r="P15" s="29" t="e">
        <f>Summary!I35</f>
        <v>#DIV/0!</v>
      </c>
    </row>
    <row r="16" spans="1:16" ht="15.75" customHeight="1" x14ac:dyDescent="0.15">
      <c r="A16" s="136" t="str">
        <f>Summary!B23</f>
        <v>Cat1-D average</v>
      </c>
      <c r="B16" s="137"/>
      <c r="C16" s="15" t="e">
        <f>Summary!C23</f>
        <v>#DIV/0!</v>
      </c>
      <c r="D16" s="15" t="e">
        <f>Summary!D23</f>
        <v>#DIV/0!</v>
      </c>
      <c r="E16" s="15" t="e">
        <f>Summary!E23</f>
        <v>#DIV/0!</v>
      </c>
      <c r="F16" s="15" t="e">
        <f>Summary!F23</f>
        <v>#DIV/0!</v>
      </c>
      <c r="G16" s="15" t="e">
        <f>Summary!G23</f>
        <v>#DIV/0!</v>
      </c>
      <c r="H16" s="15" t="e">
        <f>Summary!H23</f>
        <v>#DIV/0!</v>
      </c>
      <c r="I16" s="15" t="e">
        <f>Summary!I23</f>
        <v>#DIV/0!</v>
      </c>
      <c r="J16" s="28"/>
      <c r="K16" s="15"/>
      <c r="L16" s="15"/>
      <c r="M16" s="15"/>
      <c r="N16" s="15"/>
      <c r="O16" s="15"/>
      <c r="P16" s="29"/>
    </row>
    <row r="17" spans="1:16" ht="15.75" customHeight="1" x14ac:dyDescent="0.15">
      <c r="A17" s="144" t="str">
        <f>Summary!B24</f>
        <v>Overall average</v>
      </c>
      <c r="B17" s="145"/>
      <c r="C17" s="17" t="e">
        <f>Summary!C24</f>
        <v>#DIV/0!</v>
      </c>
      <c r="D17" s="17" t="e">
        <f>Summary!D24</f>
        <v>#DIV/0!</v>
      </c>
      <c r="E17" s="17" t="e">
        <f>Summary!E24</f>
        <v>#DIV/0!</v>
      </c>
      <c r="F17" s="17" t="e">
        <f>Summary!F24</f>
        <v>#DIV/0!</v>
      </c>
      <c r="G17" s="17" t="e">
        <f>Summary!G24</f>
        <v>#DIV/0!</v>
      </c>
      <c r="H17" s="17" t="e">
        <f>Summary!H24</f>
        <v>#DIV/0!</v>
      </c>
      <c r="I17" s="17" t="e">
        <f>Summary!I24</f>
        <v>#DIV/0!</v>
      </c>
      <c r="J17" s="30" t="e">
        <f>Summary!C37</f>
        <v>#DIV/0!</v>
      </c>
      <c r="K17" s="17" t="e">
        <f>Summary!D37</f>
        <v>#DIV/0!</v>
      </c>
      <c r="L17" s="17" t="e">
        <f>Summary!E37</f>
        <v>#DIV/0!</v>
      </c>
      <c r="M17" s="17" t="e">
        <f>Summary!F37</f>
        <v>#DIV/0!</v>
      </c>
      <c r="N17" s="17" t="e">
        <f>Summary!G37</f>
        <v>#DIV/0!</v>
      </c>
      <c r="O17" s="17" t="e">
        <f>Summary!H37</f>
        <v>#DIV/0!</v>
      </c>
      <c r="P17" s="31" t="e">
        <f>Summary!I37</f>
        <v>#DIV/0!</v>
      </c>
    </row>
    <row r="18" spans="1:16" x14ac:dyDescent="0.15">
      <c r="A18" s="136" t="str">
        <f>Summary!B25</f>
        <v>Avg. Enc Time [%]</v>
      </c>
      <c r="B18" s="137"/>
      <c r="C18" s="138">
        <f>Summary!C25</f>
        <v>0</v>
      </c>
      <c r="D18" s="119"/>
      <c r="E18" s="119"/>
      <c r="F18" s="119"/>
      <c r="G18" s="119"/>
      <c r="H18" s="119"/>
      <c r="I18" s="139"/>
      <c r="J18" s="138">
        <f>Summary!C38</f>
        <v>0</v>
      </c>
      <c r="K18" s="119"/>
      <c r="L18" s="119"/>
      <c r="M18" s="119"/>
      <c r="N18" s="119"/>
      <c r="O18" s="119"/>
      <c r="P18" s="139"/>
    </row>
    <row r="19" spans="1:16" ht="15.75" customHeight="1" x14ac:dyDescent="0.15">
      <c r="A19" s="140" t="str">
        <f>Summary!B26</f>
        <v>Avg. Dec Time [%]</v>
      </c>
      <c r="B19" s="135"/>
      <c r="C19" s="141">
        <f>Summary!C26</f>
        <v>0</v>
      </c>
      <c r="D19" s="116"/>
      <c r="E19" s="116"/>
      <c r="F19" s="116"/>
      <c r="G19" s="116"/>
      <c r="H19" s="116"/>
      <c r="I19" s="135"/>
      <c r="J19" s="141">
        <f>Summary!C39</f>
        <v>0</v>
      </c>
      <c r="K19" s="116"/>
      <c r="L19" s="116"/>
      <c r="M19" s="116"/>
      <c r="N19" s="116"/>
      <c r="O19" s="116"/>
      <c r="P19" s="135"/>
    </row>
  </sheetData>
  <mergeCells count="19">
    <mergeCell ref="C1:I1"/>
    <mergeCell ref="J1:P1"/>
    <mergeCell ref="C2:G2"/>
    <mergeCell ref="H2:I2"/>
    <mergeCell ref="J2:N2"/>
    <mergeCell ref="O2:P2"/>
    <mergeCell ref="A19:B19"/>
    <mergeCell ref="C19:I19"/>
    <mergeCell ref="J19:P19"/>
    <mergeCell ref="A13:B13"/>
    <mergeCell ref="A14:B14"/>
    <mergeCell ref="A15:B15"/>
    <mergeCell ref="A16:B16"/>
    <mergeCell ref="A17:B17"/>
    <mergeCell ref="A2:A3"/>
    <mergeCell ref="B2:B3"/>
    <mergeCell ref="A18:B18"/>
    <mergeCell ref="C18:I18"/>
    <mergeCell ref="J18:P18"/>
  </mergeCells>
  <phoneticPr fontId="2" type="noConversion"/>
  <conditionalFormatting sqref="C13:C17">
    <cfRule type="cellIs" dxfId="29" priority="27" operator="greaterThanOrEqual">
      <formula>0.03</formula>
    </cfRule>
    <cfRule type="cellIs" dxfId="28" priority="28" operator="lessThanOrEqual">
      <formula>-0.03</formula>
    </cfRule>
  </conditionalFormatting>
  <conditionalFormatting sqref="D13:D17">
    <cfRule type="cellIs" dxfId="27" priority="23" operator="greaterThanOrEqual">
      <formula>0.03</formula>
    </cfRule>
    <cfRule type="cellIs" dxfId="26" priority="24" operator="lessThanOrEqual">
      <formula>-0.03</formula>
    </cfRule>
  </conditionalFormatting>
  <conditionalFormatting sqref="E13:E17">
    <cfRule type="cellIs" dxfId="25" priority="17" operator="greaterThanOrEqual">
      <formula>0.03</formula>
    </cfRule>
    <cfRule type="cellIs" dxfId="24" priority="18" operator="lessThanOrEqual">
      <formula>-0.03</formula>
    </cfRule>
  </conditionalFormatting>
  <conditionalFormatting sqref="F13:F17">
    <cfRule type="cellIs" dxfId="23" priority="15" operator="greaterThanOrEqual">
      <formula>0.03</formula>
    </cfRule>
    <cfRule type="cellIs" dxfId="22" priority="16" operator="lessThanOrEqual">
      <formula>-0.03</formula>
    </cfRule>
  </conditionalFormatting>
  <conditionalFormatting sqref="G13:G17">
    <cfRule type="cellIs" dxfId="21" priority="25" operator="greaterThanOrEqual">
      <formula>0.03</formula>
    </cfRule>
    <cfRule type="cellIs" dxfId="20" priority="26" operator="lessThanOrEqual">
      <formula>-0.03</formula>
    </cfRule>
  </conditionalFormatting>
  <conditionalFormatting sqref="H13:H17">
    <cfRule type="cellIs" dxfId="19" priority="21" operator="greaterThanOrEqual">
      <formula>0.03</formula>
    </cfRule>
    <cfRule type="cellIs" dxfId="18" priority="22" operator="lessThanOrEqual">
      <formula>-0.03</formula>
    </cfRule>
  </conditionalFormatting>
  <conditionalFormatting sqref="I13:I17">
    <cfRule type="cellIs" dxfId="17" priority="19" operator="greaterThanOrEqual">
      <formula>0.03</formula>
    </cfRule>
    <cfRule type="cellIs" dxfId="16" priority="20" operator="lessThanOrEqual">
      <formula>-0.03</formula>
    </cfRule>
  </conditionalFormatting>
  <conditionalFormatting sqref="J13:J17">
    <cfRule type="cellIs" dxfId="15" priority="1" operator="greaterThanOrEqual">
      <formula>0.03</formula>
    </cfRule>
    <cfRule type="cellIs" dxfId="14" priority="2" operator="lessThanOrEqual">
      <formula>-0.03</formula>
    </cfRule>
  </conditionalFormatting>
  <conditionalFormatting sqref="K13:K17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L13:L17">
    <cfRule type="cellIs" dxfId="11" priority="9" operator="greaterThanOrEqual">
      <formula>0.03</formula>
    </cfRule>
    <cfRule type="cellIs" dxfId="10" priority="10" operator="lessThanOrEqual">
      <formula>-0.03</formula>
    </cfRule>
  </conditionalFormatting>
  <conditionalFormatting sqref="M13:M17">
    <cfRule type="cellIs" dxfId="9" priority="13" operator="greaterThanOrEqual">
      <formula>0.03</formula>
    </cfRule>
    <cfRule type="cellIs" dxfId="8" priority="14" operator="lessThanOrEqual">
      <formula>-0.03</formula>
    </cfRule>
  </conditionalFormatting>
  <conditionalFormatting sqref="N13:N17">
    <cfRule type="cellIs" dxfId="7" priority="3" operator="greaterThanOrEqual">
      <formula>0.03</formula>
    </cfRule>
    <cfRule type="cellIs" dxfId="6" priority="4" operator="lessThanOrEqual">
      <formula>-0.03</formula>
    </cfRule>
  </conditionalFormatting>
  <conditionalFormatting sqref="O13:O17">
    <cfRule type="cellIs" dxfId="5" priority="7" operator="greaterThanOrEqual">
      <formula>0.03</formula>
    </cfRule>
    <cfRule type="cellIs" dxfId="4" priority="8" operator="lessThanOrEqual">
      <formula>-0.03</formula>
    </cfRule>
  </conditionalFormatting>
  <conditionalFormatting sqref="P13:P17">
    <cfRule type="cellIs" dxfId="3" priority="11" operator="greaterThanOrEqual">
      <formula>0.03</formula>
    </cfRule>
    <cfRule type="cellIs" dxfId="2" priority="12" operator="lessThanOrEqual">
      <formula>-0.03</formula>
    </cfRule>
  </conditionalFormatting>
  <conditionalFormatting sqref="C4:P12">
    <cfRule type="cellIs" dxfId="1" priority="29" operator="greaterThanOrEqual">
      <formula>0.03</formula>
    </cfRule>
    <cfRule type="cellIs" dxfId="0" priority="30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Pengyue Liu</cp:lastModifiedBy>
  <dcterms:created xsi:type="dcterms:W3CDTF">2021-10-29T10:34:00Z</dcterms:created>
  <dcterms:modified xsi:type="dcterms:W3CDTF">2025-10-24T06:57:30Z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E1A234167C23418F8DA160162C739D11</vt:lpwstr>
  </property>
  <property fmtid="{D5CDD505-2E9C-101B-9397-08002B2CF9AE}" pid="3" name="KSOProductBuildVer">
    <vt:lpwstr>2052-11.1.0.12165</vt:lpwstr>
  </property>
</Properties>
</file>