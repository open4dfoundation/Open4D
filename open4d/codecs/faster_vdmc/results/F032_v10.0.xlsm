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LPY\vmesh\v10.0_integration\results\"/>
    </mc:Choice>
  </mc:AlternateContent>
  <bookViews>
    <workbookView xWindow="0" yWindow="0" windowWidth="28800" windowHeight="13905" activeTab="5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3" l="1"/>
  <c r="H1" i="3"/>
  <c r="AX49" i="6" l="1"/>
  <c r="AW49" i="6"/>
  <c r="AC49" i="6"/>
  <c r="AB49" i="6"/>
  <c r="AX55" i="5" l="1"/>
  <c r="AB55" i="5"/>
  <c r="AC55" i="5"/>
  <c r="AW55" i="5"/>
  <c r="A16" i="7"/>
  <c r="A15" i="7"/>
  <c r="P13" i="3"/>
  <c r="P17" i="3" s="1"/>
  <c r="X13" i="3"/>
  <c r="I13" i="3"/>
  <c r="I17" i="3" s="1"/>
  <c r="AV98" i="6"/>
  <c r="AU98" i="6"/>
  <c r="AT98" i="6"/>
  <c r="AS98" i="6"/>
  <c r="AR98" i="6"/>
  <c r="AQ98" i="6"/>
  <c r="AP98" i="6"/>
  <c r="AO98" i="6"/>
  <c r="AN98" i="6"/>
  <c r="AM98" i="6"/>
  <c r="AL98" i="6"/>
  <c r="AK98" i="6"/>
  <c r="AJ98" i="6"/>
  <c r="AI98" i="6"/>
  <c r="AV97" i="6"/>
  <c r="AU97" i="6"/>
  <c r="AT97" i="6"/>
  <c r="AS97" i="6"/>
  <c r="AR97" i="6"/>
  <c r="AQ97" i="6"/>
  <c r="AP97" i="6"/>
  <c r="AO97" i="6"/>
  <c r="AN97" i="6"/>
  <c r="AM97" i="6"/>
  <c r="AL97" i="6"/>
  <c r="AK97" i="6"/>
  <c r="AJ97" i="6"/>
  <c r="AI97" i="6"/>
  <c r="AV96" i="6"/>
  <c r="AU96" i="6"/>
  <c r="AT96" i="6"/>
  <c r="AS96" i="6"/>
  <c r="AR96" i="6"/>
  <c r="AQ96" i="6"/>
  <c r="AP96" i="6"/>
  <c r="AO96" i="6"/>
  <c r="AN96" i="6"/>
  <c r="AM96" i="6"/>
  <c r="AL96" i="6"/>
  <c r="AK96" i="6"/>
  <c r="AJ96" i="6"/>
  <c r="AI96" i="6"/>
  <c r="AV95" i="6"/>
  <c r="AU95" i="6"/>
  <c r="AT95" i="6"/>
  <c r="AS95" i="6"/>
  <c r="AR95" i="6"/>
  <c r="AQ95" i="6"/>
  <c r="AP95" i="6"/>
  <c r="AO95" i="6"/>
  <c r="AN95" i="6"/>
  <c r="AM95" i="6"/>
  <c r="AL95" i="6"/>
  <c r="AK95" i="6"/>
  <c r="AJ95" i="6"/>
  <c r="AI95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BT49" i="5"/>
  <c r="BS49" i="5"/>
  <c r="BR49" i="5"/>
  <c r="BQ49" i="5"/>
  <c r="BP49" i="5"/>
  <c r="AH49" i="5"/>
  <c r="AG49" i="5" s="1"/>
  <c r="AF49" i="5"/>
  <c r="AE49" i="5"/>
  <c r="M49" i="5"/>
  <c r="L49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K48" i="5"/>
  <c r="J48" i="5"/>
  <c r="BT47" i="5"/>
  <c r="BS47" i="5"/>
  <c r="BR47" i="5"/>
  <c r="BQ47" i="5"/>
  <c r="BP47" i="5"/>
  <c r="AH47" i="5"/>
  <c r="AG47" i="5" s="1"/>
  <c r="AF47" i="5"/>
  <c r="AE47" i="5"/>
  <c r="M47" i="5"/>
  <c r="L47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K46" i="5"/>
  <c r="J46" i="5"/>
  <c r="BT45" i="5"/>
  <c r="BS45" i="5"/>
  <c r="BR45" i="5"/>
  <c r="BQ45" i="5"/>
  <c r="BP45" i="5"/>
  <c r="AH45" i="5"/>
  <c r="AG45" i="5" s="1"/>
  <c r="AF45" i="5"/>
  <c r="AE45" i="5"/>
  <c r="M45" i="5"/>
  <c r="K45" i="5"/>
  <c r="J45" i="5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AE1" i="5"/>
  <c r="AI54" i="6"/>
  <c r="AJ54" i="6"/>
  <c r="AK54" i="6"/>
  <c r="AL54" i="6"/>
  <c r="AM54" i="6"/>
  <c r="AN54" i="6"/>
  <c r="AO54" i="6"/>
  <c r="AI55" i="6"/>
  <c r="AJ55" i="6"/>
  <c r="AK55" i="6"/>
  <c r="AL55" i="6"/>
  <c r="AM55" i="6"/>
  <c r="AN55" i="6"/>
  <c r="AO55" i="6"/>
  <c r="AI56" i="6"/>
  <c r="AJ56" i="6"/>
  <c r="AK56" i="6"/>
  <c r="AL56" i="6"/>
  <c r="AM56" i="6"/>
  <c r="AN56" i="6"/>
  <c r="AO56" i="6"/>
  <c r="AI57" i="6"/>
  <c r="AJ57" i="6"/>
  <c r="AK57" i="6"/>
  <c r="AL57" i="6"/>
  <c r="AM57" i="6"/>
  <c r="AN57" i="6"/>
  <c r="AO57" i="6"/>
  <c r="AI58" i="6"/>
  <c r="AJ58" i="6"/>
  <c r="AK58" i="6"/>
  <c r="AL58" i="6"/>
  <c r="AM58" i="6"/>
  <c r="AN58" i="6"/>
  <c r="AO58" i="6"/>
  <c r="AI59" i="6"/>
  <c r="AJ59" i="6"/>
  <c r="AK59" i="6"/>
  <c r="AL59" i="6"/>
  <c r="AM59" i="6"/>
  <c r="AN59" i="6"/>
  <c r="AO59" i="6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BK45" i="5" a="1"/>
  <c r="BJ45" i="5" a="1"/>
  <c r="BN45" i="5" a="1"/>
  <c r="BL45" i="5" a="1"/>
  <c r="BJ45" i="5" l="1"/>
  <c r="BJ53" i="5" s="1"/>
  <c r="BK45" i="5"/>
  <c r="BK53" i="5" s="1"/>
  <c r="BL45" i="5"/>
  <c r="BL53" i="5" s="1"/>
  <c r="BN45" i="5"/>
  <c r="BN53" i="5" s="1"/>
  <c r="AG95" i="6"/>
  <c r="AF53" i="5"/>
  <c r="AH103" i="5"/>
  <c r="AG97" i="6"/>
  <c r="AG94" i="6"/>
  <c r="AG98" i="6"/>
  <c r="AG101" i="5"/>
  <c r="AG102" i="5"/>
  <c r="K53" i="5"/>
  <c r="AG104" i="5"/>
  <c r="AG96" i="6"/>
  <c r="V13" i="3"/>
  <c r="AH94" i="6"/>
  <c r="AH95" i="6"/>
  <c r="AH96" i="6"/>
  <c r="AH97" i="6"/>
  <c r="AH98" i="6"/>
  <c r="BQ53" i="5"/>
  <c r="V17" i="3"/>
  <c r="L45" i="5"/>
  <c r="AG100" i="5" s="1"/>
  <c r="BS53" i="5"/>
  <c r="BP53" i="5"/>
  <c r="BT53" i="5"/>
  <c r="BR53" i="5"/>
  <c r="AH100" i="5"/>
  <c r="AH101" i="5"/>
  <c r="AH102" i="5"/>
  <c r="AH104" i="5"/>
  <c r="L48" i="5"/>
  <c r="BK15" i="6" a="1"/>
  <c r="BK5" i="6" a="1"/>
  <c r="BN35" i="6" a="1"/>
  <c r="BL25" i="6" a="1"/>
  <c r="BK30" i="6" a="1"/>
  <c r="BL5" i="6" a="1"/>
  <c r="BL15" i="6" a="1"/>
  <c r="BJ25" i="6" a="1"/>
  <c r="BK20" i="6" a="1"/>
  <c r="BN10" i="6" a="1"/>
  <c r="BK10" i="6" a="1"/>
  <c r="BN15" i="6" a="1"/>
  <c r="BJ5" i="6" a="1"/>
  <c r="BL40" i="6" a="1"/>
  <c r="BJ40" i="6" a="1"/>
  <c r="BK35" i="6" a="1"/>
  <c r="BN30" i="6" a="1"/>
  <c r="BL30" i="6" a="1"/>
  <c r="BJ30" i="6" a="1"/>
  <c r="BK25" i="6" a="1"/>
  <c r="BN20" i="6" a="1"/>
  <c r="BN25" i="6" a="1"/>
  <c r="BJ20" i="6" a="1"/>
  <c r="BL20" i="6" a="1"/>
  <c r="BL10" i="6" a="1"/>
  <c r="BJ10" i="6" a="1"/>
  <c r="BN5" i="6" a="1"/>
  <c r="BK40" i="6" a="1"/>
  <c r="BJ35" i="6" a="1"/>
  <c r="BL35" i="6" a="1"/>
  <c r="BN40" i="6" a="1"/>
  <c r="BJ15" i="6" a="1"/>
  <c r="BE45" i="5" a="1"/>
  <c r="BI45" i="5" a="1"/>
  <c r="BH45" i="5" a="1"/>
  <c r="BM45" i="5" a="1"/>
  <c r="BE45" i="5" l="1"/>
  <c r="BE53" i="5" s="1"/>
  <c r="H23" i="1" s="1"/>
  <c r="H16" i="7" s="1"/>
  <c r="BM45" i="5"/>
  <c r="BM53" i="5" s="1"/>
  <c r="BH45" i="5"/>
  <c r="BH53" i="5" s="1"/>
  <c r="BI45" i="5"/>
  <c r="BI53" i="5" s="1"/>
  <c r="D36" i="1"/>
  <c r="E36" i="1"/>
  <c r="C36" i="1"/>
  <c r="BL5" i="6"/>
  <c r="BL25" i="6"/>
  <c r="BN5" i="6"/>
  <c r="BL20" i="6"/>
  <c r="BN20" i="6"/>
  <c r="BN30" i="6"/>
  <c r="BJ5" i="6"/>
  <c r="BJ15" i="6"/>
  <c r="BJ25" i="6"/>
  <c r="BJ35" i="6"/>
  <c r="BK5" i="6"/>
  <c r="BK15" i="6"/>
  <c r="BK25" i="6"/>
  <c r="BK35" i="6"/>
  <c r="BN15" i="6"/>
  <c r="BL15" i="6"/>
  <c r="BL35" i="6"/>
  <c r="BN35" i="6"/>
  <c r="BJ10" i="6"/>
  <c r="BJ20" i="6"/>
  <c r="BJ30" i="6"/>
  <c r="BJ40" i="6"/>
  <c r="BK10" i="6"/>
  <c r="BK20" i="6"/>
  <c r="BK30" i="6"/>
  <c r="BK40" i="6"/>
  <c r="BL10" i="6"/>
  <c r="BN25" i="6"/>
  <c r="BL30" i="6"/>
  <c r="BL40" i="6"/>
  <c r="BN10" i="6"/>
  <c r="BN40" i="6"/>
  <c r="G36" i="1"/>
  <c r="AG103" i="5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A45" i="5" a="1"/>
  <c r="BK5" i="5" a="1"/>
  <c r="BN25" i="5" a="1"/>
  <c r="BL5" i="5" a="1"/>
  <c r="BJ30" i="5" a="1"/>
  <c r="BJ15" i="5" a="1"/>
  <c r="BN40" i="5" a="1"/>
  <c r="BL35" i="5" a="1"/>
  <c r="BL40" i="5" a="1"/>
  <c r="BJ20" i="5" a="1"/>
  <c r="BL15" i="5" a="1"/>
  <c r="BC45" i="5" a="1"/>
  <c r="BJ5" i="5" a="1"/>
  <c r="BL25" i="5" a="1"/>
  <c r="BK25" i="5" a="1"/>
  <c r="BN30" i="5" a="1"/>
  <c r="BN20" i="5" a="1"/>
  <c r="BD45" i="5" a="1"/>
  <c r="BL10" i="5" a="1"/>
  <c r="BK10" i="5" a="1"/>
  <c r="BJ40" i="5" a="1"/>
  <c r="BJ25" i="5" a="1"/>
  <c r="BJ10" i="5" a="1"/>
  <c r="BB45" i="5" a="1"/>
  <c r="BK20" i="5" a="1"/>
  <c r="AZ45" i="5" a="1"/>
  <c r="BK15" i="5" a="1"/>
  <c r="BF45" i="5" a="1"/>
  <c r="BN35" i="5" a="1"/>
  <c r="BN5" i="5" a="1"/>
  <c r="BK35" i="5" a="1"/>
  <c r="BN10" i="5" a="1"/>
  <c r="BK40" i="5" a="1"/>
  <c r="BL20" i="5" a="1"/>
  <c r="BJ35" i="5" a="1"/>
  <c r="BK30" i="5" a="1"/>
  <c r="BL30" i="5" a="1"/>
  <c r="BN15" i="5" a="1"/>
  <c r="BK46" i="6" l="1"/>
  <c r="BL46" i="6"/>
  <c r="H36" i="1"/>
  <c r="BJ46" i="6"/>
  <c r="AZ45" i="5"/>
  <c r="AZ53" i="5" s="1"/>
  <c r="C23" i="1" s="1"/>
  <c r="C16" i="7" s="1"/>
  <c r="BB45" i="5"/>
  <c r="BB53" i="5" s="1"/>
  <c r="E23" i="1" s="1"/>
  <c r="E16" i="7" s="1"/>
  <c r="BF45" i="5"/>
  <c r="BF53" i="5" s="1"/>
  <c r="I23" i="1" s="1"/>
  <c r="I16" i="7" s="1"/>
  <c r="BD45" i="5"/>
  <c r="G12" i="7" s="1"/>
  <c r="BC45" i="5"/>
  <c r="BC53" i="5" s="1"/>
  <c r="F23" i="1" s="1"/>
  <c r="F16" i="7" s="1"/>
  <c r="BA45" i="5"/>
  <c r="BA53" i="5" s="1"/>
  <c r="D23" i="1" s="1"/>
  <c r="D16" i="7" s="1"/>
  <c r="H12" i="7"/>
  <c r="BN47" i="6"/>
  <c r="BN48" i="6"/>
  <c r="BL48" i="6"/>
  <c r="BJ48" i="6"/>
  <c r="BK48" i="6"/>
  <c r="F36" i="1"/>
  <c r="I36" i="1"/>
  <c r="BN5" i="5"/>
  <c r="BN15" i="5"/>
  <c r="BN25" i="5"/>
  <c r="BN35" i="5"/>
  <c r="BJ10" i="5"/>
  <c r="BJ20" i="5"/>
  <c r="BJ30" i="5"/>
  <c r="BJ40" i="5"/>
  <c r="BL15" i="5"/>
  <c r="BK20" i="5"/>
  <c r="BK40" i="5"/>
  <c r="BL10" i="5"/>
  <c r="BL40" i="5"/>
  <c r="BN10" i="5"/>
  <c r="BN20" i="5"/>
  <c r="BN30" i="5"/>
  <c r="BN40" i="5"/>
  <c r="BL25" i="5"/>
  <c r="BL30" i="5"/>
  <c r="BJ5" i="5"/>
  <c r="BJ15" i="5"/>
  <c r="BJ25" i="5"/>
  <c r="BJ35" i="5"/>
  <c r="BL35" i="5"/>
  <c r="BK10" i="5"/>
  <c r="BK30" i="5"/>
  <c r="BL20" i="5"/>
  <c r="BK5" i="5"/>
  <c r="BK15" i="5"/>
  <c r="BK25" i="5"/>
  <c r="BK35" i="5"/>
  <c r="BL5" i="5"/>
  <c r="BT48" i="6"/>
  <c r="BT54" i="5"/>
  <c r="D12" i="7"/>
  <c r="BT51" i="5"/>
  <c r="BT46" i="6"/>
  <c r="BT47" i="6"/>
  <c r="BT52" i="5"/>
  <c r="BT50" i="5"/>
  <c r="BT45" i="6"/>
  <c r="BN46" i="6"/>
  <c r="BN45" i="6"/>
  <c r="BJ45" i="6"/>
  <c r="BL45" i="6"/>
  <c r="BK47" i="6"/>
  <c r="BK45" i="6"/>
  <c r="BJ47" i="6"/>
  <c r="BL47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I12" i="7" l="1"/>
  <c r="E12" i="7"/>
  <c r="BN51" i="5"/>
  <c r="BL51" i="5"/>
  <c r="C12" i="7"/>
  <c r="BL52" i="5"/>
  <c r="BD53" i="5"/>
  <c r="G23" i="1" s="1"/>
  <c r="G16" i="7" s="1"/>
  <c r="BN50" i="5"/>
  <c r="F12" i="7"/>
  <c r="BL54" i="5"/>
  <c r="BJ51" i="5"/>
  <c r="BK52" i="5"/>
  <c r="BJ52" i="5"/>
  <c r="BN54" i="5"/>
  <c r="BK54" i="5"/>
  <c r="BK50" i="5"/>
  <c r="BJ50" i="5"/>
  <c r="BL50" i="5"/>
  <c r="BN52" i="5"/>
  <c r="BK51" i="5"/>
  <c r="BJ54" i="5"/>
  <c r="L25" i="6"/>
  <c r="AH58" i="6"/>
  <c r="AG9" i="6"/>
  <c r="AG58" i="6" s="1"/>
  <c r="AH82" i="6"/>
  <c r="AG33" i="6"/>
  <c r="AG82" i="6" s="1"/>
  <c r="AH96" i="5"/>
  <c r="AG41" i="5"/>
  <c r="AG96" i="5" s="1"/>
  <c r="AH83" i="6"/>
  <c r="AG34" i="6"/>
  <c r="AG83" i="6" s="1"/>
  <c r="L5" i="6"/>
  <c r="AG5" i="6"/>
  <c r="AH54" i="6"/>
  <c r="AG29" i="6"/>
  <c r="AG78" i="6" s="1"/>
  <c r="AH78" i="6"/>
  <c r="AG21" i="5"/>
  <c r="AG76" i="5" s="1"/>
  <c r="AH76" i="5"/>
  <c r="L40" i="6"/>
  <c r="AH57" i="6"/>
  <c r="AG8" i="6"/>
  <c r="AG57" i="6" s="1"/>
  <c r="AH65" i="6"/>
  <c r="AG16" i="6"/>
  <c r="AG65" i="6" s="1"/>
  <c r="AH73" i="6"/>
  <c r="AG24" i="6"/>
  <c r="AG73" i="6" s="1"/>
  <c r="AH81" i="6"/>
  <c r="AG32" i="6"/>
  <c r="AG81" i="6" s="1"/>
  <c r="AH89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59" i="6"/>
  <c r="AG10" i="6"/>
  <c r="AH65" i="5"/>
  <c r="AG10" i="5"/>
  <c r="AG65" i="5" s="1"/>
  <c r="AH81" i="5"/>
  <c r="AG26" i="5"/>
  <c r="AG81" i="5" s="1"/>
  <c r="AH97" i="5"/>
  <c r="AG42" i="5"/>
  <c r="AG97" i="5" s="1"/>
  <c r="L35" i="6"/>
  <c r="AH60" i="6"/>
  <c r="AG11" i="6"/>
  <c r="AG60" i="6" s="1"/>
  <c r="AH68" i="6"/>
  <c r="AG19" i="6"/>
  <c r="AG68" i="6" s="1"/>
  <c r="AH76" i="6"/>
  <c r="AG27" i="6"/>
  <c r="AG76" i="6" s="1"/>
  <c r="AH84" i="6"/>
  <c r="AG35" i="6"/>
  <c r="AH92" i="6"/>
  <c r="AG43" i="6"/>
  <c r="AG92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66" i="6"/>
  <c r="AG17" i="6"/>
  <c r="AG66" i="6" s="1"/>
  <c r="AH72" i="5"/>
  <c r="AG17" i="5"/>
  <c r="AG72" i="5" s="1"/>
  <c r="AH88" i="5"/>
  <c r="AG33" i="5"/>
  <c r="AG88" i="5" s="1"/>
  <c r="AH75" i="6"/>
  <c r="AG26" i="6"/>
  <c r="AG75" i="6" s="1"/>
  <c r="AH73" i="5"/>
  <c r="AG18" i="5"/>
  <c r="AG73" i="5" s="1"/>
  <c r="AH89" i="5"/>
  <c r="AG34" i="5"/>
  <c r="AG89" i="5" s="1"/>
  <c r="L20" i="6"/>
  <c r="AH61" i="6"/>
  <c r="AG12" i="6"/>
  <c r="AG61" i="6" s="1"/>
  <c r="AH69" i="6"/>
  <c r="AG20" i="6"/>
  <c r="AH77" i="6"/>
  <c r="AG28" i="6"/>
  <c r="AG77" i="6" s="1"/>
  <c r="AH85" i="6"/>
  <c r="AG36" i="6"/>
  <c r="AG85" i="6" s="1"/>
  <c r="AH93" i="6"/>
  <c r="AG44" i="6"/>
  <c r="AG93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74" i="6"/>
  <c r="AG25" i="6"/>
  <c r="AG74" i="6" s="1"/>
  <c r="L10" i="6"/>
  <c r="AG37" i="6"/>
  <c r="AG86" i="6" s="1"/>
  <c r="AH86" i="6"/>
  <c r="AG13" i="5"/>
  <c r="AG68" i="5" s="1"/>
  <c r="AH68" i="5"/>
  <c r="AG37" i="5"/>
  <c r="AG92" i="5" s="1"/>
  <c r="AH92" i="5"/>
  <c r="L30" i="6"/>
  <c r="AG6" i="6"/>
  <c r="AG55" i="6" s="1"/>
  <c r="AH55" i="6"/>
  <c r="AG14" i="6"/>
  <c r="AG63" i="6" s="1"/>
  <c r="AH63" i="6"/>
  <c r="AG22" i="6"/>
  <c r="AG71" i="6" s="1"/>
  <c r="AH71" i="6"/>
  <c r="AG30" i="6"/>
  <c r="AH79" i="6"/>
  <c r="AG38" i="6"/>
  <c r="AG87" i="6" s="1"/>
  <c r="AH87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0" i="6"/>
  <c r="AG41" i="6"/>
  <c r="AG90" i="6" s="1"/>
  <c r="AH67" i="6"/>
  <c r="AG18" i="6"/>
  <c r="AG67" i="6" s="1"/>
  <c r="AH91" i="6"/>
  <c r="AG42" i="6"/>
  <c r="AG91" i="6" s="1"/>
  <c r="AG13" i="6"/>
  <c r="AG62" i="6" s="1"/>
  <c r="AH62" i="6"/>
  <c r="AH70" i="6"/>
  <c r="AG21" i="6"/>
  <c r="AG70" i="6" s="1"/>
  <c r="AG5" i="5"/>
  <c r="AG60" i="5" s="1"/>
  <c r="AH60" i="5"/>
  <c r="AG29" i="5"/>
  <c r="AG84" i="5" s="1"/>
  <c r="AH84" i="5"/>
  <c r="L15" i="6"/>
  <c r="AG7" i="6"/>
  <c r="AG56" i="6" s="1"/>
  <c r="AH56" i="6"/>
  <c r="AG15" i="6"/>
  <c r="AH64" i="6"/>
  <c r="AG23" i="6"/>
  <c r="AG72" i="6" s="1"/>
  <c r="AH72" i="6"/>
  <c r="AG31" i="6"/>
  <c r="AG80" i="6" s="1"/>
  <c r="AH80" i="6"/>
  <c r="AG39" i="6"/>
  <c r="AG88" i="6" s="1"/>
  <c r="AH88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A19" i="7"/>
  <c r="A18" i="7"/>
  <c r="A17" i="7"/>
  <c r="A14" i="7"/>
  <c r="A13" i="7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AV59" i="6"/>
  <c r="AU59" i="6"/>
  <c r="AT59" i="6"/>
  <c r="AS59" i="6"/>
  <c r="AR59" i="6"/>
  <c r="AQ59" i="6"/>
  <c r="AP59" i="6"/>
  <c r="AV58" i="6"/>
  <c r="AU58" i="6"/>
  <c r="AT58" i="6"/>
  <c r="AS58" i="6"/>
  <c r="AR58" i="6"/>
  <c r="AQ58" i="6"/>
  <c r="AP58" i="6"/>
  <c r="AV57" i="6"/>
  <c r="AU57" i="6"/>
  <c r="AT57" i="6"/>
  <c r="AS57" i="6"/>
  <c r="AR57" i="6"/>
  <c r="AQ57" i="6"/>
  <c r="AP57" i="6"/>
  <c r="AV56" i="6"/>
  <c r="AU56" i="6"/>
  <c r="AT56" i="6"/>
  <c r="AS56" i="6"/>
  <c r="AR56" i="6"/>
  <c r="AQ56" i="6"/>
  <c r="AP56" i="6"/>
  <c r="AV55" i="6"/>
  <c r="AU55" i="6"/>
  <c r="AT55" i="6"/>
  <c r="AS55" i="6"/>
  <c r="AR55" i="6"/>
  <c r="AQ55" i="6"/>
  <c r="AP55" i="6"/>
  <c r="AV54" i="6"/>
  <c r="AU54" i="6"/>
  <c r="AT54" i="6"/>
  <c r="AS54" i="6"/>
  <c r="AR54" i="6"/>
  <c r="AQ54" i="6"/>
  <c r="AP54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R5" i="6"/>
  <c r="BQ5" i="6"/>
  <c r="BP5" i="6"/>
  <c r="AF5" i="6"/>
  <c r="AE5" i="6"/>
  <c r="K5" i="6"/>
  <c r="J5" i="6"/>
  <c r="AE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R5" i="5"/>
  <c r="BQ5" i="5"/>
  <c r="BP5" i="5"/>
  <c r="AF5" i="5"/>
  <c r="AE5" i="5"/>
  <c r="K5" i="5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BI40" i="6" a="1"/>
  <c r="BH10" i="6" a="1"/>
  <c r="BM30" i="6" a="1"/>
  <c r="BM25" i="6" a="1"/>
  <c r="BI10" i="6" a="1"/>
  <c r="BM20" i="6" a="1"/>
  <c r="BH20" i="6" a="1"/>
  <c r="BI15" i="6" a="1"/>
  <c r="BH5" i="6" a="1"/>
  <c r="BM10" i="6" a="1"/>
  <c r="BI30" i="6" a="1"/>
  <c r="BM40" i="6" a="1"/>
  <c r="BM35" i="6" a="1"/>
  <c r="BI25" i="6" a="1"/>
  <c r="BH35" i="6" a="1"/>
  <c r="BM5" i="6" a="1"/>
  <c r="BH30" i="6" a="1"/>
  <c r="BH15" i="6" a="1"/>
  <c r="BI35" i="6" a="1"/>
  <c r="BH40" i="6" a="1"/>
  <c r="BI20" i="6" a="1"/>
  <c r="BH25" i="6" a="1"/>
  <c r="BI5" i="6" a="1"/>
  <c r="BM15" i="6" a="1"/>
  <c r="BI30" i="5" a="1"/>
  <c r="BM10" i="5" a="1"/>
  <c r="BM20" i="5" a="1"/>
  <c r="BH10" i="5" a="1"/>
  <c r="BH5" i="5" a="1"/>
  <c r="BH40" i="5" a="1"/>
  <c r="BM15" i="5" a="1"/>
  <c r="BH25" i="5" a="1"/>
  <c r="BH30" i="5" a="1"/>
  <c r="BI35" i="5" a="1"/>
  <c r="BM25" i="5" a="1"/>
  <c r="BI25" i="5" a="1"/>
  <c r="BI15" i="5" a="1"/>
  <c r="BI20" i="5" a="1"/>
  <c r="BH15" i="5" a="1"/>
  <c r="BH20" i="5" a="1"/>
  <c r="BI40" i="5" a="1"/>
  <c r="BM5" i="5" a="1"/>
  <c r="BM40" i="5" a="1"/>
  <c r="BI5" i="5" a="1"/>
  <c r="BM35" i="5" a="1"/>
  <c r="BH35" i="5" a="1"/>
  <c r="BI10" i="5" a="1"/>
  <c r="BM30" i="5" a="1"/>
  <c r="AG84" i="6" l="1"/>
  <c r="BI30" i="6"/>
  <c r="BM35" i="6"/>
  <c r="BH5" i="6"/>
  <c r="BM30" i="6"/>
  <c r="BH35" i="6"/>
  <c r="BM15" i="6"/>
  <c r="BI35" i="6"/>
  <c r="BH15" i="6"/>
  <c r="BI10" i="6"/>
  <c r="BM10" i="6"/>
  <c r="BI15" i="6"/>
  <c r="BH10" i="6"/>
  <c r="BM20" i="6"/>
  <c r="BH40" i="6"/>
  <c r="BH25" i="6"/>
  <c r="BH30" i="6"/>
  <c r="BI25" i="6"/>
  <c r="BM25" i="6"/>
  <c r="BH20" i="6"/>
  <c r="BI40" i="6"/>
  <c r="BM40" i="6"/>
  <c r="BI5" i="6"/>
  <c r="BI20" i="6"/>
  <c r="BM5" i="6"/>
  <c r="BI40" i="5"/>
  <c r="BH10" i="5"/>
  <c r="BM15" i="5"/>
  <c r="BM30" i="5"/>
  <c r="BI10" i="5"/>
  <c r="BH15" i="5"/>
  <c r="BH30" i="5"/>
  <c r="BM35" i="5"/>
  <c r="BI15" i="5"/>
  <c r="BI30" i="5"/>
  <c r="BH35" i="5"/>
  <c r="BM5" i="5"/>
  <c r="BI20" i="5"/>
  <c r="BI35" i="5"/>
  <c r="BH5" i="5"/>
  <c r="BM20" i="5"/>
  <c r="BH25" i="5"/>
  <c r="BI5" i="5"/>
  <c r="BH20" i="5"/>
  <c r="BI25" i="5"/>
  <c r="BM40" i="5"/>
  <c r="BH40" i="5"/>
  <c r="BM10" i="5"/>
  <c r="BM25" i="5"/>
  <c r="I15" i="3"/>
  <c r="BQ48" i="6"/>
  <c r="BS54" i="5"/>
  <c r="BQ54" i="5"/>
  <c r="AF48" i="6"/>
  <c r="BR48" i="6"/>
  <c r="BP48" i="6"/>
  <c r="P18" i="3"/>
  <c r="K54" i="5"/>
  <c r="BP54" i="5"/>
  <c r="BR54" i="5"/>
  <c r="AF54" i="5"/>
  <c r="X17" i="3"/>
  <c r="V6" i="3"/>
  <c r="BS48" i="6"/>
  <c r="K48" i="6"/>
  <c r="I18" i="3"/>
  <c r="V8" i="3"/>
  <c r="AG59" i="6"/>
  <c r="AG89" i="6"/>
  <c r="AG54" i="6"/>
  <c r="AG69" i="6"/>
  <c r="V7" i="3"/>
  <c r="AG64" i="6"/>
  <c r="AG79" i="6"/>
  <c r="V12" i="3"/>
  <c r="P15" i="3"/>
  <c r="V15" i="3" s="1"/>
  <c r="C10" i="1" s="1"/>
  <c r="X15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45" i="6"/>
  <c r="BP52" i="5"/>
  <c r="BQ51" i="5"/>
  <c r="BR50" i="5"/>
  <c r="BR52" i="5"/>
  <c r="AF52" i="5"/>
  <c r="BP50" i="5"/>
  <c r="K51" i="5"/>
  <c r="BQ52" i="5"/>
  <c r="AF51" i="5"/>
  <c r="BS52" i="5"/>
  <c r="BP51" i="5"/>
  <c r="K52" i="5"/>
  <c r="AW50" i="6"/>
  <c r="C38" i="1" s="1"/>
  <c r="J18" i="7" s="1"/>
  <c r="AX50" i="6"/>
  <c r="C39" i="1" s="1"/>
  <c r="J19" i="7" s="1"/>
  <c r="BR46" i="6"/>
  <c r="K47" i="6"/>
  <c r="K46" i="6"/>
  <c r="BQ47" i="6"/>
  <c r="BR47" i="6"/>
  <c r="BQ46" i="6"/>
  <c r="BQ45" i="6"/>
  <c r="BR45" i="6"/>
  <c r="BS46" i="6"/>
  <c r="AF47" i="6"/>
  <c r="BP47" i="6"/>
  <c r="AF45" i="6"/>
  <c r="AF46" i="6"/>
  <c r="BS47" i="6"/>
  <c r="BP46" i="6"/>
  <c r="X14" i="3"/>
  <c r="V5" i="3"/>
  <c r="V9" i="3"/>
  <c r="K45" i="6"/>
  <c r="BS45" i="6"/>
  <c r="BQ50" i="5"/>
  <c r="I14" i="3"/>
  <c r="BS50" i="5"/>
  <c r="P14" i="3"/>
  <c r="BE5" i="6" a="1"/>
  <c r="BB25" i="6" a="1"/>
  <c r="AZ15" i="6" a="1"/>
  <c r="BE15" i="6" a="1"/>
  <c r="BF15" i="6" a="1"/>
  <c r="BC15" i="6" a="1"/>
  <c r="BE20" i="6" a="1"/>
  <c r="BA10" i="6" a="1"/>
  <c r="BE40" i="6" a="1"/>
  <c r="AZ5" i="6" a="1"/>
  <c r="BD5" i="6" a="1"/>
  <c r="BA35" i="6" a="1"/>
  <c r="BB40" i="6" a="1"/>
  <c r="BE35" i="6" a="1"/>
  <c r="BA25" i="6" a="1"/>
  <c r="BB35" i="6" a="1"/>
  <c r="BD10" i="6" a="1"/>
  <c r="BC10" i="6" a="1"/>
  <c r="BD25" i="6" a="1"/>
  <c r="AZ25" i="6" a="1"/>
  <c r="AZ35" i="6" a="1"/>
  <c r="BB5" i="6" a="1"/>
  <c r="BA5" i="6" a="1"/>
  <c r="BD20" i="6" a="1"/>
  <c r="BC35" i="6" a="1"/>
  <c r="BC25" i="6" a="1"/>
  <c r="BD15" i="6" a="1"/>
  <c r="BA20" i="6" a="1"/>
  <c r="BF20" i="6" a="1"/>
  <c r="BB30" i="6" a="1"/>
  <c r="BD40" i="6" a="1"/>
  <c r="BF25" i="6" a="1"/>
  <c r="BD30" i="6" a="1"/>
  <c r="BF40" i="6" a="1"/>
  <c r="BA40" i="6" a="1"/>
  <c r="BB15" i="6" a="1"/>
  <c r="BF10" i="6" a="1"/>
  <c r="BB10" i="6" a="1"/>
  <c r="BC5" i="6" a="1"/>
  <c r="BE10" i="6" a="1"/>
  <c r="BC20" i="6" a="1"/>
  <c r="BB20" i="6" a="1"/>
  <c r="BE25" i="6" a="1"/>
  <c r="AZ30" i="6" a="1"/>
  <c r="BF30" i="6" a="1"/>
  <c r="BF35" i="6" a="1"/>
  <c r="AZ40" i="6" a="1"/>
  <c r="BA15" i="6" a="1"/>
  <c r="BC30" i="6" a="1"/>
  <c r="AZ20" i="6" a="1"/>
  <c r="BA30" i="6" a="1"/>
  <c r="BD35" i="6" a="1"/>
  <c r="BE30" i="6" a="1"/>
  <c r="AZ10" i="6" a="1"/>
  <c r="BF5" i="6" a="1"/>
  <c r="BC40" i="6" a="1"/>
  <c r="AZ10" i="5" a="1"/>
  <c r="BB5" i="5" a="1"/>
  <c r="BF20" i="5" a="1"/>
  <c r="BD35" i="5" a="1"/>
  <c r="BA5" i="5" a="1"/>
  <c r="BF5" i="5" a="1"/>
  <c r="BB40" i="5" a="1"/>
  <c r="BD20" i="5" a="1"/>
  <c r="BB30" i="5" a="1"/>
  <c r="BB35" i="5" a="1"/>
  <c r="BD5" i="5" a="1"/>
  <c r="BD25" i="5" a="1"/>
  <c r="BE30" i="5" a="1"/>
  <c r="BB15" i="5" a="1"/>
  <c r="BC20" i="5" a="1"/>
  <c r="BE15" i="5" a="1"/>
  <c r="BF25" i="5" a="1"/>
  <c r="BD30" i="5" a="1"/>
  <c r="BE40" i="5" a="1"/>
  <c r="BA25" i="5" a="1"/>
  <c r="BB20" i="5" a="1"/>
  <c r="BA35" i="5" a="1"/>
  <c r="BD15" i="5" a="1"/>
  <c r="BF15" i="5" a="1"/>
  <c r="BA15" i="5" a="1"/>
  <c r="BE20" i="5" a="1"/>
  <c r="BF30" i="5" a="1"/>
  <c r="BE10" i="5" a="1"/>
  <c r="BE35" i="5" a="1"/>
  <c r="BA10" i="5" a="1"/>
  <c r="BC40" i="5" a="1"/>
  <c r="BC35" i="5" a="1"/>
  <c r="BD40" i="5" a="1"/>
  <c r="AZ5" i="5" a="1"/>
  <c r="AZ35" i="5" a="1"/>
  <c r="BE5" i="5" a="1"/>
  <c r="BC5" i="5" a="1"/>
  <c r="AZ30" i="5" a="1"/>
  <c r="AZ40" i="5" a="1"/>
  <c r="AZ20" i="5" a="1"/>
  <c r="BC10" i="5" a="1"/>
  <c r="BA40" i="5" a="1"/>
  <c r="AZ15" i="5" a="1"/>
  <c r="BF10" i="5" a="1"/>
  <c r="BF35" i="5" a="1"/>
  <c r="BC25" i="5" a="1"/>
  <c r="AZ25" i="5" a="1"/>
  <c r="BE25" i="5" a="1"/>
  <c r="BF40" i="5" a="1"/>
  <c r="BA20" i="5" a="1"/>
  <c r="BD10" i="5" a="1"/>
  <c r="BA30" i="5" a="1"/>
  <c r="BC30" i="5" a="1"/>
  <c r="BC15" i="5" a="1"/>
  <c r="BB25" i="5" a="1"/>
  <c r="BB10" i="5" a="1"/>
  <c r="BH51" i="5" l="1"/>
  <c r="BI51" i="5"/>
  <c r="BM52" i="5"/>
  <c r="BH47" i="6"/>
  <c r="BM47" i="6"/>
  <c r="BH46" i="6"/>
  <c r="BI45" i="6"/>
  <c r="BM50" i="5"/>
  <c r="BH50" i="5"/>
  <c r="BI54" i="5"/>
  <c r="BI50" i="5"/>
  <c r="BH54" i="5"/>
  <c r="BM45" i="6"/>
  <c r="BI52" i="5"/>
  <c r="BM46" i="6"/>
  <c r="BH52" i="5"/>
  <c r="BM54" i="5"/>
  <c r="BI46" i="6"/>
  <c r="BH48" i="6"/>
  <c r="BI47" i="6"/>
  <c r="AZ25" i="6"/>
  <c r="J8" i="7" s="1"/>
  <c r="BE20" i="6"/>
  <c r="O7" i="7" s="1"/>
  <c r="BF10" i="6"/>
  <c r="P5" i="7" s="1"/>
  <c r="AZ10" i="6"/>
  <c r="J5" i="7" s="1"/>
  <c r="AZ30" i="6"/>
  <c r="J9" i="7" s="1"/>
  <c r="BC25" i="6"/>
  <c r="M8" i="7" s="1"/>
  <c r="BF40" i="6"/>
  <c r="P11" i="7" s="1"/>
  <c r="BD20" i="6"/>
  <c r="N7" i="7" s="1"/>
  <c r="BD25" i="6"/>
  <c r="N8" i="7" s="1"/>
  <c r="BC15" i="6"/>
  <c r="BC30" i="6"/>
  <c r="M9" i="7" s="1"/>
  <c r="BF35" i="6"/>
  <c r="P10" i="7" s="1"/>
  <c r="BE25" i="6"/>
  <c r="O8" i="7" s="1"/>
  <c r="BD15" i="6"/>
  <c r="N6" i="7" s="1"/>
  <c r="BD30" i="6"/>
  <c r="N9" i="7" s="1"/>
  <c r="AZ5" i="6"/>
  <c r="BC10" i="6"/>
  <c r="M5" i="7" s="1"/>
  <c r="BF15" i="6"/>
  <c r="P6" i="7" s="1"/>
  <c r="BB40" i="6"/>
  <c r="L11" i="7" s="1"/>
  <c r="BE30" i="6"/>
  <c r="O9" i="7" s="1"/>
  <c r="BB20" i="6"/>
  <c r="L7" i="7" s="1"/>
  <c r="BA35" i="6"/>
  <c r="K10" i="7" s="1"/>
  <c r="BF25" i="6"/>
  <c r="P8" i="7" s="1"/>
  <c r="BA5" i="6"/>
  <c r="BD10" i="6"/>
  <c r="N5" i="7" s="1"/>
  <c r="BE15" i="6"/>
  <c r="O6" i="7" s="1"/>
  <c r="BC40" i="6"/>
  <c r="M11" i="7" s="1"/>
  <c r="BF30" i="6"/>
  <c r="P9" i="7" s="1"/>
  <c r="BC20" i="6"/>
  <c r="M7" i="7" s="1"/>
  <c r="BC35" i="6"/>
  <c r="M10" i="7" s="1"/>
  <c r="BD40" i="6"/>
  <c r="N11" i="7" s="1"/>
  <c r="BE40" i="6"/>
  <c r="O11" i="7" s="1"/>
  <c r="BB35" i="6"/>
  <c r="L10" i="7" s="1"/>
  <c r="AZ15" i="6"/>
  <c r="J6" i="7" s="1"/>
  <c r="BA15" i="6"/>
  <c r="K6" i="7" s="1"/>
  <c r="BD35" i="6"/>
  <c r="N10" i="7" s="1"/>
  <c r="BE10" i="6"/>
  <c r="O5" i="7" s="1"/>
  <c r="BB15" i="6"/>
  <c r="L6" i="7" s="1"/>
  <c r="BB30" i="6"/>
  <c r="L9" i="7" s="1"/>
  <c r="BB5" i="6"/>
  <c r="L4" i="7" s="1"/>
  <c r="BA25" i="6"/>
  <c r="K8" i="7" s="1"/>
  <c r="BB25" i="6"/>
  <c r="L8" i="7" s="1"/>
  <c r="BF5" i="6"/>
  <c r="P4" i="7" s="1"/>
  <c r="BA30" i="6"/>
  <c r="K9" i="7" s="1"/>
  <c r="BC5" i="6"/>
  <c r="M4" i="7" s="1"/>
  <c r="BD5" i="6"/>
  <c r="N4" i="7" s="1"/>
  <c r="BF20" i="6"/>
  <c r="P7" i="7" s="1"/>
  <c r="BA10" i="6"/>
  <c r="K5" i="7" s="1"/>
  <c r="BE35" i="6"/>
  <c r="O10" i="7" s="1"/>
  <c r="BE5" i="6"/>
  <c r="AZ40" i="6"/>
  <c r="J11" i="7" s="1"/>
  <c r="AZ20" i="6"/>
  <c r="J7" i="7" s="1"/>
  <c r="BB10" i="6"/>
  <c r="L5" i="7" s="1"/>
  <c r="BA40" i="6"/>
  <c r="K11" i="7" s="1"/>
  <c r="BA20" i="6"/>
  <c r="K7" i="7" s="1"/>
  <c r="AZ35" i="6"/>
  <c r="J10" i="7" s="1"/>
  <c r="BM48" i="6"/>
  <c r="BI48" i="6"/>
  <c r="BH45" i="6"/>
  <c r="AZ25" i="5"/>
  <c r="C8" i="7" s="1"/>
  <c r="BA35" i="5"/>
  <c r="D10" i="7" s="1"/>
  <c r="AZ35" i="5"/>
  <c r="C10" i="7" s="1"/>
  <c r="BC5" i="5"/>
  <c r="F4" i="7" s="1"/>
  <c r="BD35" i="5"/>
  <c r="G10" i="7" s="1"/>
  <c r="BB40" i="5"/>
  <c r="E11" i="7" s="1"/>
  <c r="AZ20" i="5"/>
  <c r="C7" i="7" s="1"/>
  <c r="BE10" i="5"/>
  <c r="H5" i="7" s="1"/>
  <c r="BC20" i="5"/>
  <c r="F7" i="7" s="1"/>
  <c r="BF5" i="5"/>
  <c r="BF15" i="5"/>
  <c r="I6" i="7" s="1"/>
  <c r="BA10" i="5"/>
  <c r="D5" i="7" s="1"/>
  <c r="BB25" i="5"/>
  <c r="E8" i="7" s="1"/>
  <c r="BF30" i="5"/>
  <c r="I9" i="7" s="1"/>
  <c r="BE35" i="5"/>
  <c r="H10" i="7" s="1"/>
  <c r="BB30" i="5"/>
  <c r="E9" i="7" s="1"/>
  <c r="BD15" i="5"/>
  <c r="G6" i="7" s="1"/>
  <c r="BE40" i="5"/>
  <c r="H11" i="7" s="1"/>
  <c r="BD10" i="5"/>
  <c r="G5" i="7" s="1"/>
  <c r="BE15" i="5"/>
  <c r="H6" i="7" s="1"/>
  <c r="BA30" i="5"/>
  <c r="D9" i="7" s="1"/>
  <c r="BB35" i="5"/>
  <c r="E10" i="7" s="1"/>
  <c r="BA25" i="5"/>
  <c r="D8" i="7" s="1"/>
  <c r="BF25" i="5"/>
  <c r="I8" i="7" s="1"/>
  <c r="BD20" i="5"/>
  <c r="G7" i="7" s="1"/>
  <c r="BC30" i="5"/>
  <c r="F9" i="7" s="1"/>
  <c r="BA5" i="5"/>
  <c r="D4" i="7" s="1"/>
  <c r="BA15" i="5"/>
  <c r="D6" i="7" s="1"/>
  <c r="BA40" i="5"/>
  <c r="D11" i="7" s="1"/>
  <c r="BB15" i="5"/>
  <c r="E6" i="7" s="1"/>
  <c r="AZ10" i="5"/>
  <c r="C5" i="7" s="1"/>
  <c r="AZ30" i="5"/>
  <c r="C9" i="7" s="1"/>
  <c r="BB10" i="5"/>
  <c r="E5" i="7" s="1"/>
  <c r="BF10" i="5"/>
  <c r="I5" i="7" s="1"/>
  <c r="BE25" i="5"/>
  <c r="H8" i="7" s="1"/>
  <c r="AZ15" i="5"/>
  <c r="C6" i="7" s="1"/>
  <c r="BC40" i="5"/>
  <c r="F11" i="7" s="1"/>
  <c r="BB5" i="5"/>
  <c r="E4" i="7" s="1"/>
  <c r="BE5" i="5"/>
  <c r="H4" i="7" s="1"/>
  <c r="BF35" i="5"/>
  <c r="I10" i="7" s="1"/>
  <c r="BE20" i="5"/>
  <c r="H7" i="7" s="1"/>
  <c r="BD40" i="5"/>
  <c r="G11" i="7" s="1"/>
  <c r="BC10" i="5"/>
  <c r="F5" i="7" s="1"/>
  <c r="BC35" i="5"/>
  <c r="F10" i="7" s="1"/>
  <c r="BD5" i="5"/>
  <c r="G4" i="7" s="1"/>
  <c r="BD30" i="5"/>
  <c r="G9" i="7" s="1"/>
  <c r="BF40" i="5"/>
  <c r="I11" i="7" s="1"/>
  <c r="AZ5" i="5"/>
  <c r="C4" i="7" s="1"/>
  <c r="BC25" i="5"/>
  <c r="F8" i="7" s="1"/>
  <c r="BD25" i="5"/>
  <c r="G8" i="7" s="1"/>
  <c r="BE30" i="5"/>
  <c r="H9" i="7" s="1"/>
  <c r="BB20" i="5"/>
  <c r="E7" i="7" s="1"/>
  <c r="BF20" i="5"/>
  <c r="I7" i="7" s="1"/>
  <c r="BA20" i="5"/>
  <c r="D7" i="7" s="1"/>
  <c r="AZ40" i="5"/>
  <c r="C11" i="7" s="1"/>
  <c r="BC15" i="5"/>
  <c r="F6" i="7" s="1"/>
  <c r="BM51" i="5"/>
  <c r="V18" i="3"/>
  <c r="C13" i="1" s="1"/>
  <c r="I4" i="7"/>
  <c r="V14" i="3"/>
  <c r="C9" i="1" s="1"/>
  <c r="V16" i="3"/>
  <c r="C11" i="1" s="1"/>
  <c r="BE45" i="6" l="1"/>
  <c r="H33" i="1" s="1"/>
  <c r="O13" i="7" s="1"/>
  <c r="BF50" i="5"/>
  <c r="I20" i="1" s="1"/>
  <c r="I13" i="7" s="1"/>
  <c r="BC50" i="5"/>
  <c r="F20" i="1" s="1"/>
  <c r="F13" i="7" s="1"/>
  <c r="BC46" i="6"/>
  <c r="F34" i="1" s="1"/>
  <c r="BB46" i="6"/>
  <c r="E34" i="1" s="1"/>
  <c r="BC45" i="6"/>
  <c r="F33" i="1" s="1"/>
  <c r="M13" i="7" s="1"/>
  <c r="BF47" i="6"/>
  <c r="I35" i="1" s="1"/>
  <c r="P15" i="7" s="1"/>
  <c r="BE50" i="5"/>
  <c r="H20" i="1" s="1"/>
  <c r="H13" i="7" s="1"/>
  <c r="BE52" i="5"/>
  <c r="H22" i="1" s="1"/>
  <c r="H15" i="7" s="1"/>
  <c r="BD51" i="5"/>
  <c r="G21" i="1" s="1"/>
  <c r="G14" i="7" s="1"/>
  <c r="BA46" i="6"/>
  <c r="D34" i="1" s="1"/>
  <c r="K14" i="7" s="1"/>
  <c r="BF45" i="6"/>
  <c r="I33" i="1" s="1"/>
  <c r="P13" i="7" s="1"/>
  <c r="BC47" i="6"/>
  <c r="F35" i="1" s="1"/>
  <c r="M15" i="7" s="1"/>
  <c r="AZ54" i="5"/>
  <c r="C24" i="1" s="1"/>
  <c r="C17" i="7" s="1"/>
  <c r="AZ52" i="5"/>
  <c r="C22" i="1" s="1"/>
  <c r="C15" i="7" s="1"/>
  <c r="AZ47" i="6"/>
  <c r="C35" i="1" s="1"/>
  <c r="J15" i="7" s="1"/>
  <c r="AZ50" i="5"/>
  <c r="C20" i="1" s="1"/>
  <c r="C13" i="7" s="1"/>
  <c r="BB48" i="6"/>
  <c r="E37" i="1" s="1"/>
  <c r="L17" i="7" s="1"/>
  <c r="BA48" i="6"/>
  <c r="D37" i="1" s="1"/>
  <c r="K17" i="7" s="1"/>
  <c r="BA47" i="6"/>
  <c r="D35" i="1" s="1"/>
  <c r="K15" i="7" s="1"/>
  <c r="BA50" i="5"/>
  <c r="D20" i="1" s="1"/>
  <c r="D13" i="7" s="1"/>
  <c r="BC54" i="5"/>
  <c r="F24" i="1" s="1"/>
  <c r="F17" i="7" s="1"/>
  <c r="M6" i="7"/>
  <c r="BE48" i="6"/>
  <c r="H37" i="1" s="1"/>
  <c r="O17" i="7" s="1"/>
  <c r="AZ46" i="6"/>
  <c r="C34" i="1" s="1"/>
  <c r="J14" i="7" s="1"/>
  <c r="BB47" i="6"/>
  <c r="E35" i="1" s="1"/>
  <c r="L15" i="7" s="1"/>
  <c r="BE47" i="6"/>
  <c r="H35" i="1" s="1"/>
  <c r="O15" i="7" s="1"/>
  <c r="AZ48" i="6"/>
  <c r="C37" i="1" s="1"/>
  <c r="J17" i="7" s="1"/>
  <c r="BE46" i="6"/>
  <c r="H34" i="1" s="1"/>
  <c r="O14" i="7" s="1"/>
  <c r="BF48" i="6"/>
  <c r="I37" i="1" s="1"/>
  <c r="P17" i="7" s="1"/>
  <c r="BD47" i="6"/>
  <c r="G35" i="1" s="1"/>
  <c r="N15" i="7" s="1"/>
  <c r="BD46" i="6"/>
  <c r="G34" i="1" s="1"/>
  <c r="N14" i="7" s="1"/>
  <c r="BB45" i="6"/>
  <c r="E33" i="1" s="1"/>
  <c r="L13" i="7" s="1"/>
  <c r="O4" i="7"/>
  <c r="BD45" i="6"/>
  <c r="G33" i="1" s="1"/>
  <c r="N13" i="7" s="1"/>
  <c r="BD48" i="6"/>
  <c r="G37" i="1" s="1"/>
  <c r="N17" i="7" s="1"/>
  <c r="BC48" i="6"/>
  <c r="F37" i="1" s="1"/>
  <c r="M17" i="7" s="1"/>
  <c r="BF46" i="6"/>
  <c r="I34" i="1" s="1"/>
  <c r="P14" i="7" s="1"/>
  <c r="BD50" i="5"/>
  <c r="G20" i="1" s="1"/>
  <c r="G13" i="7" s="1"/>
  <c r="BD54" i="5"/>
  <c r="G24" i="1" s="1"/>
  <c r="G17" i="7" s="1"/>
  <c r="BF51" i="5"/>
  <c r="I21" i="1" s="1"/>
  <c r="I14" i="7" s="1"/>
  <c r="BE51" i="5"/>
  <c r="H21" i="1" s="1"/>
  <c r="H14" i="7" s="1"/>
  <c r="BD52" i="5"/>
  <c r="G22" i="1" s="1"/>
  <c r="G15" i="7" s="1"/>
  <c r="BA51" i="5"/>
  <c r="D21" i="1" s="1"/>
  <c r="D14" i="7" s="1"/>
  <c r="BF54" i="5"/>
  <c r="I24" i="1" s="1"/>
  <c r="I17" i="7" s="1"/>
  <c r="BB50" i="5"/>
  <c r="E20" i="1" s="1"/>
  <c r="E13" i="7" s="1"/>
  <c r="BB52" i="5"/>
  <c r="E22" i="1" s="1"/>
  <c r="E15" i="7" s="1"/>
  <c r="BA52" i="5"/>
  <c r="D22" i="1" s="1"/>
  <c r="D15" i="7" s="1"/>
  <c r="BC52" i="5"/>
  <c r="F22" i="1" s="1"/>
  <c r="F15" i="7" s="1"/>
  <c r="BE54" i="5"/>
  <c r="H24" i="1" s="1"/>
  <c r="H17" i="7" s="1"/>
  <c r="BF52" i="5"/>
  <c r="I22" i="1" s="1"/>
  <c r="I15" i="7" s="1"/>
  <c r="BB54" i="5"/>
  <c r="E24" i="1" s="1"/>
  <c r="E17" i="7" s="1"/>
  <c r="BB51" i="5"/>
  <c r="E21" i="1" s="1"/>
  <c r="E14" i="7" s="1"/>
  <c r="AZ51" i="5"/>
  <c r="C21" i="1" s="1"/>
  <c r="C14" i="7" s="1"/>
  <c r="BC51" i="5"/>
  <c r="F21" i="1" s="1"/>
  <c r="F14" i="7" s="1"/>
  <c r="BA54" i="5"/>
  <c r="D24" i="1" s="1"/>
  <c r="D17" i="7" s="1"/>
  <c r="C12" i="1"/>
  <c r="M14" i="7"/>
  <c r="L14" i="7"/>
  <c r="K4" i="7"/>
  <c r="BA45" i="6"/>
  <c r="D33" i="1" s="1"/>
  <c r="K13" i="7" s="1"/>
  <c r="J4" i="7"/>
  <c r="AZ45" i="6"/>
  <c r="C33" i="1" s="1"/>
  <c r="J13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<sst xmlns="http://schemas.openxmlformats.org/spreadsheetml/2006/main" count="987" uniqueCount="441">
  <si>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</si>
  <si>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</si>
  <si>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</si>
  <si>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</si>
  <si>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</si>
  <si>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</si>
  <si>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</si>
  <si>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</si>
  <si>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</si>
  <si>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</si>
  <si>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</si>
  <si>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</si>
  <si>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</si>
  <si>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</si>
  <si>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</si>
  <si>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</si>
  <si>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</si>
  <si>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</si>
  <si>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</si>
  <si>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</si>
  <si>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</si>
  <si>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</si>
  <si>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</si>
  <si>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</si>
  <si>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</si>
  <si>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</si>
  <si>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</si>
  <si>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</si>
  <si>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</si>
  <si>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</si>
  <si>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</si>
  <si>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</si>
  <si>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</si>
  <si>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</si>
  <si>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</si>
  <si>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</si>
  <si>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</si>
  <si>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</si>
  <si>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</si>
  <si>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</si>
  <si>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</si>
  <si>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</si>
  <si>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</si>
  <si>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</si>
  <si>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</si>
  <si>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</si>
  <si>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</si>
  <si>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</si>
  <si>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</si>
  <si>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</si>
  <si>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</si>
  <si>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</si>
  <si>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</si>
  <si>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</si>
  <si>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</si>
  <si>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</si>
  <si>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</si>
  <si>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</si>
  <si>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</si>
  <si>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</si>
  <si>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</si>
  <si>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</si>
  <si>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</si>
  <si>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</si>
  <si>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</si>
  <si>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</si>
  <si>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</si>
  <si>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</si>
  <si>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</si>
  <si>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</si>
  <si>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</si>
  <si>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</si>
  <si>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</si>
  <si>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</si>
  <si>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</si>
  <si>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</si>
  <si>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</si>
  <si>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</si>
  <si>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</si>
  <si>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</si>
  <si>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</si>
  <si>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</si>
  <si>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</si>
  <si>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</si>
  <si>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</si>
  <si>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</si>
  <si>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</si>
  <si>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</si>
  <si>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</si>
  <si>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</si>
  <si>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</si>
  <si>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</si>
  <si>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</si>
  <si>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</si>
  <si>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</si>
  <si>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</si>
  <si>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</si>
  <si>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</si>
  <si>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</si>
  <si>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</si>
  <si>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</si>
  <si>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</si>
  <si>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</si>
  <si>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</si>
  <si>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</si>
  <si>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</si>
  <si>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</si>
  <si>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</si>
  <si>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</si>
  <si>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</si>
  <si>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</si>
  <si>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</si>
  <si>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</si>
  <si>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</si>
  <si>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</si>
  <si>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</si>
  <si>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</si>
  <si>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</si>
  <si>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</si>
  <si>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</si>
  <si>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</si>
  <si>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</si>
  <si>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</si>
  <si>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</si>
  <si>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</si>
  <si>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</si>
  <si>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</si>
  <si>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</si>
  <si>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</si>
  <si>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</si>
  <si>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</si>
  <si>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</si>
  <si>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</si>
  <si>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</si>
  <si>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</si>
  <si>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</si>
  <si>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</si>
  <si>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</si>
  <si>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</si>
  <si>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</si>
  <si>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</si>
  <si>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</si>
  <si>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</si>
  <si>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</si>
  <si>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</si>
  <si>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</si>
  <si>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</si>
  <si>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</si>
  <si>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</si>
  <si>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</si>
  <si>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</si>
  <si>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</si>
  <si>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</si>
  <si>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</si>
  <si>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</si>
  <si>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</si>
  <si>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</si>
  <si>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</si>
  <si>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</si>
  <si>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</si>
  <si>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</si>
  <si>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</si>
  <si>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</si>
  <si>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</si>
  <si>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</si>
  <si>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</si>
  <si>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</si>
  <si>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</si>
  <si>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</si>
  <si>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</si>
  <si>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</si>
  <si>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</si>
  <si>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</si>
  <si>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</si>
  <si>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</si>
  <si>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</si>
  <si>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</si>
  <si>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</si>
  <si>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</si>
  <si>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</si>
  <si>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</si>
  <si>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</si>
  <si>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</si>
  <si>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</si>
  <si>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</si>
  <si>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</si>
  <si>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</si>
  <si>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</si>
  <si>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</si>
  <si>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</si>
  <si>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</si>
  <si>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</si>
  <si>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</si>
  <si>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</si>
  <si>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</si>
  <si>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</si>
  <si>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</si>
  <si>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</si>
  <si>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</si>
  <si>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</si>
  <si>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</si>
  <si>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</si>
  <si>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</si>
  <si>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</si>
  <si>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</si>
  <si>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</si>
  <si>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</si>
  <si>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</si>
  <si>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</si>
  <si>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</si>
  <si>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</si>
  <si>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</si>
  <si>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</si>
  <si>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</si>
  <si>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</si>
  <si>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</si>
  <si>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</si>
  <si>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</si>
  <si>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</si>
  <si>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</si>
  <si>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</si>
  <si>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</si>
  <si>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</si>
  <si>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</si>
  <si>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</si>
  <si>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</si>
  <si>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</si>
  <si>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</si>
  <si>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</si>
  <si>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</si>
  <si>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</si>
  <si>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</si>
  <si>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</si>
  <si>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</si>
  <si>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</si>
  <si>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</si>
  <si>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</si>
  <si>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</si>
  <si>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</si>
  <si>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</si>
  <si>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</si>
  <si>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</si>
  <si>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</si>
  <si>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</si>
  <si>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</si>
  <si>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</si>
  <si>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</si>
  <si>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</si>
  <si>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</si>
  <si>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</si>
  <si>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</si>
  <si>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</si>
  <si>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</si>
  <si>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</si>
  <si>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</si>
  <si>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</si>
  <si>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</si>
  <si>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</si>
  <si>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</si>
  <si>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</si>
  <si>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</si>
  <si>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</si>
  <si>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</si>
  <si>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</si>
  <si>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</si>
  <si>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</si>
  <si>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</si>
  <si>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</si>
  <si>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</si>
  <si>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</si>
  <si>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</si>
  <si>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</si>
  <si>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</si>
  <si>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</si>
  <si>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</si>
  <si>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</si>
  <si>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</si>
  <si>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</si>
  <si>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</si>
  <si>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</si>
  <si>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</si>
  <si>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</si>
  <si>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</si>
  <si>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</si>
  <si>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</si>
  <si>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</si>
  <si>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</si>
  <si>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</si>
  <si>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</si>
  <si>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</si>
  <si>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</si>
  <si>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</si>
  <si>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</si>
  <si>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</si>
  <si>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</si>
  <si>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</si>
  <si>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</si>
  <si>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</si>
  <si>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</si>
  <si>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</si>
  <si>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</si>
  <si>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</si>
  <si>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</si>
  <si>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</si>
  <si>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</si>
  <si>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</si>
  <si>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</si>
  <si>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</si>
  <si>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</si>
  <si>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</si>
  <si>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</si>
  <si>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</si>
  <si>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</si>
  <si>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</si>
  <si>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</si>
  <si>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</si>
  <si>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</si>
  <si>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</si>
  <si>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</si>
  <si>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</si>
  <si>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</si>
  <si>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</si>
  <si>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</si>
  <si>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</si>
  <si>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</si>
  <si>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</si>
  <si>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</si>
  <si>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</si>
  <si>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</si>
  <si>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</si>
  <si>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</si>
  <si>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</si>
  <si>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</si>
  <si>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</si>
  <si>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</si>
  <si>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</si>
  <si>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</si>
  <si>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</si>
  <si>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</si>
  <si>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</si>
  <si>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</si>
  <si>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</si>
  <si>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</si>
  <si>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</si>
  <si>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</si>
  <si>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</si>
  <si>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</si>
  <si>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</si>
  <si>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</si>
  <si>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</si>
  <si>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</si>
  <si>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</si>
  <si>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</si>
  <si>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</si>
  <si>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</si>
  <si>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</si>
  <si>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</si>
  <si>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</si>
  <si>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</si>
  <si>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</si>
  <si>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</si>
  <si>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</si>
  <si>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</si>
  <si>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</si>
  <si>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</si>
  <si>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</si>
  <si>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</si>
  <si>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</si>
  <si>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</si>
  <si>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</si>
  <si>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</si>
  <si>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</si>
  <si>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</si>
  <si>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</si>
  <si>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</si>
  <si>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</si>
  <si>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</si>
  <si>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</si>
  <si>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</si>
  <si>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</si>
  <si>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</si>
  <si>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</si>
  <si>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</si>
  <si>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</si>
  <si>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</si>
  <si>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</si>
  <si>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</si>
  <si>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</si>
  <si>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</si>
  <si>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</si>
  <si>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</si>
  <si>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</si>
  <si>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</si>
  <si>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</si>
  <si>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</si>
  <si>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</si>
  <si>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</si>
  <si>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</si>
  <si>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</si>
  <si>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</si>
  <si>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</si>
  <si>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</si>
  <si>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</si>
  <si>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</si>
  <si>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</si>
  <si>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</si>
  <si>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</si>
  <si>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</si>
  <si>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</si>
  <si>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</si>
  <si>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</si>
  <si>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</si>
  <si>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</si>
  <si>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</si>
  <si>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</si>
  <si>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</si>
  <si>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</si>
  <si>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</si>
  <si>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</si>
  <si>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</si>
  <si>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</si>
  <si>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</si>
  <si>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</si>
  <si>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</si>
  <si>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</si>
  <si>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</si>
  <si>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</si>
  <si>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</si>
  <si>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</si>
  <si>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</si>
  <si>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</si>
  <si>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</si>
  <si>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</si>
  <si>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</si>
  <si>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</si>
  <si>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</si>
  <si>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</si>
  <si>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</si>
  <si>
    <t>F032_v9.0</t>
    <phoneticPr fontId="2" type="noConversion"/>
  </si>
  <si>
    <t>F032_v9.0</t>
    <phoneticPr fontId="2" type="noConversion"/>
  </si>
  <si>
    <t>F032_v10.0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</si>
</sst>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77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78" fontId="0" fillId="11" borderId="18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7" borderId="0" xfId="0" applyFont="1" applyFill="1" applyAlignment="1">
      <alignment horizontal="left" vertical="top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9" fontId="0" fillId="14" borderId="13" xfId="0" applyNumberFormat="1" applyFill="1" applyBorder="1" applyAlignment="1">
      <alignment horizontal="center"/>
    </xf>
    <xf numFmtId="0" fontId="0" fillId="0" borderId="14" xfId="0" applyBorder="1"/>
    <xf numFmtId="0" fontId="0" fillId="0" borderId="8" xfId="0" applyBorder="1"/>
    <xf numFmtId="0" fontId="0" fillId="15" borderId="15" xfId="0" applyFill="1" applyBorder="1" applyAlignment="1">
      <alignment horizontal="left"/>
    </xf>
    <xf numFmtId="0" fontId="0" fillId="0" borderId="10" xfId="0" applyBorder="1"/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  <xf numFmtId="0" fontId="0" fillId="0" borderId="6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1" fillId="13" borderId="7" xfId="0" applyFont="1" applyFill="1" applyBorder="1" applyAlignment="1">
      <alignment horizontal="center" wrapText="1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0" fontId="1" fillId="3" borderId="0" xfId="0" applyNumberFormat="1" applyFont="1" applyFill="1" applyAlignment="1">
      <alignment horizontal="center" wrapText="1"/>
    </xf>
    <xf numFmtId="0" fontId="0" fillId="0" borderId="0" xfId="0" applyNumberFormat="1"/>
  </cellXfs>
  <cellStyles count="1">
    <cellStyle name="常规" xfId="0" builtinId="0"/>
  </cellStyles>
  <dxfs count="185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74.524426899999995</c:v>
                </c:pt>
                <c:pt idx="1">
                  <c:v>75.687530499999994</c:v>
                </c:pt>
                <c:pt idx="2">
                  <c:v>77.288102699999996</c:v>
                </c:pt>
                <c:pt idx="3">
                  <c:v>78.687753099999995</c:v>
                </c:pt>
                <c:pt idx="4">
                  <c:v>80.405805299999997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169600"/>
        <c:axId val="-382170688"/>
      </c:scatterChart>
      <c:valAx>
        <c:axId val="-38216960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2170688"/>
        <c:crosses val="autoZero"/>
        <c:crossBetween val="midCat"/>
      </c:valAx>
      <c:valAx>
        <c:axId val="-38217068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21696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76.5139341</c:v>
                </c:pt>
                <c:pt idx="1">
                  <c:v>77.986673800000005</c:v>
                </c:pt>
                <c:pt idx="2">
                  <c:v>79.929790100000005</c:v>
                </c:pt>
                <c:pt idx="3">
                  <c:v>81.812540100000007</c:v>
                </c:pt>
                <c:pt idx="4">
                  <c:v>84.458735300000001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176128"/>
        <c:axId val="-382165792"/>
      </c:scatterChart>
      <c:valAx>
        <c:axId val="-38217612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2165792"/>
        <c:crosses val="autoZero"/>
        <c:crossBetween val="midCat"/>
      </c:valAx>
      <c:valAx>
        <c:axId val="-38216579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21761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54.122185100000003</c:v>
                </c:pt>
                <c:pt idx="1">
                  <c:v>54.831061499999997</c:v>
                </c:pt>
                <c:pt idx="2">
                  <c:v>55.7650285</c:v>
                </c:pt>
                <c:pt idx="3">
                  <c:v>56.752282999999998</c:v>
                </c:pt>
                <c:pt idx="4">
                  <c:v>57.884126000000002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178304"/>
        <c:axId val="-382172320"/>
      </c:scatterChart>
      <c:valAx>
        <c:axId val="-38217830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2172320"/>
        <c:crosses val="autoZero"/>
        <c:crossBetween val="midCat"/>
      </c:valAx>
      <c:valAx>
        <c:axId val="-38217232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21783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30.238096599999999</c:v>
                </c:pt>
                <c:pt idx="1">
                  <c:v>31.157793900000001</c:v>
                </c:pt>
                <c:pt idx="2">
                  <c:v>31.751473900000001</c:v>
                </c:pt>
                <c:pt idx="3">
                  <c:v>32.306105199999998</c:v>
                </c:pt>
                <c:pt idx="4">
                  <c:v>33.127863400000003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167968"/>
        <c:axId val="-382167424"/>
      </c:scatterChart>
      <c:valAx>
        <c:axId val="-38216796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2167424"/>
        <c:crosses val="autoZero"/>
        <c:crossBetween val="midCat"/>
      </c:valAx>
      <c:valAx>
        <c:axId val="-38216742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21679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41.188856000000001</c:v>
                </c:pt>
                <c:pt idx="1">
                  <c:v>42.283162599999997</c:v>
                </c:pt>
                <c:pt idx="2">
                  <c:v>44.319451600000001</c:v>
                </c:pt>
                <c:pt idx="3">
                  <c:v>44.626617199999998</c:v>
                </c:pt>
                <c:pt idx="4">
                  <c:v>45.293516500000003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2166880"/>
        <c:axId val="-382174496"/>
      </c:scatterChart>
      <c:valAx>
        <c:axId val="-38216688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2174496"/>
        <c:crosses val="autoZero"/>
        <c:crossBetween val="midCat"/>
      </c:valAx>
      <c:valAx>
        <c:axId val="-38217449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21668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39.595556700000003</c:v>
                </c:pt>
                <c:pt idx="1">
                  <c:v>40.591721100000001</c:v>
                </c:pt>
                <c:pt idx="2">
                  <c:v>43.1361816</c:v>
                </c:pt>
                <c:pt idx="3">
                  <c:v>43.605740500000003</c:v>
                </c:pt>
                <c:pt idx="4">
                  <c:v>44.381829199999999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1247552"/>
        <c:axId val="-381243200"/>
      </c:scatterChart>
      <c:valAx>
        <c:axId val="-381247552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1243200"/>
        <c:crosses val="autoZero"/>
        <c:crossBetween val="midCat"/>
      </c:valAx>
      <c:valAx>
        <c:axId val="-38124320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124755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F032_v9.0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4.2292800000000002</c:v>
                </c:pt>
                <c:pt idx="1">
                  <c:v>6.4730400000000001</c:v>
                </c:pt>
                <c:pt idx="2">
                  <c:v>10.708320000000001</c:v>
                </c:pt>
                <c:pt idx="3">
                  <c:v>14.263920000000001</c:v>
                </c:pt>
                <c:pt idx="4">
                  <c:v>22.333200000000001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29.431978399999998</c:v>
                </c:pt>
                <c:pt idx="1">
                  <c:v>29.977537999999999</c:v>
                </c:pt>
                <c:pt idx="2">
                  <c:v>31.127217000000002</c:v>
                </c:pt>
                <c:pt idx="3">
                  <c:v>31.7123879</c:v>
                </c:pt>
                <c:pt idx="4">
                  <c:v>32.596452999999997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81245920"/>
        <c:axId val="-381245376"/>
      </c:scatterChart>
      <c:valAx>
        <c:axId val="-38124592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-381245376"/>
        <c:crosses val="autoZero"/>
        <c:crossBetween val="midCat"/>
      </c:valAx>
      <c:valAx>
        <c:axId val="-381245376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-3812459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zoomScale="90" zoomScaleNormal="90" workbookViewId="0">
      <selection activeCell="E6" sqref="E6"/>
    </sheetView>
  </sheetViews>
  <sheetFormatPr defaultColWidth="9.125" defaultRowHeight="13.5" x14ac:dyDescent="0.15"/>
  <cols>
    <col min="2" max="2" width="16.625" customWidth="1"/>
    <col min="3" max="9" width="24.625" customWidth="1"/>
  </cols>
  <sheetData>
    <row r="1" spans="2:5" x14ac:dyDescent="0.15">
      <c r="B1" t="s">
        <v>0</v>
      </c>
      <c r="C1" s="112" t="s">
        <v>440</v>
      </c>
      <c r="D1" s="112"/>
      <c r="E1" s="112"/>
    </row>
    <row r="2" spans="2:5" x14ac:dyDescent="0.15">
      <c r="B2" t="s">
        <v>1</v>
      </c>
      <c r="C2" s="113"/>
      <c r="D2" s="113"/>
      <c r="E2" s="113"/>
    </row>
    <row r="4" spans="2:5" s="1" customFormat="1" x14ac:dyDescent="0.15">
      <c r="B4" s="1" t="s">
        <v>2</v>
      </c>
    </row>
    <row r="6" spans="2:5" ht="45" customHeight="1" x14ac:dyDescent="0.15">
      <c r="B6" s="114" t="s">
        <v>3</v>
      </c>
      <c r="C6" s="2" t="s">
        <v>4</v>
      </c>
    </row>
    <row r="7" spans="2:5" x14ac:dyDescent="0.15">
      <c r="B7" s="115"/>
      <c r="C7" s="3" t="s">
        <v>5</v>
      </c>
    </row>
    <row r="8" spans="2:5" x14ac:dyDescent="0.15">
      <c r="B8" s="116"/>
      <c r="C8" s="4" t="s">
        <v>6</v>
      </c>
    </row>
    <row r="9" spans="2:5" x14ac:dyDescent="0.15">
      <c r="B9" t="s">
        <v>7</v>
      </c>
      <c r="C9" s="5" t="e">
        <f>'C0 lossless AI'!V14</f>
        <v>#DIV/0!</v>
      </c>
    </row>
    <row r="10" spans="2:5" x14ac:dyDescent="0.15">
      <c r="B10" t="s">
        <v>8</v>
      </c>
      <c r="C10" s="5" t="e">
        <f>'C0 lossless AI'!V15</f>
        <v>#DIV/0!</v>
      </c>
    </row>
    <row r="11" spans="2:5" x14ac:dyDescent="0.15">
      <c r="B11" t="s">
        <v>9</v>
      </c>
      <c r="C11" s="5" t="e">
        <f>'C0 lossless AI'!V16</f>
        <v>#DIV/0!</v>
      </c>
    </row>
    <row r="12" spans="2:5" x14ac:dyDescent="0.15">
      <c r="B12" t="s">
        <v>429</v>
      </c>
      <c r="C12" s="5" t="e">
        <f>'C0 lossless AI'!V18</f>
        <v>#DIV/0!</v>
      </c>
    </row>
    <row r="13" spans="2:5" x14ac:dyDescent="0.15">
      <c r="B13" s="6" t="s">
        <v>10</v>
      </c>
      <c r="C13" s="7" t="e">
        <f>'C0 lossless AI'!V18</f>
        <v>#DIV/0!</v>
      </c>
    </row>
    <row r="14" spans="2:5" x14ac:dyDescent="0.15">
      <c r="B14" t="s">
        <v>11</v>
      </c>
      <c r="C14" s="8" t="e">
        <f>'C0 lossless AI'!S20</f>
        <v>#DIV/0!</v>
      </c>
    </row>
    <row r="15" spans="2:5" x14ac:dyDescent="0.15">
      <c r="B15" s="9" t="s">
        <v>12</v>
      </c>
      <c r="C15" s="10" t="e">
        <f>'C0 lossless AI'!T20</f>
        <v>#DIV/0!</v>
      </c>
    </row>
    <row r="17" spans="2:9" x14ac:dyDescent="0.15">
      <c r="B17" s="114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 x14ac:dyDescent="0.15">
      <c r="B18" s="115"/>
      <c r="C18" s="119" t="s">
        <v>15</v>
      </c>
      <c r="D18" s="115"/>
      <c r="E18" s="115"/>
      <c r="F18" s="115"/>
      <c r="G18" s="115"/>
      <c r="H18" s="120" t="s">
        <v>16</v>
      </c>
      <c r="I18" s="115"/>
    </row>
    <row r="19" spans="2:9" x14ac:dyDescent="0.15">
      <c r="B19" s="116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 x14ac:dyDescent="0.15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 x14ac:dyDescent="0.15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 x14ac:dyDescent="0.15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 x14ac:dyDescent="0.15">
      <c r="B23" t="s">
        <v>429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 x14ac:dyDescent="0.15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 x14ac:dyDescent="0.15">
      <c r="B25" t="s">
        <v>11</v>
      </c>
      <c r="C25" s="121">
        <f>'C1 lossy AI'!AW56</f>
        <v>0</v>
      </c>
      <c r="D25" s="115"/>
      <c r="E25" s="115"/>
      <c r="F25" s="115"/>
      <c r="G25" s="115"/>
      <c r="H25" s="115"/>
      <c r="I25" s="115"/>
    </row>
    <row r="26" spans="2:9" x14ac:dyDescent="0.15">
      <c r="B26" s="9" t="s">
        <v>12</v>
      </c>
      <c r="C26" s="122">
        <f>'C1 lossy AI'!AX56</f>
        <v>0</v>
      </c>
      <c r="D26" s="116"/>
      <c r="E26" s="116"/>
      <c r="F26" s="116"/>
      <c r="G26" s="116"/>
      <c r="H26" s="116"/>
      <c r="I26" s="116"/>
    </row>
    <row r="28" spans="2:9" s="1" customFormat="1" x14ac:dyDescent="0.15">
      <c r="B28" s="1" t="s">
        <v>23</v>
      </c>
    </row>
    <row r="30" spans="2:9" x14ac:dyDescent="0.15">
      <c r="B30" s="114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 x14ac:dyDescent="0.15">
      <c r="B31" s="115"/>
      <c r="C31" s="119" t="s">
        <v>15</v>
      </c>
      <c r="D31" s="115"/>
      <c r="E31" s="115"/>
      <c r="F31" s="115"/>
      <c r="G31" s="115"/>
      <c r="H31" s="120" t="s">
        <v>16</v>
      </c>
      <c r="I31" s="115"/>
    </row>
    <row r="32" spans="2:9" x14ac:dyDescent="0.15">
      <c r="B32" s="116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 x14ac:dyDescent="0.15">
      <c r="B33" t="s">
        <v>7</v>
      </c>
      <c r="C33" s="5" t="e">
        <f>'C2 lossy RA'!$AZ$45:$AZ$45</f>
        <v>#DIV/0!</v>
      </c>
      <c r="D33" s="5" t="e">
        <f>'C2 lossy RA'!$BA$45:$BA$45</f>
        <v>#DIV/0!</v>
      </c>
      <c r="E33" s="5" t="e">
        <f>'C2 lossy RA'!$BB$45:$BB$45</f>
        <v>#DIV/0!</v>
      </c>
      <c r="F33" s="5" t="e">
        <f>'C2 lossy RA'!$BC$45:$BC$45</f>
        <v>#DIV/0!</v>
      </c>
      <c r="G33" s="5" t="e">
        <f>'C2 lossy RA'!$BD$45:$BD$45</f>
        <v>#DIV/0!</v>
      </c>
      <c r="H33" s="5" t="e">
        <f>'C2 lossy RA'!$BE$45:$BE$45</f>
        <v>#DIV/0!</v>
      </c>
      <c r="I33" s="5" t="e">
        <f>'C2 lossy RA'!$BF$45:$BF$45</f>
        <v>#DIV/0!</v>
      </c>
    </row>
    <row r="34" spans="2:9" x14ac:dyDescent="0.15">
      <c r="B34" t="s">
        <v>8</v>
      </c>
      <c r="C34" s="5" t="e">
        <f>'C2 lossy RA'!$AZ$46:$AZ$46</f>
        <v>#DIV/0!</v>
      </c>
      <c r="D34" s="5" t="e">
        <f>'C2 lossy RA'!$BA$46:$BA$46</f>
        <v>#DIV/0!</v>
      </c>
      <c r="E34" s="5" t="e">
        <f>'C2 lossy RA'!$BB$46:$BB$46</f>
        <v>#DIV/0!</v>
      </c>
      <c r="F34" s="5" t="e">
        <f>'C2 lossy RA'!$BC$46:$BC$46</f>
        <v>#DIV/0!</v>
      </c>
      <c r="G34" s="5" t="e">
        <f>'C2 lossy RA'!$BD$46:$BD$46</f>
        <v>#DIV/0!</v>
      </c>
      <c r="H34" s="5" t="e">
        <f>'C2 lossy RA'!$BE$46:$BE$46</f>
        <v>#DIV/0!</v>
      </c>
      <c r="I34" s="5" t="e">
        <f>'C2 lossy RA'!$BF$46:$BF$46</f>
        <v>#DIV/0!</v>
      </c>
    </row>
    <row r="35" spans="2:9" x14ac:dyDescent="0.15">
      <c r="B35" t="s">
        <v>9</v>
      </c>
      <c r="C35" s="5" t="e">
        <f>'C2 lossy RA'!$AZ$47:$AZ$47</f>
        <v>#DIV/0!</v>
      </c>
      <c r="D35" s="5" t="e">
        <f>'C2 lossy RA'!$BA$47:$BA$47</f>
        <v>#DIV/0!</v>
      </c>
      <c r="E35" s="5" t="e">
        <f>'C2 lossy RA'!$BB$47:$BB$47</f>
        <v>#DIV/0!</v>
      </c>
      <c r="F35" s="5" t="e">
        <f>'C2 lossy RA'!$BC$47:$BC$47</f>
        <v>#DIV/0!</v>
      </c>
      <c r="G35" s="5" t="e">
        <f>'C2 lossy RA'!$BD$47:$BD$47</f>
        <v>#DIV/0!</v>
      </c>
      <c r="H35" s="5" t="e">
        <f>'C2 lossy RA'!$BE$47:$BE$47</f>
        <v>#DIV/0!</v>
      </c>
      <c r="I35" s="5" t="e">
        <f>'C2 lossy RA'!$BF$47:$BF$47</f>
        <v>#DIV/0!</v>
      </c>
    </row>
    <row r="36" spans="2:9" x14ac:dyDescent="0.15">
      <c r="B36" t="s">
        <v>429</v>
      </c>
      <c r="C36" s="5" t="e">
        <f>'C2 lossy RA'!#REF!</f>
        <v>#REF!</v>
      </c>
      <c r="D36" s="5" t="e">
        <f>'C2 lossy RA'!#REF!</f>
        <v>#REF!</v>
      </c>
      <c r="E36" s="5" t="e">
        <f>'C2 lossy RA'!#REF!</f>
        <v>#REF!</v>
      </c>
      <c r="F36" s="5" t="e">
        <f>'C2 lossy RA'!#REF!</f>
        <v>#REF!</v>
      </c>
      <c r="G36" s="5" t="e">
        <f>'C2 lossy RA'!#REF!</f>
        <v>#REF!</v>
      </c>
      <c r="H36" s="5" t="e">
        <f>'C2 lossy RA'!#REF!</f>
        <v>#REF!</v>
      </c>
      <c r="I36" s="5" t="e">
        <f>'C2 lossy RA'!#REF!</f>
        <v>#REF!</v>
      </c>
    </row>
    <row r="37" spans="2:9" x14ac:dyDescent="0.15">
      <c r="B37" s="6" t="s">
        <v>10</v>
      </c>
      <c r="C37" s="7" t="e">
        <f>'C2 lossy RA'!$AZ$48:$AZ$48</f>
        <v>#DIV/0!</v>
      </c>
      <c r="D37" s="7" t="e">
        <f>'C2 lossy RA'!$BA$48:$BA$48</f>
        <v>#DIV/0!</v>
      </c>
      <c r="E37" s="7" t="e">
        <f>'C2 lossy RA'!$BB$48:$BB$48</f>
        <v>#DIV/0!</v>
      </c>
      <c r="F37" s="7" t="e">
        <f>'C2 lossy RA'!$BC$48:$BC$48</f>
        <v>#DIV/0!</v>
      </c>
      <c r="G37" s="7" t="e">
        <f>'C2 lossy RA'!$BD$48:$BD$48</f>
        <v>#DIV/0!</v>
      </c>
      <c r="H37" s="7" t="e">
        <f>'C2 lossy RA'!$BE$48:$BE$48</f>
        <v>#DIV/0!</v>
      </c>
      <c r="I37" s="7" t="e">
        <f>'C2 lossy RA'!$BF$48:$BF$48</f>
        <v>#DIV/0!</v>
      </c>
    </row>
    <row r="38" spans="2:9" x14ac:dyDescent="0.15">
      <c r="B38" t="s">
        <v>11</v>
      </c>
      <c r="C38" s="121">
        <f>'C2 lossy RA'!AW50</f>
        <v>0</v>
      </c>
      <c r="D38" s="115"/>
      <c r="E38" s="115"/>
      <c r="F38" s="115"/>
      <c r="G38" s="115"/>
      <c r="H38" s="115"/>
      <c r="I38" s="115"/>
    </row>
    <row r="39" spans="2:9" x14ac:dyDescent="0.15">
      <c r="B39" s="9" t="s">
        <v>12</v>
      </c>
      <c r="C39" s="122">
        <f>'C2 lossy RA'!AX50</f>
        <v>0</v>
      </c>
      <c r="D39" s="116"/>
      <c r="E39" s="116"/>
      <c r="F39" s="116"/>
      <c r="G39" s="116"/>
      <c r="H39" s="116"/>
      <c r="I39" s="116"/>
    </row>
  </sheetData>
  <mergeCells count="15">
    <mergeCell ref="C38:I38"/>
    <mergeCell ref="C39:I39"/>
    <mergeCell ref="C25:I25"/>
    <mergeCell ref="C26:I26"/>
    <mergeCell ref="B30:B32"/>
    <mergeCell ref="C30:I30"/>
    <mergeCell ref="C31:G31"/>
    <mergeCell ref="H31:I31"/>
    <mergeCell ref="C1:E1"/>
    <mergeCell ref="C2:E2"/>
    <mergeCell ref="B6:B8"/>
    <mergeCell ref="B17:B19"/>
    <mergeCell ref="C17:I17"/>
    <mergeCell ref="C18:G18"/>
    <mergeCell ref="H18:I18"/>
  </mergeCells>
  <phoneticPr fontId="2" type="noConversion"/>
  <conditionalFormatting sqref="C20:C24">
    <cfRule type="cellIs" dxfId="184" priority="15" operator="greaterThanOrEqual">
      <formula>0.03</formula>
    </cfRule>
    <cfRule type="cellIs" dxfId="183" priority="16" operator="lessThanOrEqual">
      <formula>-0.03</formula>
    </cfRule>
  </conditionalFormatting>
  <conditionalFormatting sqref="C33:C37">
    <cfRule type="cellIs" dxfId="182" priority="17" operator="greaterThanOrEqual">
      <formula>0.03</formula>
    </cfRule>
    <cfRule type="cellIs" dxfId="181" priority="18" operator="lessThanOrEqual">
      <formula>-0.03</formula>
    </cfRule>
  </conditionalFormatting>
  <conditionalFormatting sqref="C9:C13">
    <cfRule type="cellIs" dxfId="180" priority="1" operator="greaterThanOrEqual">
      <formula>1.03</formula>
    </cfRule>
    <cfRule type="cellIs" dxfId="179" priority="2" operator="lessThanOrEqual">
      <formula>0.97</formula>
    </cfRule>
  </conditionalFormatting>
  <conditionalFormatting sqref="D20:D24">
    <cfRule type="cellIs" dxfId="178" priority="11" operator="greaterThanOrEqual">
      <formula>0.03</formula>
    </cfRule>
    <cfRule type="cellIs" dxfId="177" priority="12" operator="lessThanOrEqual">
      <formula>-0.03</formula>
    </cfRule>
  </conditionalFormatting>
  <conditionalFormatting sqref="D33:D37">
    <cfRule type="cellIs" dxfId="176" priority="21" operator="greaterThanOrEqual">
      <formula>0.03</formula>
    </cfRule>
    <cfRule type="cellIs" dxfId="175" priority="22" operator="lessThanOrEqual">
      <formula>-0.03</formula>
    </cfRule>
  </conditionalFormatting>
  <conditionalFormatting sqref="E20:E24">
    <cfRule type="cellIs" dxfId="174" priority="5" operator="greaterThanOrEqual">
      <formula>0.03</formula>
    </cfRule>
    <cfRule type="cellIs" dxfId="173" priority="6" operator="lessThanOrEqual">
      <formula>-0.03</formula>
    </cfRule>
  </conditionalFormatting>
  <conditionalFormatting sqref="E33:E37">
    <cfRule type="cellIs" dxfId="172" priority="25" operator="greaterThanOrEqual">
      <formula>0.03</formula>
    </cfRule>
    <cfRule type="cellIs" dxfId="171" priority="26" operator="lessThanOrEqual">
      <formula>-0.03</formula>
    </cfRule>
  </conditionalFormatting>
  <conditionalFormatting sqref="F20:F24">
    <cfRule type="cellIs" dxfId="170" priority="3" operator="greaterThanOrEqual">
      <formula>0.03</formula>
    </cfRule>
    <cfRule type="cellIs" dxfId="169" priority="4" operator="lessThanOrEqual">
      <formula>-0.03</formula>
    </cfRule>
  </conditionalFormatting>
  <conditionalFormatting sqref="F33:F37">
    <cfRule type="cellIs" dxfId="168" priority="29" operator="greaterThanOrEqual">
      <formula>0.03</formula>
    </cfRule>
    <cfRule type="cellIs" dxfId="167" priority="30" operator="lessThanOrEqual">
      <formula>-0.03</formula>
    </cfRule>
  </conditionalFormatting>
  <conditionalFormatting sqref="G20:G24">
    <cfRule type="cellIs" dxfId="166" priority="13" operator="greaterThanOrEqual">
      <formula>0.03</formula>
    </cfRule>
    <cfRule type="cellIs" dxfId="165" priority="14" operator="lessThanOrEqual">
      <formula>-0.03</formula>
    </cfRule>
  </conditionalFormatting>
  <conditionalFormatting sqref="G33:G37">
    <cfRule type="cellIs" dxfId="164" priority="19" operator="greaterThanOrEqual">
      <formula>0.03</formula>
    </cfRule>
    <cfRule type="cellIs" dxfId="163" priority="20" operator="lessThanOrEqual">
      <formula>-0.03</formula>
    </cfRule>
  </conditionalFormatting>
  <conditionalFormatting sqref="H20:H24">
    <cfRule type="cellIs" dxfId="162" priority="9" operator="greaterThanOrEqual">
      <formula>0.03</formula>
    </cfRule>
    <cfRule type="cellIs" dxfId="161" priority="10" operator="lessThanOrEqual">
      <formula>-0.03</formula>
    </cfRule>
  </conditionalFormatting>
  <conditionalFormatting sqref="H33:H37">
    <cfRule type="cellIs" dxfId="160" priority="23" operator="greaterThanOrEqual">
      <formula>0.03</formula>
    </cfRule>
    <cfRule type="cellIs" dxfId="159" priority="24" operator="lessThanOrEqual">
      <formula>-0.03</formula>
    </cfRule>
  </conditionalFormatting>
  <conditionalFormatting sqref="I20:I24">
    <cfRule type="cellIs" dxfId="158" priority="7" operator="greaterThanOrEqual">
      <formula>0.03</formula>
    </cfRule>
    <cfRule type="cellIs" dxfId="157" priority="8" operator="lessThanOrEqual">
      <formula>-0.03</formula>
    </cfRule>
  </conditionalFormatting>
  <conditionalFormatting sqref="I33:I37">
    <cfRule type="cellIs" dxfId="156" priority="27" operator="greaterThanOrEqual">
      <formula>0.03</formula>
    </cfRule>
    <cfRule type="cellIs" dxfId="155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4" x14ac:dyDescent="0.15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428</v>
      </c>
      <c r="C2" t="s">
        <v>33</v>
      </c>
      <c r="I2" t="s">
        <v>34</v>
      </c>
      <c r="J2" t="s">
        <v>35</v>
      </c>
      <c r="M2" t="s">
        <v>436</v>
      </c>
      <c r="N2" t="s">
        <v>437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  <c r="M11" t="s">
        <v>428</v>
      </c>
      <c r="N11" t="s">
        <v>428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393</v>
      </c>
      <c r="J51" t="s">
        <v>389</v>
      </c>
    </row>
    <row r="52" spans="9:10" x14ac:dyDescent="0.15">
      <c r="I52" t="s">
        <v>394</v>
      </c>
      <c r="J52" t="s">
        <v>390</v>
      </c>
    </row>
    <row r="53" spans="9:10" x14ac:dyDescent="0.15">
      <c r="I53" t="s">
        <v>371</v>
      </c>
      <c r="J53" t="s">
        <v>391</v>
      </c>
    </row>
    <row r="54" spans="9:10" x14ac:dyDescent="0.15">
      <c r="I54" t="s">
        <v>395</v>
      </c>
      <c r="J54" t="s">
        <v>392</v>
      </c>
    </row>
  </sheetData>
  <phoneticPr fontId="2" type="noConversion"/>
  <conditionalFormatting sqref="B2">
    <cfRule type="expression" dxfId="154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53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P24" sqref="P24"/>
    </sheetView>
  </sheetViews>
  <sheetFormatPr defaultColWidth="9.125" defaultRowHeight="13.5" x14ac:dyDescent="0.15"/>
  <cols>
    <col min="2" max="2" width="24.625" customWidth="1"/>
    <col min="3" max="4" width="10.625" customWidth="1"/>
    <col min="7" max="7" width="1.625" customWidth="1"/>
    <col min="9" max="9" width="10.625" customWidth="1"/>
    <col min="10" max="11" width="12.625" customWidth="1"/>
    <col min="14" max="14" width="1.625" customWidth="1"/>
    <col min="16" max="16" width="10.625" customWidth="1"/>
    <col min="17" max="18" width="12.625" customWidth="1"/>
    <col min="21" max="21" width="1.625" customWidth="1"/>
    <col min="23" max="23" width="1.625" customWidth="1"/>
  </cols>
  <sheetData>
    <row r="1" spans="1:24" x14ac:dyDescent="0.15">
      <c r="A1" s="123" t="s">
        <v>148</v>
      </c>
      <c r="B1" s="115"/>
      <c r="C1" s="115"/>
      <c r="D1" s="115"/>
      <c r="E1" s="115"/>
      <c r="F1" s="115"/>
      <c r="H1" s="112" t="str">
        <f>Summary!C1</f>
        <v>F032_v10.0</v>
      </c>
      <c r="I1" s="115"/>
      <c r="J1" s="115"/>
      <c r="K1" s="115"/>
      <c r="L1" s="115"/>
      <c r="M1" s="115"/>
      <c r="O1" s="151">
        <f>Summary!C2</f>
        <v>0</v>
      </c>
      <c r="P1" s="152"/>
      <c r="Q1" s="152"/>
      <c r="R1" s="152"/>
      <c r="S1" s="152"/>
      <c r="T1" s="152"/>
    </row>
    <row r="2" spans="1:24" ht="30" customHeight="1" thickBot="1" x14ac:dyDescent="0.2">
      <c r="A2" s="124" t="s">
        <v>149</v>
      </c>
      <c r="B2" s="125" t="s">
        <v>150</v>
      </c>
      <c r="C2" s="124" t="s">
        <v>151</v>
      </c>
      <c r="D2" s="125" t="s">
        <v>152</v>
      </c>
      <c r="E2" s="124" t="s">
        <v>153</v>
      </c>
      <c r="F2" s="125" t="s">
        <v>154</v>
      </c>
      <c r="H2" s="124" t="s">
        <v>127</v>
      </c>
      <c r="I2" s="125" t="s">
        <v>131</v>
      </c>
      <c r="J2" s="124" t="s">
        <v>120</v>
      </c>
      <c r="K2" s="87" t="s">
        <v>155</v>
      </c>
      <c r="L2" s="125" t="s">
        <v>122</v>
      </c>
      <c r="M2" s="124" t="s">
        <v>102</v>
      </c>
      <c r="O2" s="125" t="s">
        <v>127</v>
      </c>
      <c r="P2" s="124" t="s">
        <v>131</v>
      </c>
      <c r="Q2" s="125" t="s">
        <v>120</v>
      </c>
      <c r="R2" s="87" t="s">
        <v>155</v>
      </c>
      <c r="S2" s="124" t="s">
        <v>122</v>
      </c>
      <c r="T2" s="125" t="s">
        <v>102</v>
      </c>
      <c r="V2" s="124" t="s">
        <v>156</v>
      </c>
      <c r="X2" s="124" t="s">
        <v>157</v>
      </c>
    </row>
    <row r="3" spans="1:24" ht="15.75" customHeight="1" thickBot="1" x14ac:dyDescent="0.2">
      <c r="A3" s="116"/>
      <c r="B3" s="116"/>
      <c r="C3" s="116"/>
      <c r="D3" s="116"/>
      <c r="E3" s="116"/>
      <c r="F3" s="116"/>
      <c r="H3" s="116"/>
      <c r="I3" s="116"/>
      <c r="J3" s="116"/>
      <c r="K3" s="13" t="s">
        <v>424</v>
      </c>
      <c r="L3" s="116"/>
      <c r="M3" s="116"/>
      <c r="O3" s="116"/>
      <c r="P3" s="116"/>
      <c r="Q3" s="116"/>
      <c r="R3" s="13" t="s">
        <v>424</v>
      </c>
      <c r="S3" s="116"/>
      <c r="T3" s="116"/>
      <c r="V3" s="116"/>
      <c r="X3" s="116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32</v>
      </c>
      <c r="F5" s="19">
        <v>30</v>
      </c>
      <c r="H5" s="20">
        <f t="shared" ref="H5:H13" si="0">IF(OR(ISBLANK(J5),ISBLANK(F5)),"·",J5*F5/E5/1000000)</f>
        <v>852.69064500000002</v>
      </c>
      <c r="I5" s="21">
        <f t="shared" ref="I5:I13" si="1">IF(ISBLANK(J5),"·",J5/C5)</f>
        <v>75.810896991358163</v>
      </c>
      <c r="J5" s="22">
        <v>909536688</v>
      </c>
      <c r="K5" s="22">
        <v>13579056</v>
      </c>
      <c r="L5" s="23"/>
      <c r="M5" s="23"/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32</v>
      </c>
      <c r="F6" s="27">
        <v>30</v>
      </c>
      <c r="H6" s="28">
        <f t="shared" si="0"/>
        <v>630.70012499999996</v>
      </c>
      <c r="I6" s="29">
        <f t="shared" si="1"/>
        <v>74.749644444444442</v>
      </c>
      <c r="J6" s="30">
        <v>672746800</v>
      </c>
      <c r="K6" s="30">
        <v>14378688</v>
      </c>
      <c r="L6" s="31"/>
      <c r="M6" s="31"/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32</v>
      </c>
      <c r="F7" s="19">
        <v>30</v>
      </c>
      <c r="H7" s="20">
        <f t="shared" si="0"/>
        <v>597.33645750000005</v>
      </c>
      <c r="I7" s="21">
        <f t="shared" si="1"/>
        <v>53.804997499578199</v>
      </c>
      <c r="J7" s="22">
        <v>637158888</v>
      </c>
      <c r="K7" s="22">
        <v>16137280</v>
      </c>
      <c r="L7" s="23"/>
      <c r="M7" s="23"/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32</v>
      </c>
      <c r="F8" s="27">
        <v>50</v>
      </c>
      <c r="H8" s="28">
        <f t="shared" si="0"/>
        <v>972.60967500000004</v>
      </c>
      <c r="I8" s="29">
        <f t="shared" si="1"/>
        <v>52.697718354668815</v>
      </c>
      <c r="J8" s="30">
        <v>622470192</v>
      </c>
      <c r="K8" s="30">
        <v>15942112</v>
      </c>
      <c r="L8" s="31"/>
      <c r="M8" s="31"/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32</v>
      </c>
      <c r="F9" s="19">
        <v>30</v>
      </c>
      <c r="H9" s="20">
        <f t="shared" si="0"/>
        <v>2868.3039675</v>
      </c>
      <c r="I9" s="21">
        <f t="shared" si="1"/>
        <v>254.96035266666667</v>
      </c>
      <c r="J9" s="22">
        <v>3059524232</v>
      </c>
      <c r="K9" s="22">
        <v>17820616</v>
      </c>
      <c r="L9" s="23"/>
      <c r="M9" s="23"/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32</v>
      </c>
      <c r="F10" s="35">
        <v>30</v>
      </c>
      <c r="H10" s="36">
        <f t="shared" si="0"/>
        <v>2416.7269575</v>
      </c>
      <c r="I10" s="37">
        <f t="shared" si="1"/>
        <v>429.80840308560647</v>
      </c>
      <c r="J10" s="38">
        <v>2577842088</v>
      </c>
      <c r="K10" s="38">
        <v>25885688</v>
      </c>
      <c r="L10" s="39"/>
      <c r="M10" s="39"/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32</v>
      </c>
      <c r="F11" s="19">
        <v>30</v>
      </c>
      <c r="H11" s="20">
        <f t="shared" si="0"/>
        <v>3549.9062250000002</v>
      </c>
      <c r="I11" s="21">
        <f t="shared" si="1"/>
        <v>420.72962666666666</v>
      </c>
      <c r="J11" s="22">
        <v>3786566640</v>
      </c>
      <c r="K11" s="22">
        <v>14482264</v>
      </c>
      <c r="L11" s="23"/>
      <c r="M11" s="23"/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32</v>
      </c>
      <c r="F12" s="27">
        <v>30</v>
      </c>
      <c r="H12" s="28">
        <f t="shared" si="0"/>
        <v>2569.385025</v>
      </c>
      <c r="I12" s="29">
        <f t="shared" si="1"/>
        <v>304.51970666666665</v>
      </c>
      <c r="J12" s="30">
        <v>2740677360</v>
      </c>
      <c r="K12" s="30">
        <v>13917264</v>
      </c>
      <c r="L12" s="31"/>
      <c r="M12" s="31"/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 x14ac:dyDescent="0.2">
      <c r="A13" s="105" t="s">
        <v>427</v>
      </c>
      <c r="B13" s="105" t="s">
        <v>428</v>
      </c>
      <c r="C13" s="105">
        <v>199984</v>
      </c>
      <c r="D13" s="106">
        <v>10</v>
      </c>
      <c r="E13" s="107">
        <v>1</v>
      </c>
      <c r="F13" s="107">
        <v>30</v>
      </c>
      <c r="H13" s="108">
        <f t="shared" si="0"/>
        <v>946.34015999999997</v>
      </c>
      <c r="I13" s="109">
        <f t="shared" si="1"/>
        <v>157.73597887831028</v>
      </c>
      <c r="J13" s="110">
        <v>31544672</v>
      </c>
      <c r="K13" s="110">
        <v>2158320</v>
      </c>
      <c r="L13" s="111"/>
      <c r="M13" s="111"/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 x14ac:dyDescent="0.15">
      <c r="B14" s="41" t="s">
        <v>7</v>
      </c>
      <c r="I14" s="42">
        <f>AVERAGE(I5:I6)</f>
        <v>75.280270717901303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 x14ac:dyDescent="0.15">
      <c r="B15" s="41" t="s">
        <v>8</v>
      </c>
      <c r="I15" s="42">
        <f>AVERAGE(I7:I8)</f>
        <v>53.251357927123507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 x14ac:dyDescent="0.15">
      <c r="B16" s="41" t="s">
        <v>9</v>
      </c>
      <c r="I16" s="42">
        <f>AVERAGE(I9:I12)</f>
        <v>352.50452227140164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 x14ac:dyDescent="0.15">
      <c r="B17" s="41" t="s">
        <v>429</v>
      </c>
      <c r="I17" s="42">
        <f>AVERAGE(I13)</f>
        <v>157.73597887831028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 x14ac:dyDescent="0.15">
      <c r="B18" s="41" t="s">
        <v>10</v>
      </c>
      <c r="I18" s="42">
        <f>AVERAGE(I5:I13)</f>
        <v>202.75748058377405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 x14ac:dyDescent="0.15">
      <c r="A19" s="41" t="s">
        <v>178</v>
      </c>
      <c r="B19" s="41" t="s">
        <v>179</v>
      </c>
      <c r="L19" s="43">
        <f>SUM(L5:L6,L7:L8,L9:L12)</f>
        <v>0</v>
      </c>
      <c r="M19" s="43">
        <f>SUM(M5:M6,M7:M8,M9:M12)</f>
        <v>0</v>
      </c>
      <c r="S19" s="43">
        <f>SUM(S5:S6,S7:S8,S9:S12)</f>
        <v>0</v>
      </c>
      <c r="T19" s="43">
        <f>SUM(T5:T6,T7:T8,T9:T12)</f>
        <v>0</v>
      </c>
    </row>
    <row r="20" spans="1:24" x14ac:dyDescent="0.15">
      <c r="B20" s="41" t="s">
        <v>180</v>
      </c>
      <c r="S20" s="8" t="e">
        <f>S19/L19</f>
        <v>#DIV/0!</v>
      </c>
      <c r="T20" s="8" t="e">
        <f>T19/M19</f>
        <v>#DIV/0!</v>
      </c>
    </row>
    <row r="22" spans="1:24" x14ac:dyDescent="0.15">
      <c r="Q22" s="98">
        <f>Q5-J5</f>
        <v>-909536688</v>
      </c>
      <c r="R22" s="98">
        <f>R5-K5</f>
        <v>-13579056</v>
      </c>
    </row>
    <row r="23" spans="1:24" x14ac:dyDescent="0.15">
      <c r="Q23" s="98">
        <f t="shared" ref="Q23:R23" si="6">Q6-J6</f>
        <v>-672746800</v>
      </c>
      <c r="R23" s="98">
        <f t="shared" si="6"/>
        <v>-14378688</v>
      </c>
    </row>
    <row r="24" spans="1:24" x14ac:dyDescent="0.15">
      <c r="Q24" s="98">
        <f t="shared" ref="Q24:R24" si="7">Q7-J7</f>
        <v>-637158888</v>
      </c>
      <c r="R24" s="98">
        <f t="shared" si="7"/>
        <v>-16137280</v>
      </c>
    </row>
    <row r="25" spans="1:24" x14ac:dyDescent="0.15">
      <c r="Q25" s="98">
        <f t="shared" ref="Q25:R25" si="8">Q8-J8</f>
        <v>-622470192</v>
      </c>
      <c r="R25" s="98">
        <f t="shared" si="8"/>
        <v>-15942112</v>
      </c>
    </row>
    <row r="26" spans="1:24" x14ac:dyDescent="0.15">
      <c r="Q26" s="98">
        <f t="shared" ref="Q26:R26" si="9">Q9-J9</f>
        <v>-3059524232</v>
      </c>
      <c r="R26" s="98">
        <f t="shared" si="9"/>
        <v>-17820616</v>
      </c>
    </row>
    <row r="27" spans="1:24" x14ac:dyDescent="0.15">
      <c r="Q27" s="98">
        <f t="shared" ref="Q27:R27" si="10">Q10-J10</f>
        <v>-2577842088</v>
      </c>
      <c r="R27" s="98">
        <f t="shared" si="10"/>
        <v>-25885688</v>
      </c>
    </row>
    <row r="28" spans="1:24" x14ac:dyDescent="0.15">
      <c r="Q28" s="98">
        <f t="shared" ref="Q28:R28" si="11">Q11-J11</f>
        <v>-3786566640</v>
      </c>
      <c r="R28" s="98">
        <f t="shared" si="11"/>
        <v>-14482264</v>
      </c>
    </row>
    <row r="29" spans="1:24" x14ac:dyDescent="0.15">
      <c r="Q29" s="98">
        <f t="shared" ref="Q29:R29" si="12">Q12-J12</f>
        <v>-2740677360</v>
      </c>
      <c r="R29" s="98">
        <f t="shared" si="12"/>
        <v>-13917264</v>
      </c>
    </row>
    <row r="30" spans="1:24" x14ac:dyDescent="0.15">
      <c r="Q30" s="98"/>
      <c r="R30" s="98"/>
    </row>
  </sheetData>
  <mergeCells count="21">
    <mergeCell ref="D2:D3"/>
    <mergeCell ref="E2:E3"/>
    <mergeCell ref="T2:T3"/>
    <mergeCell ref="X2:X3"/>
    <mergeCell ref="V2:V3"/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</mergeCells>
  <phoneticPr fontId="2" type="noConversion"/>
  <conditionalFormatting sqref="V5:V18">
    <cfRule type="cellIs" dxfId="152" priority="5" operator="greaterThanOrEqual">
      <formula>1.03</formula>
    </cfRule>
    <cfRule type="cellIs" dxfId="151" priority="6" operator="lessThanOrEqual">
      <formula>0.97</formula>
    </cfRule>
  </conditionalFormatting>
  <conditionalFormatting sqref="X5:X13">
    <cfRule type="cellIs" dxfId="150" priority="3" operator="greaterThanOrEqual">
      <formula>0.1%</formula>
    </cfRule>
    <cfRule type="cellIs" dxfId="149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62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432</v>
      </c>
      <c r="B28" s="97" t="s">
        <v>433</v>
      </c>
    </row>
    <row r="29" spans="1:2" x14ac:dyDescent="0.15">
      <c r="A29" t="s">
        <v>218</v>
      </c>
      <c r="B29">
        <v>1</v>
      </c>
    </row>
    <row r="30" spans="1:2" x14ac:dyDescent="0.15">
      <c r="A30" t="s">
        <v>219</v>
      </c>
      <c r="B30">
        <v>2</v>
      </c>
    </row>
    <row r="31" spans="1:2" x14ac:dyDescent="0.15">
      <c r="A31" t="s">
        <v>220</v>
      </c>
      <c r="B31">
        <v>3</v>
      </c>
    </row>
    <row r="32" spans="1:2" x14ac:dyDescent="0.15">
      <c r="A32" t="s">
        <v>221</v>
      </c>
      <c r="B32">
        <v>4</v>
      </c>
    </row>
    <row r="33" spans="1:2" x14ac:dyDescent="0.15">
      <c r="A33" t="s">
        <v>222</v>
      </c>
      <c r="B33">
        <v>5</v>
      </c>
    </row>
    <row r="34" spans="1:2" x14ac:dyDescent="0.15">
      <c r="A34" t="s">
        <v>223</v>
      </c>
      <c r="B34">
        <v>6</v>
      </c>
    </row>
    <row r="35" spans="1:2" x14ac:dyDescent="0.15">
      <c r="A35" t="s">
        <v>224</v>
      </c>
      <c r="B35">
        <v>7</v>
      </c>
    </row>
    <row r="36" spans="1:2" x14ac:dyDescent="0.15">
      <c r="A36" t="s">
        <v>225</v>
      </c>
      <c r="B36">
        <v>8</v>
      </c>
    </row>
    <row r="37" spans="1:2" x14ac:dyDescent="0.15">
      <c r="A37" t="s">
        <v>226</v>
      </c>
      <c r="B37">
        <v>10</v>
      </c>
    </row>
    <row r="38" spans="1:2" x14ac:dyDescent="0.15">
      <c r="A38" t="s">
        <v>227</v>
      </c>
      <c r="B38">
        <v>11</v>
      </c>
    </row>
    <row r="39" spans="1:2" x14ac:dyDescent="0.15">
      <c r="A39" t="s">
        <v>408</v>
      </c>
      <c r="B39">
        <v>13</v>
      </c>
    </row>
    <row r="40" spans="1:2" x14ac:dyDescent="0.15">
      <c r="A40" t="s">
        <v>228</v>
      </c>
      <c r="B40">
        <v>14</v>
      </c>
    </row>
    <row r="41" spans="1:2" x14ac:dyDescent="0.15">
      <c r="A41" t="s">
        <v>229</v>
      </c>
      <c r="B41">
        <v>15</v>
      </c>
    </row>
    <row r="42" spans="1:2" x14ac:dyDescent="0.15">
      <c r="A42" t="s">
        <v>407</v>
      </c>
      <c r="B42">
        <v>16</v>
      </c>
    </row>
    <row r="43" spans="1:2" x14ac:dyDescent="0.15">
      <c r="A43" t="s">
        <v>406</v>
      </c>
      <c r="B43">
        <v>17</v>
      </c>
    </row>
    <row r="44" spans="1:2" x14ac:dyDescent="0.15">
      <c r="A44" t="s">
        <v>230</v>
      </c>
      <c r="B44">
        <v>18</v>
      </c>
    </row>
    <row r="45" spans="1:2" x14ac:dyDescent="0.15">
      <c r="A45" t="s">
        <v>231</v>
      </c>
      <c r="B45">
        <v>19</v>
      </c>
    </row>
    <row r="46" spans="1:2" x14ac:dyDescent="0.15">
      <c r="A46" t="s">
        <v>373</v>
      </c>
      <c r="B46">
        <v>20</v>
      </c>
    </row>
    <row r="47" spans="1:2" x14ac:dyDescent="0.15">
      <c r="A47" t="s">
        <v>232</v>
      </c>
      <c r="B47">
        <v>21</v>
      </c>
    </row>
    <row r="48" spans="1:2" x14ac:dyDescent="0.15">
      <c r="A48" t="s">
        <v>233</v>
      </c>
      <c r="B48">
        <v>22</v>
      </c>
    </row>
    <row r="49" spans="1:2" x14ac:dyDescent="0.15">
      <c r="A49" t="s">
        <v>234</v>
      </c>
      <c r="B49">
        <v>23</v>
      </c>
    </row>
    <row r="50" spans="1:2" x14ac:dyDescent="0.15">
      <c r="A50" t="s">
        <v>235</v>
      </c>
      <c r="B50">
        <v>24</v>
      </c>
    </row>
    <row r="51" spans="1:2" x14ac:dyDescent="0.15">
      <c r="A51" t="s">
        <v>236</v>
      </c>
      <c r="B51">
        <v>25</v>
      </c>
    </row>
    <row r="52" spans="1:2" x14ac:dyDescent="0.15">
      <c r="A52" t="s">
        <v>237</v>
      </c>
      <c r="B52">
        <v>26</v>
      </c>
    </row>
    <row r="53" spans="1:2" x14ac:dyDescent="0.15">
      <c r="A53" t="s">
        <v>238</v>
      </c>
      <c r="B53">
        <v>27</v>
      </c>
    </row>
    <row r="54" spans="1:2" x14ac:dyDescent="0.15">
      <c r="A54" t="s">
        <v>239</v>
      </c>
      <c r="B54">
        <v>28</v>
      </c>
    </row>
    <row r="55" spans="1:2" x14ac:dyDescent="0.15">
      <c r="A55" t="s">
        <v>240</v>
      </c>
      <c r="B55">
        <v>29</v>
      </c>
    </row>
    <row r="56" spans="1:2" x14ac:dyDescent="0.15">
      <c r="A56" t="s">
        <v>241</v>
      </c>
      <c r="B56">
        <v>31</v>
      </c>
    </row>
    <row r="57" spans="1:2" x14ac:dyDescent="0.15">
      <c r="A57" t="s">
        <v>242</v>
      </c>
      <c r="B57">
        <v>32</v>
      </c>
    </row>
    <row r="58" spans="1:2" x14ac:dyDescent="0.15">
      <c r="A58" t="s">
        <v>402</v>
      </c>
      <c r="B58">
        <v>34</v>
      </c>
    </row>
    <row r="59" spans="1:2" x14ac:dyDescent="0.15">
      <c r="A59" t="s">
        <v>243</v>
      </c>
      <c r="B59">
        <v>35</v>
      </c>
    </row>
    <row r="60" spans="1:2" x14ac:dyDescent="0.15">
      <c r="A60" t="s">
        <v>244</v>
      </c>
      <c r="B60">
        <v>36</v>
      </c>
    </row>
    <row r="61" spans="1:2" x14ac:dyDescent="0.15">
      <c r="A61" t="s">
        <v>403</v>
      </c>
      <c r="B61">
        <v>37</v>
      </c>
    </row>
    <row r="62" spans="1:2" x14ac:dyDescent="0.15">
      <c r="A62" t="s">
        <v>404</v>
      </c>
      <c r="B62">
        <v>38</v>
      </c>
    </row>
    <row r="63" spans="1:2" x14ac:dyDescent="0.15">
      <c r="A63" t="s">
        <v>245</v>
      </c>
      <c r="B63">
        <v>39</v>
      </c>
    </row>
    <row r="64" spans="1:2" x14ac:dyDescent="0.15">
      <c r="A64" t="s">
        <v>246</v>
      </c>
      <c r="B64">
        <v>40</v>
      </c>
    </row>
    <row r="65" spans="1:2" x14ac:dyDescent="0.15">
      <c r="A65" t="s">
        <v>405</v>
      </c>
      <c r="B65">
        <v>41</v>
      </c>
    </row>
    <row r="66" spans="1:2" x14ac:dyDescent="0.15">
      <c r="A66" t="s">
        <v>247</v>
      </c>
      <c r="B66">
        <v>42</v>
      </c>
    </row>
    <row r="67" spans="1:2" x14ac:dyDescent="0.15">
      <c r="A67" t="s">
        <v>248</v>
      </c>
      <c r="B67">
        <v>43</v>
      </c>
    </row>
    <row r="68" spans="1:2" x14ac:dyDescent="0.15">
      <c r="A68" t="s">
        <v>249</v>
      </c>
      <c r="B68">
        <v>44</v>
      </c>
    </row>
    <row r="69" spans="1:2" x14ac:dyDescent="0.15">
      <c r="A69" t="s">
        <v>250</v>
      </c>
      <c r="B69">
        <v>45</v>
      </c>
    </row>
    <row r="70" spans="1:2" x14ac:dyDescent="0.15">
      <c r="A70" t="s">
        <v>251</v>
      </c>
      <c r="B70">
        <v>46</v>
      </c>
    </row>
    <row r="71" spans="1:2" x14ac:dyDescent="0.15">
      <c r="A71" t="s">
        <v>252</v>
      </c>
      <c r="B71">
        <v>47</v>
      </c>
    </row>
    <row r="72" spans="1:2" x14ac:dyDescent="0.15">
      <c r="A72" t="s">
        <v>253</v>
      </c>
      <c r="B72">
        <v>48</v>
      </c>
    </row>
    <row r="73" spans="1:2" x14ac:dyDescent="0.15">
      <c r="A73" t="s">
        <v>254</v>
      </c>
      <c r="B73">
        <v>49</v>
      </c>
    </row>
    <row r="74" spans="1:2" x14ac:dyDescent="0.15">
      <c r="A74" t="s">
        <v>255</v>
      </c>
      <c r="B74">
        <v>50</v>
      </c>
    </row>
    <row r="75" spans="1:2" x14ac:dyDescent="0.15">
      <c r="A75" t="s">
        <v>256</v>
      </c>
      <c r="B75">
        <v>52</v>
      </c>
    </row>
    <row r="76" spans="1:2" x14ac:dyDescent="0.15">
      <c r="A76" t="s">
        <v>257</v>
      </c>
      <c r="B76">
        <v>53</v>
      </c>
    </row>
    <row r="77" spans="1:2" x14ac:dyDescent="0.15">
      <c r="A77" t="s">
        <v>258</v>
      </c>
      <c r="B77">
        <v>54</v>
      </c>
    </row>
    <row r="78" spans="1:2" x14ac:dyDescent="0.15">
      <c r="A78" t="s">
        <v>259</v>
      </c>
      <c r="B78">
        <v>55</v>
      </c>
    </row>
    <row r="79" spans="1:2" x14ac:dyDescent="0.15">
      <c r="A79" t="s">
        <v>260</v>
      </c>
      <c r="B79">
        <v>56</v>
      </c>
    </row>
    <row r="80" spans="1:2" x14ac:dyDescent="0.15">
      <c r="A80" t="s">
        <v>261</v>
      </c>
      <c r="B80">
        <v>57</v>
      </c>
    </row>
    <row r="81" spans="1:19" x14ac:dyDescent="0.15">
      <c r="A81" t="s">
        <v>262</v>
      </c>
      <c r="B81">
        <v>58</v>
      </c>
    </row>
    <row r="82" spans="1:19" x14ac:dyDescent="0.15">
      <c r="A82" t="s">
        <v>263</v>
      </c>
      <c r="B82" t="s">
        <v>264</v>
      </c>
    </row>
    <row r="83" spans="1:19" x14ac:dyDescent="0.15">
      <c r="A83" t="s">
        <v>265</v>
      </c>
      <c r="B83" s="97" t="s">
        <v>425</v>
      </c>
    </row>
    <row r="84" spans="1:19" x14ac:dyDescent="0.15">
      <c r="A84" t="s">
        <v>266</v>
      </c>
      <c r="B84" s="97" t="s">
        <v>382</v>
      </c>
    </row>
    <row r="85" spans="1:19" x14ac:dyDescent="0.15">
      <c r="A85" t="s">
        <v>267</v>
      </c>
      <c r="B85" s="97" t="s">
        <v>383</v>
      </c>
    </row>
    <row r="86" spans="1:19" x14ac:dyDescent="0.15">
      <c r="A86" t="s">
        <v>268</v>
      </c>
      <c r="B86" s="97" t="s">
        <v>384</v>
      </c>
    </row>
    <row r="87" spans="1:19" x14ac:dyDescent="0.15">
      <c r="A87" t="s">
        <v>269</v>
      </c>
      <c r="B87" s="97" t="s">
        <v>385</v>
      </c>
    </row>
    <row r="88" spans="1:19" x14ac:dyDescent="0.15">
      <c r="A88" t="s">
        <v>270</v>
      </c>
      <c r="B88" s="97" t="s">
        <v>386</v>
      </c>
    </row>
    <row r="89" spans="1:19" x14ac:dyDescent="0.15">
      <c r="A89" t="s">
        <v>271</v>
      </c>
      <c r="B89" s="97" t="s">
        <v>372</v>
      </c>
    </row>
    <row r="90" spans="1:19" x14ac:dyDescent="0.15">
      <c r="A90" t="s">
        <v>272</v>
      </c>
      <c r="B90" s="97" t="s">
        <v>387</v>
      </c>
    </row>
    <row r="91" spans="1:19" x14ac:dyDescent="0.15">
      <c r="A91" t="s">
        <v>273</v>
      </c>
      <c r="B91" s="97" t="s">
        <v>388</v>
      </c>
    </row>
    <row r="92" spans="1:19" x14ac:dyDescent="0.15">
      <c r="A92" t="s">
        <v>430</v>
      </c>
      <c r="B92" s="97" t="s">
        <v>431</v>
      </c>
    </row>
    <row r="93" spans="1:19" x14ac:dyDescent="0.15">
      <c r="A93" t="s">
        <v>274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393</v>
      </c>
      <c r="Q93" t="s">
        <v>394</v>
      </c>
      <c r="R93" t="s">
        <v>371</v>
      </c>
      <c r="S93" t="s">
        <v>395</v>
      </c>
    </row>
    <row r="94" spans="1:19" x14ac:dyDescent="0.15">
      <c r="A94" t="s">
        <v>275</v>
      </c>
      <c r="B94">
        <v>1</v>
      </c>
    </row>
    <row r="95" spans="1:19" x14ac:dyDescent="0.15">
      <c r="A95" t="s">
        <v>276</v>
      </c>
      <c r="B95">
        <v>2</v>
      </c>
    </row>
    <row r="96" spans="1:19" x14ac:dyDescent="0.15">
      <c r="A96" t="s">
        <v>277</v>
      </c>
      <c r="B96">
        <v>3</v>
      </c>
    </row>
    <row r="97" spans="1:2" x14ac:dyDescent="0.15">
      <c r="A97" t="s">
        <v>278</v>
      </c>
      <c r="B97">
        <v>4</v>
      </c>
    </row>
    <row r="98" spans="1:2" x14ac:dyDescent="0.15">
      <c r="A98" t="s">
        <v>279</v>
      </c>
      <c r="B98">
        <v>5</v>
      </c>
    </row>
    <row r="99" spans="1:2" x14ac:dyDescent="0.15">
      <c r="A99" t="s">
        <v>280</v>
      </c>
      <c r="B99">
        <v>6</v>
      </c>
    </row>
    <row r="100" spans="1:2" x14ac:dyDescent="0.15">
      <c r="A100" t="s">
        <v>281</v>
      </c>
      <c r="B100">
        <v>7</v>
      </c>
    </row>
    <row r="101" spans="1:2" x14ac:dyDescent="0.15">
      <c r="A101" t="s">
        <v>282</v>
      </c>
      <c r="B101">
        <v>8</v>
      </c>
    </row>
    <row r="102" spans="1:2" x14ac:dyDescent="0.15">
      <c r="A102" t="s">
        <v>283</v>
      </c>
      <c r="B102">
        <v>10</v>
      </c>
    </row>
    <row r="103" spans="1:2" x14ac:dyDescent="0.15">
      <c r="A103" t="s">
        <v>284</v>
      </c>
      <c r="B103">
        <v>11</v>
      </c>
    </row>
    <row r="104" spans="1:2" x14ac:dyDescent="0.15">
      <c r="A104" t="s">
        <v>396</v>
      </c>
      <c r="B104">
        <v>13</v>
      </c>
    </row>
    <row r="105" spans="1:2" x14ac:dyDescent="0.15">
      <c r="A105" t="s">
        <v>285</v>
      </c>
      <c r="B105">
        <v>14</v>
      </c>
    </row>
    <row r="106" spans="1:2" x14ac:dyDescent="0.15">
      <c r="A106" t="s">
        <v>286</v>
      </c>
      <c r="B106">
        <v>15</v>
      </c>
    </row>
    <row r="107" spans="1:2" x14ac:dyDescent="0.15">
      <c r="A107" t="s">
        <v>397</v>
      </c>
      <c r="B107">
        <v>16</v>
      </c>
    </row>
    <row r="108" spans="1:2" x14ac:dyDescent="0.15">
      <c r="A108" t="s">
        <v>398</v>
      </c>
      <c r="B108">
        <v>17</v>
      </c>
    </row>
    <row r="109" spans="1:2" x14ac:dyDescent="0.15">
      <c r="A109" t="s">
        <v>287</v>
      </c>
      <c r="B109">
        <v>18</v>
      </c>
    </row>
    <row r="110" spans="1:2" x14ac:dyDescent="0.15">
      <c r="A110" t="s">
        <v>288</v>
      </c>
      <c r="B110">
        <v>19</v>
      </c>
    </row>
    <row r="111" spans="1:2" x14ac:dyDescent="0.15">
      <c r="A111" t="s">
        <v>369</v>
      </c>
      <c r="B111">
        <v>20</v>
      </c>
    </row>
    <row r="112" spans="1:2" x14ac:dyDescent="0.15">
      <c r="A112" t="s">
        <v>289</v>
      </c>
      <c r="B112">
        <v>21</v>
      </c>
    </row>
    <row r="113" spans="1:2" x14ac:dyDescent="0.15">
      <c r="A113" t="s">
        <v>290</v>
      </c>
      <c r="B113">
        <v>22</v>
      </c>
    </row>
    <row r="114" spans="1:2" x14ac:dyDescent="0.15">
      <c r="A114" t="s">
        <v>291</v>
      </c>
      <c r="B114">
        <v>23</v>
      </c>
    </row>
    <row r="115" spans="1:2" x14ac:dyDescent="0.15">
      <c r="A115" t="s">
        <v>292</v>
      </c>
      <c r="B115">
        <v>24</v>
      </c>
    </row>
    <row r="116" spans="1:2" x14ac:dyDescent="0.15">
      <c r="A116" t="s">
        <v>293</v>
      </c>
      <c r="B116">
        <v>25</v>
      </c>
    </row>
    <row r="117" spans="1:2" x14ac:dyDescent="0.15">
      <c r="A117" t="s">
        <v>294</v>
      </c>
      <c r="B117">
        <v>26</v>
      </c>
    </row>
    <row r="118" spans="1:2" x14ac:dyDescent="0.15">
      <c r="A118" t="s">
        <v>295</v>
      </c>
      <c r="B118">
        <v>27</v>
      </c>
    </row>
    <row r="119" spans="1:2" x14ac:dyDescent="0.15">
      <c r="A119" t="s">
        <v>296</v>
      </c>
      <c r="B119">
        <v>28</v>
      </c>
    </row>
    <row r="120" spans="1:2" x14ac:dyDescent="0.15">
      <c r="A120" t="s">
        <v>297</v>
      </c>
      <c r="B120">
        <v>29</v>
      </c>
    </row>
    <row r="121" spans="1:2" x14ac:dyDescent="0.15">
      <c r="A121" t="s">
        <v>298</v>
      </c>
      <c r="B121">
        <v>31</v>
      </c>
    </row>
    <row r="122" spans="1:2" x14ac:dyDescent="0.15">
      <c r="A122" t="s">
        <v>299</v>
      </c>
      <c r="B122">
        <v>32</v>
      </c>
    </row>
    <row r="123" spans="1:2" x14ac:dyDescent="0.15">
      <c r="A123" t="s">
        <v>399</v>
      </c>
      <c r="B123">
        <v>34</v>
      </c>
    </row>
    <row r="124" spans="1:2" x14ac:dyDescent="0.15">
      <c r="A124" t="s">
        <v>300</v>
      </c>
      <c r="B124">
        <v>35</v>
      </c>
    </row>
    <row r="125" spans="1:2" x14ac:dyDescent="0.15">
      <c r="A125" t="s">
        <v>301</v>
      </c>
      <c r="B125">
        <v>36</v>
      </c>
    </row>
    <row r="126" spans="1:2" x14ac:dyDescent="0.15">
      <c r="A126" t="s">
        <v>400</v>
      </c>
      <c r="B126">
        <v>37</v>
      </c>
    </row>
    <row r="127" spans="1:2" x14ac:dyDescent="0.15">
      <c r="A127" t="s">
        <v>401</v>
      </c>
      <c r="B127">
        <v>38</v>
      </c>
    </row>
    <row r="128" spans="1:2" x14ac:dyDescent="0.15">
      <c r="A128" t="s">
        <v>302</v>
      </c>
      <c r="B128">
        <v>39</v>
      </c>
    </row>
    <row r="129" spans="1:2" x14ac:dyDescent="0.15">
      <c r="A129" t="s">
        <v>303</v>
      </c>
      <c r="B129">
        <v>40</v>
      </c>
    </row>
    <row r="130" spans="1:2" x14ac:dyDescent="0.15">
      <c r="A130" t="s">
        <v>370</v>
      </c>
      <c r="B130">
        <v>41</v>
      </c>
    </row>
    <row r="131" spans="1:2" x14ac:dyDescent="0.15">
      <c r="A131" t="s">
        <v>304</v>
      </c>
      <c r="B131">
        <v>42</v>
      </c>
    </row>
    <row r="132" spans="1:2" x14ac:dyDescent="0.15">
      <c r="A132" t="s">
        <v>305</v>
      </c>
      <c r="B132">
        <v>43</v>
      </c>
    </row>
    <row r="133" spans="1:2" x14ac:dyDescent="0.15">
      <c r="A133" t="s">
        <v>306</v>
      </c>
      <c r="B133">
        <v>44</v>
      </c>
    </row>
    <row r="134" spans="1:2" x14ac:dyDescent="0.15">
      <c r="A134" t="s">
        <v>307</v>
      </c>
      <c r="B134">
        <v>45</v>
      </c>
    </row>
    <row r="135" spans="1:2" x14ac:dyDescent="0.15">
      <c r="A135" t="s">
        <v>308</v>
      </c>
      <c r="B135">
        <v>46</v>
      </c>
    </row>
    <row r="136" spans="1:2" x14ac:dyDescent="0.15">
      <c r="A136" t="s">
        <v>309</v>
      </c>
      <c r="B136">
        <v>47</v>
      </c>
    </row>
    <row r="137" spans="1:2" x14ac:dyDescent="0.15">
      <c r="A137" t="s">
        <v>310</v>
      </c>
      <c r="B137">
        <v>48</v>
      </c>
    </row>
    <row r="138" spans="1:2" x14ac:dyDescent="0.15">
      <c r="A138" t="s">
        <v>311</v>
      </c>
      <c r="B138">
        <v>49</v>
      </c>
    </row>
    <row r="139" spans="1:2" x14ac:dyDescent="0.15">
      <c r="A139" t="s">
        <v>312</v>
      </c>
      <c r="B139">
        <v>50</v>
      </c>
    </row>
    <row r="140" spans="1:2" x14ac:dyDescent="0.15">
      <c r="A140" t="s">
        <v>313</v>
      </c>
      <c r="B140">
        <v>52</v>
      </c>
    </row>
    <row r="141" spans="1:2" x14ac:dyDescent="0.15">
      <c r="A141" t="s">
        <v>314</v>
      </c>
      <c r="B141">
        <v>53</v>
      </c>
    </row>
    <row r="142" spans="1:2" x14ac:dyDescent="0.15">
      <c r="A142" t="s">
        <v>315</v>
      </c>
      <c r="B142">
        <v>54</v>
      </c>
    </row>
    <row r="143" spans="1:2" x14ac:dyDescent="0.15">
      <c r="A143" t="s">
        <v>316</v>
      </c>
      <c r="B143">
        <v>55</v>
      </c>
    </row>
    <row r="144" spans="1:2" x14ac:dyDescent="0.15">
      <c r="A144" t="s">
        <v>317</v>
      </c>
      <c r="B144">
        <v>56</v>
      </c>
    </row>
    <row r="145" spans="1:19" x14ac:dyDescent="0.15">
      <c r="A145" t="s">
        <v>318</v>
      </c>
      <c r="B145">
        <v>57</v>
      </c>
    </row>
    <row r="146" spans="1:19" x14ac:dyDescent="0.15">
      <c r="A146" t="s">
        <v>319</v>
      </c>
      <c r="B146">
        <v>58</v>
      </c>
    </row>
    <row r="147" spans="1:19" x14ac:dyDescent="0.15">
      <c r="A147" t="s">
        <v>320</v>
      </c>
      <c r="B147" t="s">
        <v>321</v>
      </c>
    </row>
    <row r="148" spans="1:19" x14ac:dyDescent="0.15">
      <c r="A148" t="s">
        <v>322</v>
      </c>
      <c r="B148" s="97" t="s">
        <v>426</v>
      </c>
    </row>
    <row r="149" spans="1:19" x14ac:dyDescent="0.15">
      <c r="A149" t="s">
        <v>323</v>
      </c>
      <c r="B149" s="97" t="s">
        <v>374</v>
      </c>
    </row>
    <row r="150" spans="1:19" x14ac:dyDescent="0.15">
      <c r="A150" t="s">
        <v>324</v>
      </c>
      <c r="B150" s="97" t="s">
        <v>375</v>
      </c>
    </row>
    <row r="151" spans="1:19" x14ac:dyDescent="0.15">
      <c r="A151" t="s">
        <v>325</v>
      </c>
      <c r="B151" s="97" t="s">
        <v>376</v>
      </c>
    </row>
    <row r="152" spans="1:19" x14ac:dyDescent="0.15">
      <c r="A152" t="s">
        <v>326</v>
      </c>
      <c r="B152" s="97" t="s">
        <v>377</v>
      </c>
    </row>
    <row r="153" spans="1:19" x14ac:dyDescent="0.15">
      <c r="A153" t="s">
        <v>327</v>
      </c>
      <c r="B153" s="97" t="s">
        <v>378</v>
      </c>
    </row>
    <row r="154" spans="1:19" x14ac:dyDescent="0.15">
      <c r="A154" t="s">
        <v>328</v>
      </c>
      <c r="B154" s="97" t="s">
        <v>379</v>
      </c>
    </row>
    <row r="155" spans="1:19" x14ac:dyDescent="0.15">
      <c r="A155" t="s">
        <v>329</v>
      </c>
      <c r="B155" s="97" t="s">
        <v>380</v>
      </c>
    </row>
    <row r="156" spans="1:19" x14ac:dyDescent="0.15">
      <c r="A156" t="s">
        <v>330</v>
      </c>
      <c r="B156" s="97" t="s">
        <v>381</v>
      </c>
    </row>
    <row r="157" spans="1:19" x14ac:dyDescent="0.15">
      <c r="A157" t="s">
        <v>434</v>
      </c>
      <c r="B157" s="97" t="s">
        <v>435</v>
      </c>
    </row>
    <row r="158" spans="1:19" x14ac:dyDescent="0.15">
      <c r="A158" t="s">
        <v>331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393</v>
      </c>
      <c r="Q158" t="s">
        <v>394</v>
      </c>
      <c r="R158" t="s">
        <v>371</v>
      </c>
      <c r="S158" t="s">
        <v>395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Q37" sqref="Q37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3" t="s">
        <v>332</v>
      </c>
      <c r="B1" s="115"/>
      <c r="C1" s="115"/>
      <c r="D1" s="115"/>
      <c r="E1" s="115"/>
      <c r="F1" s="115"/>
      <c r="G1" s="115"/>
      <c r="H1" s="115"/>
      <c r="J1" s="112" t="s">
        <v>438</v>
      </c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3">
        <f>Summary!C2</f>
        <v>0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</row>
    <row r="2" spans="1:72" ht="33" customHeight="1" thickBot="1" x14ac:dyDescent="0.2">
      <c r="A2" s="124" t="s">
        <v>149</v>
      </c>
      <c r="B2" s="125" t="s">
        <v>150</v>
      </c>
      <c r="C2" s="124" t="s">
        <v>333</v>
      </c>
      <c r="D2" s="125" t="s">
        <v>151</v>
      </c>
      <c r="E2" s="124" t="s">
        <v>152</v>
      </c>
      <c r="F2" s="125" t="s">
        <v>153</v>
      </c>
      <c r="G2" s="124" t="s">
        <v>154</v>
      </c>
      <c r="H2" s="125" t="s">
        <v>334</v>
      </c>
      <c r="J2" s="124" t="s">
        <v>127</v>
      </c>
      <c r="K2" s="125" t="s">
        <v>131</v>
      </c>
      <c r="L2" s="126" t="s">
        <v>120</v>
      </c>
      <c r="M2" s="125" t="s">
        <v>368</v>
      </c>
      <c r="N2" s="124" t="s">
        <v>81</v>
      </c>
      <c r="O2" s="128" t="s">
        <v>120</v>
      </c>
      <c r="P2" s="128" t="s">
        <v>419</v>
      </c>
      <c r="Q2" s="128" t="s">
        <v>420</v>
      </c>
      <c r="R2" s="128" t="s">
        <v>421</v>
      </c>
      <c r="S2" s="128" t="s">
        <v>422</v>
      </c>
      <c r="T2" s="128" t="s">
        <v>423</v>
      </c>
      <c r="U2" s="129" t="s">
        <v>335</v>
      </c>
      <c r="V2" s="115"/>
      <c r="W2" s="115"/>
      <c r="X2" s="115"/>
      <c r="Y2" s="115"/>
      <c r="Z2" s="128" t="s">
        <v>336</v>
      </c>
      <c r="AA2" s="115"/>
      <c r="AB2" s="124" t="s">
        <v>122</v>
      </c>
      <c r="AC2" s="125" t="s">
        <v>102</v>
      </c>
      <c r="AE2" s="124" t="s">
        <v>127</v>
      </c>
      <c r="AF2" s="125" t="s">
        <v>131</v>
      </c>
      <c r="AG2" s="126" t="s">
        <v>120</v>
      </c>
      <c r="AH2" s="125" t="s">
        <v>368</v>
      </c>
      <c r="AI2" s="124" t="s">
        <v>81</v>
      </c>
      <c r="AJ2" s="125" t="s">
        <v>120</v>
      </c>
      <c r="AK2" s="128" t="s">
        <v>419</v>
      </c>
      <c r="AL2" s="128" t="s">
        <v>420</v>
      </c>
      <c r="AM2" s="128" t="s">
        <v>421</v>
      </c>
      <c r="AN2" s="128" t="s">
        <v>422</v>
      </c>
      <c r="AO2" s="128" t="s">
        <v>423</v>
      </c>
      <c r="AP2" s="129" t="s">
        <v>335</v>
      </c>
      <c r="AQ2" s="115"/>
      <c r="AR2" s="115"/>
      <c r="AS2" s="115"/>
      <c r="AT2" s="115"/>
      <c r="AU2" s="128" t="s">
        <v>336</v>
      </c>
      <c r="AV2" s="115"/>
      <c r="AW2" s="124" t="s">
        <v>122</v>
      </c>
      <c r="AX2" s="125" t="s">
        <v>102</v>
      </c>
      <c r="AZ2" s="129" t="s">
        <v>15</v>
      </c>
      <c r="BA2" s="115"/>
      <c r="BB2" s="115"/>
      <c r="BC2" s="115"/>
      <c r="BD2" s="115"/>
      <c r="BE2" s="128" t="s">
        <v>16</v>
      </c>
      <c r="BF2" s="115"/>
      <c r="BH2" s="129" t="s">
        <v>409</v>
      </c>
      <c r="BI2" s="129"/>
      <c r="BJ2" s="130" t="s">
        <v>410</v>
      </c>
      <c r="BK2" s="130"/>
      <c r="BL2" s="130"/>
      <c r="BM2" s="124" t="s">
        <v>413</v>
      </c>
      <c r="BN2" s="125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27"/>
      <c r="M3" s="116"/>
      <c r="N3" s="116"/>
      <c r="O3" s="125"/>
      <c r="P3" s="125"/>
      <c r="Q3" s="125"/>
      <c r="R3" s="125"/>
      <c r="S3" s="125"/>
      <c r="T3" s="125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6"/>
      <c r="AC3" s="116"/>
      <c r="AE3" s="116"/>
      <c r="AF3" s="116"/>
      <c r="AG3" s="127"/>
      <c r="AH3" s="116"/>
      <c r="AI3" s="116"/>
      <c r="AJ3" s="116"/>
      <c r="AK3" s="125"/>
      <c r="AL3" s="125"/>
      <c r="AM3" s="125"/>
      <c r="AN3" s="125"/>
      <c r="AO3" s="125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6"/>
      <c r="AX3" s="116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5"/>
      <c r="BP3" s="116"/>
      <c r="BQ3" s="116"/>
      <c r="BR3" s="116"/>
      <c r="BS3" s="116"/>
      <c r="BT3" s="116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4.9795049999999996</v>
      </c>
      <c r="K5" s="21">
        <f t="shared" ref="K5:K44" si="1">IF(ISBLANK(O5),"·",O5/D5)</f>
        <v>0.44271711298410327</v>
      </c>
      <c r="L5" s="19">
        <f t="shared" ref="L5:L44" si="2">IF(OR(ISBLANK(M5),ISBLANK(S5),ISBLANK(T5)),".",M5+S5+T5)</f>
        <v>5311472</v>
      </c>
      <c r="M5" s="19">
        <f t="shared" ref="M5:M44" si="3">IF(OR(ISBLANK(Q5),ISBLANK(P5),ISBLANK(R5)),".",P5+Q5+R5)</f>
        <v>1592072</v>
      </c>
      <c r="N5" s="44">
        <v>2415872</v>
      </c>
      <c r="O5" s="22">
        <v>5311472</v>
      </c>
      <c r="P5" s="22">
        <v>800712</v>
      </c>
      <c r="Q5" s="22">
        <v>0</v>
      </c>
      <c r="R5" s="22">
        <v>791360</v>
      </c>
      <c r="S5" s="22">
        <v>3705528</v>
      </c>
      <c r="T5" s="22">
        <v>13872</v>
      </c>
      <c r="U5" s="45">
        <v>70.227694299999996</v>
      </c>
      <c r="V5" s="45">
        <v>71.497861700000001</v>
      </c>
      <c r="W5" s="45">
        <v>28.886966000000001</v>
      </c>
      <c r="X5" s="45">
        <v>33.984265100000002</v>
      </c>
      <c r="Y5" s="45">
        <v>33.448338</v>
      </c>
      <c r="Z5" s="45">
        <v>50.071269200000003</v>
      </c>
      <c r="AA5" s="45">
        <v>27.697968299999999</v>
      </c>
      <c r="AB5" s="23">
        <v>753.32067400000005</v>
      </c>
      <c r="AC5" s="23">
        <v>6.3386570000000004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9</v>
      </c>
      <c r="J6" s="36">
        <f t="shared" si="0"/>
        <v>9.1666349999999994</v>
      </c>
      <c r="K6" s="37">
        <f t="shared" si="1"/>
        <v>0.81498586365091219</v>
      </c>
      <c r="L6" s="35">
        <f t="shared" si="2"/>
        <v>9777744</v>
      </c>
      <c r="M6" s="35">
        <f t="shared" si="3"/>
        <v>1851680</v>
      </c>
      <c r="N6" s="46">
        <v>2415872</v>
      </c>
      <c r="O6" s="38">
        <v>9777744</v>
      </c>
      <c r="P6" s="38">
        <v>866072</v>
      </c>
      <c r="Q6" s="38">
        <v>0</v>
      </c>
      <c r="R6" s="38">
        <v>985608</v>
      </c>
      <c r="S6" s="38">
        <v>7912512</v>
      </c>
      <c r="T6" s="38">
        <v>13552</v>
      </c>
      <c r="U6" s="47">
        <v>70.907611900000006</v>
      </c>
      <c r="V6" s="47">
        <v>72.270471099999995</v>
      </c>
      <c r="W6" s="47">
        <v>31.662897600000001</v>
      </c>
      <c r="X6" s="47">
        <v>35.209678099999998</v>
      </c>
      <c r="Y6" s="47">
        <v>34.771355100000001</v>
      </c>
      <c r="Z6" s="47">
        <v>50.384180399999998</v>
      </c>
      <c r="AA6" s="47">
        <v>29.370492299999999</v>
      </c>
      <c r="AB6" s="39">
        <v>753.19073500000002</v>
      </c>
      <c r="AC6" s="39">
        <v>6.6021669999999997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12</v>
      </c>
      <c r="J7" s="20">
        <f t="shared" si="0"/>
        <v>12.2657025</v>
      </c>
      <c r="K7" s="21">
        <f t="shared" si="1"/>
        <v>1.0905173103595434</v>
      </c>
      <c r="L7" s="19">
        <f t="shared" si="2"/>
        <v>13083416</v>
      </c>
      <c r="M7" s="19">
        <f t="shared" si="3"/>
        <v>2021040</v>
      </c>
      <c r="N7" s="44">
        <v>4871680</v>
      </c>
      <c r="O7" s="22">
        <v>13083416</v>
      </c>
      <c r="P7" s="22">
        <v>1271064</v>
      </c>
      <c r="Q7" s="22">
        <v>0</v>
      </c>
      <c r="R7" s="22">
        <v>749976</v>
      </c>
      <c r="S7" s="22">
        <v>11048640</v>
      </c>
      <c r="T7" s="22">
        <v>13736</v>
      </c>
      <c r="U7" s="45">
        <v>71.826047900000006</v>
      </c>
      <c r="V7" s="45">
        <v>73.339456299999995</v>
      </c>
      <c r="W7" s="45">
        <v>32.723744699999997</v>
      </c>
      <c r="X7" s="45">
        <v>36.932207300000002</v>
      </c>
      <c r="Y7" s="45">
        <v>36.668305799999999</v>
      </c>
      <c r="Z7" s="45">
        <v>51.114103700000001</v>
      </c>
      <c r="AA7" s="45">
        <v>30.4898107</v>
      </c>
      <c r="AB7" s="23">
        <v>1893.3674040000001</v>
      </c>
      <c r="AC7" s="23">
        <v>23.616101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15</v>
      </c>
      <c r="J8" s="36">
        <f t="shared" si="0"/>
        <v>15.350407499999999</v>
      </c>
      <c r="K8" s="37">
        <f t="shared" si="1"/>
        <v>1.3647718179878374</v>
      </c>
      <c r="L8" s="35">
        <f t="shared" si="2"/>
        <v>16373768</v>
      </c>
      <c r="M8" s="35">
        <f t="shared" si="3"/>
        <v>2723992</v>
      </c>
      <c r="N8" s="46">
        <v>4871680</v>
      </c>
      <c r="O8" s="38">
        <v>16373768</v>
      </c>
      <c r="P8" s="38">
        <v>1393248</v>
      </c>
      <c r="Q8" s="38">
        <v>0</v>
      </c>
      <c r="R8" s="38">
        <v>1330744</v>
      </c>
      <c r="S8" s="38">
        <v>13635368</v>
      </c>
      <c r="T8" s="38">
        <v>14408</v>
      </c>
      <c r="U8" s="47">
        <v>73.825176099999993</v>
      </c>
      <c r="V8" s="47">
        <v>75.637891600000003</v>
      </c>
      <c r="W8" s="47">
        <v>33.690634099999997</v>
      </c>
      <c r="X8" s="47">
        <v>37.453765699999998</v>
      </c>
      <c r="Y8" s="47">
        <v>37.195208399999999</v>
      </c>
      <c r="Z8" s="47">
        <v>52.036012599999999</v>
      </c>
      <c r="AA8" s="47">
        <v>31.605468299999998</v>
      </c>
      <c r="AB8" s="39">
        <v>2051.9429850000001</v>
      </c>
      <c r="AC8" s="39">
        <v>26.485931999999998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22</v>
      </c>
      <c r="J9" s="51">
        <f t="shared" si="0"/>
        <v>22.486574999999998</v>
      </c>
      <c r="K9" s="52">
        <f t="shared" si="1"/>
        <v>1.9992331697428785</v>
      </c>
      <c r="L9" s="49">
        <f t="shared" si="2"/>
        <v>23985680</v>
      </c>
      <c r="M9" s="49">
        <f t="shared" si="3"/>
        <v>4505112</v>
      </c>
      <c r="N9" s="53">
        <v>9785664</v>
      </c>
      <c r="O9" s="54">
        <v>23985680</v>
      </c>
      <c r="P9" s="54">
        <v>2101472</v>
      </c>
      <c r="Q9" s="54">
        <v>0</v>
      </c>
      <c r="R9" s="54">
        <v>2403640</v>
      </c>
      <c r="S9" s="54">
        <v>19465856</v>
      </c>
      <c r="T9" s="54">
        <v>14712</v>
      </c>
      <c r="U9" s="55">
        <v>76.663121799999999</v>
      </c>
      <c r="V9" s="55">
        <v>79.154731299999995</v>
      </c>
      <c r="W9" s="55">
        <v>35.068816900000002</v>
      </c>
      <c r="X9" s="55">
        <v>38.601624000000001</v>
      </c>
      <c r="Y9" s="55">
        <v>38.322405699999997</v>
      </c>
      <c r="Z9" s="55">
        <v>53.751700300000003</v>
      </c>
      <c r="AA9" s="55">
        <v>33.2676254</v>
      </c>
      <c r="AB9" s="56">
        <v>2608.8227310000002</v>
      </c>
      <c r="AC9" s="56">
        <v>28.287704999999999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5</v>
      </c>
      <c r="J10" s="36">
        <f t="shared" si="0"/>
        <v>5.0585025000000003</v>
      </c>
      <c r="K10" s="37">
        <f t="shared" si="1"/>
        <v>0.59952622222222218</v>
      </c>
      <c r="L10" s="35">
        <f t="shared" si="2"/>
        <v>5395736</v>
      </c>
      <c r="M10" s="35">
        <f t="shared" si="3"/>
        <v>1515072</v>
      </c>
      <c r="N10" s="46">
        <v>2393664</v>
      </c>
      <c r="O10" s="38">
        <v>5395736</v>
      </c>
      <c r="P10" s="38">
        <v>864888</v>
      </c>
      <c r="Q10" s="38">
        <v>0</v>
      </c>
      <c r="R10" s="38">
        <v>650184</v>
      </c>
      <c r="S10" s="38">
        <v>3866384</v>
      </c>
      <c r="T10" s="38">
        <v>14280</v>
      </c>
      <c r="U10" s="47">
        <v>66.2633036</v>
      </c>
      <c r="V10" s="47">
        <v>67.0622422</v>
      </c>
      <c r="W10" s="47">
        <v>32.179841000000003</v>
      </c>
      <c r="X10" s="47">
        <v>44.8006873</v>
      </c>
      <c r="Y10" s="47">
        <v>45.117893899999999</v>
      </c>
      <c r="Z10" s="47">
        <v>44.831187399999997</v>
      </c>
      <c r="AA10" s="47">
        <v>29.8241464</v>
      </c>
      <c r="AB10" s="39">
        <v>1969.4111740000001</v>
      </c>
      <c r="AC10" s="39">
        <v>20.307911000000001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9</v>
      </c>
      <c r="J11" s="20">
        <f t="shared" si="0"/>
        <v>9.1354799999999994</v>
      </c>
      <c r="K11" s="21">
        <f t="shared" si="1"/>
        <v>1.0827235555555557</v>
      </c>
      <c r="L11" s="19">
        <f t="shared" si="2"/>
        <v>9744512</v>
      </c>
      <c r="M11" s="19">
        <f t="shared" si="3"/>
        <v>2433656</v>
      </c>
      <c r="N11" s="44">
        <v>4847680</v>
      </c>
      <c r="O11" s="22">
        <v>9744512</v>
      </c>
      <c r="P11" s="22">
        <v>1377776</v>
      </c>
      <c r="Q11" s="22">
        <v>0</v>
      </c>
      <c r="R11" s="22">
        <v>1055880</v>
      </c>
      <c r="S11" s="22">
        <v>7296344</v>
      </c>
      <c r="T11" s="22">
        <v>14512</v>
      </c>
      <c r="U11" s="45">
        <v>70.5200155</v>
      </c>
      <c r="V11" s="45">
        <v>71.922868100000002</v>
      </c>
      <c r="W11" s="45">
        <v>34.877478600000003</v>
      </c>
      <c r="X11" s="45">
        <v>45.453768400000001</v>
      </c>
      <c r="Y11" s="45">
        <v>45.8806619</v>
      </c>
      <c r="Z11" s="45">
        <v>47.235641899999997</v>
      </c>
      <c r="AA11" s="45">
        <v>32.488820599999997</v>
      </c>
      <c r="AB11" s="23">
        <v>2229.8881489999999</v>
      </c>
      <c r="AC11" s="23">
        <v>23.470701999999999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12</v>
      </c>
      <c r="J12" s="36">
        <f t="shared" si="0"/>
        <v>12.093315</v>
      </c>
      <c r="K12" s="37">
        <f t="shared" si="1"/>
        <v>1.4332817777777778</v>
      </c>
      <c r="L12" s="35">
        <f t="shared" si="2"/>
        <v>12899536</v>
      </c>
      <c r="M12" s="35">
        <f t="shared" si="3"/>
        <v>3673792</v>
      </c>
      <c r="N12" s="46">
        <v>4847680</v>
      </c>
      <c r="O12" s="38">
        <v>12899536</v>
      </c>
      <c r="P12" s="38">
        <v>1377776</v>
      </c>
      <c r="Q12" s="38">
        <v>0</v>
      </c>
      <c r="R12" s="38">
        <v>2296016</v>
      </c>
      <c r="S12" s="38">
        <v>9212160</v>
      </c>
      <c r="T12" s="38">
        <v>13584</v>
      </c>
      <c r="U12" s="47">
        <v>73.025662600000004</v>
      </c>
      <c r="V12" s="47">
        <v>74.823964899999993</v>
      </c>
      <c r="W12" s="47">
        <v>35.946379999999998</v>
      </c>
      <c r="X12" s="47">
        <v>45.769863700000002</v>
      </c>
      <c r="Y12" s="47">
        <v>46.216681899999998</v>
      </c>
      <c r="Z12" s="47">
        <v>48.453992399999997</v>
      </c>
      <c r="AA12" s="47">
        <v>33.813625299999998</v>
      </c>
      <c r="AB12" s="39">
        <v>2192.9141410000002</v>
      </c>
      <c r="AC12" s="39">
        <v>22.508873999999999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15</v>
      </c>
      <c r="J13" s="20">
        <f t="shared" si="0"/>
        <v>15.1386675</v>
      </c>
      <c r="K13" s="21">
        <f t="shared" si="1"/>
        <v>1.7942124444444445</v>
      </c>
      <c r="L13" s="19">
        <f t="shared" si="2"/>
        <v>16147912</v>
      </c>
      <c r="M13" s="19">
        <f t="shared" si="3"/>
        <v>4464928</v>
      </c>
      <c r="N13" s="44">
        <v>9761152</v>
      </c>
      <c r="O13" s="22">
        <v>16147912</v>
      </c>
      <c r="P13" s="22">
        <v>2272072</v>
      </c>
      <c r="Q13" s="22">
        <v>0</v>
      </c>
      <c r="R13" s="22">
        <v>2192856</v>
      </c>
      <c r="S13" s="22">
        <v>11668544</v>
      </c>
      <c r="T13" s="22">
        <v>14440</v>
      </c>
      <c r="U13" s="45">
        <v>74.662188900000004</v>
      </c>
      <c r="V13" s="45">
        <v>76.772622100000007</v>
      </c>
      <c r="W13" s="45">
        <v>37.017287400000001</v>
      </c>
      <c r="X13" s="45">
        <v>46.527483799999999</v>
      </c>
      <c r="Y13" s="45">
        <v>47.1072791</v>
      </c>
      <c r="Z13" s="45">
        <v>49.471889900000001</v>
      </c>
      <c r="AA13" s="45">
        <v>34.932098699999997</v>
      </c>
      <c r="AB13" s="23">
        <v>2777.4052310000002</v>
      </c>
      <c r="AC13" s="23">
        <v>24.476876000000001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22</v>
      </c>
      <c r="J14" s="28">
        <f t="shared" si="0"/>
        <v>22.315597499999999</v>
      </c>
      <c r="K14" s="29">
        <f t="shared" si="1"/>
        <v>2.6448115555555556</v>
      </c>
      <c r="L14" s="27">
        <f t="shared" si="2"/>
        <v>23803304</v>
      </c>
      <c r="M14" s="27">
        <f t="shared" si="3"/>
        <v>5520864</v>
      </c>
      <c r="N14" s="58">
        <v>9761152</v>
      </c>
      <c r="O14" s="30">
        <v>23803304</v>
      </c>
      <c r="P14" s="30">
        <v>2509608</v>
      </c>
      <c r="Q14" s="30">
        <v>0</v>
      </c>
      <c r="R14" s="30">
        <v>3011256</v>
      </c>
      <c r="S14" s="30">
        <v>18268040</v>
      </c>
      <c r="T14" s="30">
        <v>14400</v>
      </c>
      <c r="U14" s="59">
        <v>75.699365900000004</v>
      </c>
      <c r="V14" s="59">
        <v>78.080826000000002</v>
      </c>
      <c r="W14" s="59">
        <v>38.700170900000003</v>
      </c>
      <c r="X14" s="59">
        <v>47.576073899999997</v>
      </c>
      <c r="Y14" s="59">
        <v>48.237028199999997</v>
      </c>
      <c r="Z14" s="59">
        <v>49.950397799999998</v>
      </c>
      <c r="AA14" s="59">
        <v>36.2050239</v>
      </c>
      <c r="AB14" s="31">
        <v>2796.4229369999998</v>
      </c>
      <c r="AC14" s="31">
        <v>24.641542000000001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2.9485649999999999</v>
      </c>
      <c r="K15" s="21">
        <f t="shared" si="1"/>
        <v>0.26559157818078394</v>
      </c>
      <c r="L15" s="19">
        <f t="shared" si="2"/>
        <v>3145136</v>
      </c>
      <c r="M15" s="19">
        <f t="shared" si="3"/>
        <v>1142352</v>
      </c>
      <c r="N15" s="44">
        <v>2419456</v>
      </c>
      <c r="O15" s="22">
        <v>3145136</v>
      </c>
      <c r="P15" s="22">
        <v>684392</v>
      </c>
      <c r="Q15" s="22">
        <v>0</v>
      </c>
      <c r="R15" s="22">
        <v>457960</v>
      </c>
      <c r="S15" s="22">
        <v>1988496</v>
      </c>
      <c r="T15" s="22">
        <v>14288</v>
      </c>
      <c r="U15" s="45">
        <v>71.784670500000004</v>
      </c>
      <c r="V15" s="45">
        <v>73.073559700000004</v>
      </c>
      <c r="W15" s="45">
        <v>35.631403900000002</v>
      </c>
      <c r="X15" s="45">
        <v>43.3868054</v>
      </c>
      <c r="Y15" s="45">
        <v>45.0143007</v>
      </c>
      <c r="Z15" s="45">
        <v>45.695622800000002</v>
      </c>
      <c r="AA15" s="45">
        <v>32.427937999999997</v>
      </c>
      <c r="AB15" s="23">
        <v>1555.7466919999999</v>
      </c>
      <c r="AC15" s="23">
        <v>17.952491999999999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4.9567050000000004</v>
      </c>
      <c r="K16" s="37">
        <f t="shared" si="1"/>
        <v>0.44647450659103083</v>
      </c>
      <c r="L16" s="35">
        <f t="shared" si="2"/>
        <v>5287152</v>
      </c>
      <c r="M16" s="35">
        <f t="shared" si="3"/>
        <v>1437640</v>
      </c>
      <c r="N16" s="46">
        <v>2419456</v>
      </c>
      <c r="O16" s="38">
        <v>5287152</v>
      </c>
      <c r="P16" s="38">
        <v>746008</v>
      </c>
      <c r="Q16" s="38">
        <v>0</v>
      </c>
      <c r="R16" s="38">
        <v>691632</v>
      </c>
      <c r="S16" s="38">
        <v>3834952</v>
      </c>
      <c r="T16" s="38">
        <v>14560</v>
      </c>
      <c r="U16" s="47">
        <v>73.557611600000001</v>
      </c>
      <c r="V16" s="47">
        <v>75.037586099999999</v>
      </c>
      <c r="W16" s="47">
        <v>38.401719700000001</v>
      </c>
      <c r="X16" s="47">
        <v>44.046152399999997</v>
      </c>
      <c r="Y16" s="47">
        <v>46.278184400000001</v>
      </c>
      <c r="Z16" s="47">
        <v>46.4383658</v>
      </c>
      <c r="AA16" s="47">
        <v>34.084742200000001</v>
      </c>
      <c r="AB16" s="39">
        <v>1628.4196979999999</v>
      </c>
      <c r="AC16" s="39">
        <v>22.749787999999999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9.8677124999999997</v>
      </c>
      <c r="K17" s="21">
        <f t="shared" si="1"/>
        <v>0.88883281728883345</v>
      </c>
      <c r="L17" s="19">
        <f t="shared" si="2"/>
        <v>10525560</v>
      </c>
      <c r="M17" s="19">
        <f t="shared" si="3"/>
        <v>2769672</v>
      </c>
      <c r="N17" s="44">
        <v>4841472</v>
      </c>
      <c r="O17" s="22">
        <v>10525560</v>
      </c>
      <c r="P17" s="22">
        <v>1249720</v>
      </c>
      <c r="Q17" s="22">
        <v>0</v>
      </c>
      <c r="R17" s="22">
        <v>1519952</v>
      </c>
      <c r="S17" s="22">
        <v>7741432</v>
      </c>
      <c r="T17" s="22">
        <v>14456</v>
      </c>
      <c r="U17" s="45">
        <v>78.264783899999998</v>
      </c>
      <c r="V17" s="45">
        <v>80.584249700000001</v>
      </c>
      <c r="W17" s="45">
        <v>41.036051</v>
      </c>
      <c r="X17" s="45">
        <v>44.961104200000001</v>
      </c>
      <c r="Y17" s="45">
        <v>48.003155300000003</v>
      </c>
      <c r="Z17" s="45">
        <v>48.813600000000001</v>
      </c>
      <c r="AA17" s="45">
        <v>37.275151999999999</v>
      </c>
      <c r="AB17" s="23">
        <v>1901.9109639999999</v>
      </c>
      <c r="AC17" s="23">
        <v>24.5443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14.108879999999999</v>
      </c>
      <c r="K18" s="37">
        <f t="shared" si="1"/>
        <v>1.2708553840811714</v>
      </c>
      <c r="L18" s="35">
        <f t="shared" si="2"/>
        <v>15049472</v>
      </c>
      <c r="M18" s="35">
        <f t="shared" si="3"/>
        <v>3797672</v>
      </c>
      <c r="N18" s="46">
        <v>9684544</v>
      </c>
      <c r="O18" s="38">
        <v>15049472</v>
      </c>
      <c r="P18" s="38">
        <v>2163032</v>
      </c>
      <c r="Q18" s="38">
        <v>0</v>
      </c>
      <c r="R18" s="38">
        <v>1634640</v>
      </c>
      <c r="S18" s="38">
        <v>11237488</v>
      </c>
      <c r="T18" s="38">
        <v>14312</v>
      </c>
      <c r="U18" s="47">
        <v>79.558201800000006</v>
      </c>
      <c r="V18" s="47">
        <v>82.306608900000001</v>
      </c>
      <c r="W18" s="47">
        <v>41.957297599999997</v>
      </c>
      <c r="X18" s="47">
        <v>45.652393400000001</v>
      </c>
      <c r="Y18" s="47">
        <v>49.2024355</v>
      </c>
      <c r="Z18" s="47">
        <v>49.7686615</v>
      </c>
      <c r="AA18" s="47">
        <v>38.358427300000002</v>
      </c>
      <c r="AB18" s="39">
        <v>2385.6609699999999</v>
      </c>
      <c r="AC18" s="39">
        <v>30.473185999999998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21.287595</v>
      </c>
      <c r="K19" s="52">
        <f t="shared" si="1"/>
        <v>1.9174771292894564</v>
      </c>
      <c r="L19" s="49">
        <f t="shared" si="2"/>
        <v>22706768</v>
      </c>
      <c r="M19" s="49">
        <f t="shared" si="3"/>
        <v>4009568</v>
      </c>
      <c r="N19" s="53">
        <v>9684544</v>
      </c>
      <c r="O19" s="54">
        <v>22706768</v>
      </c>
      <c r="P19" s="54">
        <v>2163032</v>
      </c>
      <c r="Q19" s="54">
        <v>0</v>
      </c>
      <c r="R19" s="54">
        <v>1846536</v>
      </c>
      <c r="S19" s="54">
        <v>18682808</v>
      </c>
      <c r="T19" s="54">
        <v>14392</v>
      </c>
      <c r="U19" s="55">
        <v>79.920927300000002</v>
      </c>
      <c r="V19" s="55">
        <v>82.837632400000004</v>
      </c>
      <c r="W19" s="55">
        <v>42.951791399999998</v>
      </c>
      <c r="X19" s="55">
        <v>46.588687999999998</v>
      </c>
      <c r="Y19" s="55">
        <v>50.540732300000002</v>
      </c>
      <c r="Z19" s="55">
        <v>49.938614399999999</v>
      </c>
      <c r="AA19" s="55">
        <v>38.911935300000003</v>
      </c>
      <c r="AB19" s="56">
        <v>2259.226001</v>
      </c>
      <c r="AC19" s="56">
        <v>30.238693000000001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2.9252099999999999</v>
      </c>
      <c r="K20" s="37">
        <f t="shared" si="1"/>
        <v>0.26415511564845851</v>
      </c>
      <c r="L20" s="35">
        <f t="shared" si="2"/>
        <v>3120224</v>
      </c>
      <c r="M20" s="35">
        <f t="shared" si="3"/>
        <v>1113800</v>
      </c>
      <c r="N20" s="46">
        <v>2417984</v>
      </c>
      <c r="O20" s="38">
        <v>3120224</v>
      </c>
      <c r="P20" s="38">
        <v>660728</v>
      </c>
      <c r="Q20" s="38">
        <v>0</v>
      </c>
      <c r="R20" s="38">
        <v>453072</v>
      </c>
      <c r="S20" s="38">
        <v>1992208</v>
      </c>
      <c r="T20" s="38">
        <v>14216</v>
      </c>
      <c r="U20" s="47">
        <v>71.753850200000002</v>
      </c>
      <c r="V20" s="47">
        <v>73.096716599999993</v>
      </c>
      <c r="W20" s="47">
        <v>34.607950600000002</v>
      </c>
      <c r="X20" s="47">
        <v>42.802276800000001</v>
      </c>
      <c r="Y20" s="47">
        <v>44.060676000000001</v>
      </c>
      <c r="Z20" s="47">
        <v>48.614354900000002</v>
      </c>
      <c r="AA20" s="47">
        <v>31.538924900000001</v>
      </c>
      <c r="AB20" s="39">
        <v>604.84607400000004</v>
      </c>
      <c r="AC20" s="39">
        <v>6.2272509999999999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4.9734299999999996</v>
      </c>
      <c r="K21" s="21">
        <f t="shared" si="1"/>
        <v>0.44911544019728938</v>
      </c>
      <c r="L21" s="19">
        <f t="shared" si="2"/>
        <v>5304992</v>
      </c>
      <c r="M21" s="19">
        <f t="shared" si="3"/>
        <v>1166680</v>
      </c>
      <c r="N21" s="44">
        <v>2417984</v>
      </c>
      <c r="O21" s="22">
        <v>5304992</v>
      </c>
      <c r="P21" s="22">
        <v>660728</v>
      </c>
      <c r="Q21" s="22">
        <v>0</v>
      </c>
      <c r="R21" s="22">
        <v>505952</v>
      </c>
      <c r="S21" s="22">
        <v>4123896</v>
      </c>
      <c r="T21" s="22">
        <v>14416</v>
      </c>
      <c r="U21" s="45">
        <v>72.202910299999999</v>
      </c>
      <c r="V21" s="45">
        <v>73.598292099999995</v>
      </c>
      <c r="W21" s="45">
        <v>37.499279600000001</v>
      </c>
      <c r="X21" s="45">
        <v>44.009877500000002</v>
      </c>
      <c r="Y21" s="45">
        <v>45.960662499999998</v>
      </c>
      <c r="Z21" s="45">
        <v>48.815713500000001</v>
      </c>
      <c r="AA21" s="45">
        <v>32.763874600000001</v>
      </c>
      <c r="AB21" s="23">
        <v>1527.0707620000001</v>
      </c>
      <c r="AC21" s="23">
        <v>18.061496000000002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9.9722925</v>
      </c>
      <c r="K22" s="37">
        <f t="shared" si="1"/>
        <v>0.90052751037284684</v>
      </c>
      <c r="L22" s="35">
        <f t="shared" si="2"/>
        <v>10637112</v>
      </c>
      <c r="M22" s="35">
        <f t="shared" si="3"/>
        <v>2646528</v>
      </c>
      <c r="N22" s="46">
        <v>4836096</v>
      </c>
      <c r="O22" s="38">
        <v>10637112</v>
      </c>
      <c r="P22" s="38">
        <v>1104896</v>
      </c>
      <c r="Q22" s="38">
        <v>0</v>
      </c>
      <c r="R22" s="38">
        <v>1541632</v>
      </c>
      <c r="S22" s="38">
        <v>7976136</v>
      </c>
      <c r="T22" s="38">
        <v>14448</v>
      </c>
      <c r="U22" s="47">
        <v>78.043440200000006</v>
      </c>
      <c r="V22" s="47">
        <v>80.556524400000001</v>
      </c>
      <c r="W22" s="47">
        <v>40.468558600000001</v>
      </c>
      <c r="X22" s="47">
        <v>45.305330699999999</v>
      </c>
      <c r="Y22" s="47">
        <v>48.011191799999999</v>
      </c>
      <c r="Z22" s="47">
        <v>51.847111200000001</v>
      </c>
      <c r="AA22" s="47">
        <v>36.722354299999999</v>
      </c>
      <c r="AB22" s="39">
        <v>1794.9530050000001</v>
      </c>
      <c r="AC22" s="39">
        <v>22.309222999999999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13.965630000000001</v>
      </c>
      <c r="K23" s="21">
        <f t="shared" si="1"/>
        <v>1.261137698747639</v>
      </c>
      <c r="L23" s="19">
        <f t="shared" si="2"/>
        <v>14896672</v>
      </c>
      <c r="M23" s="19">
        <f t="shared" si="3"/>
        <v>3744344</v>
      </c>
      <c r="N23" s="44">
        <v>9673280</v>
      </c>
      <c r="O23" s="22">
        <v>14896672</v>
      </c>
      <c r="P23" s="22">
        <v>2346936</v>
      </c>
      <c r="Q23" s="22">
        <v>0</v>
      </c>
      <c r="R23" s="22">
        <v>1397408</v>
      </c>
      <c r="S23" s="22">
        <v>11137664</v>
      </c>
      <c r="T23" s="22">
        <v>14664</v>
      </c>
      <c r="U23" s="45">
        <v>78.929751999999993</v>
      </c>
      <c r="V23" s="45">
        <v>81.765398399999995</v>
      </c>
      <c r="W23" s="45">
        <v>41.4649006</v>
      </c>
      <c r="X23" s="45">
        <v>45.807873299999997</v>
      </c>
      <c r="Y23" s="45">
        <v>48.746878299999999</v>
      </c>
      <c r="Z23" s="45">
        <v>52.626201799999997</v>
      </c>
      <c r="AA23" s="45">
        <v>37.639244499999997</v>
      </c>
      <c r="AB23" s="23">
        <v>2272.8103500000002</v>
      </c>
      <c r="AC23" s="23">
        <v>29.365811000000001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20.837054999999999</v>
      </c>
      <c r="K24" s="29">
        <f t="shared" si="1"/>
        <v>1.8816477016345117</v>
      </c>
      <c r="L24" s="27">
        <f t="shared" si="2"/>
        <v>22226192</v>
      </c>
      <c r="M24" s="27">
        <f t="shared" si="3"/>
        <v>3957064</v>
      </c>
      <c r="N24" s="58">
        <v>9673280</v>
      </c>
      <c r="O24" s="30">
        <v>22226192</v>
      </c>
      <c r="P24" s="30">
        <v>2112200</v>
      </c>
      <c r="Q24" s="30">
        <v>0</v>
      </c>
      <c r="R24" s="30">
        <v>1844864</v>
      </c>
      <c r="S24" s="30">
        <v>18254832</v>
      </c>
      <c r="T24" s="30">
        <v>14296</v>
      </c>
      <c r="U24" s="59">
        <v>79.640889000000001</v>
      </c>
      <c r="V24" s="59">
        <v>82.838024599999997</v>
      </c>
      <c r="W24" s="59">
        <v>42.456949700000003</v>
      </c>
      <c r="X24" s="59">
        <v>46.903302600000004</v>
      </c>
      <c r="Y24" s="59">
        <v>50.098424399999999</v>
      </c>
      <c r="Z24" s="59">
        <v>53.019047899999997</v>
      </c>
      <c r="AA24" s="59">
        <v>38.402386100000001</v>
      </c>
      <c r="AB24" s="31">
        <v>2346.6466810000002</v>
      </c>
      <c r="AC24" s="31">
        <v>30.622364999999999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4.0522650000000002</v>
      </c>
      <c r="K25" s="21">
        <f t="shared" si="1"/>
        <v>0.36020133333333332</v>
      </c>
      <c r="L25" s="19">
        <f t="shared" si="2"/>
        <v>4322416</v>
      </c>
      <c r="M25" s="19">
        <f t="shared" si="3"/>
        <v>1208736</v>
      </c>
      <c r="N25" s="44">
        <v>2455232</v>
      </c>
      <c r="O25" s="22">
        <v>4322416</v>
      </c>
      <c r="P25" s="22">
        <v>677616</v>
      </c>
      <c r="Q25" s="22">
        <v>0</v>
      </c>
      <c r="R25" s="22">
        <v>531120</v>
      </c>
      <c r="S25" s="22">
        <v>3099240</v>
      </c>
      <c r="T25" s="22">
        <v>14440</v>
      </c>
      <c r="U25" s="45">
        <v>73.898573299999995</v>
      </c>
      <c r="V25" s="45">
        <v>75.771066700000006</v>
      </c>
      <c r="W25" s="45">
        <v>31.582356099999998</v>
      </c>
      <c r="X25" s="45">
        <v>40.593673099999997</v>
      </c>
      <c r="Y25" s="45">
        <v>36.943115200000001</v>
      </c>
      <c r="Z25" s="45">
        <v>44.566979199999999</v>
      </c>
      <c r="AA25" s="45">
        <v>28.779684899999999</v>
      </c>
      <c r="AB25" s="23">
        <v>929.901295</v>
      </c>
      <c r="AC25" s="23">
        <v>6.7841649999999998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8.0367525000000004</v>
      </c>
      <c r="K26" s="37">
        <f t="shared" si="1"/>
        <v>0.71437799999999996</v>
      </c>
      <c r="L26" s="35">
        <f t="shared" si="2"/>
        <v>8572536</v>
      </c>
      <c r="M26" s="35">
        <f t="shared" si="3"/>
        <v>1916168</v>
      </c>
      <c r="N26" s="46">
        <v>4912768</v>
      </c>
      <c r="O26" s="38">
        <v>8572536</v>
      </c>
      <c r="P26" s="38">
        <v>1142064</v>
      </c>
      <c r="Q26" s="38">
        <v>0</v>
      </c>
      <c r="R26" s="38">
        <v>774104</v>
      </c>
      <c r="S26" s="38">
        <v>6641376</v>
      </c>
      <c r="T26" s="38">
        <v>14992</v>
      </c>
      <c r="U26" s="47">
        <v>76.864404899999997</v>
      </c>
      <c r="V26" s="47">
        <v>79.277265</v>
      </c>
      <c r="W26" s="47">
        <v>33.990145300000002</v>
      </c>
      <c r="X26" s="47">
        <v>42.468919</v>
      </c>
      <c r="Y26" s="47">
        <v>39.831507100000003</v>
      </c>
      <c r="Z26" s="47">
        <v>46.179769200000003</v>
      </c>
      <c r="AA26" s="47">
        <v>31.416871</v>
      </c>
      <c r="AB26" s="39">
        <v>1935.616282</v>
      </c>
      <c r="AC26" s="39">
        <v>23.865805000000002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12.067192500000001</v>
      </c>
      <c r="K27" s="21">
        <f t="shared" si="1"/>
        <v>1.0726393333333333</v>
      </c>
      <c r="L27" s="19">
        <f t="shared" si="2"/>
        <v>12871672</v>
      </c>
      <c r="M27" s="19">
        <f t="shared" si="3"/>
        <v>2801192</v>
      </c>
      <c r="N27" s="44">
        <v>9827968</v>
      </c>
      <c r="O27" s="22">
        <v>12871672</v>
      </c>
      <c r="P27" s="22">
        <v>2166088</v>
      </c>
      <c r="Q27" s="22">
        <v>0</v>
      </c>
      <c r="R27" s="22">
        <v>635104</v>
      </c>
      <c r="S27" s="22">
        <v>10055768</v>
      </c>
      <c r="T27" s="22">
        <v>14712</v>
      </c>
      <c r="U27" s="45">
        <v>78.784982900000003</v>
      </c>
      <c r="V27" s="45">
        <v>81.686792499999996</v>
      </c>
      <c r="W27" s="45">
        <v>34.918585299999997</v>
      </c>
      <c r="X27" s="45">
        <v>43.691951199999998</v>
      </c>
      <c r="Y27" s="45">
        <v>41.618832500000003</v>
      </c>
      <c r="Z27" s="45">
        <v>47.529597000000003</v>
      </c>
      <c r="AA27" s="45">
        <v>32.638185</v>
      </c>
      <c r="AB27" s="23">
        <v>5480.8628589999998</v>
      </c>
      <c r="AC27" s="23">
        <v>72.789784999999995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17.112285</v>
      </c>
      <c r="K28" s="37">
        <f t="shared" si="1"/>
        <v>1.5210920000000001</v>
      </c>
      <c r="L28" s="35">
        <f t="shared" si="2"/>
        <v>18253104</v>
      </c>
      <c r="M28" s="35">
        <f t="shared" si="3"/>
        <v>4807744</v>
      </c>
      <c r="N28" s="46">
        <v>19659392</v>
      </c>
      <c r="O28" s="38">
        <v>18253104</v>
      </c>
      <c r="P28" s="38">
        <v>4235264</v>
      </c>
      <c r="Q28" s="38">
        <v>0</v>
      </c>
      <c r="R28" s="38">
        <v>572480</v>
      </c>
      <c r="S28" s="38">
        <v>13430688</v>
      </c>
      <c r="T28" s="38">
        <v>14672</v>
      </c>
      <c r="U28" s="47">
        <v>80.4181241</v>
      </c>
      <c r="V28" s="47">
        <v>84.0372591</v>
      </c>
      <c r="W28" s="47">
        <v>35.6423883</v>
      </c>
      <c r="X28" s="47">
        <v>44.007247</v>
      </c>
      <c r="Y28" s="47">
        <v>42.0953278</v>
      </c>
      <c r="Z28" s="47">
        <v>48.963469099999998</v>
      </c>
      <c r="AA28" s="47">
        <v>33.803992100000002</v>
      </c>
      <c r="AB28" s="39">
        <v>6383.5539529999996</v>
      </c>
      <c r="AC28" s="39">
        <v>81.882064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25.093679999999999</v>
      </c>
      <c r="K29" s="52">
        <f t="shared" si="1"/>
        <v>2.2305493333333333</v>
      </c>
      <c r="L29" s="49">
        <f t="shared" si="2"/>
        <v>26766592</v>
      </c>
      <c r="M29" s="49">
        <f t="shared" si="3"/>
        <v>7589808</v>
      </c>
      <c r="N29" s="53">
        <v>39320512</v>
      </c>
      <c r="O29" s="54">
        <v>26766592</v>
      </c>
      <c r="P29" s="54">
        <v>7500208</v>
      </c>
      <c r="Q29" s="54">
        <v>0</v>
      </c>
      <c r="R29" s="54">
        <v>89600</v>
      </c>
      <c r="S29" s="54">
        <v>19162168</v>
      </c>
      <c r="T29" s="54">
        <v>14616</v>
      </c>
      <c r="U29" s="55">
        <v>82.249131399999996</v>
      </c>
      <c r="V29" s="55">
        <v>86.660172900000006</v>
      </c>
      <c r="W29" s="55">
        <v>36.313466599999998</v>
      </c>
      <c r="X29" s="55">
        <v>44.606495799999998</v>
      </c>
      <c r="Y29" s="55">
        <v>42.925024800000003</v>
      </c>
      <c r="Z29" s="55">
        <v>50.400794400000002</v>
      </c>
      <c r="AA29" s="55">
        <v>34.827948900000003</v>
      </c>
      <c r="AB29" s="56">
        <v>8307.9506870000005</v>
      </c>
      <c r="AC29" s="56">
        <v>131.08143699999999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3.9500324999999998</v>
      </c>
      <c r="K30" s="37">
        <f t="shared" si="1"/>
        <v>0.70250267854731197</v>
      </c>
      <c r="L30" s="35">
        <f t="shared" si="2"/>
        <v>4213368</v>
      </c>
      <c r="M30" s="35">
        <f t="shared" si="3"/>
        <v>1337976</v>
      </c>
      <c r="N30" s="46">
        <v>2427520</v>
      </c>
      <c r="O30" s="38">
        <v>4213368</v>
      </c>
      <c r="P30" s="38">
        <v>712992</v>
      </c>
      <c r="Q30" s="38">
        <v>0</v>
      </c>
      <c r="R30" s="38">
        <v>624984</v>
      </c>
      <c r="S30" s="38">
        <v>2860952</v>
      </c>
      <c r="T30" s="38">
        <v>14440</v>
      </c>
      <c r="U30" s="47">
        <v>74.799510799999993</v>
      </c>
      <c r="V30" s="47">
        <v>76.636315600000003</v>
      </c>
      <c r="W30" s="47">
        <v>38.126989100000003</v>
      </c>
      <c r="X30" s="47">
        <v>44.241334899999998</v>
      </c>
      <c r="Y30" s="47">
        <v>42.8089783</v>
      </c>
      <c r="Z30" s="47">
        <v>47.555307999999997</v>
      </c>
      <c r="AA30" s="47">
        <v>35.127667199999998</v>
      </c>
      <c r="AB30" s="39">
        <v>1709.387939</v>
      </c>
      <c r="AC30" s="39">
        <v>22.301691000000002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7.877535</v>
      </c>
      <c r="K31" s="21">
        <f t="shared" si="1"/>
        <v>1.4009984570633784</v>
      </c>
      <c r="L31" s="19">
        <f t="shared" si="2"/>
        <v>8402704</v>
      </c>
      <c r="M31" s="19">
        <f t="shared" si="3"/>
        <v>1716728</v>
      </c>
      <c r="N31" s="44">
        <v>2427520</v>
      </c>
      <c r="O31" s="22">
        <v>8402704</v>
      </c>
      <c r="P31" s="22">
        <v>712992</v>
      </c>
      <c r="Q31" s="22">
        <v>0</v>
      </c>
      <c r="R31" s="22">
        <v>1003736</v>
      </c>
      <c r="S31" s="22">
        <v>6671320</v>
      </c>
      <c r="T31" s="22">
        <v>14656</v>
      </c>
      <c r="U31" s="45">
        <v>76.467549399999996</v>
      </c>
      <c r="V31" s="45">
        <v>78.586014700000007</v>
      </c>
      <c r="W31" s="45">
        <v>40.637423800000001</v>
      </c>
      <c r="X31" s="45">
        <v>45.881740600000001</v>
      </c>
      <c r="Y31" s="45">
        <v>44.738081700000002</v>
      </c>
      <c r="Z31" s="45">
        <v>48.410163799999999</v>
      </c>
      <c r="AA31" s="45">
        <v>36.705227399999998</v>
      </c>
      <c r="AB31" s="23">
        <v>1772.4094520000001</v>
      </c>
      <c r="AC31" s="23">
        <v>21.196403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12.04548</v>
      </c>
      <c r="K32" s="37">
        <f t="shared" si="1"/>
        <v>2.1422562888756169</v>
      </c>
      <c r="L32" s="35">
        <f t="shared" si="2"/>
        <v>12848512</v>
      </c>
      <c r="M32" s="35">
        <f t="shared" si="3"/>
        <v>3046480</v>
      </c>
      <c r="N32" s="46">
        <v>2450608</v>
      </c>
      <c r="O32" s="38">
        <v>12848512</v>
      </c>
      <c r="P32" s="38">
        <v>1969984</v>
      </c>
      <c r="Q32" s="38">
        <v>0</v>
      </c>
      <c r="R32" s="38">
        <v>1076496</v>
      </c>
      <c r="S32" s="38">
        <v>9789376</v>
      </c>
      <c r="T32" s="38">
        <v>12656</v>
      </c>
      <c r="U32" s="47">
        <v>78.518202299999999</v>
      </c>
      <c r="V32" s="47">
        <v>81.100135699999996</v>
      </c>
      <c r="W32" s="47">
        <v>41.910744399999999</v>
      </c>
      <c r="X32" s="47">
        <v>46.562951599999998</v>
      </c>
      <c r="Y32" s="47">
        <v>45.545783</v>
      </c>
      <c r="Z32" s="47">
        <v>49.7060526</v>
      </c>
      <c r="AA32" s="47">
        <v>38.092818399999999</v>
      </c>
      <c r="AB32" s="39">
        <v>2523.3996219999999</v>
      </c>
      <c r="AC32" s="39">
        <v>20.451958000000001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17.419717500000001</v>
      </c>
      <c r="K33" s="21">
        <f t="shared" si="1"/>
        <v>3.0980500042183161</v>
      </c>
      <c r="L33" s="19">
        <f t="shared" si="2"/>
        <v>18581032</v>
      </c>
      <c r="M33" s="19">
        <f t="shared" si="3"/>
        <v>3809936</v>
      </c>
      <c r="N33" s="44">
        <v>2450608</v>
      </c>
      <c r="O33" s="22">
        <v>18581032</v>
      </c>
      <c r="P33" s="22">
        <v>1969984</v>
      </c>
      <c r="Q33" s="22">
        <v>0</v>
      </c>
      <c r="R33" s="22">
        <v>1839952</v>
      </c>
      <c r="S33" s="22">
        <v>14758544</v>
      </c>
      <c r="T33" s="22">
        <v>12552</v>
      </c>
      <c r="U33" s="45">
        <v>79.802465799999993</v>
      </c>
      <c r="V33" s="45">
        <v>82.892045800000005</v>
      </c>
      <c r="W33" s="45">
        <v>43.053551200000001</v>
      </c>
      <c r="X33" s="45">
        <v>47.682410400000002</v>
      </c>
      <c r="Y33" s="45">
        <v>46.881355499999998</v>
      </c>
      <c r="Z33" s="45">
        <v>50.387085800000001</v>
      </c>
      <c r="AA33" s="45">
        <v>39.276667600000003</v>
      </c>
      <c r="AB33" s="23">
        <v>5475.2960430000003</v>
      </c>
      <c r="AC33" s="23">
        <v>65.100052000000005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25.516604999999998</v>
      </c>
      <c r="K34" s="29">
        <f t="shared" si="1"/>
        <v>4.5380597146817738</v>
      </c>
      <c r="L34" s="27">
        <f t="shared" si="2"/>
        <v>27217712</v>
      </c>
      <c r="M34" s="27">
        <f t="shared" si="3"/>
        <v>6287296</v>
      </c>
      <c r="N34" s="58">
        <v>7367488</v>
      </c>
      <c r="O34" s="30">
        <v>27217712</v>
      </c>
      <c r="P34" s="30">
        <v>4553528</v>
      </c>
      <c r="Q34" s="30">
        <v>0</v>
      </c>
      <c r="R34" s="30">
        <v>1733768</v>
      </c>
      <c r="S34" s="30">
        <v>20917880</v>
      </c>
      <c r="T34" s="30">
        <v>12536</v>
      </c>
      <c r="U34" s="59">
        <v>82.639127999999999</v>
      </c>
      <c r="V34" s="59">
        <v>87.151792099999994</v>
      </c>
      <c r="W34" s="59">
        <v>44.100829400000002</v>
      </c>
      <c r="X34" s="59">
        <v>48.394750899999998</v>
      </c>
      <c r="Y34" s="59">
        <v>47.702540900000002</v>
      </c>
      <c r="Z34" s="59">
        <v>52.790810499999999</v>
      </c>
      <c r="AA34" s="59">
        <v>41.405950799999999</v>
      </c>
      <c r="AB34" s="31">
        <v>7245.3980170000004</v>
      </c>
      <c r="AC34" s="31">
        <v>63.760109999999997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4</v>
      </c>
      <c r="J35" s="20">
        <f t="shared" si="0"/>
        <v>3.883785</v>
      </c>
      <c r="K35" s="21">
        <f t="shared" si="1"/>
        <v>0.46030044444444446</v>
      </c>
      <c r="L35" s="19">
        <f t="shared" si="2"/>
        <v>4142704</v>
      </c>
      <c r="M35" s="19">
        <f t="shared" si="3"/>
        <v>1367288</v>
      </c>
      <c r="N35" s="44">
        <v>1840960</v>
      </c>
      <c r="O35" s="22">
        <v>4142704</v>
      </c>
      <c r="P35" s="22">
        <v>613656</v>
      </c>
      <c r="Q35" s="22">
        <v>0</v>
      </c>
      <c r="R35" s="22">
        <v>753632</v>
      </c>
      <c r="S35" s="22">
        <v>2760776</v>
      </c>
      <c r="T35" s="22">
        <v>14640</v>
      </c>
      <c r="U35" s="45">
        <v>72.162271899999993</v>
      </c>
      <c r="V35" s="45">
        <v>73.593104299999993</v>
      </c>
      <c r="W35" s="45">
        <v>29.6203979</v>
      </c>
      <c r="X35" s="45">
        <v>38.623048099999998</v>
      </c>
      <c r="Y35" s="45">
        <v>38.356783200000002</v>
      </c>
      <c r="Z35" s="45">
        <v>48.114539399999998</v>
      </c>
      <c r="AA35" s="45">
        <v>28.4122545</v>
      </c>
      <c r="AB35" s="23">
        <v>830.38261199999999</v>
      </c>
      <c r="AC35" s="23">
        <v>6.1997720000000003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6</v>
      </c>
      <c r="J36" s="36">
        <f t="shared" si="0"/>
        <v>6.0786600000000002</v>
      </c>
      <c r="K36" s="37">
        <f t="shared" si="1"/>
        <v>0.72043377777777773</v>
      </c>
      <c r="L36" s="35">
        <f t="shared" si="2"/>
        <v>6483904</v>
      </c>
      <c r="M36" s="35">
        <f t="shared" si="3"/>
        <v>1750304</v>
      </c>
      <c r="N36" s="46">
        <v>3680768</v>
      </c>
      <c r="O36" s="38">
        <v>6483904</v>
      </c>
      <c r="P36" s="38">
        <v>941016</v>
      </c>
      <c r="Q36" s="38">
        <v>0</v>
      </c>
      <c r="R36" s="38">
        <v>809288</v>
      </c>
      <c r="S36" s="38">
        <v>4719064</v>
      </c>
      <c r="T36" s="38">
        <v>14536</v>
      </c>
      <c r="U36" s="47">
        <v>74.7209979</v>
      </c>
      <c r="V36" s="47">
        <v>76.553031399999995</v>
      </c>
      <c r="W36" s="47">
        <v>30.268107000000001</v>
      </c>
      <c r="X36" s="47">
        <v>38.805418000000003</v>
      </c>
      <c r="Y36" s="47">
        <v>38.650394400000003</v>
      </c>
      <c r="Z36" s="47">
        <v>49.327142899999998</v>
      </c>
      <c r="AA36" s="47">
        <v>28.892660500000002</v>
      </c>
      <c r="AB36" s="39">
        <v>994.445964</v>
      </c>
      <c r="AC36" s="39">
        <v>7.5668689999999996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11</v>
      </c>
      <c r="J37" s="20">
        <f t="shared" si="0"/>
        <v>11.149455</v>
      </c>
      <c r="K37" s="21">
        <f t="shared" si="1"/>
        <v>1.3214168888888889</v>
      </c>
      <c r="L37" s="19">
        <f t="shared" si="2"/>
        <v>11892752</v>
      </c>
      <c r="M37" s="19">
        <f t="shared" si="3"/>
        <v>2104840</v>
      </c>
      <c r="N37" s="44">
        <v>7365760</v>
      </c>
      <c r="O37" s="22">
        <v>11892752</v>
      </c>
      <c r="P37" s="22">
        <v>1601024</v>
      </c>
      <c r="Q37" s="22">
        <v>0</v>
      </c>
      <c r="R37" s="22">
        <v>503816</v>
      </c>
      <c r="S37" s="22">
        <v>9772912</v>
      </c>
      <c r="T37" s="22">
        <v>15000</v>
      </c>
      <c r="U37" s="45">
        <v>75.559263400000006</v>
      </c>
      <c r="V37" s="45">
        <v>77.475161900000003</v>
      </c>
      <c r="W37" s="45">
        <v>31.223854800000002</v>
      </c>
      <c r="X37" s="45">
        <v>39.0256063</v>
      </c>
      <c r="Y37" s="45">
        <v>39.201862900000002</v>
      </c>
      <c r="Z37" s="45">
        <v>49.915145000000003</v>
      </c>
      <c r="AA37" s="45">
        <v>30.247434699999999</v>
      </c>
      <c r="AB37" s="23">
        <v>5815.6805100000001</v>
      </c>
      <c r="AC37" s="23">
        <v>73.207043999999996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16</v>
      </c>
      <c r="J38" s="36">
        <f t="shared" si="0"/>
        <v>16.318275</v>
      </c>
      <c r="K38" s="37">
        <f t="shared" si="1"/>
        <v>1.9340177777777778</v>
      </c>
      <c r="L38" s="35">
        <f t="shared" si="2"/>
        <v>17406160</v>
      </c>
      <c r="M38" s="35">
        <f t="shared" si="3"/>
        <v>2716232</v>
      </c>
      <c r="N38" s="46">
        <v>7365760</v>
      </c>
      <c r="O38" s="38">
        <v>17406160</v>
      </c>
      <c r="P38" s="38">
        <v>1774872</v>
      </c>
      <c r="Q38" s="38">
        <v>0</v>
      </c>
      <c r="R38" s="38">
        <v>941360</v>
      </c>
      <c r="S38" s="38">
        <v>14674792</v>
      </c>
      <c r="T38" s="38">
        <v>15136</v>
      </c>
      <c r="U38" s="47">
        <v>77.117440999999999</v>
      </c>
      <c r="V38" s="47">
        <v>79.363987600000002</v>
      </c>
      <c r="W38" s="47">
        <v>31.9113404</v>
      </c>
      <c r="X38" s="47">
        <v>39.090066999999998</v>
      </c>
      <c r="Y38" s="47">
        <v>39.328097200000002</v>
      </c>
      <c r="Z38" s="47">
        <v>50.839984399999999</v>
      </c>
      <c r="AA38" s="47">
        <v>30.942427800000001</v>
      </c>
      <c r="AB38" s="39">
        <v>5962.9412160000002</v>
      </c>
      <c r="AC38" s="39">
        <v>76.244099000000006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24</v>
      </c>
      <c r="J39" s="51">
        <f t="shared" si="0"/>
        <v>24.627817499999999</v>
      </c>
      <c r="K39" s="52">
        <f t="shared" si="1"/>
        <v>2.9188524444444446</v>
      </c>
      <c r="L39" s="49">
        <f t="shared" si="2"/>
        <v>26269672</v>
      </c>
      <c r="M39" s="49">
        <f t="shared" si="3"/>
        <v>3926912</v>
      </c>
      <c r="N39" s="53">
        <v>14733824</v>
      </c>
      <c r="O39" s="54">
        <v>26269672</v>
      </c>
      <c r="P39" s="54">
        <v>3114560</v>
      </c>
      <c r="Q39" s="54">
        <v>0</v>
      </c>
      <c r="R39" s="54">
        <v>812352</v>
      </c>
      <c r="S39" s="54">
        <v>22327944</v>
      </c>
      <c r="T39" s="54">
        <v>14816</v>
      </c>
      <c r="U39" s="55">
        <v>79.474362400000004</v>
      </c>
      <c r="V39" s="55">
        <v>82.299347900000001</v>
      </c>
      <c r="W39" s="55">
        <v>32.729931700000002</v>
      </c>
      <c r="X39" s="55">
        <v>39.175255100000001</v>
      </c>
      <c r="Y39" s="55">
        <v>39.471324799999998</v>
      </c>
      <c r="Z39" s="55">
        <v>52.0455714</v>
      </c>
      <c r="AA39" s="55">
        <v>31.819745099999999</v>
      </c>
      <c r="AB39" s="56">
        <v>6687.3795540000001</v>
      </c>
      <c r="AC39" s="56">
        <v>84.536540000000002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4</v>
      </c>
      <c r="J40" s="36">
        <f t="shared" si="0"/>
        <v>3.9836849999999999</v>
      </c>
      <c r="K40" s="37">
        <f t="shared" si="1"/>
        <v>0.47214044444444442</v>
      </c>
      <c r="L40" s="35">
        <f t="shared" si="2"/>
        <v>4249264</v>
      </c>
      <c r="M40" s="35">
        <f t="shared" si="3"/>
        <v>1204048</v>
      </c>
      <c r="N40" s="46">
        <v>1839040</v>
      </c>
      <c r="O40" s="38">
        <v>4249264</v>
      </c>
      <c r="P40" s="38">
        <v>531648</v>
      </c>
      <c r="Q40" s="38">
        <v>0</v>
      </c>
      <c r="R40" s="38">
        <v>672400</v>
      </c>
      <c r="S40" s="38">
        <v>3030696</v>
      </c>
      <c r="T40" s="38">
        <v>14520</v>
      </c>
      <c r="U40" s="47">
        <v>72.654934900000001</v>
      </c>
      <c r="V40" s="47">
        <v>73.968622100000005</v>
      </c>
      <c r="W40" s="47">
        <v>32.543196899999998</v>
      </c>
      <c r="X40" s="47">
        <v>42.241251400000003</v>
      </c>
      <c r="Y40" s="47">
        <v>42.574108099999997</v>
      </c>
      <c r="Z40" s="47">
        <v>48.127142200000002</v>
      </c>
      <c r="AA40" s="47">
        <v>31.655290900000001</v>
      </c>
      <c r="AB40" s="39">
        <v>1558.80549</v>
      </c>
      <c r="AC40" s="39">
        <v>17.494064000000002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6</v>
      </c>
      <c r="J41" s="20">
        <f t="shared" si="0"/>
        <v>6.0512625</v>
      </c>
      <c r="K41" s="21">
        <f t="shared" si="1"/>
        <v>0.71718666666666664</v>
      </c>
      <c r="L41" s="19">
        <f t="shared" si="2"/>
        <v>6454680</v>
      </c>
      <c r="M41" s="19">
        <f t="shared" si="3"/>
        <v>1303216</v>
      </c>
      <c r="N41" s="44">
        <v>1839040</v>
      </c>
      <c r="O41" s="22">
        <v>6454680</v>
      </c>
      <c r="P41" s="22">
        <v>577296</v>
      </c>
      <c r="Q41" s="22">
        <v>0</v>
      </c>
      <c r="R41" s="22">
        <v>725920</v>
      </c>
      <c r="S41" s="22">
        <v>5136896</v>
      </c>
      <c r="T41" s="22">
        <v>14568</v>
      </c>
      <c r="U41" s="45">
        <v>72.886944600000007</v>
      </c>
      <c r="V41" s="45">
        <v>74.229794299999995</v>
      </c>
      <c r="W41" s="45">
        <v>33.194537400000002</v>
      </c>
      <c r="X41" s="45">
        <v>42.505837100000001</v>
      </c>
      <c r="Y41" s="45">
        <v>42.860357</v>
      </c>
      <c r="Z41" s="45">
        <v>48.303001399999999</v>
      </c>
      <c r="AA41" s="45">
        <v>32.079288699999999</v>
      </c>
      <c r="AB41" s="23">
        <v>5085.0297060000003</v>
      </c>
      <c r="AC41" s="23">
        <v>64.035454000000001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11</v>
      </c>
      <c r="J42" s="36">
        <f t="shared" si="0"/>
        <v>11.1128175</v>
      </c>
      <c r="K42" s="37">
        <f t="shared" si="1"/>
        <v>1.3170746666666666</v>
      </c>
      <c r="L42" s="35">
        <f t="shared" si="2"/>
        <v>11853672</v>
      </c>
      <c r="M42" s="35">
        <f t="shared" si="3"/>
        <v>2199392</v>
      </c>
      <c r="N42" s="46">
        <v>7368320</v>
      </c>
      <c r="O42" s="38">
        <v>11853672</v>
      </c>
      <c r="P42" s="38">
        <v>1556624</v>
      </c>
      <c r="Q42" s="38">
        <v>0</v>
      </c>
      <c r="R42" s="38">
        <v>642768</v>
      </c>
      <c r="S42" s="38">
        <v>9639368</v>
      </c>
      <c r="T42" s="38">
        <v>14912</v>
      </c>
      <c r="U42" s="47">
        <v>76.481802000000002</v>
      </c>
      <c r="V42" s="47">
        <v>78.359643800000001</v>
      </c>
      <c r="W42" s="47">
        <v>34.202283100000002</v>
      </c>
      <c r="X42" s="47">
        <v>42.831829599999999</v>
      </c>
      <c r="Y42" s="47">
        <v>43.3615219</v>
      </c>
      <c r="Z42" s="47">
        <v>50.796456599999999</v>
      </c>
      <c r="AA42" s="47">
        <v>33.346292699999999</v>
      </c>
      <c r="AB42" s="39">
        <v>5706.495535</v>
      </c>
      <c r="AC42" s="39">
        <v>73.219247999999993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16</v>
      </c>
      <c r="J43" s="20">
        <f t="shared" si="0"/>
        <v>16.39113</v>
      </c>
      <c r="K43" s="21">
        <f t="shared" si="1"/>
        <v>1.9426524444444444</v>
      </c>
      <c r="L43" s="19">
        <f t="shared" si="2"/>
        <v>17483872</v>
      </c>
      <c r="M43" s="19">
        <f t="shared" si="3"/>
        <v>2646728</v>
      </c>
      <c r="N43" s="44">
        <v>7368320</v>
      </c>
      <c r="O43" s="22">
        <v>17483872</v>
      </c>
      <c r="P43" s="22">
        <v>1729784</v>
      </c>
      <c r="Q43" s="22">
        <v>0</v>
      </c>
      <c r="R43" s="22">
        <v>916944</v>
      </c>
      <c r="S43" s="22">
        <v>14822136</v>
      </c>
      <c r="T43" s="22">
        <v>15008</v>
      </c>
      <c r="U43" s="45">
        <v>77.449883</v>
      </c>
      <c r="V43" s="45">
        <v>79.537702699999997</v>
      </c>
      <c r="W43" s="45">
        <v>34.9009353</v>
      </c>
      <c r="X43" s="45">
        <v>42.973362799999997</v>
      </c>
      <c r="Y43" s="45">
        <v>43.556047399999997</v>
      </c>
      <c r="Z43" s="45">
        <v>51.238388800000003</v>
      </c>
      <c r="AA43" s="45">
        <v>33.975731500000002</v>
      </c>
      <c r="AB43" s="23">
        <v>5546.3209989999996</v>
      </c>
      <c r="AC43" s="23">
        <v>67.672386000000003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24</v>
      </c>
      <c r="J44" s="28">
        <f t="shared" si="0"/>
        <v>24.6876225</v>
      </c>
      <c r="K44" s="29">
        <f t="shared" si="1"/>
        <v>2.9259404444444446</v>
      </c>
      <c r="L44" s="27">
        <f t="shared" si="2"/>
        <v>26333464</v>
      </c>
      <c r="M44" s="27">
        <f t="shared" si="3"/>
        <v>3691288</v>
      </c>
      <c r="N44" s="58">
        <v>14739328</v>
      </c>
      <c r="O44" s="30">
        <v>26333464</v>
      </c>
      <c r="P44" s="30">
        <v>2691720</v>
      </c>
      <c r="Q44" s="30">
        <v>0</v>
      </c>
      <c r="R44" s="30">
        <v>999568</v>
      </c>
      <c r="S44" s="30">
        <v>22627392</v>
      </c>
      <c r="T44" s="30">
        <v>14784</v>
      </c>
      <c r="U44" s="59">
        <v>79.915023399999995</v>
      </c>
      <c r="V44" s="59">
        <v>82.625612099999998</v>
      </c>
      <c r="W44" s="59">
        <v>35.7708011</v>
      </c>
      <c r="X44" s="59">
        <v>43.106379500000003</v>
      </c>
      <c r="Y44" s="59">
        <v>43.766516799999998</v>
      </c>
      <c r="Z44" s="59">
        <v>52.809967999999998</v>
      </c>
      <c r="AA44" s="59">
        <v>34.9738726</v>
      </c>
      <c r="AB44" s="31">
        <v>6416.8282410000002</v>
      </c>
      <c r="AC44" s="31">
        <v>76.950985000000003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4.2292800000000002</v>
      </c>
      <c r="K45" s="21">
        <f t="shared" ref="K45:K49" si="13">IF(ISBLANK(O45),"·",O45/D45)</f>
        <v>0.70493639491159288</v>
      </c>
      <c r="L45" s="19">
        <f t="shared" ref="L45:L49" si="14">IF(OR(ISBLANK(M45),ISBLANK(S45),ISBLANK(T45)),".",M45+S45+T45)</f>
        <v>140976</v>
      </c>
      <c r="M45" s="19">
        <f t="shared" ref="M45:M49" si="15">IF(OR(ISBLANK(Q45),ISBLANK(P45),ISBLANK(R45)),".",P45+Q45+R45)</f>
        <v>46088</v>
      </c>
      <c r="N45" s="44">
        <v>76800</v>
      </c>
      <c r="O45" s="22">
        <v>140976</v>
      </c>
      <c r="P45" s="22">
        <v>21312</v>
      </c>
      <c r="Q45" s="22">
        <v>0</v>
      </c>
      <c r="R45" s="22">
        <v>24776</v>
      </c>
      <c r="S45" s="22">
        <v>93312</v>
      </c>
      <c r="T45" s="22">
        <v>1576</v>
      </c>
      <c r="U45" s="45">
        <v>74.524426899999995</v>
      </c>
      <c r="V45" s="45">
        <v>76.5139341</v>
      </c>
      <c r="W45" s="45">
        <v>30.238096599999999</v>
      </c>
      <c r="X45" s="45">
        <v>41.188856000000001</v>
      </c>
      <c r="Y45" s="45">
        <v>39.595556700000003</v>
      </c>
      <c r="Z45" s="45">
        <v>54.122185100000003</v>
      </c>
      <c r="AA45" s="45">
        <v>29.431978399999998</v>
      </c>
      <c r="AB45" s="23">
        <v>48.271329999999999</v>
      </c>
      <c r="AC45" s="23">
        <v>0.26423400000000002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>
        <f t="shared" si="12"/>
        <v>6.4730400000000001</v>
      </c>
      <c r="K46" s="37">
        <f t="shared" si="13"/>
        <v>1.0789263141051284</v>
      </c>
      <c r="L46" s="35">
        <f t="shared" si="14"/>
        <v>215768</v>
      </c>
      <c r="M46" s="35">
        <f t="shared" si="15"/>
        <v>56224</v>
      </c>
      <c r="N46" s="46">
        <v>153600</v>
      </c>
      <c r="O46" s="38">
        <v>215768</v>
      </c>
      <c r="P46" s="38">
        <v>35072</v>
      </c>
      <c r="Q46" s="38">
        <v>0</v>
      </c>
      <c r="R46" s="38">
        <v>21152</v>
      </c>
      <c r="S46" s="38">
        <v>157928</v>
      </c>
      <c r="T46" s="38">
        <v>1616</v>
      </c>
      <c r="U46" s="47">
        <v>75.687530499999994</v>
      </c>
      <c r="V46" s="47">
        <v>77.986673800000005</v>
      </c>
      <c r="W46" s="47">
        <v>31.157793900000001</v>
      </c>
      <c r="X46" s="47">
        <v>42.283162599999997</v>
      </c>
      <c r="Y46" s="47">
        <v>40.591721100000001</v>
      </c>
      <c r="Z46" s="47">
        <v>54.831061499999997</v>
      </c>
      <c r="AA46" s="47">
        <v>29.977537999999999</v>
      </c>
      <c r="AB46" s="39">
        <v>56.579917999999999</v>
      </c>
      <c r="AC46" s="39">
        <v>0.24151600000000001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>
        <f t="shared" si="12"/>
        <v>10.708320000000001</v>
      </c>
      <c r="K47" s="21">
        <f t="shared" si="13"/>
        <v>1.7848627890231219</v>
      </c>
      <c r="L47" s="19">
        <f t="shared" si="14"/>
        <v>356944</v>
      </c>
      <c r="M47" s="19">
        <f t="shared" si="15"/>
        <v>81536</v>
      </c>
      <c r="N47" s="44">
        <v>307200</v>
      </c>
      <c r="O47" s="22">
        <v>356944</v>
      </c>
      <c r="P47" s="22">
        <v>66592</v>
      </c>
      <c r="Q47" s="22">
        <v>0</v>
      </c>
      <c r="R47" s="22">
        <v>14944</v>
      </c>
      <c r="S47" s="22">
        <v>273784</v>
      </c>
      <c r="T47" s="22">
        <v>1624</v>
      </c>
      <c r="U47" s="45">
        <v>77.288102699999996</v>
      </c>
      <c r="V47" s="45">
        <v>79.929790100000005</v>
      </c>
      <c r="W47" s="45">
        <v>31.751473900000001</v>
      </c>
      <c r="X47" s="45">
        <v>44.319451600000001</v>
      </c>
      <c r="Y47" s="45">
        <v>43.1361816</v>
      </c>
      <c r="Z47" s="45">
        <v>55.7650285</v>
      </c>
      <c r="AA47" s="45">
        <v>31.127217000000002</v>
      </c>
      <c r="AB47" s="23">
        <v>195.63119499999999</v>
      </c>
      <c r="AC47" s="23">
        <v>1.959527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>
        <f t="shared" si="12"/>
        <v>14.263920000000001</v>
      </c>
      <c r="K48" s="37">
        <f t="shared" si="13"/>
        <v>2.3775102008160651</v>
      </c>
      <c r="L48" s="35">
        <f t="shared" si="14"/>
        <v>475464</v>
      </c>
      <c r="M48" s="35">
        <f t="shared" si="15"/>
        <v>90760</v>
      </c>
      <c r="N48" s="46">
        <v>307200</v>
      </c>
      <c r="O48" s="38">
        <v>475464</v>
      </c>
      <c r="P48" s="38">
        <v>66592</v>
      </c>
      <c r="Q48" s="38">
        <v>0</v>
      </c>
      <c r="R48" s="38">
        <v>24168</v>
      </c>
      <c r="S48" s="38">
        <v>383064</v>
      </c>
      <c r="T48" s="38">
        <v>1640</v>
      </c>
      <c r="U48" s="47">
        <v>78.687753099999995</v>
      </c>
      <c r="V48" s="47">
        <v>81.812540100000007</v>
      </c>
      <c r="W48" s="47">
        <v>32.306105199999998</v>
      </c>
      <c r="X48" s="47">
        <v>44.626617199999998</v>
      </c>
      <c r="Y48" s="47">
        <v>43.605740500000003</v>
      </c>
      <c r="Z48" s="47">
        <v>56.752282999999998</v>
      </c>
      <c r="AA48" s="47">
        <v>31.7123879</v>
      </c>
      <c r="AB48" s="39">
        <v>190.593851</v>
      </c>
      <c r="AC48" s="39">
        <v>2.108638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>
        <f t="shared" si="12"/>
        <v>22.333200000000001</v>
      </c>
      <c r="K49" s="52">
        <f t="shared" si="13"/>
        <v>3.7224977998239859</v>
      </c>
      <c r="L49" s="49">
        <f t="shared" si="14"/>
        <v>744440</v>
      </c>
      <c r="M49" s="49">
        <f t="shared" si="15"/>
        <v>147416</v>
      </c>
      <c r="N49" s="53">
        <v>614272</v>
      </c>
      <c r="O49" s="54">
        <v>744440</v>
      </c>
      <c r="P49" s="54">
        <v>118952</v>
      </c>
      <c r="Q49" s="54">
        <v>0</v>
      </c>
      <c r="R49" s="54">
        <v>28464</v>
      </c>
      <c r="S49" s="54">
        <v>595352</v>
      </c>
      <c r="T49" s="54">
        <v>1672</v>
      </c>
      <c r="U49" s="55">
        <v>80.405805299999997</v>
      </c>
      <c r="V49" s="55">
        <v>84.458735300000001</v>
      </c>
      <c r="W49" s="55">
        <v>33.127863400000003</v>
      </c>
      <c r="X49" s="55">
        <v>45.293516500000003</v>
      </c>
      <c r="Y49" s="55">
        <v>44.381829199999999</v>
      </c>
      <c r="Z49" s="55">
        <v>57.884126000000002</v>
      </c>
      <c r="AA49" s="55">
        <v>32.596452999999997</v>
      </c>
      <c r="AB49" s="56">
        <v>221.55663799999999</v>
      </c>
      <c r="AC49" s="56">
        <v>2.3830640000000001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1.3266780830280829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0.9545814882032021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1.6255371571693196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1.9337466997359787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1.4442682745417581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 t="shared" ref="AZ54:BF54" si="33">AVERAGE(AZ5:AZ49)</f>
        <v>#DIV/0!</v>
      </c>
      <c r="BA54" s="5" t="e">
        <f t="shared" si="33"/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 t="shared" ref="BH54:BN54" si="34">AVERAGE(BH5:BH49)</f>
        <v>#DIV/0!</v>
      </c>
      <c r="BI54" s="5" t="e">
        <f t="shared" si="34"/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125384.696266</v>
      </c>
      <c r="AC55" s="43">
        <f>SUM(AC5:AC14,AC15:AC24,AC25:AC44,AC45:AC49)</f>
        <v>1502.5779820000005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W56" s="8">
        <f>AW55/AB55</f>
        <v>0</v>
      </c>
      <c r="AX56" s="8">
        <f>AX55/AC55</f>
        <v>0</v>
      </c>
    </row>
    <row r="59" spans="1:72" ht="15.75" customHeight="1" thickBot="1" x14ac:dyDescent="0.2"/>
    <row r="60" spans="1:72" x14ac:dyDescent="0.15">
      <c r="AG60" s="88" t="e">
        <f t="shared" ref="AG60:AG98" si="36">AG5-L5</f>
        <v>#VALUE!</v>
      </c>
      <c r="AH60" s="88" t="e">
        <f t="shared" ref="AH60:AH98" si="37">AH5-M5</f>
        <v>#VALUE!</v>
      </c>
      <c r="AI60" s="88">
        <f t="shared" ref="AI60:AI98" si="38">AI5-N5</f>
        <v>-2415872</v>
      </c>
      <c r="AJ60" s="88">
        <f t="shared" ref="AJ60:AJ98" si="39">AJ5-O5</f>
        <v>-5311472</v>
      </c>
      <c r="AK60" s="88">
        <f t="shared" ref="AK60:AK98" si="40">AK5-P5</f>
        <v>-800712</v>
      </c>
      <c r="AL60" s="88">
        <f t="shared" ref="AL60:AL98" si="41">AL5-Q5</f>
        <v>0</v>
      </c>
      <c r="AM60" s="88">
        <f t="shared" ref="AM60:AM98" si="42">AM5-R5</f>
        <v>-791360</v>
      </c>
      <c r="AN60" s="88">
        <f t="shared" ref="AN60:AN98" si="43">AN5-S5</f>
        <v>-3705528</v>
      </c>
      <c r="AO60" s="88">
        <f t="shared" ref="AO60:AO98" si="44">AO5-T5</f>
        <v>-13872</v>
      </c>
      <c r="AP60" s="88">
        <f t="shared" ref="AP60:AP98" si="45">AP5-U5</f>
        <v>-70.227694299999996</v>
      </c>
      <c r="AQ60" s="89">
        <f t="shared" ref="AQ60:AQ98" si="46">AQ5-V5</f>
        <v>-71.497861700000001</v>
      </c>
      <c r="AR60" s="89">
        <f t="shared" ref="AR60:AR98" si="47">AR5-W5</f>
        <v>-28.886966000000001</v>
      </c>
      <c r="AS60" s="89">
        <f t="shared" ref="AS60:AS98" si="48">AS5-X5</f>
        <v>-33.984265100000002</v>
      </c>
      <c r="AT60" s="89">
        <f t="shared" ref="AT60:AT98" si="49">AT5-Y5</f>
        <v>-33.448338</v>
      </c>
      <c r="AU60" s="89">
        <f t="shared" ref="AU60:AU98" si="50">AU5-Z5</f>
        <v>-50.071269200000003</v>
      </c>
      <c r="AV60" s="90">
        <f t="shared" ref="AV60:AV98" si="51">AV5-AA5</f>
        <v>-27.697968299999999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-2415872</v>
      </c>
      <c r="AJ61" s="91">
        <f t="shared" si="39"/>
        <v>-9777744</v>
      </c>
      <c r="AK61" s="91">
        <f t="shared" si="40"/>
        <v>-866072</v>
      </c>
      <c r="AL61" s="91">
        <f t="shared" si="41"/>
        <v>0</v>
      </c>
      <c r="AM61" s="91">
        <f t="shared" si="42"/>
        <v>-985608</v>
      </c>
      <c r="AN61" s="91">
        <f t="shared" si="43"/>
        <v>-7912512</v>
      </c>
      <c r="AO61" s="91">
        <f t="shared" si="44"/>
        <v>-13552</v>
      </c>
      <c r="AP61" s="91">
        <f t="shared" si="45"/>
        <v>-70.907611900000006</v>
      </c>
      <c r="AQ61" s="92">
        <f t="shared" si="46"/>
        <v>-72.270471099999995</v>
      </c>
      <c r="AR61" s="92">
        <f t="shared" si="47"/>
        <v>-31.662897600000001</v>
      </c>
      <c r="AS61" s="92">
        <f t="shared" si="48"/>
        <v>-35.209678099999998</v>
      </c>
      <c r="AT61" s="92">
        <f t="shared" si="49"/>
        <v>-34.771355100000001</v>
      </c>
      <c r="AU61" s="92">
        <f t="shared" si="50"/>
        <v>-50.384180399999998</v>
      </c>
      <c r="AV61" s="93">
        <f t="shared" si="51"/>
        <v>-29.370492299999999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-4871680</v>
      </c>
      <c r="AJ62" s="91">
        <f t="shared" si="39"/>
        <v>-13083416</v>
      </c>
      <c r="AK62" s="91">
        <f t="shared" si="40"/>
        <v>-1271064</v>
      </c>
      <c r="AL62" s="91">
        <f t="shared" si="41"/>
        <v>0</v>
      </c>
      <c r="AM62" s="91">
        <f t="shared" si="42"/>
        <v>-749976</v>
      </c>
      <c r="AN62" s="91">
        <f t="shared" si="43"/>
        <v>-11048640</v>
      </c>
      <c r="AO62" s="91">
        <f t="shared" si="44"/>
        <v>-13736</v>
      </c>
      <c r="AP62" s="91">
        <f t="shared" si="45"/>
        <v>-71.826047900000006</v>
      </c>
      <c r="AQ62" s="92">
        <f t="shared" si="46"/>
        <v>-73.339456299999995</v>
      </c>
      <c r="AR62" s="92">
        <f t="shared" si="47"/>
        <v>-32.723744699999997</v>
      </c>
      <c r="AS62" s="92">
        <f t="shared" si="48"/>
        <v>-36.932207300000002</v>
      </c>
      <c r="AT62" s="92">
        <f t="shared" si="49"/>
        <v>-36.668305799999999</v>
      </c>
      <c r="AU62" s="92">
        <f t="shared" si="50"/>
        <v>-51.114103700000001</v>
      </c>
      <c r="AV62" s="93">
        <f t="shared" si="51"/>
        <v>-30.4898107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-4871680</v>
      </c>
      <c r="AJ63" s="91">
        <f t="shared" si="39"/>
        <v>-16373768</v>
      </c>
      <c r="AK63" s="91">
        <f t="shared" si="40"/>
        <v>-1393248</v>
      </c>
      <c r="AL63" s="91">
        <f t="shared" si="41"/>
        <v>0</v>
      </c>
      <c r="AM63" s="91">
        <f t="shared" si="42"/>
        <v>-1330744</v>
      </c>
      <c r="AN63" s="91">
        <f t="shared" si="43"/>
        <v>-13635368</v>
      </c>
      <c r="AO63" s="91">
        <f t="shared" si="44"/>
        <v>-14408</v>
      </c>
      <c r="AP63" s="91">
        <f t="shared" si="45"/>
        <v>-73.825176099999993</v>
      </c>
      <c r="AQ63" s="92">
        <f t="shared" si="46"/>
        <v>-75.637891600000003</v>
      </c>
      <c r="AR63" s="92">
        <f t="shared" si="47"/>
        <v>-33.690634099999997</v>
      </c>
      <c r="AS63" s="92">
        <f t="shared" si="48"/>
        <v>-37.453765699999998</v>
      </c>
      <c r="AT63" s="92">
        <f t="shared" si="49"/>
        <v>-37.195208399999999</v>
      </c>
      <c r="AU63" s="92">
        <f t="shared" si="50"/>
        <v>-52.036012599999999</v>
      </c>
      <c r="AV63" s="93">
        <f t="shared" si="51"/>
        <v>-31.605468299999998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-9785664</v>
      </c>
      <c r="AJ64" s="91">
        <f t="shared" si="39"/>
        <v>-23985680</v>
      </c>
      <c r="AK64" s="91">
        <f t="shared" si="40"/>
        <v>-2101472</v>
      </c>
      <c r="AL64" s="91">
        <f t="shared" si="41"/>
        <v>0</v>
      </c>
      <c r="AM64" s="91">
        <f t="shared" si="42"/>
        <v>-2403640</v>
      </c>
      <c r="AN64" s="91">
        <f t="shared" si="43"/>
        <v>-19465856</v>
      </c>
      <c r="AO64" s="91">
        <f t="shared" si="44"/>
        <v>-14712</v>
      </c>
      <c r="AP64" s="91">
        <f t="shared" si="45"/>
        <v>-76.663121799999999</v>
      </c>
      <c r="AQ64" s="92">
        <f t="shared" si="46"/>
        <v>-79.154731299999995</v>
      </c>
      <c r="AR64" s="92">
        <f t="shared" si="47"/>
        <v>-35.068816900000002</v>
      </c>
      <c r="AS64" s="92">
        <f t="shared" si="48"/>
        <v>-38.601624000000001</v>
      </c>
      <c r="AT64" s="92">
        <f t="shared" si="49"/>
        <v>-38.322405699999997</v>
      </c>
      <c r="AU64" s="92">
        <f t="shared" si="50"/>
        <v>-53.751700300000003</v>
      </c>
      <c r="AV64" s="93">
        <f t="shared" si="51"/>
        <v>-33.2676254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-2393664</v>
      </c>
      <c r="AJ65" s="91">
        <f t="shared" si="39"/>
        <v>-5395736</v>
      </c>
      <c r="AK65" s="91">
        <f t="shared" si="40"/>
        <v>-864888</v>
      </c>
      <c r="AL65" s="91">
        <f t="shared" si="41"/>
        <v>0</v>
      </c>
      <c r="AM65" s="91">
        <f t="shared" si="42"/>
        <v>-650184</v>
      </c>
      <c r="AN65" s="91">
        <f t="shared" si="43"/>
        <v>-3866384</v>
      </c>
      <c r="AO65" s="91">
        <f t="shared" si="44"/>
        <v>-14280</v>
      </c>
      <c r="AP65" s="91">
        <f t="shared" si="45"/>
        <v>-66.2633036</v>
      </c>
      <c r="AQ65" s="92">
        <f t="shared" si="46"/>
        <v>-67.0622422</v>
      </c>
      <c r="AR65" s="92">
        <f t="shared" si="47"/>
        <v>-32.179841000000003</v>
      </c>
      <c r="AS65" s="92">
        <f t="shared" si="48"/>
        <v>-44.8006873</v>
      </c>
      <c r="AT65" s="92">
        <f t="shared" si="49"/>
        <v>-45.117893899999999</v>
      </c>
      <c r="AU65" s="92">
        <f t="shared" si="50"/>
        <v>-44.831187399999997</v>
      </c>
      <c r="AV65" s="93">
        <f t="shared" si="51"/>
        <v>-29.8241464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-4847680</v>
      </c>
      <c r="AJ66" s="91">
        <f t="shared" si="39"/>
        <v>-9744512</v>
      </c>
      <c r="AK66" s="91">
        <f t="shared" si="40"/>
        <v>-1377776</v>
      </c>
      <c r="AL66" s="91">
        <f t="shared" si="41"/>
        <v>0</v>
      </c>
      <c r="AM66" s="91">
        <f t="shared" si="42"/>
        <v>-1055880</v>
      </c>
      <c r="AN66" s="91">
        <f t="shared" si="43"/>
        <v>-7296344</v>
      </c>
      <c r="AO66" s="91">
        <f t="shared" si="44"/>
        <v>-14512</v>
      </c>
      <c r="AP66" s="91">
        <f t="shared" si="45"/>
        <v>-70.5200155</v>
      </c>
      <c r="AQ66" s="92">
        <f t="shared" si="46"/>
        <v>-71.922868100000002</v>
      </c>
      <c r="AR66" s="92">
        <f t="shared" si="47"/>
        <v>-34.877478600000003</v>
      </c>
      <c r="AS66" s="92">
        <f t="shared" si="48"/>
        <v>-45.453768400000001</v>
      </c>
      <c r="AT66" s="92">
        <f t="shared" si="49"/>
        <v>-45.8806619</v>
      </c>
      <c r="AU66" s="92">
        <f t="shared" si="50"/>
        <v>-47.235641899999997</v>
      </c>
      <c r="AV66" s="93">
        <f t="shared" si="51"/>
        <v>-32.488820599999997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-4847680</v>
      </c>
      <c r="AJ67" s="91">
        <f t="shared" si="39"/>
        <v>-12899536</v>
      </c>
      <c r="AK67" s="91">
        <f t="shared" si="40"/>
        <v>-1377776</v>
      </c>
      <c r="AL67" s="91">
        <f t="shared" si="41"/>
        <v>0</v>
      </c>
      <c r="AM67" s="91">
        <f t="shared" si="42"/>
        <v>-2296016</v>
      </c>
      <c r="AN67" s="91">
        <f t="shared" si="43"/>
        <v>-9212160</v>
      </c>
      <c r="AO67" s="91">
        <f t="shared" si="44"/>
        <v>-13584</v>
      </c>
      <c r="AP67" s="91">
        <f t="shared" si="45"/>
        <v>-73.025662600000004</v>
      </c>
      <c r="AQ67" s="92">
        <f t="shared" si="46"/>
        <v>-74.823964899999993</v>
      </c>
      <c r="AR67" s="92">
        <f t="shared" si="47"/>
        <v>-35.946379999999998</v>
      </c>
      <c r="AS67" s="92">
        <f t="shared" si="48"/>
        <v>-45.769863700000002</v>
      </c>
      <c r="AT67" s="92">
        <f t="shared" si="49"/>
        <v>-46.216681899999998</v>
      </c>
      <c r="AU67" s="92">
        <f t="shared" si="50"/>
        <v>-48.453992399999997</v>
      </c>
      <c r="AV67" s="93">
        <f t="shared" si="51"/>
        <v>-33.813625299999998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-9761152</v>
      </c>
      <c r="AJ68" s="91">
        <f t="shared" si="39"/>
        <v>-16147912</v>
      </c>
      <c r="AK68" s="91">
        <f t="shared" si="40"/>
        <v>-2272072</v>
      </c>
      <c r="AL68" s="91">
        <f t="shared" si="41"/>
        <v>0</v>
      </c>
      <c r="AM68" s="91">
        <f t="shared" si="42"/>
        <v>-2192856</v>
      </c>
      <c r="AN68" s="91">
        <f t="shared" si="43"/>
        <v>-11668544</v>
      </c>
      <c r="AO68" s="91">
        <f t="shared" si="44"/>
        <v>-14440</v>
      </c>
      <c r="AP68" s="91">
        <f t="shared" si="45"/>
        <v>-74.662188900000004</v>
      </c>
      <c r="AQ68" s="92">
        <f t="shared" si="46"/>
        <v>-76.772622100000007</v>
      </c>
      <c r="AR68" s="92">
        <f t="shared" si="47"/>
        <v>-37.017287400000001</v>
      </c>
      <c r="AS68" s="92">
        <f t="shared" si="48"/>
        <v>-46.527483799999999</v>
      </c>
      <c r="AT68" s="92">
        <f t="shared" si="49"/>
        <v>-47.1072791</v>
      </c>
      <c r="AU68" s="92">
        <f t="shared" si="50"/>
        <v>-49.471889900000001</v>
      </c>
      <c r="AV68" s="93">
        <f t="shared" si="51"/>
        <v>-34.932098699999997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-9761152</v>
      </c>
      <c r="AJ69" s="91">
        <f t="shared" si="39"/>
        <v>-23803304</v>
      </c>
      <c r="AK69" s="91">
        <f t="shared" si="40"/>
        <v>-2509608</v>
      </c>
      <c r="AL69" s="91">
        <f t="shared" si="41"/>
        <v>0</v>
      </c>
      <c r="AM69" s="91">
        <f t="shared" si="42"/>
        <v>-3011256</v>
      </c>
      <c r="AN69" s="91">
        <f t="shared" si="43"/>
        <v>-18268040</v>
      </c>
      <c r="AO69" s="91">
        <f t="shared" si="44"/>
        <v>-14400</v>
      </c>
      <c r="AP69" s="91">
        <f t="shared" si="45"/>
        <v>-75.699365900000004</v>
      </c>
      <c r="AQ69" s="92">
        <f t="shared" si="46"/>
        <v>-78.080826000000002</v>
      </c>
      <c r="AR69" s="92">
        <f t="shared" si="47"/>
        <v>-38.700170900000003</v>
      </c>
      <c r="AS69" s="92">
        <f t="shared" si="48"/>
        <v>-47.576073899999997</v>
      </c>
      <c r="AT69" s="92">
        <f t="shared" si="49"/>
        <v>-48.237028199999997</v>
      </c>
      <c r="AU69" s="92">
        <f t="shared" si="50"/>
        <v>-49.950397799999998</v>
      </c>
      <c r="AV69" s="93">
        <f t="shared" si="51"/>
        <v>-36.2050239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-2419456</v>
      </c>
      <c r="AJ70" s="91">
        <f t="shared" si="39"/>
        <v>-3145136</v>
      </c>
      <c r="AK70" s="91">
        <f t="shared" si="40"/>
        <v>-684392</v>
      </c>
      <c r="AL70" s="91">
        <f t="shared" si="41"/>
        <v>0</v>
      </c>
      <c r="AM70" s="91">
        <f t="shared" si="42"/>
        <v>-457960</v>
      </c>
      <c r="AN70" s="91">
        <f t="shared" si="43"/>
        <v>-1988496</v>
      </c>
      <c r="AO70" s="91">
        <f t="shared" si="44"/>
        <v>-14288</v>
      </c>
      <c r="AP70" s="91">
        <f t="shared" si="45"/>
        <v>-71.784670500000004</v>
      </c>
      <c r="AQ70" s="92">
        <f t="shared" si="46"/>
        <v>-73.073559700000004</v>
      </c>
      <c r="AR70" s="92">
        <f t="shared" si="47"/>
        <v>-35.631403900000002</v>
      </c>
      <c r="AS70" s="92">
        <f t="shared" si="48"/>
        <v>-43.3868054</v>
      </c>
      <c r="AT70" s="92">
        <f t="shared" si="49"/>
        <v>-45.0143007</v>
      </c>
      <c r="AU70" s="92">
        <f t="shared" si="50"/>
        <v>-45.695622800000002</v>
      </c>
      <c r="AV70" s="93">
        <f t="shared" si="51"/>
        <v>-32.427937999999997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-2419456</v>
      </c>
      <c r="AJ71" s="91">
        <f t="shared" si="39"/>
        <v>-5287152</v>
      </c>
      <c r="AK71" s="91">
        <f t="shared" si="40"/>
        <v>-746008</v>
      </c>
      <c r="AL71" s="91">
        <f t="shared" si="41"/>
        <v>0</v>
      </c>
      <c r="AM71" s="91">
        <f t="shared" si="42"/>
        <v>-691632</v>
      </c>
      <c r="AN71" s="91">
        <f t="shared" si="43"/>
        <v>-3834952</v>
      </c>
      <c r="AO71" s="91">
        <f t="shared" si="44"/>
        <v>-14560</v>
      </c>
      <c r="AP71" s="91">
        <f t="shared" si="45"/>
        <v>-73.557611600000001</v>
      </c>
      <c r="AQ71" s="92">
        <f t="shared" si="46"/>
        <v>-75.037586099999999</v>
      </c>
      <c r="AR71" s="92">
        <f t="shared" si="47"/>
        <v>-38.401719700000001</v>
      </c>
      <c r="AS71" s="92">
        <f t="shared" si="48"/>
        <v>-44.046152399999997</v>
      </c>
      <c r="AT71" s="92">
        <f t="shared" si="49"/>
        <v>-46.278184400000001</v>
      </c>
      <c r="AU71" s="92">
        <f t="shared" si="50"/>
        <v>-46.4383658</v>
      </c>
      <c r="AV71" s="93">
        <f t="shared" si="51"/>
        <v>-34.084742200000001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-4841472</v>
      </c>
      <c r="AJ72" s="91">
        <f t="shared" si="39"/>
        <v>-10525560</v>
      </c>
      <c r="AK72" s="91">
        <f t="shared" si="40"/>
        <v>-1249720</v>
      </c>
      <c r="AL72" s="91">
        <f t="shared" si="41"/>
        <v>0</v>
      </c>
      <c r="AM72" s="91">
        <f t="shared" si="42"/>
        <v>-1519952</v>
      </c>
      <c r="AN72" s="91">
        <f t="shared" si="43"/>
        <v>-7741432</v>
      </c>
      <c r="AO72" s="91">
        <f t="shared" si="44"/>
        <v>-14456</v>
      </c>
      <c r="AP72" s="91">
        <f t="shared" si="45"/>
        <v>-78.264783899999998</v>
      </c>
      <c r="AQ72" s="92">
        <f t="shared" si="46"/>
        <v>-80.584249700000001</v>
      </c>
      <c r="AR72" s="92">
        <f t="shared" si="47"/>
        <v>-41.036051</v>
      </c>
      <c r="AS72" s="92">
        <f t="shared" si="48"/>
        <v>-44.961104200000001</v>
      </c>
      <c r="AT72" s="92">
        <f t="shared" si="49"/>
        <v>-48.003155300000003</v>
      </c>
      <c r="AU72" s="92">
        <f t="shared" si="50"/>
        <v>-48.813600000000001</v>
      </c>
      <c r="AV72" s="93">
        <f t="shared" si="51"/>
        <v>-37.275151999999999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-9684544</v>
      </c>
      <c r="AJ73" s="91">
        <f t="shared" si="39"/>
        <v>-15049472</v>
      </c>
      <c r="AK73" s="91">
        <f t="shared" si="40"/>
        <v>-2163032</v>
      </c>
      <c r="AL73" s="91">
        <f t="shared" si="41"/>
        <v>0</v>
      </c>
      <c r="AM73" s="91">
        <f t="shared" si="42"/>
        <v>-1634640</v>
      </c>
      <c r="AN73" s="91">
        <f t="shared" si="43"/>
        <v>-11237488</v>
      </c>
      <c r="AO73" s="91">
        <f t="shared" si="44"/>
        <v>-14312</v>
      </c>
      <c r="AP73" s="91">
        <f t="shared" si="45"/>
        <v>-79.558201800000006</v>
      </c>
      <c r="AQ73" s="92">
        <f t="shared" si="46"/>
        <v>-82.306608900000001</v>
      </c>
      <c r="AR73" s="92">
        <f t="shared" si="47"/>
        <v>-41.957297599999997</v>
      </c>
      <c r="AS73" s="92">
        <f t="shared" si="48"/>
        <v>-45.652393400000001</v>
      </c>
      <c r="AT73" s="92">
        <f t="shared" si="49"/>
        <v>-49.2024355</v>
      </c>
      <c r="AU73" s="92">
        <f t="shared" si="50"/>
        <v>-49.7686615</v>
      </c>
      <c r="AV73" s="93">
        <f t="shared" si="51"/>
        <v>-38.358427300000002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-9684544</v>
      </c>
      <c r="AJ74" s="91">
        <f t="shared" si="39"/>
        <v>-22706768</v>
      </c>
      <c r="AK74" s="91">
        <f t="shared" si="40"/>
        <v>-2163032</v>
      </c>
      <c r="AL74" s="91">
        <f t="shared" si="41"/>
        <v>0</v>
      </c>
      <c r="AM74" s="91">
        <f t="shared" si="42"/>
        <v>-1846536</v>
      </c>
      <c r="AN74" s="91">
        <f t="shared" si="43"/>
        <v>-18682808</v>
      </c>
      <c r="AO74" s="91">
        <f t="shared" si="44"/>
        <v>-14392</v>
      </c>
      <c r="AP74" s="91">
        <f t="shared" si="45"/>
        <v>-79.920927300000002</v>
      </c>
      <c r="AQ74" s="92">
        <f t="shared" si="46"/>
        <v>-82.837632400000004</v>
      </c>
      <c r="AR74" s="92">
        <f t="shared" si="47"/>
        <v>-42.951791399999998</v>
      </c>
      <c r="AS74" s="92">
        <f t="shared" si="48"/>
        <v>-46.588687999999998</v>
      </c>
      <c r="AT74" s="92">
        <f t="shared" si="49"/>
        <v>-50.540732300000002</v>
      </c>
      <c r="AU74" s="92">
        <f t="shared" si="50"/>
        <v>-49.938614399999999</v>
      </c>
      <c r="AV74" s="93">
        <f t="shared" si="51"/>
        <v>-38.911935300000003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-2417984</v>
      </c>
      <c r="AJ75" s="91">
        <f t="shared" si="39"/>
        <v>-3120224</v>
      </c>
      <c r="AK75" s="91">
        <f t="shared" si="40"/>
        <v>-660728</v>
      </c>
      <c r="AL75" s="91">
        <f t="shared" si="41"/>
        <v>0</v>
      </c>
      <c r="AM75" s="91">
        <f t="shared" si="42"/>
        <v>-453072</v>
      </c>
      <c r="AN75" s="91">
        <f t="shared" si="43"/>
        <v>-1992208</v>
      </c>
      <c r="AO75" s="91">
        <f t="shared" si="44"/>
        <v>-14216</v>
      </c>
      <c r="AP75" s="91">
        <f t="shared" si="45"/>
        <v>-71.753850200000002</v>
      </c>
      <c r="AQ75" s="92">
        <f t="shared" si="46"/>
        <v>-73.096716599999993</v>
      </c>
      <c r="AR75" s="92">
        <f t="shared" si="47"/>
        <v>-34.607950600000002</v>
      </c>
      <c r="AS75" s="92">
        <f t="shared" si="48"/>
        <v>-42.802276800000001</v>
      </c>
      <c r="AT75" s="92">
        <f t="shared" si="49"/>
        <v>-44.060676000000001</v>
      </c>
      <c r="AU75" s="92">
        <f t="shared" si="50"/>
        <v>-48.614354900000002</v>
      </c>
      <c r="AV75" s="93">
        <f t="shared" si="51"/>
        <v>-31.538924900000001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-2417984</v>
      </c>
      <c r="AJ76" s="91">
        <f t="shared" si="39"/>
        <v>-5304992</v>
      </c>
      <c r="AK76" s="91">
        <f t="shared" si="40"/>
        <v>-660728</v>
      </c>
      <c r="AL76" s="91">
        <f t="shared" si="41"/>
        <v>0</v>
      </c>
      <c r="AM76" s="91">
        <f t="shared" si="42"/>
        <v>-505952</v>
      </c>
      <c r="AN76" s="91">
        <f t="shared" si="43"/>
        <v>-4123896</v>
      </c>
      <c r="AO76" s="91">
        <f t="shared" si="44"/>
        <v>-14416</v>
      </c>
      <c r="AP76" s="91">
        <f t="shared" si="45"/>
        <v>-72.202910299999999</v>
      </c>
      <c r="AQ76" s="92">
        <f t="shared" si="46"/>
        <v>-73.598292099999995</v>
      </c>
      <c r="AR76" s="92">
        <f t="shared" si="47"/>
        <v>-37.499279600000001</v>
      </c>
      <c r="AS76" s="92">
        <f t="shared" si="48"/>
        <v>-44.009877500000002</v>
      </c>
      <c r="AT76" s="92">
        <f t="shared" si="49"/>
        <v>-45.960662499999998</v>
      </c>
      <c r="AU76" s="92">
        <f t="shared" si="50"/>
        <v>-48.815713500000001</v>
      </c>
      <c r="AV76" s="93">
        <f t="shared" si="51"/>
        <v>-32.763874600000001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-4836096</v>
      </c>
      <c r="AJ77" s="91">
        <f t="shared" si="39"/>
        <v>-10637112</v>
      </c>
      <c r="AK77" s="91">
        <f t="shared" si="40"/>
        <v>-1104896</v>
      </c>
      <c r="AL77" s="91">
        <f t="shared" si="41"/>
        <v>0</v>
      </c>
      <c r="AM77" s="91">
        <f t="shared" si="42"/>
        <v>-1541632</v>
      </c>
      <c r="AN77" s="91">
        <f t="shared" si="43"/>
        <v>-7976136</v>
      </c>
      <c r="AO77" s="91">
        <f t="shared" si="44"/>
        <v>-14448</v>
      </c>
      <c r="AP77" s="91">
        <f t="shared" si="45"/>
        <v>-78.043440200000006</v>
      </c>
      <c r="AQ77" s="92">
        <f t="shared" si="46"/>
        <v>-80.556524400000001</v>
      </c>
      <c r="AR77" s="92">
        <f t="shared" si="47"/>
        <v>-40.468558600000001</v>
      </c>
      <c r="AS77" s="92">
        <f t="shared" si="48"/>
        <v>-45.305330699999999</v>
      </c>
      <c r="AT77" s="92">
        <f t="shared" si="49"/>
        <v>-48.011191799999999</v>
      </c>
      <c r="AU77" s="92">
        <f t="shared" si="50"/>
        <v>-51.847111200000001</v>
      </c>
      <c r="AV77" s="93">
        <f t="shared" si="51"/>
        <v>-36.722354299999999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-9673280</v>
      </c>
      <c r="AJ78" s="91">
        <f t="shared" si="39"/>
        <v>-14896672</v>
      </c>
      <c r="AK78" s="91">
        <f t="shared" si="40"/>
        <v>-2346936</v>
      </c>
      <c r="AL78" s="91">
        <f t="shared" si="41"/>
        <v>0</v>
      </c>
      <c r="AM78" s="91">
        <f t="shared" si="42"/>
        <v>-1397408</v>
      </c>
      <c r="AN78" s="91">
        <f t="shared" si="43"/>
        <v>-11137664</v>
      </c>
      <c r="AO78" s="91">
        <f t="shared" si="44"/>
        <v>-14664</v>
      </c>
      <c r="AP78" s="91">
        <f t="shared" si="45"/>
        <v>-78.929751999999993</v>
      </c>
      <c r="AQ78" s="92">
        <f t="shared" si="46"/>
        <v>-81.765398399999995</v>
      </c>
      <c r="AR78" s="92">
        <f t="shared" si="47"/>
        <v>-41.4649006</v>
      </c>
      <c r="AS78" s="92">
        <f t="shared" si="48"/>
        <v>-45.807873299999997</v>
      </c>
      <c r="AT78" s="92">
        <f t="shared" si="49"/>
        <v>-48.746878299999999</v>
      </c>
      <c r="AU78" s="92">
        <f t="shared" si="50"/>
        <v>-52.626201799999997</v>
      </c>
      <c r="AV78" s="93">
        <f t="shared" si="51"/>
        <v>-37.639244499999997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-9673280</v>
      </c>
      <c r="AJ79" s="91">
        <f t="shared" si="39"/>
        <v>-22226192</v>
      </c>
      <c r="AK79" s="91">
        <f t="shared" si="40"/>
        <v>-2112200</v>
      </c>
      <c r="AL79" s="91">
        <f t="shared" si="41"/>
        <v>0</v>
      </c>
      <c r="AM79" s="91">
        <f t="shared" si="42"/>
        <v>-1844864</v>
      </c>
      <c r="AN79" s="91">
        <f t="shared" si="43"/>
        <v>-18254832</v>
      </c>
      <c r="AO79" s="91">
        <f t="shared" si="44"/>
        <v>-14296</v>
      </c>
      <c r="AP79" s="91">
        <f t="shared" si="45"/>
        <v>-79.640889000000001</v>
      </c>
      <c r="AQ79" s="92">
        <f t="shared" si="46"/>
        <v>-82.838024599999997</v>
      </c>
      <c r="AR79" s="92">
        <f t="shared" si="47"/>
        <v>-42.456949700000003</v>
      </c>
      <c r="AS79" s="92">
        <f t="shared" si="48"/>
        <v>-46.903302600000004</v>
      </c>
      <c r="AT79" s="92">
        <f t="shared" si="49"/>
        <v>-50.098424399999999</v>
      </c>
      <c r="AU79" s="92">
        <f t="shared" si="50"/>
        <v>-53.019047899999997</v>
      </c>
      <c r="AV79" s="93">
        <f t="shared" si="51"/>
        <v>-38.402386100000001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-2455232</v>
      </c>
      <c r="AJ80" s="91">
        <f t="shared" si="39"/>
        <v>-4322416</v>
      </c>
      <c r="AK80" s="91">
        <f t="shared" si="40"/>
        <v>-677616</v>
      </c>
      <c r="AL80" s="91">
        <f t="shared" si="41"/>
        <v>0</v>
      </c>
      <c r="AM80" s="91">
        <f t="shared" si="42"/>
        <v>-531120</v>
      </c>
      <c r="AN80" s="91">
        <f t="shared" si="43"/>
        <v>-3099240</v>
      </c>
      <c r="AO80" s="91">
        <f t="shared" si="44"/>
        <v>-14440</v>
      </c>
      <c r="AP80" s="91">
        <f t="shared" si="45"/>
        <v>-73.898573299999995</v>
      </c>
      <c r="AQ80" s="92">
        <f t="shared" si="46"/>
        <v>-75.771066700000006</v>
      </c>
      <c r="AR80" s="92">
        <f t="shared" si="47"/>
        <v>-31.582356099999998</v>
      </c>
      <c r="AS80" s="92">
        <f t="shared" si="48"/>
        <v>-40.593673099999997</v>
      </c>
      <c r="AT80" s="92">
        <f t="shared" si="49"/>
        <v>-36.943115200000001</v>
      </c>
      <c r="AU80" s="92">
        <f t="shared" si="50"/>
        <v>-44.566979199999999</v>
      </c>
      <c r="AV80" s="93">
        <f t="shared" si="51"/>
        <v>-28.779684899999999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-4912768</v>
      </c>
      <c r="AJ81" s="91">
        <f t="shared" si="39"/>
        <v>-8572536</v>
      </c>
      <c r="AK81" s="91">
        <f t="shared" si="40"/>
        <v>-1142064</v>
      </c>
      <c r="AL81" s="91">
        <f t="shared" si="41"/>
        <v>0</v>
      </c>
      <c r="AM81" s="91">
        <f t="shared" si="42"/>
        <v>-774104</v>
      </c>
      <c r="AN81" s="91">
        <f t="shared" si="43"/>
        <v>-6641376</v>
      </c>
      <c r="AO81" s="91">
        <f t="shared" si="44"/>
        <v>-14992</v>
      </c>
      <c r="AP81" s="91">
        <f t="shared" si="45"/>
        <v>-76.864404899999997</v>
      </c>
      <c r="AQ81" s="92">
        <f t="shared" si="46"/>
        <v>-79.277265</v>
      </c>
      <c r="AR81" s="92">
        <f t="shared" si="47"/>
        <v>-33.990145300000002</v>
      </c>
      <c r="AS81" s="92">
        <f t="shared" si="48"/>
        <v>-42.468919</v>
      </c>
      <c r="AT81" s="92">
        <f t="shared" si="49"/>
        <v>-39.831507100000003</v>
      </c>
      <c r="AU81" s="92">
        <f t="shared" si="50"/>
        <v>-46.179769200000003</v>
      </c>
      <c r="AV81" s="93">
        <f t="shared" si="51"/>
        <v>-31.416871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-9827968</v>
      </c>
      <c r="AJ82" s="91">
        <f t="shared" si="39"/>
        <v>-12871672</v>
      </c>
      <c r="AK82" s="91">
        <f t="shared" si="40"/>
        <v>-2166088</v>
      </c>
      <c r="AL82" s="91">
        <f t="shared" si="41"/>
        <v>0</v>
      </c>
      <c r="AM82" s="91">
        <f t="shared" si="42"/>
        <v>-635104</v>
      </c>
      <c r="AN82" s="91">
        <f t="shared" si="43"/>
        <v>-10055768</v>
      </c>
      <c r="AO82" s="91">
        <f t="shared" si="44"/>
        <v>-14712</v>
      </c>
      <c r="AP82" s="91">
        <f t="shared" si="45"/>
        <v>-78.784982900000003</v>
      </c>
      <c r="AQ82" s="92">
        <f t="shared" si="46"/>
        <v>-81.686792499999996</v>
      </c>
      <c r="AR82" s="92">
        <f t="shared" si="47"/>
        <v>-34.918585299999997</v>
      </c>
      <c r="AS82" s="92">
        <f t="shared" si="48"/>
        <v>-43.691951199999998</v>
      </c>
      <c r="AT82" s="92">
        <f t="shared" si="49"/>
        <v>-41.618832500000003</v>
      </c>
      <c r="AU82" s="92">
        <f t="shared" si="50"/>
        <v>-47.529597000000003</v>
      </c>
      <c r="AV82" s="93">
        <f t="shared" si="51"/>
        <v>-32.638185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-19659392</v>
      </c>
      <c r="AJ83" s="91">
        <f t="shared" si="39"/>
        <v>-18253104</v>
      </c>
      <c r="AK83" s="91">
        <f t="shared" si="40"/>
        <v>-4235264</v>
      </c>
      <c r="AL83" s="91">
        <f t="shared" si="41"/>
        <v>0</v>
      </c>
      <c r="AM83" s="91">
        <f t="shared" si="42"/>
        <v>-572480</v>
      </c>
      <c r="AN83" s="91">
        <f t="shared" si="43"/>
        <v>-13430688</v>
      </c>
      <c r="AO83" s="91">
        <f t="shared" si="44"/>
        <v>-14672</v>
      </c>
      <c r="AP83" s="91">
        <f t="shared" si="45"/>
        <v>-80.4181241</v>
      </c>
      <c r="AQ83" s="92">
        <f t="shared" si="46"/>
        <v>-84.0372591</v>
      </c>
      <c r="AR83" s="92">
        <f t="shared" si="47"/>
        <v>-35.6423883</v>
      </c>
      <c r="AS83" s="92">
        <f t="shared" si="48"/>
        <v>-44.007247</v>
      </c>
      <c r="AT83" s="92">
        <f t="shared" si="49"/>
        <v>-42.0953278</v>
      </c>
      <c r="AU83" s="92">
        <f t="shared" si="50"/>
        <v>-48.963469099999998</v>
      </c>
      <c r="AV83" s="93">
        <f t="shared" si="51"/>
        <v>-33.803992100000002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-39320512</v>
      </c>
      <c r="AJ84" s="91">
        <f t="shared" si="39"/>
        <v>-26766592</v>
      </c>
      <c r="AK84" s="91">
        <f t="shared" si="40"/>
        <v>-7500208</v>
      </c>
      <c r="AL84" s="91">
        <f t="shared" si="41"/>
        <v>0</v>
      </c>
      <c r="AM84" s="91">
        <f t="shared" si="42"/>
        <v>-89600</v>
      </c>
      <c r="AN84" s="91">
        <f t="shared" si="43"/>
        <v>-19162168</v>
      </c>
      <c r="AO84" s="91">
        <f t="shared" si="44"/>
        <v>-14616</v>
      </c>
      <c r="AP84" s="91">
        <f t="shared" si="45"/>
        <v>-82.249131399999996</v>
      </c>
      <c r="AQ84" s="92">
        <f t="shared" si="46"/>
        <v>-86.660172900000006</v>
      </c>
      <c r="AR84" s="92">
        <f t="shared" si="47"/>
        <v>-36.313466599999998</v>
      </c>
      <c r="AS84" s="92">
        <f t="shared" si="48"/>
        <v>-44.606495799999998</v>
      </c>
      <c r="AT84" s="92">
        <f t="shared" si="49"/>
        <v>-42.925024800000003</v>
      </c>
      <c r="AU84" s="92">
        <f t="shared" si="50"/>
        <v>-50.400794400000002</v>
      </c>
      <c r="AV84" s="93">
        <f t="shared" si="51"/>
        <v>-34.827948900000003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-2427520</v>
      </c>
      <c r="AJ85" s="91">
        <f t="shared" si="39"/>
        <v>-4213368</v>
      </c>
      <c r="AK85" s="91">
        <f t="shared" si="40"/>
        <v>-712992</v>
      </c>
      <c r="AL85" s="91">
        <f t="shared" si="41"/>
        <v>0</v>
      </c>
      <c r="AM85" s="91">
        <f t="shared" si="42"/>
        <v>-624984</v>
      </c>
      <c r="AN85" s="91">
        <f t="shared" si="43"/>
        <v>-2860952</v>
      </c>
      <c r="AO85" s="91">
        <f t="shared" si="44"/>
        <v>-14440</v>
      </c>
      <c r="AP85" s="91">
        <f t="shared" si="45"/>
        <v>-74.799510799999993</v>
      </c>
      <c r="AQ85" s="92">
        <f t="shared" si="46"/>
        <v>-76.636315600000003</v>
      </c>
      <c r="AR85" s="92">
        <f t="shared" si="47"/>
        <v>-38.126989100000003</v>
      </c>
      <c r="AS85" s="92">
        <f t="shared" si="48"/>
        <v>-44.241334899999998</v>
      </c>
      <c r="AT85" s="92">
        <f t="shared" si="49"/>
        <v>-42.8089783</v>
      </c>
      <c r="AU85" s="92">
        <f t="shared" si="50"/>
        <v>-47.555307999999997</v>
      </c>
      <c r="AV85" s="93">
        <f t="shared" si="51"/>
        <v>-35.127667199999998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-2427520</v>
      </c>
      <c r="AJ86" s="91">
        <f t="shared" si="39"/>
        <v>-8402704</v>
      </c>
      <c r="AK86" s="91">
        <f t="shared" si="40"/>
        <v>-712992</v>
      </c>
      <c r="AL86" s="91">
        <f t="shared" si="41"/>
        <v>0</v>
      </c>
      <c r="AM86" s="91">
        <f t="shared" si="42"/>
        <v>-1003736</v>
      </c>
      <c r="AN86" s="91">
        <f t="shared" si="43"/>
        <v>-6671320</v>
      </c>
      <c r="AO86" s="91">
        <f t="shared" si="44"/>
        <v>-14656</v>
      </c>
      <c r="AP86" s="91">
        <f t="shared" si="45"/>
        <v>-76.467549399999996</v>
      </c>
      <c r="AQ86" s="92">
        <f t="shared" si="46"/>
        <v>-78.586014700000007</v>
      </c>
      <c r="AR86" s="92">
        <f t="shared" si="47"/>
        <v>-40.637423800000001</v>
      </c>
      <c r="AS86" s="92">
        <f t="shared" si="48"/>
        <v>-45.881740600000001</v>
      </c>
      <c r="AT86" s="92">
        <f t="shared" si="49"/>
        <v>-44.738081700000002</v>
      </c>
      <c r="AU86" s="92">
        <f t="shared" si="50"/>
        <v>-48.410163799999999</v>
      </c>
      <c r="AV86" s="93">
        <f t="shared" si="51"/>
        <v>-36.705227399999998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-2450608</v>
      </c>
      <c r="AJ87" s="91">
        <f t="shared" si="39"/>
        <v>-12848512</v>
      </c>
      <c r="AK87" s="91">
        <f t="shared" si="40"/>
        <v>-1969984</v>
      </c>
      <c r="AL87" s="91">
        <f t="shared" si="41"/>
        <v>0</v>
      </c>
      <c r="AM87" s="91">
        <f t="shared" si="42"/>
        <v>-1076496</v>
      </c>
      <c r="AN87" s="91">
        <f t="shared" si="43"/>
        <v>-9789376</v>
      </c>
      <c r="AO87" s="91">
        <f t="shared" si="44"/>
        <v>-12656</v>
      </c>
      <c r="AP87" s="91">
        <f t="shared" si="45"/>
        <v>-78.518202299999999</v>
      </c>
      <c r="AQ87" s="92">
        <f t="shared" si="46"/>
        <v>-81.100135699999996</v>
      </c>
      <c r="AR87" s="92">
        <f t="shared" si="47"/>
        <v>-41.910744399999999</v>
      </c>
      <c r="AS87" s="92">
        <f t="shared" si="48"/>
        <v>-46.562951599999998</v>
      </c>
      <c r="AT87" s="92">
        <f t="shared" si="49"/>
        <v>-45.545783</v>
      </c>
      <c r="AU87" s="92">
        <f t="shared" si="50"/>
        <v>-49.7060526</v>
      </c>
      <c r="AV87" s="93">
        <f t="shared" si="51"/>
        <v>-38.092818399999999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-2450608</v>
      </c>
      <c r="AJ88" s="91">
        <f t="shared" si="39"/>
        <v>-18581032</v>
      </c>
      <c r="AK88" s="91">
        <f t="shared" si="40"/>
        <v>-1969984</v>
      </c>
      <c r="AL88" s="91">
        <f t="shared" si="41"/>
        <v>0</v>
      </c>
      <c r="AM88" s="91">
        <f t="shared" si="42"/>
        <v>-1839952</v>
      </c>
      <c r="AN88" s="91">
        <f t="shared" si="43"/>
        <v>-14758544</v>
      </c>
      <c r="AO88" s="91">
        <f t="shared" si="44"/>
        <v>-12552</v>
      </c>
      <c r="AP88" s="91">
        <f t="shared" si="45"/>
        <v>-79.802465799999993</v>
      </c>
      <c r="AQ88" s="92">
        <f t="shared" si="46"/>
        <v>-82.892045800000005</v>
      </c>
      <c r="AR88" s="92">
        <f t="shared" si="47"/>
        <v>-43.053551200000001</v>
      </c>
      <c r="AS88" s="92">
        <f t="shared" si="48"/>
        <v>-47.682410400000002</v>
      </c>
      <c r="AT88" s="92">
        <f t="shared" si="49"/>
        <v>-46.881355499999998</v>
      </c>
      <c r="AU88" s="92">
        <f t="shared" si="50"/>
        <v>-50.387085800000001</v>
      </c>
      <c r="AV88" s="93">
        <f t="shared" si="51"/>
        <v>-39.276667600000003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-7367488</v>
      </c>
      <c r="AJ89" s="91">
        <f t="shared" si="39"/>
        <v>-27217712</v>
      </c>
      <c r="AK89" s="91">
        <f t="shared" si="40"/>
        <v>-4553528</v>
      </c>
      <c r="AL89" s="91">
        <f t="shared" si="41"/>
        <v>0</v>
      </c>
      <c r="AM89" s="91">
        <f t="shared" si="42"/>
        <v>-1733768</v>
      </c>
      <c r="AN89" s="91">
        <f t="shared" si="43"/>
        <v>-20917880</v>
      </c>
      <c r="AO89" s="91">
        <f t="shared" si="44"/>
        <v>-12536</v>
      </c>
      <c r="AP89" s="91">
        <f t="shared" si="45"/>
        <v>-82.639127999999999</v>
      </c>
      <c r="AQ89" s="92">
        <f t="shared" si="46"/>
        <v>-87.151792099999994</v>
      </c>
      <c r="AR89" s="92">
        <f t="shared" si="47"/>
        <v>-44.100829400000002</v>
      </c>
      <c r="AS89" s="92">
        <f t="shared" si="48"/>
        <v>-48.394750899999998</v>
      </c>
      <c r="AT89" s="92">
        <f t="shared" si="49"/>
        <v>-47.702540900000002</v>
      </c>
      <c r="AU89" s="92">
        <f t="shared" si="50"/>
        <v>-52.790810499999999</v>
      </c>
      <c r="AV89" s="93">
        <f t="shared" si="51"/>
        <v>-41.405950799999999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-1840960</v>
      </c>
      <c r="AJ90" s="91">
        <f t="shared" si="39"/>
        <v>-4142704</v>
      </c>
      <c r="AK90" s="91">
        <f t="shared" si="40"/>
        <v>-613656</v>
      </c>
      <c r="AL90" s="91">
        <f t="shared" si="41"/>
        <v>0</v>
      </c>
      <c r="AM90" s="91">
        <f t="shared" si="42"/>
        <v>-753632</v>
      </c>
      <c r="AN90" s="91">
        <f t="shared" si="43"/>
        <v>-2760776</v>
      </c>
      <c r="AO90" s="91">
        <f t="shared" si="44"/>
        <v>-14640</v>
      </c>
      <c r="AP90" s="91">
        <f t="shared" si="45"/>
        <v>-72.162271899999993</v>
      </c>
      <c r="AQ90" s="92">
        <f t="shared" si="46"/>
        <v>-73.593104299999993</v>
      </c>
      <c r="AR90" s="92">
        <f t="shared" si="47"/>
        <v>-29.6203979</v>
      </c>
      <c r="AS90" s="92">
        <f t="shared" si="48"/>
        <v>-38.623048099999998</v>
      </c>
      <c r="AT90" s="92">
        <f t="shared" si="49"/>
        <v>-38.356783200000002</v>
      </c>
      <c r="AU90" s="92">
        <f t="shared" si="50"/>
        <v>-48.114539399999998</v>
      </c>
      <c r="AV90" s="93">
        <f t="shared" si="51"/>
        <v>-28.4122545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-3680768</v>
      </c>
      <c r="AJ91" s="91">
        <f t="shared" si="39"/>
        <v>-6483904</v>
      </c>
      <c r="AK91" s="91">
        <f t="shared" si="40"/>
        <v>-941016</v>
      </c>
      <c r="AL91" s="91">
        <f t="shared" si="41"/>
        <v>0</v>
      </c>
      <c r="AM91" s="91">
        <f t="shared" si="42"/>
        <v>-809288</v>
      </c>
      <c r="AN91" s="91">
        <f t="shared" si="43"/>
        <v>-4719064</v>
      </c>
      <c r="AO91" s="91">
        <f t="shared" si="44"/>
        <v>-14536</v>
      </c>
      <c r="AP91" s="91">
        <f t="shared" si="45"/>
        <v>-74.7209979</v>
      </c>
      <c r="AQ91" s="92">
        <f t="shared" si="46"/>
        <v>-76.553031399999995</v>
      </c>
      <c r="AR91" s="92">
        <f t="shared" si="47"/>
        <v>-30.268107000000001</v>
      </c>
      <c r="AS91" s="92">
        <f t="shared" si="48"/>
        <v>-38.805418000000003</v>
      </c>
      <c r="AT91" s="92">
        <f t="shared" si="49"/>
        <v>-38.650394400000003</v>
      </c>
      <c r="AU91" s="92">
        <f t="shared" si="50"/>
        <v>-49.327142899999998</v>
      </c>
      <c r="AV91" s="93">
        <f t="shared" si="51"/>
        <v>-28.892660500000002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-7365760</v>
      </c>
      <c r="AJ92" s="91">
        <f t="shared" si="39"/>
        <v>-11892752</v>
      </c>
      <c r="AK92" s="91">
        <f t="shared" si="40"/>
        <v>-1601024</v>
      </c>
      <c r="AL92" s="91">
        <f t="shared" si="41"/>
        <v>0</v>
      </c>
      <c r="AM92" s="91">
        <f t="shared" si="42"/>
        <v>-503816</v>
      </c>
      <c r="AN92" s="91">
        <f t="shared" si="43"/>
        <v>-9772912</v>
      </c>
      <c r="AO92" s="91">
        <f t="shared" si="44"/>
        <v>-15000</v>
      </c>
      <c r="AP92" s="91">
        <f t="shared" si="45"/>
        <v>-75.559263400000006</v>
      </c>
      <c r="AQ92" s="92">
        <f t="shared" si="46"/>
        <v>-77.475161900000003</v>
      </c>
      <c r="AR92" s="92">
        <f t="shared" si="47"/>
        <v>-31.223854800000002</v>
      </c>
      <c r="AS92" s="92">
        <f t="shared" si="48"/>
        <v>-39.0256063</v>
      </c>
      <c r="AT92" s="92">
        <f t="shared" si="49"/>
        <v>-39.201862900000002</v>
      </c>
      <c r="AU92" s="92">
        <f t="shared" si="50"/>
        <v>-49.915145000000003</v>
      </c>
      <c r="AV92" s="93">
        <f t="shared" si="51"/>
        <v>-30.247434699999999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-7365760</v>
      </c>
      <c r="AJ93" s="91">
        <f t="shared" si="39"/>
        <v>-17406160</v>
      </c>
      <c r="AK93" s="91">
        <f t="shared" si="40"/>
        <v>-1774872</v>
      </c>
      <c r="AL93" s="91">
        <f t="shared" si="41"/>
        <v>0</v>
      </c>
      <c r="AM93" s="91">
        <f t="shared" si="42"/>
        <v>-941360</v>
      </c>
      <c r="AN93" s="91">
        <f t="shared" si="43"/>
        <v>-14674792</v>
      </c>
      <c r="AO93" s="91">
        <f t="shared" si="44"/>
        <v>-15136</v>
      </c>
      <c r="AP93" s="91">
        <f t="shared" si="45"/>
        <v>-77.117440999999999</v>
      </c>
      <c r="AQ93" s="92">
        <f t="shared" si="46"/>
        <v>-79.363987600000002</v>
      </c>
      <c r="AR93" s="92">
        <f t="shared" si="47"/>
        <v>-31.9113404</v>
      </c>
      <c r="AS93" s="92">
        <f t="shared" si="48"/>
        <v>-39.090066999999998</v>
      </c>
      <c r="AT93" s="92">
        <f t="shared" si="49"/>
        <v>-39.328097200000002</v>
      </c>
      <c r="AU93" s="92">
        <f t="shared" si="50"/>
        <v>-50.839984399999999</v>
      </c>
      <c r="AV93" s="93">
        <f t="shared" si="51"/>
        <v>-30.942427800000001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-14733824</v>
      </c>
      <c r="AJ94" s="91">
        <f t="shared" si="39"/>
        <v>-26269672</v>
      </c>
      <c r="AK94" s="91">
        <f t="shared" si="40"/>
        <v>-3114560</v>
      </c>
      <c r="AL94" s="91">
        <f t="shared" si="41"/>
        <v>0</v>
      </c>
      <c r="AM94" s="91">
        <f t="shared" si="42"/>
        <v>-812352</v>
      </c>
      <c r="AN94" s="91">
        <f t="shared" si="43"/>
        <v>-22327944</v>
      </c>
      <c r="AO94" s="91">
        <f t="shared" si="44"/>
        <v>-14816</v>
      </c>
      <c r="AP94" s="91">
        <f t="shared" si="45"/>
        <v>-79.474362400000004</v>
      </c>
      <c r="AQ94" s="92">
        <f t="shared" si="46"/>
        <v>-82.299347900000001</v>
      </c>
      <c r="AR94" s="92">
        <f t="shared" si="47"/>
        <v>-32.729931700000002</v>
      </c>
      <c r="AS94" s="92">
        <f t="shared" si="48"/>
        <v>-39.175255100000001</v>
      </c>
      <c r="AT94" s="92">
        <f t="shared" si="49"/>
        <v>-39.471324799999998</v>
      </c>
      <c r="AU94" s="92">
        <f t="shared" si="50"/>
        <v>-52.0455714</v>
      </c>
      <c r="AV94" s="93">
        <f t="shared" si="51"/>
        <v>-31.819745099999999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-1839040</v>
      </c>
      <c r="AJ95" s="91">
        <f t="shared" si="39"/>
        <v>-4249264</v>
      </c>
      <c r="AK95" s="91">
        <f t="shared" si="40"/>
        <v>-531648</v>
      </c>
      <c r="AL95" s="91">
        <f t="shared" si="41"/>
        <v>0</v>
      </c>
      <c r="AM95" s="91">
        <f t="shared" si="42"/>
        <v>-672400</v>
      </c>
      <c r="AN95" s="91">
        <f t="shared" si="43"/>
        <v>-3030696</v>
      </c>
      <c r="AO95" s="91">
        <f t="shared" si="44"/>
        <v>-14520</v>
      </c>
      <c r="AP95" s="91">
        <f t="shared" si="45"/>
        <v>-72.654934900000001</v>
      </c>
      <c r="AQ95" s="92">
        <f t="shared" si="46"/>
        <v>-73.968622100000005</v>
      </c>
      <c r="AR95" s="92">
        <f t="shared" si="47"/>
        <v>-32.543196899999998</v>
      </c>
      <c r="AS95" s="92">
        <f t="shared" si="48"/>
        <v>-42.241251400000003</v>
      </c>
      <c r="AT95" s="92">
        <f t="shared" si="49"/>
        <v>-42.574108099999997</v>
      </c>
      <c r="AU95" s="92">
        <f t="shared" si="50"/>
        <v>-48.127142200000002</v>
      </c>
      <c r="AV95" s="93">
        <f t="shared" si="51"/>
        <v>-31.655290900000001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-1839040</v>
      </c>
      <c r="AJ96" s="91">
        <f t="shared" si="39"/>
        <v>-6454680</v>
      </c>
      <c r="AK96" s="91">
        <f t="shared" si="40"/>
        <v>-577296</v>
      </c>
      <c r="AL96" s="91">
        <f t="shared" si="41"/>
        <v>0</v>
      </c>
      <c r="AM96" s="91">
        <f t="shared" si="42"/>
        <v>-725920</v>
      </c>
      <c r="AN96" s="91">
        <f t="shared" si="43"/>
        <v>-5136896</v>
      </c>
      <c r="AO96" s="91">
        <f t="shared" si="44"/>
        <v>-14568</v>
      </c>
      <c r="AP96" s="91">
        <f t="shared" si="45"/>
        <v>-72.886944600000007</v>
      </c>
      <c r="AQ96" s="92">
        <f t="shared" si="46"/>
        <v>-74.229794299999995</v>
      </c>
      <c r="AR96" s="92">
        <f t="shared" si="47"/>
        <v>-33.194537400000002</v>
      </c>
      <c r="AS96" s="92">
        <f t="shared" si="48"/>
        <v>-42.505837100000001</v>
      </c>
      <c r="AT96" s="92">
        <f t="shared" si="49"/>
        <v>-42.860357</v>
      </c>
      <c r="AU96" s="92">
        <f t="shared" si="50"/>
        <v>-48.303001399999999</v>
      </c>
      <c r="AV96" s="93">
        <f t="shared" si="51"/>
        <v>-32.079288699999999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-7368320</v>
      </c>
      <c r="AJ97" s="91">
        <f t="shared" si="39"/>
        <v>-11853672</v>
      </c>
      <c r="AK97" s="91">
        <f t="shared" si="40"/>
        <v>-1556624</v>
      </c>
      <c r="AL97" s="91">
        <f t="shared" si="41"/>
        <v>0</v>
      </c>
      <c r="AM97" s="91">
        <f t="shared" si="42"/>
        <v>-642768</v>
      </c>
      <c r="AN97" s="91">
        <f t="shared" si="43"/>
        <v>-9639368</v>
      </c>
      <c r="AO97" s="91">
        <f t="shared" si="44"/>
        <v>-14912</v>
      </c>
      <c r="AP97" s="91">
        <f t="shared" si="45"/>
        <v>-76.481802000000002</v>
      </c>
      <c r="AQ97" s="92">
        <f t="shared" si="46"/>
        <v>-78.359643800000001</v>
      </c>
      <c r="AR97" s="92">
        <f t="shared" si="47"/>
        <v>-34.202283100000002</v>
      </c>
      <c r="AS97" s="92">
        <f t="shared" si="48"/>
        <v>-42.831829599999999</v>
      </c>
      <c r="AT97" s="92">
        <f t="shared" si="49"/>
        <v>-43.3615219</v>
      </c>
      <c r="AU97" s="92">
        <f t="shared" si="50"/>
        <v>-50.796456599999999</v>
      </c>
      <c r="AV97" s="93">
        <f t="shared" si="51"/>
        <v>-33.346292699999999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-7368320</v>
      </c>
      <c r="AJ98" s="91">
        <f t="shared" si="39"/>
        <v>-17483872</v>
      </c>
      <c r="AK98" s="91">
        <f t="shared" si="40"/>
        <v>-1729784</v>
      </c>
      <c r="AL98" s="91">
        <f t="shared" si="41"/>
        <v>0</v>
      </c>
      <c r="AM98" s="91">
        <f t="shared" si="42"/>
        <v>-916944</v>
      </c>
      <c r="AN98" s="91">
        <f t="shared" si="43"/>
        <v>-14822136</v>
      </c>
      <c r="AO98" s="91">
        <f t="shared" si="44"/>
        <v>-15008</v>
      </c>
      <c r="AP98" s="91">
        <f t="shared" si="45"/>
        <v>-77.449883</v>
      </c>
      <c r="AQ98" s="92">
        <f t="shared" si="46"/>
        <v>-79.537702699999997</v>
      </c>
      <c r="AR98" s="92">
        <f t="shared" si="47"/>
        <v>-34.9009353</v>
      </c>
      <c r="AS98" s="92">
        <f t="shared" si="48"/>
        <v>-42.973362799999997</v>
      </c>
      <c r="AT98" s="92">
        <f t="shared" si="49"/>
        <v>-43.556047399999997</v>
      </c>
      <c r="AU98" s="92">
        <f t="shared" si="50"/>
        <v>-51.238388800000003</v>
      </c>
      <c r="AV98" s="93">
        <f t="shared" si="51"/>
        <v>-33.975731500000002</v>
      </c>
    </row>
    <row r="99" spans="33:48" ht="15.75" customHeight="1" thickBot="1" x14ac:dyDescent="0.2">
      <c r="AG99" s="94" t="e">
        <f t="shared" ref="AG99" si="52">AG44-L44</f>
        <v>#VALUE!</v>
      </c>
      <c r="AH99" s="94" t="e">
        <f t="shared" ref="AH99" si="53">AH44-M44</f>
        <v>#VALUE!</v>
      </c>
      <c r="AI99" s="94">
        <f t="shared" ref="AI99" si="54">AI44-N44</f>
        <v>-14739328</v>
      </c>
      <c r="AJ99" s="94">
        <f t="shared" ref="AJ99" si="55">AJ44-O44</f>
        <v>-26333464</v>
      </c>
      <c r="AK99" s="94">
        <f t="shared" ref="AK99" si="56">AK44-P44</f>
        <v>-2691720</v>
      </c>
      <c r="AL99" s="94">
        <f t="shared" ref="AL99" si="57">AL44-Q44</f>
        <v>0</v>
      </c>
      <c r="AM99" s="94">
        <f t="shared" ref="AM99" si="58">AM44-R44</f>
        <v>-999568</v>
      </c>
      <c r="AN99" s="94">
        <f t="shared" ref="AN99" si="59">AN44-S44</f>
        <v>-22627392</v>
      </c>
      <c r="AO99" s="94">
        <f t="shared" ref="AO99" si="60">AO44-T44</f>
        <v>-14784</v>
      </c>
      <c r="AP99" s="94">
        <f t="shared" ref="AP99" si="61">AP44-U44</f>
        <v>-79.915023399999995</v>
      </c>
      <c r="AQ99" s="95">
        <f t="shared" ref="AQ99" si="62">AQ44-V44</f>
        <v>-82.625612099999998</v>
      </c>
      <c r="AR99" s="95">
        <f t="shared" ref="AR99" si="63">AR44-W44</f>
        <v>-35.7708011</v>
      </c>
      <c r="AS99" s="95">
        <f t="shared" ref="AS99" si="64">AS44-X44</f>
        <v>-43.106379500000003</v>
      </c>
      <c r="AT99" s="95">
        <f t="shared" ref="AT99" si="65">AT44-Y44</f>
        <v>-43.766516799999998</v>
      </c>
      <c r="AU99" s="95">
        <f t="shared" ref="AU99" si="66">AU44-Z44</f>
        <v>-52.809967999999998</v>
      </c>
      <c r="AV99" s="96">
        <f t="shared" ref="AV99" si="67">AV44-AA44</f>
        <v>-34.9738726</v>
      </c>
    </row>
    <row r="100" spans="33:48" x14ac:dyDescent="0.15">
      <c r="AG100" s="91" t="e">
        <f t="shared" ref="AG100:AV103" si="68">AG45-L45</f>
        <v>#VALUE!</v>
      </c>
      <c r="AH100" s="91" t="e">
        <f t="shared" si="68"/>
        <v>#VALUE!</v>
      </c>
      <c r="AI100" s="91">
        <f t="shared" si="68"/>
        <v>-76800</v>
      </c>
      <c r="AJ100" s="91">
        <f t="shared" si="68"/>
        <v>-140976</v>
      </c>
      <c r="AK100" s="91">
        <f t="shared" si="68"/>
        <v>-21312</v>
      </c>
      <c r="AL100" s="91">
        <f t="shared" si="68"/>
        <v>0</v>
      </c>
      <c r="AM100" s="91">
        <f t="shared" si="68"/>
        <v>-24776</v>
      </c>
      <c r="AN100" s="91">
        <f t="shared" si="68"/>
        <v>-93312</v>
      </c>
      <c r="AO100" s="91">
        <f t="shared" si="68"/>
        <v>-1576</v>
      </c>
      <c r="AP100" s="91">
        <f t="shared" si="68"/>
        <v>-74.524426899999995</v>
      </c>
      <c r="AQ100" s="92">
        <f t="shared" si="68"/>
        <v>-76.5139341</v>
      </c>
      <c r="AR100" s="92">
        <f t="shared" si="68"/>
        <v>-30.238096599999999</v>
      </c>
      <c r="AS100" s="92">
        <f t="shared" si="68"/>
        <v>-41.188856000000001</v>
      </c>
      <c r="AT100" s="92">
        <f t="shared" si="68"/>
        <v>-39.595556700000003</v>
      </c>
      <c r="AU100" s="92">
        <f t="shared" si="68"/>
        <v>-54.122185100000003</v>
      </c>
      <c r="AV100" s="93">
        <f t="shared" si="68"/>
        <v>-29.431978399999998</v>
      </c>
    </row>
    <row r="101" spans="33:48" x14ac:dyDescent="0.15">
      <c r="AG101" s="91" t="e">
        <f t="shared" si="68"/>
        <v>#VALUE!</v>
      </c>
      <c r="AH101" s="91" t="e">
        <f t="shared" si="68"/>
        <v>#VALUE!</v>
      </c>
      <c r="AI101" s="91">
        <f t="shared" si="68"/>
        <v>-153600</v>
      </c>
      <c r="AJ101" s="91">
        <f t="shared" si="68"/>
        <v>-215768</v>
      </c>
      <c r="AK101" s="91">
        <f t="shared" si="68"/>
        <v>-35072</v>
      </c>
      <c r="AL101" s="91">
        <f t="shared" si="68"/>
        <v>0</v>
      </c>
      <c r="AM101" s="91">
        <f t="shared" si="68"/>
        <v>-21152</v>
      </c>
      <c r="AN101" s="91">
        <f t="shared" si="68"/>
        <v>-157928</v>
      </c>
      <c r="AO101" s="91">
        <f t="shared" si="68"/>
        <v>-1616</v>
      </c>
      <c r="AP101" s="91">
        <f t="shared" si="68"/>
        <v>-75.687530499999994</v>
      </c>
      <c r="AQ101" s="92">
        <f t="shared" si="68"/>
        <v>-77.986673800000005</v>
      </c>
      <c r="AR101" s="92">
        <f t="shared" si="68"/>
        <v>-31.157793900000001</v>
      </c>
      <c r="AS101" s="92">
        <f t="shared" si="68"/>
        <v>-42.283162599999997</v>
      </c>
      <c r="AT101" s="92">
        <f t="shared" si="68"/>
        <v>-40.591721100000001</v>
      </c>
      <c r="AU101" s="92">
        <f t="shared" si="68"/>
        <v>-54.831061499999997</v>
      </c>
      <c r="AV101" s="93">
        <f t="shared" si="68"/>
        <v>-29.977537999999999</v>
      </c>
    </row>
    <row r="102" spans="33:48" x14ac:dyDescent="0.15">
      <c r="AG102" s="91" t="e">
        <f t="shared" si="68"/>
        <v>#VALUE!</v>
      </c>
      <c r="AH102" s="91" t="e">
        <f t="shared" si="68"/>
        <v>#VALUE!</v>
      </c>
      <c r="AI102" s="91">
        <f t="shared" si="68"/>
        <v>-307200</v>
      </c>
      <c r="AJ102" s="91">
        <f t="shared" si="68"/>
        <v>-356944</v>
      </c>
      <c r="AK102" s="91">
        <f t="shared" si="68"/>
        <v>-66592</v>
      </c>
      <c r="AL102" s="91">
        <f t="shared" si="68"/>
        <v>0</v>
      </c>
      <c r="AM102" s="91">
        <f t="shared" si="68"/>
        <v>-14944</v>
      </c>
      <c r="AN102" s="91">
        <f t="shared" si="68"/>
        <v>-273784</v>
      </c>
      <c r="AO102" s="91">
        <f t="shared" si="68"/>
        <v>-1624</v>
      </c>
      <c r="AP102" s="91">
        <f t="shared" si="68"/>
        <v>-77.288102699999996</v>
      </c>
      <c r="AQ102" s="92">
        <f t="shared" si="68"/>
        <v>-79.929790100000005</v>
      </c>
      <c r="AR102" s="92">
        <f t="shared" si="68"/>
        <v>-31.751473900000001</v>
      </c>
      <c r="AS102" s="92">
        <f t="shared" si="68"/>
        <v>-44.319451600000001</v>
      </c>
      <c r="AT102" s="92">
        <f t="shared" si="68"/>
        <v>-43.1361816</v>
      </c>
      <c r="AU102" s="92">
        <f t="shared" si="68"/>
        <v>-55.7650285</v>
      </c>
      <c r="AV102" s="93">
        <f t="shared" si="68"/>
        <v>-31.127217000000002</v>
      </c>
    </row>
    <row r="103" spans="33:48" x14ac:dyDescent="0.15">
      <c r="AG103" s="91" t="e">
        <f t="shared" si="68"/>
        <v>#VALUE!</v>
      </c>
      <c r="AH103" s="91" t="e">
        <f t="shared" si="68"/>
        <v>#VALUE!</v>
      </c>
      <c r="AI103" s="91">
        <f t="shared" si="68"/>
        <v>-307200</v>
      </c>
      <c r="AJ103" s="91">
        <f t="shared" si="68"/>
        <v>-475464</v>
      </c>
      <c r="AK103" s="91">
        <f t="shared" si="68"/>
        <v>-66592</v>
      </c>
      <c r="AL103" s="91">
        <f t="shared" si="68"/>
        <v>0</v>
      </c>
      <c r="AM103" s="91">
        <f t="shared" si="68"/>
        <v>-24168</v>
      </c>
      <c r="AN103" s="91">
        <f t="shared" si="68"/>
        <v>-383064</v>
      </c>
      <c r="AO103" s="91">
        <f t="shared" si="68"/>
        <v>-1640</v>
      </c>
      <c r="AP103" s="91">
        <f t="shared" si="68"/>
        <v>-78.687753099999995</v>
      </c>
      <c r="AQ103" s="92">
        <f t="shared" si="68"/>
        <v>-81.812540100000007</v>
      </c>
      <c r="AR103" s="92">
        <f t="shared" si="68"/>
        <v>-32.306105199999998</v>
      </c>
      <c r="AS103" s="92">
        <f t="shared" si="68"/>
        <v>-44.626617199999998</v>
      </c>
      <c r="AT103" s="92">
        <f t="shared" si="68"/>
        <v>-43.605740500000003</v>
      </c>
      <c r="AU103" s="92">
        <f t="shared" si="68"/>
        <v>-56.752282999999998</v>
      </c>
      <c r="AV103" s="93">
        <f t="shared" si="68"/>
        <v>-31.7123879</v>
      </c>
    </row>
    <row r="104" spans="33:48" ht="14.25" thickBot="1" x14ac:dyDescent="0.2">
      <c r="AG104" s="94" t="e">
        <f t="shared" ref="AG104" si="69">AG49-L49</f>
        <v>#VALUE!</v>
      </c>
      <c r="AH104" s="94" t="e">
        <f t="shared" ref="AH104" si="70">AH49-M49</f>
        <v>#VALUE!</v>
      </c>
      <c r="AI104" s="94">
        <f t="shared" ref="AI104" si="71">AI49-N49</f>
        <v>-614272</v>
      </c>
      <c r="AJ104" s="94">
        <f t="shared" ref="AJ104" si="72">AJ49-O49</f>
        <v>-744440</v>
      </c>
      <c r="AK104" s="94">
        <f t="shared" ref="AK104" si="73">AK49-P49</f>
        <v>-118952</v>
      </c>
      <c r="AL104" s="94">
        <f t="shared" ref="AL104" si="74">AL49-Q49</f>
        <v>0</v>
      </c>
      <c r="AM104" s="94">
        <f t="shared" ref="AM104" si="75">AM49-R49</f>
        <v>-28464</v>
      </c>
      <c r="AN104" s="94">
        <f t="shared" ref="AN104" si="76">AN49-S49</f>
        <v>-595352</v>
      </c>
      <c r="AO104" s="94">
        <f t="shared" ref="AO104" si="77">AO49-T49</f>
        <v>-1672</v>
      </c>
      <c r="AP104" s="94">
        <f t="shared" ref="AP104" si="78">AP49-U49</f>
        <v>-80.405805299999997</v>
      </c>
      <c r="AQ104" s="95">
        <f t="shared" ref="AQ104" si="79">AQ49-V49</f>
        <v>-84.458735300000001</v>
      </c>
      <c r="AR104" s="95">
        <f t="shared" ref="AR104" si="80">AR49-W49</f>
        <v>-33.127863400000003</v>
      </c>
      <c r="AS104" s="95">
        <f t="shared" ref="AS104" si="81">AS49-X49</f>
        <v>-45.293516500000003</v>
      </c>
      <c r="AT104" s="95">
        <f t="shared" ref="AT104" si="82">AT49-Y49</f>
        <v>-44.381829199999999</v>
      </c>
      <c r="AU104" s="95">
        <f t="shared" ref="AU104" si="83">AU49-Z49</f>
        <v>-57.884126000000002</v>
      </c>
      <c r="AV104" s="96">
        <f t="shared" ref="AV104" si="84">AV49-AA49</f>
        <v>-32.596452999999997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5:AZ54 BA53:BN53">
    <cfRule type="cellIs" dxfId="148" priority="37" operator="greaterThanOrEqual">
      <formula>0.03</formula>
    </cfRule>
    <cfRule type="cellIs" dxfId="147" priority="38" operator="lessThanOrEqual">
      <formula>-0.03</formula>
    </cfRule>
  </conditionalFormatting>
  <conditionalFormatting sqref="BA5:BA52 BA54">
    <cfRule type="cellIs" dxfId="146" priority="39" operator="greaterThanOrEqual">
      <formula>0.03</formula>
    </cfRule>
    <cfRule type="cellIs" dxfId="145" priority="40" operator="lessThanOrEqual">
      <formula>-0.03</formula>
    </cfRule>
  </conditionalFormatting>
  <conditionalFormatting sqref="BB5:BB52 BB54">
    <cfRule type="cellIs" dxfId="144" priority="47" operator="greaterThanOrEqual">
      <formula>0.03</formula>
    </cfRule>
    <cfRule type="cellIs" dxfId="143" priority="48" operator="lessThanOrEqual">
      <formula>-0.03</formula>
    </cfRule>
  </conditionalFormatting>
  <conditionalFormatting sqref="BC5:BC52 BC54">
    <cfRule type="cellIs" dxfId="142" priority="49" operator="greaterThanOrEqual">
      <formula>0.03</formula>
    </cfRule>
    <cfRule type="cellIs" dxfId="141" priority="50" operator="lessThanOrEqual">
      <formula>-0.03</formula>
    </cfRule>
  </conditionalFormatting>
  <conditionalFormatting sqref="BD5:BD52 BD54">
    <cfRule type="cellIs" dxfId="140" priority="41" operator="greaterThanOrEqual">
      <formula>0.03</formula>
    </cfRule>
    <cfRule type="cellIs" dxfId="139" priority="42" operator="lessThanOrEqual">
      <formula>-0.03</formula>
    </cfRule>
  </conditionalFormatting>
  <conditionalFormatting sqref="BE5:BE52 BE54">
    <cfRule type="cellIs" dxfId="138" priority="43" operator="greaterThanOrEqual">
      <formula>0.03</formula>
    </cfRule>
    <cfRule type="cellIs" dxfId="137" priority="44" operator="lessThanOrEqual">
      <formula>-0.03</formula>
    </cfRule>
  </conditionalFormatting>
  <conditionalFormatting sqref="BF5:BF52 BF54">
    <cfRule type="cellIs" dxfId="136" priority="45" operator="greaterThanOrEqual">
      <formula>0.03</formula>
    </cfRule>
    <cfRule type="cellIs" dxfId="135" priority="46" operator="lessThanOrEqual">
      <formula>-0.03</formula>
    </cfRule>
  </conditionalFormatting>
  <conditionalFormatting sqref="J5:J50">
    <cfRule type="expression" dxfId="134" priority="36">
      <formula>OR(J5 &lt; H5 * 0.9, J5 &gt; H5)</formula>
    </cfRule>
  </conditionalFormatting>
  <conditionalFormatting sqref="AE5:AE50">
    <cfRule type="expression" dxfId="133" priority="35">
      <formula>OR(AE5 &lt; H5 * 0.9, AE5 &gt; H5)</formula>
    </cfRule>
  </conditionalFormatting>
  <conditionalFormatting sqref="BP5:BP54 BQ53:BT54">
    <cfRule type="cellIs" dxfId="132" priority="33" operator="greaterThanOrEqual">
      <formula>0.001</formula>
    </cfRule>
    <cfRule type="cellIs" dxfId="131" priority="34" operator="lessThanOrEqual">
      <formula>-0.001</formula>
    </cfRule>
  </conditionalFormatting>
  <conditionalFormatting sqref="BQ5:BQ52">
    <cfRule type="cellIs" dxfId="130" priority="31" operator="greaterThanOrEqual">
      <formula>0.001</formula>
    </cfRule>
    <cfRule type="cellIs" dxfId="129" priority="32" operator="lessThanOrEqual">
      <formula>-0.001</formula>
    </cfRule>
  </conditionalFormatting>
  <conditionalFormatting sqref="BR5:BR52">
    <cfRule type="cellIs" dxfId="128" priority="29" operator="greaterThanOrEqual">
      <formula>0.001</formula>
    </cfRule>
    <cfRule type="cellIs" dxfId="127" priority="30" operator="lessThanOrEqual">
      <formula>-0.001</formula>
    </cfRule>
  </conditionalFormatting>
  <conditionalFormatting sqref="BS5:BS52">
    <cfRule type="cellIs" dxfId="126" priority="27" operator="greaterThanOrEqual">
      <formula>0.001</formula>
    </cfRule>
    <cfRule type="cellIs" dxfId="125" priority="28" operator="lessThanOrEqual">
      <formula>-0.001</formula>
    </cfRule>
  </conditionalFormatting>
  <conditionalFormatting sqref="AG60:AQ99">
    <cfRule type="cellIs" dxfId="124" priority="25" operator="lessThan">
      <formula>0</formula>
    </cfRule>
    <cfRule type="cellIs" dxfId="123" priority="26" operator="greaterThan">
      <formula>0</formula>
    </cfRule>
  </conditionalFormatting>
  <conditionalFormatting sqref="AR60:AV99">
    <cfRule type="cellIs" dxfId="122" priority="23" operator="lessThan">
      <formula>0</formula>
    </cfRule>
    <cfRule type="cellIs" dxfId="121" priority="24" operator="greaterThan">
      <formula>0</formula>
    </cfRule>
  </conditionalFormatting>
  <conditionalFormatting sqref="L5:L49">
    <cfRule type="expression" dxfId="120" priority="22">
      <formula>NOT(L5=O5)</formula>
    </cfRule>
  </conditionalFormatting>
  <conditionalFormatting sqref="AG5:AG49">
    <cfRule type="expression" dxfId="119" priority="21">
      <formula>NOT(AG5=AJ5)</formula>
    </cfRule>
  </conditionalFormatting>
  <conditionalFormatting sqref="BH5:BH52 BH54">
    <cfRule type="cellIs" dxfId="118" priority="11" operator="greaterThanOrEqual">
      <formula>0.03</formula>
    </cfRule>
    <cfRule type="cellIs" dxfId="117" priority="12" operator="lessThanOrEqual">
      <formula>-0.03</formula>
    </cfRule>
  </conditionalFormatting>
  <conditionalFormatting sqref="BI5:BI52 BI54">
    <cfRule type="cellIs" dxfId="116" priority="7" operator="greaterThanOrEqual">
      <formula>0.03</formula>
    </cfRule>
    <cfRule type="cellIs" dxfId="115" priority="8" operator="lessThanOrEqual">
      <formula>-0.03</formula>
    </cfRule>
  </conditionalFormatting>
  <conditionalFormatting sqref="BJ5:BJ52 BJ54">
    <cfRule type="cellIs" dxfId="114" priority="15" operator="greaterThanOrEqual">
      <formula>0.03</formula>
    </cfRule>
    <cfRule type="cellIs" dxfId="113" priority="16" operator="lessThanOrEqual">
      <formula>-0.03</formula>
    </cfRule>
  </conditionalFormatting>
  <conditionalFormatting sqref="BK5:BK52 BK54">
    <cfRule type="cellIs" dxfId="112" priority="17" operator="greaterThanOrEqual">
      <formula>0.03</formula>
    </cfRule>
    <cfRule type="cellIs" dxfId="111" priority="18" operator="lessThanOrEqual">
      <formula>-0.03</formula>
    </cfRule>
  </conditionalFormatting>
  <conditionalFormatting sqref="BL5:BL52 BL54">
    <cfRule type="cellIs" dxfId="110" priority="9" operator="greaterThanOrEqual">
      <formula>0.03</formula>
    </cfRule>
    <cfRule type="cellIs" dxfId="109" priority="10" operator="lessThanOrEqual">
      <formula>-0.03</formula>
    </cfRule>
  </conditionalFormatting>
  <conditionalFormatting sqref="BM5:BM52 BM54">
    <cfRule type="cellIs" dxfId="108" priority="19" operator="greaterThanOrEqual">
      <formula>0.03</formula>
    </cfRule>
    <cfRule type="cellIs" dxfId="107" priority="20" operator="lessThanOrEqual">
      <formula>-0.03</formula>
    </cfRule>
  </conditionalFormatting>
  <conditionalFormatting sqref="BN5:BN52 BN54">
    <cfRule type="cellIs" dxfId="106" priority="13" operator="greaterThanOrEqual">
      <formula>0.03</formula>
    </cfRule>
    <cfRule type="cellIs" dxfId="105" priority="14" operator="lessThanOrEqual">
      <formula>-0.03</formula>
    </cfRule>
  </conditionalFormatting>
  <conditionalFormatting sqref="BT5:BT52">
    <cfRule type="cellIs" dxfId="104" priority="5" operator="greaterThanOrEqual">
      <formula>0.001</formula>
    </cfRule>
    <cfRule type="cellIs" dxfId="103" priority="6" operator="lessThanOrEqual">
      <formula>-0.001</formula>
    </cfRule>
  </conditionalFormatting>
  <conditionalFormatting sqref="AG100:AQ104">
    <cfRule type="cellIs" dxfId="102" priority="3" operator="lessThan">
      <formula>0</formula>
    </cfRule>
    <cfRule type="cellIs" dxfId="101" priority="4" operator="greaterThan">
      <formula>0</formula>
    </cfRule>
  </conditionalFormatting>
  <conditionalFormatting sqref="AR100:AV104">
    <cfRule type="cellIs" dxfId="100" priority="1" operator="lessThan">
      <formula>0</formula>
    </cfRule>
    <cfRule type="cellIs" dxfId="99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98"/>
  <sheetViews>
    <sheetView tabSelected="1" zoomScale="80" zoomScaleNormal="80" workbookViewId="0">
      <pane xSplit="2" ySplit="4" topLeftCell="X5" activePane="bottomRight" state="frozen"/>
      <selection pane="topRight" activeCell="C1" sqref="C1"/>
      <selection pane="bottomLeft" activeCell="A5" sqref="A5"/>
      <selection pane="bottomRight" activeCell="X36" sqref="X36"/>
    </sheetView>
  </sheetViews>
  <sheetFormatPr defaultColWidth="9.125" defaultRowHeight="13.5" outlineLevelRow="1" x14ac:dyDescent="0.15"/>
  <cols>
    <col min="2" max="2" width="24.625" customWidth="1"/>
    <col min="4" max="5" width="10.625" customWidth="1"/>
    <col min="9" max="9" width="1.625" customWidth="1"/>
    <col min="11" max="11" width="10.625" customWidth="1"/>
    <col min="12" max="13" width="12.5" customWidth="1"/>
    <col min="14" max="14" width="10.625" customWidth="1"/>
    <col min="15" max="20" width="12.625" customWidth="1"/>
    <col min="21" max="27" width="11.625" customWidth="1"/>
    <col min="30" max="30" width="1.625" customWidth="1"/>
    <col min="32" max="32" width="10.625" customWidth="1"/>
    <col min="33" max="34" width="12.5" customWidth="1"/>
    <col min="35" max="35" width="10.625" customWidth="1"/>
    <col min="36" max="41" width="12.625" customWidth="1"/>
    <col min="42" max="48" width="11.625" customWidth="1"/>
    <col min="51" max="51" width="1.625" customWidth="1"/>
    <col min="54" max="58" width="11.625" customWidth="1"/>
    <col min="59" max="59" width="1.625" customWidth="1"/>
    <col min="62" max="66" width="11.625" customWidth="1"/>
    <col min="67" max="67" width="1.625" customWidth="1"/>
  </cols>
  <sheetData>
    <row r="1" spans="1:72" x14ac:dyDescent="0.15">
      <c r="A1" s="123" t="s">
        <v>367</v>
      </c>
      <c r="B1" s="115"/>
      <c r="C1" s="115"/>
      <c r="D1" s="115"/>
      <c r="E1" s="115"/>
      <c r="F1" s="115"/>
      <c r="G1" s="115"/>
      <c r="H1" s="115"/>
      <c r="J1" s="112" t="s">
        <v>439</v>
      </c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E1" s="113">
        <f>Summary!C2</f>
        <v>0</v>
      </c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</row>
    <row r="2" spans="1:72" ht="33" customHeight="1" thickBot="1" x14ac:dyDescent="0.2">
      <c r="A2" s="124" t="s">
        <v>149</v>
      </c>
      <c r="B2" s="125" t="s">
        <v>150</v>
      </c>
      <c r="C2" s="124" t="s">
        <v>333</v>
      </c>
      <c r="D2" s="125" t="s">
        <v>151</v>
      </c>
      <c r="E2" s="124" t="s">
        <v>152</v>
      </c>
      <c r="F2" s="125" t="s">
        <v>153</v>
      </c>
      <c r="G2" s="124" t="s">
        <v>154</v>
      </c>
      <c r="H2" s="125" t="s">
        <v>334</v>
      </c>
      <c r="J2" s="124" t="s">
        <v>127</v>
      </c>
      <c r="K2" s="125" t="s">
        <v>131</v>
      </c>
      <c r="L2" s="126" t="s">
        <v>120</v>
      </c>
      <c r="M2" s="125" t="s">
        <v>368</v>
      </c>
      <c r="N2" s="124" t="s">
        <v>81</v>
      </c>
      <c r="O2" s="125" t="s">
        <v>120</v>
      </c>
      <c r="P2" s="128" t="s">
        <v>419</v>
      </c>
      <c r="Q2" s="128" t="s">
        <v>420</v>
      </c>
      <c r="R2" s="128" t="s">
        <v>421</v>
      </c>
      <c r="S2" s="128" t="s">
        <v>422</v>
      </c>
      <c r="T2" s="128" t="s">
        <v>423</v>
      </c>
      <c r="U2" s="129" t="s">
        <v>335</v>
      </c>
      <c r="V2" s="115"/>
      <c r="W2" s="115"/>
      <c r="X2" s="115"/>
      <c r="Y2" s="115"/>
      <c r="Z2" s="128" t="s">
        <v>336</v>
      </c>
      <c r="AA2" s="115"/>
      <c r="AB2" s="124" t="s">
        <v>122</v>
      </c>
      <c r="AC2" s="125" t="s">
        <v>102</v>
      </c>
      <c r="AE2" s="124" t="s">
        <v>127</v>
      </c>
      <c r="AF2" s="125" t="s">
        <v>131</v>
      </c>
      <c r="AG2" s="126" t="s">
        <v>120</v>
      </c>
      <c r="AH2" s="125" t="s">
        <v>368</v>
      </c>
      <c r="AI2" s="124" t="s">
        <v>81</v>
      </c>
      <c r="AJ2" s="125" t="s">
        <v>120</v>
      </c>
      <c r="AK2" s="128" t="s">
        <v>419</v>
      </c>
      <c r="AL2" s="128" t="s">
        <v>420</v>
      </c>
      <c r="AM2" s="128" t="s">
        <v>421</v>
      </c>
      <c r="AN2" s="128" t="s">
        <v>422</v>
      </c>
      <c r="AO2" s="128" t="s">
        <v>423</v>
      </c>
      <c r="AP2" s="129" t="s">
        <v>335</v>
      </c>
      <c r="AQ2" s="115"/>
      <c r="AR2" s="115"/>
      <c r="AS2" s="115"/>
      <c r="AT2" s="115"/>
      <c r="AU2" s="128" t="s">
        <v>336</v>
      </c>
      <c r="AV2" s="115"/>
      <c r="AW2" s="124" t="s">
        <v>122</v>
      </c>
      <c r="AX2" s="125" t="s">
        <v>102</v>
      </c>
      <c r="AZ2" s="129" t="s">
        <v>15</v>
      </c>
      <c r="BA2" s="115"/>
      <c r="BB2" s="115"/>
      <c r="BC2" s="115"/>
      <c r="BD2" s="115"/>
      <c r="BE2" s="128" t="s">
        <v>16</v>
      </c>
      <c r="BF2" s="115"/>
      <c r="BH2" s="129" t="s">
        <v>409</v>
      </c>
      <c r="BI2" s="129"/>
      <c r="BJ2" s="130" t="s">
        <v>410</v>
      </c>
      <c r="BK2" s="130"/>
      <c r="BL2" s="130"/>
      <c r="BM2" s="124" t="s">
        <v>411</v>
      </c>
      <c r="BN2" s="125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6"/>
      <c r="B3" s="116"/>
      <c r="C3" s="116"/>
      <c r="D3" s="116"/>
      <c r="E3" s="116"/>
      <c r="F3" s="116"/>
      <c r="G3" s="116"/>
      <c r="H3" s="116"/>
      <c r="J3" s="116"/>
      <c r="K3" s="116"/>
      <c r="L3" s="127"/>
      <c r="M3" s="116"/>
      <c r="N3" s="116"/>
      <c r="O3" s="116"/>
      <c r="P3" s="125"/>
      <c r="Q3" s="125"/>
      <c r="R3" s="125"/>
      <c r="S3" s="125"/>
      <c r="T3" s="125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6"/>
      <c r="AC3" s="116"/>
      <c r="AE3" s="116"/>
      <c r="AF3" s="116"/>
      <c r="AG3" s="127"/>
      <c r="AH3" s="116"/>
      <c r="AI3" s="116"/>
      <c r="AJ3" s="116"/>
      <c r="AK3" s="125"/>
      <c r="AL3" s="125"/>
      <c r="AM3" s="125"/>
      <c r="AN3" s="125"/>
      <c r="AO3" s="125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6"/>
      <c r="AX3" s="116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5"/>
      <c r="BP3" s="116"/>
      <c r="BQ3" s="116"/>
      <c r="BR3" s="116"/>
      <c r="BS3" s="116"/>
      <c r="BT3" s="116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3.9555600000000002</v>
      </c>
      <c r="K5" s="21">
        <f t="shared" ref="K5:K44" si="1">IF(ISBLANK(O5),"·",O5/D5)</f>
        <v>0.351680358476475</v>
      </c>
      <c r="L5" s="19">
        <f t="shared" ref="L5:L44" si="2">IF(OR(ISBLANK(M5),ISBLANK(S5),ISBLANK(T5)),".",M5+S5+T5)</f>
        <v>4219264</v>
      </c>
      <c r="M5" s="19">
        <f t="shared" ref="M5:M44" si="3">IF(OR(ISBLANK(Q5),ISBLANK(P5),ISBLANK(R5)),".",P5+Q5+R5)</f>
        <v>1364896</v>
      </c>
      <c r="N5" s="44">
        <v>2415872</v>
      </c>
      <c r="O5" s="22">
        <v>4219264</v>
      </c>
      <c r="P5" s="22">
        <v>800712</v>
      </c>
      <c r="Q5" s="22">
        <v>0</v>
      </c>
      <c r="R5" s="22">
        <v>564184</v>
      </c>
      <c r="S5" s="22">
        <v>2842200</v>
      </c>
      <c r="T5" s="22">
        <v>12168</v>
      </c>
      <c r="U5" s="45">
        <v>69.118031999999999</v>
      </c>
      <c r="V5" s="45">
        <v>70.241258900000005</v>
      </c>
      <c r="W5" s="45">
        <v>27.939602000000001</v>
      </c>
      <c r="X5" s="45">
        <v>33.606277200000001</v>
      </c>
      <c r="Y5" s="45">
        <v>32.999940299999999</v>
      </c>
      <c r="Z5" s="45">
        <v>49.536323500000002</v>
      </c>
      <c r="AA5" s="45">
        <v>26.905479400000001</v>
      </c>
      <c r="AB5" s="23">
        <v>1260.2879479999999</v>
      </c>
      <c r="AC5" s="23">
        <v>6.1965079999999997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8</v>
      </c>
      <c r="J6" s="36">
        <f t="shared" si="0"/>
        <v>8.0588475000000006</v>
      </c>
      <c r="K6" s="37">
        <f t="shared" si="1"/>
        <v>0.71649485223514353</v>
      </c>
      <c r="L6" s="35">
        <f t="shared" si="2"/>
        <v>8596104</v>
      </c>
      <c r="M6" s="35">
        <f t="shared" si="3"/>
        <v>1787032</v>
      </c>
      <c r="N6" s="46">
        <v>2415872</v>
      </c>
      <c r="O6" s="38">
        <v>8596104</v>
      </c>
      <c r="P6" s="38">
        <v>800712</v>
      </c>
      <c r="Q6" s="38">
        <v>0</v>
      </c>
      <c r="R6" s="38">
        <v>986320</v>
      </c>
      <c r="S6" s="38">
        <v>6797696</v>
      </c>
      <c r="T6" s="38">
        <v>11376</v>
      </c>
      <c r="U6" s="47">
        <v>70.908781200000007</v>
      </c>
      <c r="V6" s="47">
        <v>72.272037999999995</v>
      </c>
      <c r="W6" s="47">
        <v>31.219122200000001</v>
      </c>
      <c r="X6" s="47">
        <v>34.789686000000003</v>
      </c>
      <c r="Y6" s="47">
        <v>34.317813299999997</v>
      </c>
      <c r="Z6" s="47">
        <v>50.367261399999997</v>
      </c>
      <c r="AA6" s="47">
        <v>29.166452199999998</v>
      </c>
      <c r="AB6" s="39">
        <v>1266.2681669999999</v>
      </c>
      <c r="AC6" s="39">
        <v>7.1211710000000004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11</v>
      </c>
      <c r="J7" s="20">
        <f t="shared" si="0"/>
        <v>11.037599999999999</v>
      </c>
      <c r="K7" s="21">
        <f t="shared" si="1"/>
        <v>0.98132935026138912</v>
      </c>
      <c r="L7" s="19">
        <f t="shared" si="2"/>
        <v>11773440</v>
      </c>
      <c r="M7" s="19">
        <f t="shared" si="3"/>
        <v>2226968</v>
      </c>
      <c r="N7" s="44">
        <v>4871680</v>
      </c>
      <c r="O7" s="22">
        <v>11773440</v>
      </c>
      <c r="P7" s="22">
        <v>1271064</v>
      </c>
      <c r="Q7" s="22">
        <v>0</v>
      </c>
      <c r="R7" s="22">
        <v>955904</v>
      </c>
      <c r="S7" s="22">
        <v>9534904</v>
      </c>
      <c r="T7" s="22">
        <v>11568</v>
      </c>
      <c r="U7" s="45">
        <v>72.687243499999994</v>
      </c>
      <c r="V7" s="45">
        <v>74.317054600000006</v>
      </c>
      <c r="W7" s="45">
        <v>32.348902799999998</v>
      </c>
      <c r="X7" s="45">
        <v>36.463350400000003</v>
      </c>
      <c r="Y7" s="45">
        <v>36.198778799999999</v>
      </c>
      <c r="Z7" s="45">
        <v>51.509394100000002</v>
      </c>
      <c r="AA7" s="45">
        <v>30.524049399999999</v>
      </c>
      <c r="AB7" s="23">
        <v>3730.2564240000002</v>
      </c>
      <c r="AC7" s="23">
        <v>22.319403000000001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14</v>
      </c>
      <c r="J8" s="36">
        <f t="shared" si="0"/>
        <v>14.119994999999999</v>
      </c>
      <c r="K8" s="37">
        <f t="shared" si="1"/>
        <v>1.2553784807425583</v>
      </c>
      <c r="L8" s="35">
        <f t="shared" si="2"/>
        <v>15061328</v>
      </c>
      <c r="M8" s="35">
        <f t="shared" si="3"/>
        <v>2897568</v>
      </c>
      <c r="N8" s="46">
        <v>9785664</v>
      </c>
      <c r="O8" s="38">
        <v>15061328</v>
      </c>
      <c r="P8" s="38">
        <v>2101472</v>
      </c>
      <c r="Q8" s="38">
        <v>0</v>
      </c>
      <c r="R8" s="38">
        <v>796096</v>
      </c>
      <c r="S8" s="38">
        <v>12152088</v>
      </c>
      <c r="T8" s="38">
        <v>11672</v>
      </c>
      <c r="U8" s="47">
        <v>73.512515500000006</v>
      </c>
      <c r="V8" s="47">
        <v>75.266670000000005</v>
      </c>
      <c r="W8" s="47">
        <v>33.362723799999998</v>
      </c>
      <c r="X8" s="47">
        <v>37.057130100000002</v>
      </c>
      <c r="Y8" s="47">
        <v>36.801561599999999</v>
      </c>
      <c r="Z8" s="47">
        <v>52.092208200000002</v>
      </c>
      <c r="AA8" s="47">
        <v>31.317619799999999</v>
      </c>
      <c r="AB8" s="39">
        <v>4387.1796050000003</v>
      </c>
      <c r="AC8" s="39">
        <v>26.08296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21</v>
      </c>
      <c r="J9" s="51">
        <f t="shared" si="0"/>
        <v>21.269332500000001</v>
      </c>
      <c r="K9" s="52">
        <f t="shared" si="1"/>
        <v>1.8910107489597781</v>
      </c>
      <c r="L9" s="49">
        <f t="shared" si="2"/>
        <v>22687288</v>
      </c>
      <c r="M9" s="49">
        <f t="shared" si="3"/>
        <v>3583136</v>
      </c>
      <c r="N9" s="53">
        <v>9785664</v>
      </c>
      <c r="O9" s="54">
        <v>22687288</v>
      </c>
      <c r="P9" s="54">
        <v>2101472</v>
      </c>
      <c r="Q9" s="54">
        <v>0</v>
      </c>
      <c r="R9" s="54">
        <v>1481664</v>
      </c>
      <c r="S9" s="54">
        <v>19093344</v>
      </c>
      <c r="T9" s="54">
        <v>10808</v>
      </c>
      <c r="U9" s="55">
        <v>75.160451699999996</v>
      </c>
      <c r="V9" s="55">
        <v>77.230928199999994</v>
      </c>
      <c r="W9" s="55">
        <v>34.990750400000003</v>
      </c>
      <c r="X9" s="55">
        <v>38.591933900000001</v>
      </c>
      <c r="Y9" s="55">
        <v>38.312278599999999</v>
      </c>
      <c r="Z9" s="55">
        <v>52.978906799999997</v>
      </c>
      <c r="AA9" s="55">
        <v>32.689686000000002</v>
      </c>
      <c r="AB9" s="56">
        <v>4452.7316950000004</v>
      </c>
      <c r="AC9" s="56">
        <v>25.333745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4</v>
      </c>
      <c r="J10" s="36">
        <f t="shared" si="0"/>
        <v>3.2024325</v>
      </c>
      <c r="K10" s="37">
        <f t="shared" si="1"/>
        <v>0.37954755555555558</v>
      </c>
      <c r="L10" s="35">
        <f t="shared" si="2"/>
        <v>3415928</v>
      </c>
      <c r="M10" s="35">
        <f t="shared" si="3"/>
        <v>1345440</v>
      </c>
      <c r="N10" s="46">
        <v>1032192</v>
      </c>
      <c r="O10" s="38">
        <v>3415928</v>
      </c>
      <c r="P10" s="38">
        <v>44960</v>
      </c>
      <c r="Q10" s="38">
        <v>124912</v>
      </c>
      <c r="R10" s="38">
        <v>1175568</v>
      </c>
      <c r="S10" s="38">
        <v>2062912</v>
      </c>
      <c r="T10" s="38">
        <v>7576</v>
      </c>
      <c r="U10" s="47">
        <v>69.0763046</v>
      </c>
      <c r="V10" s="47">
        <v>70.265979599999994</v>
      </c>
      <c r="W10" s="47">
        <v>36.075364</v>
      </c>
      <c r="X10" s="47">
        <v>46.4796634</v>
      </c>
      <c r="Y10" s="47">
        <v>46.931343699999999</v>
      </c>
      <c r="Z10" s="47">
        <v>46.573915999999997</v>
      </c>
      <c r="AA10" s="47">
        <v>32.663907199999997</v>
      </c>
      <c r="AB10" s="39">
        <v>3690.38645</v>
      </c>
      <c r="AC10" s="39">
        <v>15.503041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8</v>
      </c>
      <c r="J11" s="20">
        <f t="shared" si="0"/>
        <v>6.598395</v>
      </c>
      <c r="K11" s="21">
        <f t="shared" si="1"/>
        <v>0.78203199999999995</v>
      </c>
      <c r="L11" s="19">
        <f t="shared" si="2"/>
        <v>7038288</v>
      </c>
      <c r="M11" s="19">
        <f t="shared" si="3"/>
        <v>2757640</v>
      </c>
      <c r="N11" s="44">
        <v>2030368</v>
      </c>
      <c r="O11" s="22">
        <v>7038288</v>
      </c>
      <c r="P11" s="22">
        <v>299424</v>
      </c>
      <c r="Q11" s="22">
        <v>182720</v>
      </c>
      <c r="R11" s="22">
        <v>2275496</v>
      </c>
      <c r="S11" s="22">
        <v>4272792</v>
      </c>
      <c r="T11" s="22">
        <v>7856</v>
      </c>
      <c r="U11" s="45">
        <v>72.432656100000003</v>
      </c>
      <c r="V11" s="45">
        <v>74.041775200000004</v>
      </c>
      <c r="W11" s="45">
        <v>37.284415799999998</v>
      </c>
      <c r="X11" s="45">
        <v>47.049411300000003</v>
      </c>
      <c r="Y11" s="45">
        <v>47.647751800000002</v>
      </c>
      <c r="Z11" s="45">
        <v>48.480654700000002</v>
      </c>
      <c r="AA11" s="45">
        <v>34.640821600000002</v>
      </c>
      <c r="AB11" s="23">
        <v>4737.1216059999997</v>
      </c>
      <c r="AC11" s="23">
        <v>14.141405000000001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11</v>
      </c>
      <c r="J12" s="36">
        <f t="shared" si="0"/>
        <v>9.0785250000000008</v>
      </c>
      <c r="K12" s="37">
        <f t="shared" si="1"/>
        <v>1.0759733333333332</v>
      </c>
      <c r="L12" s="35">
        <f t="shared" si="2"/>
        <v>9683760</v>
      </c>
      <c r="M12" s="35">
        <f t="shared" si="3"/>
        <v>3251600</v>
      </c>
      <c r="N12" s="46">
        <v>2236080</v>
      </c>
      <c r="O12" s="38">
        <v>9683760</v>
      </c>
      <c r="P12" s="38">
        <v>400288</v>
      </c>
      <c r="Q12" s="38">
        <v>190944</v>
      </c>
      <c r="R12" s="38">
        <v>2660368</v>
      </c>
      <c r="S12" s="38">
        <v>6424216</v>
      </c>
      <c r="T12" s="38">
        <v>7944</v>
      </c>
      <c r="U12" s="47">
        <v>72.947960800000004</v>
      </c>
      <c r="V12" s="47">
        <v>74.686370999999994</v>
      </c>
      <c r="W12" s="47">
        <v>38.084084699999998</v>
      </c>
      <c r="X12" s="47">
        <v>47.345016399999999</v>
      </c>
      <c r="Y12" s="47">
        <v>48.000573799999998</v>
      </c>
      <c r="Z12" s="47">
        <v>48.859477499999997</v>
      </c>
      <c r="AA12" s="47">
        <v>35.244909999999997</v>
      </c>
      <c r="AB12" s="39">
        <v>5034.8704379999999</v>
      </c>
      <c r="AC12" s="39">
        <v>14.116035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14</v>
      </c>
      <c r="J13" s="20">
        <f t="shared" si="0"/>
        <v>11.696835</v>
      </c>
      <c r="K13" s="21">
        <f t="shared" si="1"/>
        <v>1.3862915555555555</v>
      </c>
      <c r="L13" s="19">
        <f t="shared" si="2"/>
        <v>12476624</v>
      </c>
      <c r="M13" s="19">
        <f t="shared" si="3"/>
        <v>3404312</v>
      </c>
      <c r="N13" s="44">
        <v>2440496</v>
      </c>
      <c r="O13" s="22">
        <v>12476624</v>
      </c>
      <c r="P13" s="22">
        <v>347648</v>
      </c>
      <c r="Q13" s="22">
        <v>220928</v>
      </c>
      <c r="R13" s="22">
        <v>2835736</v>
      </c>
      <c r="S13" s="22">
        <v>9064400</v>
      </c>
      <c r="T13" s="22">
        <v>7912</v>
      </c>
      <c r="U13" s="45">
        <v>73.2603498</v>
      </c>
      <c r="V13" s="45">
        <v>75.047408700000005</v>
      </c>
      <c r="W13" s="45">
        <v>38.886689199999999</v>
      </c>
      <c r="X13" s="45">
        <v>48.086951999999997</v>
      </c>
      <c r="Y13" s="45">
        <v>48.761617700000002</v>
      </c>
      <c r="Z13" s="45">
        <v>49.036002199999999</v>
      </c>
      <c r="AA13" s="45">
        <v>35.761919599999999</v>
      </c>
      <c r="AB13" s="23">
        <v>5209.8380569999999</v>
      </c>
      <c r="AC13" s="23">
        <v>17.986134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21</v>
      </c>
      <c r="J14" s="28">
        <f t="shared" si="0"/>
        <v>19.869262500000001</v>
      </c>
      <c r="K14" s="29">
        <f t="shared" si="1"/>
        <v>2.3548755555555556</v>
      </c>
      <c r="L14" s="27">
        <f t="shared" si="2"/>
        <v>21193880</v>
      </c>
      <c r="M14" s="27">
        <f t="shared" si="3"/>
        <v>5887360</v>
      </c>
      <c r="N14" s="58">
        <v>3769536</v>
      </c>
      <c r="O14" s="30">
        <v>21193880</v>
      </c>
      <c r="P14" s="30">
        <v>1702544</v>
      </c>
      <c r="Q14" s="30">
        <v>189864</v>
      </c>
      <c r="R14" s="30">
        <v>3994952</v>
      </c>
      <c r="S14" s="30">
        <v>15297592</v>
      </c>
      <c r="T14" s="30">
        <v>8928</v>
      </c>
      <c r="U14" s="59">
        <v>75.356621899999993</v>
      </c>
      <c r="V14" s="59">
        <v>77.610834999999994</v>
      </c>
      <c r="W14" s="59">
        <v>39.404401200000002</v>
      </c>
      <c r="X14" s="59">
        <v>48.390785200000003</v>
      </c>
      <c r="Y14" s="59">
        <v>49.081712099999997</v>
      </c>
      <c r="Z14" s="59">
        <v>50.269220500000003</v>
      </c>
      <c r="AA14" s="59">
        <v>36.747716500000003</v>
      </c>
      <c r="AB14" s="31">
        <v>6637.8747560000002</v>
      </c>
      <c r="AC14" s="31">
        <v>19.309577999999998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2.8869449999999999</v>
      </c>
      <c r="K15" s="21">
        <f t="shared" si="1"/>
        <v>0.26004116533673949</v>
      </c>
      <c r="L15" s="19">
        <f t="shared" si="2"/>
        <v>3079408</v>
      </c>
      <c r="M15" s="19">
        <f t="shared" si="3"/>
        <v>1138080</v>
      </c>
      <c r="N15" s="44">
        <v>2419456</v>
      </c>
      <c r="O15" s="22">
        <v>3079408</v>
      </c>
      <c r="P15" s="22">
        <v>684392</v>
      </c>
      <c r="Q15" s="22">
        <v>0</v>
      </c>
      <c r="R15" s="22">
        <v>453688</v>
      </c>
      <c r="S15" s="22">
        <v>1930168</v>
      </c>
      <c r="T15" s="22">
        <v>11160</v>
      </c>
      <c r="U15" s="45">
        <v>71.784670500000004</v>
      </c>
      <c r="V15" s="45">
        <v>73.073559700000004</v>
      </c>
      <c r="W15" s="45">
        <v>35.614642799999999</v>
      </c>
      <c r="X15" s="45">
        <v>43.401773800000001</v>
      </c>
      <c r="Y15" s="45">
        <v>45.002072599999998</v>
      </c>
      <c r="Z15" s="45">
        <v>45.695622800000002</v>
      </c>
      <c r="AA15" s="45">
        <v>32.420198300000003</v>
      </c>
      <c r="AB15" s="23">
        <v>3070.2344199999998</v>
      </c>
      <c r="AC15" s="23">
        <v>18.162492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4.8022425000000002</v>
      </c>
      <c r="K16" s="37">
        <f t="shared" si="1"/>
        <v>0.43256131860136487</v>
      </c>
      <c r="L16" s="35">
        <f t="shared" si="2"/>
        <v>5122392</v>
      </c>
      <c r="M16" s="35">
        <f t="shared" si="3"/>
        <v>1433216</v>
      </c>
      <c r="N16" s="46">
        <v>2419456</v>
      </c>
      <c r="O16" s="38">
        <v>5122392</v>
      </c>
      <c r="P16" s="38">
        <v>746008</v>
      </c>
      <c r="Q16" s="38">
        <v>0</v>
      </c>
      <c r="R16" s="38">
        <v>687208</v>
      </c>
      <c r="S16" s="38">
        <v>3677704</v>
      </c>
      <c r="T16" s="38">
        <v>11472</v>
      </c>
      <c r="U16" s="47">
        <v>73.557611600000001</v>
      </c>
      <c r="V16" s="47">
        <v>75.037586099999999</v>
      </c>
      <c r="W16" s="47">
        <v>38.389620200000003</v>
      </c>
      <c r="X16" s="47">
        <v>44.0514881</v>
      </c>
      <c r="Y16" s="47">
        <v>46.237601900000001</v>
      </c>
      <c r="Z16" s="47">
        <v>46.4383658</v>
      </c>
      <c r="AA16" s="47">
        <v>34.080604999999998</v>
      </c>
      <c r="AB16" s="39">
        <v>3249.4063160000001</v>
      </c>
      <c r="AC16" s="39">
        <v>16.921610999999999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9.5389724999999999</v>
      </c>
      <c r="K17" s="21">
        <f t="shared" si="1"/>
        <v>0.85922160796797709</v>
      </c>
      <c r="L17" s="19">
        <f t="shared" si="2"/>
        <v>10174904</v>
      </c>
      <c r="M17" s="19">
        <f t="shared" si="3"/>
        <v>2763280</v>
      </c>
      <c r="N17" s="44">
        <v>4841472</v>
      </c>
      <c r="O17" s="22">
        <v>10174904</v>
      </c>
      <c r="P17" s="22">
        <v>1249720</v>
      </c>
      <c r="Q17" s="22">
        <v>0</v>
      </c>
      <c r="R17" s="22">
        <v>1513560</v>
      </c>
      <c r="S17" s="22">
        <v>7400544</v>
      </c>
      <c r="T17" s="22">
        <v>11080</v>
      </c>
      <c r="U17" s="45">
        <v>78.264783899999998</v>
      </c>
      <c r="V17" s="45">
        <v>80.584249700000001</v>
      </c>
      <c r="W17" s="45">
        <v>41.028724599999997</v>
      </c>
      <c r="X17" s="45">
        <v>44.960997499999998</v>
      </c>
      <c r="Y17" s="45">
        <v>48.047261200000001</v>
      </c>
      <c r="Z17" s="45">
        <v>48.813600000000001</v>
      </c>
      <c r="AA17" s="45">
        <v>37.272457099999997</v>
      </c>
      <c r="AB17" s="23">
        <v>3619.4948690000001</v>
      </c>
      <c r="AC17" s="23">
        <v>17.124741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13.6375575</v>
      </c>
      <c r="K18" s="37">
        <f t="shared" si="1"/>
        <v>1.228401076101828</v>
      </c>
      <c r="L18" s="35">
        <f t="shared" si="2"/>
        <v>14546728</v>
      </c>
      <c r="M18" s="35">
        <f t="shared" si="3"/>
        <v>3789808</v>
      </c>
      <c r="N18" s="46">
        <v>9684544</v>
      </c>
      <c r="O18" s="38">
        <v>14546728</v>
      </c>
      <c r="P18" s="38">
        <v>2163032</v>
      </c>
      <c r="Q18" s="38">
        <v>0</v>
      </c>
      <c r="R18" s="38">
        <v>1626776</v>
      </c>
      <c r="S18" s="38">
        <v>10745880</v>
      </c>
      <c r="T18" s="38">
        <v>11040</v>
      </c>
      <c r="U18" s="47">
        <v>79.558201800000006</v>
      </c>
      <c r="V18" s="47">
        <v>82.306608900000001</v>
      </c>
      <c r="W18" s="47">
        <v>41.9565141</v>
      </c>
      <c r="X18" s="47">
        <v>45.657362499999998</v>
      </c>
      <c r="Y18" s="47">
        <v>49.207970299999999</v>
      </c>
      <c r="Z18" s="47">
        <v>49.7686615</v>
      </c>
      <c r="AA18" s="47">
        <v>38.3577716</v>
      </c>
      <c r="AB18" s="39">
        <v>4134.7794800000001</v>
      </c>
      <c r="AC18" s="39">
        <v>22.910768000000001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20.512732499999998</v>
      </c>
      <c r="K19" s="52">
        <f t="shared" si="1"/>
        <v>1.847681498449333</v>
      </c>
      <c r="L19" s="49">
        <f t="shared" si="2"/>
        <v>21880248</v>
      </c>
      <c r="M19" s="49">
        <f t="shared" si="3"/>
        <v>4002024</v>
      </c>
      <c r="N19" s="53">
        <v>9684544</v>
      </c>
      <c r="O19" s="54">
        <v>21880248</v>
      </c>
      <c r="P19" s="54">
        <v>2163032</v>
      </c>
      <c r="Q19" s="54">
        <v>0</v>
      </c>
      <c r="R19" s="54">
        <v>1838992</v>
      </c>
      <c r="S19" s="54">
        <v>17867136</v>
      </c>
      <c r="T19" s="54">
        <v>11088</v>
      </c>
      <c r="U19" s="55">
        <v>79.920927300000002</v>
      </c>
      <c r="V19" s="55">
        <v>82.837632400000004</v>
      </c>
      <c r="W19" s="55">
        <v>42.953926899999999</v>
      </c>
      <c r="X19" s="55">
        <v>46.584795300000003</v>
      </c>
      <c r="Y19" s="55">
        <v>50.543902099999997</v>
      </c>
      <c r="Z19" s="55">
        <v>49.938614399999999</v>
      </c>
      <c r="AA19" s="55">
        <v>38.912806699999997</v>
      </c>
      <c r="AB19" s="56">
        <v>4313.8595789999999</v>
      </c>
      <c r="AC19" s="56">
        <v>25.313245999999999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2.88489</v>
      </c>
      <c r="K20" s="37">
        <f t="shared" si="1"/>
        <v>0.26051410038359002</v>
      </c>
      <c r="L20" s="35">
        <f t="shared" si="2"/>
        <v>3077216</v>
      </c>
      <c r="M20" s="35">
        <f t="shared" si="3"/>
        <v>1109504</v>
      </c>
      <c r="N20" s="46">
        <v>2417984</v>
      </c>
      <c r="O20" s="38">
        <v>3077216</v>
      </c>
      <c r="P20" s="38">
        <v>660728</v>
      </c>
      <c r="Q20" s="38">
        <v>0</v>
      </c>
      <c r="R20" s="38">
        <v>448776</v>
      </c>
      <c r="S20" s="38">
        <v>1956784</v>
      </c>
      <c r="T20" s="38">
        <v>10928</v>
      </c>
      <c r="U20" s="47">
        <v>71.753850200000002</v>
      </c>
      <c r="V20" s="47">
        <v>73.096716599999993</v>
      </c>
      <c r="W20" s="47">
        <v>34.579822399999998</v>
      </c>
      <c r="X20" s="47">
        <v>42.847336900000002</v>
      </c>
      <c r="Y20" s="47">
        <v>44.076220599999999</v>
      </c>
      <c r="Z20" s="47">
        <v>48.614354900000002</v>
      </c>
      <c r="AA20" s="47">
        <v>31.528650500000001</v>
      </c>
      <c r="AB20" s="39">
        <v>1085.695056</v>
      </c>
      <c r="AC20" s="39">
        <v>7.6913650000000002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4.9038449999999996</v>
      </c>
      <c r="K21" s="21">
        <f t="shared" si="1"/>
        <v>0.44283170886777867</v>
      </c>
      <c r="L21" s="19">
        <f t="shared" si="2"/>
        <v>5230768</v>
      </c>
      <c r="M21" s="19">
        <f t="shared" si="3"/>
        <v>1218808</v>
      </c>
      <c r="N21" s="44">
        <v>2417984</v>
      </c>
      <c r="O21" s="22">
        <v>5230768</v>
      </c>
      <c r="P21" s="22">
        <v>721856</v>
      </c>
      <c r="Q21" s="22">
        <v>0</v>
      </c>
      <c r="R21" s="22">
        <v>496952</v>
      </c>
      <c r="S21" s="22">
        <v>4000592</v>
      </c>
      <c r="T21" s="22">
        <v>11368</v>
      </c>
      <c r="U21" s="45">
        <v>72.2144531</v>
      </c>
      <c r="V21" s="45">
        <v>73.609995900000001</v>
      </c>
      <c r="W21" s="45">
        <v>37.497583900000002</v>
      </c>
      <c r="X21" s="45">
        <v>44.034629500000001</v>
      </c>
      <c r="Y21" s="45">
        <v>45.978520600000003</v>
      </c>
      <c r="Z21" s="45">
        <v>48.839585200000002</v>
      </c>
      <c r="AA21" s="45">
        <v>32.779473799999998</v>
      </c>
      <c r="AB21" s="23">
        <v>3016.5383120000001</v>
      </c>
      <c r="AC21" s="23">
        <v>16.247395000000001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9.6670575000000003</v>
      </c>
      <c r="K22" s="37">
        <f t="shared" si="1"/>
        <v>0.8729638870005223</v>
      </c>
      <c r="L22" s="35">
        <f t="shared" si="2"/>
        <v>10311528</v>
      </c>
      <c r="M22" s="35">
        <f t="shared" si="3"/>
        <v>2640848</v>
      </c>
      <c r="N22" s="46">
        <v>4836096</v>
      </c>
      <c r="O22" s="38">
        <v>10311528</v>
      </c>
      <c r="P22" s="38">
        <v>1104896</v>
      </c>
      <c r="Q22" s="38">
        <v>0</v>
      </c>
      <c r="R22" s="38">
        <v>1535952</v>
      </c>
      <c r="S22" s="38">
        <v>7659552</v>
      </c>
      <c r="T22" s="38">
        <v>11128</v>
      </c>
      <c r="U22" s="47">
        <v>78.043440200000006</v>
      </c>
      <c r="V22" s="47">
        <v>80.556524400000001</v>
      </c>
      <c r="W22" s="47">
        <v>40.461533799999998</v>
      </c>
      <c r="X22" s="47">
        <v>45.299952699999999</v>
      </c>
      <c r="Y22" s="47">
        <v>48.027716099999999</v>
      </c>
      <c r="Z22" s="47">
        <v>51.847111200000001</v>
      </c>
      <c r="AA22" s="47">
        <v>36.721403600000002</v>
      </c>
      <c r="AB22" s="39">
        <v>3405.5564460000001</v>
      </c>
      <c r="AC22" s="39">
        <v>19.048895999999999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13.540725</v>
      </c>
      <c r="K23" s="21">
        <f t="shared" si="1"/>
        <v>1.2227675203964752</v>
      </c>
      <c r="L23" s="19">
        <f t="shared" si="2"/>
        <v>14443440</v>
      </c>
      <c r="M23" s="19">
        <f t="shared" si="3"/>
        <v>3736128</v>
      </c>
      <c r="N23" s="44">
        <v>9673280</v>
      </c>
      <c r="O23" s="22">
        <v>14443440</v>
      </c>
      <c r="P23" s="22">
        <v>2346936</v>
      </c>
      <c r="Q23" s="22">
        <v>0</v>
      </c>
      <c r="R23" s="22">
        <v>1389192</v>
      </c>
      <c r="S23" s="22">
        <v>10696016</v>
      </c>
      <c r="T23" s="22">
        <v>11296</v>
      </c>
      <c r="U23" s="45">
        <v>78.929751999999993</v>
      </c>
      <c r="V23" s="45">
        <v>81.765398399999995</v>
      </c>
      <c r="W23" s="45">
        <v>41.461451500000003</v>
      </c>
      <c r="X23" s="45">
        <v>45.816602099999997</v>
      </c>
      <c r="Y23" s="45">
        <v>48.744229799999999</v>
      </c>
      <c r="Z23" s="45">
        <v>52.626201799999997</v>
      </c>
      <c r="AA23" s="45">
        <v>37.638381799999998</v>
      </c>
      <c r="AB23" s="23">
        <v>4041.4525079999999</v>
      </c>
      <c r="AC23" s="23">
        <v>21.908557999999999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20.1380625</v>
      </c>
      <c r="K24" s="29">
        <f t="shared" si="1"/>
        <v>1.8185266112940217</v>
      </c>
      <c r="L24" s="27">
        <f t="shared" si="2"/>
        <v>21480600</v>
      </c>
      <c r="M24" s="27">
        <f t="shared" si="3"/>
        <v>3950024</v>
      </c>
      <c r="N24" s="58">
        <v>9673280</v>
      </c>
      <c r="O24" s="30">
        <v>21480600</v>
      </c>
      <c r="P24" s="30">
        <v>2112200</v>
      </c>
      <c r="Q24" s="30">
        <v>0</v>
      </c>
      <c r="R24" s="30">
        <v>1837824</v>
      </c>
      <c r="S24" s="30">
        <v>17519632</v>
      </c>
      <c r="T24" s="30">
        <v>10944</v>
      </c>
      <c r="U24" s="59">
        <v>79.640889000000001</v>
      </c>
      <c r="V24" s="59">
        <v>82.838024599999997</v>
      </c>
      <c r="W24" s="59">
        <v>42.455773600000001</v>
      </c>
      <c r="X24" s="59">
        <v>46.899313100000001</v>
      </c>
      <c r="Y24" s="59">
        <v>50.093077899999997</v>
      </c>
      <c r="Z24" s="59">
        <v>53.019047899999997</v>
      </c>
      <c r="AA24" s="59">
        <v>38.4027271</v>
      </c>
      <c r="AB24" s="31">
        <v>4205.572169</v>
      </c>
      <c r="AC24" s="31">
        <v>25.380709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4.0367625</v>
      </c>
      <c r="K25" s="21">
        <f t="shared" si="1"/>
        <v>0.35882333333333333</v>
      </c>
      <c r="L25" s="19">
        <f t="shared" si="2"/>
        <v>4305880</v>
      </c>
      <c r="M25" s="19">
        <f t="shared" si="3"/>
        <v>1237664</v>
      </c>
      <c r="N25" s="44">
        <v>2455232</v>
      </c>
      <c r="O25" s="22">
        <v>4305880</v>
      </c>
      <c r="P25" s="22">
        <v>677616</v>
      </c>
      <c r="Q25" s="22">
        <v>0</v>
      </c>
      <c r="R25" s="22">
        <v>560048</v>
      </c>
      <c r="S25" s="22">
        <v>3057216</v>
      </c>
      <c r="T25" s="22">
        <v>11000</v>
      </c>
      <c r="U25" s="45">
        <v>74.157655500000004</v>
      </c>
      <c r="V25" s="45">
        <v>76.075621999999996</v>
      </c>
      <c r="W25" s="45">
        <v>31.567978499999999</v>
      </c>
      <c r="X25" s="45">
        <v>40.631747599999997</v>
      </c>
      <c r="Y25" s="45">
        <v>36.946113500000003</v>
      </c>
      <c r="Z25" s="45">
        <v>44.636576699999999</v>
      </c>
      <c r="AA25" s="45">
        <v>28.855127</v>
      </c>
      <c r="AB25" s="23">
        <v>1484.8246750000001</v>
      </c>
      <c r="AC25" s="23">
        <v>5.6008060000000004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7.9182300000000003</v>
      </c>
      <c r="K26" s="37">
        <f t="shared" si="1"/>
        <v>0.70384266666666662</v>
      </c>
      <c r="L26" s="35">
        <f t="shared" si="2"/>
        <v>8446112</v>
      </c>
      <c r="M26" s="35">
        <f t="shared" si="3"/>
        <v>1981424</v>
      </c>
      <c r="N26" s="46">
        <v>4912768</v>
      </c>
      <c r="O26" s="38">
        <v>8446112</v>
      </c>
      <c r="P26" s="38">
        <v>1142064</v>
      </c>
      <c r="Q26" s="38">
        <v>0</v>
      </c>
      <c r="R26" s="38">
        <v>839360</v>
      </c>
      <c r="S26" s="38">
        <v>6453648</v>
      </c>
      <c r="T26" s="38">
        <v>11040</v>
      </c>
      <c r="U26" s="47">
        <v>77.1953374</v>
      </c>
      <c r="V26" s="47">
        <v>79.719657900000001</v>
      </c>
      <c r="W26" s="47">
        <v>34.017068199999997</v>
      </c>
      <c r="X26" s="47">
        <v>42.4719464</v>
      </c>
      <c r="Y26" s="47">
        <v>39.830898699999999</v>
      </c>
      <c r="Z26" s="47">
        <v>46.282108000000001</v>
      </c>
      <c r="AA26" s="47">
        <v>31.544606300000002</v>
      </c>
      <c r="AB26" s="39">
        <v>3682.954491</v>
      </c>
      <c r="AC26" s="39">
        <v>20.029288000000001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11.643990000000001</v>
      </c>
      <c r="K27" s="21">
        <f t="shared" si="1"/>
        <v>1.0350213333333333</v>
      </c>
      <c r="L27" s="19">
        <f t="shared" si="2"/>
        <v>12420256</v>
      </c>
      <c r="M27" s="19">
        <f t="shared" si="3"/>
        <v>2842008</v>
      </c>
      <c r="N27" s="44">
        <v>9827968</v>
      </c>
      <c r="O27" s="22">
        <v>12420256</v>
      </c>
      <c r="P27" s="22">
        <v>2166088</v>
      </c>
      <c r="Q27" s="22">
        <v>0</v>
      </c>
      <c r="R27" s="22">
        <v>675920</v>
      </c>
      <c r="S27" s="22">
        <v>9567576</v>
      </c>
      <c r="T27" s="22">
        <v>10672</v>
      </c>
      <c r="U27" s="45">
        <v>78.8876767</v>
      </c>
      <c r="V27" s="45">
        <v>81.869365099999996</v>
      </c>
      <c r="W27" s="45">
        <v>34.918954900000003</v>
      </c>
      <c r="X27" s="45">
        <v>43.6738529</v>
      </c>
      <c r="Y27" s="45">
        <v>41.621094100000001</v>
      </c>
      <c r="Z27" s="45">
        <v>47.604317899999998</v>
      </c>
      <c r="AA27" s="45">
        <v>32.6911585</v>
      </c>
      <c r="AB27" s="23">
        <v>10492.187669999999</v>
      </c>
      <c r="AC27" s="23">
        <v>58.957579000000003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16.561642500000001</v>
      </c>
      <c r="K28" s="37">
        <f t="shared" si="1"/>
        <v>1.472146</v>
      </c>
      <c r="L28" s="35">
        <f t="shared" si="2"/>
        <v>17665752</v>
      </c>
      <c r="M28" s="35">
        <f t="shared" si="3"/>
        <v>4879672</v>
      </c>
      <c r="N28" s="46">
        <v>19659392</v>
      </c>
      <c r="O28" s="38">
        <v>17665752</v>
      </c>
      <c r="P28" s="38">
        <v>4235264</v>
      </c>
      <c r="Q28" s="38">
        <v>0</v>
      </c>
      <c r="R28" s="38">
        <v>644408</v>
      </c>
      <c r="S28" s="38">
        <v>12775736</v>
      </c>
      <c r="T28" s="38">
        <v>10344</v>
      </c>
      <c r="U28" s="47">
        <v>80.641095800000002</v>
      </c>
      <c r="V28" s="47">
        <v>84.398615000000007</v>
      </c>
      <c r="W28" s="47">
        <v>35.663421900000003</v>
      </c>
      <c r="X28" s="47">
        <v>43.984534699999998</v>
      </c>
      <c r="Y28" s="47">
        <v>42.090184499999999</v>
      </c>
      <c r="Z28" s="47">
        <v>49.032390999999997</v>
      </c>
      <c r="AA28" s="47">
        <v>33.902945799999998</v>
      </c>
      <c r="AB28" s="39">
        <v>11729.260270999999</v>
      </c>
      <c r="AC28" s="39">
        <v>68.294596999999996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24.596002500000001</v>
      </c>
      <c r="K29" s="52">
        <f t="shared" si="1"/>
        <v>2.1863113333333333</v>
      </c>
      <c r="L29" s="49">
        <f t="shared" si="2"/>
        <v>26235736</v>
      </c>
      <c r="M29" s="49">
        <f t="shared" si="3"/>
        <v>10038224</v>
      </c>
      <c r="N29" s="53">
        <v>14745456</v>
      </c>
      <c r="O29" s="54">
        <v>26235736</v>
      </c>
      <c r="P29" s="54">
        <v>9153112</v>
      </c>
      <c r="Q29" s="54">
        <v>0</v>
      </c>
      <c r="R29" s="54">
        <v>885112</v>
      </c>
      <c r="S29" s="54">
        <v>16188640</v>
      </c>
      <c r="T29" s="54">
        <v>8872</v>
      </c>
      <c r="U29" s="55">
        <v>85.019511800000004</v>
      </c>
      <c r="V29" s="55">
        <v>90.733210900000003</v>
      </c>
      <c r="W29" s="55">
        <v>36.390691799999999</v>
      </c>
      <c r="X29" s="55">
        <v>44.296756199999997</v>
      </c>
      <c r="Y29" s="55">
        <v>42.525190199999997</v>
      </c>
      <c r="Z29" s="55">
        <v>53.197172000000002</v>
      </c>
      <c r="AA29" s="55">
        <v>35.566122499999999</v>
      </c>
      <c r="AB29" s="56">
        <v>14729.293041000001</v>
      </c>
      <c r="AC29" s="56">
        <v>55.078885999999997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3.4432499999999999</v>
      </c>
      <c r="K30" s="37">
        <f t="shared" si="1"/>
        <v>0.6123727710868283</v>
      </c>
      <c r="L30" s="35">
        <f t="shared" si="2"/>
        <v>3672800</v>
      </c>
      <c r="M30" s="35">
        <f t="shared" si="3"/>
        <v>961760</v>
      </c>
      <c r="N30" s="46">
        <v>2423936</v>
      </c>
      <c r="O30" s="38">
        <v>3672800</v>
      </c>
      <c r="P30" s="38">
        <v>378640</v>
      </c>
      <c r="Q30" s="38">
        <v>62784</v>
      </c>
      <c r="R30" s="38">
        <v>520336</v>
      </c>
      <c r="S30" s="38">
        <v>2700248</v>
      </c>
      <c r="T30" s="38">
        <v>10792</v>
      </c>
      <c r="U30" s="47">
        <v>74.7672563</v>
      </c>
      <c r="V30" s="47">
        <v>76.558765899999997</v>
      </c>
      <c r="W30" s="47">
        <v>38.751100399999999</v>
      </c>
      <c r="X30" s="47">
        <v>44.557032200000002</v>
      </c>
      <c r="Y30" s="47">
        <v>43.192238099999997</v>
      </c>
      <c r="Z30" s="47">
        <v>47.552963499999997</v>
      </c>
      <c r="AA30" s="47">
        <v>35.382253300000002</v>
      </c>
      <c r="AB30" s="39">
        <v>3021.2144499999999</v>
      </c>
      <c r="AC30" s="39">
        <v>16.341947000000001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7.1898299999999997</v>
      </c>
      <c r="K31" s="21">
        <f t="shared" si="1"/>
        <v>1.2786919685597069</v>
      </c>
      <c r="L31" s="19">
        <f t="shared" si="2"/>
        <v>7669152</v>
      </c>
      <c r="M31" s="19">
        <f t="shared" si="3"/>
        <v>1641888</v>
      </c>
      <c r="N31" s="44">
        <v>1220960</v>
      </c>
      <c r="O31" s="22">
        <v>7669152</v>
      </c>
      <c r="P31" s="22">
        <v>693000</v>
      </c>
      <c r="Q31" s="22">
        <v>87416</v>
      </c>
      <c r="R31" s="22">
        <v>861472</v>
      </c>
      <c r="S31" s="22">
        <v>6017640</v>
      </c>
      <c r="T31" s="22">
        <v>9624</v>
      </c>
      <c r="U31" s="45">
        <v>76.612118499999994</v>
      </c>
      <c r="V31" s="45">
        <v>78.715101099999998</v>
      </c>
      <c r="W31" s="45">
        <v>41.072826300000003</v>
      </c>
      <c r="X31" s="45">
        <v>45.8814998</v>
      </c>
      <c r="Y31" s="45">
        <v>44.720713400000001</v>
      </c>
      <c r="Z31" s="45">
        <v>48.295054</v>
      </c>
      <c r="AA31" s="45">
        <v>36.8449071</v>
      </c>
      <c r="AB31" s="23">
        <v>3544.9863099999998</v>
      </c>
      <c r="AC31" s="23">
        <v>15.102689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11.122147500000001</v>
      </c>
      <c r="K32" s="37">
        <f t="shared" si="1"/>
        <v>1.9780440819026905</v>
      </c>
      <c r="L32" s="35">
        <f t="shared" si="2"/>
        <v>11863624</v>
      </c>
      <c r="M32" s="35">
        <f t="shared" si="3"/>
        <v>3308856</v>
      </c>
      <c r="N32" s="46">
        <v>4908848</v>
      </c>
      <c r="O32" s="38">
        <v>11863624</v>
      </c>
      <c r="P32" s="38">
        <v>2191648</v>
      </c>
      <c r="Q32" s="38">
        <v>222920</v>
      </c>
      <c r="R32" s="38">
        <v>894288</v>
      </c>
      <c r="S32" s="38">
        <v>8545424</v>
      </c>
      <c r="T32" s="38">
        <v>9344</v>
      </c>
      <c r="U32" s="47">
        <v>80.074134099999995</v>
      </c>
      <c r="V32" s="47">
        <v>83.135640800000004</v>
      </c>
      <c r="W32" s="47">
        <v>42.2471526</v>
      </c>
      <c r="X32" s="47">
        <v>46.660329400000002</v>
      </c>
      <c r="Y32" s="47">
        <v>45.729396100000002</v>
      </c>
      <c r="Z32" s="47">
        <v>50.696914999999997</v>
      </c>
      <c r="AA32" s="47">
        <v>39.144477000000002</v>
      </c>
      <c r="AB32" s="39">
        <v>10719.749167</v>
      </c>
      <c r="AC32" s="39">
        <v>54.957413000000003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15.610972500000001</v>
      </c>
      <c r="K33" s="21">
        <f t="shared" si="1"/>
        <v>2.7763695604981549</v>
      </c>
      <c r="L33" s="19">
        <f t="shared" si="2"/>
        <v>16651704</v>
      </c>
      <c r="M33" s="19">
        <f t="shared" si="3"/>
        <v>4243856</v>
      </c>
      <c r="N33" s="44">
        <v>4908848</v>
      </c>
      <c r="O33" s="22">
        <v>16651704</v>
      </c>
      <c r="P33" s="22">
        <v>2191648</v>
      </c>
      <c r="Q33" s="22">
        <v>222920</v>
      </c>
      <c r="R33" s="22">
        <v>1829288</v>
      </c>
      <c r="S33" s="22">
        <v>12398296</v>
      </c>
      <c r="T33" s="22">
        <v>9552</v>
      </c>
      <c r="U33" s="45">
        <v>81.461074300000007</v>
      </c>
      <c r="V33" s="45">
        <v>85.405360599999995</v>
      </c>
      <c r="W33" s="45">
        <v>43.214677799999997</v>
      </c>
      <c r="X33" s="45">
        <v>47.7194255</v>
      </c>
      <c r="Y33" s="45">
        <v>46.9168667</v>
      </c>
      <c r="Z33" s="45">
        <v>51.746952999999998</v>
      </c>
      <c r="AA33" s="45">
        <v>40.359188199999998</v>
      </c>
      <c r="AB33" s="23">
        <v>11105.169457</v>
      </c>
      <c r="AC33" s="23">
        <v>50.993315000000003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21.319042499999998</v>
      </c>
      <c r="K34" s="29">
        <f t="shared" si="1"/>
        <v>3.7915344899855845</v>
      </c>
      <c r="L34" s="27">
        <f t="shared" si="2"/>
        <v>22740312</v>
      </c>
      <c r="M34" s="27">
        <f t="shared" si="3"/>
        <v>6183376</v>
      </c>
      <c r="N34" s="58">
        <v>12284608</v>
      </c>
      <c r="O34" s="30">
        <v>22740312</v>
      </c>
      <c r="P34" s="30">
        <v>4721176</v>
      </c>
      <c r="Q34" s="30">
        <v>1107040</v>
      </c>
      <c r="R34" s="30">
        <v>355160</v>
      </c>
      <c r="S34" s="30">
        <v>16547808</v>
      </c>
      <c r="T34" s="30">
        <v>9128</v>
      </c>
      <c r="U34" s="59">
        <v>84.428205700000007</v>
      </c>
      <c r="V34" s="59">
        <v>89.055407799999998</v>
      </c>
      <c r="W34" s="59">
        <v>44.245697700000001</v>
      </c>
      <c r="X34" s="59">
        <v>48.390090700000002</v>
      </c>
      <c r="Y34" s="59">
        <v>47.698062299999997</v>
      </c>
      <c r="Z34" s="59">
        <v>54.241084800000003</v>
      </c>
      <c r="AA34" s="59">
        <v>42.293211100000001</v>
      </c>
      <c r="AB34" s="31">
        <v>13531.389759</v>
      </c>
      <c r="AC34" s="31">
        <v>53.725619999999999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3</v>
      </c>
      <c r="J35" s="20">
        <f t="shared" si="0"/>
        <v>2.8622025</v>
      </c>
      <c r="K35" s="21">
        <f t="shared" si="1"/>
        <v>0.33922400000000003</v>
      </c>
      <c r="L35" s="19">
        <f t="shared" si="2"/>
        <v>3053016</v>
      </c>
      <c r="M35" s="19">
        <f t="shared" si="3"/>
        <v>793072</v>
      </c>
      <c r="N35" s="44">
        <v>3680512</v>
      </c>
      <c r="O35" s="22">
        <v>3053016</v>
      </c>
      <c r="P35" s="22">
        <v>419184</v>
      </c>
      <c r="Q35" s="22">
        <v>69168</v>
      </c>
      <c r="R35" s="22">
        <v>304720</v>
      </c>
      <c r="S35" s="22">
        <v>2249616</v>
      </c>
      <c r="T35" s="22">
        <v>10328</v>
      </c>
      <c r="U35" s="45">
        <v>73.723121399999997</v>
      </c>
      <c r="V35" s="45">
        <v>75.431737600000005</v>
      </c>
      <c r="W35" s="45">
        <v>30.1424907</v>
      </c>
      <c r="X35" s="45">
        <v>38.8135531</v>
      </c>
      <c r="Y35" s="45">
        <v>38.9584677</v>
      </c>
      <c r="Z35" s="45">
        <v>48.826179000000003</v>
      </c>
      <c r="AA35" s="45">
        <v>29.318579199999999</v>
      </c>
      <c r="AB35" s="23">
        <v>7984.2687519999999</v>
      </c>
      <c r="AC35" s="23">
        <v>53.661838000000003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4</v>
      </c>
      <c r="J36" s="36">
        <f t="shared" si="0"/>
        <v>3.8727974999999999</v>
      </c>
      <c r="K36" s="37">
        <f t="shared" si="1"/>
        <v>0.4589982222222222</v>
      </c>
      <c r="L36" s="35">
        <f t="shared" si="2"/>
        <v>4130984</v>
      </c>
      <c r="M36" s="35">
        <f t="shared" si="3"/>
        <v>928312</v>
      </c>
      <c r="N36" s="46">
        <v>7364992</v>
      </c>
      <c r="O36" s="38">
        <v>4130984</v>
      </c>
      <c r="P36" s="38">
        <v>666184</v>
      </c>
      <c r="Q36" s="38">
        <v>132496</v>
      </c>
      <c r="R36" s="38">
        <v>129632</v>
      </c>
      <c r="S36" s="38">
        <v>3192456</v>
      </c>
      <c r="T36" s="38">
        <v>10216</v>
      </c>
      <c r="U36" s="47">
        <v>74.048676599999993</v>
      </c>
      <c r="V36" s="47">
        <v>75.767925700000006</v>
      </c>
      <c r="W36" s="47">
        <v>30.6266319</v>
      </c>
      <c r="X36" s="47">
        <v>38.9507902</v>
      </c>
      <c r="Y36" s="47">
        <v>39.078558299999997</v>
      </c>
      <c r="Z36" s="47">
        <v>49.115073899999999</v>
      </c>
      <c r="AA36" s="47">
        <v>29.669046699999999</v>
      </c>
      <c r="AB36" s="39">
        <v>8464.8885530000007</v>
      </c>
      <c r="AC36" s="39">
        <v>60.560825999999999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6</v>
      </c>
      <c r="J37" s="20">
        <f t="shared" si="0"/>
        <v>5.7457725000000002</v>
      </c>
      <c r="K37" s="21">
        <f t="shared" si="1"/>
        <v>0.6809804444444445</v>
      </c>
      <c r="L37" s="19">
        <f t="shared" si="2"/>
        <v>6128824</v>
      </c>
      <c r="M37" s="19">
        <f t="shared" si="3"/>
        <v>1237920</v>
      </c>
      <c r="N37" s="44">
        <v>7364992</v>
      </c>
      <c r="O37" s="22">
        <v>6128824</v>
      </c>
      <c r="P37" s="22">
        <v>666184</v>
      </c>
      <c r="Q37" s="22">
        <v>132496</v>
      </c>
      <c r="R37" s="22">
        <v>439240</v>
      </c>
      <c r="S37" s="22">
        <v>4880520</v>
      </c>
      <c r="T37" s="22">
        <v>10384</v>
      </c>
      <c r="U37" s="45">
        <v>76.793003600000006</v>
      </c>
      <c r="V37" s="45">
        <v>78.964326700000001</v>
      </c>
      <c r="W37" s="45">
        <v>31.257937999999999</v>
      </c>
      <c r="X37" s="45">
        <v>39.027519099999999</v>
      </c>
      <c r="Y37" s="45">
        <v>39.217070800000002</v>
      </c>
      <c r="Z37" s="45">
        <v>50.6566744</v>
      </c>
      <c r="AA37" s="45">
        <v>30.444259899999999</v>
      </c>
      <c r="AB37" s="23">
        <v>8464.2127500000006</v>
      </c>
      <c r="AC37" s="23">
        <v>55.037728000000001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8</v>
      </c>
      <c r="J38" s="36">
        <f t="shared" si="0"/>
        <v>7.6777875</v>
      </c>
      <c r="K38" s="37">
        <f t="shared" si="1"/>
        <v>0.90995999999999999</v>
      </c>
      <c r="L38" s="35">
        <f t="shared" si="2"/>
        <v>8189640</v>
      </c>
      <c r="M38" s="35">
        <f t="shared" si="3"/>
        <v>2024224</v>
      </c>
      <c r="N38" s="46">
        <v>14733568</v>
      </c>
      <c r="O38" s="38">
        <v>8189640</v>
      </c>
      <c r="P38" s="38">
        <v>1299728</v>
      </c>
      <c r="Q38" s="38">
        <v>316728</v>
      </c>
      <c r="R38" s="38">
        <v>407768</v>
      </c>
      <c r="S38" s="38">
        <v>6155176</v>
      </c>
      <c r="T38" s="38">
        <v>10240</v>
      </c>
      <c r="U38" s="47">
        <v>79.392299800000004</v>
      </c>
      <c r="V38" s="47">
        <v>82.223501999999996</v>
      </c>
      <c r="W38" s="47">
        <v>31.682774899999998</v>
      </c>
      <c r="X38" s="47">
        <v>39.1103807</v>
      </c>
      <c r="Y38" s="47">
        <v>39.381171700000003</v>
      </c>
      <c r="Z38" s="47">
        <v>52.061653399999997</v>
      </c>
      <c r="AA38" s="47">
        <v>31.038940700000001</v>
      </c>
      <c r="AB38" s="39">
        <v>9211.3344550000002</v>
      </c>
      <c r="AC38" s="39">
        <v>62.515310999999997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12</v>
      </c>
      <c r="J39" s="51">
        <f t="shared" si="0"/>
        <v>11.5848525</v>
      </c>
      <c r="K39" s="52">
        <f t="shared" si="1"/>
        <v>1.3730195555555555</v>
      </c>
      <c r="L39" s="49">
        <f t="shared" si="2"/>
        <v>12357176</v>
      </c>
      <c r="M39" s="49">
        <f t="shared" si="3"/>
        <v>2649616</v>
      </c>
      <c r="N39" s="53">
        <v>22099520</v>
      </c>
      <c r="O39" s="54">
        <v>12357176</v>
      </c>
      <c r="P39" s="54">
        <v>1830208</v>
      </c>
      <c r="Q39" s="54">
        <v>455360</v>
      </c>
      <c r="R39" s="54">
        <v>364048</v>
      </c>
      <c r="S39" s="54">
        <v>9697736</v>
      </c>
      <c r="T39" s="54">
        <v>9824</v>
      </c>
      <c r="U39" s="55">
        <v>80.693656399999995</v>
      </c>
      <c r="V39" s="55">
        <v>83.989220700000004</v>
      </c>
      <c r="W39" s="55">
        <v>32.456944700000001</v>
      </c>
      <c r="X39" s="55">
        <v>39.1929576</v>
      </c>
      <c r="Y39" s="55">
        <v>39.5269415</v>
      </c>
      <c r="Z39" s="55">
        <v>52.908071499999998</v>
      </c>
      <c r="AA39" s="55">
        <v>31.788064599999998</v>
      </c>
      <c r="AB39" s="56">
        <v>10278.166225000001</v>
      </c>
      <c r="AC39" s="56">
        <v>69.917963999999998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3</v>
      </c>
      <c r="J40" s="36">
        <f t="shared" si="0"/>
        <v>2.8233225000000002</v>
      </c>
      <c r="K40" s="37">
        <f t="shared" si="1"/>
        <v>0.33461600000000002</v>
      </c>
      <c r="L40" s="35">
        <f t="shared" si="2"/>
        <v>3011544</v>
      </c>
      <c r="M40" s="35">
        <f t="shared" si="3"/>
        <v>637912</v>
      </c>
      <c r="N40" s="46">
        <v>3682048</v>
      </c>
      <c r="O40" s="38">
        <v>3011544</v>
      </c>
      <c r="P40" s="38">
        <v>341088</v>
      </c>
      <c r="Q40" s="38">
        <v>7400</v>
      </c>
      <c r="R40" s="38">
        <v>289424</v>
      </c>
      <c r="S40" s="38">
        <v>2362912</v>
      </c>
      <c r="T40" s="38">
        <v>10720</v>
      </c>
      <c r="U40" s="47">
        <v>74.734860299999994</v>
      </c>
      <c r="V40" s="47">
        <v>76.3604658</v>
      </c>
      <c r="W40" s="47">
        <v>33.342560300000002</v>
      </c>
      <c r="X40" s="47">
        <v>42.545560299999998</v>
      </c>
      <c r="Y40" s="47">
        <v>42.905672099999997</v>
      </c>
      <c r="Z40" s="47">
        <v>49.479158900000002</v>
      </c>
      <c r="AA40" s="47">
        <v>32.484505200000001</v>
      </c>
      <c r="AB40" s="39">
        <v>7231.7348119999997</v>
      </c>
      <c r="AC40" s="39">
        <v>55.415081000000001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4</v>
      </c>
      <c r="J41" s="20">
        <f t="shared" si="0"/>
        <v>3.6965924999999999</v>
      </c>
      <c r="K41" s="21">
        <f t="shared" si="1"/>
        <v>0.43811466666666665</v>
      </c>
      <c r="L41" s="19">
        <f t="shared" si="2"/>
        <v>3943032</v>
      </c>
      <c r="M41" s="19">
        <f t="shared" si="3"/>
        <v>1018608</v>
      </c>
      <c r="N41" s="44">
        <v>7369024</v>
      </c>
      <c r="O41" s="22">
        <v>3943032</v>
      </c>
      <c r="P41" s="22">
        <v>653640</v>
      </c>
      <c r="Q41" s="22">
        <v>68528</v>
      </c>
      <c r="R41" s="22">
        <v>296440</v>
      </c>
      <c r="S41" s="22">
        <v>2914120</v>
      </c>
      <c r="T41" s="22">
        <v>10304</v>
      </c>
      <c r="U41" s="45">
        <v>76.738378400000002</v>
      </c>
      <c r="V41" s="45">
        <v>78.672499900000005</v>
      </c>
      <c r="W41" s="45">
        <v>33.674899199999999</v>
      </c>
      <c r="X41" s="45">
        <v>42.728313800000002</v>
      </c>
      <c r="Y41" s="45">
        <v>43.1935109</v>
      </c>
      <c r="Z41" s="45">
        <v>50.824359000000001</v>
      </c>
      <c r="AA41" s="45">
        <v>33.017624599999998</v>
      </c>
      <c r="AB41" s="23">
        <v>7682.4799110000004</v>
      </c>
      <c r="AC41" s="23">
        <v>61.517470000000003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6</v>
      </c>
      <c r="J42" s="36">
        <f t="shared" si="0"/>
        <v>5.7324599999999997</v>
      </c>
      <c r="K42" s="37">
        <f t="shared" si="1"/>
        <v>0.67940266666666671</v>
      </c>
      <c r="L42" s="35">
        <f t="shared" si="2"/>
        <v>6114624</v>
      </c>
      <c r="M42" s="35">
        <f t="shared" si="3"/>
        <v>1512392</v>
      </c>
      <c r="N42" s="46">
        <v>14739584</v>
      </c>
      <c r="O42" s="38">
        <v>6114624</v>
      </c>
      <c r="P42" s="38">
        <v>1162112</v>
      </c>
      <c r="Q42" s="38">
        <v>129024</v>
      </c>
      <c r="R42" s="38">
        <v>221256</v>
      </c>
      <c r="S42" s="38">
        <v>4592328</v>
      </c>
      <c r="T42" s="38">
        <v>9904</v>
      </c>
      <c r="U42" s="47">
        <v>78.634876399999996</v>
      </c>
      <c r="V42" s="47">
        <v>80.922779700000007</v>
      </c>
      <c r="W42" s="47">
        <v>34.288735600000003</v>
      </c>
      <c r="X42" s="47">
        <v>42.869700999999999</v>
      </c>
      <c r="Y42" s="47">
        <v>43.440233900000003</v>
      </c>
      <c r="Z42" s="47">
        <v>52.018354500000001</v>
      </c>
      <c r="AA42" s="47">
        <v>33.678777699999998</v>
      </c>
      <c r="AB42" s="39">
        <v>8580.8581869999998</v>
      </c>
      <c r="AC42" s="39">
        <v>60.043945000000001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8</v>
      </c>
      <c r="J43" s="20">
        <f t="shared" si="0"/>
        <v>7.5811349999999997</v>
      </c>
      <c r="K43" s="21">
        <f t="shared" si="1"/>
        <v>0.89850488888888891</v>
      </c>
      <c r="L43" s="19">
        <f t="shared" si="2"/>
        <v>8086544</v>
      </c>
      <c r="M43" s="19">
        <f t="shared" si="3"/>
        <v>1774424</v>
      </c>
      <c r="N43" s="44">
        <v>14739584</v>
      </c>
      <c r="O43" s="22">
        <v>8086544</v>
      </c>
      <c r="P43" s="22">
        <v>1162112</v>
      </c>
      <c r="Q43" s="22">
        <v>129024</v>
      </c>
      <c r="R43" s="22">
        <v>483288</v>
      </c>
      <c r="S43" s="22">
        <v>6302056</v>
      </c>
      <c r="T43" s="22">
        <v>10064</v>
      </c>
      <c r="U43" s="45">
        <v>79.947022700000005</v>
      </c>
      <c r="V43" s="45">
        <v>82.713776499999994</v>
      </c>
      <c r="W43" s="45">
        <v>34.355339600000001</v>
      </c>
      <c r="X43" s="45">
        <v>43.007177800000001</v>
      </c>
      <c r="Y43" s="45">
        <v>43.625356099999998</v>
      </c>
      <c r="Z43" s="45">
        <v>52.748548599999999</v>
      </c>
      <c r="AA43" s="45">
        <v>33.781710400000001</v>
      </c>
      <c r="AB43" s="23">
        <v>4153.884094</v>
      </c>
      <c r="AC43" s="23">
        <v>29.659842000000001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12</v>
      </c>
      <c r="J44" s="28">
        <f t="shared" si="0"/>
        <v>11.623245000000001</v>
      </c>
      <c r="K44" s="29">
        <f t="shared" si="1"/>
        <v>1.3775697777777778</v>
      </c>
      <c r="L44" s="27">
        <f t="shared" si="2"/>
        <v>12398128</v>
      </c>
      <c r="M44" s="27">
        <f t="shared" si="3"/>
        <v>2319248</v>
      </c>
      <c r="N44" s="58">
        <v>22110080</v>
      </c>
      <c r="O44" s="30">
        <v>12398128</v>
      </c>
      <c r="P44" s="30">
        <v>1636160</v>
      </c>
      <c r="Q44" s="30">
        <v>189784</v>
      </c>
      <c r="R44" s="30">
        <v>493304</v>
      </c>
      <c r="S44" s="30">
        <v>10069184</v>
      </c>
      <c r="T44" s="30">
        <v>9696</v>
      </c>
      <c r="U44" s="59">
        <v>81.354177800000002</v>
      </c>
      <c r="V44" s="59">
        <v>84.628891999999993</v>
      </c>
      <c r="W44" s="59">
        <v>34.918236399999998</v>
      </c>
      <c r="X44" s="59">
        <v>43.101718200000001</v>
      </c>
      <c r="Y44" s="59">
        <v>43.760803899999999</v>
      </c>
      <c r="Z44" s="59">
        <v>53.607817900000001</v>
      </c>
      <c r="AA44" s="59">
        <v>34.364229299999998</v>
      </c>
      <c r="AB44" s="31">
        <v>5236.6056150000004</v>
      </c>
      <c r="AC44" s="31">
        <v>43.544212999999999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x14ac:dyDescent="0.15">
      <c r="B45" s="41" t="s">
        <v>7</v>
      </c>
      <c r="K45" s="42">
        <f>AVERAGE(K5:K14)</f>
        <v>1.1174613790675343</v>
      </c>
      <c r="L45" s="42"/>
      <c r="M45" s="42"/>
      <c r="T45" s="104"/>
      <c r="AF45" s="42" t="e">
        <f>AVERAGE(AF5:AF14)</f>
        <v>#DIV/0!</v>
      </c>
      <c r="AG45" s="42"/>
      <c r="AH45" s="42"/>
      <c r="AZ45" s="5" t="e">
        <f t="shared" ref="AZ45:BF45" si="12">AVERAGE(AZ5:AZ14)</f>
        <v>#DIV/0!</v>
      </c>
      <c r="BA45" s="5" t="e">
        <f t="shared" si="12"/>
        <v>#DIV/0!</v>
      </c>
      <c r="BB45" s="5" t="e">
        <f t="shared" si="12"/>
        <v>#DIV/0!</v>
      </c>
      <c r="BC45" s="5" t="e">
        <f t="shared" si="12"/>
        <v>#DIV/0!</v>
      </c>
      <c r="BD45" s="5" t="e">
        <f t="shared" si="12"/>
        <v>#DIV/0!</v>
      </c>
      <c r="BE45" s="5" t="e">
        <f t="shared" si="12"/>
        <v>#DIV/0!</v>
      </c>
      <c r="BF45" s="5" t="e">
        <f t="shared" si="12"/>
        <v>#DIV/0!</v>
      </c>
      <c r="BH45" s="5" t="e">
        <f t="shared" ref="BH45:BN45" si="13">AVERAGE(BH5:BH14)</f>
        <v>#DIV/0!</v>
      </c>
      <c r="BI45" s="5" t="e">
        <f t="shared" si="13"/>
        <v>#DIV/0!</v>
      </c>
      <c r="BJ45" s="5" t="e">
        <f t="shared" si="13"/>
        <v>#DIV/0!</v>
      </c>
      <c r="BK45" s="5" t="e">
        <f t="shared" si="13"/>
        <v>#DIV/0!</v>
      </c>
      <c r="BL45" s="5" t="e">
        <f t="shared" si="13"/>
        <v>#DIV/0!</v>
      </c>
      <c r="BM45" s="5" t="e">
        <f t="shared" si="13"/>
        <v>#DIV/0!</v>
      </c>
      <c r="BN45" s="5" t="e">
        <f t="shared" si="13"/>
        <v>#DIV/0!</v>
      </c>
      <c r="BP45" s="5">
        <f>AVERAGE(BP5:BP14)</f>
        <v>0</v>
      </c>
      <c r="BQ45" s="5">
        <f>AVERAGE(BQ5:BQ14)</f>
        <v>0</v>
      </c>
      <c r="BR45" s="5">
        <f>AVERAGE(BR5:BR14)</f>
        <v>0</v>
      </c>
      <c r="BS45" s="5">
        <f>AVERAGE(BS5:BS14)</f>
        <v>0</v>
      </c>
      <c r="BT45" s="5">
        <f>AVERAGE(BT5:BT14)</f>
        <v>0</v>
      </c>
    </row>
    <row r="46" spans="1:72" x14ac:dyDescent="0.15">
      <c r="B46" s="41" t="s">
        <v>8</v>
      </c>
      <c r="K46" s="42">
        <f>AVERAGE(K15:K24)</f>
        <v>0.92455104943996302</v>
      </c>
      <c r="L46" s="42"/>
      <c r="M46" s="42"/>
      <c r="AF46" s="42" t="e">
        <f>AVERAGE(AF15:AF24)</f>
        <v>#DIV/0!</v>
      </c>
      <c r="AG46" s="42"/>
      <c r="AH46" s="42"/>
      <c r="AZ46" s="5" t="e">
        <f t="shared" ref="AZ46:BF46" si="14">AVERAGE(AZ15:AZ24)</f>
        <v>#DIV/0!</v>
      </c>
      <c r="BA46" s="5" t="e">
        <f t="shared" si="14"/>
        <v>#DIV/0!</v>
      </c>
      <c r="BB46" s="5" t="e">
        <f t="shared" si="14"/>
        <v>#DIV/0!</v>
      </c>
      <c r="BC46" s="5" t="e">
        <f t="shared" si="14"/>
        <v>#DIV/0!</v>
      </c>
      <c r="BD46" s="5" t="e">
        <f t="shared" si="14"/>
        <v>#DIV/0!</v>
      </c>
      <c r="BE46" s="5" t="e">
        <f t="shared" si="14"/>
        <v>#DIV/0!</v>
      </c>
      <c r="BF46" s="5" t="e">
        <f t="shared" si="14"/>
        <v>#DIV/0!</v>
      </c>
      <c r="BH46" s="5" t="e">
        <f t="shared" ref="BH46:BN46" si="15">AVERAGE(BH15:BH24)</f>
        <v>#DIV/0!</v>
      </c>
      <c r="BI46" s="5" t="e">
        <f t="shared" si="15"/>
        <v>#DIV/0!</v>
      </c>
      <c r="BJ46" s="5" t="e">
        <f t="shared" si="15"/>
        <v>#DIV/0!</v>
      </c>
      <c r="BK46" s="5" t="e">
        <f t="shared" si="15"/>
        <v>#DIV/0!</v>
      </c>
      <c r="BL46" s="5" t="e">
        <f t="shared" si="15"/>
        <v>#DIV/0!</v>
      </c>
      <c r="BM46" s="5" t="e">
        <f t="shared" si="15"/>
        <v>#DIV/0!</v>
      </c>
      <c r="BN46" s="5" t="e">
        <f t="shared" si="15"/>
        <v>#DIV/0!</v>
      </c>
      <c r="BP46" s="5">
        <f>AVERAGE(BP15:BP24)</f>
        <v>0</v>
      </c>
      <c r="BQ46" s="5">
        <f>AVERAGE(BQ15:BQ24)</f>
        <v>0</v>
      </c>
      <c r="BR46" s="5">
        <f>AVERAGE(BR15:BR24)</f>
        <v>0</v>
      </c>
      <c r="BS46" s="5">
        <f>AVERAGE(BS15:BS24)</f>
        <v>0</v>
      </c>
      <c r="BT46" s="5">
        <f>AVERAGE(BT15:BT24)</f>
        <v>0</v>
      </c>
    </row>
    <row r="47" spans="1:72" x14ac:dyDescent="0.15">
      <c r="B47" s="41" t="s">
        <v>9</v>
      </c>
      <c r="K47" s="42">
        <f>AVERAGE(K25:K44)</f>
        <v>1.1841773880460933</v>
      </c>
      <c r="L47" s="42"/>
      <c r="M47" s="42"/>
      <c r="T47" s="98"/>
      <c r="AF47" s="42" t="e">
        <f>AVERAGE(AF25:AF44)</f>
        <v>#DIV/0!</v>
      </c>
      <c r="AG47" s="42"/>
      <c r="AH47" s="42"/>
      <c r="AZ47" s="5" t="e">
        <f t="shared" ref="AZ47:BF47" si="16">AVERAGE(AZ25:AZ44)</f>
        <v>#DIV/0!</v>
      </c>
      <c r="BA47" s="5" t="e">
        <f t="shared" si="16"/>
        <v>#DIV/0!</v>
      </c>
      <c r="BB47" s="5" t="e">
        <f t="shared" si="16"/>
        <v>#DIV/0!</v>
      </c>
      <c r="BC47" s="5" t="e">
        <f t="shared" si="16"/>
        <v>#DIV/0!</v>
      </c>
      <c r="BD47" s="5" t="e">
        <f t="shared" si="16"/>
        <v>#DIV/0!</v>
      </c>
      <c r="BE47" s="5" t="e">
        <f t="shared" si="16"/>
        <v>#DIV/0!</v>
      </c>
      <c r="BF47" s="5" t="e">
        <f t="shared" si="16"/>
        <v>#DIV/0!</v>
      </c>
      <c r="BH47" s="5" t="e">
        <f t="shared" ref="BH47:BN47" si="17">AVERAGE(BH25:BH44)</f>
        <v>#DIV/0!</v>
      </c>
      <c r="BI47" s="5" t="e">
        <f t="shared" si="17"/>
        <v>#DIV/0!</v>
      </c>
      <c r="BJ47" s="5" t="e">
        <f t="shared" si="17"/>
        <v>#DIV/0!</v>
      </c>
      <c r="BK47" s="5" t="e">
        <f t="shared" si="17"/>
        <v>#DIV/0!</v>
      </c>
      <c r="BL47" s="5" t="e">
        <f t="shared" si="17"/>
        <v>#DIV/0!</v>
      </c>
      <c r="BM47" s="5" t="e">
        <f t="shared" si="17"/>
        <v>#DIV/0!</v>
      </c>
      <c r="BN47" s="5" t="e">
        <f t="shared" si="17"/>
        <v>#DIV/0!</v>
      </c>
      <c r="BP47" s="5">
        <f>AVERAGE(BP25:BP44)</f>
        <v>0</v>
      </c>
      <c r="BQ47" s="5">
        <f>AVERAGE(BQ25:BQ44)</f>
        <v>0</v>
      </c>
      <c r="BR47" s="5">
        <f>AVERAGE(BR25:BR44)</f>
        <v>0</v>
      </c>
      <c r="BS47" s="5">
        <f>AVERAGE(BS25:BS44)</f>
        <v>0</v>
      </c>
      <c r="BT47" s="5">
        <f>AVERAGE(BT25:BT44)</f>
        <v>0</v>
      </c>
    </row>
    <row r="48" spans="1:72" x14ac:dyDescent="0.15">
      <c r="B48" s="41" t="s">
        <v>10</v>
      </c>
      <c r="K48" s="42">
        <f>AVERAGE(K5:K44)</f>
        <v>1.1025918011499205</v>
      </c>
      <c r="L48" s="42"/>
      <c r="M48" s="42"/>
      <c r="AF48" s="42" t="e">
        <f>AVERAGE(AF5:AF44)</f>
        <v>#DIV/0!</v>
      </c>
      <c r="AG48" s="42"/>
      <c r="AH48" s="42"/>
      <c r="AZ48" s="5" t="e">
        <f t="shared" ref="AZ48:BF48" si="18">AVERAGE(AZ5:AZ44)</f>
        <v>#DIV/0!</v>
      </c>
      <c r="BA48" s="5" t="e">
        <f t="shared" si="18"/>
        <v>#DIV/0!</v>
      </c>
      <c r="BB48" s="5" t="e">
        <f t="shared" si="18"/>
        <v>#DIV/0!</v>
      </c>
      <c r="BC48" s="5" t="e">
        <f t="shared" si="18"/>
        <v>#DIV/0!</v>
      </c>
      <c r="BD48" s="5" t="e">
        <f t="shared" si="18"/>
        <v>#DIV/0!</v>
      </c>
      <c r="BE48" s="5" t="e">
        <f t="shared" si="18"/>
        <v>#DIV/0!</v>
      </c>
      <c r="BF48" s="5" t="e">
        <f t="shared" si="18"/>
        <v>#DIV/0!</v>
      </c>
      <c r="BH48" s="5" t="e">
        <f t="shared" ref="BH48:BN48" si="19">AVERAGE(BH5:BH44)</f>
        <v>#DIV/0!</v>
      </c>
      <c r="BI48" s="5" t="e">
        <f t="shared" si="19"/>
        <v>#DIV/0!</v>
      </c>
      <c r="BJ48" s="5" t="e">
        <f t="shared" si="19"/>
        <v>#DIV/0!</v>
      </c>
      <c r="BK48" s="5" t="e">
        <f t="shared" si="19"/>
        <v>#DIV/0!</v>
      </c>
      <c r="BL48" s="5" t="e">
        <f t="shared" si="19"/>
        <v>#DIV/0!</v>
      </c>
      <c r="BM48" s="5" t="e">
        <f t="shared" si="19"/>
        <v>#DIV/0!</v>
      </c>
      <c r="BN48" s="5" t="e">
        <f t="shared" si="19"/>
        <v>#DIV/0!</v>
      </c>
      <c r="BP48" s="5">
        <f>AVERAGE(BP5:BP44)</f>
        <v>0</v>
      </c>
      <c r="BQ48" s="5">
        <f>AVERAGE(BQ5:BQ44)</f>
        <v>0</v>
      </c>
      <c r="BR48" s="5">
        <f>AVERAGE(BR5:BR44)</f>
        <v>0</v>
      </c>
      <c r="BS48" s="5">
        <f>AVERAGE(BS5:BS44)</f>
        <v>0</v>
      </c>
      <c r="BT48" s="5">
        <f>AVERAGE(BT5:BT44)</f>
        <v>0</v>
      </c>
    </row>
    <row r="49" spans="1:50" x14ac:dyDescent="0.15">
      <c r="A49" s="41" t="s">
        <v>178</v>
      </c>
      <c r="B49" s="41" t="s">
        <v>179</v>
      </c>
      <c r="AB49" s="43">
        <f>SUM(AB5:AB14,AB15:AB24,AB25:AB44)</f>
        <v>235878.86694600002</v>
      </c>
      <c r="AC49" s="43">
        <f>SUM(AC5:AC14,AC15:AC24,AC25:AC44)</f>
        <v>1309.7761190000001</v>
      </c>
      <c r="AW49" s="43">
        <f>SUM(AW5:AW14,AW15:AW24,AW25:AW44)</f>
        <v>0</v>
      </c>
      <c r="AX49" s="43">
        <f>SUM(AX5:AX14,AX15:AX24,AX25:AX44)</f>
        <v>0</v>
      </c>
    </row>
    <row r="50" spans="1:50" x14ac:dyDescent="0.15">
      <c r="B50" s="41" t="s">
        <v>180</v>
      </c>
      <c r="AJ50" s="98"/>
      <c r="AW50" s="8">
        <f>AW49/AB49</f>
        <v>0</v>
      </c>
      <c r="AX50" s="8">
        <f>AX49/AC49</f>
        <v>0</v>
      </c>
    </row>
    <row r="51" spans="1:50" x14ac:dyDescent="0.15">
      <c r="AJ51" s="98"/>
    </row>
    <row r="52" spans="1:50" x14ac:dyDescent="0.15">
      <c r="AJ52" s="98"/>
      <c r="AL52" s="103"/>
    </row>
    <row r="53" spans="1:50" ht="15.75" customHeight="1" thickBot="1" x14ac:dyDescent="0.2">
      <c r="AJ53" s="98"/>
    </row>
    <row r="54" spans="1:50" x14ac:dyDescent="0.15">
      <c r="AG54" s="88" t="e">
        <f t="shared" ref="AG54:AG93" si="20">AG5-L5</f>
        <v>#VALUE!</v>
      </c>
      <c r="AH54" s="88" t="e">
        <f t="shared" ref="AH54:AH93" si="21">AH5-M5</f>
        <v>#VALUE!</v>
      </c>
      <c r="AI54" s="88">
        <f t="shared" ref="AI54:AI93" si="22">AI5-N5</f>
        <v>-2415872</v>
      </c>
      <c r="AJ54" s="88">
        <f t="shared" ref="AJ54:AJ93" si="23">AJ5-O5</f>
        <v>-4219264</v>
      </c>
      <c r="AK54" s="88">
        <f t="shared" ref="AK54:AK93" si="24">AK5-P5</f>
        <v>-800712</v>
      </c>
      <c r="AL54" s="88">
        <f t="shared" ref="AL54:AL93" si="25">AL5-Q5</f>
        <v>0</v>
      </c>
      <c r="AM54" s="88">
        <f t="shared" ref="AM54:AM93" si="26">AM5-R5</f>
        <v>-564184</v>
      </c>
      <c r="AN54" s="88">
        <f t="shared" ref="AN54:AN93" si="27">AN5-S5</f>
        <v>-2842200</v>
      </c>
      <c r="AO54" s="88">
        <f t="shared" ref="AO54:AO93" si="28">AO5-T5</f>
        <v>-12168</v>
      </c>
      <c r="AP54" s="88">
        <f t="shared" ref="AP54:AP93" si="29">AP5-U5</f>
        <v>-69.118031999999999</v>
      </c>
      <c r="AQ54" s="89">
        <f t="shared" ref="AQ54:AQ93" si="30">AQ5-V5</f>
        <v>-70.241258900000005</v>
      </c>
      <c r="AR54" s="89">
        <f t="shared" ref="AR54:AR93" si="31">AR5-W5</f>
        <v>-27.939602000000001</v>
      </c>
      <c r="AS54" s="89">
        <f t="shared" ref="AS54:AS93" si="32">AS5-X5</f>
        <v>-33.606277200000001</v>
      </c>
      <c r="AT54" s="89">
        <f t="shared" ref="AT54:AT93" si="33">AT5-Y5</f>
        <v>-32.999940299999999</v>
      </c>
      <c r="AU54" s="89">
        <f t="shared" ref="AU54:AU93" si="34">AU5-Z5</f>
        <v>-49.536323500000002</v>
      </c>
      <c r="AV54" s="90">
        <f t="shared" ref="AV54:AV93" si="35">AV5-AA5</f>
        <v>-26.905479400000001</v>
      </c>
    </row>
    <row r="55" spans="1:50" x14ac:dyDescent="0.15">
      <c r="AG55" s="91" t="e">
        <f t="shared" si="20"/>
        <v>#VALUE!</v>
      </c>
      <c r="AH55" s="91" t="e">
        <f t="shared" si="21"/>
        <v>#VALUE!</v>
      </c>
      <c r="AI55" s="91">
        <f t="shared" si="22"/>
        <v>-2415872</v>
      </c>
      <c r="AJ55" s="91">
        <f t="shared" si="23"/>
        <v>-8596104</v>
      </c>
      <c r="AK55" s="91">
        <f t="shared" si="24"/>
        <v>-800712</v>
      </c>
      <c r="AL55" s="91">
        <f t="shared" si="25"/>
        <v>0</v>
      </c>
      <c r="AM55" s="91">
        <f t="shared" si="26"/>
        <v>-986320</v>
      </c>
      <c r="AN55" s="91">
        <f t="shared" si="27"/>
        <v>-6797696</v>
      </c>
      <c r="AO55" s="91">
        <f t="shared" si="28"/>
        <v>-11376</v>
      </c>
      <c r="AP55" s="91">
        <f t="shared" si="29"/>
        <v>-70.908781200000007</v>
      </c>
      <c r="AQ55" s="92">
        <f t="shared" si="30"/>
        <v>-72.272037999999995</v>
      </c>
      <c r="AR55" s="92">
        <f t="shared" si="31"/>
        <v>-31.219122200000001</v>
      </c>
      <c r="AS55" s="92">
        <f t="shared" si="32"/>
        <v>-34.789686000000003</v>
      </c>
      <c r="AT55" s="92">
        <f t="shared" si="33"/>
        <v>-34.317813299999997</v>
      </c>
      <c r="AU55" s="92">
        <f t="shared" si="34"/>
        <v>-50.367261399999997</v>
      </c>
      <c r="AV55" s="93">
        <f t="shared" si="35"/>
        <v>-29.166452199999998</v>
      </c>
    </row>
    <row r="56" spans="1:50" x14ac:dyDescent="0.15">
      <c r="AG56" s="91" t="e">
        <f t="shared" si="20"/>
        <v>#VALUE!</v>
      </c>
      <c r="AH56" s="91" t="e">
        <f t="shared" si="21"/>
        <v>#VALUE!</v>
      </c>
      <c r="AI56" s="91">
        <f t="shared" si="22"/>
        <v>-4871680</v>
      </c>
      <c r="AJ56" s="91">
        <f t="shared" si="23"/>
        <v>-11773440</v>
      </c>
      <c r="AK56" s="91">
        <f t="shared" si="24"/>
        <v>-1271064</v>
      </c>
      <c r="AL56" s="91">
        <f t="shared" si="25"/>
        <v>0</v>
      </c>
      <c r="AM56" s="91">
        <f t="shared" si="26"/>
        <v>-955904</v>
      </c>
      <c r="AN56" s="91">
        <f t="shared" si="27"/>
        <v>-9534904</v>
      </c>
      <c r="AO56" s="91">
        <f t="shared" si="28"/>
        <v>-11568</v>
      </c>
      <c r="AP56" s="91">
        <f t="shared" si="29"/>
        <v>-72.687243499999994</v>
      </c>
      <c r="AQ56" s="92">
        <f t="shared" si="30"/>
        <v>-74.317054600000006</v>
      </c>
      <c r="AR56" s="92">
        <f t="shared" si="31"/>
        <v>-32.348902799999998</v>
      </c>
      <c r="AS56" s="92">
        <f t="shared" si="32"/>
        <v>-36.463350400000003</v>
      </c>
      <c r="AT56" s="92">
        <f t="shared" si="33"/>
        <v>-36.198778799999999</v>
      </c>
      <c r="AU56" s="92">
        <f t="shared" si="34"/>
        <v>-51.509394100000002</v>
      </c>
      <c r="AV56" s="93">
        <f t="shared" si="35"/>
        <v>-30.524049399999999</v>
      </c>
    </row>
    <row r="57" spans="1:50" x14ac:dyDescent="0.15">
      <c r="AG57" s="91" t="e">
        <f t="shared" si="20"/>
        <v>#VALUE!</v>
      </c>
      <c r="AH57" s="91" t="e">
        <f t="shared" si="21"/>
        <v>#VALUE!</v>
      </c>
      <c r="AI57" s="91">
        <f t="shared" si="22"/>
        <v>-9785664</v>
      </c>
      <c r="AJ57" s="91">
        <f t="shared" si="23"/>
        <v>-15061328</v>
      </c>
      <c r="AK57" s="91">
        <f t="shared" si="24"/>
        <v>-2101472</v>
      </c>
      <c r="AL57" s="91">
        <f t="shared" si="25"/>
        <v>0</v>
      </c>
      <c r="AM57" s="91">
        <f t="shared" si="26"/>
        <v>-796096</v>
      </c>
      <c r="AN57" s="91">
        <f t="shared" si="27"/>
        <v>-12152088</v>
      </c>
      <c r="AO57" s="91">
        <f t="shared" si="28"/>
        <v>-11672</v>
      </c>
      <c r="AP57" s="91">
        <f t="shared" si="29"/>
        <v>-73.512515500000006</v>
      </c>
      <c r="AQ57" s="92">
        <f t="shared" si="30"/>
        <v>-75.266670000000005</v>
      </c>
      <c r="AR57" s="92">
        <f t="shared" si="31"/>
        <v>-33.362723799999998</v>
      </c>
      <c r="AS57" s="92">
        <f t="shared" si="32"/>
        <v>-37.057130100000002</v>
      </c>
      <c r="AT57" s="92">
        <f t="shared" si="33"/>
        <v>-36.801561599999999</v>
      </c>
      <c r="AU57" s="92">
        <f t="shared" si="34"/>
        <v>-52.092208200000002</v>
      </c>
      <c r="AV57" s="93">
        <f t="shared" si="35"/>
        <v>-31.317619799999999</v>
      </c>
    </row>
    <row r="58" spans="1:50" x14ac:dyDescent="0.15">
      <c r="AG58" s="91" t="e">
        <f t="shared" si="20"/>
        <v>#VALUE!</v>
      </c>
      <c r="AH58" s="91" t="e">
        <f t="shared" si="21"/>
        <v>#VALUE!</v>
      </c>
      <c r="AI58" s="91">
        <f t="shared" si="22"/>
        <v>-9785664</v>
      </c>
      <c r="AJ58" s="91">
        <f t="shared" si="23"/>
        <v>-22687288</v>
      </c>
      <c r="AK58" s="91">
        <f t="shared" si="24"/>
        <v>-2101472</v>
      </c>
      <c r="AL58" s="91">
        <f t="shared" si="25"/>
        <v>0</v>
      </c>
      <c r="AM58" s="91">
        <f t="shared" si="26"/>
        <v>-1481664</v>
      </c>
      <c r="AN58" s="91">
        <f t="shared" si="27"/>
        <v>-19093344</v>
      </c>
      <c r="AO58" s="91">
        <f t="shared" si="28"/>
        <v>-10808</v>
      </c>
      <c r="AP58" s="91">
        <f t="shared" si="29"/>
        <v>-75.160451699999996</v>
      </c>
      <c r="AQ58" s="92">
        <f t="shared" si="30"/>
        <v>-77.230928199999994</v>
      </c>
      <c r="AR58" s="92">
        <f t="shared" si="31"/>
        <v>-34.990750400000003</v>
      </c>
      <c r="AS58" s="92">
        <f t="shared" si="32"/>
        <v>-38.591933900000001</v>
      </c>
      <c r="AT58" s="92">
        <f t="shared" si="33"/>
        <v>-38.312278599999999</v>
      </c>
      <c r="AU58" s="92">
        <f t="shared" si="34"/>
        <v>-52.978906799999997</v>
      </c>
      <c r="AV58" s="93">
        <f t="shared" si="35"/>
        <v>-32.689686000000002</v>
      </c>
    </row>
    <row r="59" spans="1:50" x14ac:dyDescent="0.15">
      <c r="AG59" s="91" t="e">
        <f t="shared" si="20"/>
        <v>#VALUE!</v>
      </c>
      <c r="AH59" s="91" t="e">
        <f t="shared" si="21"/>
        <v>#VALUE!</v>
      </c>
      <c r="AI59" s="91">
        <f t="shared" si="22"/>
        <v>-1032192</v>
      </c>
      <c r="AJ59" s="91">
        <f t="shared" si="23"/>
        <v>-3415928</v>
      </c>
      <c r="AK59" s="91">
        <f t="shared" si="24"/>
        <v>-44960</v>
      </c>
      <c r="AL59" s="91">
        <f t="shared" si="25"/>
        <v>-124912</v>
      </c>
      <c r="AM59" s="91">
        <f t="shared" si="26"/>
        <v>-1175568</v>
      </c>
      <c r="AN59" s="91">
        <f t="shared" si="27"/>
        <v>-2062912</v>
      </c>
      <c r="AO59" s="91">
        <f t="shared" si="28"/>
        <v>-7576</v>
      </c>
      <c r="AP59" s="91">
        <f t="shared" si="29"/>
        <v>-69.0763046</v>
      </c>
      <c r="AQ59" s="92">
        <f t="shared" si="30"/>
        <v>-70.265979599999994</v>
      </c>
      <c r="AR59" s="92">
        <f t="shared" si="31"/>
        <v>-36.075364</v>
      </c>
      <c r="AS59" s="92">
        <f t="shared" si="32"/>
        <v>-46.4796634</v>
      </c>
      <c r="AT59" s="92">
        <f t="shared" si="33"/>
        <v>-46.931343699999999</v>
      </c>
      <c r="AU59" s="92">
        <f t="shared" si="34"/>
        <v>-46.573915999999997</v>
      </c>
      <c r="AV59" s="93">
        <f t="shared" si="35"/>
        <v>-32.663907199999997</v>
      </c>
    </row>
    <row r="60" spans="1:50" x14ac:dyDescent="0.15">
      <c r="AG60" s="91" t="e">
        <f t="shared" si="20"/>
        <v>#VALUE!</v>
      </c>
      <c r="AH60" s="91" t="e">
        <f t="shared" si="21"/>
        <v>#VALUE!</v>
      </c>
      <c r="AI60" s="91">
        <f t="shared" si="22"/>
        <v>-2030368</v>
      </c>
      <c r="AJ60" s="91">
        <f t="shared" si="23"/>
        <v>-7038288</v>
      </c>
      <c r="AK60" s="91">
        <f t="shared" si="24"/>
        <v>-299424</v>
      </c>
      <c r="AL60" s="91">
        <f t="shared" si="25"/>
        <v>-182720</v>
      </c>
      <c r="AM60" s="91">
        <f t="shared" si="26"/>
        <v>-2275496</v>
      </c>
      <c r="AN60" s="91">
        <f t="shared" si="27"/>
        <v>-4272792</v>
      </c>
      <c r="AO60" s="91">
        <f t="shared" si="28"/>
        <v>-7856</v>
      </c>
      <c r="AP60" s="91">
        <f t="shared" si="29"/>
        <v>-72.432656100000003</v>
      </c>
      <c r="AQ60" s="92">
        <f t="shared" si="30"/>
        <v>-74.041775200000004</v>
      </c>
      <c r="AR60" s="92">
        <f t="shared" si="31"/>
        <v>-37.284415799999998</v>
      </c>
      <c r="AS60" s="92">
        <f t="shared" si="32"/>
        <v>-47.049411300000003</v>
      </c>
      <c r="AT60" s="92">
        <f t="shared" si="33"/>
        <v>-47.647751800000002</v>
      </c>
      <c r="AU60" s="92">
        <f t="shared" si="34"/>
        <v>-48.480654700000002</v>
      </c>
      <c r="AV60" s="93">
        <f t="shared" si="35"/>
        <v>-34.640821600000002</v>
      </c>
    </row>
    <row r="61" spans="1:50" x14ac:dyDescent="0.15">
      <c r="AG61" s="91" t="e">
        <f t="shared" si="20"/>
        <v>#VALUE!</v>
      </c>
      <c r="AH61" s="91" t="e">
        <f t="shared" si="21"/>
        <v>#VALUE!</v>
      </c>
      <c r="AI61" s="91">
        <f t="shared" si="22"/>
        <v>-2236080</v>
      </c>
      <c r="AJ61" s="91">
        <f t="shared" si="23"/>
        <v>-9683760</v>
      </c>
      <c r="AK61" s="91">
        <f t="shared" si="24"/>
        <v>-400288</v>
      </c>
      <c r="AL61" s="91">
        <f t="shared" si="25"/>
        <v>-190944</v>
      </c>
      <c r="AM61" s="91">
        <f t="shared" si="26"/>
        <v>-2660368</v>
      </c>
      <c r="AN61" s="91">
        <f t="shared" si="27"/>
        <v>-6424216</v>
      </c>
      <c r="AO61" s="91">
        <f t="shared" si="28"/>
        <v>-7944</v>
      </c>
      <c r="AP61" s="91">
        <f t="shared" si="29"/>
        <v>-72.947960800000004</v>
      </c>
      <c r="AQ61" s="92">
        <f t="shared" si="30"/>
        <v>-74.686370999999994</v>
      </c>
      <c r="AR61" s="92">
        <f t="shared" si="31"/>
        <v>-38.084084699999998</v>
      </c>
      <c r="AS61" s="92">
        <f t="shared" si="32"/>
        <v>-47.345016399999999</v>
      </c>
      <c r="AT61" s="92">
        <f t="shared" si="33"/>
        <v>-48.000573799999998</v>
      </c>
      <c r="AU61" s="92">
        <f t="shared" si="34"/>
        <v>-48.859477499999997</v>
      </c>
      <c r="AV61" s="93">
        <f t="shared" si="35"/>
        <v>-35.244909999999997</v>
      </c>
    </row>
    <row r="62" spans="1:50" x14ac:dyDescent="0.15">
      <c r="AG62" s="91" t="e">
        <f t="shared" si="20"/>
        <v>#VALUE!</v>
      </c>
      <c r="AH62" s="91" t="e">
        <f t="shared" si="21"/>
        <v>#VALUE!</v>
      </c>
      <c r="AI62" s="91">
        <f t="shared" si="22"/>
        <v>-2440496</v>
      </c>
      <c r="AJ62" s="91">
        <f t="shared" si="23"/>
        <v>-12476624</v>
      </c>
      <c r="AK62" s="91">
        <f t="shared" si="24"/>
        <v>-347648</v>
      </c>
      <c r="AL62" s="91">
        <f t="shared" si="25"/>
        <v>-220928</v>
      </c>
      <c r="AM62" s="91">
        <f t="shared" si="26"/>
        <v>-2835736</v>
      </c>
      <c r="AN62" s="91">
        <f t="shared" si="27"/>
        <v>-9064400</v>
      </c>
      <c r="AO62" s="91">
        <f t="shared" si="28"/>
        <v>-7912</v>
      </c>
      <c r="AP62" s="91">
        <f t="shared" si="29"/>
        <v>-73.2603498</v>
      </c>
      <c r="AQ62" s="92">
        <f t="shared" si="30"/>
        <v>-75.047408700000005</v>
      </c>
      <c r="AR62" s="92">
        <f t="shared" si="31"/>
        <v>-38.886689199999999</v>
      </c>
      <c r="AS62" s="92">
        <f t="shared" si="32"/>
        <v>-48.086951999999997</v>
      </c>
      <c r="AT62" s="92">
        <f t="shared" si="33"/>
        <v>-48.761617700000002</v>
      </c>
      <c r="AU62" s="92">
        <f t="shared" si="34"/>
        <v>-49.036002199999999</v>
      </c>
      <c r="AV62" s="93">
        <f t="shared" si="35"/>
        <v>-35.761919599999999</v>
      </c>
    </row>
    <row r="63" spans="1:50" x14ac:dyDescent="0.15">
      <c r="AG63" s="91" t="e">
        <f t="shared" si="20"/>
        <v>#VALUE!</v>
      </c>
      <c r="AH63" s="91" t="e">
        <f t="shared" si="21"/>
        <v>#VALUE!</v>
      </c>
      <c r="AI63" s="91">
        <f t="shared" si="22"/>
        <v>-3769536</v>
      </c>
      <c r="AJ63" s="91">
        <f t="shared" si="23"/>
        <v>-21193880</v>
      </c>
      <c r="AK63" s="91">
        <f t="shared" si="24"/>
        <v>-1702544</v>
      </c>
      <c r="AL63" s="91">
        <f t="shared" si="25"/>
        <v>-189864</v>
      </c>
      <c r="AM63" s="91">
        <f t="shared" si="26"/>
        <v>-3994952</v>
      </c>
      <c r="AN63" s="91">
        <f t="shared" si="27"/>
        <v>-15297592</v>
      </c>
      <c r="AO63" s="91">
        <f t="shared" si="28"/>
        <v>-8928</v>
      </c>
      <c r="AP63" s="91">
        <f t="shared" si="29"/>
        <v>-75.356621899999993</v>
      </c>
      <c r="AQ63" s="92">
        <f t="shared" si="30"/>
        <v>-77.610834999999994</v>
      </c>
      <c r="AR63" s="92">
        <f t="shared" si="31"/>
        <v>-39.404401200000002</v>
      </c>
      <c r="AS63" s="92">
        <f t="shared" si="32"/>
        <v>-48.390785200000003</v>
      </c>
      <c r="AT63" s="92">
        <f t="shared" si="33"/>
        <v>-49.081712099999997</v>
      </c>
      <c r="AU63" s="92">
        <f t="shared" si="34"/>
        <v>-50.269220500000003</v>
      </c>
      <c r="AV63" s="93">
        <f t="shared" si="35"/>
        <v>-36.747716500000003</v>
      </c>
    </row>
    <row r="64" spans="1:50" x14ac:dyDescent="0.15">
      <c r="AG64" s="91" t="e">
        <f t="shared" si="20"/>
        <v>#VALUE!</v>
      </c>
      <c r="AH64" s="91" t="e">
        <f t="shared" si="21"/>
        <v>#VALUE!</v>
      </c>
      <c r="AI64" s="91">
        <f t="shared" si="22"/>
        <v>-2419456</v>
      </c>
      <c r="AJ64" s="91">
        <f t="shared" si="23"/>
        <v>-3079408</v>
      </c>
      <c r="AK64" s="91">
        <f t="shared" si="24"/>
        <v>-684392</v>
      </c>
      <c r="AL64" s="91">
        <f t="shared" si="25"/>
        <v>0</v>
      </c>
      <c r="AM64" s="91">
        <f t="shared" si="26"/>
        <v>-453688</v>
      </c>
      <c r="AN64" s="91">
        <f t="shared" si="27"/>
        <v>-1930168</v>
      </c>
      <c r="AO64" s="91">
        <f t="shared" si="28"/>
        <v>-11160</v>
      </c>
      <c r="AP64" s="91">
        <f t="shared" si="29"/>
        <v>-71.784670500000004</v>
      </c>
      <c r="AQ64" s="92">
        <f t="shared" si="30"/>
        <v>-73.073559700000004</v>
      </c>
      <c r="AR64" s="92">
        <f t="shared" si="31"/>
        <v>-35.614642799999999</v>
      </c>
      <c r="AS64" s="92">
        <f t="shared" si="32"/>
        <v>-43.401773800000001</v>
      </c>
      <c r="AT64" s="92">
        <f t="shared" si="33"/>
        <v>-45.002072599999998</v>
      </c>
      <c r="AU64" s="92">
        <f t="shared" si="34"/>
        <v>-45.695622800000002</v>
      </c>
      <c r="AV64" s="93">
        <f t="shared" si="35"/>
        <v>-32.420198300000003</v>
      </c>
    </row>
    <row r="65" spans="33:48" x14ac:dyDescent="0.15">
      <c r="AG65" s="91" t="e">
        <f t="shared" si="20"/>
        <v>#VALUE!</v>
      </c>
      <c r="AH65" s="91" t="e">
        <f t="shared" si="21"/>
        <v>#VALUE!</v>
      </c>
      <c r="AI65" s="91">
        <f t="shared" si="22"/>
        <v>-2419456</v>
      </c>
      <c r="AJ65" s="91">
        <f t="shared" si="23"/>
        <v>-5122392</v>
      </c>
      <c r="AK65" s="91">
        <f t="shared" si="24"/>
        <v>-746008</v>
      </c>
      <c r="AL65" s="91">
        <f t="shared" si="25"/>
        <v>0</v>
      </c>
      <c r="AM65" s="91">
        <f t="shared" si="26"/>
        <v>-687208</v>
      </c>
      <c r="AN65" s="91">
        <f t="shared" si="27"/>
        <v>-3677704</v>
      </c>
      <c r="AO65" s="91">
        <f t="shared" si="28"/>
        <v>-11472</v>
      </c>
      <c r="AP65" s="91">
        <f t="shared" si="29"/>
        <v>-73.557611600000001</v>
      </c>
      <c r="AQ65" s="92">
        <f t="shared" si="30"/>
        <v>-75.037586099999999</v>
      </c>
      <c r="AR65" s="92">
        <f t="shared" si="31"/>
        <v>-38.389620200000003</v>
      </c>
      <c r="AS65" s="92">
        <f t="shared" si="32"/>
        <v>-44.0514881</v>
      </c>
      <c r="AT65" s="92">
        <f t="shared" si="33"/>
        <v>-46.237601900000001</v>
      </c>
      <c r="AU65" s="92">
        <f t="shared" si="34"/>
        <v>-46.4383658</v>
      </c>
      <c r="AV65" s="93">
        <f t="shared" si="35"/>
        <v>-34.080604999999998</v>
      </c>
    </row>
    <row r="66" spans="33:48" x14ac:dyDescent="0.15">
      <c r="AG66" s="91" t="e">
        <f t="shared" si="20"/>
        <v>#VALUE!</v>
      </c>
      <c r="AH66" s="91" t="e">
        <f t="shared" si="21"/>
        <v>#VALUE!</v>
      </c>
      <c r="AI66" s="91">
        <f t="shared" si="22"/>
        <v>-4841472</v>
      </c>
      <c r="AJ66" s="91">
        <f t="shared" si="23"/>
        <v>-10174904</v>
      </c>
      <c r="AK66" s="91">
        <f t="shared" si="24"/>
        <v>-1249720</v>
      </c>
      <c r="AL66" s="91">
        <f t="shared" si="25"/>
        <v>0</v>
      </c>
      <c r="AM66" s="91">
        <f t="shared" si="26"/>
        <v>-1513560</v>
      </c>
      <c r="AN66" s="91">
        <f t="shared" si="27"/>
        <v>-7400544</v>
      </c>
      <c r="AO66" s="91">
        <f t="shared" si="28"/>
        <v>-11080</v>
      </c>
      <c r="AP66" s="91">
        <f t="shared" si="29"/>
        <v>-78.264783899999998</v>
      </c>
      <c r="AQ66" s="92">
        <f t="shared" si="30"/>
        <v>-80.584249700000001</v>
      </c>
      <c r="AR66" s="92">
        <f t="shared" si="31"/>
        <v>-41.028724599999997</v>
      </c>
      <c r="AS66" s="92">
        <f t="shared" si="32"/>
        <v>-44.960997499999998</v>
      </c>
      <c r="AT66" s="92">
        <f t="shared" si="33"/>
        <v>-48.047261200000001</v>
      </c>
      <c r="AU66" s="92">
        <f t="shared" si="34"/>
        <v>-48.813600000000001</v>
      </c>
      <c r="AV66" s="93">
        <f t="shared" si="35"/>
        <v>-37.272457099999997</v>
      </c>
    </row>
    <row r="67" spans="33:48" x14ac:dyDescent="0.15">
      <c r="AG67" s="91" t="e">
        <f t="shared" si="20"/>
        <v>#VALUE!</v>
      </c>
      <c r="AH67" s="91" t="e">
        <f t="shared" si="21"/>
        <v>#VALUE!</v>
      </c>
      <c r="AI67" s="91">
        <f t="shared" si="22"/>
        <v>-9684544</v>
      </c>
      <c r="AJ67" s="91">
        <f t="shared" si="23"/>
        <v>-14546728</v>
      </c>
      <c r="AK67" s="91">
        <f t="shared" si="24"/>
        <v>-2163032</v>
      </c>
      <c r="AL67" s="91">
        <f t="shared" si="25"/>
        <v>0</v>
      </c>
      <c r="AM67" s="91">
        <f t="shared" si="26"/>
        <v>-1626776</v>
      </c>
      <c r="AN67" s="91">
        <f t="shared" si="27"/>
        <v>-10745880</v>
      </c>
      <c r="AO67" s="91">
        <f t="shared" si="28"/>
        <v>-11040</v>
      </c>
      <c r="AP67" s="91">
        <f t="shared" si="29"/>
        <v>-79.558201800000006</v>
      </c>
      <c r="AQ67" s="92">
        <f t="shared" si="30"/>
        <v>-82.306608900000001</v>
      </c>
      <c r="AR67" s="92">
        <f t="shared" si="31"/>
        <v>-41.9565141</v>
      </c>
      <c r="AS67" s="92">
        <f t="shared" si="32"/>
        <v>-45.657362499999998</v>
      </c>
      <c r="AT67" s="92">
        <f t="shared" si="33"/>
        <v>-49.207970299999999</v>
      </c>
      <c r="AU67" s="92">
        <f t="shared" si="34"/>
        <v>-49.7686615</v>
      </c>
      <c r="AV67" s="93">
        <f t="shared" si="35"/>
        <v>-38.3577716</v>
      </c>
    </row>
    <row r="68" spans="33:48" x14ac:dyDescent="0.15">
      <c r="AG68" s="91" t="e">
        <f t="shared" si="20"/>
        <v>#VALUE!</v>
      </c>
      <c r="AH68" s="91" t="e">
        <f t="shared" si="21"/>
        <v>#VALUE!</v>
      </c>
      <c r="AI68" s="91">
        <f t="shared" si="22"/>
        <v>-9684544</v>
      </c>
      <c r="AJ68" s="91">
        <f t="shared" si="23"/>
        <v>-21880248</v>
      </c>
      <c r="AK68" s="91">
        <f t="shared" si="24"/>
        <v>-2163032</v>
      </c>
      <c r="AL68" s="91">
        <f t="shared" si="25"/>
        <v>0</v>
      </c>
      <c r="AM68" s="91">
        <f t="shared" si="26"/>
        <v>-1838992</v>
      </c>
      <c r="AN68" s="91">
        <f t="shared" si="27"/>
        <v>-17867136</v>
      </c>
      <c r="AO68" s="91">
        <f t="shared" si="28"/>
        <v>-11088</v>
      </c>
      <c r="AP68" s="91">
        <f t="shared" si="29"/>
        <v>-79.920927300000002</v>
      </c>
      <c r="AQ68" s="92">
        <f t="shared" si="30"/>
        <v>-82.837632400000004</v>
      </c>
      <c r="AR68" s="92">
        <f t="shared" si="31"/>
        <v>-42.953926899999999</v>
      </c>
      <c r="AS68" s="92">
        <f t="shared" si="32"/>
        <v>-46.584795300000003</v>
      </c>
      <c r="AT68" s="92">
        <f t="shared" si="33"/>
        <v>-50.543902099999997</v>
      </c>
      <c r="AU68" s="92">
        <f t="shared" si="34"/>
        <v>-49.938614399999999</v>
      </c>
      <c r="AV68" s="93">
        <f t="shared" si="35"/>
        <v>-38.912806699999997</v>
      </c>
    </row>
    <row r="69" spans="33:48" x14ac:dyDescent="0.15">
      <c r="AG69" s="91" t="e">
        <f t="shared" si="20"/>
        <v>#VALUE!</v>
      </c>
      <c r="AH69" s="91" t="e">
        <f t="shared" si="21"/>
        <v>#VALUE!</v>
      </c>
      <c r="AI69" s="91">
        <f t="shared" si="22"/>
        <v>-2417984</v>
      </c>
      <c r="AJ69" s="91">
        <f t="shared" si="23"/>
        <v>-3077216</v>
      </c>
      <c r="AK69" s="91">
        <f t="shared" si="24"/>
        <v>-660728</v>
      </c>
      <c r="AL69" s="91">
        <f t="shared" si="25"/>
        <v>0</v>
      </c>
      <c r="AM69" s="91">
        <f t="shared" si="26"/>
        <v>-448776</v>
      </c>
      <c r="AN69" s="91">
        <f t="shared" si="27"/>
        <v>-1956784</v>
      </c>
      <c r="AO69" s="91">
        <f t="shared" si="28"/>
        <v>-10928</v>
      </c>
      <c r="AP69" s="91">
        <f t="shared" si="29"/>
        <v>-71.753850200000002</v>
      </c>
      <c r="AQ69" s="92">
        <f t="shared" si="30"/>
        <v>-73.096716599999993</v>
      </c>
      <c r="AR69" s="92">
        <f t="shared" si="31"/>
        <v>-34.579822399999998</v>
      </c>
      <c r="AS69" s="92">
        <f t="shared" si="32"/>
        <v>-42.847336900000002</v>
      </c>
      <c r="AT69" s="92">
        <f t="shared" si="33"/>
        <v>-44.076220599999999</v>
      </c>
      <c r="AU69" s="92">
        <f t="shared" si="34"/>
        <v>-48.614354900000002</v>
      </c>
      <c r="AV69" s="93">
        <f t="shared" si="35"/>
        <v>-31.528650500000001</v>
      </c>
    </row>
    <row r="70" spans="33:48" x14ac:dyDescent="0.15">
      <c r="AG70" s="91" t="e">
        <f t="shared" si="20"/>
        <v>#VALUE!</v>
      </c>
      <c r="AH70" s="91" t="e">
        <f t="shared" si="21"/>
        <v>#VALUE!</v>
      </c>
      <c r="AI70" s="91">
        <f t="shared" si="22"/>
        <v>-2417984</v>
      </c>
      <c r="AJ70" s="91">
        <f t="shared" si="23"/>
        <v>-5230768</v>
      </c>
      <c r="AK70" s="91">
        <f t="shared" si="24"/>
        <v>-721856</v>
      </c>
      <c r="AL70" s="91">
        <f t="shared" si="25"/>
        <v>0</v>
      </c>
      <c r="AM70" s="91">
        <f t="shared" si="26"/>
        <v>-496952</v>
      </c>
      <c r="AN70" s="91">
        <f t="shared" si="27"/>
        <v>-4000592</v>
      </c>
      <c r="AO70" s="91">
        <f t="shared" si="28"/>
        <v>-11368</v>
      </c>
      <c r="AP70" s="91">
        <f t="shared" si="29"/>
        <v>-72.2144531</v>
      </c>
      <c r="AQ70" s="92">
        <f t="shared" si="30"/>
        <v>-73.609995900000001</v>
      </c>
      <c r="AR70" s="92">
        <f t="shared" si="31"/>
        <v>-37.497583900000002</v>
      </c>
      <c r="AS70" s="92">
        <f t="shared" si="32"/>
        <v>-44.034629500000001</v>
      </c>
      <c r="AT70" s="92">
        <f t="shared" si="33"/>
        <v>-45.978520600000003</v>
      </c>
      <c r="AU70" s="92">
        <f t="shared" si="34"/>
        <v>-48.839585200000002</v>
      </c>
      <c r="AV70" s="93">
        <f t="shared" si="35"/>
        <v>-32.779473799999998</v>
      </c>
    </row>
    <row r="71" spans="33:48" x14ac:dyDescent="0.15">
      <c r="AG71" s="91" t="e">
        <f t="shared" si="20"/>
        <v>#VALUE!</v>
      </c>
      <c r="AH71" s="91" t="e">
        <f t="shared" si="21"/>
        <v>#VALUE!</v>
      </c>
      <c r="AI71" s="91">
        <f t="shared" si="22"/>
        <v>-4836096</v>
      </c>
      <c r="AJ71" s="91">
        <f t="shared" si="23"/>
        <v>-10311528</v>
      </c>
      <c r="AK71" s="91">
        <f t="shared" si="24"/>
        <v>-1104896</v>
      </c>
      <c r="AL71" s="91">
        <f t="shared" si="25"/>
        <v>0</v>
      </c>
      <c r="AM71" s="91">
        <f t="shared" si="26"/>
        <v>-1535952</v>
      </c>
      <c r="AN71" s="91">
        <f t="shared" si="27"/>
        <v>-7659552</v>
      </c>
      <c r="AO71" s="91">
        <f t="shared" si="28"/>
        <v>-11128</v>
      </c>
      <c r="AP71" s="91">
        <f t="shared" si="29"/>
        <v>-78.043440200000006</v>
      </c>
      <c r="AQ71" s="92">
        <f t="shared" si="30"/>
        <v>-80.556524400000001</v>
      </c>
      <c r="AR71" s="92">
        <f t="shared" si="31"/>
        <v>-40.461533799999998</v>
      </c>
      <c r="AS71" s="92">
        <f t="shared" si="32"/>
        <v>-45.299952699999999</v>
      </c>
      <c r="AT71" s="92">
        <f t="shared" si="33"/>
        <v>-48.027716099999999</v>
      </c>
      <c r="AU71" s="92">
        <f t="shared" si="34"/>
        <v>-51.847111200000001</v>
      </c>
      <c r="AV71" s="93">
        <f t="shared" si="35"/>
        <v>-36.721403600000002</v>
      </c>
    </row>
    <row r="72" spans="33:48" x14ac:dyDescent="0.15">
      <c r="AG72" s="91" t="e">
        <f t="shared" si="20"/>
        <v>#VALUE!</v>
      </c>
      <c r="AH72" s="91" t="e">
        <f t="shared" si="21"/>
        <v>#VALUE!</v>
      </c>
      <c r="AI72" s="91">
        <f t="shared" si="22"/>
        <v>-9673280</v>
      </c>
      <c r="AJ72" s="91">
        <f t="shared" si="23"/>
        <v>-14443440</v>
      </c>
      <c r="AK72" s="91">
        <f t="shared" si="24"/>
        <v>-2346936</v>
      </c>
      <c r="AL72" s="91">
        <f t="shared" si="25"/>
        <v>0</v>
      </c>
      <c r="AM72" s="91">
        <f t="shared" si="26"/>
        <v>-1389192</v>
      </c>
      <c r="AN72" s="91">
        <f t="shared" si="27"/>
        <v>-10696016</v>
      </c>
      <c r="AO72" s="91">
        <f t="shared" si="28"/>
        <v>-11296</v>
      </c>
      <c r="AP72" s="91">
        <f t="shared" si="29"/>
        <v>-78.929751999999993</v>
      </c>
      <c r="AQ72" s="92">
        <f t="shared" si="30"/>
        <v>-81.765398399999995</v>
      </c>
      <c r="AR72" s="92">
        <f t="shared" si="31"/>
        <v>-41.461451500000003</v>
      </c>
      <c r="AS72" s="92">
        <f t="shared" si="32"/>
        <v>-45.816602099999997</v>
      </c>
      <c r="AT72" s="92">
        <f t="shared" si="33"/>
        <v>-48.744229799999999</v>
      </c>
      <c r="AU72" s="92">
        <f t="shared" si="34"/>
        <v>-52.626201799999997</v>
      </c>
      <c r="AV72" s="93">
        <f t="shared" si="35"/>
        <v>-37.638381799999998</v>
      </c>
    </row>
    <row r="73" spans="33:48" x14ac:dyDescent="0.15">
      <c r="AG73" s="91" t="e">
        <f t="shared" si="20"/>
        <v>#VALUE!</v>
      </c>
      <c r="AH73" s="91" t="e">
        <f t="shared" si="21"/>
        <v>#VALUE!</v>
      </c>
      <c r="AI73" s="91">
        <f t="shared" si="22"/>
        <v>-9673280</v>
      </c>
      <c r="AJ73" s="91">
        <f t="shared" si="23"/>
        <v>-21480600</v>
      </c>
      <c r="AK73" s="91">
        <f t="shared" si="24"/>
        <v>-2112200</v>
      </c>
      <c r="AL73" s="91">
        <f t="shared" si="25"/>
        <v>0</v>
      </c>
      <c r="AM73" s="91">
        <f t="shared" si="26"/>
        <v>-1837824</v>
      </c>
      <c r="AN73" s="91">
        <f t="shared" si="27"/>
        <v>-17519632</v>
      </c>
      <c r="AO73" s="91">
        <f t="shared" si="28"/>
        <v>-10944</v>
      </c>
      <c r="AP73" s="91">
        <f t="shared" si="29"/>
        <v>-79.640889000000001</v>
      </c>
      <c r="AQ73" s="92">
        <f t="shared" si="30"/>
        <v>-82.838024599999997</v>
      </c>
      <c r="AR73" s="92">
        <f t="shared" si="31"/>
        <v>-42.455773600000001</v>
      </c>
      <c r="AS73" s="92">
        <f t="shared" si="32"/>
        <v>-46.899313100000001</v>
      </c>
      <c r="AT73" s="92">
        <f t="shared" si="33"/>
        <v>-50.093077899999997</v>
      </c>
      <c r="AU73" s="92">
        <f t="shared" si="34"/>
        <v>-53.019047899999997</v>
      </c>
      <c r="AV73" s="93">
        <f t="shared" si="35"/>
        <v>-38.4027271</v>
      </c>
    </row>
    <row r="74" spans="33:48" x14ac:dyDescent="0.15">
      <c r="AG74" s="91" t="e">
        <f t="shared" si="20"/>
        <v>#VALUE!</v>
      </c>
      <c r="AH74" s="91" t="e">
        <f t="shared" si="21"/>
        <v>#VALUE!</v>
      </c>
      <c r="AI74" s="91">
        <f t="shared" si="22"/>
        <v>-2455232</v>
      </c>
      <c r="AJ74" s="91">
        <f t="shared" si="23"/>
        <v>-4305880</v>
      </c>
      <c r="AK74" s="91">
        <f t="shared" si="24"/>
        <v>-677616</v>
      </c>
      <c r="AL74" s="91">
        <f t="shared" si="25"/>
        <v>0</v>
      </c>
      <c r="AM74" s="91">
        <f t="shared" si="26"/>
        <v>-560048</v>
      </c>
      <c r="AN74" s="91">
        <f t="shared" si="27"/>
        <v>-3057216</v>
      </c>
      <c r="AO74" s="91">
        <f t="shared" si="28"/>
        <v>-11000</v>
      </c>
      <c r="AP74" s="91">
        <f t="shared" si="29"/>
        <v>-74.157655500000004</v>
      </c>
      <c r="AQ74" s="92">
        <f t="shared" si="30"/>
        <v>-76.075621999999996</v>
      </c>
      <c r="AR74" s="92">
        <f t="shared" si="31"/>
        <v>-31.567978499999999</v>
      </c>
      <c r="AS74" s="92">
        <f t="shared" si="32"/>
        <v>-40.631747599999997</v>
      </c>
      <c r="AT74" s="92">
        <f t="shared" si="33"/>
        <v>-36.946113500000003</v>
      </c>
      <c r="AU74" s="92">
        <f t="shared" si="34"/>
        <v>-44.636576699999999</v>
      </c>
      <c r="AV74" s="93">
        <f t="shared" si="35"/>
        <v>-28.855127</v>
      </c>
    </row>
    <row r="75" spans="33:48" x14ac:dyDescent="0.15">
      <c r="AG75" s="91" t="e">
        <f t="shared" si="20"/>
        <v>#VALUE!</v>
      </c>
      <c r="AH75" s="91" t="e">
        <f t="shared" si="21"/>
        <v>#VALUE!</v>
      </c>
      <c r="AI75" s="91">
        <f t="shared" si="22"/>
        <v>-4912768</v>
      </c>
      <c r="AJ75" s="91">
        <f t="shared" si="23"/>
        <v>-8446112</v>
      </c>
      <c r="AK75" s="91">
        <f t="shared" si="24"/>
        <v>-1142064</v>
      </c>
      <c r="AL75" s="91">
        <f t="shared" si="25"/>
        <v>0</v>
      </c>
      <c r="AM75" s="91">
        <f t="shared" si="26"/>
        <v>-839360</v>
      </c>
      <c r="AN75" s="91">
        <f t="shared" si="27"/>
        <v>-6453648</v>
      </c>
      <c r="AO75" s="91">
        <f t="shared" si="28"/>
        <v>-11040</v>
      </c>
      <c r="AP75" s="91">
        <f t="shared" si="29"/>
        <v>-77.1953374</v>
      </c>
      <c r="AQ75" s="92">
        <f t="shared" si="30"/>
        <v>-79.719657900000001</v>
      </c>
      <c r="AR75" s="92">
        <f t="shared" si="31"/>
        <v>-34.017068199999997</v>
      </c>
      <c r="AS75" s="92">
        <f t="shared" si="32"/>
        <v>-42.4719464</v>
      </c>
      <c r="AT75" s="92">
        <f t="shared" si="33"/>
        <v>-39.830898699999999</v>
      </c>
      <c r="AU75" s="92">
        <f t="shared" si="34"/>
        <v>-46.282108000000001</v>
      </c>
      <c r="AV75" s="93">
        <f t="shared" si="35"/>
        <v>-31.544606300000002</v>
      </c>
    </row>
    <row r="76" spans="33:48" x14ac:dyDescent="0.15">
      <c r="AG76" s="91" t="e">
        <f t="shared" si="20"/>
        <v>#VALUE!</v>
      </c>
      <c r="AH76" s="91" t="e">
        <f t="shared" si="21"/>
        <v>#VALUE!</v>
      </c>
      <c r="AI76" s="91">
        <f t="shared" si="22"/>
        <v>-9827968</v>
      </c>
      <c r="AJ76" s="91">
        <f t="shared" si="23"/>
        <v>-12420256</v>
      </c>
      <c r="AK76" s="91">
        <f t="shared" si="24"/>
        <v>-2166088</v>
      </c>
      <c r="AL76" s="91">
        <f t="shared" si="25"/>
        <v>0</v>
      </c>
      <c r="AM76" s="91">
        <f t="shared" si="26"/>
        <v>-675920</v>
      </c>
      <c r="AN76" s="91">
        <f t="shared" si="27"/>
        <v>-9567576</v>
      </c>
      <c r="AO76" s="91">
        <f t="shared" si="28"/>
        <v>-10672</v>
      </c>
      <c r="AP76" s="91">
        <f t="shared" si="29"/>
        <v>-78.8876767</v>
      </c>
      <c r="AQ76" s="92">
        <f t="shared" si="30"/>
        <v>-81.869365099999996</v>
      </c>
      <c r="AR76" s="92">
        <f t="shared" si="31"/>
        <v>-34.918954900000003</v>
      </c>
      <c r="AS76" s="92">
        <f t="shared" si="32"/>
        <v>-43.6738529</v>
      </c>
      <c r="AT76" s="92">
        <f t="shared" si="33"/>
        <v>-41.621094100000001</v>
      </c>
      <c r="AU76" s="92">
        <f t="shared" si="34"/>
        <v>-47.604317899999998</v>
      </c>
      <c r="AV76" s="93">
        <f t="shared" si="35"/>
        <v>-32.6911585</v>
      </c>
    </row>
    <row r="77" spans="33:48" x14ac:dyDescent="0.15">
      <c r="AG77" s="91" t="e">
        <f t="shared" si="20"/>
        <v>#VALUE!</v>
      </c>
      <c r="AH77" s="91" t="e">
        <f t="shared" si="21"/>
        <v>#VALUE!</v>
      </c>
      <c r="AI77" s="91">
        <f t="shared" si="22"/>
        <v>-19659392</v>
      </c>
      <c r="AJ77" s="91">
        <f t="shared" si="23"/>
        <v>-17665752</v>
      </c>
      <c r="AK77" s="91">
        <f t="shared" si="24"/>
        <v>-4235264</v>
      </c>
      <c r="AL77" s="91">
        <f t="shared" si="25"/>
        <v>0</v>
      </c>
      <c r="AM77" s="91">
        <f t="shared" si="26"/>
        <v>-644408</v>
      </c>
      <c r="AN77" s="91">
        <f t="shared" si="27"/>
        <v>-12775736</v>
      </c>
      <c r="AO77" s="91">
        <f t="shared" si="28"/>
        <v>-10344</v>
      </c>
      <c r="AP77" s="91">
        <f t="shared" si="29"/>
        <v>-80.641095800000002</v>
      </c>
      <c r="AQ77" s="92">
        <f t="shared" si="30"/>
        <v>-84.398615000000007</v>
      </c>
      <c r="AR77" s="92">
        <f t="shared" si="31"/>
        <v>-35.663421900000003</v>
      </c>
      <c r="AS77" s="92">
        <f t="shared" si="32"/>
        <v>-43.984534699999998</v>
      </c>
      <c r="AT77" s="92">
        <f t="shared" si="33"/>
        <v>-42.090184499999999</v>
      </c>
      <c r="AU77" s="92">
        <f t="shared" si="34"/>
        <v>-49.032390999999997</v>
      </c>
      <c r="AV77" s="93">
        <f t="shared" si="35"/>
        <v>-33.902945799999998</v>
      </c>
    </row>
    <row r="78" spans="33:48" x14ac:dyDescent="0.15">
      <c r="AG78" s="91" t="e">
        <f t="shared" si="20"/>
        <v>#VALUE!</v>
      </c>
      <c r="AH78" s="91" t="e">
        <f t="shared" si="21"/>
        <v>#VALUE!</v>
      </c>
      <c r="AI78" s="91">
        <f t="shared" si="22"/>
        <v>-14745456</v>
      </c>
      <c r="AJ78" s="91">
        <f t="shared" si="23"/>
        <v>-26235736</v>
      </c>
      <c r="AK78" s="91">
        <f t="shared" si="24"/>
        <v>-9153112</v>
      </c>
      <c r="AL78" s="91">
        <f t="shared" si="25"/>
        <v>0</v>
      </c>
      <c r="AM78" s="91">
        <f t="shared" si="26"/>
        <v>-885112</v>
      </c>
      <c r="AN78" s="91">
        <f t="shared" si="27"/>
        <v>-16188640</v>
      </c>
      <c r="AO78" s="91">
        <f t="shared" si="28"/>
        <v>-8872</v>
      </c>
      <c r="AP78" s="91">
        <f t="shared" si="29"/>
        <v>-85.019511800000004</v>
      </c>
      <c r="AQ78" s="92">
        <f t="shared" si="30"/>
        <v>-90.733210900000003</v>
      </c>
      <c r="AR78" s="92">
        <f t="shared" si="31"/>
        <v>-36.390691799999999</v>
      </c>
      <c r="AS78" s="92">
        <f t="shared" si="32"/>
        <v>-44.296756199999997</v>
      </c>
      <c r="AT78" s="92">
        <f t="shared" si="33"/>
        <v>-42.525190199999997</v>
      </c>
      <c r="AU78" s="92">
        <f t="shared" si="34"/>
        <v>-53.197172000000002</v>
      </c>
      <c r="AV78" s="93">
        <f t="shared" si="35"/>
        <v>-35.566122499999999</v>
      </c>
    </row>
    <row r="79" spans="33:48" x14ac:dyDescent="0.15">
      <c r="AG79" s="91" t="e">
        <f t="shared" si="20"/>
        <v>#VALUE!</v>
      </c>
      <c r="AH79" s="91" t="e">
        <f t="shared" si="21"/>
        <v>#VALUE!</v>
      </c>
      <c r="AI79" s="91">
        <f t="shared" si="22"/>
        <v>-2423936</v>
      </c>
      <c r="AJ79" s="91">
        <f t="shared" si="23"/>
        <v>-3672800</v>
      </c>
      <c r="AK79" s="91">
        <f t="shared" si="24"/>
        <v>-378640</v>
      </c>
      <c r="AL79" s="91">
        <f t="shared" si="25"/>
        <v>-62784</v>
      </c>
      <c r="AM79" s="91">
        <f t="shared" si="26"/>
        <v>-520336</v>
      </c>
      <c r="AN79" s="91">
        <f t="shared" si="27"/>
        <v>-2700248</v>
      </c>
      <c r="AO79" s="91">
        <f t="shared" si="28"/>
        <v>-10792</v>
      </c>
      <c r="AP79" s="91">
        <f t="shared" si="29"/>
        <v>-74.7672563</v>
      </c>
      <c r="AQ79" s="92">
        <f t="shared" si="30"/>
        <v>-76.558765899999997</v>
      </c>
      <c r="AR79" s="92">
        <f t="shared" si="31"/>
        <v>-38.751100399999999</v>
      </c>
      <c r="AS79" s="92">
        <f t="shared" si="32"/>
        <v>-44.557032200000002</v>
      </c>
      <c r="AT79" s="92">
        <f t="shared" si="33"/>
        <v>-43.192238099999997</v>
      </c>
      <c r="AU79" s="92">
        <f t="shared" si="34"/>
        <v>-47.552963499999997</v>
      </c>
      <c r="AV79" s="93">
        <f t="shared" si="35"/>
        <v>-35.382253300000002</v>
      </c>
    </row>
    <row r="80" spans="33:48" x14ac:dyDescent="0.15">
      <c r="AG80" s="91" t="e">
        <f t="shared" si="20"/>
        <v>#VALUE!</v>
      </c>
      <c r="AH80" s="91" t="e">
        <f t="shared" si="21"/>
        <v>#VALUE!</v>
      </c>
      <c r="AI80" s="91">
        <f t="shared" si="22"/>
        <v>-1220960</v>
      </c>
      <c r="AJ80" s="91">
        <f t="shared" si="23"/>
        <v>-7669152</v>
      </c>
      <c r="AK80" s="91">
        <f t="shared" si="24"/>
        <v>-693000</v>
      </c>
      <c r="AL80" s="91">
        <f t="shared" si="25"/>
        <v>-87416</v>
      </c>
      <c r="AM80" s="91">
        <f t="shared" si="26"/>
        <v>-861472</v>
      </c>
      <c r="AN80" s="91">
        <f t="shared" si="27"/>
        <v>-6017640</v>
      </c>
      <c r="AO80" s="91">
        <f t="shared" si="28"/>
        <v>-9624</v>
      </c>
      <c r="AP80" s="91">
        <f t="shared" si="29"/>
        <v>-76.612118499999994</v>
      </c>
      <c r="AQ80" s="92">
        <f t="shared" si="30"/>
        <v>-78.715101099999998</v>
      </c>
      <c r="AR80" s="92">
        <f t="shared" si="31"/>
        <v>-41.072826300000003</v>
      </c>
      <c r="AS80" s="92">
        <f t="shared" si="32"/>
        <v>-45.8814998</v>
      </c>
      <c r="AT80" s="92">
        <f t="shared" si="33"/>
        <v>-44.720713400000001</v>
      </c>
      <c r="AU80" s="92">
        <f t="shared" si="34"/>
        <v>-48.295054</v>
      </c>
      <c r="AV80" s="93">
        <f t="shared" si="35"/>
        <v>-36.8449071</v>
      </c>
    </row>
    <row r="81" spans="33:48" x14ac:dyDescent="0.15">
      <c r="AG81" s="91" t="e">
        <f t="shared" si="20"/>
        <v>#VALUE!</v>
      </c>
      <c r="AH81" s="91" t="e">
        <f t="shared" si="21"/>
        <v>#VALUE!</v>
      </c>
      <c r="AI81" s="91">
        <f t="shared" si="22"/>
        <v>-4908848</v>
      </c>
      <c r="AJ81" s="91">
        <f t="shared" si="23"/>
        <v>-11863624</v>
      </c>
      <c r="AK81" s="91">
        <f t="shared" si="24"/>
        <v>-2191648</v>
      </c>
      <c r="AL81" s="91">
        <f t="shared" si="25"/>
        <v>-222920</v>
      </c>
      <c r="AM81" s="91">
        <f t="shared" si="26"/>
        <v>-894288</v>
      </c>
      <c r="AN81" s="91">
        <f t="shared" si="27"/>
        <v>-8545424</v>
      </c>
      <c r="AO81" s="91">
        <f t="shared" si="28"/>
        <v>-9344</v>
      </c>
      <c r="AP81" s="91">
        <f t="shared" si="29"/>
        <v>-80.074134099999995</v>
      </c>
      <c r="AQ81" s="92">
        <f t="shared" si="30"/>
        <v>-83.135640800000004</v>
      </c>
      <c r="AR81" s="92">
        <f t="shared" si="31"/>
        <v>-42.2471526</v>
      </c>
      <c r="AS81" s="92">
        <f t="shared" si="32"/>
        <v>-46.660329400000002</v>
      </c>
      <c r="AT81" s="92">
        <f t="shared" si="33"/>
        <v>-45.729396100000002</v>
      </c>
      <c r="AU81" s="92">
        <f t="shared" si="34"/>
        <v>-50.696914999999997</v>
      </c>
      <c r="AV81" s="93">
        <f t="shared" si="35"/>
        <v>-39.144477000000002</v>
      </c>
    </row>
    <row r="82" spans="33:48" x14ac:dyDescent="0.15">
      <c r="AG82" s="91" t="e">
        <f t="shared" si="20"/>
        <v>#VALUE!</v>
      </c>
      <c r="AH82" s="91" t="e">
        <f t="shared" si="21"/>
        <v>#VALUE!</v>
      </c>
      <c r="AI82" s="91">
        <f t="shared" si="22"/>
        <v>-4908848</v>
      </c>
      <c r="AJ82" s="91">
        <f t="shared" si="23"/>
        <v>-16651704</v>
      </c>
      <c r="AK82" s="91">
        <f t="shared" si="24"/>
        <v>-2191648</v>
      </c>
      <c r="AL82" s="91">
        <f t="shared" si="25"/>
        <v>-222920</v>
      </c>
      <c r="AM82" s="91">
        <f t="shared" si="26"/>
        <v>-1829288</v>
      </c>
      <c r="AN82" s="91">
        <f t="shared" si="27"/>
        <v>-12398296</v>
      </c>
      <c r="AO82" s="91">
        <f t="shared" si="28"/>
        <v>-9552</v>
      </c>
      <c r="AP82" s="91">
        <f t="shared" si="29"/>
        <v>-81.461074300000007</v>
      </c>
      <c r="AQ82" s="92">
        <f t="shared" si="30"/>
        <v>-85.405360599999995</v>
      </c>
      <c r="AR82" s="92">
        <f t="shared" si="31"/>
        <v>-43.214677799999997</v>
      </c>
      <c r="AS82" s="92">
        <f t="shared" si="32"/>
        <v>-47.7194255</v>
      </c>
      <c r="AT82" s="92">
        <f t="shared" si="33"/>
        <v>-46.9168667</v>
      </c>
      <c r="AU82" s="92">
        <f t="shared" si="34"/>
        <v>-51.746952999999998</v>
      </c>
      <c r="AV82" s="93">
        <f t="shared" si="35"/>
        <v>-40.359188199999998</v>
      </c>
    </row>
    <row r="83" spans="33:48" x14ac:dyDescent="0.15">
      <c r="AG83" s="91" t="e">
        <f t="shared" si="20"/>
        <v>#VALUE!</v>
      </c>
      <c r="AH83" s="91" t="e">
        <f t="shared" si="21"/>
        <v>#VALUE!</v>
      </c>
      <c r="AI83" s="91">
        <f t="shared" si="22"/>
        <v>-12284608</v>
      </c>
      <c r="AJ83" s="91">
        <f t="shared" si="23"/>
        <v>-22740312</v>
      </c>
      <c r="AK83" s="91">
        <f t="shared" si="24"/>
        <v>-4721176</v>
      </c>
      <c r="AL83" s="91">
        <f t="shared" si="25"/>
        <v>-1107040</v>
      </c>
      <c r="AM83" s="91">
        <f t="shared" si="26"/>
        <v>-355160</v>
      </c>
      <c r="AN83" s="91">
        <f t="shared" si="27"/>
        <v>-16547808</v>
      </c>
      <c r="AO83" s="91">
        <f t="shared" si="28"/>
        <v>-9128</v>
      </c>
      <c r="AP83" s="91">
        <f t="shared" si="29"/>
        <v>-84.428205700000007</v>
      </c>
      <c r="AQ83" s="92">
        <f t="shared" si="30"/>
        <v>-89.055407799999998</v>
      </c>
      <c r="AR83" s="92">
        <f t="shared" si="31"/>
        <v>-44.245697700000001</v>
      </c>
      <c r="AS83" s="92">
        <f t="shared" si="32"/>
        <v>-48.390090700000002</v>
      </c>
      <c r="AT83" s="92">
        <f t="shared" si="33"/>
        <v>-47.698062299999997</v>
      </c>
      <c r="AU83" s="92">
        <f t="shared" si="34"/>
        <v>-54.241084800000003</v>
      </c>
      <c r="AV83" s="93">
        <f t="shared" si="35"/>
        <v>-42.293211100000001</v>
      </c>
    </row>
    <row r="84" spans="33:48" x14ac:dyDescent="0.15">
      <c r="AG84" s="91" t="e">
        <f t="shared" si="20"/>
        <v>#VALUE!</v>
      </c>
      <c r="AH84" s="91" t="e">
        <f t="shared" si="21"/>
        <v>#VALUE!</v>
      </c>
      <c r="AI84" s="91">
        <f t="shared" si="22"/>
        <v>-3680512</v>
      </c>
      <c r="AJ84" s="91">
        <f t="shared" si="23"/>
        <v>-3053016</v>
      </c>
      <c r="AK84" s="91">
        <f t="shared" si="24"/>
        <v>-419184</v>
      </c>
      <c r="AL84" s="91">
        <f t="shared" si="25"/>
        <v>-69168</v>
      </c>
      <c r="AM84" s="91">
        <f t="shared" si="26"/>
        <v>-304720</v>
      </c>
      <c r="AN84" s="91">
        <f t="shared" si="27"/>
        <v>-2249616</v>
      </c>
      <c r="AO84" s="91">
        <f t="shared" si="28"/>
        <v>-10328</v>
      </c>
      <c r="AP84" s="91">
        <f t="shared" si="29"/>
        <v>-73.723121399999997</v>
      </c>
      <c r="AQ84" s="92">
        <f t="shared" si="30"/>
        <v>-75.431737600000005</v>
      </c>
      <c r="AR84" s="92">
        <f t="shared" si="31"/>
        <v>-30.1424907</v>
      </c>
      <c r="AS84" s="92">
        <f t="shared" si="32"/>
        <v>-38.8135531</v>
      </c>
      <c r="AT84" s="92">
        <f t="shared" si="33"/>
        <v>-38.9584677</v>
      </c>
      <c r="AU84" s="92">
        <f t="shared" si="34"/>
        <v>-48.826179000000003</v>
      </c>
      <c r="AV84" s="93">
        <f t="shared" si="35"/>
        <v>-29.318579199999999</v>
      </c>
    </row>
    <row r="85" spans="33:48" x14ac:dyDescent="0.15">
      <c r="AG85" s="91" t="e">
        <f t="shared" si="20"/>
        <v>#VALUE!</v>
      </c>
      <c r="AH85" s="91" t="e">
        <f t="shared" si="21"/>
        <v>#VALUE!</v>
      </c>
      <c r="AI85" s="91">
        <f t="shared" si="22"/>
        <v>-7364992</v>
      </c>
      <c r="AJ85" s="91">
        <f t="shared" si="23"/>
        <v>-4130984</v>
      </c>
      <c r="AK85" s="91">
        <f t="shared" si="24"/>
        <v>-666184</v>
      </c>
      <c r="AL85" s="91">
        <f t="shared" si="25"/>
        <v>-132496</v>
      </c>
      <c r="AM85" s="91">
        <f t="shared" si="26"/>
        <v>-129632</v>
      </c>
      <c r="AN85" s="91">
        <f t="shared" si="27"/>
        <v>-3192456</v>
      </c>
      <c r="AO85" s="91">
        <f t="shared" si="28"/>
        <v>-10216</v>
      </c>
      <c r="AP85" s="91">
        <f t="shared" si="29"/>
        <v>-74.048676599999993</v>
      </c>
      <c r="AQ85" s="92">
        <f t="shared" si="30"/>
        <v>-75.767925700000006</v>
      </c>
      <c r="AR85" s="92">
        <f t="shared" si="31"/>
        <v>-30.6266319</v>
      </c>
      <c r="AS85" s="92">
        <f t="shared" si="32"/>
        <v>-38.9507902</v>
      </c>
      <c r="AT85" s="92">
        <f t="shared" si="33"/>
        <v>-39.078558299999997</v>
      </c>
      <c r="AU85" s="92">
        <f t="shared" si="34"/>
        <v>-49.115073899999999</v>
      </c>
      <c r="AV85" s="93">
        <f t="shared" si="35"/>
        <v>-29.669046699999999</v>
      </c>
    </row>
    <row r="86" spans="33:48" x14ac:dyDescent="0.15">
      <c r="AG86" s="91" t="e">
        <f t="shared" si="20"/>
        <v>#VALUE!</v>
      </c>
      <c r="AH86" s="91" t="e">
        <f t="shared" si="21"/>
        <v>#VALUE!</v>
      </c>
      <c r="AI86" s="91">
        <f t="shared" si="22"/>
        <v>-7364992</v>
      </c>
      <c r="AJ86" s="91">
        <f t="shared" si="23"/>
        <v>-6128824</v>
      </c>
      <c r="AK86" s="91">
        <f t="shared" si="24"/>
        <v>-666184</v>
      </c>
      <c r="AL86" s="91">
        <f t="shared" si="25"/>
        <v>-132496</v>
      </c>
      <c r="AM86" s="91">
        <f t="shared" si="26"/>
        <v>-439240</v>
      </c>
      <c r="AN86" s="91">
        <f t="shared" si="27"/>
        <v>-4880520</v>
      </c>
      <c r="AO86" s="91">
        <f t="shared" si="28"/>
        <v>-10384</v>
      </c>
      <c r="AP86" s="91">
        <f t="shared" si="29"/>
        <v>-76.793003600000006</v>
      </c>
      <c r="AQ86" s="92">
        <f t="shared" si="30"/>
        <v>-78.964326700000001</v>
      </c>
      <c r="AR86" s="92">
        <f t="shared" si="31"/>
        <v>-31.257937999999999</v>
      </c>
      <c r="AS86" s="92">
        <f t="shared" si="32"/>
        <v>-39.027519099999999</v>
      </c>
      <c r="AT86" s="92">
        <f t="shared" si="33"/>
        <v>-39.217070800000002</v>
      </c>
      <c r="AU86" s="92">
        <f t="shared" si="34"/>
        <v>-50.6566744</v>
      </c>
      <c r="AV86" s="93">
        <f t="shared" si="35"/>
        <v>-30.444259899999999</v>
      </c>
    </row>
    <row r="87" spans="33:48" x14ac:dyDescent="0.15">
      <c r="AG87" s="91" t="e">
        <f t="shared" si="20"/>
        <v>#VALUE!</v>
      </c>
      <c r="AH87" s="91" t="e">
        <f t="shared" si="21"/>
        <v>#VALUE!</v>
      </c>
      <c r="AI87" s="91">
        <f t="shared" si="22"/>
        <v>-14733568</v>
      </c>
      <c r="AJ87" s="91">
        <f t="shared" si="23"/>
        <v>-8189640</v>
      </c>
      <c r="AK87" s="91">
        <f t="shared" si="24"/>
        <v>-1299728</v>
      </c>
      <c r="AL87" s="91">
        <f t="shared" si="25"/>
        <v>-316728</v>
      </c>
      <c r="AM87" s="91">
        <f t="shared" si="26"/>
        <v>-407768</v>
      </c>
      <c r="AN87" s="91">
        <f t="shared" si="27"/>
        <v>-6155176</v>
      </c>
      <c r="AO87" s="91">
        <f t="shared" si="28"/>
        <v>-10240</v>
      </c>
      <c r="AP87" s="91">
        <f t="shared" si="29"/>
        <v>-79.392299800000004</v>
      </c>
      <c r="AQ87" s="92">
        <f t="shared" si="30"/>
        <v>-82.223501999999996</v>
      </c>
      <c r="AR87" s="92">
        <f t="shared" si="31"/>
        <v>-31.682774899999998</v>
      </c>
      <c r="AS87" s="92">
        <f t="shared" si="32"/>
        <v>-39.1103807</v>
      </c>
      <c r="AT87" s="92">
        <f t="shared" si="33"/>
        <v>-39.381171700000003</v>
      </c>
      <c r="AU87" s="92">
        <f t="shared" si="34"/>
        <v>-52.061653399999997</v>
      </c>
      <c r="AV87" s="93">
        <f t="shared" si="35"/>
        <v>-31.038940700000001</v>
      </c>
    </row>
    <row r="88" spans="33:48" x14ac:dyDescent="0.15">
      <c r="AG88" s="91" t="e">
        <f t="shared" si="20"/>
        <v>#VALUE!</v>
      </c>
      <c r="AH88" s="91" t="e">
        <f t="shared" si="21"/>
        <v>#VALUE!</v>
      </c>
      <c r="AI88" s="91">
        <f t="shared" si="22"/>
        <v>-22099520</v>
      </c>
      <c r="AJ88" s="91">
        <f t="shared" si="23"/>
        <v>-12357176</v>
      </c>
      <c r="AK88" s="91">
        <f t="shared" si="24"/>
        <v>-1830208</v>
      </c>
      <c r="AL88" s="91">
        <f t="shared" si="25"/>
        <v>-455360</v>
      </c>
      <c r="AM88" s="91">
        <f t="shared" si="26"/>
        <v>-364048</v>
      </c>
      <c r="AN88" s="91">
        <f t="shared" si="27"/>
        <v>-9697736</v>
      </c>
      <c r="AO88" s="91">
        <f t="shared" si="28"/>
        <v>-9824</v>
      </c>
      <c r="AP88" s="91">
        <f t="shared" si="29"/>
        <v>-80.693656399999995</v>
      </c>
      <c r="AQ88" s="92">
        <f t="shared" si="30"/>
        <v>-83.989220700000004</v>
      </c>
      <c r="AR88" s="92">
        <f t="shared" si="31"/>
        <v>-32.456944700000001</v>
      </c>
      <c r="AS88" s="92">
        <f t="shared" si="32"/>
        <v>-39.1929576</v>
      </c>
      <c r="AT88" s="92">
        <f t="shared" si="33"/>
        <v>-39.5269415</v>
      </c>
      <c r="AU88" s="92">
        <f t="shared" si="34"/>
        <v>-52.908071499999998</v>
      </c>
      <c r="AV88" s="93">
        <f t="shared" si="35"/>
        <v>-31.788064599999998</v>
      </c>
    </row>
    <row r="89" spans="33:48" x14ac:dyDescent="0.15">
      <c r="AG89" s="91" t="e">
        <f t="shared" si="20"/>
        <v>#VALUE!</v>
      </c>
      <c r="AH89" s="91" t="e">
        <f t="shared" si="21"/>
        <v>#VALUE!</v>
      </c>
      <c r="AI89" s="91">
        <f t="shared" si="22"/>
        <v>-3682048</v>
      </c>
      <c r="AJ89" s="91">
        <f t="shared" si="23"/>
        <v>-3011544</v>
      </c>
      <c r="AK89" s="91">
        <f t="shared" si="24"/>
        <v>-341088</v>
      </c>
      <c r="AL89" s="91">
        <f t="shared" si="25"/>
        <v>-7400</v>
      </c>
      <c r="AM89" s="91">
        <f t="shared" si="26"/>
        <v>-289424</v>
      </c>
      <c r="AN89" s="91">
        <f t="shared" si="27"/>
        <v>-2362912</v>
      </c>
      <c r="AO89" s="91">
        <f t="shared" si="28"/>
        <v>-10720</v>
      </c>
      <c r="AP89" s="91">
        <f t="shared" si="29"/>
        <v>-74.734860299999994</v>
      </c>
      <c r="AQ89" s="92">
        <f t="shared" si="30"/>
        <v>-76.3604658</v>
      </c>
      <c r="AR89" s="92">
        <f t="shared" si="31"/>
        <v>-33.342560300000002</v>
      </c>
      <c r="AS89" s="92">
        <f t="shared" si="32"/>
        <v>-42.545560299999998</v>
      </c>
      <c r="AT89" s="92">
        <f t="shared" si="33"/>
        <v>-42.905672099999997</v>
      </c>
      <c r="AU89" s="92">
        <f t="shared" si="34"/>
        <v>-49.479158900000002</v>
      </c>
      <c r="AV89" s="93">
        <f t="shared" si="35"/>
        <v>-32.484505200000001</v>
      </c>
    </row>
    <row r="90" spans="33:48" x14ac:dyDescent="0.15">
      <c r="AG90" s="91" t="e">
        <f t="shared" si="20"/>
        <v>#VALUE!</v>
      </c>
      <c r="AH90" s="91" t="e">
        <f t="shared" si="21"/>
        <v>#VALUE!</v>
      </c>
      <c r="AI90" s="91">
        <f t="shared" si="22"/>
        <v>-7369024</v>
      </c>
      <c r="AJ90" s="91">
        <f t="shared" si="23"/>
        <v>-3943032</v>
      </c>
      <c r="AK90" s="91">
        <f t="shared" si="24"/>
        <v>-653640</v>
      </c>
      <c r="AL90" s="91">
        <f t="shared" si="25"/>
        <v>-68528</v>
      </c>
      <c r="AM90" s="91">
        <f t="shared" si="26"/>
        <v>-296440</v>
      </c>
      <c r="AN90" s="91">
        <f t="shared" si="27"/>
        <v>-2914120</v>
      </c>
      <c r="AO90" s="91">
        <f t="shared" si="28"/>
        <v>-10304</v>
      </c>
      <c r="AP90" s="91">
        <f t="shared" si="29"/>
        <v>-76.738378400000002</v>
      </c>
      <c r="AQ90" s="92">
        <f t="shared" si="30"/>
        <v>-78.672499900000005</v>
      </c>
      <c r="AR90" s="92">
        <f t="shared" si="31"/>
        <v>-33.674899199999999</v>
      </c>
      <c r="AS90" s="92">
        <f t="shared" si="32"/>
        <v>-42.728313800000002</v>
      </c>
      <c r="AT90" s="92">
        <f t="shared" si="33"/>
        <v>-43.1935109</v>
      </c>
      <c r="AU90" s="92">
        <f t="shared" si="34"/>
        <v>-50.824359000000001</v>
      </c>
      <c r="AV90" s="93">
        <f t="shared" si="35"/>
        <v>-33.017624599999998</v>
      </c>
    </row>
    <row r="91" spans="33:48" x14ac:dyDescent="0.15">
      <c r="AG91" s="91" t="e">
        <f t="shared" si="20"/>
        <v>#VALUE!</v>
      </c>
      <c r="AH91" s="91" t="e">
        <f t="shared" si="21"/>
        <v>#VALUE!</v>
      </c>
      <c r="AI91" s="91">
        <f t="shared" si="22"/>
        <v>-14739584</v>
      </c>
      <c r="AJ91" s="91">
        <f t="shared" si="23"/>
        <v>-6114624</v>
      </c>
      <c r="AK91" s="91">
        <f t="shared" si="24"/>
        <v>-1162112</v>
      </c>
      <c r="AL91" s="91">
        <f t="shared" si="25"/>
        <v>-129024</v>
      </c>
      <c r="AM91" s="91">
        <f t="shared" si="26"/>
        <v>-221256</v>
      </c>
      <c r="AN91" s="91">
        <f t="shared" si="27"/>
        <v>-4592328</v>
      </c>
      <c r="AO91" s="91">
        <f t="shared" si="28"/>
        <v>-9904</v>
      </c>
      <c r="AP91" s="91">
        <f t="shared" si="29"/>
        <v>-78.634876399999996</v>
      </c>
      <c r="AQ91" s="92">
        <f t="shared" si="30"/>
        <v>-80.922779700000007</v>
      </c>
      <c r="AR91" s="92">
        <f t="shared" si="31"/>
        <v>-34.288735600000003</v>
      </c>
      <c r="AS91" s="92">
        <f t="shared" si="32"/>
        <v>-42.869700999999999</v>
      </c>
      <c r="AT91" s="92">
        <f t="shared" si="33"/>
        <v>-43.440233900000003</v>
      </c>
      <c r="AU91" s="92">
        <f t="shared" si="34"/>
        <v>-52.018354500000001</v>
      </c>
      <c r="AV91" s="93">
        <f t="shared" si="35"/>
        <v>-33.678777699999998</v>
      </c>
    </row>
    <row r="92" spans="33:48" x14ac:dyDescent="0.15">
      <c r="AG92" s="91" t="e">
        <f t="shared" si="20"/>
        <v>#VALUE!</v>
      </c>
      <c r="AH92" s="91" t="e">
        <f t="shared" si="21"/>
        <v>#VALUE!</v>
      </c>
      <c r="AI92" s="91">
        <f t="shared" si="22"/>
        <v>-14739584</v>
      </c>
      <c r="AJ92" s="91">
        <f t="shared" si="23"/>
        <v>-8086544</v>
      </c>
      <c r="AK92" s="91">
        <f t="shared" si="24"/>
        <v>-1162112</v>
      </c>
      <c r="AL92" s="91">
        <f t="shared" si="25"/>
        <v>-129024</v>
      </c>
      <c r="AM92" s="91">
        <f t="shared" si="26"/>
        <v>-483288</v>
      </c>
      <c r="AN92" s="91">
        <f t="shared" si="27"/>
        <v>-6302056</v>
      </c>
      <c r="AO92" s="91">
        <f t="shared" si="28"/>
        <v>-10064</v>
      </c>
      <c r="AP92" s="91">
        <f t="shared" si="29"/>
        <v>-79.947022700000005</v>
      </c>
      <c r="AQ92" s="92">
        <f t="shared" si="30"/>
        <v>-82.713776499999994</v>
      </c>
      <c r="AR92" s="92">
        <f t="shared" si="31"/>
        <v>-34.355339600000001</v>
      </c>
      <c r="AS92" s="92">
        <f t="shared" si="32"/>
        <v>-43.007177800000001</v>
      </c>
      <c r="AT92" s="92">
        <f t="shared" si="33"/>
        <v>-43.625356099999998</v>
      </c>
      <c r="AU92" s="92">
        <f t="shared" si="34"/>
        <v>-52.748548599999999</v>
      </c>
      <c r="AV92" s="93">
        <f t="shared" si="35"/>
        <v>-33.781710400000001</v>
      </c>
    </row>
    <row r="93" spans="33:48" ht="15.75" customHeight="1" thickBot="1" x14ac:dyDescent="0.2">
      <c r="AG93" s="94" t="e">
        <f t="shared" si="20"/>
        <v>#VALUE!</v>
      </c>
      <c r="AH93" s="94" t="e">
        <f t="shared" si="21"/>
        <v>#VALUE!</v>
      </c>
      <c r="AI93" s="94">
        <f t="shared" si="22"/>
        <v>-22110080</v>
      </c>
      <c r="AJ93" s="94">
        <f t="shared" si="23"/>
        <v>-12398128</v>
      </c>
      <c r="AK93" s="94">
        <f t="shared" si="24"/>
        <v>-1636160</v>
      </c>
      <c r="AL93" s="94">
        <f t="shared" si="25"/>
        <v>-189784</v>
      </c>
      <c r="AM93" s="94">
        <f t="shared" si="26"/>
        <v>-493304</v>
      </c>
      <c r="AN93" s="94">
        <f t="shared" si="27"/>
        <v>-10069184</v>
      </c>
      <c r="AO93" s="94">
        <f t="shared" si="28"/>
        <v>-9696</v>
      </c>
      <c r="AP93" s="94">
        <f t="shared" si="29"/>
        <v>-81.354177800000002</v>
      </c>
      <c r="AQ93" s="95">
        <f t="shared" si="30"/>
        <v>-84.628891999999993</v>
      </c>
      <c r="AR93" s="95">
        <f t="shared" si="31"/>
        <v>-34.918236399999998</v>
      </c>
      <c r="AS93" s="95">
        <f t="shared" si="32"/>
        <v>-43.101718200000001</v>
      </c>
      <c r="AT93" s="95">
        <f t="shared" si="33"/>
        <v>-43.760803899999999</v>
      </c>
      <c r="AU93" s="95">
        <f t="shared" si="34"/>
        <v>-53.607817900000001</v>
      </c>
      <c r="AV93" s="96">
        <f t="shared" si="35"/>
        <v>-34.364229299999998</v>
      </c>
    </row>
    <row r="94" spans="33:48" x14ac:dyDescent="0.15">
      <c r="AG94" s="91" t="e">
        <f>#REF!-#REF!</f>
        <v>#REF!</v>
      </c>
      <c r="AH94" s="91" t="e">
        <f>#REF!-#REF!</f>
        <v>#REF!</v>
      </c>
      <c r="AI94" s="91" t="e">
        <f>#REF!-#REF!</f>
        <v>#REF!</v>
      </c>
      <c r="AJ94" s="91" t="e">
        <f>#REF!-#REF!</f>
        <v>#REF!</v>
      </c>
      <c r="AK94" s="91" t="e">
        <f>#REF!-#REF!</f>
        <v>#REF!</v>
      </c>
      <c r="AL94" s="91" t="e">
        <f>#REF!-#REF!</f>
        <v>#REF!</v>
      </c>
      <c r="AM94" s="91" t="e">
        <f>#REF!-#REF!</f>
        <v>#REF!</v>
      </c>
      <c r="AN94" s="91" t="e">
        <f>#REF!-#REF!</f>
        <v>#REF!</v>
      </c>
      <c r="AO94" s="91" t="e">
        <f>#REF!-#REF!</f>
        <v>#REF!</v>
      </c>
      <c r="AP94" s="91" t="e">
        <f>#REF!-#REF!</f>
        <v>#REF!</v>
      </c>
      <c r="AQ94" s="92" t="e">
        <f>#REF!-#REF!</f>
        <v>#REF!</v>
      </c>
      <c r="AR94" s="92" t="e">
        <f>#REF!-#REF!</f>
        <v>#REF!</v>
      </c>
      <c r="AS94" s="92" t="e">
        <f>#REF!-#REF!</f>
        <v>#REF!</v>
      </c>
      <c r="AT94" s="92" t="e">
        <f>#REF!-#REF!</f>
        <v>#REF!</v>
      </c>
      <c r="AU94" s="92" t="e">
        <f>#REF!-#REF!</f>
        <v>#REF!</v>
      </c>
      <c r="AV94" s="93" t="e">
        <f>#REF!-#REF!</f>
        <v>#REF!</v>
      </c>
    </row>
    <row r="95" spans="33:48" x14ac:dyDescent="0.15">
      <c r="AG95" s="91" t="e">
        <f>#REF!-#REF!</f>
        <v>#REF!</v>
      </c>
      <c r="AH95" s="91" t="e">
        <f>#REF!-#REF!</f>
        <v>#REF!</v>
      </c>
      <c r="AI95" s="91" t="e">
        <f>#REF!-#REF!</f>
        <v>#REF!</v>
      </c>
      <c r="AJ95" s="91" t="e">
        <f>#REF!-#REF!</f>
        <v>#REF!</v>
      </c>
      <c r="AK95" s="91" t="e">
        <f>#REF!-#REF!</f>
        <v>#REF!</v>
      </c>
      <c r="AL95" s="91" t="e">
        <f>#REF!-#REF!</f>
        <v>#REF!</v>
      </c>
      <c r="AM95" s="91" t="e">
        <f>#REF!-#REF!</f>
        <v>#REF!</v>
      </c>
      <c r="AN95" s="91" t="e">
        <f>#REF!-#REF!</f>
        <v>#REF!</v>
      </c>
      <c r="AO95" s="91" t="e">
        <f>#REF!-#REF!</f>
        <v>#REF!</v>
      </c>
      <c r="AP95" s="91" t="e">
        <f>#REF!-#REF!</f>
        <v>#REF!</v>
      </c>
      <c r="AQ95" s="92" t="e">
        <f>#REF!-#REF!</f>
        <v>#REF!</v>
      </c>
      <c r="AR95" s="92" t="e">
        <f>#REF!-#REF!</f>
        <v>#REF!</v>
      </c>
      <c r="AS95" s="92" t="e">
        <f>#REF!-#REF!</f>
        <v>#REF!</v>
      </c>
      <c r="AT95" s="92" t="e">
        <f>#REF!-#REF!</f>
        <v>#REF!</v>
      </c>
      <c r="AU95" s="92" t="e">
        <f>#REF!-#REF!</f>
        <v>#REF!</v>
      </c>
      <c r="AV95" s="93" t="e">
        <f>#REF!-#REF!</f>
        <v>#REF!</v>
      </c>
    </row>
    <row r="96" spans="33:48" x14ac:dyDescent="0.15">
      <c r="AG96" s="91" t="e">
        <f>#REF!-#REF!</f>
        <v>#REF!</v>
      </c>
      <c r="AH96" s="91" t="e">
        <f>#REF!-#REF!</f>
        <v>#REF!</v>
      </c>
      <c r="AI96" s="91" t="e">
        <f>#REF!-#REF!</f>
        <v>#REF!</v>
      </c>
      <c r="AJ96" s="91" t="e">
        <f>#REF!-#REF!</f>
        <v>#REF!</v>
      </c>
      <c r="AK96" s="91" t="e">
        <f>#REF!-#REF!</f>
        <v>#REF!</v>
      </c>
      <c r="AL96" s="91" t="e">
        <f>#REF!-#REF!</f>
        <v>#REF!</v>
      </c>
      <c r="AM96" s="91" t="e">
        <f>#REF!-#REF!</f>
        <v>#REF!</v>
      </c>
      <c r="AN96" s="91" t="e">
        <f>#REF!-#REF!</f>
        <v>#REF!</v>
      </c>
      <c r="AO96" s="91" t="e">
        <f>#REF!-#REF!</f>
        <v>#REF!</v>
      </c>
      <c r="AP96" s="91" t="e">
        <f>#REF!-#REF!</f>
        <v>#REF!</v>
      </c>
      <c r="AQ96" s="92" t="e">
        <f>#REF!-#REF!</f>
        <v>#REF!</v>
      </c>
      <c r="AR96" s="92" t="e">
        <f>#REF!-#REF!</f>
        <v>#REF!</v>
      </c>
      <c r="AS96" s="92" t="e">
        <f>#REF!-#REF!</f>
        <v>#REF!</v>
      </c>
      <c r="AT96" s="92" t="e">
        <f>#REF!-#REF!</f>
        <v>#REF!</v>
      </c>
      <c r="AU96" s="92" t="e">
        <f>#REF!-#REF!</f>
        <v>#REF!</v>
      </c>
      <c r="AV96" s="93" t="e">
        <f>#REF!-#REF!</f>
        <v>#REF!</v>
      </c>
    </row>
    <row r="97" spans="33:48" x14ac:dyDescent="0.15">
      <c r="AG97" s="91" t="e">
        <f>#REF!-#REF!</f>
        <v>#REF!</v>
      </c>
      <c r="AH97" s="91" t="e">
        <f>#REF!-#REF!</f>
        <v>#REF!</v>
      </c>
      <c r="AI97" s="91" t="e">
        <f>#REF!-#REF!</f>
        <v>#REF!</v>
      </c>
      <c r="AJ97" s="91" t="e">
        <f>#REF!-#REF!</f>
        <v>#REF!</v>
      </c>
      <c r="AK97" s="91" t="e">
        <f>#REF!-#REF!</f>
        <v>#REF!</v>
      </c>
      <c r="AL97" s="91" t="e">
        <f>#REF!-#REF!</f>
        <v>#REF!</v>
      </c>
      <c r="AM97" s="91" t="e">
        <f>#REF!-#REF!</f>
        <v>#REF!</v>
      </c>
      <c r="AN97" s="91" t="e">
        <f>#REF!-#REF!</f>
        <v>#REF!</v>
      </c>
      <c r="AO97" s="91" t="e">
        <f>#REF!-#REF!</f>
        <v>#REF!</v>
      </c>
      <c r="AP97" s="91" t="e">
        <f>#REF!-#REF!</f>
        <v>#REF!</v>
      </c>
      <c r="AQ97" s="92" t="e">
        <f>#REF!-#REF!</f>
        <v>#REF!</v>
      </c>
      <c r="AR97" s="92" t="e">
        <f>#REF!-#REF!</f>
        <v>#REF!</v>
      </c>
      <c r="AS97" s="92" t="e">
        <f>#REF!-#REF!</f>
        <v>#REF!</v>
      </c>
      <c r="AT97" s="92" t="e">
        <f>#REF!-#REF!</f>
        <v>#REF!</v>
      </c>
      <c r="AU97" s="92" t="e">
        <f>#REF!-#REF!</f>
        <v>#REF!</v>
      </c>
      <c r="AV97" s="93" t="e">
        <f>#REF!-#REF!</f>
        <v>#REF!</v>
      </c>
    </row>
    <row r="98" spans="33:48" ht="14.25" thickBot="1" x14ac:dyDescent="0.2">
      <c r="AG98" s="94" t="e">
        <f>#REF!-#REF!</f>
        <v>#REF!</v>
      </c>
      <c r="AH98" s="94" t="e">
        <f>#REF!-#REF!</f>
        <v>#REF!</v>
      </c>
      <c r="AI98" s="94" t="e">
        <f>#REF!-#REF!</f>
        <v>#REF!</v>
      </c>
      <c r="AJ98" s="94" t="e">
        <f>#REF!-#REF!</f>
        <v>#REF!</v>
      </c>
      <c r="AK98" s="94" t="e">
        <f>#REF!-#REF!</f>
        <v>#REF!</v>
      </c>
      <c r="AL98" s="94" t="e">
        <f>#REF!-#REF!</f>
        <v>#REF!</v>
      </c>
      <c r="AM98" s="94" t="e">
        <f>#REF!-#REF!</f>
        <v>#REF!</v>
      </c>
      <c r="AN98" s="94" t="e">
        <f>#REF!-#REF!</f>
        <v>#REF!</v>
      </c>
      <c r="AO98" s="94" t="e">
        <f>#REF!-#REF!</f>
        <v>#REF!</v>
      </c>
      <c r="AP98" s="94" t="e">
        <f>#REF!-#REF!</f>
        <v>#REF!</v>
      </c>
      <c r="AQ98" s="95" t="e">
        <f>#REF!-#REF!</f>
        <v>#REF!</v>
      </c>
      <c r="AR98" s="95" t="e">
        <f>#REF!-#REF!</f>
        <v>#REF!</v>
      </c>
      <c r="AS98" s="95" t="e">
        <f>#REF!-#REF!</f>
        <v>#REF!</v>
      </c>
      <c r="AT98" s="95" t="e">
        <f>#REF!-#REF!</f>
        <v>#REF!</v>
      </c>
      <c r="AU98" s="95" t="e">
        <f>#REF!-#REF!</f>
        <v>#REF!</v>
      </c>
      <c r="AV98" s="96" t="e">
        <f>#REF!-#REF!</f>
        <v>#REF!</v>
      </c>
    </row>
  </sheetData>
  <mergeCells count="52"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  <mergeCell ref="A2:A3"/>
    <mergeCell ref="B2:B3"/>
    <mergeCell ref="C2:C3"/>
    <mergeCell ref="D2:D3"/>
    <mergeCell ref="E2:E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</mergeCells>
  <phoneticPr fontId="2" type="noConversion"/>
  <conditionalFormatting sqref="AZ45:AZ47 AZ48:BF48">
    <cfRule type="cellIs" dxfId="98" priority="75" operator="greaterThanOrEqual">
      <formula>0.03</formula>
    </cfRule>
    <cfRule type="cellIs" dxfId="97" priority="76" operator="lessThanOrEqual">
      <formula>-0.03</formula>
    </cfRule>
  </conditionalFormatting>
  <conditionalFormatting sqref="BA45:BA47">
    <cfRule type="cellIs" dxfId="96" priority="71" operator="greaterThanOrEqual">
      <formula>0.03</formula>
    </cfRule>
    <cfRule type="cellIs" dxfId="95" priority="72" operator="lessThanOrEqual">
      <formula>-0.03</formula>
    </cfRule>
  </conditionalFormatting>
  <conditionalFormatting sqref="BB45:BB47">
    <cfRule type="cellIs" dxfId="94" priority="79" operator="greaterThanOrEqual">
      <formula>0.03</formula>
    </cfRule>
    <cfRule type="cellIs" dxfId="93" priority="80" operator="lessThanOrEqual">
      <formula>-0.03</formula>
    </cfRule>
  </conditionalFormatting>
  <conditionalFormatting sqref="BC45:BC47">
    <cfRule type="cellIs" dxfId="92" priority="81" operator="greaterThanOrEqual">
      <formula>0.03</formula>
    </cfRule>
    <cfRule type="cellIs" dxfId="91" priority="82" operator="lessThanOrEqual">
      <formula>-0.03</formula>
    </cfRule>
  </conditionalFormatting>
  <conditionalFormatting sqref="BD45:BD47">
    <cfRule type="cellIs" dxfId="90" priority="73" operator="greaterThanOrEqual">
      <formula>0.03</formula>
    </cfRule>
    <cfRule type="cellIs" dxfId="89" priority="74" operator="lessThanOrEqual">
      <formula>-0.03</formula>
    </cfRule>
  </conditionalFormatting>
  <conditionalFormatting sqref="BE45:BE47">
    <cfRule type="cellIs" dxfId="88" priority="83" operator="greaterThanOrEqual">
      <formula>0.03</formula>
    </cfRule>
    <cfRule type="cellIs" dxfId="87" priority="84" operator="lessThanOrEqual">
      <formula>-0.03</formula>
    </cfRule>
  </conditionalFormatting>
  <conditionalFormatting sqref="BF45:BF47">
    <cfRule type="cellIs" dxfId="86" priority="77" operator="greaterThanOrEqual">
      <formula>0.03</formula>
    </cfRule>
    <cfRule type="cellIs" dxfId="85" priority="78" operator="lessThanOrEqual">
      <formula>-0.03</formula>
    </cfRule>
  </conditionalFormatting>
  <conditionalFormatting sqref="J5:J45">
    <cfRule type="expression" dxfId="84" priority="70">
      <formula>OR(J5 &lt; H5 * 0.9, J5 &gt; H5)</formula>
    </cfRule>
  </conditionalFormatting>
  <conditionalFormatting sqref="AE5:AE45">
    <cfRule type="expression" dxfId="83" priority="69">
      <formula>OR(AE5 &lt; H5 * 0.9, AE5 &gt; H5)</formula>
    </cfRule>
  </conditionalFormatting>
  <conditionalFormatting sqref="BP5:BT48">
    <cfRule type="cellIs" dxfId="82" priority="67" operator="greaterThanOrEqual">
      <formula>0.001</formula>
    </cfRule>
    <cfRule type="cellIs" dxfId="81" priority="68" operator="lessThanOrEqual">
      <formula>-0.001</formula>
    </cfRule>
  </conditionalFormatting>
  <conditionalFormatting sqref="AG54:AQ93">
    <cfRule type="cellIs" dxfId="80" priority="59" operator="lessThan">
      <formula>0</formula>
    </cfRule>
    <cfRule type="cellIs" dxfId="79" priority="60" operator="greaterThan">
      <formula>0</formula>
    </cfRule>
  </conditionalFormatting>
  <conditionalFormatting sqref="AR54:AV93">
    <cfRule type="cellIs" dxfId="78" priority="57" operator="lessThan">
      <formula>0</formula>
    </cfRule>
    <cfRule type="cellIs" dxfId="77" priority="58" operator="greaterThan">
      <formula>0</formula>
    </cfRule>
  </conditionalFormatting>
  <conditionalFormatting sqref="L5:L44 AG5:AG44">
    <cfRule type="expression" dxfId="76" priority="54">
      <formula>NOT(L5=O5)</formula>
    </cfRule>
  </conditionalFormatting>
  <conditionalFormatting sqref="BH45:BH47 BH48:BN48">
    <cfRule type="cellIs" dxfId="75" priority="43" operator="greaterThanOrEqual">
      <formula>0.03</formula>
    </cfRule>
    <cfRule type="cellIs" dxfId="74" priority="44" operator="lessThanOrEqual">
      <formula>-0.03</formula>
    </cfRule>
  </conditionalFormatting>
  <conditionalFormatting sqref="BI45:BI47">
    <cfRule type="cellIs" dxfId="73" priority="39" operator="greaterThanOrEqual">
      <formula>0.03</formula>
    </cfRule>
    <cfRule type="cellIs" dxfId="72" priority="40" operator="lessThanOrEqual">
      <formula>-0.03</formula>
    </cfRule>
  </conditionalFormatting>
  <conditionalFormatting sqref="BJ45:BJ47">
    <cfRule type="cellIs" dxfId="71" priority="47" operator="greaterThanOrEqual">
      <formula>0.03</formula>
    </cfRule>
    <cfRule type="cellIs" dxfId="70" priority="48" operator="lessThanOrEqual">
      <formula>-0.03</formula>
    </cfRule>
  </conditionalFormatting>
  <conditionalFormatting sqref="BK45:BK47">
    <cfRule type="cellIs" dxfId="69" priority="49" operator="greaterThanOrEqual">
      <formula>0.03</formula>
    </cfRule>
    <cfRule type="cellIs" dxfId="68" priority="50" operator="lessThanOrEqual">
      <formula>-0.03</formula>
    </cfRule>
  </conditionalFormatting>
  <conditionalFormatting sqref="BL45:BL47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M45:BM47">
    <cfRule type="cellIs" dxfId="65" priority="51" operator="greaterThanOrEqual">
      <formula>0.03</formula>
    </cfRule>
    <cfRule type="cellIs" dxfId="64" priority="52" operator="lessThanOrEqual">
      <formula>-0.03</formula>
    </cfRule>
  </conditionalFormatting>
  <conditionalFormatting sqref="BN45:BN47">
    <cfRule type="cellIs" dxfId="63" priority="45" operator="greaterThanOrEqual">
      <formula>0.03</formula>
    </cfRule>
    <cfRule type="cellIs" dxfId="62" priority="46" operator="lessThanOrEqual">
      <formula>-0.03</formula>
    </cfRule>
  </conditionalFormatting>
  <conditionalFormatting sqref="AZ5:AZ44">
    <cfRule type="cellIs" dxfId="61" priority="23" operator="greaterThanOrEqual">
      <formula>0.03</formula>
    </cfRule>
    <cfRule type="cellIs" dxfId="60" priority="24" operator="lessThanOrEqual">
      <formula>-0.03</formula>
    </cfRule>
  </conditionalFormatting>
  <conditionalFormatting sqref="BA5:BA44">
    <cfRule type="cellIs" dxfId="59" priority="25" operator="greaterThanOrEqual">
      <formula>0.03</formula>
    </cfRule>
    <cfRule type="cellIs" dxfId="58" priority="26" operator="lessThanOrEqual">
      <formula>-0.03</formula>
    </cfRule>
  </conditionalFormatting>
  <conditionalFormatting sqref="BB5:BB44">
    <cfRule type="cellIs" dxfId="57" priority="33" operator="greaterThanOrEqual">
      <formula>0.03</formula>
    </cfRule>
    <cfRule type="cellIs" dxfId="56" priority="34" operator="lessThanOrEqual">
      <formula>-0.03</formula>
    </cfRule>
  </conditionalFormatting>
  <conditionalFormatting sqref="BC5:BC44">
    <cfRule type="cellIs" dxfId="55" priority="35" operator="greaterThanOrEqual">
      <formula>0.03</formula>
    </cfRule>
    <cfRule type="cellIs" dxfId="54" priority="36" operator="lessThanOrEqual">
      <formula>-0.03</formula>
    </cfRule>
  </conditionalFormatting>
  <conditionalFormatting sqref="BD5:BD44">
    <cfRule type="cellIs" dxfId="53" priority="27" operator="greaterThanOrEqual">
      <formula>0.03</formula>
    </cfRule>
    <cfRule type="cellIs" dxfId="52" priority="28" operator="lessThanOrEqual">
      <formula>-0.03</formula>
    </cfRule>
  </conditionalFormatting>
  <conditionalFormatting sqref="BE5:BE44">
    <cfRule type="cellIs" dxfId="51" priority="29" operator="greaterThanOrEqual">
      <formula>0.03</formula>
    </cfRule>
    <cfRule type="cellIs" dxfId="50" priority="30" operator="lessThanOrEqual">
      <formula>-0.03</formula>
    </cfRule>
  </conditionalFormatting>
  <conditionalFormatting sqref="BF5:BF44">
    <cfRule type="cellIs" dxfId="49" priority="31" operator="greaterThanOrEqual">
      <formula>0.03</formula>
    </cfRule>
    <cfRule type="cellIs" dxfId="48" priority="32" operator="lessThanOrEqual">
      <formula>-0.03</formula>
    </cfRule>
  </conditionalFormatting>
  <conditionalFormatting sqref="BH5:BH44">
    <cfRule type="cellIs" dxfId="47" priority="13" operator="greaterThanOrEqual">
      <formula>0.03</formula>
    </cfRule>
    <cfRule type="cellIs" dxfId="46" priority="14" operator="lessThanOrEqual">
      <formula>-0.03</formula>
    </cfRule>
  </conditionalFormatting>
  <conditionalFormatting sqref="BI5:BI44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J5:BJ44">
    <cfRule type="cellIs" dxfId="43" priority="17" operator="greaterThanOrEqual">
      <formula>0.03</formula>
    </cfRule>
    <cfRule type="cellIs" dxfId="42" priority="18" operator="lessThanOrEqual">
      <formula>-0.03</formula>
    </cfRule>
  </conditionalFormatting>
  <conditionalFormatting sqref="BK5:BK44">
    <cfRule type="cellIs" dxfId="41" priority="19" operator="greaterThanOrEqual">
      <formula>0.03</formula>
    </cfRule>
    <cfRule type="cellIs" dxfId="40" priority="20" operator="lessThanOrEqual">
      <formula>-0.03</formula>
    </cfRule>
  </conditionalFormatting>
  <conditionalFormatting sqref="BL5:BL44">
    <cfRule type="cellIs" dxfId="39" priority="11" operator="greaterThanOrEqual">
      <formula>0.03</formula>
    </cfRule>
    <cfRule type="cellIs" dxfId="38" priority="12" operator="lessThanOrEqual">
      <formula>-0.03</formula>
    </cfRule>
  </conditionalFormatting>
  <conditionalFormatting sqref="BM5:BM44">
    <cfRule type="cellIs" dxfId="37" priority="21" operator="greaterThanOrEqual">
      <formula>0.03</formula>
    </cfRule>
    <cfRule type="cellIs" dxfId="36" priority="22" operator="lessThanOrEqual">
      <formula>-0.03</formula>
    </cfRule>
  </conditionalFormatting>
  <conditionalFormatting sqref="BN5:BN44">
    <cfRule type="cellIs" dxfId="35" priority="15" operator="greaterThanOrEqual">
      <formula>0.03</formula>
    </cfRule>
    <cfRule type="cellIs" dxfId="34" priority="16" operator="lessThanOrEqual">
      <formula>-0.03</formula>
    </cfRule>
  </conditionalFormatting>
  <conditionalFormatting sqref="AG94:AQ98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94:AV98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workbookViewId="0">
      <selection activeCell="M37" sqref="M37"/>
    </sheetView>
  </sheetViews>
  <sheetFormatPr defaultColWidth="8.875" defaultRowHeight="13.5" x14ac:dyDescent="0.15"/>
  <sheetData>
    <row r="1" spans="1:16" ht="15.75" customHeight="1" thickBot="1" x14ac:dyDescent="0.2">
      <c r="C1" s="143" t="s">
        <v>332</v>
      </c>
      <c r="D1" s="144"/>
      <c r="E1" s="144"/>
      <c r="F1" s="144"/>
      <c r="G1" s="144"/>
      <c r="H1" s="144"/>
      <c r="I1" s="142"/>
      <c r="J1" s="143" t="s">
        <v>367</v>
      </c>
      <c r="K1" s="144"/>
      <c r="L1" s="144"/>
      <c r="M1" s="144"/>
      <c r="N1" s="144"/>
      <c r="O1" s="144"/>
      <c r="P1" s="142"/>
    </row>
    <row r="2" spans="1:16" ht="15.75" customHeight="1" thickBot="1" x14ac:dyDescent="0.2">
      <c r="A2" s="145" t="s">
        <v>149</v>
      </c>
      <c r="B2" s="147" t="s">
        <v>150</v>
      </c>
      <c r="C2" s="148" t="s">
        <v>15</v>
      </c>
      <c r="D2" s="132"/>
      <c r="E2" s="132"/>
      <c r="F2" s="132"/>
      <c r="G2" s="132"/>
      <c r="H2" s="149" t="s">
        <v>16</v>
      </c>
      <c r="I2" s="150"/>
      <c r="J2" s="148" t="s">
        <v>15</v>
      </c>
      <c r="K2" s="132"/>
      <c r="L2" s="132"/>
      <c r="M2" s="132"/>
      <c r="N2" s="132"/>
      <c r="O2" s="149" t="s">
        <v>16</v>
      </c>
      <c r="P2" s="150"/>
    </row>
    <row r="3" spans="1:16" ht="30.75" customHeight="1" thickBot="1" x14ac:dyDescent="0.2">
      <c r="A3" s="146"/>
      <c r="B3" s="135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4.25" thickBot="1" x14ac:dyDescent="0.2">
      <c r="A12" s="63" t="s">
        <v>427</v>
      </c>
      <c r="B12" s="64" t="s">
        <v>428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/>
      <c r="K12" s="32"/>
      <c r="L12" s="32"/>
      <c r="M12" s="32"/>
      <c r="N12" s="32"/>
      <c r="O12" s="32"/>
      <c r="P12" s="74"/>
    </row>
    <row r="13" spans="1:16" x14ac:dyDescent="0.15">
      <c r="A13" s="137" t="str">
        <f>Summary!B20</f>
        <v>Cat1-A average</v>
      </c>
      <c r="B13" s="13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 x14ac:dyDescent="0.15">
      <c r="A14" s="138" t="str">
        <f>Summary!B21</f>
        <v>Cat1-B average</v>
      </c>
      <c r="B14" s="139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 x14ac:dyDescent="0.15">
      <c r="A15" s="140" t="str">
        <f>Summary!B22</f>
        <v>Cat1-C average</v>
      </c>
      <c r="B15" s="139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 x14ac:dyDescent="0.2">
      <c r="A16" s="140" t="str">
        <f>Summary!B23</f>
        <v>Cat1-D average</v>
      </c>
      <c r="B16" s="139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/>
      <c r="K16" s="75"/>
      <c r="L16" s="75"/>
      <c r="M16" s="75"/>
      <c r="N16" s="75"/>
      <c r="O16" s="75"/>
      <c r="P16" s="83"/>
    </row>
    <row r="17" spans="1:16" ht="15.75" customHeight="1" thickBot="1" x14ac:dyDescent="0.2">
      <c r="A17" s="141" t="str">
        <f>Summary!B24</f>
        <v>Overall average</v>
      </c>
      <c r="B17" s="142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 x14ac:dyDescent="0.15">
      <c r="A18" s="140" t="str">
        <f>Summary!B25</f>
        <v>Avg. Enc Time [%]</v>
      </c>
      <c r="B18" s="139"/>
      <c r="C18" s="131">
        <f>Summary!C25</f>
        <v>0</v>
      </c>
      <c r="D18" s="132"/>
      <c r="E18" s="132"/>
      <c r="F18" s="132"/>
      <c r="G18" s="132"/>
      <c r="H18" s="132"/>
      <c r="I18" s="133"/>
      <c r="J18" s="131">
        <f>Summary!C38</f>
        <v>0</v>
      </c>
      <c r="K18" s="132"/>
      <c r="L18" s="132"/>
      <c r="M18" s="132"/>
      <c r="N18" s="132"/>
      <c r="O18" s="132"/>
      <c r="P18" s="133"/>
    </row>
    <row r="19" spans="1:16" ht="15.75" customHeight="1" thickBot="1" x14ac:dyDescent="0.2">
      <c r="A19" s="134" t="str">
        <f>Summary!B26</f>
        <v>Avg. Dec Time [%]</v>
      </c>
      <c r="B19" s="135"/>
      <c r="C19" s="136">
        <f>Summary!C26</f>
        <v>0</v>
      </c>
      <c r="D19" s="116"/>
      <c r="E19" s="116"/>
      <c r="F19" s="116"/>
      <c r="G19" s="116"/>
      <c r="H19" s="116"/>
      <c r="I19" s="135"/>
      <c r="J19" s="136">
        <f>Summary!C39</f>
        <v>0</v>
      </c>
      <c r="K19" s="116"/>
      <c r="L19" s="116"/>
      <c r="M19" s="116"/>
      <c r="N19" s="116"/>
      <c r="O19" s="116"/>
      <c r="P19" s="135"/>
    </row>
  </sheetData>
  <mergeCells count="19">
    <mergeCell ref="C1:I1"/>
    <mergeCell ref="J1:P1"/>
    <mergeCell ref="A2:A3"/>
    <mergeCell ref="B2:B3"/>
    <mergeCell ref="C2:G2"/>
    <mergeCell ref="H2:I2"/>
    <mergeCell ref="J2:N2"/>
    <mergeCell ref="O2:P2"/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PYLIU</cp:lastModifiedBy>
  <dcterms:created xsi:type="dcterms:W3CDTF">2021-10-29T10:34:58Z</dcterms:created>
  <dcterms:modified xsi:type="dcterms:W3CDTF">2024-12-20T00:37:07Z</dcterms:modified>
</cp:coreProperties>
</file>