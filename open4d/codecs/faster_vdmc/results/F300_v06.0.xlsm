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project\data\v6.0_integration\v6.0_integration_test\results\"/>
    </mc:Choice>
  </mc:AlternateContent>
  <xr:revisionPtr revIDLastSave="0" documentId="13_ncr:1_{2D293BA0-64E5-4E2F-B74F-9C074F4EDCF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3" l="1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R20" i="3"/>
  <c r="Q20" i="3"/>
  <c r="O1" i="3"/>
  <c r="AE1" i="5"/>
  <c r="H1" i="3"/>
  <c r="J1" i="5"/>
  <c r="AI54" i="6"/>
  <c r="AJ54" i="6"/>
  <c r="AK54" i="6"/>
  <c r="AL54" i="6"/>
  <c r="AM54" i="6"/>
  <c r="AN54" i="6"/>
  <c r="AO54" i="6"/>
  <c r="AI55" i="6"/>
  <c r="AJ55" i="6"/>
  <c r="AK55" i="6"/>
  <c r="AL55" i="6"/>
  <c r="AM55" i="6"/>
  <c r="AN55" i="6"/>
  <c r="AO55" i="6"/>
  <c r="AI56" i="6"/>
  <c r="AJ56" i="6"/>
  <c r="AK56" i="6"/>
  <c r="AL56" i="6"/>
  <c r="AM56" i="6"/>
  <c r="AN56" i="6"/>
  <c r="AO56" i="6"/>
  <c r="AI57" i="6"/>
  <c r="AJ57" i="6"/>
  <c r="AK57" i="6"/>
  <c r="AL57" i="6"/>
  <c r="AM57" i="6"/>
  <c r="AN57" i="6"/>
  <c r="AO57" i="6"/>
  <c r="AI58" i="6"/>
  <c r="AJ58" i="6"/>
  <c r="AK58" i="6"/>
  <c r="AL58" i="6"/>
  <c r="AM58" i="6"/>
  <c r="AN58" i="6"/>
  <c r="AO58" i="6"/>
  <c r="AI59" i="6"/>
  <c r="AJ59" i="6"/>
  <c r="AK59" i="6"/>
  <c r="AL59" i="6"/>
  <c r="AM59" i="6"/>
  <c r="AN59" i="6"/>
  <c r="AO59" i="6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54" i="5"/>
  <c r="AJ54" i="5"/>
  <c r="AK54" i="5"/>
  <c r="AL54" i="5"/>
  <c r="AM54" i="5"/>
  <c r="AN54" i="5"/>
  <c r="AO54" i="5"/>
  <c r="AI55" i="5"/>
  <c r="AJ55" i="5"/>
  <c r="AK55" i="5"/>
  <c r="AL55" i="5"/>
  <c r="AM55" i="5"/>
  <c r="AN55" i="5"/>
  <c r="AO55" i="5"/>
  <c r="AI56" i="5"/>
  <c r="AJ56" i="5"/>
  <c r="AK56" i="5"/>
  <c r="AL56" i="5"/>
  <c r="AM56" i="5"/>
  <c r="AN56" i="5"/>
  <c r="AO56" i="5"/>
  <c r="AI57" i="5"/>
  <c r="AJ57" i="5"/>
  <c r="AK57" i="5"/>
  <c r="AL57" i="5"/>
  <c r="AM57" i="5"/>
  <c r="AN57" i="5"/>
  <c r="AO57" i="5"/>
  <c r="AI58" i="5"/>
  <c r="AJ58" i="5"/>
  <c r="AK58" i="5"/>
  <c r="AL58" i="5"/>
  <c r="AM58" i="5"/>
  <c r="AN58" i="5"/>
  <c r="AO58" i="5"/>
  <c r="AI59" i="5"/>
  <c r="AJ59" i="5"/>
  <c r="AK59" i="5"/>
  <c r="AL59" i="5"/>
  <c r="AM59" i="5"/>
  <c r="AN59" i="5"/>
  <c r="AO59" i="5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BT44" i="5" l="1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L10" i="6" a="1"/>
  <c r="BL20" i="6" a="1"/>
  <c r="BK40" i="6" a="1"/>
  <c r="BK30" i="6" a="1"/>
  <c r="BK20" i="6" a="1"/>
  <c r="BK10" i="6" a="1"/>
  <c r="BJ40" i="6" a="1"/>
  <c r="BJ30" i="6" a="1"/>
  <c r="BJ20" i="6" a="1"/>
  <c r="BJ10" i="6" a="1"/>
  <c r="BN35" i="6" a="1"/>
  <c r="BN25" i="6" a="1"/>
  <c r="BN15" i="6" a="1"/>
  <c r="BN5" i="6" a="1"/>
  <c r="BN30" i="6" a="1"/>
  <c r="BN10" i="6" a="1"/>
  <c r="BL30" i="6" a="1"/>
  <c r="BL35" i="6" a="1"/>
  <c r="BL25" i="6" a="1"/>
  <c r="BL15" i="6" a="1"/>
  <c r="BL5" i="6" a="1"/>
  <c r="BK35" i="6" a="1"/>
  <c r="BK25" i="6" a="1"/>
  <c r="BK15" i="6" a="1"/>
  <c r="BK5" i="6" a="1"/>
  <c r="BJ35" i="6" a="1"/>
  <c r="BJ25" i="6" a="1"/>
  <c r="BJ15" i="6" a="1"/>
  <c r="BJ5" i="6" a="1"/>
  <c r="BN40" i="6" a="1"/>
  <c r="BN20" i="6" a="1"/>
  <c r="BL40" i="6" a="1"/>
  <c r="BN40" i="5" a="1"/>
  <c r="BN30" i="5" a="1"/>
  <c r="BN20" i="5" a="1"/>
  <c r="BN10" i="5" a="1"/>
  <c r="BN5" i="5" a="1"/>
  <c r="BJ15" i="5" a="1"/>
  <c r="BL40" i="5" a="1"/>
  <c r="BL30" i="5" a="1"/>
  <c r="BL20" i="5" a="1"/>
  <c r="BL10" i="5" a="1"/>
  <c r="BN35" i="5" a="1"/>
  <c r="BK15" i="5" a="1"/>
  <c r="BJ5" i="5" a="1"/>
  <c r="BK40" i="5" a="1"/>
  <c r="BK30" i="5" a="1"/>
  <c r="BK20" i="5" a="1"/>
  <c r="BK10" i="5" a="1"/>
  <c r="BN15" i="5" a="1"/>
  <c r="BK25" i="5" a="1"/>
  <c r="BJ40" i="5" a="1"/>
  <c r="BJ30" i="5" a="1"/>
  <c r="BJ20" i="5" a="1"/>
  <c r="BJ10" i="5" a="1"/>
  <c r="BN25" i="5" a="1"/>
  <c r="BK5" i="5" a="1"/>
  <c r="BJ25" i="5" a="1"/>
  <c r="BL35" i="5" a="1"/>
  <c r="BL25" i="5" a="1"/>
  <c r="BL15" i="5" a="1"/>
  <c r="BL5" i="5" a="1"/>
  <c r="BK35" i="5" a="1"/>
  <c r="BJ35" i="5" a="1"/>
  <c r="BL40" i="6" l="1"/>
  <c r="BN20" i="6"/>
  <c r="BN40" i="6"/>
  <c r="BJ5" i="6"/>
  <c r="BJ15" i="6"/>
  <c r="BJ25" i="6"/>
  <c r="BJ35" i="6"/>
  <c r="BK5" i="6"/>
  <c r="BK15" i="6"/>
  <c r="BK25" i="6"/>
  <c r="BK35" i="6"/>
  <c r="BL5" i="6"/>
  <c r="BL15" i="6"/>
  <c r="BL25" i="6"/>
  <c r="BL35" i="6"/>
  <c r="BL30" i="6"/>
  <c r="BN10" i="6"/>
  <c r="BN30" i="6"/>
  <c r="BN5" i="6"/>
  <c r="BN15" i="6"/>
  <c r="BN25" i="6"/>
  <c r="BN35" i="6"/>
  <c r="BJ10" i="6"/>
  <c r="BJ20" i="6"/>
  <c r="BJ30" i="6"/>
  <c r="BJ40" i="6"/>
  <c r="BK10" i="6"/>
  <c r="BK20" i="6"/>
  <c r="BK30" i="6"/>
  <c r="BK40" i="6"/>
  <c r="BL20" i="6"/>
  <c r="BL10" i="6"/>
  <c r="BJ35" i="5"/>
  <c r="BK35" i="5"/>
  <c r="BL5" i="5"/>
  <c r="BL15" i="5"/>
  <c r="BL25" i="5"/>
  <c r="BL35" i="5"/>
  <c r="BJ25" i="5"/>
  <c r="BK5" i="5"/>
  <c r="BN25" i="5"/>
  <c r="BJ10" i="5"/>
  <c r="BJ20" i="5"/>
  <c r="BJ30" i="5"/>
  <c r="BJ40" i="5"/>
  <c r="BK25" i="5"/>
  <c r="BN15" i="5"/>
  <c r="BK10" i="5"/>
  <c r="BK20" i="5"/>
  <c r="BK30" i="5"/>
  <c r="BK40" i="5"/>
  <c r="BJ5" i="5"/>
  <c r="BJ45" i="5" s="1"/>
  <c r="BK15" i="5"/>
  <c r="BN35" i="5"/>
  <c r="BL10" i="5"/>
  <c r="BL20" i="5"/>
  <c r="BL30" i="5"/>
  <c r="BL40" i="5"/>
  <c r="BJ15" i="5"/>
  <c r="BJ46" i="5" s="1"/>
  <c r="BN5" i="5"/>
  <c r="BN10" i="5"/>
  <c r="BN20" i="5"/>
  <c r="BN30" i="5"/>
  <c r="BN40" i="5"/>
  <c r="BT48" i="6"/>
  <c r="BT46" i="6"/>
  <c r="BT47" i="6"/>
  <c r="BT48" i="5"/>
  <c r="BT46" i="5"/>
  <c r="BT47" i="5"/>
  <c r="BT45" i="5"/>
  <c r="BT45" i="6"/>
  <c r="AH44" i="5"/>
  <c r="AG44" i="5" s="1"/>
  <c r="AH43" i="5"/>
  <c r="AG43" i="5" s="1"/>
  <c r="AH42" i="5"/>
  <c r="AG42" i="5" s="1"/>
  <c r="AH41" i="5"/>
  <c r="AG41" i="5" s="1"/>
  <c r="AH40" i="5"/>
  <c r="AG40" i="5" s="1"/>
  <c r="AH39" i="5"/>
  <c r="AG39" i="5" s="1"/>
  <c r="AH38" i="5"/>
  <c r="AG38" i="5" s="1"/>
  <c r="AH37" i="5"/>
  <c r="AG37" i="5" s="1"/>
  <c r="AH36" i="5"/>
  <c r="AG36" i="5" s="1"/>
  <c r="AH35" i="5"/>
  <c r="AG35" i="5" s="1"/>
  <c r="AH34" i="5"/>
  <c r="AG34" i="5" s="1"/>
  <c r="AH33" i="5"/>
  <c r="AG33" i="5" s="1"/>
  <c r="AH32" i="5"/>
  <c r="AG32" i="5" s="1"/>
  <c r="AH31" i="5"/>
  <c r="AG31" i="5" s="1"/>
  <c r="AH30" i="5"/>
  <c r="AG30" i="5" s="1"/>
  <c r="AH29" i="5"/>
  <c r="AG29" i="5" s="1"/>
  <c r="AH28" i="5"/>
  <c r="AG28" i="5" s="1"/>
  <c r="AH27" i="5"/>
  <c r="AG27" i="5" s="1"/>
  <c r="AH26" i="5"/>
  <c r="AG26" i="5" s="1"/>
  <c r="AH25" i="5"/>
  <c r="AG25" i="5" s="1"/>
  <c r="AH24" i="5"/>
  <c r="AG24" i="5" s="1"/>
  <c r="AH23" i="5"/>
  <c r="AG23" i="5" s="1"/>
  <c r="AH22" i="5"/>
  <c r="AG22" i="5" s="1"/>
  <c r="AH21" i="5"/>
  <c r="AG21" i="5" s="1"/>
  <c r="AH20" i="5"/>
  <c r="AG20" i="5" s="1"/>
  <c r="AH19" i="5"/>
  <c r="AG19" i="5" s="1"/>
  <c r="AH18" i="5"/>
  <c r="AG18" i="5" s="1"/>
  <c r="AH17" i="5"/>
  <c r="AG17" i="5" s="1"/>
  <c r="AH16" i="5"/>
  <c r="AG16" i="5" s="1"/>
  <c r="AH15" i="5"/>
  <c r="AG15" i="5" s="1"/>
  <c r="AH14" i="5"/>
  <c r="AG14" i="5" s="1"/>
  <c r="AH13" i="5"/>
  <c r="AG13" i="5" s="1"/>
  <c r="AH12" i="5"/>
  <c r="AG12" i="5" s="1"/>
  <c r="AH11" i="5"/>
  <c r="AG11" i="5" s="1"/>
  <c r="AH10" i="5"/>
  <c r="AG10" i="5" s="1"/>
  <c r="AH9" i="5"/>
  <c r="AG9" i="5" s="1"/>
  <c r="AH8" i="5"/>
  <c r="AG8" i="5" s="1"/>
  <c r="AH7" i="5"/>
  <c r="AG7" i="5" s="1"/>
  <c r="AH6" i="5"/>
  <c r="AG6" i="5" s="1"/>
  <c r="AH5" i="5"/>
  <c r="AG5" i="5" s="1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AH44" i="6"/>
  <c r="AG44" i="6" s="1"/>
  <c r="AH43" i="6"/>
  <c r="AG43" i="6" s="1"/>
  <c r="AH42" i="6"/>
  <c r="AG42" i="6" s="1"/>
  <c r="AH41" i="6"/>
  <c r="AG41" i="6" s="1"/>
  <c r="AH40" i="6"/>
  <c r="AG40" i="6" s="1"/>
  <c r="AH39" i="6"/>
  <c r="AG39" i="6" s="1"/>
  <c r="AH38" i="6"/>
  <c r="AG38" i="6" s="1"/>
  <c r="AH37" i="6"/>
  <c r="AG37" i="6" s="1"/>
  <c r="AH36" i="6"/>
  <c r="AG36" i="6" s="1"/>
  <c r="AH35" i="6"/>
  <c r="AG35" i="6" s="1"/>
  <c r="AH34" i="6"/>
  <c r="AG34" i="6" s="1"/>
  <c r="AH33" i="6"/>
  <c r="AG33" i="6" s="1"/>
  <c r="AH32" i="6"/>
  <c r="AG32" i="6" s="1"/>
  <c r="AH31" i="6"/>
  <c r="AG31" i="6" s="1"/>
  <c r="AH30" i="6"/>
  <c r="AG30" i="6" s="1"/>
  <c r="AH29" i="6"/>
  <c r="AG29" i="6" s="1"/>
  <c r="AH28" i="6"/>
  <c r="AG28" i="6" s="1"/>
  <c r="AH27" i="6"/>
  <c r="AG27" i="6" s="1"/>
  <c r="AH26" i="6"/>
  <c r="AG26" i="6" s="1"/>
  <c r="AH25" i="6"/>
  <c r="AG25" i="6" s="1"/>
  <c r="AH24" i="6"/>
  <c r="AG24" i="6" s="1"/>
  <c r="AH23" i="6"/>
  <c r="AG23" i="6" s="1"/>
  <c r="AH22" i="6"/>
  <c r="AG22" i="6" s="1"/>
  <c r="AH21" i="6"/>
  <c r="AG21" i="6" s="1"/>
  <c r="AH20" i="6"/>
  <c r="AG20" i="6" s="1"/>
  <c r="AH19" i="6"/>
  <c r="AG19" i="6" s="1"/>
  <c r="AH18" i="6"/>
  <c r="AG18" i="6" s="1"/>
  <c r="AH17" i="6"/>
  <c r="AG17" i="6" s="1"/>
  <c r="AH16" i="6"/>
  <c r="AG16" i="6" s="1"/>
  <c r="AH15" i="6"/>
  <c r="AG15" i="6" s="1"/>
  <c r="AH14" i="6"/>
  <c r="AG14" i="6" s="1"/>
  <c r="AH13" i="6"/>
  <c r="AG13" i="6" s="1"/>
  <c r="AH12" i="6"/>
  <c r="AG12" i="6" s="1"/>
  <c r="AH11" i="6"/>
  <c r="AG11" i="6" s="1"/>
  <c r="AH10" i="6"/>
  <c r="AG10" i="6" s="1"/>
  <c r="AH9" i="6"/>
  <c r="AG9" i="6" s="1"/>
  <c r="AH8" i="6"/>
  <c r="AG8" i="6" s="1"/>
  <c r="AH7" i="6"/>
  <c r="AG7" i="6" s="1"/>
  <c r="AH6" i="6"/>
  <c r="AG6" i="6" s="1"/>
  <c r="AH5" i="6"/>
  <c r="AG5" i="6" s="1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BN48" i="6" l="1"/>
  <c r="BN46" i="6"/>
  <c r="BN45" i="6"/>
  <c r="BK46" i="6"/>
  <c r="BL48" i="6"/>
  <c r="BL47" i="6"/>
  <c r="BJ45" i="6"/>
  <c r="BJ47" i="6"/>
  <c r="BL46" i="6"/>
  <c r="BJ46" i="6"/>
  <c r="BK48" i="6"/>
  <c r="BK47" i="6"/>
  <c r="BJ48" i="6"/>
  <c r="BL45" i="6"/>
  <c r="BK45" i="6"/>
  <c r="BN47" i="6"/>
  <c r="BL47" i="5"/>
  <c r="BN47" i="5"/>
  <c r="BK48" i="5"/>
  <c r="BN46" i="5"/>
  <c r="BN48" i="5"/>
  <c r="BJ47" i="5"/>
  <c r="BL46" i="5"/>
  <c r="BK45" i="5"/>
  <c r="BL48" i="5"/>
  <c r="BK47" i="5"/>
  <c r="BK46" i="5"/>
  <c r="BJ48" i="5"/>
  <c r="BL45" i="5"/>
  <c r="BN45" i="5"/>
  <c r="AH68" i="6"/>
  <c r="L19" i="6"/>
  <c r="AG68" i="6" s="1"/>
  <c r="AH58" i="6"/>
  <c r="L9" i="6"/>
  <c r="AG58" i="6" s="1"/>
  <c r="L17" i="6"/>
  <c r="AG66" i="6" s="1"/>
  <c r="AH66" i="6"/>
  <c r="AH74" i="6"/>
  <c r="L25" i="6"/>
  <c r="AH82" i="6"/>
  <c r="L33" i="6"/>
  <c r="AG82" i="6" s="1"/>
  <c r="AH90" i="6"/>
  <c r="L41" i="6"/>
  <c r="AG90" i="6" s="1"/>
  <c r="AH59" i="6"/>
  <c r="L10" i="6"/>
  <c r="AH84" i="6"/>
  <c r="L35" i="6"/>
  <c r="AH61" i="6"/>
  <c r="L12" i="6"/>
  <c r="AG61" i="6" s="1"/>
  <c r="AH69" i="6"/>
  <c r="L20" i="6"/>
  <c r="AH77" i="6"/>
  <c r="L28" i="6"/>
  <c r="AG77" i="6" s="1"/>
  <c r="AH85" i="6"/>
  <c r="L36" i="6"/>
  <c r="AG85" i="6" s="1"/>
  <c r="AH93" i="6"/>
  <c r="L44" i="6"/>
  <c r="AG93" i="6" s="1"/>
  <c r="AH91" i="6"/>
  <c r="L42" i="6"/>
  <c r="AG91" i="6" s="1"/>
  <c r="AH92" i="6"/>
  <c r="L43" i="6"/>
  <c r="AG92" i="6" s="1"/>
  <c r="L29" i="6"/>
  <c r="AG78" i="6" s="1"/>
  <c r="AH78" i="6"/>
  <c r="L37" i="6"/>
  <c r="AG86" i="6" s="1"/>
  <c r="AH86" i="6"/>
  <c r="AH67" i="6"/>
  <c r="L18" i="6"/>
  <c r="AG67" i="6" s="1"/>
  <c r="AH76" i="6"/>
  <c r="L27" i="6"/>
  <c r="AG76" i="6" s="1"/>
  <c r="L13" i="6"/>
  <c r="AG62" i="6" s="1"/>
  <c r="AH62" i="6"/>
  <c r="L6" i="6"/>
  <c r="AG55" i="6" s="1"/>
  <c r="AH55" i="6"/>
  <c r="L14" i="6"/>
  <c r="AG63" i="6" s="1"/>
  <c r="AH63" i="6"/>
  <c r="L22" i="6"/>
  <c r="AG71" i="6" s="1"/>
  <c r="AH71" i="6"/>
  <c r="L30" i="6"/>
  <c r="AH79" i="6"/>
  <c r="L38" i="6"/>
  <c r="AG87" i="6" s="1"/>
  <c r="AH87" i="6"/>
  <c r="AH75" i="6"/>
  <c r="L26" i="6"/>
  <c r="AG75" i="6" s="1"/>
  <c r="AH60" i="6"/>
  <c r="L11" i="6"/>
  <c r="AG60" i="6" s="1"/>
  <c r="L21" i="6"/>
  <c r="AG70" i="6" s="1"/>
  <c r="AH70" i="6"/>
  <c r="L7" i="6"/>
  <c r="AG56" i="6" s="1"/>
  <c r="AH56" i="6"/>
  <c r="L15" i="6"/>
  <c r="AH64" i="6"/>
  <c r="L23" i="6"/>
  <c r="AG72" i="6" s="1"/>
  <c r="AH72" i="6"/>
  <c r="L31" i="6"/>
  <c r="AG80" i="6" s="1"/>
  <c r="AH80" i="6"/>
  <c r="L39" i="6"/>
  <c r="AG88" i="6" s="1"/>
  <c r="AH88" i="6"/>
  <c r="AH83" i="6"/>
  <c r="L34" i="6"/>
  <c r="AG83" i="6" s="1"/>
  <c r="L5" i="6"/>
  <c r="AH54" i="6"/>
  <c r="AH57" i="6"/>
  <c r="L8" i="6"/>
  <c r="AG57" i="6" s="1"/>
  <c r="AH65" i="6"/>
  <c r="L16" i="6"/>
  <c r="AG65" i="6" s="1"/>
  <c r="AH73" i="6"/>
  <c r="L24" i="6"/>
  <c r="AG73" i="6" s="1"/>
  <c r="AH81" i="6"/>
  <c r="L32" i="6"/>
  <c r="AG81" i="6" s="1"/>
  <c r="AH89" i="6"/>
  <c r="L40" i="6"/>
  <c r="L5" i="5"/>
  <c r="AH54" i="5"/>
  <c r="L37" i="5"/>
  <c r="AG86" i="5" s="1"/>
  <c r="AH86" i="5"/>
  <c r="L6" i="5"/>
  <c r="AG55" i="5" s="1"/>
  <c r="AH55" i="5"/>
  <c r="L14" i="5"/>
  <c r="AG63" i="5" s="1"/>
  <c r="AH63" i="5"/>
  <c r="L22" i="5"/>
  <c r="AG71" i="5" s="1"/>
  <c r="AH71" i="5"/>
  <c r="L30" i="5"/>
  <c r="AH79" i="5"/>
  <c r="L38" i="5"/>
  <c r="AG87" i="5" s="1"/>
  <c r="AH87" i="5"/>
  <c r="L21" i="5"/>
  <c r="AG70" i="5" s="1"/>
  <c r="AH70" i="5"/>
  <c r="L7" i="5"/>
  <c r="AG56" i="5" s="1"/>
  <c r="AH56" i="5"/>
  <c r="AH64" i="5"/>
  <c r="L15" i="5"/>
  <c r="L23" i="5"/>
  <c r="AG72" i="5" s="1"/>
  <c r="AH72" i="5"/>
  <c r="L31" i="5"/>
  <c r="AG80" i="5" s="1"/>
  <c r="AH80" i="5"/>
  <c r="L39" i="5"/>
  <c r="AG88" i="5" s="1"/>
  <c r="AH88" i="5"/>
  <c r="L29" i="5"/>
  <c r="AG78" i="5" s="1"/>
  <c r="AH78" i="5"/>
  <c r="AH57" i="5"/>
  <c r="L8" i="5"/>
  <c r="AG57" i="5" s="1"/>
  <c r="AH65" i="5"/>
  <c r="L16" i="5"/>
  <c r="AG65" i="5" s="1"/>
  <c r="AH73" i="5"/>
  <c r="L24" i="5"/>
  <c r="AG73" i="5" s="1"/>
  <c r="AH81" i="5"/>
  <c r="L32" i="5"/>
  <c r="AG81" i="5" s="1"/>
  <c r="AH89" i="5"/>
  <c r="L40" i="5"/>
  <c r="AH74" i="5"/>
  <c r="L25" i="5"/>
  <c r="AH82" i="5"/>
  <c r="L33" i="5"/>
  <c r="AG82" i="5" s="1"/>
  <c r="AH90" i="5"/>
  <c r="L41" i="5"/>
  <c r="AG90" i="5" s="1"/>
  <c r="AH58" i="5"/>
  <c r="L9" i="5"/>
  <c r="AG58" i="5" s="1"/>
  <c r="AH59" i="5"/>
  <c r="L10" i="5"/>
  <c r="AH67" i="5"/>
  <c r="L18" i="5"/>
  <c r="AG67" i="5" s="1"/>
  <c r="AH75" i="5"/>
  <c r="L26" i="5"/>
  <c r="AG75" i="5" s="1"/>
  <c r="AH83" i="5"/>
  <c r="L34" i="5"/>
  <c r="AG83" i="5" s="1"/>
  <c r="AH91" i="5"/>
  <c r="L42" i="5"/>
  <c r="AG91" i="5" s="1"/>
  <c r="L13" i="5"/>
  <c r="AG62" i="5" s="1"/>
  <c r="AH62" i="5"/>
  <c r="AH66" i="5"/>
  <c r="L17" i="5"/>
  <c r="AG66" i="5" s="1"/>
  <c r="AH60" i="5"/>
  <c r="L11" i="5"/>
  <c r="AG60" i="5" s="1"/>
  <c r="AH68" i="5"/>
  <c r="L19" i="5"/>
  <c r="AG68" i="5" s="1"/>
  <c r="AH76" i="5"/>
  <c r="L27" i="5"/>
  <c r="AG76" i="5" s="1"/>
  <c r="AH84" i="5"/>
  <c r="L35" i="5"/>
  <c r="AH92" i="5"/>
  <c r="L43" i="5"/>
  <c r="AG92" i="5" s="1"/>
  <c r="AH61" i="5"/>
  <c r="L12" i="5"/>
  <c r="AG61" i="5" s="1"/>
  <c r="AH69" i="5"/>
  <c r="L20" i="5"/>
  <c r="AH77" i="5"/>
  <c r="L28" i="5"/>
  <c r="AG77" i="5" s="1"/>
  <c r="AH85" i="5"/>
  <c r="L36" i="5"/>
  <c r="AG85" i="5" s="1"/>
  <c r="AH93" i="5"/>
  <c r="L44" i="5"/>
  <c r="AG93" i="5" s="1"/>
  <c r="A17" i="7"/>
  <c r="A16" i="7"/>
  <c r="A15" i="7"/>
  <c r="A14" i="7"/>
  <c r="A13" i="7"/>
  <c r="A12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AX49" i="6"/>
  <c r="AW49" i="6"/>
  <c r="AC49" i="6"/>
  <c r="AB49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Q5" i="6"/>
  <c r="BP5" i="6"/>
  <c r="AF5" i="6"/>
  <c r="AE5" i="6"/>
  <c r="K5" i="6"/>
  <c r="J5" i="6"/>
  <c r="AE1" i="6"/>
  <c r="J1" i="6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AV59" i="5"/>
  <c r="AU59" i="5"/>
  <c r="AT59" i="5"/>
  <c r="AS59" i="5"/>
  <c r="AR59" i="5"/>
  <c r="AQ59" i="5"/>
  <c r="AP59" i="5"/>
  <c r="AV58" i="5"/>
  <c r="AU58" i="5"/>
  <c r="AT58" i="5"/>
  <c r="AS58" i="5"/>
  <c r="AR58" i="5"/>
  <c r="AQ58" i="5"/>
  <c r="AP58" i="5"/>
  <c r="AV57" i="5"/>
  <c r="AU57" i="5"/>
  <c r="AT57" i="5"/>
  <c r="AS57" i="5"/>
  <c r="AR57" i="5"/>
  <c r="AQ57" i="5"/>
  <c r="AP57" i="5"/>
  <c r="AV56" i="5"/>
  <c r="AU56" i="5"/>
  <c r="AT56" i="5"/>
  <c r="AS56" i="5"/>
  <c r="AR56" i="5"/>
  <c r="AQ56" i="5"/>
  <c r="AP56" i="5"/>
  <c r="AV55" i="5"/>
  <c r="AU55" i="5"/>
  <c r="AT55" i="5"/>
  <c r="AS55" i="5"/>
  <c r="AR55" i="5"/>
  <c r="AQ55" i="5"/>
  <c r="AP55" i="5"/>
  <c r="AV54" i="5"/>
  <c r="AU54" i="5"/>
  <c r="AT54" i="5"/>
  <c r="AS54" i="5"/>
  <c r="AR54" i="5"/>
  <c r="AQ54" i="5"/>
  <c r="AP54" i="5"/>
  <c r="AX49" i="5"/>
  <c r="AW49" i="5"/>
  <c r="AC49" i="5"/>
  <c r="AB49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R5" i="5"/>
  <c r="BQ5" i="5"/>
  <c r="BP5" i="5"/>
  <c r="AF5" i="5"/>
  <c r="AE5" i="5"/>
  <c r="K5" i="5"/>
  <c r="J5" i="5"/>
  <c r="T17" i="3"/>
  <c r="S17" i="3"/>
  <c r="M17" i="3"/>
  <c r="L17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BH35" i="6" a="1"/>
  <c r="BI20" i="6" a="1"/>
  <c r="BI40" i="6" a="1"/>
  <c r="BH25" i="6" a="1"/>
  <c r="BM35" i="6" a="1"/>
  <c r="BM5" i="6" a="1"/>
  <c r="BM25" i="6" a="1"/>
  <c r="BM10" i="6" a="1"/>
  <c r="BI5" i="6" a="1"/>
  <c r="BI25" i="6" a="1"/>
  <c r="BI10" i="6" a="1"/>
  <c r="BH5" i="6" a="1"/>
  <c r="BH10" i="6" a="1"/>
  <c r="BI15" i="6" a="1"/>
  <c r="BI30" i="6" a="1"/>
  <c r="BH15" i="6" a="1"/>
  <c r="BH20" i="6" a="1"/>
  <c r="BH30" i="6" a="1"/>
  <c r="BM15" i="6" a="1"/>
  <c r="BM40" i="6" a="1"/>
  <c r="BI35" i="6" a="1"/>
  <c r="BM20" i="6" a="1"/>
  <c r="BM30" i="6" a="1"/>
  <c r="BH40" i="6" a="1"/>
  <c r="BM15" i="5" a="1"/>
  <c r="BM25" i="5" a="1"/>
  <c r="BM10" i="5" a="1"/>
  <c r="BH40" i="5" a="1"/>
  <c r="BI25" i="5" a="1"/>
  <c r="BH20" i="5" a="1"/>
  <c r="BM40" i="5" a="1"/>
  <c r="BI5" i="5" a="1"/>
  <c r="BH25" i="5" a="1"/>
  <c r="BM20" i="5" a="1"/>
  <c r="BH35" i="5" a="1"/>
  <c r="BH5" i="5" a="1"/>
  <c r="BI35" i="5" a="1"/>
  <c r="BI20" i="5" a="1"/>
  <c r="BI30" i="5" a="1"/>
  <c r="BM5" i="5" a="1"/>
  <c r="BI15" i="5" a="1"/>
  <c r="BM35" i="5" a="1"/>
  <c r="BH30" i="5" a="1"/>
  <c r="BI40" i="5" a="1"/>
  <c r="BH15" i="5" a="1"/>
  <c r="BI10" i="5" a="1"/>
  <c r="BM30" i="5" a="1"/>
  <c r="BH10" i="5" a="1"/>
  <c r="BH40" i="6" l="1"/>
  <c r="BM30" i="6"/>
  <c r="BM20" i="6"/>
  <c r="BI35" i="6"/>
  <c r="BM40" i="6"/>
  <c r="BM15" i="6"/>
  <c r="BH30" i="6"/>
  <c r="BH20" i="6"/>
  <c r="BH15" i="6"/>
  <c r="BI30" i="6"/>
  <c r="BI15" i="6"/>
  <c r="BH10" i="6"/>
  <c r="BH5" i="6"/>
  <c r="BI10" i="6"/>
  <c r="BI25" i="6"/>
  <c r="BI5" i="6"/>
  <c r="BM10" i="6"/>
  <c r="BM25" i="6"/>
  <c r="BM5" i="6"/>
  <c r="BM35" i="6"/>
  <c r="BH25" i="6"/>
  <c r="BI40" i="6"/>
  <c r="BI20" i="6"/>
  <c r="BI46" i="6" s="1"/>
  <c r="BH35" i="6"/>
  <c r="BH10" i="5"/>
  <c r="BM30" i="5"/>
  <c r="BI10" i="5"/>
  <c r="BH15" i="5"/>
  <c r="BH46" i="5" s="1"/>
  <c r="BI40" i="5"/>
  <c r="BH30" i="5"/>
  <c r="BM35" i="5"/>
  <c r="BI15" i="5"/>
  <c r="BI46" i="5" s="1"/>
  <c r="BM5" i="5"/>
  <c r="BI30" i="5"/>
  <c r="BI20" i="5"/>
  <c r="BI35" i="5"/>
  <c r="BH5" i="5"/>
  <c r="BH45" i="5" s="1"/>
  <c r="BH35" i="5"/>
  <c r="BM20" i="5"/>
  <c r="BH25" i="5"/>
  <c r="BH47" i="5" s="1"/>
  <c r="BI5" i="5"/>
  <c r="BM40" i="5"/>
  <c r="BH20" i="5"/>
  <c r="BI25" i="5"/>
  <c r="BH40" i="5"/>
  <c r="BM10" i="5"/>
  <c r="BM25" i="5"/>
  <c r="BM15" i="5"/>
  <c r="V7" i="3"/>
  <c r="V8" i="3"/>
  <c r="I14" i="3"/>
  <c r="V12" i="3"/>
  <c r="I16" i="3"/>
  <c r="V6" i="3"/>
  <c r="AG74" i="6"/>
  <c r="AG84" i="6"/>
  <c r="AG89" i="6"/>
  <c r="AG69" i="6"/>
  <c r="AG54" i="6"/>
  <c r="AG79" i="6"/>
  <c r="AG64" i="6"/>
  <c r="AG59" i="6"/>
  <c r="AG59" i="5"/>
  <c r="AG74" i="5"/>
  <c r="AG89" i="5"/>
  <c r="AG84" i="5"/>
  <c r="AG64" i="5"/>
  <c r="AG79" i="5"/>
  <c r="AG69" i="5"/>
  <c r="AG54" i="5"/>
  <c r="BM46" i="5"/>
  <c r="BI45" i="5"/>
  <c r="P14" i="3"/>
  <c r="X14" i="3"/>
  <c r="P16" i="3"/>
  <c r="V16" i="3" s="1"/>
  <c r="C12" i="1" s="1"/>
  <c r="T18" i="3"/>
  <c r="C14" i="1" s="1"/>
  <c r="P15" i="3"/>
  <c r="X15" i="3"/>
  <c r="X16" i="3"/>
  <c r="V10" i="3"/>
  <c r="S18" i="3"/>
  <c r="C13" i="1" s="1"/>
  <c r="I15" i="3"/>
  <c r="V11" i="3"/>
  <c r="BR46" i="5"/>
  <c r="K45" i="5"/>
  <c r="BS46" i="5"/>
  <c r="AF45" i="5"/>
  <c r="AX50" i="5"/>
  <c r="C24" i="1" s="1"/>
  <c r="C17" i="7" s="1"/>
  <c r="AW50" i="5"/>
  <c r="C23" i="1" s="1"/>
  <c r="C16" i="7" s="1"/>
  <c r="BP45" i="6"/>
  <c r="BP47" i="5"/>
  <c r="BQ46" i="5"/>
  <c r="BP48" i="5"/>
  <c r="BR45" i="5"/>
  <c r="BR47" i="5"/>
  <c r="BQ48" i="5"/>
  <c r="BS48" i="5"/>
  <c r="AF47" i="5"/>
  <c r="BP45" i="5"/>
  <c r="K46" i="5"/>
  <c r="BQ47" i="5"/>
  <c r="BR48" i="5"/>
  <c r="AF46" i="5"/>
  <c r="BS47" i="5"/>
  <c r="BP46" i="5"/>
  <c r="K47" i="5"/>
  <c r="AW50" i="6"/>
  <c r="C35" i="1" s="1"/>
  <c r="J16" i="7" s="1"/>
  <c r="AX50" i="6"/>
  <c r="C36" i="1" s="1"/>
  <c r="J17" i="7" s="1"/>
  <c r="K48" i="6"/>
  <c r="BR46" i="6"/>
  <c r="AF48" i="6"/>
  <c r="K47" i="6"/>
  <c r="K46" i="6"/>
  <c r="BQ47" i="6"/>
  <c r="BR47" i="6"/>
  <c r="BQ46" i="6"/>
  <c r="BQ45" i="6"/>
  <c r="BR45" i="6"/>
  <c r="BS48" i="6"/>
  <c r="BS46" i="6"/>
  <c r="AF47" i="6"/>
  <c r="BP47" i="6"/>
  <c r="BQ48" i="6"/>
  <c r="AF45" i="6"/>
  <c r="AF46" i="6"/>
  <c r="BS47" i="6"/>
  <c r="BP46" i="6"/>
  <c r="X13" i="3"/>
  <c r="K48" i="5"/>
  <c r="V5" i="3"/>
  <c r="V9" i="3"/>
  <c r="AF48" i="5"/>
  <c r="K45" i="6"/>
  <c r="BS45" i="6"/>
  <c r="BP48" i="6"/>
  <c r="BR48" i="6"/>
  <c r="BQ45" i="5"/>
  <c r="I13" i="3"/>
  <c r="BS45" i="5"/>
  <c r="P13" i="3"/>
  <c r="V13" i="3" s="1"/>
  <c r="C9" i="1" s="1"/>
  <c r="BA25" i="6" a="1"/>
  <c r="BF5" i="6" a="1"/>
  <c r="BC15" i="6" a="1"/>
  <c r="BF10" i="6" a="1"/>
  <c r="BB35" i="6" a="1"/>
  <c r="BB15" i="6" a="1"/>
  <c r="BF25" i="6" a="1"/>
  <c r="BE35" i="6" a="1"/>
  <c r="BD40" i="6" a="1"/>
  <c r="BC20" i="6" a="1"/>
  <c r="BE5" i="6" a="1"/>
  <c r="BB20" i="6" a="1"/>
  <c r="BC10" i="6" a="1"/>
  <c r="BD25" i="6" a="1"/>
  <c r="BA35" i="6" a="1"/>
  <c r="BB40" i="6" a="1"/>
  <c r="BA20" i="6" a="1"/>
  <c r="BD5" i="6" a="1"/>
  <c r="BE30" i="6" a="1"/>
  <c r="BA15" i="6" a="1"/>
  <c r="BE10" i="6" a="1"/>
  <c r="BB25" i="6" a="1"/>
  <c r="BF35" i="6" a="1"/>
  <c r="AZ40" i="6" a="1"/>
  <c r="AZ20" i="6" a="1"/>
  <c r="BA5" i="6" a="1"/>
  <c r="BB30" i="6" a="1"/>
  <c r="AZ15" i="6" a="1"/>
  <c r="BD10" i="6" a="1"/>
  <c r="BC25" i="6" a="1"/>
  <c r="BA40" i="6" a="1"/>
  <c r="BF20" i="6" a="1"/>
  <c r="AZ5" i="6" a="1"/>
  <c r="BD15" i="6" a="1"/>
  <c r="BB10" i="6" a="1"/>
  <c r="AZ10" i="6" a="1"/>
  <c r="BE15" i="6" a="1"/>
  <c r="BE25" i="6" a="1"/>
  <c r="BC5" i="6" a="1"/>
  <c r="AZ35" i="6" a="1"/>
  <c r="BA30" i="6" a="1"/>
  <c r="AZ30" i="6" a="1"/>
  <c r="BC40" i="6" a="1"/>
  <c r="BF30" i="6" a="1"/>
  <c r="AZ25" i="6" a="1"/>
  <c r="BD35" i="6" a="1"/>
  <c r="BF40" i="6" a="1"/>
  <c r="BE20" i="6" a="1"/>
  <c r="BB5" i="6" a="1"/>
  <c r="BD30" i="6" a="1"/>
  <c r="BF15" i="6" a="1"/>
  <c r="BA10" i="6" a="1"/>
  <c r="BC35" i="6" a="1"/>
  <c r="BE40" i="6" a="1"/>
  <c r="BD20" i="6" a="1"/>
  <c r="BC30" i="6" a="1"/>
  <c r="AZ10" i="5" a="1"/>
  <c r="BD30" i="5" a="1"/>
  <c r="BB25" i="5" a="1"/>
  <c r="BD35" i="5" a="1"/>
  <c r="BC30" i="5" a="1"/>
  <c r="BE5" i="5" a="1"/>
  <c r="BA10" i="5" a="1"/>
  <c r="BD25" i="5" a="1"/>
  <c r="BD40" i="5" a="1"/>
  <c r="BC35" i="5" a="1"/>
  <c r="BF15" i="5" a="1"/>
  <c r="BB30" i="5" a="1"/>
  <c r="BA20" i="5" a="1"/>
  <c r="BD5" i="5" a="1"/>
  <c r="BE10" i="5" a="1"/>
  <c r="BC40" i="5" a="1"/>
  <c r="BB35" i="5" a="1"/>
  <c r="BE15" i="5" a="1"/>
  <c r="BA30" i="5" a="1"/>
  <c r="BA25" i="5" a="1"/>
  <c r="AZ20" i="5" a="1"/>
  <c r="BC5" i="5" a="1"/>
  <c r="BF20" i="5" a="1"/>
  <c r="BD10" i="5" a="1"/>
  <c r="AZ25" i="5" a="1"/>
  <c r="BB40" i="5" a="1"/>
  <c r="BA35" i="5" a="1"/>
  <c r="BB15" i="5" a="1"/>
  <c r="AZ30" i="5" a="1"/>
  <c r="BB5" i="5" a="1"/>
  <c r="BC10" i="5" a="1"/>
  <c r="BF25" i="5" a="1"/>
  <c r="BA40" i="5" a="1"/>
  <c r="BF35" i="5" a="1"/>
  <c r="BD15" i="5" a="1"/>
  <c r="BF30" i="5" a="1"/>
  <c r="BE20" i="5" a="1"/>
  <c r="BA5" i="5" a="1"/>
  <c r="BB10" i="5" a="1"/>
  <c r="BE25" i="5" a="1"/>
  <c r="AZ40" i="5" a="1"/>
  <c r="AZ35" i="5" a="1"/>
  <c r="BC15" i="5" a="1"/>
  <c r="BE30" i="5" a="1"/>
  <c r="BD20" i="5" a="1"/>
  <c r="AZ5" i="5" a="1"/>
  <c r="BC25" i="5" a="1"/>
  <c r="BF40" i="5" a="1"/>
  <c r="BE35" i="5" a="1"/>
  <c r="BA15" i="5" a="1"/>
  <c r="BB20" i="5" a="1"/>
  <c r="BF5" i="5" a="1"/>
  <c r="BF10" i="5" a="1"/>
  <c r="BE40" i="5" a="1"/>
  <c r="AZ15" i="5" a="1"/>
  <c r="BC20" i="5" a="1"/>
  <c r="BH47" i="6" l="1"/>
  <c r="BI45" i="6"/>
  <c r="BH45" i="6"/>
  <c r="BM45" i="6"/>
  <c r="BH48" i="6"/>
  <c r="BI48" i="6"/>
  <c r="BM46" i="6"/>
  <c r="BM47" i="6"/>
  <c r="BI47" i="6"/>
  <c r="BM48" i="6"/>
  <c r="BH46" i="6"/>
  <c r="BC30" i="6"/>
  <c r="M9" i="7" s="1"/>
  <c r="BD20" i="6"/>
  <c r="N7" i="7" s="1"/>
  <c r="BE40" i="6"/>
  <c r="O11" i="7" s="1"/>
  <c r="BC35" i="6"/>
  <c r="M10" i="7" s="1"/>
  <c r="BA10" i="6"/>
  <c r="K5" i="7" s="1"/>
  <c r="BF15" i="6"/>
  <c r="P6" i="7" s="1"/>
  <c r="BD30" i="6"/>
  <c r="N9" i="7" s="1"/>
  <c r="BB5" i="6"/>
  <c r="BE20" i="6"/>
  <c r="O7" i="7" s="1"/>
  <c r="BF40" i="6"/>
  <c r="P11" i="7" s="1"/>
  <c r="BD35" i="6"/>
  <c r="N10" i="7" s="1"/>
  <c r="AZ25" i="6"/>
  <c r="J8" i="7" s="1"/>
  <c r="BF30" i="6"/>
  <c r="P9" i="7" s="1"/>
  <c r="BC40" i="6"/>
  <c r="M11" i="7" s="1"/>
  <c r="AZ30" i="6"/>
  <c r="J9" i="7" s="1"/>
  <c r="BA30" i="6"/>
  <c r="K9" i="7" s="1"/>
  <c r="AZ35" i="6"/>
  <c r="J10" i="7" s="1"/>
  <c r="BC5" i="6"/>
  <c r="M4" i="7" s="1"/>
  <c r="BE25" i="6"/>
  <c r="BE15" i="6"/>
  <c r="O6" i="7" s="1"/>
  <c r="AZ10" i="6"/>
  <c r="J5" i="7" s="1"/>
  <c r="BB10" i="6"/>
  <c r="L5" i="7" s="1"/>
  <c r="BD15" i="6"/>
  <c r="N6" i="7" s="1"/>
  <c r="AZ5" i="6"/>
  <c r="BF20" i="6"/>
  <c r="P7" i="7" s="1"/>
  <c r="BA40" i="6"/>
  <c r="K11" i="7" s="1"/>
  <c r="BC25" i="6"/>
  <c r="M8" i="7" s="1"/>
  <c r="BD10" i="6"/>
  <c r="N5" i="7" s="1"/>
  <c r="AZ15" i="6"/>
  <c r="J6" i="7" s="1"/>
  <c r="BB30" i="6"/>
  <c r="L9" i="7" s="1"/>
  <c r="BA5" i="6"/>
  <c r="AZ20" i="6"/>
  <c r="J7" i="7" s="1"/>
  <c r="AZ40" i="6"/>
  <c r="J11" i="7" s="1"/>
  <c r="BF35" i="6"/>
  <c r="P10" i="7" s="1"/>
  <c r="BB25" i="6"/>
  <c r="L8" i="7" s="1"/>
  <c r="BE10" i="6"/>
  <c r="O5" i="7" s="1"/>
  <c r="BA15" i="6"/>
  <c r="K6" i="7" s="1"/>
  <c r="BE30" i="6"/>
  <c r="O9" i="7" s="1"/>
  <c r="BD5" i="6"/>
  <c r="BA20" i="6"/>
  <c r="K7" i="7" s="1"/>
  <c r="BB40" i="6"/>
  <c r="L11" i="7" s="1"/>
  <c r="BA35" i="6"/>
  <c r="K10" i="7" s="1"/>
  <c r="BD25" i="6"/>
  <c r="N8" i="7" s="1"/>
  <c r="BC10" i="6"/>
  <c r="M5" i="7" s="1"/>
  <c r="BB20" i="6"/>
  <c r="L7" i="7" s="1"/>
  <c r="BE5" i="6"/>
  <c r="O4" i="7" s="1"/>
  <c r="BC20" i="6"/>
  <c r="M7" i="7" s="1"/>
  <c r="BD40" i="6"/>
  <c r="N11" i="7" s="1"/>
  <c r="BE35" i="6"/>
  <c r="O10" i="7" s="1"/>
  <c r="BF25" i="6"/>
  <c r="P8" i="7" s="1"/>
  <c r="BB15" i="6"/>
  <c r="BB35" i="6"/>
  <c r="L10" i="7" s="1"/>
  <c r="BF10" i="6"/>
  <c r="P5" i="7" s="1"/>
  <c r="BC15" i="6"/>
  <c r="M6" i="7" s="1"/>
  <c r="BF5" i="6"/>
  <c r="P4" i="7" s="1"/>
  <c r="BA25" i="6"/>
  <c r="K8" i="7" s="1"/>
  <c r="BI48" i="5"/>
  <c r="BM45" i="5"/>
  <c r="BI47" i="5"/>
  <c r="BH48" i="5"/>
  <c r="BM47" i="5"/>
  <c r="BM48" i="5"/>
  <c r="BC20" i="5"/>
  <c r="F7" i="7" s="1"/>
  <c r="AZ15" i="5"/>
  <c r="C6" i="7" s="1"/>
  <c r="BE40" i="5"/>
  <c r="H11" i="7" s="1"/>
  <c r="BF10" i="5"/>
  <c r="I5" i="7" s="1"/>
  <c r="BF5" i="5"/>
  <c r="I4" i="7" s="1"/>
  <c r="BB20" i="5"/>
  <c r="E7" i="7" s="1"/>
  <c r="BA15" i="5"/>
  <c r="D6" i="7" s="1"/>
  <c r="BE35" i="5"/>
  <c r="H10" i="7" s="1"/>
  <c r="BF40" i="5"/>
  <c r="I11" i="7" s="1"/>
  <c r="BC25" i="5"/>
  <c r="F8" i="7" s="1"/>
  <c r="AZ5" i="5"/>
  <c r="BD20" i="5"/>
  <c r="G7" i="7" s="1"/>
  <c r="BE30" i="5"/>
  <c r="H9" i="7" s="1"/>
  <c r="BC15" i="5"/>
  <c r="F6" i="7" s="1"/>
  <c r="AZ35" i="5"/>
  <c r="C10" i="7" s="1"/>
  <c r="AZ40" i="5"/>
  <c r="C11" i="7" s="1"/>
  <c r="BE25" i="5"/>
  <c r="H8" i="7" s="1"/>
  <c r="BB10" i="5"/>
  <c r="E5" i="7" s="1"/>
  <c r="BA5" i="5"/>
  <c r="D4" i="7" s="1"/>
  <c r="BE20" i="5"/>
  <c r="H7" i="7" s="1"/>
  <c r="BF30" i="5"/>
  <c r="I9" i="7" s="1"/>
  <c r="BD15" i="5"/>
  <c r="G6" i="7" s="1"/>
  <c r="BF35" i="5"/>
  <c r="I10" i="7" s="1"/>
  <c r="BA40" i="5"/>
  <c r="D11" i="7" s="1"/>
  <c r="BF25" i="5"/>
  <c r="I8" i="7" s="1"/>
  <c r="BC10" i="5"/>
  <c r="F5" i="7" s="1"/>
  <c r="BB5" i="5"/>
  <c r="E4" i="7" s="1"/>
  <c r="AZ30" i="5"/>
  <c r="C9" i="7" s="1"/>
  <c r="BB15" i="5"/>
  <c r="E6" i="7" s="1"/>
  <c r="BA35" i="5"/>
  <c r="D10" i="7" s="1"/>
  <c r="BB40" i="5"/>
  <c r="E11" i="7" s="1"/>
  <c r="AZ25" i="5"/>
  <c r="C8" i="7" s="1"/>
  <c r="BD10" i="5"/>
  <c r="G5" i="7" s="1"/>
  <c r="BF20" i="5"/>
  <c r="I7" i="7" s="1"/>
  <c r="BC5" i="5"/>
  <c r="F4" i="7" s="1"/>
  <c r="AZ20" i="5"/>
  <c r="C7" i="7" s="1"/>
  <c r="BA25" i="5"/>
  <c r="D8" i="7" s="1"/>
  <c r="BA30" i="5"/>
  <c r="D9" i="7" s="1"/>
  <c r="BE15" i="5"/>
  <c r="H6" i="7" s="1"/>
  <c r="BB35" i="5"/>
  <c r="E10" i="7" s="1"/>
  <c r="BC40" i="5"/>
  <c r="F11" i="7" s="1"/>
  <c r="BE10" i="5"/>
  <c r="H5" i="7" s="1"/>
  <c r="BD5" i="5"/>
  <c r="BA20" i="5"/>
  <c r="D7" i="7" s="1"/>
  <c r="BB30" i="5"/>
  <c r="E9" i="7" s="1"/>
  <c r="BF15" i="5"/>
  <c r="I6" i="7" s="1"/>
  <c r="BC35" i="5"/>
  <c r="F10" i="7" s="1"/>
  <c r="BD40" i="5"/>
  <c r="G11" i="7" s="1"/>
  <c r="BD25" i="5"/>
  <c r="G8" i="7" s="1"/>
  <c r="BA10" i="5"/>
  <c r="D5" i="7" s="1"/>
  <c r="BE5" i="5"/>
  <c r="H4" i="7" s="1"/>
  <c r="BC30" i="5"/>
  <c r="F9" i="7" s="1"/>
  <c r="BD35" i="5"/>
  <c r="G10" i="7" s="1"/>
  <c r="BB25" i="5"/>
  <c r="E8" i="7" s="1"/>
  <c r="BD30" i="5"/>
  <c r="G9" i="7" s="1"/>
  <c r="AZ10" i="5"/>
  <c r="C5" i="7" s="1"/>
  <c r="V14" i="3"/>
  <c r="C10" i="1" s="1"/>
  <c r="V15" i="3"/>
  <c r="C11" i="1" s="1"/>
  <c r="G4" i="7"/>
  <c r="BA46" i="5"/>
  <c r="D20" i="1" s="1"/>
  <c r="D13" i="7" s="1"/>
  <c r="C4" i="7"/>
  <c r="BD45" i="6" l="1"/>
  <c r="G31" i="1" s="1"/>
  <c r="N12" i="7" s="1"/>
  <c r="BB45" i="6"/>
  <c r="E31" i="1" s="1"/>
  <c r="L12" i="7" s="1"/>
  <c r="BC46" i="6"/>
  <c r="F32" i="1" s="1"/>
  <c r="M13" i="7" s="1"/>
  <c r="N4" i="7"/>
  <c r="L4" i="7"/>
  <c r="AZ47" i="6"/>
  <c r="C33" i="1" s="1"/>
  <c r="J14" i="7" s="1"/>
  <c r="BB46" i="6"/>
  <c r="E32" i="1" s="1"/>
  <c r="L13" i="7" s="1"/>
  <c r="BE47" i="6"/>
  <c r="H33" i="1" s="1"/>
  <c r="O14" i="7" s="1"/>
  <c r="BA46" i="6"/>
  <c r="D32" i="1" s="1"/>
  <c r="K13" i="7" s="1"/>
  <c r="BE45" i="6"/>
  <c r="H31" i="1" s="1"/>
  <c r="O12" i="7" s="1"/>
  <c r="BB48" i="6"/>
  <c r="E34" i="1" s="1"/>
  <c r="L15" i="7" s="1"/>
  <c r="BA47" i="6"/>
  <c r="D33" i="1" s="1"/>
  <c r="K14" i="7" s="1"/>
  <c r="BF45" i="6"/>
  <c r="I31" i="1" s="1"/>
  <c r="P12" i="7" s="1"/>
  <c r="AZ46" i="6"/>
  <c r="C32" i="1" s="1"/>
  <c r="J13" i="7" s="1"/>
  <c r="BF48" i="6"/>
  <c r="I34" i="1" s="1"/>
  <c r="P15" i="7" s="1"/>
  <c r="BC45" i="6"/>
  <c r="F31" i="1" s="1"/>
  <c r="M12" i="7" s="1"/>
  <c r="O8" i="7"/>
  <c r="L6" i="7"/>
  <c r="BE46" i="6"/>
  <c r="H32" i="1" s="1"/>
  <c r="O13" i="7" s="1"/>
  <c r="BF46" i="6"/>
  <c r="I32" i="1" s="1"/>
  <c r="P13" i="7" s="1"/>
  <c r="BD47" i="6"/>
  <c r="G33" i="1" s="1"/>
  <c r="N14" i="7" s="1"/>
  <c r="BD48" i="6"/>
  <c r="G34" i="1" s="1"/>
  <c r="N15" i="7" s="1"/>
  <c r="BC48" i="6"/>
  <c r="F34" i="1" s="1"/>
  <c r="M15" i="7" s="1"/>
  <c r="BC47" i="6"/>
  <c r="F33" i="1" s="1"/>
  <c r="M14" i="7" s="1"/>
  <c r="BF47" i="6"/>
  <c r="I33" i="1" s="1"/>
  <c r="P14" i="7" s="1"/>
  <c r="BB47" i="6"/>
  <c r="E33" i="1" s="1"/>
  <c r="L14" i="7" s="1"/>
  <c r="BD46" i="6"/>
  <c r="G32" i="1" s="1"/>
  <c r="N13" i="7" s="1"/>
  <c r="BE48" i="6"/>
  <c r="H34" i="1" s="1"/>
  <c r="O15" i="7" s="1"/>
  <c r="BB45" i="5"/>
  <c r="E19" i="1" s="1"/>
  <c r="E12" i="7" s="1"/>
  <c r="AZ45" i="5"/>
  <c r="C19" i="1" s="1"/>
  <c r="C12" i="7" s="1"/>
  <c r="BF45" i="5"/>
  <c r="I19" i="1" s="1"/>
  <c r="I12" i="7" s="1"/>
  <c r="BD46" i="5"/>
  <c r="G20" i="1" s="1"/>
  <c r="G13" i="7" s="1"/>
  <c r="BB46" i="5"/>
  <c r="E20" i="1" s="1"/>
  <c r="E13" i="7" s="1"/>
  <c r="BA48" i="5"/>
  <c r="D22" i="1" s="1"/>
  <c r="D15" i="7" s="1"/>
  <c r="BC48" i="5"/>
  <c r="F22" i="1" s="1"/>
  <c r="F15" i="7" s="1"/>
  <c r="AZ48" i="5"/>
  <c r="C22" i="1" s="1"/>
  <c r="C15" i="7" s="1"/>
  <c r="BE47" i="5"/>
  <c r="H21" i="1" s="1"/>
  <c r="H14" i="7" s="1"/>
  <c r="AZ47" i="5"/>
  <c r="C21" i="1" s="1"/>
  <c r="C14" i="7" s="1"/>
  <c r="BD47" i="5"/>
  <c r="G21" i="1" s="1"/>
  <c r="G14" i="7" s="1"/>
  <c r="BB47" i="5"/>
  <c r="E21" i="1" s="1"/>
  <c r="E14" i="7" s="1"/>
  <c r="BC45" i="5"/>
  <c r="F19" i="1" s="1"/>
  <c r="F12" i="7" s="1"/>
  <c r="BE46" i="5"/>
  <c r="H20" i="1" s="1"/>
  <c r="H13" i="7" s="1"/>
  <c r="BF47" i="5"/>
  <c r="I21" i="1" s="1"/>
  <c r="I14" i="7" s="1"/>
  <c r="BB48" i="5"/>
  <c r="E22" i="1" s="1"/>
  <c r="E15" i="7" s="1"/>
  <c r="AZ46" i="5"/>
  <c r="C20" i="1" s="1"/>
  <c r="C13" i="7" s="1"/>
  <c r="BD45" i="5"/>
  <c r="G19" i="1" s="1"/>
  <c r="G12" i="7" s="1"/>
  <c r="BA47" i="5"/>
  <c r="D21" i="1" s="1"/>
  <c r="D14" i="7" s="1"/>
  <c r="BC46" i="5"/>
  <c r="F20" i="1" s="1"/>
  <c r="F13" i="7" s="1"/>
  <c r="BC47" i="5"/>
  <c r="F21" i="1" s="1"/>
  <c r="F14" i="7" s="1"/>
  <c r="BD48" i="5"/>
  <c r="G22" i="1" s="1"/>
  <c r="G15" i="7" s="1"/>
  <c r="BE48" i="5"/>
  <c r="H22" i="1" s="1"/>
  <c r="H15" i="7" s="1"/>
  <c r="BF46" i="5"/>
  <c r="I20" i="1" s="1"/>
  <c r="I13" i="7" s="1"/>
  <c r="BF48" i="5"/>
  <c r="I22" i="1" s="1"/>
  <c r="I15" i="7" s="1"/>
  <c r="BE45" i="5"/>
  <c r="H19" i="1" s="1"/>
  <c r="H12" i="7" s="1"/>
  <c r="BA45" i="5"/>
  <c r="D19" i="1" s="1"/>
  <c r="D12" i="7" s="1"/>
  <c r="K4" i="7"/>
  <c r="BA48" i="6"/>
  <c r="D34" i="1" s="1"/>
  <c r="K15" i="7" s="1"/>
  <c r="BA45" i="6"/>
  <c r="D31" i="1" s="1"/>
  <c r="K12" i="7" s="1"/>
  <c r="J4" i="7"/>
  <c r="AZ48" i="6"/>
  <c r="C34" i="1" s="1"/>
  <c r="J15" i="7" s="1"/>
  <c r="AZ45" i="6"/>
  <c r="C31" i="1" s="1"/>
  <c r="J1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<sst xmlns="http://schemas.openxmlformats.org/spreadsheetml/2006/main" count="957" uniqueCount="430">
  <si>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</si>
  <si>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</si>
  <si>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</si>
  <si>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</si>
  <si>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</si>
  <si>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</si>
  <si>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</si>
  <si>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</si>
  <si>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</si>
  <si>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</si>
  <si>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</si>
  <si>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</si>
  <si>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</si>
  <si>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</si>
  <si>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</si>
  <si>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</si>
  <si>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</si>
  <si>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</si>
  <si>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</si>
  <si>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</si>
  <si>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</si>
  <si>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</si>
  <si>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</si>
  <si>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</si>
  <si>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</si>
  <si>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</si>
  <si>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</si>
  <si>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</si>
  <si>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</si>
  <si>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</si>
  <si>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</si>
  <si>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</si>
  <si>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</si>
  <si>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</si>
  <si>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</si>
  <si>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</si>
  <si>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</si>
  <si>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</si>
  <si>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</si>
  <si>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</si>
  <si>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</si>
  <si>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</si>
  <si>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</si>
  <si>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</si>
  <si>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</si>
  <si>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</si>
  <si>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</si>
  <si>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</si>
  <si>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</si>
  <si>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</si>
  <si>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</si>
  <si>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</si>
  <si>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</si>
  <si>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</si>
  <si>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</si>
  <si>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</si>
  <si>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</si>
  <si>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</si>
  <si>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</si>
  <si>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</si>
  <si>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</si>
  <si>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</si>
  <si>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</si>
  <si>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</si>
  <si>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</si>
  <si>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</si>
  <si>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</si>
  <si>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</si>
  <si>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</si>
  <si>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</si>
  <si>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</si>
  <si>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</si>
  <si>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</si>
  <si>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</si>
  <si>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</si>
  <si>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</si>
  <si>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</si>
  <si>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</si>
  <si>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</si>
  <si>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</si>
  <si>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</si>
  <si>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</si>
  <si>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</si>
  <si>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</si>
  <si>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</si>
  <si>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</si>
  <si>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</si>
  <si>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</si>
  <si>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</si>
  <si>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</si>
  <si>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</si>
  <si>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</si>
  <si>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</si>
  <si>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</si>
  <si>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</si>
  <si>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</si>
  <si>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</si>
  <si>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</si>
  <si>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</si>
  <si>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</si>
  <si>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</si>
  <si>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</si>
  <si>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</si>
  <si>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</si>
  <si>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</si>
  <si>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</si>
  <si>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</si>
  <si>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</si>
  <si>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</si>
  <si>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</si>
  <si>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</si>
  <si>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</si>
  <si>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</si>
  <si>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</si>
  <si>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</si>
  <si>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</si>
  <si>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</si>
  <si>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</si>
  <si>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</si>
  <si>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</si>
  <si>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</si>
  <si>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</si>
  <si>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</si>
  <si>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</si>
  <si>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</si>
  <si>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</si>
  <si>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</si>
  <si>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</si>
  <si>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</si>
  <si>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</si>
  <si>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</si>
  <si>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</si>
  <si>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</si>
  <si>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</si>
  <si>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</si>
  <si>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</si>
  <si>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</si>
  <si>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</si>
  <si>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</si>
  <si>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</si>
  <si>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</si>
  <si>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</si>
  <si>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</si>
  <si>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</si>
  <si>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</si>
  <si>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</si>
  <si>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</si>
  <si>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</si>
  <si>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</si>
  <si>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</si>
  <si>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</si>
  <si>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</si>
  <si>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</si>
  <si>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</si>
  <si>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</si>
  <si>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</si>
  <si>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</si>
  <si>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</si>
  <si>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</si>
  <si>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</si>
  <si>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</si>
  <si>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</si>
  <si>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</si>
  <si>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</si>
  <si>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</si>
  <si>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</si>
  <si>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</si>
  <si>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</si>
  <si>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</si>
  <si>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</si>
  <si>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</si>
  <si>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</si>
  <si>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</si>
  <si>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</si>
  <si>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</si>
  <si>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</si>
  <si>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</si>
  <si>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</si>
  <si>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</si>
  <si>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</si>
  <si>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</si>
  <si>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</si>
  <si>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</si>
  <si>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</si>
  <si>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</si>
  <si>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</si>
  <si>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</si>
  <si>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</si>
  <si>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</si>
  <si>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</si>
  <si>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</si>
  <si>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</si>
  <si>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</si>
  <si>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</si>
  <si>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</si>
  <si>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</si>
  <si>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</si>
  <si>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</si>
  <si>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</si>
  <si>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</si>
  <si>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</si>
  <si>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</si>
  <si>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</si>
  <si>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</si>
  <si>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</si>
  <si>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</si>
  <si>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</si>
  <si>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</si>
  <si>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</si>
  <si>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</si>
  <si>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</si>
  <si>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</si>
  <si>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</si>
  <si>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</si>
  <si>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</si>
  <si>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</si>
  <si>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</si>
  <si>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</si>
  <si>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</si>
  <si>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</si>
  <si>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</si>
  <si>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</si>
  <si>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</si>
  <si>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</si>
  <si>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</si>
  <si>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</si>
  <si>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</si>
  <si>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</si>
  <si>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</si>
  <si>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</si>
  <si>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</si>
  <si>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</si>
  <si>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</si>
  <si>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</si>
  <si>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</si>
  <si>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</si>
  <si>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</si>
  <si>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</si>
  <si>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</si>
  <si>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</si>
  <si>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</si>
  <si>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</si>
  <si>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</si>
  <si>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</si>
  <si>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</si>
  <si>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</si>
  <si>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</si>
  <si>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</si>
  <si>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</si>
  <si>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</si>
  <si>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</si>
  <si>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</si>
  <si>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</si>
  <si>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</si>
  <si>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</si>
  <si>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</si>
  <si>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</si>
  <si>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</si>
  <si>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</si>
  <si>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</si>
  <si>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</si>
  <si>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</si>
  <si>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</si>
  <si>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</si>
  <si>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</si>
  <si>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</si>
  <si>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</si>
  <si>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</si>
  <si>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</si>
  <si>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</si>
  <si>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</si>
  <si>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</si>
  <si>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</si>
  <si>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</si>
  <si>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</si>
  <si>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</si>
  <si>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</si>
  <si>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</si>
  <si>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</si>
  <si>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</si>
  <si>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</si>
  <si>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</si>
  <si>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</si>
  <si>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</si>
  <si>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</si>
  <si>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</si>
  <si>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</si>
  <si>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</si>
  <si>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</si>
  <si>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</si>
  <si>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</si>
  <si>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</si>
  <si>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</si>
  <si>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</si>
  <si>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</si>
  <si>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</si>
  <si>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</si>
  <si>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</si>
  <si>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</si>
  <si>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</si>
  <si>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</si>
  <si>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</si>
  <si>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</si>
  <si>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</si>
  <si>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</si>
  <si>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</si>
  <si>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</si>
  <si>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</si>
  <si>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</si>
  <si>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</si>
  <si>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</si>
  <si>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</si>
  <si>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</si>
  <si>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</si>
  <si>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</si>
  <si>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</si>
  <si>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</si>
  <si>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</si>
  <si>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</si>
  <si>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</si>
  <si>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</si>
  <si>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</si>
  <si>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</si>
  <si>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</si>
  <si>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</si>
  <si>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</si>
  <si>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</si>
  <si>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</si>
  <si>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</si>
  <si>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</si>
  <si>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</si>
  <si>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</si>
  <si>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</si>
  <si>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</si>
  <si>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</si>
  <si>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</si>
  <si>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</si>
  <si>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</si>
  <si>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</si>
  <si>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</si>
  <si>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</si>
  <si>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</si>
  <si>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</si>
  <si>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</si>
  <si>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</si>
  <si>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</si>
  <si>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</si>
  <si>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</si>
  <si>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</si>
  <si>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</si>
  <si>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</si>
  <si>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</si>
  <si>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</si>
  <si>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</si>
  <si>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</si>
  <si>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</si>
  <si>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</si>
  <si>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</si>
  <si>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</si>
  <si>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</si>
  <si>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</si>
  <si>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</si>
  <si>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</si>
  <si>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</si>
  <si>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</si>
  <si>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</si>
  <si>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</si>
  <si>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</si>
  <si>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</si>
  <si>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</si>
  <si>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</si>
  <si>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</si>
  <si>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</si>
  <si>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</si>
  <si>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names!$B$155:$S$155</t>
  </si>
  <si>
    <t>names!$B$91:$S$91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</si>
  <si>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</si>
  <si>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</si>
  <si>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</si>
  <si>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</si>
  <si>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</si>
  <si>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</si>
  <si>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</si>
  <si>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</si>
  <si>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</si>
  <si>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</si>
  <si>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</si>
  <si>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</si>
  <si>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</si>
  <si>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</si>
  <si>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</si>
  <si>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</si>
  <si>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</si>
  <si>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</si>
  <si>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</si>
  <si>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</si>
  <si>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</si>
  <si>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</si>
  <si>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</si>
  <si>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</si>
  <si>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</si>
  <si>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</si>
  <si>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</si>
  <si>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</si>
  <si>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</si>
  <si>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</si>
  <si>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</si>
  <si>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</si>
  <si>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</si>
  <si>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</si>
  <si>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</si>
  <si>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</si>
  <si>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</si>
  <si>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</si>
  <si>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</si>
  <si>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</si>
  <si>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</si>
  <si>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</si>
  <si>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</si>
  <si>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</si>
  <si>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</si>
  <si>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</si>
  <si>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</si>
  <si>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</si>
  <si>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</si>
  <si>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</si>
  <si>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</si>
  <si>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</si>
  <si>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</si>
  <si>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F300_v6.0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</si>
</sst>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0" fillId="0" borderId="10" xfId="0" applyBorder="1"/>
    <xf numFmtId="0" fontId="1" fillId="13" borderId="7" xfId="0" applyFont="1" applyFill="1" applyBorder="1" applyAlignment="1">
      <alignment horizontal="center" wrapText="1"/>
    </xf>
    <xf numFmtId="0" fontId="0" fillId="0" borderId="14" xfId="0" applyBorder="1"/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9" fontId="0" fillId="14" borderId="13" xfId="0" applyNumberFormat="1" applyFill="1" applyBorder="1" applyAlignment="1">
      <alignment horizontal="center"/>
    </xf>
    <xf numFmtId="0" fontId="0" fillId="0" borderId="8" xfId="0" applyBorder="1"/>
    <xf numFmtId="0" fontId="0" fillId="15" borderId="15" xfId="0" applyFill="1" applyBorder="1" applyAlignment="1">
      <alignment horizontal="left"/>
    </xf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</cellXfs>
  <cellStyles count="1">
    <cellStyle name="常规" xfId="0" builtinId="0"/>
  </cellStyles>
  <dxfs count="18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4.1318007999999997</c:v>
                </c:pt>
                <c:pt idx="1">
                  <c:v>8.2550711999999997</c:v>
                </c:pt>
                <c:pt idx="2">
                  <c:v>11.6535464</c:v>
                </c:pt>
                <c:pt idx="3">
                  <c:v>14.715993599999999</c:v>
                </c:pt>
                <c:pt idx="4">
                  <c:v>22.211154399999998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67.079066600000004</c:v>
                </c:pt>
                <c:pt idx="1">
                  <c:v>67.779156400000005</c:v>
                </c:pt>
                <c:pt idx="2">
                  <c:v>71.510741199999998</c:v>
                </c:pt>
                <c:pt idx="3">
                  <c:v>72.919027</c:v>
                </c:pt>
                <c:pt idx="4">
                  <c:v>74.351512999999997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4.1318007999999997</c:v>
                </c:pt>
                <c:pt idx="1">
                  <c:v>8.2550711999999997</c:v>
                </c:pt>
                <c:pt idx="2">
                  <c:v>11.6535464</c:v>
                </c:pt>
                <c:pt idx="3">
                  <c:v>14.715993599999999</c:v>
                </c:pt>
                <c:pt idx="4">
                  <c:v>22.211154399999998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67.927461199999996</c:v>
                </c:pt>
                <c:pt idx="1">
                  <c:v>68.685868799999994</c:v>
                </c:pt>
                <c:pt idx="2">
                  <c:v>72.9567756</c:v>
                </c:pt>
                <c:pt idx="3">
                  <c:v>74.558754800000003</c:v>
                </c:pt>
                <c:pt idx="4">
                  <c:v>76.237871200000001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4.1318007999999997</c:v>
                </c:pt>
                <c:pt idx="1">
                  <c:v>8.2550711999999997</c:v>
                </c:pt>
                <c:pt idx="2">
                  <c:v>11.6535464</c:v>
                </c:pt>
                <c:pt idx="3">
                  <c:v>14.715993599999999</c:v>
                </c:pt>
                <c:pt idx="4">
                  <c:v>22.211154399999998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47.301057800000002</c:v>
                </c:pt>
                <c:pt idx="1">
                  <c:v>47.5100002</c:v>
                </c:pt>
                <c:pt idx="2">
                  <c:v>49.7201375</c:v>
                </c:pt>
                <c:pt idx="3">
                  <c:v>50.6518546</c:v>
                </c:pt>
                <c:pt idx="4">
                  <c:v>51.463733300000001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4.1318007999999997</c:v>
                </c:pt>
                <c:pt idx="1">
                  <c:v>8.2550711999999997</c:v>
                </c:pt>
                <c:pt idx="2">
                  <c:v>11.6535464</c:v>
                </c:pt>
                <c:pt idx="3">
                  <c:v>14.715993599999999</c:v>
                </c:pt>
                <c:pt idx="4">
                  <c:v>22.211154399999998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27.818565599999999</c:v>
                </c:pt>
                <c:pt idx="1">
                  <c:v>30.925522999999998</c:v>
                </c:pt>
                <c:pt idx="2">
                  <c:v>32.2423334</c:v>
                </c:pt>
                <c:pt idx="3">
                  <c:v>33.2272763</c:v>
                </c:pt>
                <c:pt idx="4">
                  <c:v>34.848841800000002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4.1318007999999997</c:v>
                </c:pt>
                <c:pt idx="1">
                  <c:v>8.2550711999999997</c:v>
                </c:pt>
                <c:pt idx="2">
                  <c:v>11.6535464</c:v>
                </c:pt>
                <c:pt idx="3">
                  <c:v>14.715993599999999</c:v>
                </c:pt>
                <c:pt idx="4">
                  <c:v>22.211154399999998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33.4841379</c:v>
                </c:pt>
                <c:pt idx="1">
                  <c:v>34.669907700000003</c:v>
                </c:pt>
                <c:pt idx="2">
                  <c:v>36.400588900000002</c:v>
                </c:pt>
                <c:pt idx="3">
                  <c:v>36.948543000000001</c:v>
                </c:pt>
                <c:pt idx="4">
                  <c:v>38.5065551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4.1318007999999997</c:v>
                </c:pt>
                <c:pt idx="1">
                  <c:v>8.2550711999999997</c:v>
                </c:pt>
                <c:pt idx="2">
                  <c:v>11.6535464</c:v>
                </c:pt>
                <c:pt idx="3">
                  <c:v>14.715993599999999</c:v>
                </c:pt>
                <c:pt idx="4">
                  <c:v>22.211154399999998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32.852734599999998</c:v>
                </c:pt>
                <c:pt idx="1">
                  <c:v>34.164009</c:v>
                </c:pt>
                <c:pt idx="2">
                  <c:v>36.129502299999999</c:v>
                </c:pt>
                <c:pt idx="3">
                  <c:v>36.675694900000003</c:v>
                </c:pt>
                <c:pt idx="4">
                  <c:v>38.199926300000001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4.1318007999999997</c:v>
                </c:pt>
                <c:pt idx="1">
                  <c:v>8.2550711999999997</c:v>
                </c:pt>
                <c:pt idx="2">
                  <c:v>11.6535464</c:v>
                </c:pt>
                <c:pt idx="3">
                  <c:v>14.715993599999999</c:v>
                </c:pt>
                <c:pt idx="4">
                  <c:v>22.211154399999998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26.416880299999999</c:v>
                </c:pt>
                <c:pt idx="1">
                  <c:v>28.104056100000001</c:v>
                </c:pt>
                <c:pt idx="2">
                  <c:v>30.043495100000001</c:v>
                </c:pt>
                <c:pt idx="3">
                  <c:v>30.926424999999998</c:v>
                </c:pt>
                <c:pt idx="4">
                  <c:v>32.232133699999999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0001"/>
        <c:axId val="50070002"/>
      </c:scatterChart>
      <c:valAx>
        <c:axId val="5007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70002"/>
        <c:crosses val="autoZero"/>
        <c:crossBetween val="midCat"/>
      </c:valAx>
      <c:valAx>
        <c:axId val="5007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7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6"/>
  <sheetViews>
    <sheetView zoomScale="90" zoomScaleNormal="90" workbookViewId="0">
      <selection activeCell="E9" sqref="E9"/>
    </sheetView>
  </sheetViews>
  <sheetFormatPr defaultColWidth="9.125" defaultRowHeight="13.5" x14ac:dyDescent="0.15"/>
  <cols>
    <col min="2" max="2" width="16.75" customWidth="1"/>
    <col min="3" max="9" width="24.75" customWidth="1"/>
  </cols>
  <sheetData>
    <row r="1" spans="2:9" x14ac:dyDescent="0.15">
      <c r="B1" t="s">
        <v>0</v>
      </c>
      <c r="C1" s="114" t="s">
        <v>429</v>
      </c>
      <c r="D1" s="114"/>
      <c r="E1" s="114"/>
    </row>
    <row r="2" spans="2:9" x14ac:dyDescent="0.15">
      <c r="B2" t="s">
        <v>1</v>
      </c>
      <c r="C2" s="115"/>
      <c r="D2" s="115"/>
      <c r="E2" s="115"/>
    </row>
    <row r="4" spans="2:9" s="1" customFormat="1" x14ac:dyDescent="0.15">
      <c r="B4" s="1" t="s">
        <v>2</v>
      </c>
    </row>
    <row r="6" spans="2:9" ht="45" customHeight="1" x14ac:dyDescent="0.15">
      <c r="B6" s="109" t="s">
        <v>3</v>
      </c>
      <c r="C6" s="2" t="s">
        <v>4</v>
      </c>
    </row>
    <row r="7" spans="2:9" x14ac:dyDescent="0.15">
      <c r="B7" s="106"/>
      <c r="C7" s="3" t="s">
        <v>5</v>
      </c>
    </row>
    <row r="8" spans="2:9" x14ac:dyDescent="0.15">
      <c r="B8" s="108"/>
      <c r="C8" s="4" t="s">
        <v>6</v>
      </c>
    </row>
    <row r="9" spans="2:9" x14ac:dyDescent="0.15">
      <c r="B9" t="s">
        <v>7</v>
      </c>
      <c r="C9" s="5" t="e">
        <f>'C0 lossless AI'!V13</f>
        <v>#DIV/0!</v>
      </c>
    </row>
    <row r="10" spans="2:9" x14ac:dyDescent="0.15">
      <c r="B10" t="s">
        <v>8</v>
      </c>
      <c r="C10" s="5" t="e">
        <f>'C0 lossless AI'!V14</f>
        <v>#DIV/0!</v>
      </c>
    </row>
    <row r="11" spans="2:9" x14ac:dyDescent="0.15">
      <c r="B11" t="s">
        <v>9</v>
      </c>
      <c r="C11" s="5" t="e">
        <f>'C0 lossless AI'!V15</f>
        <v>#DIV/0!</v>
      </c>
    </row>
    <row r="12" spans="2:9" x14ac:dyDescent="0.15">
      <c r="B12" s="6" t="s">
        <v>10</v>
      </c>
      <c r="C12" s="7" t="e">
        <f>'C0 lossless AI'!V16</f>
        <v>#DIV/0!</v>
      </c>
    </row>
    <row r="13" spans="2:9" x14ac:dyDescent="0.15">
      <c r="B13" t="s">
        <v>11</v>
      </c>
      <c r="C13" s="8">
        <f>'C0 lossless AI'!S18</f>
        <v>0</v>
      </c>
    </row>
    <row r="14" spans="2:9" x14ac:dyDescent="0.15">
      <c r="B14" s="9" t="s">
        <v>12</v>
      </c>
      <c r="C14" s="10">
        <f>'C0 lossless AI'!T18</f>
        <v>0</v>
      </c>
    </row>
    <row r="16" spans="2:9" x14ac:dyDescent="0.15">
      <c r="B16" s="109" t="s">
        <v>13</v>
      </c>
      <c r="C16" s="110" t="s">
        <v>14</v>
      </c>
      <c r="D16" s="111"/>
      <c r="E16" s="111"/>
      <c r="F16" s="111"/>
      <c r="G16" s="111"/>
      <c r="H16" s="111"/>
      <c r="I16" s="111"/>
    </row>
    <row r="17" spans="2:9" x14ac:dyDescent="0.15">
      <c r="B17" s="106"/>
      <c r="C17" s="112" t="s">
        <v>15</v>
      </c>
      <c r="D17" s="106"/>
      <c r="E17" s="106"/>
      <c r="F17" s="106"/>
      <c r="G17" s="106"/>
      <c r="H17" s="113" t="s">
        <v>16</v>
      </c>
      <c r="I17" s="106"/>
    </row>
    <row r="18" spans="2:9" x14ac:dyDescent="0.15">
      <c r="B18" s="108"/>
      <c r="C18" s="4" t="s">
        <v>17</v>
      </c>
      <c r="D18" s="4" t="s">
        <v>18</v>
      </c>
      <c r="E18" s="4" t="s">
        <v>19</v>
      </c>
      <c r="F18" s="4" t="s">
        <v>20</v>
      </c>
      <c r="G18" s="4" t="s">
        <v>21</v>
      </c>
      <c r="H18" s="11" t="s">
        <v>22</v>
      </c>
      <c r="I18" s="11" t="s">
        <v>19</v>
      </c>
    </row>
    <row r="19" spans="2:9" x14ac:dyDescent="0.15">
      <c r="B19" t="s">
        <v>7</v>
      </c>
      <c r="C19" s="5" t="e">
        <f>'C1 lossy AI'!$AZ$45:$AZ$45</f>
        <v>#DIV/0!</v>
      </c>
      <c r="D19" s="5" t="e">
        <f>'C1 lossy AI'!$BA$45:$BA$45</f>
        <v>#DIV/0!</v>
      </c>
      <c r="E19" s="5" t="e">
        <f>'C1 lossy AI'!$BB$45:$BB$45</f>
        <v>#DIV/0!</v>
      </c>
      <c r="F19" s="5" t="e">
        <f>'C1 lossy AI'!$BC$45:$BC$45</f>
        <v>#DIV/0!</v>
      </c>
      <c r="G19" s="5" t="e">
        <f>'C1 lossy AI'!$BD$45:$BD$45</f>
        <v>#DIV/0!</v>
      </c>
      <c r="H19" s="5" t="e">
        <f>'C1 lossy AI'!$BE$45:$BE$45</f>
        <v>#DIV/0!</v>
      </c>
      <c r="I19" s="5" t="e">
        <f>'C1 lossy AI'!$BF$45:$BF$45</f>
        <v>#DIV/0!</v>
      </c>
    </row>
    <row r="20" spans="2:9" x14ac:dyDescent="0.15">
      <c r="B20" t="s">
        <v>8</v>
      </c>
      <c r="C20" s="5" t="e">
        <f>'C1 lossy AI'!$AZ$46:$AZ$46</f>
        <v>#DIV/0!</v>
      </c>
      <c r="D20" s="5" t="e">
        <f>'C1 lossy AI'!$BA$46:$BA$46</f>
        <v>#DIV/0!</v>
      </c>
      <c r="E20" s="5" t="e">
        <f>'C1 lossy AI'!$BB$46:$BB$46</f>
        <v>#DIV/0!</v>
      </c>
      <c r="F20" s="5" t="e">
        <f>'C1 lossy AI'!$BC$46:$BC$46</f>
        <v>#DIV/0!</v>
      </c>
      <c r="G20" s="5" t="e">
        <f>'C1 lossy AI'!$BD$46:$BD$46</f>
        <v>#DIV/0!</v>
      </c>
      <c r="H20" s="5" t="e">
        <f>'C1 lossy AI'!$BE$46:$BE$46</f>
        <v>#DIV/0!</v>
      </c>
      <c r="I20" s="5" t="e">
        <f>'C1 lossy AI'!$BF$46:$BF$46</f>
        <v>#DIV/0!</v>
      </c>
    </row>
    <row r="21" spans="2:9" x14ac:dyDescent="0.15">
      <c r="B21" t="s">
        <v>9</v>
      </c>
      <c r="C21" s="5" t="e">
        <f>'C1 lossy AI'!$AZ$47:$AZ$47</f>
        <v>#DIV/0!</v>
      </c>
      <c r="D21" s="5" t="e">
        <f>'C1 lossy AI'!$BA$47:$BA$47</f>
        <v>#DIV/0!</v>
      </c>
      <c r="E21" s="5" t="e">
        <f>'C1 lossy AI'!$BB$47:$BB$47</f>
        <v>#DIV/0!</v>
      </c>
      <c r="F21" s="5" t="e">
        <f>'C1 lossy AI'!$BC$47:$BC$47</f>
        <v>#DIV/0!</v>
      </c>
      <c r="G21" s="5" t="e">
        <f>'C1 lossy AI'!$BD$47:$BD$47</f>
        <v>#DIV/0!</v>
      </c>
      <c r="H21" s="5" t="e">
        <f>'C1 lossy AI'!$BE$47:$BE$47</f>
        <v>#DIV/0!</v>
      </c>
      <c r="I21" s="5" t="e">
        <f>'C1 lossy AI'!$BF$47:$BF$47</f>
        <v>#DIV/0!</v>
      </c>
    </row>
    <row r="22" spans="2:9" x14ac:dyDescent="0.15">
      <c r="B22" s="6" t="s">
        <v>10</v>
      </c>
      <c r="C22" s="7" t="e">
        <f>'C1 lossy AI'!$AZ$48:$AZ$48</f>
        <v>#DIV/0!</v>
      </c>
      <c r="D22" s="7" t="e">
        <f>'C1 lossy AI'!$BA$48:$BA$48</f>
        <v>#DIV/0!</v>
      </c>
      <c r="E22" s="7" t="e">
        <f>'C1 lossy AI'!$BB$48:$BB$48</f>
        <v>#DIV/0!</v>
      </c>
      <c r="F22" s="7" t="e">
        <f>'C1 lossy AI'!$BC$48:$BC$48</f>
        <v>#DIV/0!</v>
      </c>
      <c r="G22" s="7" t="e">
        <f>'C1 lossy AI'!$BD$48:$BD$48</f>
        <v>#DIV/0!</v>
      </c>
      <c r="H22" s="7" t="e">
        <f>'C1 lossy AI'!$BE$48:$BE$48</f>
        <v>#DIV/0!</v>
      </c>
      <c r="I22" s="7" t="e">
        <f>'C1 lossy AI'!$BF$48:$BF$48</f>
        <v>#DIV/0!</v>
      </c>
    </row>
    <row r="23" spans="2:9" x14ac:dyDescent="0.15">
      <c r="B23" t="s">
        <v>11</v>
      </c>
      <c r="C23" s="105">
        <f>'C1 lossy AI'!AW50</f>
        <v>0</v>
      </c>
      <c r="D23" s="106"/>
      <c r="E23" s="106"/>
      <c r="F23" s="106"/>
      <c r="G23" s="106"/>
      <c r="H23" s="106"/>
      <c r="I23" s="106"/>
    </row>
    <row r="24" spans="2:9" x14ac:dyDescent="0.15">
      <c r="B24" s="9" t="s">
        <v>12</v>
      </c>
      <c r="C24" s="107">
        <f>'C1 lossy AI'!AX50</f>
        <v>0</v>
      </c>
      <c r="D24" s="108"/>
      <c r="E24" s="108"/>
      <c r="F24" s="108"/>
      <c r="G24" s="108"/>
      <c r="H24" s="108"/>
      <c r="I24" s="108"/>
    </row>
    <row r="26" spans="2:9" s="1" customFormat="1" x14ac:dyDescent="0.15">
      <c r="B26" s="1" t="s">
        <v>23</v>
      </c>
    </row>
    <row r="28" spans="2:9" x14ac:dyDescent="0.15">
      <c r="B28" s="109" t="s">
        <v>24</v>
      </c>
      <c r="C28" s="110" t="s">
        <v>25</v>
      </c>
      <c r="D28" s="111"/>
      <c r="E28" s="111"/>
      <c r="F28" s="111"/>
      <c r="G28" s="111"/>
      <c r="H28" s="111"/>
      <c r="I28" s="111"/>
    </row>
    <row r="29" spans="2:9" x14ac:dyDescent="0.15">
      <c r="B29" s="106"/>
      <c r="C29" s="112" t="s">
        <v>15</v>
      </c>
      <c r="D29" s="106"/>
      <c r="E29" s="106"/>
      <c r="F29" s="106"/>
      <c r="G29" s="106"/>
      <c r="H29" s="113" t="s">
        <v>16</v>
      </c>
      <c r="I29" s="106"/>
    </row>
    <row r="30" spans="2:9" x14ac:dyDescent="0.15">
      <c r="B30" s="108"/>
      <c r="C30" s="4" t="s">
        <v>17</v>
      </c>
      <c r="D30" s="4" t="s">
        <v>18</v>
      </c>
      <c r="E30" s="4" t="s">
        <v>19</v>
      </c>
      <c r="F30" s="4" t="s">
        <v>20</v>
      </c>
      <c r="G30" s="4" t="s">
        <v>21</v>
      </c>
      <c r="H30" s="11" t="s">
        <v>22</v>
      </c>
      <c r="I30" s="11" t="s">
        <v>19</v>
      </c>
    </row>
    <row r="31" spans="2:9" x14ac:dyDescent="0.15">
      <c r="B31" t="s">
        <v>7</v>
      </c>
      <c r="C31" s="5" t="e">
        <f>'C2 lossy RA'!$AZ$45:$AZ$45</f>
        <v>#DIV/0!</v>
      </c>
      <c r="D31" s="5" t="e">
        <f>'C2 lossy RA'!$BA$45:$BA$45</f>
        <v>#DIV/0!</v>
      </c>
      <c r="E31" s="5" t="e">
        <f>'C2 lossy RA'!$BB$45:$BB$45</f>
        <v>#DIV/0!</v>
      </c>
      <c r="F31" s="5" t="e">
        <f>'C2 lossy RA'!$BC$45:$BC$45</f>
        <v>#DIV/0!</v>
      </c>
      <c r="G31" s="5" t="e">
        <f>'C2 lossy RA'!$BD$45:$BD$45</f>
        <v>#DIV/0!</v>
      </c>
      <c r="H31" s="5" t="e">
        <f>'C2 lossy RA'!$BE$45:$BE$45</f>
        <v>#DIV/0!</v>
      </c>
      <c r="I31" s="5" t="e">
        <f>'C2 lossy RA'!$BF$45:$BF$45</f>
        <v>#DIV/0!</v>
      </c>
    </row>
    <row r="32" spans="2:9" x14ac:dyDescent="0.15">
      <c r="B32" t="s">
        <v>8</v>
      </c>
      <c r="C32" s="5" t="e">
        <f>'C2 lossy RA'!$AZ$46:$AZ$46</f>
        <v>#DIV/0!</v>
      </c>
      <c r="D32" s="5" t="e">
        <f>'C2 lossy RA'!$BA$46:$BA$46</f>
        <v>#DIV/0!</v>
      </c>
      <c r="E32" s="5" t="e">
        <f>'C2 lossy RA'!$BB$46:$BB$46</f>
        <v>#DIV/0!</v>
      </c>
      <c r="F32" s="5" t="e">
        <f>'C2 lossy RA'!$BC$46:$BC$46</f>
        <v>#DIV/0!</v>
      </c>
      <c r="G32" s="5" t="e">
        <f>'C2 lossy RA'!$BD$46:$BD$46</f>
        <v>#DIV/0!</v>
      </c>
      <c r="H32" s="5" t="e">
        <f>'C2 lossy RA'!$BE$46:$BE$46</f>
        <v>#DIV/0!</v>
      </c>
      <c r="I32" s="5" t="e">
        <f>'C2 lossy RA'!$BF$46:$BF$46</f>
        <v>#DIV/0!</v>
      </c>
    </row>
    <row r="33" spans="2:9" x14ac:dyDescent="0.15">
      <c r="B33" t="s">
        <v>9</v>
      </c>
      <c r="C33" s="5" t="e">
        <f>'C2 lossy RA'!$AZ$47:$AZ$47</f>
        <v>#DIV/0!</v>
      </c>
      <c r="D33" s="5" t="e">
        <f>'C2 lossy RA'!$BA$47:$BA$47</f>
        <v>#DIV/0!</v>
      </c>
      <c r="E33" s="5" t="e">
        <f>'C2 lossy RA'!$BB$47:$BB$47</f>
        <v>#DIV/0!</v>
      </c>
      <c r="F33" s="5" t="e">
        <f>'C2 lossy RA'!$BC$47:$BC$47</f>
        <v>#DIV/0!</v>
      </c>
      <c r="G33" s="5" t="e">
        <f>'C2 lossy RA'!$BD$47:$BD$47</f>
        <v>#DIV/0!</v>
      </c>
      <c r="H33" s="5" t="e">
        <f>'C2 lossy RA'!$BE$47:$BE$47</f>
        <v>#DIV/0!</v>
      </c>
      <c r="I33" s="5" t="e">
        <f>'C2 lossy RA'!$BF$47:$BF$47</f>
        <v>#DIV/0!</v>
      </c>
    </row>
    <row r="34" spans="2:9" x14ac:dyDescent="0.15">
      <c r="B34" s="6" t="s">
        <v>10</v>
      </c>
      <c r="C34" s="7" t="e">
        <f>'C2 lossy RA'!$AZ$48:$AZ$48</f>
        <v>#DIV/0!</v>
      </c>
      <c r="D34" s="7" t="e">
        <f>'C2 lossy RA'!$BA$48:$BA$48</f>
        <v>#DIV/0!</v>
      </c>
      <c r="E34" s="7" t="e">
        <f>'C2 lossy RA'!$BB$48:$BB$48</f>
        <v>#DIV/0!</v>
      </c>
      <c r="F34" s="7" t="e">
        <f>'C2 lossy RA'!$BC$48:$BC$48</f>
        <v>#DIV/0!</v>
      </c>
      <c r="G34" s="7" t="e">
        <f>'C2 lossy RA'!$BD$48:$BD$48</f>
        <v>#DIV/0!</v>
      </c>
      <c r="H34" s="7" t="e">
        <f>'C2 lossy RA'!$BE$48:$BE$48</f>
        <v>#DIV/0!</v>
      </c>
      <c r="I34" s="7" t="e">
        <f>'C2 lossy RA'!$BF$48:$BF$48</f>
        <v>#DIV/0!</v>
      </c>
    </row>
    <row r="35" spans="2:9" x14ac:dyDescent="0.15">
      <c r="B35" t="s">
        <v>11</v>
      </c>
      <c r="C35" s="105">
        <f>'C2 lossy RA'!AW50</f>
        <v>0</v>
      </c>
      <c r="D35" s="106"/>
      <c r="E35" s="106"/>
      <c r="F35" s="106"/>
      <c r="G35" s="106"/>
      <c r="H35" s="106"/>
      <c r="I35" s="106"/>
    </row>
    <row r="36" spans="2:9" x14ac:dyDescent="0.15">
      <c r="B36" s="9" t="s">
        <v>12</v>
      </c>
      <c r="C36" s="107">
        <f>'C2 lossy RA'!AX50</f>
        <v>0</v>
      </c>
      <c r="D36" s="108"/>
      <c r="E36" s="108"/>
      <c r="F36" s="108"/>
      <c r="G36" s="108"/>
      <c r="H36" s="108"/>
      <c r="I36" s="108"/>
    </row>
  </sheetData>
  <mergeCells count="15">
    <mergeCell ref="C1:E1"/>
    <mergeCell ref="C2:E2"/>
    <mergeCell ref="B6:B8"/>
    <mergeCell ref="B16:B18"/>
    <mergeCell ref="C16:I16"/>
    <mergeCell ref="C17:G17"/>
    <mergeCell ref="H17:I17"/>
    <mergeCell ref="C35:I35"/>
    <mergeCell ref="C36:I36"/>
    <mergeCell ref="C23:I23"/>
    <mergeCell ref="C24:I24"/>
    <mergeCell ref="B28:B30"/>
    <mergeCell ref="C28:I28"/>
    <mergeCell ref="C29:G29"/>
    <mergeCell ref="H29:I29"/>
  </mergeCells>
  <phoneticPr fontId="2" type="noConversion"/>
  <conditionalFormatting sqref="C19 C20 C21 C22">
    <cfRule type="cellIs" dxfId="185" priority="15" operator="greaterThanOrEqual">
      <formula>0.03</formula>
    </cfRule>
    <cfRule type="cellIs" dxfId="184" priority="16" operator="lessThanOrEqual">
      <formula>-0.03</formula>
    </cfRule>
  </conditionalFormatting>
  <conditionalFormatting sqref="C31 C32 C33 C34">
    <cfRule type="cellIs" dxfId="183" priority="17" operator="greaterThanOrEqual">
      <formula>0.03</formula>
    </cfRule>
    <cfRule type="cellIs" dxfId="182" priority="18" operator="lessThanOrEqual">
      <formula>-0.03</formula>
    </cfRule>
  </conditionalFormatting>
  <conditionalFormatting sqref="C9 C10 C11 C12">
    <cfRule type="cellIs" dxfId="181" priority="1" operator="greaterThanOrEqual">
      <formula>1.03</formula>
    </cfRule>
    <cfRule type="cellIs" dxfId="180" priority="2" operator="lessThanOrEqual">
      <formula>0.97</formula>
    </cfRule>
  </conditionalFormatting>
  <conditionalFormatting sqref="D19 D20 D21 D22">
    <cfRule type="cellIs" dxfId="179" priority="11" operator="greaterThanOrEqual">
      <formula>0.03</formula>
    </cfRule>
    <cfRule type="cellIs" dxfId="178" priority="12" operator="lessThanOrEqual">
      <formula>-0.03</formula>
    </cfRule>
  </conditionalFormatting>
  <conditionalFormatting sqref="D31 D32 D33 D34">
    <cfRule type="cellIs" dxfId="177" priority="21" operator="greaterThanOrEqual">
      <formula>0.03</formula>
    </cfRule>
    <cfRule type="cellIs" dxfId="176" priority="22" operator="lessThanOrEqual">
      <formula>-0.03</formula>
    </cfRule>
  </conditionalFormatting>
  <conditionalFormatting sqref="E19 E20 E21 E22">
    <cfRule type="cellIs" dxfId="175" priority="5" operator="greaterThanOrEqual">
      <formula>0.03</formula>
    </cfRule>
    <cfRule type="cellIs" dxfId="174" priority="6" operator="lessThanOrEqual">
      <formula>-0.03</formula>
    </cfRule>
  </conditionalFormatting>
  <conditionalFormatting sqref="E31 E32 E33 E34">
    <cfRule type="cellIs" dxfId="173" priority="25" operator="greaterThanOrEqual">
      <formula>0.03</formula>
    </cfRule>
    <cfRule type="cellIs" dxfId="172" priority="26" operator="lessThanOrEqual">
      <formula>-0.03</formula>
    </cfRule>
  </conditionalFormatting>
  <conditionalFormatting sqref="F19 F20 F21 F22">
    <cfRule type="cellIs" dxfId="171" priority="3" operator="greaterThanOrEqual">
      <formula>0.03</formula>
    </cfRule>
    <cfRule type="cellIs" dxfId="170" priority="4" operator="lessThanOrEqual">
      <formula>-0.03</formula>
    </cfRule>
  </conditionalFormatting>
  <conditionalFormatting sqref="F31 F32 F33 F34">
    <cfRule type="cellIs" dxfId="169" priority="29" operator="greaterThanOrEqual">
      <formula>0.03</formula>
    </cfRule>
    <cfRule type="cellIs" dxfId="168" priority="30" operator="lessThanOrEqual">
      <formula>-0.03</formula>
    </cfRule>
  </conditionalFormatting>
  <conditionalFormatting sqref="G19 G20 G21 G22">
    <cfRule type="cellIs" dxfId="167" priority="13" operator="greaterThanOrEqual">
      <formula>0.03</formula>
    </cfRule>
    <cfRule type="cellIs" dxfId="166" priority="14" operator="lessThanOrEqual">
      <formula>-0.03</formula>
    </cfRule>
  </conditionalFormatting>
  <conditionalFormatting sqref="G31 G32 G33 G34">
    <cfRule type="cellIs" dxfId="165" priority="19" operator="greaterThanOrEqual">
      <formula>0.03</formula>
    </cfRule>
    <cfRule type="cellIs" dxfId="164" priority="20" operator="lessThanOrEqual">
      <formula>-0.03</formula>
    </cfRule>
  </conditionalFormatting>
  <conditionalFormatting sqref="H19 H20 H21 H22">
    <cfRule type="cellIs" dxfId="163" priority="9" operator="greaterThanOrEqual">
      <formula>0.03</formula>
    </cfRule>
    <cfRule type="cellIs" dxfId="162" priority="10" operator="lessThanOrEqual">
      <formula>-0.03</formula>
    </cfRule>
  </conditionalFormatting>
  <conditionalFormatting sqref="H31 H32 H33 H34">
    <cfRule type="cellIs" dxfId="161" priority="23" operator="greaterThanOrEqual">
      <formula>0.03</formula>
    </cfRule>
    <cfRule type="cellIs" dxfId="160" priority="24" operator="lessThanOrEqual">
      <formula>-0.03</formula>
    </cfRule>
  </conditionalFormatting>
  <conditionalFormatting sqref="I19 I20 I21 I22">
    <cfRule type="cellIs" dxfId="159" priority="7" operator="greaterThanOrEqual">
      <formula>0.03</formula>
    </cfRule>
    <cfRule type="cellIs" dxfId="158" priority="8" operator="lessThanOrEqual">
      <formula>-0.03</formula>
    </cfRule>
  </conditionalFormatting>
  <conditionalFormatting sqref="I31 I32 I33 I34">
    <cfRule type="cellIs" dxfId="157" priority="27" operator="greaterThanOrEqual">
      <formula>0.03</formula>
    </cfRule>
    <cfRule type="cellIs" dxfId="156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1" sqref="B1"/>
    </sheetView>
  </sheetViews>
  <sheetFormatPr defaultColWidth="9.125"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</cols>
  <sheetData>
    <row r="1" spans="1:14" x14ac:dyDescent="0.15">
      <c r="A1" t="s">
        <v>26</v>
      </c>
      <c r="B1" s="12" t="s">
        <v>30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15">
      <c r="A2" t="s">
        <v>31</v>
      </c>
      <c r="B2" s="12" t="s">
        <v>38</v>
      </c>
      <c r="C2" t="s">
        <v>33</v>
      </c>
      <c r="I2" t="s">
        <v>34</v>
      </c>
      <c r="J2" t="s">
        <v>35</v>
      </c>
      <c r="M2" t="s">
        <v>375</v>
      </c>
      <c r="N2" t="s">
        <v>374</v>
      </c>
    </row>
    <row r="3" spans="1:14" x14ac:dyDescent="0.15">
      <c r="I3" t="s">
        <v>36</v>
      </c>
      <c r="J3" t="s">
        <v>37</v>
      </c>
      <c r="M3" t="s">
        <v>38</v>
      </c>
      <c r="N3" t="s">
        <v>38</v>
      </c>
    </row>
    <row r="4" spans="1:14" x14ac:dyDescent="0.1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1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1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1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1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1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1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15">
      <c r="I11" t="s">
        <v>52</v>
      </c>
      <c r="J11" t="s">
        <v>76</v>
      </c>
    </row>
    <row r="12" spans="1:14" x14ac:dyDescent="0.15">
      <c r="I12" t="s">
        <v>71</v>
      </c>
      <c r="J12" t="s">
        <v>77</v>
      </c>
    </row>
    <row r="13" spans="1:14" x14ac:dyDescent="0.15">
      <c r="I13" t="s">
        <v>78</v>
      </c>
      <c r="J13" t="s">
        <v>79</v>
      </c>
    </row>
    <row r="14" spans="1:14" x14ac:dyDescent="0.15">
      <c r="I14" t="s">
        <v>80</v>
      </c>
      <c r="J14" t="s">
        <v>81</v>
      </c>
    </row>
    <row r="15" spans="1:14" x14ac:dyDescent="0.15">
      <c r="I15" t="s">
        <v>82</v>
      </c>
      <c r="J15" t="s">
        <v>83</v>
      </c>
    </row>
    <row r="16" spans="1:14" x14ac:dyDescent="0.15">
      <c r="I16" t="s">
        <v>84</v>
      </c>
      <c r="J16" t="s">
        <v>85</v>
      </c>
    </row>
    <row r="17" spans="9:10" x14ac:dyDescent="0.15">
      <c r="I17" t="s">
        <v>62</v>
      </c>
      <c r="J17" t="s">
        <v>86</v>
      </c>
    </row>
    <row r="18" spans="9:10" x14ac:dyDescent="0.15">
      <c r="I18" t="s">
        <v>67</v>
      </c>
      <c r="J18" t="s">
        <v>87</v>
      </c>
    </row>
    <row r="19" spans="9:10" x14ac:dyDescent="0.15">
      <c r="I19" t="s">
        <v>42</v>
      </c>
      <c r="J19" t="s">
        <v>88</v>
      </c>
    </row>
    <row r="20" spans="9:10" x14ac:dyDescent="0.15">
      <c r="I20" t="s">
        <v>47</v>
      </c>
      <c r="J20" t="s">
        <v>89</v>
      </c>
    </row>
    <row r="21" spans="9:10" x14ac:dyDescent="0.15">
      <c r="I21" t="s">
        <v>57</v>
      </c>
      <c r="J21" t="s">
        <v>90</v>
      </c>
    </row>
    <row r="22" spans="9:10" x14ac:dyDescent="0.15">
      <c r="I22" t="s">
        <v>91</v>
      </c>
      <c r="J22" t="s">
        <v>92</v>
      </c>
    </row>
    <row r="23" spans="9:10" x14ac:dyDescent="0.15">
      <c r="I23" t="s">
        <v>93</v>
      </c>
      <c r="J23" t="s">
        <v>94</v>
      </c>
    </row>
    <row r="24" spans="9:10" x14ac:dyDescent="0.15">
      <c r="I24" t="s">
        <v>95</v>
      </c>
      <c r="J24" t="s">
        <v>96</v>
      </c>
    </row>
    <row r="25" spans="9:10" x14ac:dyDescent="0.15">
      <c r="I25" t="s">
        <v>97</v>
      </c>
      <c r="J25" t="s">
        <v>98</v>
      </c>
    </row>
    <row r="26" spans="9:10" x14ac:dyDescent="0.15">
      <c r="I26" t="s">
        <v>99</v>
      </c>
      <c r="J26" t="s">
        <v>100</v>
      </c>
    </row>
    <row r="27" spans="9:10" x14ac:dyDescent="0.15">
      <c r="I27" t="s">
        <v>101</v>
      </c>
      <c r="J27" t="s">
        <v>102</v>
      </c>
    </row>
    <row r="28" spans="9:10" x14ac:dyDescent="0.15">
      <c r="I28" t="s">
        <v>103</v>
      </c>
      <c r="J28" t="s">
        <v>104</v>
      </c>
    </row>
    <row r="29" spans="9:10" x14ac:dyDescent="0.15">
      <c r="I29" t="s">
        <v>105</v>
      </c>
      <c r="J29" t="s">
        <v>106</v>
      </c>
    </row>
    <row r="30" spans="9:10" x14ac:dyDescent="0.15">
      <c r="I30" t="s">
        <v>107</v>
      </c>
      <c r="J30" t="s">
        <v>108</v>
      </c>
    </row>
    <row r="31" spans="9:10" x14ac:dyDescent="0.15">
      <c r="I31" t="s">
        <v>109</v>
      </c>
      <c r="J31" t="s">
        <v>110</v>
      </c>
    </row>
    <row r="32" spans="9:10" x14ac:dyDescent="0.15">
      <c r="I32" t="s">
        <v>111</v>
      </c>
      <c r="J32" t="s">
        <v>112</v>
      </c>
    </row>
    <row r="33" spans="9:10" x14ac:dyDescent="0.15">
      <c r="I33" t="s">
        <v>113</v>
      </c>
      <c r="J33" t="s">
        <v>114</v>
      </c>
    </row>
    <row r="34" spans="9:10" x14ac:dyDescent="0.15">
      <c r="I34" t="s">
        <v>115</v>
      </c>
      <c r="J34" t="s">
        <v>116</v>
      </c>
    </row>
    <row r="35" spans="9:10" x14ac:dyDescent="0.15">
      <c r="I35" t="s">
        <v>117</v>
      </c>
      <c r="J35" t="s">
        <v>118</v>
      </c>
    </row>
    <row r="36" spans="9:10" x14ac:dyDescent="0.15">
      <c r="I36" t="s">
        <v>119</v>
      </c>
      <c r="J36" t="s">
        <v>120</v>
      </c>
    </row>
    <row r="37" spans="9:10" x14ac:dyDescent="0.15">
      <c r="I37" t="s">
        <v>121</v>
      </c>
      <c r="J37" t="s">
        <v>122</v>
      </c>
    </row>
    <row r="38" spans="9:10" x14ac:dyDescent="0.15">
      <c r="I38" t="s">
        <v>123</v>
      </c>
      <c r="J38" t="s">
        <v>124</v>
      </c>
    </row>
    <row r="39" spans="9:10" x14ac:dyDescent="0.15">
      <c r="I39" t="s">
        <v>125</v>
      </c>
      <c r="J39" t="s">
        <v>126</v>
      </c>
    </row>
    <row r="40" spans="9:10" x14ac:dyDescent="0.15">
      <c r="I40" t="s">
        <v>40</v>
      </c>
      <c r="J40" t="s">
        <v>127</v>
      </c>
    </row>
    <row r="41" spans="9:10" x14ac:dyDescent="0.15">
      <c r="I41" t="s">
        <v>128</v>
      </c>
      <c r="J41" t="s">
        <v>129</v>
      </c>
    </row>
    <row r="42" spans="9:10" x14ac:dyDescent="0.15">
      <c r="I42" t="s">
        <v>130</v>
      </c>
      <c r="J42" t="s">
        <v>131</v>
      </c>
    </row>
    <row r="43" spans="9:10" x14ac:dyDescent="0.15">
      <c r="I43" t="s">
        <v>132</v>
      </c>
      <c r="J43" t="s">
        <v>133</v>
      </c>
    </row>
    <row r="44" spans="9:10" x14ac:dyDescent="0.15">
      <c r="I44" t="s">
        <v>134</v>
      </c>
      <c r="J44" t="s">
        <v>135</v>
      </c>
    </row>
    <row r="45" spans="9:10" x14ac:dyDescent="0.15">
      <c r="I45" t="s">
        <v>136</v>
      </c>
      <c r="J45" t="s">
        <v>137</v>
      </c>
    </row>
    <row r="46" spans="9:10" x14ac:dyDescent="0.15">
      <c r="I46" t="s">
        <v>138</v>
      </c>
      <c r="J46" t="s">
        <v>139</v>
      </c>
    </row>
    <row r="47" spans="9:10" x14ac:dyDescent="0.15">
      <c r="I47" t="s">
        <v>140</v>
      </c>
      <c r="J47" t="s">
        <v>141</v>
      </c>
    </row>
    <row r="48" spans="9:10" x14ac:dyDescent="0.15">
      <c r="I48" t="s">
        <v>142</v>
      </c>
      <c r="J48" t="s">
        <v>143</v>
      </c>
    </row>
    <row r="49" spans="9:10" x14ac:dyDescent="0.15">
      <c r="I49" t="s">
        <v>144</v>
      </c>
      <c r="J49" t="s">
        <v>145</v>
      </c>
    </row>
    <row r="50" spans="9:10" x14ac:dyDescent="0.15">
      <c r="I50" t="s">
        <v>146</v>
      </c>
      <c r="J50" t="s">
        <v>147</v>
      </c>
    </row>
    <row r="51" spans="9:10" x14ac:dyDescent="0.15">
      <c r="I51" t="s">
        <v>395</v>
      </c>
      <c r="J51" t="s">
        <v>391</v>
      </c>
    </row>
    <row r="52" spans="9:10" x14ac:dyDescent="0.15">
      <c r="I52" t="s">
        <v>396</v>
      </c>
      <c r="J52" t="s">
        <v>392</v>
      </c>
    </row>
    <row r="53" spans="9:10" x14ac:dyDescent="0.15">
      <c r="I53" t="s">
        <v>371</v>
      </c>
      <c r="J53" t="s">
        <v>393</v>
      </c>
    </row>
    <row r="54" spans="9:10" x14ac:dyDescent="0.15">
      <c r="I54" t="s">
        <v>397</v>
      </c>
      <c r="J54" t="s">
        <v>394</v>
      </c>
    </row>
  </sheetData>
  <phoneticPr fontId="2" type="noConversion"/>
  <conditionalFormatting sqref="B2">
    <cfRule type="expression" dxfId="155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4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28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M20" sqref="M20"/>
    </sheetView>
  </sheetViews>
  <sheetFormatPr defaultColWidth="9.125" defaultRowHeight="13.5" x14ac:dyDescent="0.15"/>
  <cols>
    <col min="2" max="2" width="24.75" customWidth="1"/>
    <col min="3" max="4" width="10.75" customWidth="1"/>
    <col min="7" max="7" width="1.75" customWidth="1"/>
    <col min="9" max="9" width="10.75" customWidth="1"/>
    <col min="10" max="11" width="12.75" customWidth="1"/>
    <col min="14" max="14" width="1.75" customWidth="1"/>
    <col min="16" max="16" width="10.75" customWidth="1"/>
    <col min="17" max="18" width="12.75" customWidth="1"/>
    <col min="21" max="21" width="1.75" customWidth="1"/>
    <col min="23" max="23" width="1.75" customWidth="1"/>
  </cols>
  <sheetData>
    <row r="1" spans="1:24" x14ac:dyDescent="0.15">
      <c r="A1" s="118" t="s">
        <v>148</v>
      </c>
      <c r="B1" s="106"/>
      <c r="C1" s="106"/>
      <c r="D1" s="106"/>
      <c r="E1" s="106"/>
      <c r="F1" s="106"/>
      <c r="H1" s="114" t="str">
        <f>Summary!C1</f>
        <v>F300_v6.0</v>
      </c>
      <c r="I1" s="106"/>
      <c r="J1" s="106"/>
      <c r="K1" s="106"/>
      <c r="L1" s="106"/>
      <c r="M1" s="106"/>
      <c r="O1" s="115">
        <f>Summary!C2</f>
        <v>0</v>
      </c>
      <c r="P1" s="106"/>
      <c r="Q1" s="106"/>
      <c r="R1" s="106"/>
      <c r="S1" s="106"/>
      <c r="T1" s="106"/>
    </row>
    <row r="2" spans="1:24" ht="30" customHeight="1" thickBot="1" x14ac:dyDescent="0.2">
      <c r="A2" s="117" t="s">
        <v>149</v>
      </c>
      <c r="B2" s="116" t="s">
        <v>150</v>
      </c>
      <c r="C2" s="117" t="s">
        <v>151</v>
      </c>
      <c r="D2" s="116" t="s">
        <v>152</v>
      </c>
      <c r="E2" s="117" t="s">
        <v>153</v>
      </c>
      <c r="F2" s="116" t="s">
        <v>154</v>
      </c>
      <c r="H2" s="117" t="s">
        <v>127</v>
      </c>
      <c r="I2" s="116" t="s">
        <v>131</v>
      </c>
      <c r="J2" s="117" t="s">
        <v>120</v>
      </c>
      <c r="K2" s="87" t="s">
        <v>155</v>
      </c>
      <c r="L2" s="116" t="s">
        <v>122</v>
      </c>
      <c r="M2" s="117" t="s">
        <v>102</v>
      </c>
      <c r="O2" s="116" t="s">
        <v>127</v>
      </c>
      <c r="P2" s="117" t="s">
        <v>131</v>
      </c>
      <c r="Q2" s="116" t="s">
        <v>120</v>
      </c>
      <c r="R2" s="87" t="s">
        <v>155</v>
      </c>
      <c r="S2" s="117" t="s">
        <v>122</v>
      </c>
      <c r="T2" s="116" t="s">
        <v>102</v>
      </c>
      <c r="V2" s="117" t="s">
        <v>156</v>
      </c>
      <c r="X2" s="117" t="s">
        <v>157</v>
      </c>
    </row>
    <row r="3" spans="1:24" ht="15.75" customHeight="1" thickBot="1" x14ac:dyDescent="0.2">
      <c r="A3" s="108"/>
      <c r="B3" s="108"/>
      <c r="C3" s="108"/>
      <c r="D3" s="108"/>
      <c r="E3" s="108"/>
      <c r="F3" s="108"/>
      <c r="H3" s="108"/>
      <c r="I3" s="108"/>
      <c r="J3" s="108"/>
      <c r="K3" s="13" t="s">
        <v>426</v>
      </c>
      <c r="L3" s="108"/>
      <c r="M3" s="108"/>
      <c r="O3" s="108"/>
      <c r="P3" s="108"/>
      <c r="Q3" s="108"/>
      <c r="R3" s="13" t="s">
        <v>426</v>
      </c>
      <c r="S3" s="108"/>
      <c r="T3" s="108"/>
      <c r="V3" s="108"/>
      <c r="X3" s="108"/>
    </row>
    <row r="4" spans="1:24" ht="48.75" hidden="1" customHeight="1" thickBot="1" x14ac:dyDescent="0.2">
      <c r="A4" s="15" t="s">
        <v>158</v>
      </c>
      <c r="B4" s="16" t="s">
        <v>159</v>
      </c>
      <c r="C4" s="15" t="s">
        <v>160</v>
      </c>
      <c r="D4" s="16" t="s">
        <v>161</v>
      </c>
      <c r="E4" s="15" t="s">
        <v>162</v>
      </c>
      <c r="F4" s="16" t="s">
        <v>163</v>
      </c>
      <c r="H4" s="15" t="s">
        <v>164</v>
      </c>
      <c r="I4" s="16" t="s">
        <v>165</v>
      </c>
      <c r="J4" s="15" t="s">
        <v>166</v>
      </c>
      <c r="K4" s="15"/>
      <c r="L4" s="16" t="s">
        <v>167</v>
      </c>
      <c r="M4" s="15" t="s">
        <v>168</v>
      </c>
      <c r="O4" s="16" t="s">
        <v>169</v>
      </c>
      <c r="P4" s="15" t="s">
        <v>170</v>
      </c>
      <c r="Q4" s="16" t="s">
        <v>171</v>
      </c>
      <c r="R4" s="16"/>
      <c r="S4" s="15" t="s">
        <v>172</v>
      </c>
      <c r="T4" s="16" t="s">
        <v>173</v>
      </c>
      <c r="V4" s="15" t="s">
        <v>174</v>
      </c>
    </row>
    <row r="5" spans="1:24" collapsed="1" x14ac:dyDescent="0.15">
      <c r="A5" s="17" t="s">
        <v>175</v>
      </c>
      <c r="B5" s="17" t="s">
        <v>38</v>
      </c>
      <c r="C5" s="17">
        <v>11997440</v>
      </c>
      <c r="D5" s="18">
        <v>10</v>
      </c>
      <c r="E5" s="19">
        <v>300</v>
      </c>
      <c r="F5" s="19">
        <v>30</v>
      </c>
      <c r="H5" s="20">
        <f t="shared" ref="H5:H12" si="0">IF(OR(ISBLANK(J5),ISBLANK(F5)),"·",J5*F5/E5/1000000)</f>
        <v>866.02612239999996</v>
      </c>
      <c r="I5" s="21">
        <f t="shared" ref="I5:I12" si="1">IF(ISBLANK(J5),"·",J5/C5)</f>
        <v>721.8424283847221</v>
      </c>
      <c r="J5" s="22">
        <v>8660261224</v>
      </c>
      <c r="K5" s="22">
        <v>137303608</v>
      </c>
      <c r="L5" s="23">
        <v>17407.025498999999</v>
      </c>
      <c r="M5" s="23">
        <v>365.20030400000002</v>
      </c>
      <c r="O5" s="20" t="str">
        <f t="shared" ref="O5:O12" si="2">IF(OR(ISBLANK(Q5),ISBLANK(F5)),"·",Q5*F5/E5/1000000)</f>
        <v>·</v>
      </c>
      <c r="P5" s="21" t="str">
        <f t="shared" ref="P5:P12" si="3">IF(ISBLANK(Q5),"·",Q5/C5)</f>
        <v>·</v>
      </c>
      <c r="Q5" s="22"/>
      <c r="R5" s="22"/>
      <c r="S5" s="23"/>
      <c r="T5" s="23"/>
      <c r="V5" s="24" t="e">
        <f t="shared" ref="V5:V16" si="4">P5/I5</f>
        <v>#VALUE!</v>
      </c>
      <c r="X5" s="24" t="str">
        <f t="shared" ref="X5:X12" si="5">IF(OR(ISBLANK(R5),ISBLANK(K5)),".",R5/K5-1)</f>
        <v>.</v>
      </c>
    </row>
    <row r="6" spans="1:24" ht="15.75" customHeight="1" collapsed="1" thickBot="1" x14ac:dyDescent="0.2">
      <c r="A6" s="25"/>
      <c r="B6" s="25" t="s">
        <v>46</v>
      </c>
      <c r="C6" s="25">
        <v>9000000</v>
      </c>
      <c r="D6" s="26">
        <v>10</v>
      </c>
      <c r="E6" s="27">
        <v>300</v>
      </c>
      <c r="F6" s="27">
        <v>30</v>
      </c>
      <c r="H6" s="28">
        <f t="shared" si="0"/>
        <v>627.44795520000002</v>
      </c>
      <c r="I6" s="29">
        <f t="shared" si="1"/>
        <v>697.16439466666668</v>
      </c>
      <c r="J6" s="30">
        <v>6274479552</v>
      </c>
      <c r="K6" s="30">
        <v>147064640</v>
      </c>
      <c r="L6" s="31">
        <v>15770.307782</v>
      </c>
      <c r="M6" s="31">
        <v>272.32990599999999</v>
      </c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15">
      <c r="A7" s="17" t="s">
        <v>176</v>
      </c>
      <c r="B7" s="17" t="s">
        <v>51</v>
      </c>
      <c r="C7" s="17">
        <v>11842002</v>
      </c>
      <c r="D7" s="18">
        <v>12</v>
      </c>
      <c r="E7" s="19">
        <v>300</v>
      </c>
      <c r="F7" s="19">
        <v>30</v>
      </c>
      <c r="H7" s="20">
        <f t="shared" si="0"/>
        <v>605.78871360000005</v>
      </c>
      <c r="I7" s="21">
        <f t="shared" si="1"/>
        <v>511.55937450441235</v>
      </c>
      <c r="J7" s="22">
        <v>6057887136</v>
      </c>
      <c r="K7" s="22">
        <v>159648824</v>
      </c>
      <c r="L7" s="23">
        <v>14227.367485000001</v>
      </c>
      <c r="M7" s="23">
        <v>262.34233399999999</v>
      </c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2">
      <c r="A8" s="25"/>
      <c r="B8" s="25" t="s">
        <v>56</v>
      </c>
      <c r="C8" s="25">
        <v>11812090</v>
      </c>
      <c r="D8" s="26">
        <v>12</v>
      </c>
      <c r="E8" s="27">
        <v>300</v>
      </c>
      <c r="F8" s="27">
        <v>50</v>
      </c>
      <c r="H8" s="28">
        <f t="shared" si="0"/>
        <v>994.74760133333336</v>
      </c>
      <c r="I8" s="29">
        <f t="shared" si="1"/>
        <v>505.2861608741552</v>
      </c>
      <c r="J8" s="30">
        <v>5968485608</v>
      </c>
      <c r="K8" s="30">
        <v>156524184</v>
      </c>
      <c r="L8" s="31">
        <v>14589.855872</v>
      </c>
      <c r="M8" s="31">
        <v>263.11481099999997</v>
      </c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15">
      <c r="A9" s="17" t="s">
        <v>177</v>
      </c>
      <c r="B9" s="17" t="s">
        <v>61</v>
      </c>
      <c r="C9" s="17">
        <v>12000000</v>
      </c>
      <c r="D9" s="18">
        <v>12</v>
      </c>
      <c r="E9" s="19">
        <v>300</v>
      </c>
      <c r="F9" s="19">
        <v>30</v>
      </c>
      <c r="H9" s="20">
        <f t="shared" si="0"/>
        <v>2915.285116</v>
      </c>
      <c r="I9" s="21">
        <f t="shared" si="1"/>
        <v>2429.4042633333333</v>
      </c>
      <c r="J9" s="22">
        <v>29152851160</v>
      </c>
      <c r="K9" s="22">
        <v>192910728</v>
      </c>
      <c r="L9" s="23">
        <v>55105.603676999999</v>
      </c>
      <c r="M9" s="23">
        <v>991.18009800000004</v>
      </c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15">
      <c r="A10" s="33"/>
      <c r="B10" s="33" t="s">
        <v>66</v>
      </c>
      <c r="C10" s="33">
        <v>5997654</v>
      </c>
      <c r="D10" s="34">
        <v>12</v>
      </c>
      <c r="E10" s="35">
        <v>300</v>
      </c>
      <c r="F10" s="35">
        <v>30</v>
      </c>
      <c r="H10" s="36">
        <f t="shared" si="0"/>
        <v>1241.2162512</v>
      </c>
      <c r="I10" s="37">
        <f t="shared" si="1"/>
        <v>2069.502927644709</v>
      </c>
      <c r="J10" s="38">
        <v>12412162512</v>
      </c>
      <c r="K10" s="38">
        <v>241414560</v>
      </c>
      <c r="L10" s="39">
        <v>31879.410183</v>
      </c>
      <c r="M10" s="39">
        <v>535.10691199999997</v>
      </c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15">
      <c r="A11" s="17"/>
      <c r="B11" s="17" t="s">
        <v>32</v>
      </c>
      <c r="C11" s="17">
        <v>9000000</v>
      </c>
      <c r="D11" s="18">
        <v>12</v>
      </c>
      <c r="E11" s="19">
        <v>300</v>
      </c>
      <c r="F11" s="19">
        <v>30</v>
      </c>
      <c r="H11" s="20">
        <f t="shared" si="0"/>
        <v>3631.6200248</v>
      </c>
      <c r="I11" s="21">
        <f t="shared" si="1"/>
        <v>4035.133360888889</v>
      </c>
      <c r="J11" s="22">
        <v>36316200248</v>
      </c>
      <c r="K11" s="22">
        <v>150519432</v>
      </c>
      <c r="L11" s="23">
        <v>52269.201084</v>
      </c>
      <c r="M11" s="23">
        <v>1037.048996</v>
      </c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2">
      <c r="A12" s="25"/>
      <c r="B12" s="25" t="s">
        <v>75</v>
      </c>
      <c r="C12" s="25">
        <v>9000000</v>
      </c>
      <c r="D12" s="26">
        <v>12</v>
      </c>
      <c r="E12" s="27">
        <v>300</v>
      </c>
      <c r="F12" s="27">
        <v>30</v>
      </c>
      <c r="H12" s="28">
        <f t="shared" si="0"/>
        <v>2748.2061031999997</v>
      </c>
      <c r="I12" s="29">
        <f t="shared" si="1"/>
        <v>3053.5623368888887</v>
      </c>
      <c r="J12" s="30">
        <v>27482061032</v>
      </c>
      <c r="K12" s="30">
        <v>140657848</v>
      </c>
      <c r="L12" s="31">
        <v>50097.441403999997</v>
      </c>
      <c r="M12" s="31">
        <v>955.23563899999999</v>
      </c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x14ac:dyDescent="0.15">
      <c r="B13" s="41" t="s">
        <v>7</v>
      </c>
      <c r="I13" s="42">
        <f>AVERAGE(I5:I6)</f>
        <v>709.50341152569445</v>
      </c>
      <c r="P13" s="42" t="e">
        <f>AVERAGE(P5:P6)</f>
        <v>#DIV/0!</v>
      </c>
      <c r="V13" s="5" t="e">
        <f t="shared" si="4"/>
        <v>#DIV/0!</v>
      </c>
      <c r="X13" s="42" t="e">
        <f>AVERAGE(X5:X6)</f>
        <v>#DIV/0!</v>
      </c>
    </row>
    <row r="14" spans="1:24" x14ac:dyDescent="0.15">
      <c r="B14" s="41" t="s">
        <v>8</v>
      </c>
      <c r="I14" s="42">
        <f>AVERAGE(I7:I8)</f>
        <v>508.42276768928377</v>
      </c>
      <c r="P14" s="42" t="e">
        <f>AVERAGE(P7:P8)</f>
        <v>#DIV/0!</v>
      </c>
      <c r="V14" s="5" t="e">
        <f t="shared" si="4"/>
        <v>#DIV/0!</v>
      </c>
      <c r="X14" s="42" t="e">
        <f>AVERAGE(X7:X8)</f>
        <v>#DIV/0!</v>
      </c>
    </row>
    <row r="15" spans="1:24" x14ac:dyDescent="0.15">
      <c r="B15" s="41" t="s">
        <v>9</v>
      </c>
      <c r="I15" s="42">
        <f>AVERAGE(I9:I12)</f>
        <v>2896.9007221889551</v>
      </c>
      <c r="P15" s="42" t="e">
        <f>AVERAGE(P9:P12)</f>
        <v>#DIV/0!</v>
      </c>
      <c r="V15" s="5" t="e">
        <f t="shared" si="4"/>
        <v>#DIV/0!</v>
      </c>
      <c r="X15" s="42" t="e">
        <f>AVERAGE(X9:X12)</f>
        <v>#DIV/0!</v>
      </c>
    </row>
    <row r="16" spans="1:24" x14ac:dyDescent="0.15">
      <c r="B16" s="41" t="s">
        <v>10</v>
      </c>
      <c r="I16" s="42">
        <f>AVERAGE(I5:I12)</f>
        <v>1752.9319058982221</v>
      </c>
      <c r="P16" s="42" t="e">
        <f>AVERAGE(P5:P12)</f>
        <v>#DIV/0!</v>
      </c>
      <c r="V16" s="5" t="e">
        <f t="shared" si="4"/>
        <v>#DIV/0!</v>
      </c>
      <c r="X16" s="42" t="e">
        <f>AVERAGE(X5:X12)</f>
        <v>#DIV/0!</v>
      </c>
    </row>
    <row r="17" spans="1:20" x14ac:dyDescent="0.15">
      <c r="A17" s="41" t="s">
        <v>178</v>
      </c>
      <c r="B17" s="41" t="s">
        <v>179</v>
      </c>
      <c r="L17" s="43">
        <f>SUM(L5:L6,L7:L8,L9:L12)</f>
        <v>251346.212986</v>
      </c>
      <c r="M17" s="43">
        <f>SUM(M5:M6,M7:M8,M9:M12)</f>
        <v>4681.5590000000002</v>
      </c>
      <c r="S17" s="43">
        <f>SUM(S5:S6,S7:S8,S9:S12)</f>
        <v>0</v>
      </c>
      <c r="T17" s="43">
        <f>SUM(T5:T6,T7:T8,T9:T12)</f>
        <v>0</v>
      </c>
    </row>
    <row r="18" spans="1:20" x14ac:dyDescent="0.15">
      <c r="B18" s="41" t="s">
        <v>180</v>
      </c>
      <c r="S18" s="8">
        <f>S17/L17</f>
        <v>0</v>
      </c>
      <c r="T18" s="8">
        <f>T17/M17</f>
        <v>0</v>
      </c>
    </row>
    <row r="20" spans="1:20" x14ac:dyDescent="0.15">
      <c r="Q20" s="98">
        <f>Q5-J5</f>
        <v>-8660261224</v>
      </c>
      <c r="R20" s="98">
        <f>R5-K5</f>
        <v>-137303608</v>
      </c>
    </row>
    <row r="21" spans="1:20" x14ac:dyDescent="0.15">
      <c r="Q21" s="98">
        <f t="shared" ref="Q21:R21" si="6">Q6-J6</f>
        <v>-6274479552</v>
      </c>
      <c r="R21" s="98">
        <f t="shared" si="6"/>
        <v>-147064640</v>
      </c>
    </row>
    <row r="22" spans="1:20" x14ac:dyDescent="0.15">
      <c r="Q22" s="98">
        <f t="shared" ref="Q22:R22" si="7">Q7-J7</f>
        <v>-6057887136</v>
      </c>
      <c r="R22" s="98">
        <f t="shared" si="7"/>
        <v>-159648824</v>
      </c>
    </row>
    <row r="23" spans="1:20" x14ac:dyDescent="0.15">
      <c r="Q23" s="98">
        <f t="shared" ref="Q23:R23" si="8">Q8-J8</f>
        <v>-5968485608</v>
      </c>
      <c r="R23" s="98">
        <f t="shared" si="8"/>
        <v>-156524184</v>
      </c>
    </row>
    <row r="24" spans="1:20" x14ac:dyDescent="0.15">
      <c r="Q24" s="98">
        <f t="shared" ref="Q24:R24" si="9">Q9-J9</f>
        <v>-29152851160</v>
      </c>
      <c r="R24" s="98">
        <f t="shared" si="9"/>
        <v>-192910728</v>
      </c>
    </row>
    <row r="25" spans="1:20" x14ac:dyDescent="0.15">
      <c r="Q25" s="98">
        <f t="shared" ref="Q25:R25" si="10">Q10-J10</f>
        <v>-12412162512</v>
      </c>
      <c r="R25" s="98">
        <f t="shared" si="10"/>
        <v>-241414560</v>
      </c>
    </row>
    <row r="26" spans="1:20" x14ac:dyDescent="0.15">
      <c r="Q26" s="98">
        <f t="shared" ref="Q26:R26" si="11">Q11-J11</f>
        <v>-36316200248</v>
      </c>
      <c r="R26" s="98">
        <f t="shared" si="11"/>
        <v>-150519432</v>
      </c>
    </row>
    <row r="27" spans="1:20" x14ac:dyDescent="0.15">
      <c r="Q27" s="98">
        <f t="shared" ref="Q27:R27" si="12">Q12-J12</f>
        <v>-27482061032</v>
      </c>
      <c r="R27" s="98">
        <f t="shared" si="12"/>
        <v>-140657848</v>
      </c>
    </row>
    <row r="28" spans="1:20" x14ac:dyDescent="0.15">
      <c r="Q28" s="98"/>
      <c r="R28" s="98"/>
    </row>
  </sheetData>
  <mergeCells count="21"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  <mergeCell ref="D2:D3"/>
    <mergeCell ref="E2:E3"/>
    <mergeCell ref="T2:T3"/>
    <mergeCell ref="X2:X3"/>
    <mergeCell ref="V2:V3"/>
  </mergeCells>
  <phoneticPr fontId="2" type="noConversion"/>
  <conditionalFormatting sqref="V5:V16">
    <cfRule type="cellIs" dxfId="153" priority="5" operator="greaterThanOrEqual">
      <formula>1.03</formula>
    </cfRule>
    <cfRule type="cellIs" dxfId="152" priority="6" operator="lessThanOrEqual">
      <formula>0.97</formula>
    </cfRule>
  </conditionalFormatting>
  <conditionalFormatting sqref="X5:X12">
    <cfRule type="cellIs" dxfId="151" priority="3" operator="greaterThanOrEqual">
      <formula>0.1%</formula>
    </cfRule>
    <cfRule type="cellIs" dxfId="150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5"/>
  <sheetViews>
    <sheetView topLeftCell="A115" workbookViewId="0">
      <selection activeCell="B147" sqref="B147"/>
    </sheetView>
  </sheetViews>
  <sheetFormatPr defaultColWidth="9.125" defaultRowHeight="13.5" x14ac:dyDescent="0.15"/>
  <cols>
    <col min="1" max="1" width="41.75" bestFit="1" customWidth="1"/>
  </cols>
  <sheetData>
    <row r="1" spans="1:2" x14ac:dyDescent="0.15">
      <c r="A1" t="s">
        <v>181</v>
      </c>
      <c r="B1">
        <v>1</v>
      </c>
    </row>
    <row r="2" spans="1:2" x14ac:dyDescent="0.15">
      <c r="A2" t="s">
        <v>182</v>
      </c>
      <c r="B2">
        <v>2</v>
      </c>
    </row>
    <row r="3" spans="1:2" x14ac:dyDescent="0.15">
      <c r="A3" t="s">
        <v>183</v>
      </c>
      <c r="B3">
        <v>3</v>
      </c>
    </row>
    <row r="4" spans="1:2" x14ac:dyDescent="0.15">
      <c r="A4" t="s">
        <v>184</v>
      </c>
      <c r="B4">
        <v>4</v>
      </c>
    </row>
    <row r="5" spans="1:2" x14ac:dyDescent="0.15">
      <c r="A5" t="s">
        <v>185</v>
      </c>
      <c r="B5">
        <v>5</v>
      </c>
    </row>
    <row r="6" spans="1:2" x14ac:dyDescent="0.15">
      <c r="A6" t="s">
        <v>186</v>
      </c>
      <c r="B6">
        <v>6</v>
      </c>
    </row>
    <row r="7" spans="1:2" x14ac:dyDescent="0.15">
      <c r="A7" t="s">
        <v>187</v>
      </c>
      <c r="B7">
        <v>8</v>
      </c>
    </row>
    <row r="8" spans="1:2" x14ac:dyDescent="0.15">
      <c r="A8" t="s">
        <v>188</v>
      </c>
      <c r="B8">
        <v>9</v>
      </c>
    </row>
    <row r="9" spans="1:2" x14ac:dyDescent="0.15">
      <c r="A9" t="s">
        <v>189</v>
      </c>
      <c r="B9">
        <v>10</v>
      </c>
    </row>
    <row r="10" spans="1:2" x14ac:dyDescent="0.15">
      <c r="A10" t="s">
        <v>190</v>
      </c>
      <c r="B10">
        <v>11</v>
      </c>
    </row>
    <row r="11" spans="1:2" x14ac:dyDescent="0.15">
      <c r="A11" t="s">
        <v>191</v>
      </c>
      <c r="B11">
        <v>12</v>
      </c>
    </row>
    <row r="12" spans="1:2" x14ac:dyDescent="0.15">
      <c r="A12" t="s">
        <v>192</v>
      </c>
      <c r="B12">
        <v>14</v>
      </c>
    </row>
    <row r="13" spans="1:2" x14ac:dyDescent="0.15">
      <c r="A13" t="s">
        <v>193</v>
      </c>
      <c r="B13">
        <v>15</v>
      </c>
    </row>
    <row r="14" spans="1:2" x14ac:dyDescent="0.15">
      <c r="A14" t="s">
        <v>194</v>
      </c>
      <c r="B14">
        <v>16</v>
      </c>
    </row>
    <row r="15" spans="1:2" x14ac:dyDescent="0.15">
      <c r="A15" t="s">
        <v>195</v>
      </c>
      <c r="B15">
        <v>17</v>
      </c>
    </row>
    <row r="16" spans="1:2" x14ac:dyDescent="0.15">
      <c r="A16" t="s">
        <v>196</v>
      </c>
      <c r="B16">
        <v>18</v>
      </c>
    </row>
    <row r="17" spans="1:2" x14ac:dyDescent="0.15">
      <c r="A17" t="s">
        <v>197</v>
      </c>
      <c r="B17">
        <v>20</v>
      </c>
    </row>
    <row r="18" spans="1:2" x14ac:dyDescent="0.15">
      <c r="A18" t="s">
        <v>198</v>
      </c>
      <c r="B18" t="s">
        <v>199</v>
      </c>
    </row>
    <row r="19" spans="1:2" x14ac:dyDescent="0.15">
      <c r="A19" t="s">
        <v>200</v>
      </c>
      <c r="B19" t="s">
        <v>201</v>
      </c>
    </row>
    <row r="20" spans="1:2" x14ac:dyDescent="0.15">
      <c r="A20" t="s">
        <v>202</v>
      </c>
      <c r="B20" t="s">
        <v>203</v>
      </c>
    </row>
    <row r="21" spans="1:2" x14ac:dyDescent="0.15">
      <c r="A21" t="s">
        <v>204</v>
      </c>
      <c r="B21" t="s">
        <v>205</v>
      </c>
    </row>
    <row r="22" spans="1:2" x14ac:dyDescent="0.15">
      <c r="A22" t="s">
        <v>206</v>
      </c>
      <c r="B22" t="s">
        <v>207</v>
      </c>
    </row>
    <row r="23" spans="1:2" x14ac:dyDescent="0.15">
      <c r="A23" t="s">
        <v>208</v>
      </c>
      <c r="B23" t="s">
        <v>209</v>
      </c>
    </row>
    <row r="24" spans="1:2" x14ac:dyDescent="0.15">
      <c r="A24" t="s">
        <v>210</v>
      </c>
      <c r="B24" t="s">
        <v>211</v>
      </c>
    </row>
    <row r="25" spans="1:2" x14ac:dyDescent="0.15">
      <c r="A25" t="s">
        <v>212</v>
      </c>
      <c r="B25" t="s">
        <v>213</v>
      </c>
    </row>
    <row r="26" spans="1:2" x14ac:dyDescent="0.15">
      <c r="A26" t="s">
        <v>214</v>
      </c>
      <c r="B26" t="s">
        <v>215</v>
      </c>
    </row>
    <row r="27" spans="1:2" x14ac:dyDescent="0.15">
      <c r="A27" t="s">
        <v>216</v>
      </c>
      <c r="B27" t="s">
        <v>217</v>
      </c>
    </row>
    <row r="28" spans="1:2" x14ac:dyDescent="0.15">
      <c r="A28" t="s">
        <v>218</v>
      </c>
      <c r="B28">
        <v>1</v>
      </c>
    </row>
    <row r="29" spans="1:2" x14ac:dyDescent="0.15">
      <c r="A29" t="s">
        <v>219</v>
      </c>
      <c r="B29">
        <v>2</v>
      </c>
    </row>
    <row r="30" spans="1:2" x14ac:dyDescent="0.15">
      <c r="A30" t="s">
        <v>220</v>
      </c>
      <c r="B30">
        <v>3</v>
      </c>
    </row>
    <row r="31" spans="1:2" x14ac:dyDescent="0.15">
      <c r="A31" t="s">
        <v>221</v>
      </c>
      <c r="B31">
        <v>4</v>
      </c>
    </row>
    <row r="32" spans="1:2" x14ac:dyDescent="0.15">
      <c r="A32" t="s">
        <v>222</v>
      </c>
      <c r="B32">
        <v>5</v>
      </c>
    </row>
    <row r="33" spans="1:2" x14ac:dyDescent="0.15">
      <c r="A33" t="s">
        <v>223</v>
      </c>
      <c r="B33">
        <v>6</v>
      </c>
    </row>
    <row r="34" spans="1:2" x14ac:dyDescent="0.15">
      <c r="A34" t="s">
        <v>224</v>
      </c>
      <c r="B34">
        <v>7</v>
      </c>
    </row>
    <row r="35" spans="1:2" x14ac:dyDescent="0.15">
      <c r="A35" t="s">
        <v>225</v>
      </c>
      <c r="B35">
        <v>8</v>
      </c>
    </row>
    <row r="36" spans="1:2" x14ac:dyDescent="0.15">
      <c r="A36" t="s">
        <v>226</v>
      </c>
      <c r="B36">
        <v>10</v>
      </c>
    </row>
    <row r="37" spans="1:2" x14ac:dyDescent="0.15">
      <c r="A37" t="s">
        <v>227</v>
      </c>
      <c r="B37">
        <v>11</v>
      </c>
    </row>
    <row r="38" spans="1:2" x14ac:dyDescent="0.15">
      <c r="A38" t="s">
        <v>410</v>
      </c>
      <c r="B38">
        <v>13</v>
      </c>
    </row>
    <row r="39" spans="1:2" x14ac:dyDescent="0.15">
      <c r="A39" t="s">
        <v>228</v>
      </c>
      <c r="B39">
        <v>14</v>
      </c>
    </row>
    <row r="40" spans="1:2" x14ac:dyDescent="0.15">
      <c r="A40" t="s">
        <v>229</v>
      </c>
      <c r="B40">
        <v>15</v>
      </c>
    </row>
    <row r="41" spans="1:2" x14ac:dyDescent="0.15">
      <c r="A41" t="s">
        <v>409</v>
      </c>
      <c r="B41">
        <v>16</v>
      </c>
    </row>
    <row r="42" spans="1:2" x14ac:dyDescent="0.15">
      <c r="A42" t="s">
        <v>408</v>
      </c>
      <c r="B42">
        <v>17</v>
      </c>
    </row>
    <row r="43" spans="1:2" x14ac:dyDescent="0.15">
      <c r="A43" t="s">
        <v>230</v>
      </c>
      <c r="B43">
        <v>18</v>
      </c>
    </row>
    <row r="44" spans="1:2" x14ac:dyDescent="0.15">
      <c r="A44" t="s">
        <v>231</v>
      </c>
      <c r="B44">
        <v>19</v>
      </c>
    </row>
    <row r="45" spans="1:2" x14ac:dyDescent="0.15">
      <c r="A45" t="s">
        <v>373</v>
      </c>
      <c r="B45">
        <v>20</v>
      </c>
    </row>
    <row r="46" spans="1:2" x14ac:dyDescent="0.15">
      <c r="A46" t="s">
        <v>232</v>
      </c>
      <c r="B46">
        <v>21</v>
      </c>
    </row>
    <row r="47" spans="1:2" x14ac:dyDescent="0.15">
      <c r="A47" t="s">
        <v>233</v>
      </c>
      <c r="B47">
        <v>22</v>
      </c>
    </row>
    <row r="48" spans="1:2" x14ac:dyDescent="0.15">
      <c r="A48" t="s">
        <v>234</v>
      </c>
      <c r="B48">
        <v>23</v>
      </c>
    </row>
    <row r="49" spans="1:2" x14ac:dyDescent="0.15">
      <c r="A49" t="s">
        <v>235</v>
      </c>
      <c r="B49">
        <v>24</v>
      </c>
    </row>
    <row r="50" spans="1:2" x14ac:dyDescent="0.15">
      <c r="A50" t="s">
        <v>236</v>
      </c>
      <c r="B50">
        <v>25</v>
      </c>
    </row>
    <row r="51" spans="1:2" x14ac:dyDescent="0.15">
      <c r="A51" t="s">
        <v>237</v>
      </c>
      <c r="B51">
        <v>26</v>
      </c>
    </row>
    <row r="52" spans="1:2" x14ac:dyDescent="0.15">
      <c r="A52" t="s">
        <v>238</v>
      </c>
      <c r="B52">
        <v>27</v>
      </c>
    </row>
    <row r="53" spans="1:2" x14ac:dyDescent="0.15">
      <c r="A53" t="s">
        <v>239</v>
      </c>
      <c r="B53">
        <v>28</v>
      </c>
    </row>
    <row r="54" spans="1:2" x14ac:dyDescent="0.15">
      <c r="A54" t="s">
        <v>240</v>
      </c>
      <c r="B54">
        <v>29</v>
      </c>
    </row>
    <row r="55" spans="1:2" x14ac:dyDescent="0.15">
      <c r="A55" t="s">
        <v>241</v>
      </c>
      <c r="B55">
        <v>31</v>
      </c>
    </row>
    <row r="56" spans="1:2" x14ac:dyDescent="0.15">
      <c r="A56" t="s">
        <v>242</v>
      </c>
      <c r="B56">
        <v>32</v>
      </c>
    </row>
    <row r="57" spans="1:2" x14ac:dyDescent="0.15">
      <c r="A57" t="s">
        <v>404</v>
      </c>
      <c r="B57">
        <v>34</v>
      </c>
    </row>
    <row r="58" spans="1:2" x14ac:dyDescent="0.15">
      <c r="A58" t="s">
        <v>243</v>
      </c>
      <c r="B58">
        <v>35</v>
      </c>
    </row>
    <row r="59" spans="1:2" x14ac:dyDescent="0.15">
      <c r="A59" t="s">
        <v>244</v>
      </c>
      <c r="B59">
        <v>36</v>
      </c>
    </row>
    <row r="60" spans="1:2" x14ac:dyDescent="0.15">
      <c r="A60" t="s">
        <v>405</v>
      </c>
      <c r="B60">
        <v>37</v>
      </c>
    </row>
    <row r="61" spans="1:2" x14ac:dyDescent="0.15">
      <c r="A61" t="s">
        <v>406</v>
      </c>
      <c r="B61">
        <v>38</v>
      </c>
    </row>
    <row r="62" spans="1:2" x14ac:dyDescent="0.15">
      <c r="A62" t="s">
        <v>245</v>
      </c>
      <c r="B62">
        <v>39</v>
      </c>
    </row>
    <row r="63" spans="1:2" x14ac:dyDescent="0.15">
      <c r="A63" t="s">
        <v>246</v>
      </c>
      <c r="B63">
        <v>40</v>
      </c>
    </row>
    <row r="64" spans="1:2" x14ac:dyDescent="0.15">
      <c r="A64" t="s">
        <v>407</v>
      </c>
      <c r="B64">
        <v>41</v>
      </c>
    </row>
    <row r="65" spans="1:2" x14ac:dyDescent="0.15">
      <c r="A65" t="s">
        <v>247</v>
      </c>
      <c r="B65">
        <v>42</v>
      </c>
    </row>
    <row r="66" spans="1:2" x14ac:dyDescent="0.15">
      <c r="A66" t="s">
        <v>248</v>
      </c>
      <c r="B66">
        <v>43</v>
      </c>
    </row>
    <row r="67" spans="1:2" x14ac:dyDescent="0.15">
      <c r="A67" t="s">
        <v>249</v>
      </c>
      <c r="B67">
        <v>44</v>
      </c>
    </row>
    <row r="68" spans="1:2" x14ac:dyDescent="0.15">
      <c r="A68" t="s">
        <v>250</v>
      </c>
      <c r="B68">
        <v>45</v>
      </c>
    </row>
    <row r="69" spans="1:2" x14ac:dyDescent="0.15">
      <c r="A69" t="s">
        <v>251</v>
      </c>
      <c r="B69">
        <v>46</v>
      </c>
    </row>
    <row r="70" spans="1:2" x14ac:dyDescent="0.15">
      <c r="A70" t="s">
        <v>252</v>
      </c>
      <c r="B70">
        <v>47</v>
      </c>
    </row>
    <row r="71" spans="1:2" x14ac:dyDescent="0.15">
      <c r="A71" t="s">
        <v>253</v>
      </c>
      <c r="B71">
        <v>48</v>
      </c>
    </row>
    <row r="72" spans="1:2" x14ac:dyDescent="0.15">
      <c r="A72" t="s">
        <v>254</v>
      </c>
      <c r="B72">
        <v>49</v>
      </c>
    </row>
    <row r="73" spans="1:2" x14ac:dyDescent="0.15">
      <c r="A73" t="s">
        <v>255</v>
      </c>
      <c r="B73">
        <v>50</v>
      </c>
    </row>
    <row r="74" spans="1:2" x14ac:dyDescent="0.15">
      <c r="A74" t="s">
        <v>256</v>
      </c>
      <c r="B74">
        <v>52</v>
      </c>
    </row>
    <row r="75" spans="1:2" x14ac:dyDescent="0.15">
      <c r="A75" t="s">
        <v>257</v>
      </c>
      <c r="B75">
        <v>53</v>
      </c>
    </row>
    <row r="76" spans="1:2" x14ac:dyDescent="0.15">
      <c r="A76" t="s">
        <v>258</v>
      </c>
      <c r="B76">
        <v>54</v>
      </c>
    </row>
    <row r="77" spans="1:2" x14ac:dyDescent="0.15">
      <c r="A77" t="s">
        <v>259</v>
      </c>
      <c r="B77">
        <v>55</v>
      </c>
    </row>
    <row r="78" spans="1:2" x14ac:dyDescent="0.15">
      <c r="A78" t="s">
        <v>260</v>
      </c>
      <c r="B78">
        <v>56</v>
      </c>
    </row>
    <row r="79" spans="1:2" x14ac:dyDescent="0.15">
      <c r="A79" t="s">
        <v>261</v>
      </c>
      <c r="B79">
        <v>57</v>
      </c>
    </row>
    <row r="80" spans="1:2" x14ac:dyDescent="0.15">
      <c r="A80" t="s">
        <v>262</v>
      </c>
      <c r="B80">
        <v>58</v>
      </c>
    </row>
    <row r="81" spans="1:19" x14ac:dyDescent="0.15">
      <c r="A81" t="s">
        <v>263</v>
      </c>
      <c r="B81" t="s">
        <v>264</v>
      </c>
    </row>
    <row r="82" spans="1:19" x14ac:dyDescent="0.15">
      <c r="A82" t="s">
        <v>265</v>
      </c>
      <c r="B82" s="97" t="s">
        <v>427</v>
      </c>
    </row>
    <row r="83" spans="1:19" x14ac:dyDescent="0.15">
      <c r="A83" t="s">
        <v>266</v>
      </c>
      <c r="B83" s="97" t="s">
        <v>384</v>
      </c>
    </row>
    <row r="84" spans="1:19" x14ac:dyDescent="0.15">
      <c r="A84" t="s">
        <v>267</v>
      </c>
      <c r="B84" s="97" t="s">
        <v>385</v>
      </c>
    </row>
    <row r="85" spans="1:19" x14ac:dyDescent="0.15">
      <c r="A85" t="s">
        <v>268</v>
      </c>
      <c r="B85" s="97" t="s">
        <v>386</v>
      </c>
    </row>
    <row r="86" spans="1:19" x14ac:dyDescent="0.15">
      <c r="A86" t="s">
        <v>269</v>
      </c>
      <c r="B86" s="97" t="s">
        <v>387</v>
      </c>
    </row>
    <row r="87" spans="1:19" x14ac:dyDescent="0.15">
      <c r="A87" t="s">
        <v>270</v>
      </c>
      <c r="B87" s="97" t="s">
        <v>388</v>
      </c>
    </row>
    <row r="88" spans="1:19" x14ac:dyDescent="0.15">
      <c r="A88" t="s">
        <v>271</v>
      </c>
      <c r="B88" s="97" t="s">
        <v>372</v>
      </c>
    </row>
    <row r="89" spans="1:19" x14ac:dyDescent="0.15">
      <c r="A89" t="s">
        <v>272</v>
      </c>
      <c r="B89" s="97" t="s">
        <v>389</v>
      </c>
    </row>
    <row r="90" spans="1:19" x14ac:dyDescent="0.15">
      <c r="A90" t="s">
        <v>273</v>
      </c>
      <c r="B90" s="97" t="s">
        <v>390</v>
      </c>
    </row>
    <row r="91" spans="1:19" x14ac:dyDescent="0.15">
      <c r="A91" t="s">
        <v>274</v>
      </c>
      <c r="B91" t="s">
        <v>57</v>
      </c>
      <c r="C91" t="s">
        <v>101</v>
      </c>
      <c r="D91" t="s">
        <v>52</v>
      </c>
      <c r="E91" t="s">
        <v>130</v>
      </c>
      <c r="F91" t="s">
        <v>42</v>
      </c>
      <c r="G91" t="s">
        <v>47</v>
      </c>
      <c r="H91" t="s">
        <v>71</v>
      </c>
      <c r="I91" t="s">
        <v>40</v>
      </c>
      <c r="J91" t="s">
        <v>67</v>
      </c>
      <c r="K91" t="s">
        <v>119</v>
      </c>
      <c r="L91" t="s">
        <v>62</v>
      </c>
      <c r="M91" t="s">
        <v>80</v>
      </c>
      <c r="N91" t="s">
        <v>121</v>
      </c>
      <c r="O91" t="s">
        <v>146</v>
      </c>
      <c r="P91" t="s">
        <v>395</v>
      </c>
      <c r="Q91" t="s">
        <v>396</v>
      </c>
      <c r="R91" t="s">
        <v>371</v>
      </c>
      <c r="S91" t="s">
        <v>397</v>
      </c>
    </row>
    <row r="92" spans="1:19" x14ac:dyDescent="0.15">
      <c r="A92" t="s">
        <v>275</v>
      </c>
      <c r="B92">
        <v>1</v>
      </c>
    </row>
    <row r="93" spans="1:19" x14ac:dyDescent="0.15">
      <c r="A93" t="s">
        <v>276</v>
      </c>
      <c r="B93">
        <v>2</v>
      </c>
    </row>
    <row r="94" spans="1:19" x14ac:dyDescent="0.15">
      <c r="A94" t="s">
        <v>277</v>
      </c>
      <c r="B94">
        <v>3</v>
      </c>
    </row>
    <row r="95" spans="1:19" x14ac:dyDescent="0.15">
      <c r="A95" t="s">
        <v>278</v>
      </c>
      <c r="B95">
        <v>4</v>
      </c>
    </row>
    <row r="96" spans="1:19" x14ac:dyDescent="0.15">
      <c r="A96" t="s">
        <v>279</v>
      </c>
      <c r="B96">
        <v>5</v>
      </c>
    </row>
    <row r="97" spans="1:2" x14ac:dyDescent="0.15">
      <c r="A97" t="s">
        <v>280</v>
      </c>
      <c r="B97">
        <v>6</v>
      </c>
    </row>
    <row r="98" spans="1:2" x14ac:dyDescent="0.15">
      <c r="A98" t="s">
        <v>281</v>
      </c>
      <c r="B98">
        <v>7</v>
      </c>
    </row>
    <row r="99" spans="1:2" x14ac:dyDescent="0.15">
      <c r="A99" t="s">
        <v>282</v>
      </c>
      <c r="B99">
        <v>8</v>
      </c>
    </row>
    <row r="100" spans="1:2" x14ac:dyDescent="0.15">
      <c r="A100" t="s">
        <v>283</v>
      </c>
      <c r="B100">
        <v>10</v>
      </c>
    </row>
    <row r="101" spans="1:2" x14ac:dyDescent="0.15">
      <c r="A101" t="s">
        <v>284</v>
      </c>
      <c r="B101">
        <v>11</v>
      </c>
    </row>
    <row r="102" spans="1:2" x14ac:dyDescent="0.15">
      <c r="A102" t="s">
        <v>398</v>
      </c>
      <c r="B102">
        <v>13</v>
      </c>
    </row>
    <row r="103" spans="1:2" x14ac:dyDescent="0.15">
      <c r="A103" t="s">
        <v>285</v>
      </c>
      <c r="B103">
        <v>14</v>
      </c>
    </row>
    <row r="104" spans="1:2" x14ac:dyDescent="0.15">
      <c r="A104" t="s">
        <v>286</v>
      </c>
      <c r="B104">
        <v>15</v>
      </c>
    </row>
    <row r="105" spans="1:2" x14ac:dyDescent="0.15">
      <c r="A105" t="s">
        <v>399</v>
      </c>
      <c r="B105">
        <v>16</v>
      </c>
    </row>
    <row r="106" spans="1:2" x14ac:dyDescent="0.15">
      <c r="A106" t="s">
        <v>400</v>
      </c>
      <c r="B106">
        <v>17</v>
      </c>
    </row>
    <row r="107" spans="1:2" x14ac:dyDescent="0.15">
      <c r="A107" t="s">
        <v>287</v>
      </c>
      <c r="B107">
        <v>18</v>
      </c>
    </row>
    <row r="108" spans="1:2" x14ac:dyDescent="0.15">
      <c r="A108" t="s">
        <v>288</v>
      </c>
      <c r="B108">
        <v>19</v>
      </c>
    </row>
    <row r="109" spans="1:2" x14ac:dyDescent="0.15">
      <c r="A109" t="s">
        <v>369</v>
      </c>
      <c r="B109">
        <v>20</v>
      </c>
    </row>
    <row r="110" spans="1:2" x14ac:dyDescent="0.15">
      <c r="A110" t="s">
        <v>289</v>
      </c>
      <c r="B110">
        <v>21</v>
      </c>
    </row>
    <row r="111" spans="1:2" x14ac:dyDescent="0.15">
      <c r="A111" t="s">
        <v>290</v>
      </c>
      <c r="B111">
        <v>22</v>
      </c>
    </row>
    <row r="112" spans="1:2" x14ac:dyDescent="0.15">
      <c r="A112" t="s">
        <v>291</v>
      </c>
      <c r="B112">
        <v>23</v>
      </c>
    </row>
    <row r="113" spans="1:2" x14ac:dyDescent="0.15">
      <c r="A113" t="s">
        <v>292</v>
      </c>
      <c r="B113">
        <v>24</v>
      </c>
    </row>
    <row r="114" spans="1:2" x14ac:dyDescent="0.15">
      <c r="A114" t="s">
        <v>293</v>
      </c>
      <c r="B114">
        <v>25</v>
      </c>
    </row>
    <row r="115" spans="1:2" x14ac:dyDescent="0.15">
      <c r="A115" t="s">
        <v>294</v>
      </c>
      <c r="B115">
        <v>26</v>
      </c>
    </row>
    <row r="116" spans="1:2" x14ac:dyDescent="0.15">
      <c r="A116" t="s">
        <v>295</v>
      </c>
      <c r="B116">
        <v>27</v>
      </c>
    </row>
    <row r="117" spans="1:2" x14ac:dyDescent="0.15">
      <c r="A117" t="s">
        <v>296</v>
      </c>
      <c r="B117">
        <v>28</v>
      </c>
    </row>
    <row r="118" spans="1:2" x14ac:dyDescent="0.15">
      <c r="A118" t="s">
        <v>297</v>
      </c>
      <c r="B118">
        <v>29</v>
      </c>
    </row>
    <row r="119" spans="1:2" x14ac:dyDescent="0.15">
      <c r="A119" t="s">
        <v>298</v>
      </c>
      <c r="B119">
        <v>31</v>
      </c>
    </row>
    <row r="120" spans="1:2" x14ac:dyDescent="0.15">
      <c r="A120" t="s">
        <v>299</v>
      </c>
      <c r="B120">
        <v>32</v>
      </c>
    </row>
    <row r="121" spans="1:2" x14ac:dyDescent="0.15">
      <c r="A121" t="s">
        <v>401</v>
      </c>
      <c r="B121">
        <v>34</v>
      </c>
    </row>
    <row r="122" spans="1:2" x14ac:dyDescent="0.15">
      <c r="A122" t="s">
        <v>300</v>
      </c>
      <c r="B122">
        <v>35</v>
      </c>
    </row>
    <row r="123" spans="1:2" x14ac:dyDescent="0.15">
      <c r="A123" t="s">
        <v>301</v>
      </c>
      <c r="B123">
        <v>36</v>
      </c>
    </row>
    <row r="124" spans="1:2" x14ac:dyDescent="0.15">
      <c r="A124" t="s">
        <v>402</v>
      </c>
      <c r="B124">
        <v>37</v>
      </c>
    </row>
    <row r="125" spans="1:2" x14ac:dyDescent="0.15">
      <c r="A125" t="s">
        <v>403</v>
      </c>
      <c r="B125">
        <v>38</v>
      </c>
    </row>
    <row r="126" spans="1:2" x14ac:dyDescent="0.15">
      <c r="A126" t="s">
        <v>302</v>
      </c>
      <c r="B126">
        <v>39</v>
      </c>
    </row>
    <row r="127" spans="1:2" x14ac:dyDescent="0.15">
      <c r="A127" t="s">
        <v>303</v>
      </c>
      <c r="B127">
        <v>40</v>
      </c>
    </row>
    <row r="128" spans="1:2" x14ac:dyDescent="0.15">
      <c r="A128" t="s">
        <v>370</v>
      </c>
      <c r="B128">
        <v>41</v>
      </c>
    </row>
    <row r="129" spans="1:2" x14ac:dyDescent="0.15">
      <c r="A129" t="s">
        <v>304</v>
      </c>
      <c r="B129">
        <v>42</v>
      </c>
    </row>
    <row r="130" spans="1:2" x14ac:dyDescent="0.15">
      <c r="A130" t="s">
        <v>305</v>
      </c>
      <c r="B130">
        <v>43</v>
      </c>
    </row>
    <row r="131" spans="1:2" x14ac:dyDescent="0.15">
      <c r="A131" t="s">
        <v>306</v>
      </c>
      <c r="B131">
        <v>44</v>
      </c>
    </row>
    <row r="132" spans="1:2" x14ac:dyDescent="0.15">
      <c r="A132" t="s">
        <v>307</v>
      </c>
      <c r="B132">
        <v>45</v>
      </c>
    </row>
    <row r="133" spans="1:2" x14ac:dyDescent="0.15">
      <c r="A133" t="s">
        <v>308</v>
      </c>
      <c r="B133">
        <v>46</v>
      </c>
    </row>
    <row r="134" spans="1:2" x14ac:dyDescent="0.15">
      <c r="A134" t="s">
        <v>309</v>
      </c>
      <c r="B134">
        <v>47</v>
      </c>
    </row>
    <row r="135" spans="1:2" x14ac:dyDescent="0.15">
      <c r="A135" t="s">
        <v>310</v>
      </c>
      <c r="B135">
        <v>48</v>
      </c>
    </row>
    <row r="136" spans="1:2" x14ac:dyDescent="0.15">
      <c r="A136" t="s">
        <v>311</v>
      </c>
      <c r="B136">
        <v>49</v>
      </c>
    </row>
    <row r="137" spans="1:2" x14ac:dyDescent="0.15">
      <c r="A137" t="s">
        <v>312</v>
      </c>
      <c r="B137">
        <v>50</v>
      </c>
    </row>
    <row r="138" spans="1:2" x14ac:dyDescent="0.15">
      <c r="A138" t="s">
        <v>313</v>
      </c>
      <c r="B138">
        <v>52</v>
      </c>
    </row>
    <row r="139" spans="1:2" x14ac:dyDescent="0.15">
      <c r="A139" t="s">
        <v>314</v>
      </c>
      <c r="B139">
        <v>53</v>
      </c>
    </row>
    <row r="140" spans="1:2" x14ac:dyDescent="0.15">
      <c r="A140" t="s">
        <v>315</v>
      </c>
      <c r="B140">
        <v>54</v>
      </c>
    </row>
    <row r="141" spans="1:2" x14ac:dyDescent="0.15">
      <c r="A141" t="s">
        <v>316</v>
      </c>
      <c r="B141">
        <v>55</v>
      </c>
    </row>
    <row r="142" spans="1:2" x14ac:dyDescent="0.15">
      <c r="A142" t="s">
        <v>317</v>
      </c>
      <c r="B142">
        <v>56</v>
      </c>
    </row>
    <row r="143" spans="1:2" x14ac:dyDescent="0.15">
      <c r="A143" t="s">
        <v>318</v>
      </c>
      <c r="B143">
        <v>57</v>
      </c>
    </row>
    <row r="144" spans="1:2" x14ac:dyDescent="0.15">
      <c r="A144" t="s">
        <v>319</v>
      </c>
      <c r="B144">
        <v>58</v>
      </c>
    </row>
    <row r="145" spans="1:19" x14ac:dyDescent="0.15">
      <c r="A145" t="s">
        <v>320</v>
      </c>
      <c r="B145" t="s">
        <v>321</v>
      </c>
    </row>
    <row r="146" spans="1:19" x14ac:dyDescent="0.15">
      <c r="A146" t="s">
        <v>322</v>
      </c>
      <c r="B146" s="97" t="s">
        <v>428</v>
      </c>
    </row>
    <row r="147" spans="1:19" x14ac:dyDescent="0.15">
      <c r="A147" t="s">
        <v>323</v>
      </c>
      <c r="B147" s="97" t="s">
        <v>376</v>
      </c>
    </row>
    <row r="148" spans="1:19" x14ac:dyDescent="0.15">
      <c r="A148" t="s">
        <v>324</v>
      </c>
      <c r="B148" s="97" t="s">
        <v>377</v>
      </c>
    </row>
    <row r="149" spans="1:19" x14ac:dyDescent="0.15">
      <c r="A149" t="s">
        <v>325</v>
      </c>
      <c r="B149" s="97" t="s">
        <v>378</v>
      </c>
    </row>
    <row r="150" spans="1:19" x14ac:dyDescent="0.15">
      <c r="A150" t="s">
        <v>326</v>
      </c>
      <c r="B150" s="97" t="s">
        <v>379</v>
      </c>
    </row>
    <row r="151" spans="1:19" x14ac:dyDescent="0.15">
      <c r="A151" t="s">
        <v>327</v>
      </c>
      <c r="B151" s="97" t="s">
        <v>380</v>
      </c>
    </row>
    <row r="152" spans="1:19" x14ac:dyDescent="0.15">
      <c r="A152" t="s">
        <v>328</v>
      </c>
      <c r="B152" s="97" t="s">
        <v>381</v>
      </c>
    </row>
    <row r="153" spans="1:19" x14ac:dyDescent="0.15">
      <c r="A153" t="s">
        <v>329</v>
      </c>
      <c r="B153" s="97" t="s">
        <v>382</v>
      </c>
    </row>
    <row r="154" spans="1:19" x14ac:dyDescent="0.15">
      <c r="A154" t="s">
        <v>330</v>
      </c>
      <c r="B154" s="97" t="s">
        <v>383</v>
      </c>
    </row>
    <row r="155" spans="1:19" x14ac:dyDescent="0.15">
      <c r="A155" t="s">
        <v>331</v>
      </c>
      <c r="B155" t="s">
        <v>57</v>
      </c>
      <c r="C155" t="s">
        <v>101</v>
      </c>
      <c r="D155" t="s">
        <v>52</v>
      </c>
      <c r="E155" t="s">
        <v>130</v>
      </c>
      <c r="F155" t="s">
        <v>42</v>
      </c>
      <c r="G155" t="s">
        <v>47</v>
      </c>
      <c r="H155" t="s">
        <v>71</v>
      </c>
      <c r="I155" t="s">
        <v>40</v>
      </c>
      <c r="J155" t="s">
        <v>67</v>
      </c>
      <c r="K155" t="s">
        <v>119</v>
      </c>
      <c r="L155" t="s">
        <v>62</v>
      </c>
      <c r="M155" t="s">
        <v>80</v>
      </c>
      <c r="N155" t="s">
        <v>121</v>
      </c>
      <c r="O155" t="s">
        <v>146</v>
      </c>
      <c r="P155" t="s">
        <v>395</v>
      </c>
      <c r="Q155" t="s">
        <v>396</v>
      </c>
      <c r="R155" t="s">
        <v>371</v>
      </c>
      <c r="S155" t="s">
        <v>397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93"/>
  <sheetViews>
    <sheetView zoomScale="70" zoomScaleNormal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N5" sqref="N5:AC44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18" t="s">
        <v>332</v>
      </c>
      <c r="B1" s="106"/>
      <c r="C1" s="106"/>
      <c r="D1" s="106"/>
      <c r="E1" s="106"/>
      <c r="F1" s="106"/>
      <c r="G1" s="106"/>
      <c r="H1" s="106"/>
      <c r="J1" s="114" t="str">
        <f>Summary!C1</f>
        <v>F300_v6.0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E1" s="115">
        <f>Summary!C2</f>
        <v>0</v>
      </c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</row>
    <row r="2" spans="1:72" ht="33" customHeight="1" thickBot="1" x14ac:dyDescent="0.2">
      <c r="A2" s="117" t="s">
        <v>149</v>
      </c>
      <c r="B2" s="116" t="s">
        <v>150</v>
      </c>
      <c r="C2" s="117" t="s">
        <v>333</v>
      </c>
      <c r="D2" s="116" t="s">
        <v>151</v>
      </c>
      <c r="E2" s="117" t="s">
        <v>152</v>
      </c>
      <c r="F2" s="116" t="s">
        <v>153</v>
      </c>
      <c r="G2" s="117" t="s">
        <v>154</v>
      </c>
      <c r="H2" s="116" t="s">
        <v>334</v>
      </c>
      <c r="J2" s="117" t="s">
        <v>127</v>
      </c>
      <c r="K2" s="116" t="s">
        <v>131</v>
      </c>
      <c r="L2" s="122" t="s">
        <v>120</v>
      </c>
      <c r="M2" s="116" t="s">
        <v>368</v>
      </c>
      <c r="N2" s="117" t="s">
        <v>81</v>
      </c>
      <c r="O2" s="120" t="s">
        <v>120</v>
      </c>
      <c r="P2" s="120" t="s">
        <v>421</v>
      </c>
      <c r="Q2" s="120" t="s">
        <v>422</v>
      </c>
      <c r="R2" s="120" t="s">
        <v>423</v>
      </c>
      <c r="S2" s="120" t="s">
        <v>424</v>
      </c>
      <c r="T2" s="120" t="s">
        <v>425</v>
      </c>
      <c r="U2" s="119" t="s">
        <v>335</v>
      </c>
      <c r="V2" s="106"/>
      <c r="W2" s="106"/>
      <c r="X2" s="106"/>
      <c r="Y2" s="106"/>
      <c r="Z2" s="120" t="s">
        <v>336</v>
      </c>
      <c r="AA2" s="106"/>
      <c r="AB2" s="117" t="s">
        <v>122</v>
      </c>
      <c r="AC2" s="116" t="s">
        <v>102</v>
      </c>
      <c r="AE2" s="117" t="s">
        <v>127</v>
      </c>
      <c r="AF2" s="116" t="s">
        <v>131</v>
      </c>
      <c r="AG2" s="122" t="s">
        <v>120</v>
      </c>
      <c r="AH2" s="116" t="s">
        <v>368</v>
      </c>
      <c r="AI2" s="117" t="s">
        <v>81</v>
      </c>
      <c r="AJ2" s="116" t="s">
        <v>120</v>
      </c>
      <c r="AK2" s="120" t="s">
        <v>421</v>
      </c>
      <c r="AL2" s="120" t="s">
        <v>422</v>
      </c>
      <c r="AM2" s="120" t="s">
        <v>423</v>
      </c>
      <c r="AN2" s="120" t="s">
        <v>424</v>
      </c>
      <c r="AO2" s="120" t="s">
        <v>425</v>
      </c>
      <c r="AP2" s="119" t="s">
        <v>335</v>
      </c>
      <c r="AQ2" s="106"/>
      <c r="AR2" s="106"/>
      <c r="AS2" s="106"/>
      <c r="AT2" s="106"/>
      <c r="AU2" s="120" t="s">
        <v>336</v>
      </c>
      <c r="AV2" s="106"/>
      <c r="AW2" s="117" t="s">
        <v>122</v>
      </c>
      <c r="AX2" s="116" t="s">
        <v>102</v>
      </c>
      <c r="AZ2" s="119" t="s">
        <v>15</v>
      </c>
      <c r="BA2" s="106"/>
      <c r="BB2" s="106"/>
      <c r="BC2" s="106"/>
      <c r="BD2" s="106"/>
      <c r="BE2" s="120" t="s">
        <v>16</v>
      </c>
      <c r="BF2" s="106"/>
      <c r="BH2" s="119" t="s">
        <v>411</v>
      </c>
      <c r="BI2" s="119"/>
      <c r="BJ2" s="121" t="s">
        <v>412</v>
      </c>
      <c r="BK2" s="121"/>
      <c r="BL2" s="121"/>
      <c r="BM2" s="117" t="s">
        <v>415</v>
      </c>
      <c r="BN2" s="116" t="s">
        <v>414</v>
      </c>
      <c r="BP2" s="117" t="s">
        <v>416</v>
      </c>
      <c r="BQ2" s="117" t="s">
        <v>417</v>
      </c>
      <c r="BR2" s="117" t="s">
        <v>419</v>
      </c>
      <c r="BS2" s="117" t="s">
        <v>418</v>
      </c>
      <c r="BT2" s="117" t="s">
        <v>420</v>
      </c>
    </row>
    <row r="3" spans="1:72" ht="33" customHeight="1" thickBot="1" x14ac:dyDescent="0.2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23"/>
      <c r="M3" s="108"/>
      <c r="N3" s="108"/>
      <c r="O3" s="116"/>
      <c r="P3" s="116"/>
      <c r="Q3" s="116"/>
      <c r="R3" s="116"/>
      <c r="S3" s="116"/>
      <c r="T3" s="116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08"/>
      <c r="AC3" s="108"/>
      <c r="AE3" s="108"/>
      <c r="AF3" s="108"/>
      <c r="AG3" s="123"/>
      <c r="AH3" s="108"/>
      <c r="AI3" s="108"/>
      <c r="AJ3" s="108"/>
      <c r="AK3" s="116"/>
      <c r="AL3" s="116"/>
      <c r="AM3" s="116"/>
      <c r="AN3" s="116"/>
      <c r="AO3" s="116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08"/>
      <c r="AX3" s="108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17"/>
      <c r="BN3" s="116"/>
      <c r="BP3" s="108"/>
      <c r="BQ3" s="108"/>
      <c r="BR3" s="108"/>
      <c r="BS3" s="108"/>
      <c r="BT3" s="108"/>
    </row>
    <row r="4" spans="1:72" ht="1.5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5.1451191999999999</v>
      </c>
      <c r="K5" s="21">
        <f t="shared" ref="K5:K44" si="1">IF(ISBLANK(O5),"·",O5/D5)</f>
        <v>4.288514216366158</v>
      </c>
      <c r="L5" s="19">
        <f t="shared" ref="L5:L44" si="2">IF(OR(ISBLANK(M5),ISBLANK(S5),ISBLANK(T5)),".",M5+S5+T5)</f>
        <v>51451192</v>
      </c>
      <c r="M5" s="19">
        <f t="shared" ref="M5:M44" si="3">IF(OR(ISBLANK(Q5),ISBLANK(P5),ISBLANK(R5)),".",P5+Q5+R5)</f>
        <v>15195168</v>
      </c>
      <c r="N5" s="44">
        <v>5681424</v>
      </c>
      <c r="O5" s="22">
        <v>51451192</v>
      </c>
      <c r="P5" s="22">
        <v>8115120</v>
      </c>
      <c r="Q5" s="22">
        <v>0</v>
      </c>
      <c r="R5" s="22">
        <v>7080048</v>
      </c>
      <c r="S5" s="22">
        <v>36189056</v>
      </c>
      <c r="T5" s="22">
        <v>66968</v>
      </c>
      <c r="U5" s="45">
        <v>67.568367199999997</v>
      </c>
      <c r="V5" s="45">
        <v>68.459350400000005</v>
      </c>
      <c r="W5" s="45">
        <v>28.745957799999999</v>
      </c>
      <c r="X5" s="45">
        <v>33.873689499999998</v>
      </c>
      <c r="Y5" s="45">
        <v>33.301614100000002</v>
      </c>
      <c r="Z5" s="45">
        <v>47.457369100000001</v>
      </c>
      <c r="AA5" s="45">
        <v>27.045335300000001</v>
      </c>
      <c r="AB5" s="23">
        <v>5551.6362680000002</v>
      </c>
      <c r="AC5" s="23">
        <v>42.648798999999997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9</v>
      </c>
      <c r="J6" s="36">
        <f t="shared" si="0"/>
        <v>9.4075760000000006</v>
      </c>
      <c r="K6" s="37">
        <f t="shared" si="1"/>
        <v>7.8413194814893847</v>
      </c>
      <c r="L6" s="35">
        <f t="shared" si="2"/>
        <v>94075760</v>
      </c>
      <c r="M6" s="35">
        <f t="shared" si="3"/>
        <v>16863368</v>
      </c>
      <c r="N6" s="46">
        <v>5681424</v>
      </c>
      <c r="O6" s="38">
        <v>94075760</v>
      </c>
      <c r="P6" s="38">
        <v>8741944</v>
      </c>
      <c r="Q6" s="38">
        <v>0</v>
      </c>
      <c r="R6" s="38">
        <v>8121424</v>
      </c>
      <c r="S6" s="38">
        <v>77145424</v>
      </c>
      <c r="T6" s="38">
        <v>66968</v>
      </c>
      <c r="U6" s="47">
        <v>67.795415399999996</v>
      </c>
      <c r="V6" s="47">
        <v>68.703781300000003</v>
      </c>
      <c r="W6" s="47">
        <v>31.3314773</v>
      </c>
      <c r="X6" s="47">
        <v>35.080418000000002</v>
      </c>
      <c r="Y6" s="47">
        <v>34.610132700000001</v>
      </c>
      <c r="Z6" s="47">
        <v>47.533842700000001</v>
      </c>
      <c r="AA6" s="47">
        <v>28.250900000000001</v>
      </c>
      <c r="AB6" s="39">
        <v>5984.5147569999999</v>
      </c>
      <c r="AC6" s="39">
        <v>58.077658999999997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12</v>
      </c>
      <c r="J7" s="20">
        <f t="shared" si="0"/>
        <v>12.933312800000001</v>
      </c>
      <c r="K7" s="21">
        <f t="shared" si="1"/>
        <v>10.780060412888083</v>
      </c>
      <c r="L7" s="19">
        <f t="shared" si="2"/>
        <v>129333128</v>
      </c>
      <c r="M7" s="19">
        <f t="shared" si="3"/>
        <v>20411016</v>
      </c>
      <c r="N7" s="44">
        <v>11389008</v>
      </c>
      <c r="O7" s="22">
        <v>129333128</v>
      </c>
      <c r="P7" s="22">
        <v>12587656</v>
      </c>
      <c r="Q7" s="22">
        <v>0</v>
      </c>
      <c r="R7" s="22">
        <v>7823360</v>
      </c>
      <c r="S7" s="22">
        <v>108852664</v>
      </c>
      <c r="T7" s="22">
        <v>69448</v>
      </c>
      <c r="U7" s="45">
        <v>70.863024300000006</v>
      </c>
      <c r="V7" s="45">
        <v>72.229139599999996</v>
      </c>
      <c r="W7" s="45">
        <v>32.605908200000002</v>
      </c>
      <c r="X7" s="45">
        <v>36.885134600000001</v>
      </c>
      <c r="Y7" s="45">
        <v>36.6010639</v>
      </c>
      <c r="Z7" s="45">
        <v>49.459699800000003</v>
      </c>
      <c r="AA7" s="45">
        <v>30.001898000000001</v>
      </c>
      <c r="AB7" s="23">
        <v>16243.424181</v>
      </c>
      <c r="AC7" s="23">
        <v>161.12594799999999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15</v>
      </c>
      <c r="J8" s="36">
        <f t="shared" si="0"/>
        <v>16.106175199999999</v>
      </c>
      <c r="K8" s="37">
        <f t="shared" si="1"/>
        <v>13.424676597674171</v>
      </c>
      <c r="L8" s="35">
        <f t="shared" si="2"/>
        <v>161061752</v>
      </c>
      <c r="M8" s="35">
        <f t="shared" si="3"/>
        <v>26515152</v>
      </c>
      <c r="N8" s="46">
        <v>11389008</v>
      </c>
      <c r="O8" s="38">
        <v>161061752</v>
      </c>
      <c r="P8" s="38">
        <v>13749144</v>
      </c>
      <c r="Q8" s="38">
        <v>0</v>
      </c>
      <c r="R8" s="38">
        <v>12766008</v>
      </c>
      <c r="S8" s="38">
        <v>134477152</v>
      </c>
      <c r="T8" s="38">
        <v>69448</v>
      </c>
      <c r="U8" s="47">
        <v>72.266098499999998</v>
      </c>
      <c r="V8" s="47">
        <v>73.802607199999997</v>
      </c>
      <c r="W8" s="47">
        <v>33.541646</v>
      </c>
      <c r="X8" s="47">
        <v>37.412120000000002</v>
      </c>
      <c r="Y8" s="47">
        <v>37.131259</v>
      </c>
      <c r="Z8" s="47">
        <v>49.967984199999997</v>
      </c>
      <c r="AA8" s="47">
        <v>30.9577083</v>
      </c>
      <c r="AB8" s="39">
        <v>16382.115942</v>
      </c>
      <c r="AC8" s="39">
        <v>162.18347900000001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22</v>
      </c>
      <c r="J9" s="51">
        <f t="shared" si="0"/>
        <v>23.336606399999997</v>
      </c>
      <c r="K9" s="52">
        <f t="shared" si="1"/>
        <v>19.451321615277926</v>
      </c>
      <c r="L9" s="49">
        <f t="shared" si="2"/>
        <v>233366064</v>
      </c>
      <c r="M9" s="49">
        <f t="shared" si="3"/>
        <v>43818944</v>
      </c>
      <c r="N9" s="53">
        <v>22901024</v>
      </c>
      <c r="O9" s="54">
        <v>233366064</v>
      </c>
      <c r="P9" s="54">
        <v>20463464</v>
      </c>
      <c r="Q9" s="54">
        <v>0</v>
      </c>
      <c r="R9" s="54">
        <v>23355480</v>
      </c>
      <c r="S9" s="54">
        <v>189477672</v>
      </c>
      <c r="T9" s="54">
        <v>69448</v>
      </c>
      <c r="U9" s="55">
        <v>75.522071499999996</v>
      </c>
      <c r="V9" s="55">
        <v>77.661470199999997</v>
      </c>
      <c r="W9" s="55">
        <v>34.939584199999999</v>
      </c>
      <c r="X9" s="55">
        <v>38.517745499999997</v>
      </c>
      <c r="Y9" s="55">
        <v>38.219483099999998</v>
      </c>
      <c r="Z9" s="55">
        <v>51.929268499999999</v>
      </c>
      <c r="AA9" s="55">
        <v>32.748707099999997</v>
      </c>
      <c r="AB9" s="56">
        <v>19853.66116</v>
      </c>
      <c r="AC9" s="56">
        <v>165.69645399999999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5</v>
      </c>
      <c r="J10" s="36">
        <f t="shared" si="0"/>
        <v>5.0663255999999999</v>
      </c>
      <c r="K10" s="37">
        <f t="shared" si="1"/>
        <v>5.6292506666666666</v>
      </c>
      <c r="L10" s="35">
        <f t="shared" si="2"/>
        <v>50663256</v>
      </c>
      <c r="M10" s="35">
        <f t="shared" si="3"/>
        <v>14503416</v>
      </c>
      <c r="N10" s="46">
        <v>5634672</v>
      </c>
      <c r="O10" s="38">
        <v>50663256</v>
      </c>
      <c r="P10" s="38">
        <v>8561376</v>
      </c>
      <c r="Q10" s="38">
        <v>0</v>
      </c>
      <c r="R10" s="38">
        <v>5942040</v>
      </c>
      <c r="S10" s="38">
        <v>36092792</v>
      </c>
      <c r="T10" s="38">
        <v>67048</v>
      </c>
      <c r="U10" s="47">
        <v>64.048539700000006</v>
      </c>
      <c r="V10" s="47">
        <v>64.596163399999995</v>
      </c>
      <c r="W10" s="47">
        <v>32.084068100000003</v>
      </c>
      <c r="X10" s="47">
        <v>44.9349664</v>
      </c>
      <c r="Y10" s="47">
        <v>45.222192300000003</v>
      </c>
      <c r="Z10" s="47">
        <v>43.413716700000002</v>
      </c>
      <c r="AA10" s="47">
        <v>29.1753219</v>
      </c>
      <c r="AB10" s="39">
        <v>16388.681240999998</v>
      </c>
      <c r="AC10" s="39">
        <v>150.32404399999999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9</v>
      </c>
      <c r="J11" s="20">
        <f t="shared" si="0"/>
        <v>9.1535664000000008</v>
      </c>
      <c r="K11" s="21">
        <f t="shared" si="1"/>
        <v>10.170629333333334</v>
      </c>
      <c r="L11" s="19">
        <f t="shared" si="2"/>
        <v>91535664</v>
      </c>
      <c r="M11" s="19">
        <f t="shared" si="3"/>
        <v>23805752</v>
      </c>
      <c r="N11" s="44">
        <v>11348448</v>
      </c>
      <c r="O11" s="22">
        <v>91535664</v>
      </c>
      <c r="P11" s="22">
        <v>13358792</v>
      </c>
      <c r="Q11" s="22">
        <v>0</v>
      </c>
      <c r="R11" s="22">
        <v>10446960</v>
      </c>
      <c r="S11" s="22">
        <v>67660464</v>
      </c>
      <c r="T11" s="22">
        <v>69448</v>
      </c>
      <c r="U11" s="45">
        <v>69.097097099999999</v>
      </c>
      <c r="V11" s="45">
        <v>70.281356799999998</v>
      </c>
      <c r="W11" s="45">
        <v>34.865264000000003</v>
      </c>
      <c r="X11" s="45">
        <v>45.564761500000003</v>
      </c>
      <c r="Y11" s="45">
        <v>45.950062299999999</v>
      </c>
      <c r="Z11" s="45">
        <v>46.461307300000001</v>
      </c>
      <c r="AA11" s="45">
        <v>32.021910400000003</v>
      </c>
      <c r="AB11" s="23">
        <v>17510.508203000001</v>
      </c>
      <c r="AC11" s="23">
        <v>180.07788500000001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12</v>
      </c>
      <c r="J12" s="36">
        <f t="shared" si="0"/>
        <v>11.6585392</v>
      </c>
      <c r="K12" s="37">
        <f t="shared" si="1"/>
        <v>12.953932444444444</v>
      </c>
      <c r="L12" s="35">
        <f t="shared" si="2"/>
        <v>116585392</v>
      </c>
      <c r="M12" s="35">
        <f t="shared" si="3"/>
        <v>31213600</v>
      </c>
      <c r="N12" s="46">
        <v>11348448</v>
      </c>
      <c r="O12" s="38">
        <v>116585392</v>
      </c>
      <c r="P12" s="38">
        <v>13358792</v>
      </c>
      <c r="Q12" s="38">
        <v>0</v>
      </c>
      <c r="R12" s="38">
        <v>17854808</v>
      </c>
      <c r="S12" s="38">
        <v>85302344</v>
      </c>
      <c r="T12" s="38">
        <v>69448</v>
      </c>
      <c r="U12" s="47">
        <v>70.242722099999995</v>
      </c>
      <c r="V12" s="47">
        <v>71.5395343</v>
      </c>
      <c r="W12" s="47">
        <v>35.838457599999998</v>
      </c>
      <c r="X12" s="47">
        <v>45.892788699999997</v>
      </c>
      <c r="Y12" s="47">
        <v>46.322197199999998</v>
      </c>
      <c r="Z12" s="47">
        <v>46.760642699999998</v>
      </c>
      <c r="AA12" s="47">
        <v>32.822296299999998</v>
      </c>
      <c r="AB12" s="39">
        <v>17570.976490000001</v>
      </c>
      <c r="AC12" s="39">
        <v>179.52793600000001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15</v>
      </c>
      <c r="J13" s="20">
        <f t="shared" si="0"/>
        <v>15.1893376</v>
      </c>
      <c r="K13" s="21">
        <f t="shared" si="1"/>
        <v>16.877041777777777</v>
      </c>
      <c r="L13" s="19">
        <f t="shared" si="2"/>
        <v>151893376</v>
      </c>
      <c r="M13" s="19">
        <f t="shared" si="3"/>
        <v>43806264</v>
      </c>
      <c r="N13" s="44">
        <v>22860832</v>
      </c>
      <c r="O13" s="22">
        <v>151893376</v>
      </c>
      <c r="P13" s="22">
        <v>21890312</v>
      </c>
      <c r="Q13" s="22">
        <v>0</v>
      </c>
      <c r="R13" s="22">
        <v>21915952</v>
      </c>
      <c r="S13" s="22">
        <v>108017664</v>
      </c>
      <c r="T13" s="22">
        <v>69448</v>
      </c>
      <c r="U13" s="45">
        <v>73.3736277</v>
      </c>
      <c r="V13" s="45">
        <v>75.220677199999997</v>
      </c>
      <c r="W13" s="45">
        <v>37.021878000000001</v>
      </c>
      <c r="X13" s="45">
        <v>46.690123100000001</v>
      </c>
      <c r="Y13" s="45">
        <v>47.219633399999999</v>
      </c>
      <c r="Z13" s="45">
        <v>48.9006629</v>
      </c>
      <c r="AA13" s="45">
        <v>34.592528000000001</v>
      </c>
      <c r="AB13" s="23">
        <v>20826.54509</v>
      </c>
      <c r="AC13" s="23">
        <v>151.97649899999999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22</v>
      </c>
      <c r="J14" s="28">
        <f t="shared" si="0"/>
        <v>22.097927200000001</v>
      </c>
      <c r="K14" s="29">
        <f t="shared" si="1"/>
        <v>24.553252444444446</v>
      </c>
      <c r="L14" s="27">
        <f t="shared" si="2"/>
        <v>220979272</v>
      </c>
      <c r="M14" s="27">
        <f t="shared" si="3"/>
        <v>52042352</v>
      </c>
      <c r="N14" s="58">
        <v>22860832</v>
      </c>
      <c r="O14" s="30">
        <v>220979272</v>
      </c>
      <c r="P14" s="30">
        <v>24128664</v>
      </c>
      <c r="Q14" s="30">
        <v>0</v>
      </c>
      <c r="R14" s="30">
        <v>27913688</v>
      </c>
      <c r="S14" s="30">
        <v>168867472</v>
      </c>
      <c r="T14" s="30">
        <v>69448</v>
      </c>
      <c r="U14" s="59">
        <v>74.054130099999995</v>
      </c>
      <c r="V14" s="59">
        <v>76.0155508</v>
      </c>
      <c r="W14" s="59">
        <v>38.652125499999997</v>
      </c>
      <c r="X14" s="59">
        <v>47.741762299999998</v>
      </c>
      <c r="Y14" s="59">
        <v>48.371196599999998</v>
      </c>
      <c r="Z14" s="59">
        <v>49.085176099999998</v>
      </c>
      <c r="AA14" s="59">
        <v>35.6178484</v>
      </c>
      <c r="AB14" s="31">
        <v>21243.328869000001</v>
      </c>
      <c r="AC14" s="31">
        <v>166.93548699999999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3.1337927999999997</v>
      </c>
      <c r="K15" s="21">
        <f t="shared" si="1"/>
        <v>2.6463369960586056</v>
      </c>
      <c r="L15" s="19">
        <f t="shared" si="2"/>
        <v>31337928</v>
      </c>
      <c r="M15" s="19">
        <f t="shared" si="3"/>
        <v>11796160</v>
      </c>
      <c r="N15" s="44">
        <v>5676736</v>
      </c>
      <c r="O15" s="22">
        <v>31337928</v>
      </c>
      <c r="P15" s="22">
        <v>6657720</v>
      </c>
      <c r="Q15" s="22">
        <v>0</v>
      </c>
      <c r="R15" s="22">
        <v>5138440</v>
      </c>
      <c r="S15" s="22">
        <v>19474720</v>
      </c>
      <c r="T15" s="22">
        <v>67048</v>
      </c>
      <c r="U15" s="45">
        <v>70.2034333</v>
      </c>
      <c r="V15" s="45">
        <v>71.393227999999993</v>
      </c>
      <c r="W15" s="45">
        <v>35.658674300000001</v>
      </c>
      <c r="X15" s="45">
        <v>43.302735300000002</v>
      </c>
      <c r="Y15" s="45">
        <v>45.1513919</v>
      </c>
      <c r="Z15" s="45">
        <v>45.2275578</v>
      </c>
      <c r="AA15" s="45">
        <v>32.080109200000003</v>
      </c>
      <c r="AB15" s="23">
        <v>13220.310359999999</v>
      </c>
      <c r="AC15" s="23">
        <v>155.30817200000001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5.1759744000000003</v>
      </c>
      <c r="K16" s="37">
        <f t="shared" si="1"/>
        <v>4.3708609405740688</v>
      </c>
      <c r="L16" s="35">
        <f t="shared" si="2"/>
        <v>51759744</v>
      </c>
      <c r="M16" s="35">
        <f t="shared" si="3"/>
        <v>14413664</v>
      </c>
      <c r="N16" s="46">
        <v>5676736</v>
      </c>
      <c r="O16" s="38">
        <v>51759744</v>
      </c>
      <c r="P16" s="38">
        <v>7234808</v>
      </c>
      <c r="Q16" s="38">
        <v>0</v>
      </c>
      <c r="R16" s="38">
        <v>7178856</v>
      </c>
      <c r="S16" s="38">
        <v>37279112</v>
      </c>
      <c r="T16" s="38">
        <v>66968</v>
      </c>
      <c r="U16" s="47">
        <v>71.251891299999997</v>
      </c>
      <c r="V16" s="47">
        <v>72.535507199999998</v>
      </c>
      <c r="W16" s="47">
        <v>38.299315700000001</v>
      </c>
      <c r="X16" s="47">
        <v>43.9374623</v>
      </c>
      <c r="Y16" s="47">
        <v>46.392335099999997</v>
      </c>
      <c r="Z16" s="47">
        <v>45.670977299999997</v>
      </c>
      <c r="AA16" s="47">
        <v>33.253172800000002</v>
      </c>
      <c r="AB16" s="39">
        <v>13232.590339</v>
      </c>
      <c r="AC16" s="39">
        <v>161.43062900000001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10.032463999999999</v>
      </c>
      <c r="K17" s="21">
        <f t="shared" si="1"/>
        <v>8.4719323641391036</v>
      </c>
      <c r="L17" s="19">
        <f t="shared" si="2"/>
        <v>100324640</v>
      </c>
      <c r="M17" s="19">
        <f t="shared" si="3"/>
        <v>27344464</v>
      </c>
      <c r="N17" s="44">
        <v>11357376</v>
      </c>
      <c r="O17" s="22">
        <v>100324640</v>
      </c>
      <c r="P17" s="22">
        <v>12099456</v>
      </c>
      <c r="Q17" s="22">
        <v>0</v>
      </c>
      <c r="R17" s="22">
        <v>15245008</v>
      </c>
      <c r="S17" s="22">
        <v>72910728</v>
      </c>
      <c r="T17" s="22">
        <v>69448</v>
      </c>
      <c r="U17" s="45">
        <v>76.072013299999995</v>
      </c>
      <c r="V17" s="45">
        <v>78.054860599999998</v>
      </c>
      <c r="W17" s="45">
        <v>41.050957099999998</v>
      </c>
      <c r="X17" s="45">
        <v>44.809998499999999</v>
      </c>
      <c r="Y17" s="45">
        <v>48.039033000000003</v>
      </c>
      <c r="Z17" s="45">
        <v>48.026430699999999</v>
      </c>
      <c r="AA17" s="45">
        <v>36.380766600000001</v>
      </c>
      <c r="AB17" s="23">
        <v>14578.148456000001</v>
      </c>
      <c r="AC17" s="23">
        <v>176.491063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14.5054528</v>
      </c>
      <c r="K18" s="37">
        <f t="shared" si="1"/>
        <v>12.249155843750069</v>
      </c>
      <c r="L18" s="35">
        <f t="shared" si="2"/>
        <v>145054528</v>
      </c>
      <c r="M18" s="35">
        <f t="shared" si="3"/>
        <v>39226832</v>
      </c>
      <c r="N18" s="46">
        <v>22718208</v>
      </c>
      <c r="O18" s="38">
        <v>145054528</v>
      </c>
      <c r="P18" s="38">
        <v>20758952</v>
      </c>
      <c r="Q18" s="38">
        <v>0</v>
      </c>
      <c r="R18" s="38">
        <v>18467880</v>
      </c>
      <c r="S18" s="38">
        <v>105758248</v>
      </c>
      <c r="T18" s="38">
        <v>69448</v>
      </c>
      <c r="U18" s="47">
        <v>78.435969400000005</v>
      </c>
      <c r="V18" s="47">
        <v>81.008658499999996</v>
      </c>
      <c r="W18" s="47">
        <v>42.169720400000003</v>
      </c>
      <c r="X18" s="47">
        <v>45.504247999999997</v>
      </c>
      <c r="Y18" s="47">
        <v>49.194974199999997</v>
      </c>
      <c r="Z18" s="47">
        <v>49.640914199999997</v>
      </c>
      <c r="AA18" s="47">
        <v>38.111405400000002</v>
      </c>
      <c r="AB18" s="39">
        <v>17542.443772999999</v>
      </c>
      <c r="AC18" s="39">
        <v>188.628038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21.660089600000003</v>
      </c>
      <c r="K19" s="52">
        <f t="shared" si="1"/>
        <v>18.290901825552808</v>
      </c>
      <c r="L19" s="49">
        <f t="shared" si="2"/>
        <v>216600896</v>
      </c>
      <c r="M19" s="49">
        <f t="shared" si="3"/>
        <v>41194272</v>
      </c>
      <c r="N19" s="53">
        <v>22718208</v>
      </c>
      <c r="O19" s="54">
        <v>216600896</v>
      </c>
      <c r="P19" s="54">
        <v>20758952</v>
      </c>
      <c r="Q19" s="54">
        <v>0</v>
      </c>
      <c r="R19" s="54">
        <v>20435320</v>
      </c>
      <c r="S19" s="54">
        <v>175337176</v>
      </c>
      <c r="T19" s="54">
        <v>69448</v>
      </c>
      <c r="U19" s="55">
        <v>78.733427199999994</v>
      </c>
      <c r="V19" s="55">
        <v>81.411919499999996</v>
      </c>
      <c r="W19" s="55">
        <v>43.185155899999998</v>
      </c>
      <c r="X19" s="55">
        <v>46.453160199999999</v>
      </c>
      <c r="Y19" s="55">
        <v>50.476804700000002</v>
      </c>
      <c r="Z19" s="55">
        <v>49.769469899999997</v>
      </c>
      <c r="AA19" s="55">
        <v>38.585617200000002</v>
      </c>
      <c r="AB19" s="56">
        <v>17784.602601999999</v>
      </c>
      <c r="AC19" s="56">
        <v>209.509197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2.9770407999999997</v>
      </c>
      <c r="K20" s="37">
        <f t="shared" si="1"/>
        <v>2.5203336581417854</v>
      </c>
      <c r="L20" s="35">
        <f t="shared" si="2"/>
        <v>29770408</v>
      </c>
      <c r="M20" s="35">
        <f t="shared" si="3"/>
        <v>11330840</v>
      </c>
      <c r="N20" s="46">
        <v>5665680</v>
      </c>
      <c r="O20" s="38">
        <v>29770408</v>
      </c>
      <c r="P20" s="38">
        <v>6494488</v>
      </c>
      <c r="Q20" s="38">
        <v>0</v>
      </c>
      <c r="R20" s="38">
        <v>4836352</v>
      </c>
      <c r="S20" s="38">
        <v>18372600</v>
      </c>
      <c r="T20" s="38">
        <v>66968</v>
      </c>
      <c r="U20" s="47">
        <v>70.506879100000006</v>
      </c>
      <c r="V20" s="47">
        <v>71.740402500000002</v>
      </c>
      <c r="W20" s="47">
        <v>34.593454899999998</v>
      </c>
      <c r="X20" s="47">
        <v>42.733607200000002</v>
      </c>
      <c r="Y20" s="47">
        <v>44.127746299999998</v>
      </c>
      <c r="Z20" s="47">
        <v>46.2110026</v>
      </c>
      <c r="AA20" s="47">
        <v>31.220184199999998</v>
      </c>
      <c r="AB20" s="39">
        <v>4805.7766769999998</v>
      </c>
      <c r="AC20" s="39">
        <v>42.779668999999998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5.0040535999999998</v>
      </c>
      <c r="K21" s="21">
        <f t="shared" si="1"/>
        <v>4.2363828924432507</v>
      </c>
      <c r="L21" s="19">
        <f t="shared" si="2"/>
        <v>50040536</v>
      </c>
      <c r="M21" s="19">
        <f t="shared" si="3"/>
        <v>11831680</v>
      </c>
      <c r="N21" s="44">
        <v>5665680</v>
      </c>
      <c r="O21" s="22">
        <v>50040536</v>
      </c>
      <c r="P21" s="22">
        <v>6494488</v>
      </c>
      <c r="Q21" s="22">
        <v>0</v>
      </c>
      <c r="R21" s="22">
        <v>5337192</v>
      </c>
      <c r="S21" s="22">
        <v>38141808</v>
      </c>
      <c r="T21" s="22">
        <v>67048</v>
      </c>
      <c r="U21" s="45">
        <v>70.839419399999997</v>
      </c>
      <c r="V21" s="45">
        <v>72.108826100000002</v>
      </c>
      <c r="W21" s="45">
        <v>37.246748500000002</v>
      </c>
      <c r="X21" s="45">
        <v>43.939069600000003</v>
      </c>
      <c r="Y21" s="45">
        <v>45.9854433</v>
      </c>
      <c r="Z21" s="45">
        <v>46.358663900000003</v>
      </c>
      <c r="AA21" s="45">
        <v>32.247457900000001</v>
      </c>
      <c r="AB21" s="23">
        <v>12775.597512</v>
      </c>
      <c r="AC21" s="23">
        <v>146.93295499999999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10.012417599999999</v>
      </c>
      <c r="K22" s="37">
        <f t="shared" si="1"/>
        <v>8.4764149274175864</v>
      </c>
      <c r="L22" s="35">
        <f t="shared" si="2"/>
        <v>100124176</v>
      </c>
      <c r="M22" s="35">
        <f t="shared" si="3"/>
        <v>25642824</v>
      </c>
      <c r="N22" s="46">
        <v>11333408</v>
      </c>
      <c r="O22" s="38">
        <v>100124176</v>
      </c>
      <c r="P22" s="38">
        <v>10770824</v>
      </c>
      <c r="Q22" s="38">
        <v>0</v>
      </c>
      <c r="R22" s="38">
        <v>14872000</v>
      </c>
      <c r="S22" s="38">
        <v>74411904</v>
      </c>
      <c r="T22" s="38">
        <v>69448</v>
      </c>
      <c r="U22" s="47">
        <v>76.316210600000005</v>
      </c>
      <c r="V22" s="47">
        <v>78.420968500000001</v>
      </c>
      <c r="W22" s="47">
        <v>40.303034599999997</v>
      </c>
      <c r="X22" s="47">
        <v>45.201270800000003</v>
      </c>
      <c r="Y22" s="47">
        <v>48.081394500000002</v>
      </c>
      <c r="Z22" s="47">
        <v>49.052654699999998</v>
      </c>
      <c r="AA22" s="47">
        <v>35.831376499999998</v>
      </c>
      <c r="AB22" s="39">
        <v>14147.388564999999</v>
      </c>
      <c r="AC22" s="39">
        <v>178.74935500000001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14.3632504</v>
      </c>
      <c r="K23" s="21">
        <f t="shared" si="1"/>
        <v>12.159787471988446</v>
      </c>
      <c r="L23" s="19">
        <f t="shared" si="2"/>
        <v>143632504</v>
      </c>
      <c r="M23" s="19">
        <f t="shared" si="3"/>
        <v>37868080</v>
      </c>
      <c r="N23" s="44">
        <v>22669584</v>
      </c>
      <c r="O23" s="22">
        <v>143632504</v>
      </c>
      <c r="P23" s="22">
        <v>22602008</v>
      </c>
      <c r="Q23" s="22">
        <v>0</v>
      </c>
      <c r="R23" s="22">
        <v>15266072</v>
      </c>
      <c r="S23" s="22">
        <v>105694976</v>
      </c>
      <c r="T23" s="22">
        <v>69448</v>
      </c>
      <c r="U23" s="45">
        <v>78.267184099999994</v>
      </c>
      <c r="V23" s="45">
        <v>80.893811900000003</v>
      </c>
      <c r="W23" s="45">
        <v>41.457592099999999</v>
      </c>
      <c r="X23" s="45">
        <v>45.726720299999997</v>
      </c>
      <c r="Y23" s="45">
        <v>48.832909299999997</v>
      </c>
      <c r="Z23" s="45">
        <v>50.614304099999998</v>
      </c>
      <c r="AA23" s="45">
        <v>37.418016700000003</v>
      </c>
      <c r="AB23" s="23">
        <v>16891.718730000001</v>
      </c>
      <c r="AC23" s="23">
        <v>177.79399100000001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21.362924800000002</v>
      </c>
      <c r="K24" s="29">
        <f t="shared" si="1"/>
        <v>18.085643438206109</v>
      </c>
      <c r="L24" s="27">
        <f t="shared" si="2"/>
        <v>213629248</v>
      </c>
      <c r="M24" s="27">
        <f t="shared" si="3"/>
        <v>39807360</v>
      </c>
      <c r="N24" s="58">
        <v>22669584</v>
      </c>
      <c r="O24" s="30">
        <v>213629248</v>
      </c>
      <c r="P24" s="30">
        <v>20416520</v>
      </c>
      <c r="Q24" s="30">
        <v>0</v>
      </c>
      <c r="R24" s="30">
        <v>19390840</v>
      </c>
      <c r="S24" s="30">
        <v>173752440</v>
      </c>
      <c r="T24" s="30">
        <v>69448</v>
      </c>
      <c r="U24" s="59">
        <v>78.862199700000005</v>
      </c>
      <c r="V24" s="59">
        <v>81.729687900000002</v>
      </c>
      <c r="W24" s="59">
        <v>42.439019299999998</v>
      </c>
      <c r="X24" s="59">
        <v>46.799627999999998</v>
      </c>
      <c r="Y24" s="59">
        <v>50.192148400000001</v>
      </c>
      <c r="Z24" s="59">
        <v>50.851933500000001</v>
      </c>
      <c r="AA24" s="59">
        <v>38.057766600000001</v>
      </c>
      <c r="AB24" s="31">
        <v>17332.673502000001</v>
      </c>
      <c r="AC24" s="31">
        <v>194.96008599999999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4.2671592</v>
      </c>
      <c r="K25" s="21">
        <f t="shared" si="1"/>
        <v>3.5559660000000002</v>
      </c>
      <c r="L25" s="19">
        <f t="shared" si="2"/>
        <v>42671592</v>
      </c>
      <c r="M25" s="19">
        <f t="shared" si="3"/>
        <v>11512472</v>
      </c>
      <c r="N25" s="44">
        <v>23021184</v>
      </c>
      <c r="O25" s="22">
        <v>42671592</v>
      </c>
      <c r="P25" s="22">
        <v>6453288</v>
      </c>
      <c r="Q25" s="22">
        <v>0</v>
      </c>
      <c r="R25" s="22">
        <v>5059184</v>
      </c>
      <c r="S25" s="22">
        <v>31089592</v>
      </c>
      <c r="T25" s="22">
        <v>69528</v>
      </c>
      <c r="U25" s="45">
        <v>73.192462699999993</v>
      </c>
      <c r="V25" s="45">
        <v>74.916329899999994</v>
      </c>
      <c r="W25" s="45">
        <v>31.0750508</v>
      </c>
      <c r="X25" s="45">
        <v>39.9021714</v>
      </c>
      <c r="Y25" s="45">
        <v>36.595413100000002</v>
      </c>
      <c r="Z25" s="45">
        <v>44.800059699999998</v>
      </c>
      <c r="AA25" s="45">
        <v>27.962428800000001</v>
      </c>
      <c r="AB25" s="23">
        <v>6762.5399960000004</v>
      </c>
      <c r="AC25" s="23">
        <v>62.42774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8.5079784000000007</v>
      </c>
      <c r="K26" s="37">
        <f t="shared" si="1"/>
        <v>7.089982</v>
      </c>
      <c r="L26" s="35">
        <f t="shared" si="2"/>
        <v>85079784</v>
      </c>
      <c r="M26" s="35">
        <f t="shared" si="3"/>
        <v>18867152</v>
      </c>
      <c r="N26" s="46">
        <v>46064000</v>
      </c>
      <c r="O26" s="38">
        <v>85079784</v>
      </c>
      <c r="P26" s="38">
        <v>10792048</v>
      </c>
      <c r="Q26" s="38">
        <v>0</v>
      </c>
      <c r="R26" s="38">
        <v>8075104</v>
      </c>
      <c r="S26" s="38">
        <v>66140704</v>
      </c>
      <c r="T26" s="38">
        <v>71928</v>
      </c>
      <c r="U26" s="47">
        <v>76.613831599999997</v>
      </c>
      <c r="V26" s="47">
        <v>78.892508300000003</v>
      </c>
      <c r="W26" s="47">
        <v>33.439587099999997</v>
      </c>
      <c r="X26" s="47">
        <v>41.835028299999998</v>
      </c>
      <c r="Y26" s="47">
        <v>39.443368399999997</v>
      </c>
      <c r="Z26" s="47">
        <v>46.460217900000004</v>
      </c>
      <c r="AA26" s="47">
        <v>30.696133199999998</v>
      </c>
      <c r="AB26" s="39">
        <v>15718.648375000001</v>
      </c>
      <c r="AC26" s="39">
        <v>194.385053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12.6973784</v>
      </c>
      <c r="K27" s="21">
        <f t="shared" si="1"/>
        <v>10.581148666666667</v>
      </c>
      <c r="L27" s="19">
        <f t="shared" si="2"/>
        <v>126973784</v>
      </c>
      <c r="M27" s="19">
        <f t="shared" si="3"/>
        <v>28031736</v>
      </c>
      <c r="N27" s="44">
        <v>92146368</v>
      </c>
      <c r="O27" s="22">
        <v>126973784</v>
      </c>
      <c r="P27" s="22">
        <v>20376656</v>
      </c>
      <c r="Q27" s="22">
        <v>0</v>
      </c>
      <c r="R27" s="22">
        <v>7655080</v>
      </c>
      <c r="S27" s="22">
        <v>98867560</v>
      </c>
      <c r="T27" s="22">
        <v>74488</v>
      </c>
      <c r="U27" s="45">
        <v>78.451409400000003</v>
      </c>
      <c r="V27" s="45">
        <v>81.144606899999999</v>
      </c>
      <c r="W27" s="45">
        <v>34.4998012</v>
      </c>
      <c r="X27" s="45">
        <v>43.2020287</v>
      </c>
      <c r="Y27" s="45">
        <v>41.246561499999999</v>
      </c>
      <c r="Z27" s="45">
        <v>47.908302499999998</v>
      </c>
      <c r="AA27" s="45">
        <v>32.0382319</v>
      </c>
      <c r="AB27" s="23">
        <v>45172.723257999998</v>
      </c>
      <c r="AC27" s="23">
        <v>560.23880099999997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17.9311328</v>
      </c>
      <c r="K28" s="37">
        <f t="shared" si="1"/>
        <v>14.942610666666667</v>
      </c>
      <c r="L28" s="35">
        <f t="shared" si="2"/>
        <v>179311328</v>
      </c>
      <c r="M28" s="35">
        <f t="shared" si="3"/>
        <v>45798632</v>
      </c>
      <c r="N28" s="46">
        <v>184310144</v>
      </c>
      <c r="O28" s="38">
        <v>179311328</v>
      </c>
      <c r="P28" s="38">
        <v>39691360</v>
      </c>
      <c r="Q28" s="38">
        <v>0</v>
      </c>
      <c r="R28" s="38">
        <v>6107272</v>
      </c>
      <c r="S28" s="38">
        <v>133438128</v>
      </c>
      <c r="T28" s="38">
        <v>74568</v>
      </c>
      <c r="U28" s="47">
        <v>80.3065876</v>
      </c>
      <c r="V28" s="47">
        <v>83.621433600000003</v>
      </c>
      <c r="W28" s="47">
        <v>35.316800299999997</v>
      </c>
      <c r="X28" s="47">
        <v>43.558264600000001</v>
      </c>
      <c r="Y28" s="47">
        <v>41.747579399999999</v>
      </c>
      <c r="Z28" s="47">
        <v>49.599126400000003</v>
      </c>
      <c r="AA28" s="47">
        <v>33.262862699999999</v>
      </c>
      <c r="AB28" s="39">
        <v>51483.864456000003</v>
      </c>
      <c r="AC28" s="39">
        <v>705.08059800000001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26.6032616</v>
      </c>
      <c r="K29" s="52">
        <f t="shared" si="1"/>
        <v>22.169384666666666</v>
      </c>
      <c r="L29" s="49">
        <f t="shared" si="2"/>
        <v>266032616</v>
      </c>
      <c r="M29" s="49">
        <f t="shared" si="3"/>
        <v>74447744</v>
      </c>
      <c r="N29" s="53">
        <v>368630976</v>
      </c>
      <c r="O29" s="54">
        <v>266032616</v>
      </c>
      <c r="P29" s="54">
        <v>70285480</v>
      </c>
      <c r="Q29" s="54">
        <v>0</v>
      </c>
      <c r="R29" s="54">
        <v>4162264</v>
      </c>
      <c r="S29" s="54">
        <v>191507824</v>
      </c>
      <c r="T29" s="54">
        <v>77048</v>
      </c>
      <c r="U29" s="55">
        <v>82.823810699999996</v>
      </c>
      <c r="V29" s="55">
        <v>87.275200100000006</v>
      </c>
      <c r="W29" s="55">
        <v>36.045448299999997</v>
      </c>
      <c r="X29" s="55">
        <v>44.184083000000001</v>
      </c>
      <c r="Y29" s="55">
        <v>42.575344999999999</v>
      </c>
      <c r="Z29" s="55">
        <v>52.0653018</v>
      </c>
      <c r="AA29" s="55">
        <v>34.706544399999999</v>
      </c>
      <c r="AB29" s="56">
        <v>63768.447176000001</v>
      </c>
      <c r="AC29" s="56">
        <v>692.90848200000005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2.1582216000000001</v>
      </c>
      <c r="K30" s="37">
        <f t="shared" si="1"/>
        <v>3.5984429912095628</v>
      </c>
      <c r="L30" s="35">
        <f t="shared" si="2"/>
        <v>21582216</v>
      </c>
      <c r="M30" s="35">
        <f t="shared" si="3"/>
        <v>7114072</v>
      </c>
      <c r="N30" s="46">
        <v>11261056</v>
      </c>
      <c r="O30" s="38">
        <v>21582216</v>
      </c>
      <c r="P30" s="38">
        <v>3667368</v>
      </c>
      <c r="Q30" s="38">
        <v>0</v>
      </c>
      <c r="R30" s="38">
        <v>3446704</v>
      </c>
      <c r="S30" s="38">
        <v>14433376</v>
      </c>
      <c r="T30" s="38">
        <v>34768</v>
      </c>
      <c r="U30" s="47">
        <v>72.726624200000003</v>
      </c>
      <c r="V30" s="47">
        <v>74.335130199999995</v>
      </c>
      <c r="W30" s="47">
        <v>37.560884899999998</v>
      </c>
      <c r="X30" s="47">
        <v>44.018140899999999</v>
      </c>
      <c r="Y30" s="47">
        <v>42.619861999999998</v>
      </c>
      <c r="Z30" s="47">
        <v>47.566637</v>
      </c>
      <c r="AA30" s="47">
        <v>34.132380300000001</v>
      </c>
      <c r="AB30" s="39">
        <v>7212.2609069999999</v>
      </c>
      <c r="AC30" s="39">
        <v>94.427684999999997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4.3230919999999999</v>
      </c>
      <c r="K31" s="21">
        <f t="shared" si="1"/>
        <v>7.2079716502485809</v>
      </c>
      <c r="L31" s="19">
        <f t="shared" si="2"/>
        <v>43230920</v>
      </c>
      <c r="M31" s="19">
        <f t="shared" si="3"/>
        <v>10077080</v>
      </c>
      <c r="N31" s="44">
        <v>11261056</v>
      </c>
      <c r="O31" s="22">
        <v>43230920</v>
      </c>
      <c r="P31" s="22">
        <v>3667368</v>
      </c>
      <c r="Q31" s="22">
        <v>0</v>
      </c>
      <c r="R31" s="22">
        <v>6409712</v>
      </c>
      <c r="S31" s="22">
        <v>33119072</v>
      </c>
      <c r="T31" s="22">
        <v>34768</v>
      </c>
      <c r="U31" s="45">
        <v>74.827268500000002</v>
      </c>
      <c r="V31" s="45">
        <v>76.688975999999997</v>
      </c>
      <c r="W31" s="45">
        <v>39.949294700000003</v>
      </c>
      <c r="X31" s="45">
        <v>45.722555200000002</v>
      </c>
      <c r="Y31" s="45">
        <v>44.560159200000001</v>
      </c>
      <c r="Z31" s="45">
        <v>48.867632800000003</v>
      </c>
      <c r="AA31" s="45">
        <v>35.863055899999999</v>
      </c>
      <c r="AB31" s="23">
        <v>7155.0349919999999</v>
      </c>
      <c r="AC31" s="23">
        <v>96.842995000000002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6.3759128</v>
      </c>
      <c r="K32" s="37">
        <f t="shared" si="1"/>
        <v>10.630677928403339</v>
      </c>
      <c r="L32" s="35">
        <f t="shared" si="2"/>
        <v>63759128</v>
      </c>
      <c r="M32" s="35">
        <f t="shared" si="3"/>
        <v>15823024</v>
      </c>
      <c r="N32" s="46">
        <v>11450400</v>
      </c>
      <c r="O32" s="38">
        <v>63759128</v>
      </c>
      <c r="P32" s="38">
        <v>9598992</v>
      </c>
      <c r="Q32" s="38">
        <v>0</v>
      </c>
      <c r="R32" s="38">
        <v>6224032</v>
      </c>
      <c r="S32" s="38">
        <v>47901376</v>
      </c>
      <c r="T32" s="38">
        <v>34728</v>
      </c>
      <c r="U32" s="47">
        <v>78.252129100000005</v>
      </c>
      <c r="V32" s="47">
        <v>80.827564899999999</v>
      </c>
      <c r="W32" s="47">
        <v>41.310361200000003</v>
      </c>
      <c r="X32" s="47">
        <v>46.470451400000002</v>
      </c>
      <c r="Y32" s="47">
        <v>45.4343152</v>
      </c>
      <c r="Z32" s="47">
        <v>51.096065799999998</v>
      </c>
      <c r="AA32" s="47">
        <v>37.795409499999998</v>
      </c>
      <c r="AB32" s="39">
        <v>9390.1276820000003</v>
      </c>
      <c r="AC32" s="39">
        <v>80.811511999999993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9.0692632</v>
      </c>
      <c r="K33" s="21">
        <f t="shared" si="1"/>
        <v>15.121351114952613</v>
      </c>
      <c r="L33" s="19">
        <f t="shared" si="2"/>
        <v>90692632</v>
      </c>
      <c r="M33" s="19">
        <f t="shared" si="3"/>
        <v>18553312</v>
      </c>
      <c r="N33" s="44">
        <v>11450400</v>
      </c>
      <c r="O33" s="22">
        <v>90692632</v>
      </c>
      <c r="P33" s="22">
        <v>9598992</v>
      </c>
      <c r="Q33" s="22">
        <v>0</v>
      </c>
      <c r="R33" s="22">
        <v>8954320</v>
      </c>
      <c r="S33" s="22">
        <v>72104552</v>
      </c>
      <c r="T33" s="22">
        <v>34768</v>
      </c>
      <c r="U33" s="45">
        <v>79.348633100000001</v>
      </c>
      <c r="V33" s="45">
        <v>82.357591499999998</v>
      </c>
      <c r="W33" s="45">
        <v>42.227210700000001</v>
      </c>
      <c r="X33" s="45">
        <v>47.606130999999998</v>
      </c>
      <c r="Y33" s="45">
        <v>46.771595099999999</v>
      </c>
      <c r="Z33" s="45">
        <v>51.836610200000003</v>
      </c>
      <c r="AA33" s="45">
        <v>38.889421599999999</v>
      </c>
      <c r="AB33" s="23">
        <v>23969.298091000001</v>
      </c>
      <c r="AC33" s="23">
        <v>270.36868199999998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13.1184344</v>
      </c>
      <c r="K34" s="29">
        <f t="shared" si="1"/>
        <v>21.872609523657083</v>
      </c>
      <c r="L34" s="27">
        <f t="shared" si="2"/>
        <v>131184344</v>
      </c>
      <c r="M34" s="27">
        <f t="shared" si="3"/>
        <v>30207480</v>
      </c>
      <c r="N34" s="58">
        <v>34479248</v>
      </c>
      <c r="O34" s="30">
        <v>131184344</v>
      </c>
      <c r="P34" s="30">
        <v>21799680</v>
      </c>
      <c r="Q34" s="30">
        <v>0</v>
      </c>
      <c r="R34" s="30">
        <v>8407800</v>
      </c>
      <c r="S34" s="30">
        <v>100940856</v>
      </c>
      <c r="T34" s="30">
        <v>36008</v>
      </c>
      <c r="U34" s="59">
        <v>82.069004199999995</v>
      </c>
      <c r="V34" s="59">
        <v>86.215924299999998</v>
      </c>
      <c r="W34" s="59">
        <v>43.2754537</v>
      </c>
      <c r="X34" s="59">
        <v>48.3498473</v>
      </c>
      <c r="Y34" s="59">
        <v>47.605775800000004</v>
      </c>
      <c r="Z34" s="59">
        <v>53.756417499999998</v>
      </c>
      <c r="AA34" s="59">
        <v>40.787927099999997</v>
      </c>
      <c r="AB34" s="31">
        <v>30052.274732999998</v>
      </c>
      <c r="AC34" s="31">
        <v>318.93530800000002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4</v>
      </c>
      <c r="J35" s="20">
        <f t="shared" si="0"/>
        <v>3.8580399999999999</v>
      </c>
      <c r="K35" s="21">
        <f t="shared" si="1"/>
        <v>4.2867111111111109</v>
      </c>
      <c r="L35" s="19">
        <f t="shared" si="2"/>
        <v>38580400</v>
      </c>
      <c r="M35" s="19">
        <f t="shared" si="3"/>
        <v>12724464</v>
      </c>
      <c r="N35" s="44">
        <v>4297872</v>
      </c>
      <c r="O35" s="22">
        <v>38580400</v>
      </c>
      <c r="P35" s="22">
        <v>5958944</v>
      </c>
      <c r="Q35" s="22">
        <v>0</v>
      </c>
      <c r="R35" s="22">
        <v>6765520</v>
      </c>
      <c r="S35" s="22">
        <v>25791368</v>
      </c>
      <c r="T35" s="22">
        <v>64568</v>
      </c>
      <c r="U35" s="45">
        <v>69.306361300000006</v>
      </c>
      <c r="V35" s="45">
        <v>70.436298399999998</v>
      </c>
      <c r="W35" s="45">
        <v>29.628592399999999</v>
      </c>
      <c r="X35" s="45">
        <v>38.7671086</v>
      </c>
      <c r="Y35" s="45">
        <v>38.4336585</v>
      </c>
      <c r="Z35" s="45">
        <v>46.096102000000002</v>
      </c>
      <c r="AA35" s="45">
        <v>28.1385538</v>
      </c>
      <c r="AB35" s="23">
        <v>6237.8836659999997</v>
      </c>
      <c r="AC35" s="23">
        <v>49.932727999999997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6</v>
      </c>
      <c r="J36" s="36">
        <f t="shared" si="0"/>
        <v>6.1008384000000007</v>
      </c>
      <c r="K36" s="37">
        <f t="shared" si="1"/>
        <v>6.7787093333333335</v>
      </c>
      <c r="L36" s="35">
        <f t="shared" si="2"/>
        <v>61008384</v>
      </c>
      <c r="M36" s="35">
        <f t="shared" si="3"/>
        <v>17054224</v>
      </c>
      <c r="N36" s="46">
        <v>8608176</v>
      </c>
      <c r="O36" s="38">
        <v>61008384</v>
      </c>
      <c r="P36" s="38">
        <v>9083360</v>
      </c>
      <c r="Q36" s="38">
        <v>0</v>
      </c>
      <c r="R36" s="38">
        <v>7970864</v>
      </c>
      <c r="S36" s="38">
        <v>43887192</v>
      </c>
      <c r="T36" s="38">
        <v>66968</v>
      </c>
      <c r="U36" s="47">
        <v>72.811049299999993</v>
      </c>
      <c r="V36" s="47">
        <v>74.442406000000005</v>
      </c>
      <c r="W36" s="47">
        <v>30.3314232</v>
      </c>
      <c r="X36" s="47">
        <v>38.942855299999998</v>
      </c>
      <c r="Y36" s="47">
        <v>38.716002199999998</v>
      </c>
      <c r="Z36" s="47">
        <v>48.120626700000003</v>
      </c>
      <c r="AA36" s="47">
        <v>28.799058599999999</v>
      </c>
      <c r="AB36" s="39">
        <v>7652.0319980000004</v>
      </c>
      <c r="AC36" s="39">
        <v>53.906075000000001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11</v>
      </c>
      <c r="J37" s="20">
        <f t="shared" si="0"/>
        <v>11.224959199999999</v>
      </c>
      <c r="K37" s="21">
        <f t="shared" si="1"/>
        <v>12.472176888888889</v>
      </c>
      <c r="L37" s="19">
        <f t="shared" si="2"/>
        <v>112249592</v>
      </c>
      <c r="M37" s="19">
        <f t="shared" si="3"/>
        <v>21779888</v>
      </c>
      <c r="N37" s="44">
        <v>17228816</v>
      </c>
      <c r="O37" s="22">
        <v>112249592</v>
      </c>
      <c r="P37" s="22">
        <v>15349160</v>
      </c>
      <c r="Q37" s="22">
        <v>0</v>
      </c>
      <c r="R37" s="22">
        <v>6430728</v>
      </c>
      <c r="S37" s="22">
        <v>90400176</v>
      </c>
      <c r="T37" s="22">
        <v>69528</v>
      </c>
      <c r="U37" s="45">
        <v>74.341760399999998</v>
      </c>
      <c r="V37" s="45">
        <v>76.149996299999998</v>
      </c>
      <c r="W37" s="45">
        <v>31.256618599999999</v>
      </c>
      <c r="X37" s="45">
        <v>39.170403800000003</v>
      </c>
      <c r="Y37" s="45">
        <v>39.300125399999999</v>
      </c>
      <c r="Z37" s="45">
        <v>48.834405799999999</v>
      </c>
      <c r="AA37" s="45">
        <v>30.122607599999998</v>
      </c>
      <c r="AB37" s="23">
        <v>50379.696339000002</v>
      </c>
      <c r="AC37" s="23">
        <v>629.99907599999995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16</v>
      </c>
      <c r="J38" s="36">
        <f t="shared" si="0"/>
        <v>16.364537599999998</v>
      </c>
      <c r="K38" s="37">
        <f t="shared" si="1"/>
        <v>18.182819555555554</v>
      </c>
      <c r="L38" s="35">
        <f t="shared" si="2"/>
        <v>163645376</v>
      </c>
      <c r="M38" s="35">
        <f t="shared" si="3"/>
        <v>27907816</v>
      </c>
      <c r="N38" s="46">
        <v>17228816</v>
      </c>
      <c r="O38" s="38">
        <v>163645376</v>
      </c>
      <c r="P38" s="38">
        <v>16974728</v>
      </c>
      <c r="Q38" s="38">
        <v>0</v>
      </c>
      <c r="R38" s="38">
        <v>10933088</v>
      </c>
      <c r="S38" s="38">
        <v>135668032</v>
      </c>
      <c r="T38" s="38">
        <v>69528</v>
      </c>
      <c r="U38" s="47">
        <v>76.088108899999995</v>
      </c>
      <c r="V38" s="47">
        <v>78.167838399999994</v>
      </c>
      <c r="W38" s="47">
        <v>31.928774600000001</v>
      </c>
      <c r="X38" s="47">
        <v>39.244321499999998</v>
      </c>
      <c r="Y38" s="47">
        <v>39.425398700000002</v>
      </c>
      <c r="Z38" s="47">
        <v>50.036354099999997</v>
      </c>
      <c r="AA38" s="47">
        <v>30.837379899999998</v>
      </c>
      <c r="AB38" s="39">
        <v>50412.289478999999</v>
      </c>
      <c r="AC38" s="39">
        <v>632.68125599999996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24</v>
      </c>
      <c r="J39" s="51">
        <f t="shared" si="0"/>
        <v>24.506367999999998</v>
      </c>
      <c r="K39" s="52">
        <f t="shared" si="1"/>
        <v>27.229297777777777</v>
      </c>
      <c r="L39" s="49">
        <f t="shared" si="2"/>
        <v>245063680</v>
      </c>
      <c r="M39" s="49">
        <f t="shared" si="3"/>
        <v>39493136</v>
      </c>
      <c r="N39" s="53">
        <v>34467120</v>
      </c>
      <c r="O39" s="54">
        <v>245063680</v>
      </c>
      <c r="P39" s="54">
        <v>29704512</v>
      </c>
      <c r="Q39" s="54">
        <v>0</v>
      </c>
      <c r="R39" s="54">
        <v>9788624</v>
      </c>
      <c r="S39" s="54">
        <v>205501016</v>
      </c>
      <c r="T39" s="54">
        <v>69528</v>
      </c>
      <c r="U39" s="55">
        <v>78.4225864</v>
      </c>
      <c r="V39" s="55">
        <v>80.9591195</v>
      </c>
      <c r="W39" s="55">
        <v>32.765003200000002</v>
      </c>
      <c r="X39" s="55">
        <v>39.327234599999997</v>
      </c>
      <c r="Y39" s="55">
        <v>39.579856100000001</v>
      </c>
      <c r="Z39" s="55">
        <v>51.2693163</v>
      </c>
      <c r="AA39" s="55">
        <v>31.719019800000002</v>
      </c>
      <c r="AB39" s="56">
        <v>54701.346513999997</v>
      </c>
      <c r="AC39" s="56">
        <v>611.19134299999996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4</v>
      </c>
      <c r="J40" s="36">
        <f t="shared" si="0"/>
        <v>3.9826783999999997</v>
      </c>
      <c r="K40" s="37">
        <f t="shared" si="1"/>
        <v>4.4251982222222219</v>
      </c>
      <c r="L40" s="35">
        <f t="shared" si="2"/>
        <v>39826784</v>
      </c>
      <c r="M40" s="35">
        <f t="shared" si="3"/>
        <v>11299840</v>
      </c>
      <c r="N40" s="46">
        <v>4308960</v>
      </c>
      <c r="O40" s="38">
        <v>39826784</v>
      </c>
      <c r="P40" s="38">
        <v>5227880</v>
      </c>
      <c r="Q40" s="38">
        <v>0</v>
      </c>
      <c r="R40" s="38">
        <v>6071960</v>
      </c>
      <c r="S40" s="38">
        <v>28462376</v>
      </c>
      <c r="T40" s="38">
        <v>64568</v>
      </c>
      <c r="U40" s="47">
        <v>70.174457799999999</v>
      </c>
      <c r="V40" s="47">
        <v>71.218200400000001</v>
      </c>
      <c r="W40" s="47">
        <v>32.492262599999997</v>
      </c>
      <c r="X40" s="47">
        <v>42.269693199999999</v>
      </c>
      <c r="Y40" s="47">
        <v>42.5106039</v>
      </c>
      <c r="Z40" s="47">
        <v>46.574558099999997</v>
      </c>
      <c r="AA40" s="47">
        <v>31.332224700000001</v>
      </c>
      <c r="AB40" s="39">
        <v>14537.813958000001</v>
      </c>
      <c r="AC40" s="39">
        <v>161.67623699999999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6</v>
      </c>
      <c r="J41" s="20">
        <f t="shared" si="0"/>
        <v>6.0278928000000001</v>
      </c>
      <c r="K41" s="21">
        <f t="shared" si="1"/>
        <v>6.6976586666666664</v>
      </c>
      <c r="L41" s="19">
        <f t="shared" si="2"/>
        <v>60278928</v>
      </c>
      <c r="M41" s="19">
        <f t="shared" si="3"/>
        <v>12105464</v>
      </c>
      <c r="N41" s="44">
        <v>4308960</v>
      </c>
      <c r="O41" s="22">
        <v>60278928</v>
      </c>
      <c r="P41" s="22">
        <v>5651088</v>
      </c>
      <c r="Q41" s="22">
        <v>0</v>
      </c>
      <c r="R41" s="22">
        <v>6454376</v>
      </c>
      <c r="S41" s="22">
        <v>48108736</v>
      </c>
      <c r="T41" s="22">
        <v>64728</v>
      </c>
      <c r="U41" s="45">
        <v>70.316456299999999</v>
      </c>
      <c r="V41" s="45">
        <v>71.369037599999999</v>
      </c>
      <c r="W41" s="45">
        <v>33.095143499999999</v>
      </c>
      <c r="X41" s="45">
        <v>42.515505500000003</v>
      </c>
      <c r="Y41" s="45">
        <v>42.799503299999998</v>
      </c>
      <c r="Z41" s="45">
        <v>46.605496500000001</v>
      </c>
      <c r="AA41" s="45">
        <v>31.626768899999998</v>
      </c>
      <c r="AB41" s="23">
        <v>46774.580228999999</v>
      </c>
      <c r="AC41" s="23">
        <v>535.97818600000005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11</v>
      </c>
      <c r="J42" s="36">
        <f t="shared" si="0"/>
        <v>11.070752800000001</v>
      </c>
      <c r="K42" s="37">
        <f t="shared" si="1"/>
        <v>12.300836444444444</v>
      </c>
      <c r="L42" s="35">
        <f t="shared" si="2"/>
        <v>110707528</v>
      </c>
      <c r="M42" s="35">
        <f t="shared" si="3"/>
        <v>22940568</v>
      </c>
      <c r="N42" s="46">
        <v>17259744</v>
      </c>
      <c r="O42" s="38">
        <v>110707528</v>
      </c>
      <c r="P42" s="38">
        <v>14841360</v>
      </c>
      <c r="Q42" s="38">
        <v>0</v>
      </c>
      <c r="R42" s="38">
        <v>8099208</v>
      </c>
      <c r="S42" s="38">
        <v>87697432</v>
      </c>
      <c r="T42" s="38">
        <v>69528</v>
      </c>
      <c r="U42" s="47">
        <v>75.710287699999995</v>
      </c>
      <c r="V42" s="47">
        <v>77.417530400000004</v>
      </c>
      <c r="W42" s="47">
        <v>34.168062599999999</v>
      </c>
      <c r="X42" s="47">
        <v>42.861942200000001</v>
      </c>
      <c r="Y42" s="47">
        <v>43.3351489</v>
      </c>
      <c r="Z42" s="47">
        <v>49.911575200000001</v>
      </c>
      <c r="AA42" s="47">
        <v>33.231092400000001</v>
      </c>
      <c r="AB42" s="39">
        <v>48752.535039000002</v>
      </c>
      <c r="AC42" s="39">
        <v>542.785121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16</v>
      </c>
      <c r="J43" s="20">
        <f t="shared" si="0"/>
        <v>16.178567999999999</v>
      </c>
      <c r="K43" s="21">
        <f t="shared" si="1"/>
        <v>17.976186666666667</v>
      </c>
      <c r="L43" s="19">
        <f t="shared" si="2"/>
        <v>161785680</v>
      </c>
      <c r="M43" s="19">
        <f t="shared" si="3"/>
        <v>26739520</v>
      </c>
      <c r="N43" s="44">
        <v>17259744</v>
      </c>
      <c r="O43" s="22">
        <v>161785680</v>
      </c>
      <c r="P43" s="22">
        <v>16457880</v>
      </c>
      <c r="Q43" s="22">
        <v>0</v>
      </c>
      <c r="R43" s="22">
        <v>10281640</v>
      </c>
      <c r="S43" s="22">
        <v>134976632</v>
      </c>
      <c r="T43" s="22">
        <v>69528</v>
      </c>
      <c r="U43" s="45">
        <v>76.627434500000007</v>
      </c>
      <c r="V43" s="45">
        <v>78.488235900000006</v>
      </c>
      <c r="W43" s="45">
        <v>34.825448000000002</v>
      </c>
      <c r="X43" s="45">
        <v>42.990658099999997</v>
      </c>
      <c r="Y43" s="45">
        <v>43.527176500000003</v>
      </c>
      <c r="Z43" s="45">
        <v>50.523032499999999</v>
      </c>
      <c r="AA43" s="45">
        <v>33.807484899999999</v>
      </c>
      <c r="AB43" s="23">
        <v>48703.766853000001</v>
      </c>
      <c r="AC43" s="23">
        <v>545.01176999999996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24</v>
      </c>
      <c r="J44" s="28">
        <f t="shared" si="0"/>
        <v>24.393708800000002</v>
      </c>
      <c r="K44" s="29">
        <f t="shared" si="1"/>
        <v>27.10412088888889</v>
      </c>
      <c r="L44" s="27">
        <f t="shared" si="2"/>
        <v>243937088</v>
      </c>
      <c r="M44" s="27">
        <f t="shared" si="3"/>
        <v>38009376</v>
      </c>
      <c r="N44" s="58">
        <v>34522944</v>
      </c>
      <c r="O44" s="30">
        <v>243937088</v>
      </c>
      <c r="P44" s="30">
        <v>25693560</v>
      </c>
      <c r="Q44" s="30">
        <v>0</v>
      </c>
      <c r="R44" s="30">
        <v>12315816</v>
      </c>
      <c r="S44" s="30">
        <v>205858184</v>
      </c>
      <c r="T44" s="30">
        <v>69528</v>
      </c>
      <c r="U44" s="59">
        <v>79.040216000000001</v>
      </c>
      <c r="V44" s="59">
        <v>81.402415700000006</v>
      </c>
      <c r="W44" s="59">
        <v>35.690950399999998</v>
      </c>
      <c r="X44" s="59">
        <v>43.120618700000001</v>
      </c>
      <c r="Y44" s="59">
        <v>43.720245300000002</v>
      </c>
      <c r="Z44" s="59">
        <v>51.7648467</v>
      </c>
      <c r="AA44" s="59">
        <v>34.776605199999999</v>
      </c>
      <c r="AB44" s="31">
        <v>53469.648018</v>
      </c>
      <c r="AC44" s="31">
        <v>574.39408900000001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12.59699989903624</v>
      </c>
      <c r="L45" s="42"/>
      <c r="M45" s="42"/>
      <c r="AF45" s="42" t="e">
        <f>AVERAGE(AF5:AF14)</f>
        <v>#DIV/0!</v>
      </c>
      <c r="AG45" s="42"/>
      <c r="AH45" s="42"/>
      <c r="AZ45" s="5" t="e">
        <f t="shared" ref="AZ45:BF45" si="12">AVERAGE(AZ5:AZ14)</f>
        <v>#DIV/0!</v>
      </c>
      <c r="BA45" s="5" t="e">
        <f t="shared" si="12"/>
        <v>#DIV/0!</v>
      </c>
      <c r="BB45" s="5" t="e">
        <f t="shared" si="12"/>
        <v>#DIV/0!</v>
      </c>
      <c r="BC45" s="5" t="e">
        <f t="shared" si="12"/>
        <v>#DIV/0!</v>
      </c>
      <c r="BD45" s="5" t="e">
        <f t="shared" si="12"/>
        <v>#DIV/0!</v>
      </c>
      <c r="BE45" s="5" t="e">
        <f t="shared" si="12"/>
        <v>#DIV/0!</v>
      </c>
      <c r="BF45" s="5" t="e">
        <f t="shared" si="12"/>
        <v>#DIV/0!</v>
      </c>
      <c r="BH45" s="5" t="e">
        <f t="shared" ref="BH45:BN45" si="13">AVERAGE(BH5:BH14)</f>
        <v>#DIV/0!</v>
      </c>
      <c r="BI45" s="5" t="e">
        <f t="shared" si="13"/>
        <v>#DIV/0!</v>
      </c>
      <c r="BJ45" s="5" t="e">
        <f t="shared" si="13"/>
        <v>#DIV/0!</v>
      </c>
      <c r="BK45" s="5" t="e">
        <f t="shared" si="13"/>
        <v>#DIV/0!</v>
      </c>
      <c r="BL45" s="5" t="e">
        <f t="shared" si="13"/>
        <v>#DIV/0!</v>
      </c>
      <c r="BM45" s="5" t="e">
        <f t="shared" si="13"/>
        <v>#DIV/0!</v>
      </c>
      <c r="BN45" s="5" t="e">
        <f t="shared" si="13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9.1507750358271842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4">AVERAGE(AZ15:AZ24)</f>
        <v>#DIV/0!</v>
      </c>
      <c r="BA46" s="5" t="e">
        <f t="shared" si="14"/>
        <v>#DIV/0!</v>
      </c>
      <c r="BB46" s="5" t="e">
        <f t="shared" si="14"/>
        <v>#DIV/0!</v>
      </c>
      <c r="BC46" s="5" t="e">
        <f t="shared" si="14"/>
        <v>#DIV/0!</v>
      </c>
      <c r="BD46" s="5" t="e">
        <f t="shared" si="14"/>
        <v>#DIV/0!</v>
      </c>
      <c r="BE46" s="5" t="e">
        <f t="shared" si="14"/>
        <v>#DIV/0!</v>
      </c>
      <c r="BF46" s="5" t="e">
        <f t="shared" si="14"/>
        <v>#DIV/0!</v>
      </c>
      <c r="BH46" s="5" t="e">
        <f t="shared" ref="BH46:BN46" si="15">AVERAGE(BH15:BH24)</f>
        <v>#DIV/0!</v>
      </c>
      <c r="BI46" s="5" t="e">
        <f t="shared" si="15"/>
        <v>#DIV/0!</v>
      </c>
      <c r="BJ46" s="5" t="e">
        <f t="shared" si="15"/>
        <v>#DIV/0!</v>
      </c>
      <c r="BK46" s="5" t="e">
        <f t="shared" si="15"/>
        <v>#DIV/0!</v>
      </c>
      <c r="BL46" s="5" t="e">
        <f t="shared" si="15"/>
        <v>#DIV/0!</v>
      </c>
      <c r="BM46" s="5" t="e">
        <f t="shared" si="15"/>
        <v>#DIV/0!</v>
      </c>
      <c r="BN46" s="5" t="e">
        <f t="shared" si="15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12.711193038201339</v>
      </c>
      <c r="L47" s="42"/>
      <c r="M47" s="42"/>
      <c r="AF47" s="42" t="e">
        <f>AVERAGE(AF25:AF44)</f>
        <v>#DIV/0!</v>
      </c>
      <c r="AG47" s="42"/>
      <c r="AH47" s="42"/>
      <c r="AZ47" s="5" t="e">
        <f t="shared" ref="AZ47:BF47" si="16">AVERAGE(AZ25:AZ44)</f>
        <v>#DIV/0!</v>
      </c>
      <c r="BA47" s="5" t="e">
        <f t="shared" si="16"/>
        <v>#DIV/0!</v>
      </c>
      <c r="BB47" s="5" t="e">
        <f t="shared" si="16"/>
        <v>#DIV/0!</v>
      </c>
      <c r="BC47" s="5" t="e">
        <f t="shared" si="16"/>
        <v>#DIV/0!</v>
      </c>
      <c r="BD47" s="5" t="e">
        <f t="shared" si="16"/>
        <v>#DIV/0!</v>
      </c>
      <c r="BE47" s="5" t="e">
        <f t="shared" si="16"/>
        <v>#DIV/0!</v>
      </c>
      <c r="BF47" s="5" t="e">
        <f t="shared" si="16"/>
        <v>#DIV/0!</v>
      </c>
      <c r="BH47" s="5" t="e">
        <f t="shared" ref="BH47:BN47" si="17">AVERAGE(BH25:BH44)</f>
        <v>#DIV/0!</v>
      </c>
      <c r="BI47" s="5" t="e">
        <f t="shared" si="17"/>
        <v>#DIV/0!</v>
      </c>
      <c r="BJ47" s="5" t="e">
        <f t="shared" si="17"/>
        <v>#DIV/0!</v>
      </c>
      <c r="BK47" s="5" t="e">
        <f t="shared" si="17"/>
        <v>#DIV/0!</v>
      </c>
      <c r="BL47" s="5" t="e">
        <f t="shared" si="17"/>
        <v>#DIV/0!</v>
      </c>
      <c r="BM47" s="5" t="e">
        <f t="shared" si="17"/>
        <v>#DIV/0!</v>
      </c>
      <c r="BN47" s="5" t="e">
        <f t="shared" si="17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11.792540252816522</v>
      </c>
      <c r="L48" s="42"/>
      <c r="M48" s="42"/>
      <c r="AF48" s="42" t="e">
        <f>AVERAGE(AF5:AF44)</f>
        <v>#DIV/0!</v>
      </c>
      <c r="AG48" s="42"/>
      <c r="AH48" s="42"/>
      <c r="AJ48" s="98"/>
      <c r="AK48" s="98"/>
      <c r="AZ48" s="5" t="e">
        <f t="shared" ref="AZ48:BF48" si="18">AVERAGE(AZ5:AZ44)</f>
        <v>#DIV/0!</v>
      </c>
      <c r="BA48" s="5" t="e">
        <f t="shared" si="18"/>
        <v>#DIV/0!</v>
      </c>
      <c r="BB48" s="5" t="e">
        <f t="shared" si="18"/>
        <v>#DIV/0!</v>
      </c>
      <c r="BC48" s="5" t="e">
        <f t="shared" si="18"/>
        <v>#DIV/0!</v>
      </c>
      <c r="BD48" s="5" t="e">
        <f t="shared" si="18"/>
        <v>#DIV/0!</v>
      </c>
      <c r="BE48" s="5" t="e">
        <f t="shared" si="18"/>
        <v>#DIV/0!</v>
      </c>
      <c r="BF48" s="5" t="e">
        <f t="shared" si="18"/>
        <v>#DIV/0!</v>
      </c>
      <c r="BH48" s="5" t="e">
        <f t="shared" ref="BH48:BN48" si="19">AVERAGE(BH5:BH44)</f>
        <v>#DIV/0!</v>
      </c>
      <c r="BI48" s="5" t="e">
        <f t="shared" si="19"/>
        <v>#DIV/0!</v>
      </c>
      <c r="BJ48" s="5" t="e">
        <f t="shared" si="19"/>
        <v>#DIV/0!</v>
      </c>
      <c r="BK48" s="5" t="e">
        <f t="shared" si="19"/>
        <v>#DIV/0!</v>
      </c>
      <c r="BL48" s="5" t="e">
        <f t="shared" si="19"/>
        <v>#DIV/0!</v>
      </c>
      <c r="BM48" s="5" t="e">
        <f t="shared" si="19"/>
        <v>#DIV/0!</v>
      </c>
      <c r="BN48" s="5" t="e">
        <f t="shared" si="19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942173.45447599981</v>
      </c>
      <c r="AC49" s="43">
        <f>SUM(AC5:AC14,AC15:AC24,AC25:AC44)</f>
        <v>10465.140082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W50" s="8">
        <f>AW49/AB49</f>
        <v>0</v>
      </c>
      <c r="AX50" s="8">
        <f>AX49/AC49</f>
        <v>0</v>
      </c>
    </row>
    <row r="53" spans="1:50" ht="15.75" customHeight="1" thickBot="1" x14ac:dyDescent="0.2"/>
    <row r="54" spans="1:50" x14ac:dyDescent="0.15">
      <c r="AG54" s="88" t="e">
        <f t="shared" ref="AG54:AG93" si="20">AG5-L5</f>
        <v>#VALUE!</v>
      </c>
      <c r="AH54" s="88" t="e">
        <f t="shared" ref="AH54:AH93" si="21">AH5-M5</f>
        <v>#VALUE!</v>
      </c>
      <c r="AI54" s="88">
        <f t="shared" ref="AI54:AI93" si="22">AI5-N5</f>
        <v>-5681424</v>
      </c>
      <c r="AJ54" s="88">
        <f t="shared" ref="AJ54:AJ93" si="23">AJ5-O5</f>
        <v>-51451192</v>
      </c>
      <c r="AK54" s="88">
        <f t="shared" ref="AK54:AK93" si="24">AK5-P5</f>
        <v>-8115120</v>
      </c>
      <c r="AL54" s="88">
        <f t="shared" ref="AL54:AL93" si="25">AL5-Q5</f>
        <v>0</v>
      </c>
      <c r="AM54" s="88">
        <f t="shared" ref="AM54:AM93" si="26">AM5-R5</f>
        <v>-7080048</v>
      </c>
      <c r="AN54" s="88">
        <f t="shared" ref="AN54:AN93" si="27">AN5-S5</f>
        <v>-36189056</v>
      </c>
      <c r="AO54" s="88">
        <f t="shared" ref="AO54:AO93" si="28">AO5-T5</f>
        <v>-66968</v>
      </c>
      <c r="AP54" s="88">
        <f t="shared" ref="AP54:AP93" si="29">AP5-U5</f>
        <v>-67.568367199999997</v>
      </c>
      <c r="AQ54" s="89">
        <f t="shared" ref="AQ54:AQ93" si="30">AQ5-V5</f>
        <v>-68.459350400000005</v>
      </c>
      <c r="AR54" s="89">
        <f t="shared" ref="AR54:AR93" si="31">AR5-W5</f>
        <v>-28.745957799999999</v>
      </c>
      <c r="AS54" s="89">
        <f t="shared" ref="AS54:AS93" si="32">AS5-X5</f>
        <v>-33.873689499999998</v>
      </c>
      <c r="AT54" s="89">
        <f t="shared" ref="AT54:AT93" si="33">AT5-Y5</f>
        <v>-33.301614100000002</v>
      </c>
      <c r="AU54" s="89">
        <f t="shared" ref="AU54:AU93" si="34">AU5-Z5</f>
        <v>-47.457369100000001</v>
      </c>
      <c r="AV54" s="90">
        <f t="shared" ref="AV54:AV93" si="35">AV5-AA5</f>
        <v>-27.045335300000001</v>
      </c>
    </row>
    <row r="55" spans="1:50" x14ac:dyDescent="0.15">
      <c r="AG55" s="91" t="e">
        <f t="shared" si="20"/>
        <v>#VALUE!</v>
      </c>
      <c r="AH55" s="91" t="e">
        <f t="shared" si="21"/>
        <v>#VALUE!</v>
      </c>
      <c r="AI55" s="91">
        <f t="shared" si="22"/>
        <v>-5681424</v>
      </c>
      <c r="AJ55" s="91">
        <f t="shared" si="23"/>
        <v>-94075760</v>
      </c>
      <c r="AK55" s="91">
        <f t="shared" si="24"/>
        <v>-8741944</v>
      </c>
      <c r="AL55" s="91">
        <f t="shared" si="25"/>
        <v>0</v>
      </c>
      <c r="AM55" s="91">
        <f t="shared" si="26"/>
        <v>-8121424</v>
      </c>
      <c r="AN55" s="91">
        <f t="shared" si="27"/>
        <v>-77145424</v>
      </c>
      <c r="AO55" s="91">
        <f t="shared" si="28"/>
        <v>-66968</v>
      </c>
      <c r="AP55" s="91">
        <f t="shared" si="29"/>
        <v>-67.795415399999996</v>
      </c>
      <c r="AQ55" s="92">
        <f t="shared" si="30"/>
        <v>-68.703781300000003</v>
      </c>
      <c r="AR55" s="92">
        <f t="shared" si="31"/>
        <v>-31.3314773</v>
      </c>
      <c r="AS55" s="92">
        <f t="shared" si="32"/>
        <v>-35.080418000000002</v>
      </c>
      <c r="AT55" s="92">
        <f t="shared" si="33"/>
        <v>-34.610132700000001</v>
      </c>
      <c r="AU55" s="92">
        <f t="shared" si="34"/>
        <v>-47.533842700000001</v>
      </c>
      <c r="AV55" s="93">
        <f t="shared" si="35"/>
        <v>-28.250900000000001</v>
      </c>
    </row>
    <row r="56" spans="1:50" x14ac:dyDescent="0.15">
      <c r="AG56" s="91" t="e">
        <f t="shared" si="20"/>
        <v>#VALUE!</v>
      </c>
      <c r="AH56" s="91" t="e">
        <f t="shared" si="21"/>
        <v>#VALUE!</v>
      </c>
      <c r="AI56" s="91">
        <f t="shared" si="22"/>
        <v>-11389008</v>
      </c>
      <c r="AJ56" s="91">
        <f t="shared" si="23"/>
        <v>-129333128</v>
      </c>
      <c r="AK56" s="91">
        <f t="shared" si="24"/>
        <v>-12587656</v>
      </c>
      <c r="AL56" s="91">
        <f t="shared" si="25"/>
        <v>0</v>
      </c>
      <c r="AM56" s="91">
        <f t="shared" si="26"/>
        <v>-7823360</v>
      </c>
      <c r="AN56" s="91">
        <f t="shared" si="27"/>
        <v>-108852664</v>
      </c>
      <c r="AO56" s="91">
        <f t="shared" si="28"/>
        <v>-69448</v>
      </c>
      <c r="AP56" s="91">
        <f t="shared" si="29"/>
        <v>-70.863024300000006</v>
      </c>
      <c r="AQ56" s="92">
        <f t="shared" si="30"/>
        <v>-72.229139599999996</v>
      </c>
      <c r="AR56" s="92">
        <f t="shared" si="31"/>
        <v>-32.605908200000002</v>
      </c>
      <c r="AS56" s="92">
        <f t="shared" si="32"/>
        <v>-36.885134600000001</v>
      </c>
      <c r="AT56" s="92">
        <f t="shared" si="33"/>
        <v>-36.6010639</v>
      </c>
      <c r="AU56" s="92">
        <f t="shared" si="34"/>
        <v>-49.459699800000003</v>
      </c>
      <c r="AV56" s="93">
        <f t="shared" si="35"/>
        <v>-30.001898000000001</v>
      </c>
    </row>
    <row r="57" spans="1:50" x14ac:dyDescent="0.15">
      <c r="AG57" s="91" t="e">
        <f t="shared" si="20"/>
        <v>#VALUE!</v>
      </c>
      <c r="AH57" s="91" t="e">
        <f t="shared" si="21"/>
        <v>#VALUE!</v>
      </c>
      <c r="AI57" s="91">
        <f t="shared" si="22"/>
        <v>-11389008</v>
      </c>
      <c r="AJ57" s="91">
        <f t="shared" si="23"/>
        <v>-161061752</v>
      </c>
      <c r="AK57" s="91">
        <f t="shared" si="24"/>
        <v>-13749144</v>
      </c>
      <c r="AL57" s="91">
        <f t="shared" si="25"/>
        <v>0</v>
      </c>
      <c r="AM57" s="91">
        <f t="shared" si="26"/>
        <v>-12766008</v>
      </c>
      <c r="AN57" s="91">
        <f t="shared" si="27"/>
        <v>-134477152</v>
      </c>
      <c r="AO57" s="91">
        <f t="shared" si="28"/>
        <v>-69448</v>
      </c>
      <c r="AP57" s="91">
        <f t="shared" si="29"/>
        <v>-72.266098499999998</v>
      </c>
      <c r="AQ57" s="92">
        <f t="shared" si="30"/>
        <v>-73.802607199999997</v>
      </c>
      <c r="AR57" s="92">
        <f t="shared" si="31"/>
        <v>-33.541646</v>
      </c>
      <c r="AS57" s="92">
        <f t="shared" si="32"/>
        <v>-37.412120000000002</v>
      </c>
      <c r="AT57" s="92">
        <f t="shared" si="33"/>
        <v>-37.131259</v>
      </c>
      <c r="AU57" s="92">
        <f t="shared" si="34"/>
        <v>-49.967984199999997</v>
      </c>
      <c r="AV57" s="93">
        <f t="shared" si="35"/>
        <v>-30.9577083</v>
      </c>
    </row>
    <row r="58" spans="1:50" x14ac:dyDescent="0.15">
      <c r="AG58" s="91" t="e">
        <f t="shared" si="20"/>
        <v>#VALUE!</v>
      </c>
      <c r="AH58" s="91" t="e">
        <f t="shared" si="21"/>
        <v>#VALUE!</v>
      </c>
      <c r="AI58" s="91">
        <f t="shared" si="22"/>
        <v>-22901024</v>
      </c>
      <c r="AJ58" s="91">
        <f t="shared" si="23"/>
        <v>-233366064</v>
      </c>
      <c r="AK58" s="91">
        <f t="shared" si="24"/>
        <v>-20463464</v>
      </c>
      <c r="AL58" s="91">
        <f t="shared" si="25"/>
        <v>0</v>
      </c>
      <c r="AM58" s="91">
        <f t="shared" si="26"/>
        <v>-23355480</v>
      </c>
      <c r="AN58" s="91">
        <f t="shared" si="27"/>
        <v>-189477672</v>
      </c>
      <c r="AO58" s="91">
        <f t="shared" si="28"/>
        <v>-69448</v>
      </c>
      <c r="AP58" s="91">
        <f t="shared" si="29"/>
        <v>-75.522071499999996</v>
      </c>
      <c r="AQ58" s="92">
        <f t="shared" si="30"/>
        <v>-77.661470199999997</v>
      </c>
      <c r="AR58" s="92">
        <f t="shared" si="31"/>
        <v>-34.939584199999999</v>
      </c>
      <c r="AS58" s="92">
        <f t="shared" si="32"/>
        <v>-38.517745499999997</v>
      </c>
      <c r="AT58" s="92">
        <f t="shared" si="33"/>
        <v>-38.219483099999998</v>
      </c>
      <c r="AU58" s="92">
        <f t="shared" si="34"/>
        <v>-51.929268499999999</v>
      </c>
      <c r="AV58" s="93">
        <f t="shared" si="35"/>
        <v>-32.748707099999997</v>
      </c>
    </row>
    <row r="59" spans="1:50" x14ac:dyDescent="0.15">
      <c r="AG59" s="91" t="e">
        <f t="shared" si="20"/>
        <v>#VALUE!</v>
      </c>
      <c r="AH59" s="91" t="e">
        <f t="shared" si="21"/>
        <v>#VALUE!</v>
      </c>
      <c r="AI59" s="91">
        <f t="shared" si="22"/>
        <v>-5634672</v>
      </c>
      <c r="AJ59" s="91">
        <f t="shared" si="23"/>
        <v>-50663256</v>
      </c>
      <c r="AK59" s="91">
        <f t="shared" si="24"/>
        <v>-8561376</v>
      </c>
      <c r="AL59" s="91">
        <f t="shared" si="25"/>
        <v>0</v>
      </c>
      <c r="AM59" s="91">
        <f t="shared" si="26"/>
        <v>-5942040</v>
      </c>
      <c r="AN59" s="91">
        <f t="shared" si="27"/>
        <v>-36092792</v>
      </c>
      <c r="AO59" s="91">
        <f t="shared" si="28"/>
        <v>-67048</v>
      </c>
      <c r="AP59" s="91">
        <f t="shared" si="29"/>
        <v>-64.048539700000006</v>
      </c>
      <c r="AQ59" s="92">
        <f t="shared" si="30"/>
        <v>-64.596163399999995</v>
      </c>
      <c r="AR59" s="92">
        <f t="shared" si="31"/>
        <v>-32.084068100000003</v>
      </c>
      <c r="AS59" s="92">
        <f t="shared" si="32"/>
        <v>-44.9349664</v>
      </c>
      <c r="AT59" s="92">
        <f t="shared" si="33"/>
        <v>-45.222192300000003</v>
      </c>
      <c r="AU59" s="92">
        <f t="shared" si="34"/>
        <v>-43.413716700000002</v>
      </c>
      <c r="AV59" s="93">
        <f t="shared" si="35"/>
        <v>-29.1753219</v>
      </c>
    </row>
    <row r="60" spans="1:50" x14ac:dyDescent="0.15">
      <c r="AG60" s="91" t="e">
        <f t="shared" si="20"/>
        <v>#VALUE!</v>
      </c>
      <c r="AH60" s="91" t="e">
        <f t="shared" si="21"/>
        <v>#VALUE!</v>
      </c>
      <c r="AI60" s="91">
        <f t="shared" si="22"/>
        <v>-11348448</v>
      </c>
      <c r="AJ60" s="91">
        <f t="shared" si="23"/>
        <v>-91535664</v>
      </c>
      <c r="AK60" s="91">
        <f t="shared" si="24"/>
        <v>-13358792</v>
      </c>
      <c r="AL60" s="91">
        <f t="shared" si="25"/>
        <v>0</v>
      </c>
      <c r="AM60" s="91">
        <f t="shared" si="26"/>
        <v>-10446960</v>
      </c>
      <c r="AN60" s="91">
        <f t="shared" si="27"/>
        <v>-67660464</v>
      </c>
      <c r="AO60" s="91">
        <f t="shared" si="28"/>
        <v>-69448</v>
      </c>
      <c r="AP60" s="91">
        <f t="shared" si="29"/>
        <v>-69.097097099999999</v>
      </c>
      <c r="AQ60" s="92">
        <f t="shared" si="30"/>
        <v>-70.281356799999998</v>
      </c>
      <c r="AR60" s="92">
        <f t="shared" si="31"/>
        <v>-34.865264000000003</v>
      </c>
      <c r="AS60" s="92">
        <f t="shared" si="32"/>
        <v>-45.564761500000003</v>
      </c>
      <c r="AT60" s="92">
        <f t="shared" si="33"/>
        <v>-45.950062299999999</v>
      </c>
      <c r="AU60" s="92">
        <f t="shared" si="34"/>
        <v>-46.461307300000001</v>
      </c>
      <c r="AV60" s="93">
        <f t="shared" si="35"/>
        <v>-32.021910400000003</v>
      </c>
    </row>
    <row r="61" spans="1:50" x14ac:dyDescent="0.15">
      <c r="AG61" s="91" t="e">
        <f t="shared" si="20"/>
        <v>#VALUE!</v>
      </c>
      <c r="AH61" s="91" t="e">
        <f t="shared" si="21"/>
        <v>#VALUE!</v>
      </c>
      <c r="AI61" s="91">
        <f t="shared" si="22"/>
        <v>-11348448</v>
      </c>
      <c r="AJ61" s="91">
        <f t="shared" si="23"/>
        <v>-116585392</v>
      </c>
      <c r="AK61" s="91">
        <f t="shared" si="24"/>
        <v>-13358792</v>
      </c>
      <c r="AL61" s="91">
        <f t="shared" si="25"/>
        <v>0</v>
      </c>
      <c r="AM61" s="91">
        <f t="shared" si="26"/>
        <v>-17854808</v>
      </c>
      <c r="AN61" s="91">
        <f t="shared" si="27"/>
        <v>-85302344</v>
      </c>
      <c r="AO61" s="91">
        <f t="shared" si="28"/>
        <v>-69448</v>
      </c>
      <c r="AP61" s="91">
        <f t="shared" si="29"/>
        <v>-70.242722099999995</v>
      </c>
      <c r="AQ61" s="92">
        <f t="shared" si="30"/>
        <v>-71.5395343</v>
      </c>
      <c r="AR61" s="92">
        <f t="shared" si="31"/>
        <v>-35.838457599999998</v>
      </c>
      <c r="AS61" s="92">
        <f t="shared" si="32"/>
        <v>-45.892788699999997</v>
      </c>
      <c r="AT61" s="92">
        <f t="shared" si="33"/>
        <v>-46.322197199999998</v>
      </c>
      <c r="AU61" s="92">
        <f t="shared" si="34"/>
        <v>-46.760642699999998</v>
      </c>
      <c r="AV61" s="93">
        <f t="shared" si="35"/>
        <v>-32.822296299999998</v>
      </c>
    </row>
    <row r="62" spans="1:50" x14ac:dyDescent="0.15">
      <c r="AG62" s="91" t="e">
        <f t="shared" si="20"/>
        <v>#VALUE!</v>
      </c>
      <c r="AH62" s="91" t="e">
        <f t="shared" si="21"/>
        <v>#VALUE!</v>
      </c>
      <c r="AI62" s="91">
        <f t="shared" si="22"/>
        <v>-22860832</v>
      </c>
      <c r="AJ62" s="91">
        <f t="shared" si="23"/>
        <v>-151893376</v>
      </c>
      <c r="AK62" s="91">
        <f t="shared" si="24"/>
        <v>-21890312</v>
      </c>
      <c r="AL62" s="91">
        <f t="shared" si="25"/>
        <v>0</v>
      </c>
      <c r="AM62" s="91">
        <f t="shared" si="26"/>
        <v>-21915952</v>
      </c>
      <c r="AN62" s="91">
        <f t="shared" si="27"/>
        <v>-108017664</v>
      </c>
      <c r="AO62" s="91">
        <f t="shared" si="28"/>
        <v>-69448</v>
      </c>
      <c r="AP62" s="91">
        <f t="shared" si="29"/>
        <v>-73.3736277</v>
      </c>
      <c r="AQ62" s="92">
        <f t="shared" si="30"/>
        <v>-75.220677199999997</v>
      </c>
      <c r="AR62" s="92">
        <f t="shared" si="31"/>
        <v>-37.021878000000001</v>
      </c>
      <c r="AS62" s="92">
        <f t="shared" si="32"/>
        <v>-46.690123100000001</v>
      </c>
      <c r="AT62" s="92">
        <f t="shared" si="33"/>
        <v>-47.219633399999999</v>
      </c>
      <c r="AU62" s="92">
        <f t="shared" si="34"/>
        <v>-48.9006629</v>
      </c>
      <c r="AV62" s="93">
        <f t="shared" si="35"/>
        <v>-34.592528000000001</v>
      </c>
    </row>
    <row r="63" spans="1:50" x14ac:dyDescent="0.15">
      <c r="AG63" s="91" t="e">
        <f t="shared" si="20"/>
        <v>#VALUE!</v>
      </c>
      <c r="AH63" s="91" t="e">
        <f t="shared" si="21"/>
        <v>#VALUE!</v>
      </c>
      <c r="AI63" s="91">
        <f t="shared" si="22"/>
        <v>-22860832</v>
      </c>
      <c r="AJ63" s="91">
        <f t="shared" si="23"/>
        <v>-220979272</v>
      </c>
      <c r="AK63" s="91">
        <f t="shared" si="24"/>
        <v>-24128664</v>
      </c>
      <c r="AL63" s="91">
        <f t="shared" si="25"/>
        <v>0</v>
      </c>
      <c r="AM63" s="91">
        <f t="shared" si="26"/>
        <v>-27913688</v>
      </c>
      <c r="AN63" s="91">
        <f t="shared" si="27"/>
        <v>-168867472</v>
      </c>
      <c r="AO63" s="91">
        <f t="shared" si="28"/>
        <v>-69448</v>
      </c>
      <c r="AP63" s="91">
        <f t="shared" si="29"/>
        <v>-74.054130099999995</v>
      </c>
      <c r="AQ63" s="92">
        <f t="shared" si="30"/>
        <v>-76.0155508</v>
      </c>
      <c r="AR63" s="92">
        <f t="shared" si="31"/>
        <v>-38.652125499999997</v>
      </c>
      <c r="AS63" s="92">
        <f t="shared" si="32"/>
        <v>-47.741762299999998</v>
      </c>
      <c r="AT63" s="92">
        <f t="shared" si="33"/>
        <v>-48.371196599999998</v>
      </c>
      <c r="AU63" s="92">
        <f t="shared" si="34"/>
        <v>-49.085176099999998</v>
      </c>
      <c r="AV63" s="93">
        <f t="shared" si="35"/>
        <v>-35.6178484</v>
      </c>
    </row>
    <row r="64" spans="1:50" x14ac:dyDescent="0.15">
      <c r="AG64" s="91" t="e">
        <f t="shared" si="20"/>
        <v>#VALUE!</v>
      </c>
      <c r="AH64" s="91" t="e">
        <f t="shared" si="21"/>
        <v>#VALUE!</v>
      </c>
      <c r="AI64" s="91">
        <f t="shared" si="22"/>
        <v>-5676736</v>
      </c>
      <c r="AJ64" s="91">
        <f t="shared" si="23"/>
        <v>-31337928</v>
      </c>
      <c r="AK64" s="91">
        <f t="shared" si="24"/>
        <v>-6657720</v>
      </c>
      <c r="AL64" s="91">
        <f t="shared" si="25"/>
        <v>0</v>
      </c>
      <c r="AM64" s="91">
        <f t="shared" si="26"/>
        <v>-5138440</v>
      </c>
      <c r="AN64" s="91">
        <f t="shared" si="27"/>
        <v>-19474720</v>
      </c>
      <c r="AO64" s="91">
        <f t="shared" si="28"/>
        <v>-67048</v>
      </c>
      <c r="AP64" s="91">
        <f t="shared" si="29"/>
        <v>-70.2034333</v>
      </c>
      <c r="AQ64" s="92">
        <f t="shared" si="30"/>
        <v>-71.393227999999993</v>
      </c>
      <c r="AR64" s="92">
        <f t="shared" si="31"/>
        <v>-35.658674300000001</v>
      </c>
      <c r="AS64" s="92">
        <f t="shared" si="32"/>
        <v>-43.302735300000002</v>
      </c>
      <c r="AT64" s="92">
        <f t="shared" si="33"/>
        <v>-45.1513919</v>
      </c>
      <c r="AU64" s="92">
        <f t="shared" si="34"/>
        <v>-45.2275578</v>
      </c>
      <c r="AV64" s="93">
        <f t="shared" si="35"/>
        <v>-32.080109200000003</v>
      </c>
    </row>
    <row r="65" spans="33:48" x14ac:dyDescent="0.15">
      <c r="AG65" s="91" t="e">
        <f t="shared" si="20"/>
        <v>#VALUE!</v>
      </c>
      <c r="AH65" s="91" t="e">
        <f t="shared" si="21"/>
        <v>#VALUE!</v>
      </c>
      <c r="AI65" s="91">
        <f t="shared" si="22"/>
        <v>-5676736</v>
      </c>
      <c r="AJ65" s="91">
        <f t="shared" si="23"/>
        <v>-51759744</v>
      </c>
      <c r="AK65" s="91">
        <f t="shared" si="24"/>
        <v>-7234808</v>
      </c>
      <c r="AL65" s="91">
        <f t="shared" si="25"/>
        <v>0</v>
      </c>
      <c r="AM65" s="91">
        <f t="shared" si="26"/>
        <v>-7178856</v>
      </c>
      <c r="AN65" s="91">
        <f t="shared" si="27"/>
        <v>-37279112</v>
      </c>
      <c r="AO65" s="91">
        <f t="shared" si="28"/>
        <v>-66968</v>
      </c>
      <c r="AP65" s="91">
        <f t="shared" si="29"/>
        <v>-71.251891299999997</v>
      </c>
      <c r="AQ65" s="92">
        <f t="shared" si="30"/>
        <v>-72.535507199999998</v>
      </c>
      <c r="AR65" s="92">
        <f t="shared" si="31"/>
        <v>-38.299315700000001</v>
      </c>
      <c r="AS65" s="92">
        <f t="shared" si="32"/>
        <v>-43.9374623</v>
      </c>
      <c r="AT65" s="92">
        <f t="shared" si="33"/>
        <v>-46.392335099999997</v>
      </c>
      <c r="AU65" s="92">
        <f t="shared" si="34"/>
        <v>-45.670977299999997</v>
      </c>
      <c r="AV65" s="93">
        <f t="shared" si="35"/>
        <v>-33.253172800000002</v>
      </c>
    </row>
    <row r="66" spans="33:48" x14ac:dyDescent="0.15">
      <c r="AG66" s="91" t="e">
        <f t="shared" si="20"/>
        <v>#VALUE!</v>
      </c>
      <c r="AH66" s="91" t="e">
        <f t="shared" si="21"/>
        <v>#VALUE!</v>
      </c>
      <c r="AI66" s="91">
        <f t="shared" si="22"/>
        <v>-11357376</v>
      </c>
      <c r="AJ66" s="91">
        <f t="shared" si="23"/>
        <v>-100324640</v>
      </c>
      <c r="AK66" s="91">
        <f t="shared" si="24"/>
        <v>-12099456</v>
      </c>
      <c r="AL66" s="91">
        <f t="shared" si="25"/>
        <v>0</v>
      </c>
      <c r="AM66" s="91">
        <f t="shared" si="26"/>
        <v>-15245008</v>
      </c>
      <c r="AN66" s="91">
        <f t="shared" si="27"/>
        <v>-72910728</v>
      </c>
      <c r="AO66" s="91">
        <f t="shared" si="28"/>
        <v>-69448</v>
      </c>
      <c r="AP66" s="91">
        <f t="shared" si="29"/>
        <v>-76.072013299999995</v>
      </c>
      <c r="AQ66" s="92">
        <f t="shared" si="30"/>
        <v>-78.054860599999998</v>
      </c>
      <c r="AR66" s="92">
        <f t="shared" si="31"/>
        <v>-41.050957099999998</v>
      </c>
      <c r="AS66" s="92">
        <f t="shared" si="32"/>
        <v>-44.809998499999999</v>
      </c>
      <c r="AT66" s="92">
        <f t="shared" si="33"/>
        <v>-48.039033000000003</v>
      </c>
      <c r="AU66" s="92">
        <f t="shared" si="34"/>
        <v>-48.026430699999999</v>
      </c>
      <c r="AV66" s="93">
        <f t="shared" si="35"/>
        <v>-36.380766600000001</v>
      </c>
    </row>
    <row r="67" spans="33:48" x14ac:dyDescent="0.15">
      <c r="AG67" s="91" t="e">
        <f t="shared" si="20"/>
        <v>#VALUE!</v>
      </c>
      <c r="AH67" s="91" t="e">
        <f t="shared" si="21"/>
        <v>#VALUE!</v>
      </c>
      <c r="AI67" s="91">
        <f t="shared" si="22"/>
        <v>-22718208</v>
      </c>
      <c r="AJ67" s="91">
        <f t="shared" si="23"/>
        <v>-145054528</v>
      </c>
      <c r="AK67" s="91">
        <f t="shared" si="24"/>
        <v>-20758952</v>
      </c>
      <c r="AL67" s="91">
        <f t="shared" si="25"/>
        <v>0</v>
      </c>
      <c r="AM67" s="91">
        <f t="shared" si="26"/>
        <v>-18467880</v>
      </c>
      <c r="AN67" s="91">
        <f t="shared" si="27"/>
        <v>-105758248</v>
      </c>
      <c r="AO67" s="91">
        <f t="shared" si="28"/>
        <v>-69448</v>
      </c>
      <c r="AP67" s="91">
        <f t="shared" si="29"/>
        <v>-78.435969400000005</v>
      </c>
      <c r="AQ67" s="92">
        <f t="shared" si="30"/>
        <v>-81.008658499999996</v>
      </c>
      <c r="AR67" s="92">
        <f t="shared" si="31"/>
        <v>-42.169720400000003</v>
      </c>
      <c r="AS67" s="92">
        <f t="shared" si="32"/>
        <v>-45.504247999999997</v>
      </c>
      <c r="AT67" s="92">
        <f t="shared" si="33"/>
        <v>-49.194974199999997</v>
      </c>
      <c r="AU67" s="92">
        <f t="shared" si="34"/>
        <v>-49.640914199999997</v>
      </c>
      <c r="AV67" s="93">
        <f t="shared" si="35"/>
        <v>-38.111405400000002</v>
      </c>
    </row>
    <row r="68" spans="33:48" x14ac:dyDescent="0.15">
      <c r="AG68" s="91" t="e">
        <f t="shared" si="20"/>
        <v>#VALUE!</v>
      </c>
      <c r="AH68" s="91" t="e">
        <f t="shared" si="21"/>
        <v>#VALUE!</v>
      </c>
      <c r="AI68" s="91">
        <f t="shared" si="22"/>
        <v>-22718208</v>
      </c>
      <c r="AJ68" s="91">
        <f t="shared" si="23"/>
        <v>-216600896</v>
      </c>
      <c r="AK68" s="91">
        <f t="shared" si="24"/>
        <v>-20758952</v>
      </c>
      <c r="AL68" s="91">
        <f t="shared" si="25"/>
        <v>0</v>
      </c>
      <c r="AM68" s="91">
        <f t="shared" si="26"/>
        <v>-20435320</v>
      </c>
      <c r="AN68" s="91">
        <f t="shared" si="27"/>
        <v>-175337176</v>
      </c>
      <c r="AO68" s="91">
        <f t="shared" si="28"/>
        <v>-69448</v>
      </c>
      <c r="AP68" s="91">
        <f t="shared" si="29"/>
        <v>-78.733427199999994</v>
      </c>
      <c r="AQ68" s="92">
        <f t="shared" si="30"/>
        <v>-81.411919499999996</v>
      </c>
      <c r="AR68" s="92">
        <f t="shared" si="31"/>
        <v>-43.185155899999998</v>
      </c>
      <c r="AS68" s="92">
        <f t="shared" si="32"/>
        <v>-46.453160199999999</v>
      </c>
      <c r="AT68" s="92">
        <f t="shared" si="33"/>
        <v>-50.476804700000002</v>
      </c>
      <c r="AU68" s="92">
        <f t="shared" si="34"/>
        <v>-49.769469899999997</v>
      </c>
      <c r="AV68" s="93">
        <f t="shared" si="35"/>
        <v>-38.585617200000002</v>
      </c>
    </row>
    <row r="69" spans="33:48" x14ac:dyDescent="0.15">
      <c r="AG69" s="91" t="e">
        <f t="shared" si="20"/>
        <v>#VALUE!</v>
      </c>
      <c r="AH69" s="91" t="e">
        <f t="shared" si="21"/>
        <v>#VALUE!</v>
      </c>
      <c r="AI69" s="91">
        <f t="shared" si="22"/>
        <v>-5665680</v>
      </c>
      <c r="AJ69" s="91">
        <f t="shared" si="23"/>
        <v>-29770408</v>
      </c>
      <c r="AK69" s="91">
        <f t="shared" si="24"/>
        <v>-6494488</v>
      </c>
      <c r="AL69" s="91">
        <f t="shared" si="25"/>
        <v>0</v>
      </c>
      <c r="AM69" s="91">
        <f t="shared" si="26"/>
        <v>-4836352</v>
      </c>
      <c r="AN69" s="91">
        <f t="shared" si="27"/>
        <v>-18372600</v>
      </c>
      <c r="AO69" s="91">
        <f t="shared" si="28"/>
        <v>-66968</v>
      </c>
      <c r="AP69" s="91">
        <f t="shared" si="29"/>
        <v>-70.506879100000006</v>
      </c>
      <c r="AQ69" s="92">
        <f t="shared" si="30"/>
        <v>-71.740402500000002</v>
      </c>
      <c r="AR69" s="92">
        <f t="shared" si="31"/>
        <v>-34.593454899999998</v>
      </c>
      <c r="AS69" s="92">
        <f t="shared" si="32"/>
        <v>-42.733607200000002</v>
      </c>
      <c r="AT69" s="92">
        <f t="shared" si="33"/>
        <v>-44.127746299999998</v>
      </c>
      <c r="AU69" s="92">
        <f t="shared" si="34"/>
        <v>-46.2110026</v>
      </c>
      <c r="AV69" s="93">
        <f t="shared" si="35"/>
        <v>-31.220184199999998</v>
      </c>
    </row>
    <row r="70" spans="33:48" x14ac:dyDescent="0.15">
      <c r="AG70" s="91" t="e">
        <f t="shared" si="20"/>
        <v>#VALUE!</v>
      </c>
      <c r="AH70" s="91" t="e">
        <f t="shared" si="21"/>
        <v>#VALUE!</v>
      </c>
      <c r="AI70" s="91">
        <f t="shared" si="22"/>
        <v>-5665680</v>
      </c>
      <c r="AJ70" s="91">
        <f t="shared" si="23"/>
        <v>-50040536</v>
      </c>
      <c r="AK70" s="91">
        <f t="shared" si="24"/>
        <v>-6494488</v>
      </c>
      <c r="AL70" s="91">
        <f t="shared" si="25"/>
        <v>0</v>
      </c>
      <c r="AM70" s="91">
        <f t="shared" si="26"/>
        <v>-5337192</v>
      </c>
      <c r="AN70" s="91">
        <f t="shared" si="27"/>
        <v>-38141808</v>
      </c>
      <c r="AO70" s="91">
        <f t="shared" si="28"/>
        <v>-67048</v>
      </c>
      <c r="AP70" s="91">
        <f t="shared" si="29"/>
        <v>-70.839419399999997</v>
      </c>
      <c r="AQ70" s="92">
        <f t="shared" si="30"/>
        <v>-72.108826100000002</v>
      </c>
      <c r="AR70" s="92">
        <f t="shared" si="31"/>
        <v>-37.246748500000002</v>
      </c>
      <c r="AS70" s="92">
        <f t="shared" si="32"/>
        <v>-43.939069600000003</v>
      </c>
      <c r="AT70" s="92">
        <f t="shared" si="33"/>
        <v>-45.9854433</v>
      </c>
      <c r="AU70" s="92">
        <f t="shared" si="34"/>
        <v>-46.358663900000003</v>
      </c>
      <c r="AV70" s="93">
        <f t="shared" si="35"/>
        <v>-32.247457900000001</v>
      </c>
    </row>
    <row r="71" spans="33:48" x14ac:dyDescent="0.15">
      <c r="AG71" s="91" t="e">
        <f t="shared" si="20"/>
        <v>#VALUE!</v>
      </c>
      <c r="AH71" s="91" t="e">
        <f t="shared" si="21"/>
        <v>#VALUE!</v>
      </c>
      <c r="AI71" s="91">
        <f t="shared" si="22"/>
        <v>-11333408</v>
      </c>
      <c r="AJ71" s="91">
        <f t="shared" si="23"/>
        <v>-100124176</v>
      </c>
      <c r="AK71" s="91">
        <f t="shared" si="24"/>
        <v>-10770824</v>
      </c>
      <c r="AL71" s="91">
        <f t="shared" si="25"/>
        <v>0</v>
      </c>
      <c r="AM71" s="91">
        <f t="shared" si="26"/>
        <v>-14872000</v>
      </c>
      <c r="AN71" s="91">
        <f t="shared" si="27"/>
        <v>-74411904</v>
      </c>
      <c r="AO71" s="91">
        <f t="shared" si="28"/>
        <v>-69448</v>
      </c>
      <c r="AP71" s="91">
        <f t="shared" si="29"/>
        <v>-76.316210600000005</v>
      </c>
      <c r="AQ71" s="92">
        <f t="shared" si="30"/>
        <v>-78.420968500000001</v>
      </c>
      <c r="AR71" s="92">
        <f t="shared" si="31"/>
        <v>-40.303034599999997</v>
      </c>
      <c r="AS71" s="92">
        <f t="shared" si="32"/>
        <v>-45.201270800000003</v>
      </c>
      <c r="AT71" s="92">
        <f t="shared" si="33"/>
        <v>-48.081394500000002</v>
      </c>
      <c r="AU71" s="92">
        <f t="shared" si="34"/>
        <v>-49.052654699999998</v>
      </c>
      <c r="AV71" s="93">
        <f t="shared" si="35"/>
        <v>-35.831376499999998</v>
      </c>
    </row>
    <row r="72" spans="33:48" x14ac:dyDescent="0.15">
      <c r="AG72" s="91" t="e">
        <f t="shared" si="20"/>
        <v>#VALUE!</v>
      </c>
      <c r="AH72" s="91" t="e">
        <f t="shared" si="21"/>
        <v>#VALUE!</v>
      </c>
      <c r="AI72" s="91">
        <f t="shared" si="22"/>
        <v>-22669584</v>
      </c>
      <c r="AJ72" s="91">
        <f t="shared" si="23"/>
        <v>-143632504</v>
      </c>
      <c r="AK72" s="91">
        <f t="shared" si="24"/>
        <v>-22602008</v>
      </c>
      <c r="AL72" s="91">
        <f t="shared" si="25"/>
        <v>0</v>
      </c>
      <c r="AM72" s="91">
        <f t="shared" si="26"/>
        <v>-15266072</v>
      </c>
      <c r="AN72" s="91">
        <f t="shared" si="27"/>
        <v>-105694976</v>
      </c>
      <c r="AO72" s="91">
        <f t="shared" si="28"/>
        <v>-69448</v>
      </c>
      <c r="AP72" s="91">
        <f t="shared" si="29"/>
        <v>-78.267184099999994</v>
      </c>
      <c r="AQ72" s="92">
        <f t="shared" si="30"/>
        <v>-80.893811900000003</v>
      </c>
      <c r="AR72" s="92">
        <f t="shared" si="31"/>
        <v>-41.457592099999999</v>
      </c>
      <c r="AS72" s="92">
        <f t="shared" si="32"/>
        <v>-45.726720299999997</v>
      </c>
      <c r="AT72" s="92">
        <f t="shared" si="33"/>
        <v>-48.832909299999997</v>
      </c>
      <c r="AU72" s="92">
        <f t="shared" si="34"/>
        <v>-50.614304099999998</v>
      </c>
      <c r="AV72" s="93">
        <f t="shared" si="35"/>
        <v>-37.418016700000003</v>
      </c>
    </row>
    <row r="73" spans="33:48" x14ac:dyDescent="0.15">
      <c r="AG73" s="91" t="e">
        <f t="shared" si="20"/>
        <v>#VALUE!</v>
      </c>
      <c r="AH73" s="91" t="e">
        <f t="shared" si="21"/>
        <v>#VALUE!</v>
      </c>
      <c r="AI73" s="91">
        <f t="shared" si="22"/>
        <v>-22669584</v>
      </c>
      <c r="AJ73" s="91">
        <f t="shared" si="23"/>
        <v>-213629248</v>
      </c>
      <c r="AK73" s="91">
        <f t="shared" si="24"/>
        <v>-20416520</v>
      </c>
      <c r="AL73" s="91">
        <f t="shared" si="25"/>
        <v>0</v>
      </c>
      <c r="AM73" s="91">
        <f t="shared" si="26"/>
        <v>-19390840</v>
      </c>
      <c r="AN73" s="91">
        <f t="shared" si="27"/>
        <v>-173752440</v>
      </c>
      <c r="AO73" s="91">
        <f t="shared" si="28"/>
        <v>-69448</v>
      </c>
      <c r="AP73" s="91">
        <f t="shared" si="29"/>
        <v>-78.862199700000005</v>
      </c>
      <c r="AQ73" s="92">
        <f t="shared" si="30"/>
        <v>-81.729687900000002</v>
      </c>
      <c r="AR73" s="92">
        <f t="shared" si="31"/>
        <v>-42.439019299999998</v>
      </c>
      <c r="AS73" s="92">
        <f t="shared" si="32"/>
        <v>-46.799627999999998</v>
      </c>
      <c r="AT73" s="92">
        <f t="shared" si="33"/>
        <v>-50.192148400000001</v>
      </c>
      <c r="AU73" s="92">
        <f t="shared" si="34"/>
        <v>-50.851933500000001</v>
      </c>
      <c r="AV73" s="93">
        <f t="shared" si="35"/>
        <v>-38.057766600000001</v>
      </c>
    </row>
    <row r="74" spans="33:48" x14ac:dyDescent="0.15">
      <c r="AG74" s="91" t="e">
        <f t="shared" si="20"/>
        <v>#VALUE!</v>
      </c>
      <c r="AH74" s="91" t="e">
        <f t="shared" si="21"/>
        <v>#VALUE!</v>
      </c>
      <c r="AI74" s="91">
        <f t="shared" si="22"/>
        <v>-23021184</v>
      </c>
      <c r="AJ74" s="91">
        <f t="shared" si="23"/>
        <v>-42671592</v>
      </c>
      <c r="AK74" s="91">
        <f t="shared" si="24"/>
        <v>-6453288</v>
      </c>
      <c r="AL74" s="91">
        <f t="shared" si="25"/>
        <v>0</v>
      </c>
      <c r="AM74" s="91">
        <f t="shared" si="26"/>
        <v>-5059184</v>
      </c>
      <c r="AN74" s="91">
        <f t="shared" si="27"/>
        <v>-31089592</v>
      </c>
      <c r="AO74" s="91">
        <f t="shared" si="28"/>
        <v>-69528</v>
      </c>
      <c r="AP74" s="91">
        <f t="shared" si="29"/>
        <v>-73.192462699999993</v>
      </c>
      <c r="AQ74" s="92">
        <f t="shared" si="30"/>
        <v>-74.916329899999994</v>
      </c>
      <c r="AR74" s="92">
        <f t="shared" si="31"/>
        <v>-31.0750508</v>
      </c>
      <c r="AS74" s="92">
        <f t="shared" si="32"/>
        <v>-39.9021714</v>
      </c>
      <c r="AT74" s="92">
        <f t="shared" si="33"/>
        <v>-36.595413100000002</v>
      </c>
      <c r="AU74" s="92">
        <f t="shared" si="34"/>
        <v>-44.800059699999998</v>
      </c>
      <c r="AV74" s="93">
        <f t="shared" si="35"/>
        <v>-27.962428800000001</v>
      </c>
    </row>
    <row r="75" spans="33:48" x14ac:dyDescent="0.15">
      <c r="AG75" s="91" t="e">
        <f t="shared" si="20"/>
        <v>#VALUE!</v>
      </c>
      <c r="AH75" s="91" t="e">
        <f t="shared" si="21"/>
        <v>#VALUE!</v>
      </c>
      <c r="AI75" s="91">
        <f t="shared" si="22"/>
        <v>-46064000</v>
      </c>
      <c r="AJ75" s="91">
        <f t="shared" si="23"/>
        <v>-85079784</v>
      </c>
      <c r="AK75" s="91">
        <f t="shared" si="24"/>
        <v>-10792048</v>
      </c>
      <c r="AL75" s="91">
        <f t="shared" si="25"/>
        <v>0</v>
      </c>
      <c r="AM75" s="91">
        <f t="shared" si="26"/>
        <v>-8075104</v>
      </c>
      <c r="AN75" s="91">
        <f t="shared" si="27"/>
        <v>-66140704</v>
      </c>
      <c r="AO75" s="91">
        <f t="shared" si="28"/>
        <v>-71928</v>
      </c>
      <c r="AP75" s="91">
        <f t="shared" si="29"/>
        <v>-76.613831599999997</v>
      </c>
      <c r="AQ75" s="92">
        <f t="shared" si="30"/>
        <v>-78.892508300000003</v>
      </c>
      <c r="AR75" s="92">
        <f t="shared" si="31"/>
        <v>-33.439587099999997</v>
      </c>
      <c r="AS75" s="92">
        <f t="shared" si="32"/>
        <v>-41.835028299999998</v>
      </c>
      <c r="AT75" s="92">
        <f t="shared" si="33"/>
        <v>-39.443368399999997</v>
      </c>
      <c r="AU75" s="92">
        <f t="shared" si="34"/>
        <v>-46.460217900000004</v>
      </c>
      <c r="AV75" s="93">
        <f t="shared" si="35"/>
        <v>-30.696133199999998</v>
      </c>
    </row>
    <row r="76" spans="33:48" x14ac:dyDescent="0.15">
      <c r="AG76" s="91" t="e">
        <f t="shared" si="20"/>
        <v>#VALUE!</v>
      </c>
      <c r="AH76" s="91" t="e">
        <f t="shared" si="21"/>
        <v>#VALUE!</v>
      </c>
      <c r="AI76" s="91">
        <f t="shared" si="22"/>
        <v>-92146368</v>
      </c>
      <c r="AJ76" s="91">
        <f t="shared" si="23"/>
        <v>-126973784</v>
      </c>
      <c r="AK76" s="91">
        <f t="shared" si="24"/>
        <v>-20376656</v>
      </c>
      <c r="AL76" s="91">
        <f t="shared" si="25"/>
        <v>0</v>
      </c>
      <c r="AM76" s="91">
        <f t="shared" si="26"/>
        <v>-7655080</v>
      </c>
      <c r="AN76" s="91">
        <f t="shared" si="27"/>
        <v>-98867560</v>
      </c>
      <c r="AO76" s="91">
        <f t="shared" si="28"/>
        <v>-74488</v>
      </c>
      <c r="AP76" s="91">
        <f t="shared" si="29"/>
        <v>-78.451409400000003</v>
      </c>
      <c r="AQ76" s="92">
        <f t="shared" si="30"/>
        <v>-81.144606899999999</v>
      </c>
      <c r="AR76" s="92">
        <f t="shared" si="31"/>
        <v>-34.4998012</v>
      </c>
      <c r="AS76" s="92">
        <f t="shared" si="32"/>
        <v>-43.2020287</v>
      </c>
      <c r="AT76" s="92">
        <f t="shared" si="33"/>
        <v>-41.246561499999999</v>
      </c>
      <c r="AU76" s="92">
        <f t="shared" si="34"/>
        <v>-47.908302499999998</v>
      </c>
      <c r="AV76" s="93">
        <f t="shared" si="35"/>
        <v>-32.0382319</v>
      </c>
    </row>
    <row r="77" spans="33:48" x14ac:dyDescent="0.15">
      <c r="AG77" s="91" t="e">
        <f t="shared" si="20"/>
        <v>#VALUE!</v>
      </c>
      <c r="AH77" s="91" t="e">
        <f t="shared" si="21"/>
        <v>#VALUE!</v>
      </c>
      <c r="AI77" s="91">
        <f t="shared" si="22"/>
        <v>-184310144</v>
      </c>
      <c r="AJ77" s="91">
        <f t="shared" si="23"/>
        <v>-179311328</v>
      </c>
      <c r="AK77" s="91">
        <f t="shared" si="24"/>
        <v>-39691360</v>
      </c>
      <c r="AL77" s="91">
        <f t="shared" si="25"/>
        <v>0</v>
      </c>
      <c r="AM77" s="91">
        <f t="shared" si="26"/>
        <v>-6107272</v>
      </c>
      <c r="AN77" s="91">
        <f t="shared" si="27"/>
        <v>-133438128</v>
      </c>
      <c r="AO77" s="91">
        <f t="shared" si="28"/>
        <v>-74568</v>
      </c>
      <c r="AP77" s="91">
        <f t="shared" si="29"/>
        <v>-80.3065876</v>
      </c>
      <c r="AQ77" s="92">
        <f t="shared" si="30"/>
        <v>-83.621433600000003</v>
      </c>
      <c r="AR77" s="92">
        <f t="shared" si="31"/>
        <v>-35.316800299999997</v>
      </c>
      <c r="AS77" s="92">
        <f t="shared" si="32"/>
        <v>-43.558264600000001</v>
      </c>
      <c r="AT77" s="92">
        <f t="shared" si="33"/>
        <v>-41.747579399999999</v>
      </c>
      <c r="AU77" s="92">
        <f t="shared" si="34"/>
        <v>-49.599126400000003</v>
      </c>
      <c r="AV77" s="93">
        <f t="shared" si="35"/>
        <v>-33.262862699999999</v>
      </c>
    </row>
    <row r="78" spans="33:48" x14ac:dyDescent="0.15">
      <c r="AG78" s="91" t="e">
        <f t="shared" si="20"/>
        <v>#VALUE!</v>
      </c>
      <c r="AH78" s="91" t="e">
        <f t="shared" si="21"/>
        <v>#VALUE!</v>
      </c>
      <c r="AI78" s="91">
        <f t="shared" si="22"/>
        <v>-368630976</v>
      </c>
      <c r="AJ78" s="91">
        <f t="shared" si="23"/>
        <v>-266032616</v>
      </c>
      <c r="AK78" s="91">
        <f t="shared" si="24"/>
        <v>-70285480</v>
      </c>
      <c r="AL78" s="91">
        <f t="shared" si="25"/>
        <v>0</v>
      </c>
      <c r="AM78" s="91">
        <f t="shared" si="26"/>
        <v>-4162264</v>
      </c>
      <c r="AN78" s="91">
        <f t="shared" si="27"/>
        <v>-191507824</v>
      </c>
      <c r="AO78" s="91">
        <f t="shared" si="28"/>
        <v>-77048</v>
      </c>
      <c r="AP78" s="91">
        <f t="shared" si="29"/>
        <v>-82.823810699999996</v>
      </c>
      <c r="AQ78" s="92">
        <f t="shared" si="30"/>
        <v>-87.275200100000006</v>
      </c>
      <c r="AR78" s="92">
        <f t="shared" si="31"/>
        <v>-36.045448299999997</v>
      </c>
      <c r="AS78" s="92">
        <f t="shared" si="32"/>
        <v>-44.184083000000001</v>
      </c>
      <c r="AT78" s="92">
        <f t="shared" si="33"/>
        <v>-42.575344999999999</v>
      </c>
      <c r="AU78" s="92">
        <f t="shared" si="34"/>
        <v>-52.0653018</v>
      </c>
      <c r="AV78" s="93">
        <f t="shared" si="35"/>
        <v>-34.706544399999999</v>
      </c>
    </row>
    <row r="79" spans="33:48" x14ac:dyDescent="0.15">
      <c r="AG79" s="91" t="e">
        <f t="shared" si="20"/>
        <v>#VALUE!</v>
      </c>
      <c r="AH79" s="91" t="e">
        <f t="shared" si="21"/>
        <v>#VALUE!</v>
      </c>
      <c r="AI79" s="91">
        <f t="shared" si="22"/>
        <v>-11261056</v>
      </c>
      <c r="AJ79" s="91">
        <f t="shared" si="23"/>
        <v>-21582216</v>
      </c>
      <c r="AK79" s="91">
        <f t="shared" si="24"/>
        <v>-3667368</v>
      </c>
      <c r="AL79" s="91">
        <f t="shared" si="25"/>
        <v>0</v>
      </c>
      <c r="AM79" s="91">
        <f t="shared" si="26"/>
        <v>-3446704</v>
      </c>
      <c r="AN79" s="91">
        <f t="shared" si="27"/>
        <v>-14433376</v>
      </c>
      <c r="AO79" s="91">
        <f t="shared" si="28"/>
        <v>-34768</v>
      </c>
      <c r="AP79" s="91">
        <f t="shared" si="29"/>
        <v>-72.726624200000003</v>
      </c>
      <c r="AQ79" s="92">
        <f t="shared" si="30"/>
        <v>-74.335130199999995</v>
      </c>
      <c r="AR79" s="92">
        <f t="shared" si="31"/>
        <v>-37.560884899999998</v>
      </c>
      <c r="AS79" s="92">
        <f t="shared" si="32"/>
        <v>-44.018140899999999</v>
      </c>
      <c r="AT79" s="92">
        <f t="shared" si="33"/>
        <v>-42.619861999999998</v>
      </c>
      <c r="AU79" s="92">
        <f t="shared" si="34"/>
        <v>-47.566637</v>
      </c>
      <c r="AV79" s="93">
        <f t="shared" si="35"/>
        <v>-34.132380300000001</v>
      </c>
    </row>
    <row r="80" spans="33:48" x14ac:dyDescent="0.15">
      <c r="AG80" s="91" t="e">
        <f t="shared" si="20"/>
        <v>#VALUE!</v>
      </c>
      <c r="AH80" s="91" t="e">
        <f t="shared" si="21"/>
        <v>#VALUE!</v>
      </c>
      <c r="AI80" s="91">
        <f t="shared" si="22"/>
        <v>-11261056</v>
      </c>
      <c r="AJ80" s="91">
        <f t="shared" si="23"/>
        <v>-43230920</v>
      </c>
      <c r="AK80" s="91">
        <f t="shared" si="24"/>
        <v>-3667368</v>
      </c>
      <c r="AL80" s="91">
        <f t="shared" si="25"/>
        <v>0</v>
      </c>
      <c r="AM80" s="91">
        <f t="shared" si="26"/>
        <v>-6409712</v>
      </c>
      <c r="AN80" s="91">
        <f t="shared" si="27"/>
        <v>-33119072</v>
      </c>
      <c r="AO80" s="91">
        <f t="shared" si="28"/>
        <v>-34768</v>
      </c>
      <c r="AP80" s="91">
        <f t="shared" si="29"/>
        <v>-74.827268500000002</v>
      </c>
      <c r="AQ80" s="92">
        <f t="shared" si="30"/>
        <v>-76.688975999999997</v>
      </c>
      <c r="AR80" s="92">
        <f t="shared" si="31"/>
        <v>-39.949294700000003</v>
      </c>
      <c r="AS80" s="92">
        <f t="shared" si="32"/>
        <v>-45.722555200000002</v>
      </c>
      <c r="AT80" s="92">
        <f t="shared" si="33"/>
        <v>-44.560159200000001</v>
      </c>
      <c r="AU80" s="92">
        <f t="shared" si="34"/>
        <v>-48.867632800000003</v>
      </c>
      <c r="AV80" s="93">
        <f t="shared" si="35"/>
        <v>-35.863055899999999</v>
      </c>
    </row>
    <row r="81" spans="33:48" x14ac:dyDescent="0.15">
      <c r="AG81" s="91" t="e">
        <f t="shared" si="20"/>
        <v>#VALUE!</v>
      </c>
      <c r="AH81" s="91" t="e">
        <f t="shared" si="21"/>
        <v>#VALUE!</v>
      </c>
      <c r="AI81" s="91">
        <f t="shared" si="22"/>
        <v>-11450400</v>
      </c>
      <c r="AJ81" s="91">
        <f t="shared" si="23"/>
        <v>-63759128</v>
      </c>
      <c r="AK81" s="91">
        <f t="shared" si="24"/>
        <v>-9598992</v>
      </c>
      <c r="AL81" s="91">
        <f t="shared" si="25"/>
        <v>0</v>
      </c>
      <c r="AM81" s="91">
        <f t="shared" si="26"/>
        <v>-6224032</v>
      </c>
      <c r="AN81" s="91">
        <f t="shared" si="27"/>
        <v>-47901376</v>
      </c>
      <c r="AO81" s="91">
        <f t="shared" si="28"/>
        <v>-34728</v>
      </c>
      <c r="AP81" s="91">
        <f t="shared" si="29"/>
        <v>-78.252129100000005</v>
      </c>
      <c r="AQ81" s="92">
        <f t="shared" si="30"/>
        <v>-80.827564899999999</v>
      </c>
      <c r="AR81" s="92">
        <f t="shared" si="31"/>
        <v>-41.310361200000003</v>
      </c>
      <c r="AS81" s="92">
        <f t="shared" si="32"/>
        <v>-46.470451400000002</v>
      </c>
      <c r="AT81" s="92">
        <f t="shared" si="33"/>
        <v>-45.4343152</v>
      </c>
      <c r="AU81" s="92">
        <f t="shared" si="34"/>
        <v>-51.096065799999998</v>
      </c>
      <c r="AV81" s="93">
        <f t="shared" si="35"/>
        <v>-37.795409499999998</v>
      </c>
    </row>
    <row r="82" spans="33:48" x14ac:dyDescent="0.15">
      <c r="AG82" s="91" t="e">
        <f t="shared" si="20"/>
        <v>#VALUE!</v>
      </c>
      <c r="AH82" s="91" t="e">
        <f t="shared" si="21"/>
        <v>#VALUE!</v>
      </c>
      <c r="AI82" s="91">
        <f t="shared" si="22"/>
        <v>-11450400</v>
      </c>
      <c r="AJ82" s="91">
        <f t="shared" si="23"/>
        <v>-90692632</v>
      </c>
      <c r="AK82" s="91">
        <f t="shared" si="24"/>
        <v>-9598992</v>
      </c>
      <c r="AL82" s="91">
        <f t="shared" si="25"/>
        <v>0</v>
      </c>
      <c r="AM82" s="91">
        <f t="shared" si="26"/>
        <v>-8954320</v>
      </c>
      <c r="AN82" s="91">
        <f t="shared" si="27"/>
        <v>-72104552</v>
      </c>
      <c r="AO82" s="91">
        <f t="shared" si="28"/>
        <v>-34768</v>
      </c>
      <c r="AP82" s="91">
        <f t="shared" si="29"/>
        <v>-79.348633100000001</v>
      </c>
      <c r="AQ82" s="92">
        <f t="shared" si="30"/>
        <v>-82.357591499999998</v>
      </c>
      <c r="AR82" s="92">
        <f t="shared" si="31"/>
        <v>-42.227210700000001</v>
      </c>
      <c r="AS82" s="92">
        <f t="shared" si="32"/>
        <v>-47.606130999999998</v>
      </c>
      <c r="AT82" s="92">
        <f t="shared" si="33"/>
        <v>-46.771595099999999</v>
      </c>
      <c r="AU82" s="92">
        <f t="shared" si="34"/>
        <v>-51.836610200000003</v>
      </c>
      <c r="AV82" s="93">
        <f t="shared" si="35"/>
        <v>-38.889421599999999</v>
      </c>
    </row>
    <row r="83" spans="33:48" x14ac:dyDescent="0.15">
      <c r="AG83" s="91" t="e">
        <f t="shared" si="20"/>
        <v>#VALUE!</v>
      </c>
      <c r="AH83" s="91" t="e">
        <f t="shared" si="21"/>
        <v>#VALUE!</v>
      </c>
      <c r="AI83" s="91">
        <f t="shared" si="22"/>
        <v>-34479248</v>
      </c>
      <c r="AJ83" s="91">
        <f t="shared" si="23"/>
        <v>-131184344</v>
      </c>
      <c r="AK83" s="91">
        <f t="shared" si="24"/>
        <v>-21799680</v>
      </c>
      <c r="AL83" s="91">
        <f t="shared" si="25"/>
        <v>0</v>
      </c>
      <c r="AM83" s="91">
        <f t="shared" si="26"/>
        <v>-8407800</v>
      </c>
      <c r="AN83" s="91">
        <f t="shared" si="27"/>
        <v>-100940856</v>
      </c>
      <c r="AO83" s="91">
        <f t="shared" si="28"/>
        <v>-36008</v>
      </c>
      <c r="AP83" s="91">
        <f t="shared" si="29"/>
        <v>-82.069004199999995</v>
      </c>
      <c r="AQ83" s="92">
        <f t="shared" si="30"/>
        <v>-86.215924299999998</v>
      </c>
      <c r="AR83" s="92">
        <f t="shared" si="31"/>
        <v>-43.2754537</v>
      </c>
      <c r="AS83" s="92">
        <f t="shared" si="32"/>
        <v>-48.3498473</v>
      </c>
      <c r="AT83" s="92">
        <f t="shared" si="33"/>
        <v>-47.605775800000004</v>
      </c>
      <c r="AU83" s="92">
        <f t="shared" si="34"/>
        <v>-53.756417499999998</v>
      </c>
      <c r="AV83" s="93">
        <f t="shared" si="35"/>
        <v>-40.787927099999997</v>
      </c>
    </row>
    <row r="84" spans="33:48" x14ac:dyDescent="0.15">
      <c r="AG84" s="91" t="e">
        <f t="shared" si="20"/>
        <v>#VALUE!</v>
      </c>
      <c r="AH84" s="91" t="e">
        <f t="shared" si="21"/>
        <v>#VALUE!</v>
      </c>
      <c r="AI84" s="91">
        <f t="shared" si="22"/>
        <v>-4297872</v>
      </c>
      <c r="AJ84" s="91">
        <f t="shared" si="23"/>
        <v>-38580400</v>
      </c>
      <c r="AK84" s="91">
        <f t="shared" si="24"/>
        <v>-5958944</v>
      </c>
      <c r="AL84" s="91">
        <f t="shared" si="25"/>
        <v>0</v>
      </c>
      <c r="AM84" s="91">
        <f t="shared" si="26"/>
        <v>-6765520</v>
      </c>
      <c r="AN84" s="91">
        <f t="shared" si="27"/>
        <v>-25791368</v>
      </c>
      <c r="AO84" s="91">
        <f t="shared" si="28"/>
        <v>-64568</v>
      </c>
      <c r="AP84" s="91">
        <f t="shared" si="29"/>
        <v>-69.306361300000006</v>
      </c>
      <c r="AQ84" s="92">
        <f t="shared" si="30"/>
        <v>-70.436298399999998</v>
      </c>
      <c r="AR84" s="92">
        <f t="shared" si="31"/>
        <v>-29.628592399999999</v>
      </c>
      <c r="AS84" s="92">
        <f t="shared" si="32"/>
        <v>-38.7671086</v>
      </c>
      <c r="AT84" s="92">
        <f t="shared" si="33"/>
        <v>-38.4336585</v>
      </c>
      <c r="AU84" s="92">
        <f t="shared" si="34"/>
        <v>-46.096102000000002</v>
      </c>
      <c r="AV84" s="93">
        <f t="shared" si="35"/>
        <v>-28.1385538</v>
      </c>
    </row>
    <row r="85" spans="33:48" x14ac:dyDescent="0.15">
      <c r="AG85" s="91" t="e">
        <f t="shared" si="20"/>
        <v>#VALUE!</v>
      </c>
      <c r="AH85" s="91" t="e">
        <f t="shared" si="21"/>
        <v>#VALUE!</v>
      </c>
      <c r="AI85" s="91">
        <f t="shared" si="22"/>
        <v>-8608176</v>
      </c>
      <c r="AJ85" s="91">
        <f t="shared" si="23"/>
        <v>-61008384</v>
      </c>
      <c r="AK85" s="91">
        <f t="shared" si="24"/>
        <v>-9083360</v>
      </c>
      <c r="AL85" s="91">
        <f t="shared" si="25"/>
        <v>0</v>
      </c>
      <c r="AM85" s="91">
        <f t="shared" si="26"/>
        <v>-7970864</v>
      </c>
      <c r="AN85" s="91">
        <f t="shared" si="27"/>
        <v>-43887192</v>
      </c>
      <c r="AO85" s="91">
        <f t="shared" si="28"/>
        <v>-66968</v>
      </c>
      <c r="AP85" s="91">
        <f t="shared" si="29"/>
        <v>-72.811049299999993</v>
      </c>
      <c r="AQ85" s="92">
        <f t="shared" si="30"/>
        <v>-74.442406000000005</v>
      </c>
      <c r="AR85" s="92">
        <f t="shared" si="31"/>
        <v>-30.3314232</v>
      </c>
      <c r="AS85" s="92">
        <f t="shared" si="32"/>
        <v>-38.942855299999998</v>
      </c>
      <c r="AT85" s="92">
        <f t="shared" si="33"/>
        <v>-38.716002199999998</v>
      </c>
      <c r="AU85" s="92">
        <f t="shared" si="34"/>
        <v>-48.120626700000003</v>
      </c>
      <c r="AV85" s="93">
        <f t="shared" si="35"/>
        <v>-28.799058599999999</v>
      </c>
    </row>
    <row r="86" spans="33:48" x14ac:dyDescent="0.15">
      <c r="AG86" s="91" t="e">
        <f t="shared" si="20"/>
        <v>#VALUE!</v>
      </c>
      <c r="AH86" s="91" t="e">
        <f t="shared" si="21"/>
        <v>#VALUE!</v>
      </c>
      <c r="AI86" s="91">
        <f t="shared" si="22"/>
        <v>-17228816</v>
      </c>
      <c r="AJ86" s="91">
        <f t="shared" si="23"/>
        <v>-112249592</v>
      </c>
      <c r="AK86" s="91">
        <f t="shared" si="24"/>
        <v>-15349160</v>
      </c>
      <c r="AL86" s="91">
        <f t="shared" si="25"/>
        <v>0</v>
      </c>
      <c r="AM86" s="91">
        <f t="shared" si="26"/>
        <v>-6430728</v>
      </c>
      <c r="AN86" s="91">
        <f t="shared" si="27"/>
        <v>-90400176</v>
      </c>
      <c r="AO86" s="91">
        <f t="shared" si="28"/>
        <v>-69528</v>
      </c>
      <c r="AP86" s="91">
        <f t="shared" si="29"/>
        <v>-74.341760399999998</v>
      </c>
      <c r="AQ86" s="92">
        <f t="shared" si="30"/>
        <v>-76.149996299999998</v>
      </c>
      <c r="AR86" s="92">
        <f t="shared" si="31"/>
        <v>-31.256618599999999</v>
      </c>
      <c r="AS86" s="92">
        <f t="shared" si="32"/>
        <v>-39.170403800000003</v>
      </c>
      <c r="AT86" s="92">
        <f t="shared" si="33"/>
        <v>-39.300125399999999</v>
      </c>
      <c r="AU86" s="92">
        <f t="shared" si="34"/>
        <v>-48.834405799999999</v>
      </c>
      <c r="AV86" s="93">
        <f t="shared" si="35"/>
        <v>-30.122607599999998</v>
      </c>
    </row>
    <row r="87" spans="33:48" x14ac:dyDescent="0.15">
      <c r="AG87" s="91" t="e">
        <f t="shared" si="20"/>
        <v>#VALUE!</v>
      </c>
      <c r="AH87" s="91" t="e">
        <f t="shared" si="21"/>
        <v>#VALUE!</v>
      </c>
      <c r="AI87" s="91">
        <f t="shared" si="22"/>
        <v>-17228816</v>
      </c>
      <c r="AJ87" s="91">
        <f t="shared" si="23"/>
        <v>-163645376</v>
      </c>
      <c r="AK87" s="91">
        <f t="shared" si="24"/>
        <v>-16974728</v>
      </c>
      <c r="AL87" s="91">
        <f t="shared" si="25"/>
        <v>0</v>
      </c>
      <c r="AM87" s="91">
        <f t="shared" si="26"/>
        <v>-10933088</v>
      </c>
      <c r="AN87" s="91">
        <f t="shared" si="27"/>
        <v>-135668032</v>
      </c>
      <c r="AO87" s="91">
        <f t="shared" si="28"/>
        <v>-69528</v>
      </c>
      <c r="AP87" s="91">
        <f t="shared" si="29"/>
        <v>-76.088108899999995</v>
      </c>
      <c r="AQ87" s="92">
        <f t="shared" si="30"/>
        <v>-78.167838399999994</v>
      </c>
      <c r="AR87" s="92">
        <f t="shared" si="31"/>
        <v>-31.928774600000001</v>
      </c>
      <c r="AS87" s="92">
        <f t="shared" si="32"/>
        <v>-39.244321499999998</v>
      </c>
      <c r="AT87" s="92">
        <f t="shared" si="33"/>
        <v>-39.425398700000002</v>
      </c>
      <c r="AU87" s="92">
        <f t="shared" si="34"/>
        <v>-50.036354099999997</v>
      </c>
      <c r="AV87" s="93">
        <f t="shared" si="35"/>
        <v>-30.837379899999998</v>
      </c>
    </row>
    <row r="88" spans="33:48" x14ac:dyDescent="0.15">
      <c r="AG88" s="91" t="e">
        <f t="shared" si="20"/>
        <v>#VALUE!</v>
      </c>
      <c r="AH88" s="91" t="e">
        <f t="shared" si="21"/>
        <v>#VALUE!</v>
      </c>
      <c r="AI88" s="91">
        <f t="shared" si="22"/>
        <v>-34467120</v>
      </c>
      <c r="AJ88" s="91">
        <f t="shared" si="23"/>
        <v>-245063680</v>
      </c>
      <c r="AK88" s="91">
        <f t="shared" si="24"/>
        <v>-29704512</v>
      </c>
      <c r="AL88" s="91">
        <f t="shared" si="25"/>
        <v>0</v>
      </c>
      <c r="AM88" s="91">
        <f t="shared" si="26"/>
        <v>-9788624</v>
      </c>
      <c r="AN88" s="91">
        <f t="shared" si="27"/>
        <v>-205501016</v>
      </c>
      <c r="AO88" s="91">
        <f t="shared" si="28"/>
        <v>-69528</v>
      </c>
      <c r="AP88" s="91">
        <f t="shared" si="29"/>
        <v>-78.4225864</v>
      </c>
      <c r="AQ88" s="92">
        <f t="shared" si="30"/>
        <v>-80.9591195</v>
      </c>
      <c r="AR88" s="92">
        <f t="shared" si="31"/>
        <v>-32.765003200000002</v>
      </c>
      <c r="AS88" s="92">
        <f t="shared" si="32"/>
        <v>-39.327234599999997</v>
      </c>
      <c r="AT88" s="92">
        <f t="shared" si="33"/>
        <v>-39.579856100000001</v>
      </c>
      <c r="AU88" s="92">
        <f t="shared" si="34"/>
        <v>-51.2693163</v>
      </c>
      <c r="AV88" s="93">
        <f t="shared" si="35"/>
        <v>-31.719019800000002</v>
      </c>
    </row>
    <row r="89" spans="33:48" x14ac:dyDescent="0.15">
      <c r="AG89" s="91" t="e">
        <f t="shared" si="20"/>
        <v>#VALUE!</v>
      </c>
      <c r="AH89" s="91" t="e">
        <f t="shared" si="21"/>
        <v>#VALUE!</v>
      </c>
      <c r="AI89" s="91">
        <f t="shared" si="22"/>
        <v>-4308960</v>
      </c>
      <c r="AJ89" s="91">
        <f t="shared" si="23"/>
        <v>-39826784</v>
      </c>
      <c r="AK89" s="91">
        <f t="shared" si="24"/>
        <v>-5227880</v>
      </c>
      <c r="AL89" s="91">
        <f t="shared" si="25"/>
        <v>0</v>
      </c>
      <c r="AM89" s="91">
        <f t="shared" si="26"/>
        <v>-6071960</v>
      </c>
      <c r="AN89" s="91">
        <f t="shared" si="27"/>
        <v>-28462376</v>
      </c>
      <c r="AO89" s="91">
        <f t="shared" si="28"/>
        <v>-64568</v>
      </c>
      <c r="AP89" s="91">
        <f t="shared" si="29"/>
        <v>-70.174457799999999</v>
      </c>
      <c r="AQ89" s="92">
        <f t="shared" si="30"/>
        <v>-71.218200400000001</v>
      </c>
      <c r="AR89" s="92">
        <f t="shared" si="31"/>
        <v>-32.492262599999997</v>
      </c>
      <c r="AS89" s="92">
        <f t="shared" si="32"/>
        <v>-42.269693199999999</v>
      </c>
      <c r="AT89" s="92">
        <f t="shared" si="33"/>
        <v>-42.5106039</v>
      </c>
      <c r="AU89" s="92">
        <f t="shared" si="34"/>
        <v>-46.574558099999997</v>
      </c>
      <c r="AV89" s="93">
        <f t="shared" si="35"/>
        <v>-31.332224700000001</v>
      </c>
    </row>
    <row r="90" spans="33:48" x14ac:dyDescent="0.15">
      <c r="AG90" s="91" t="e">
        <f t="shared" si="20"/>
        <v>#VALUE!</v>
      </c>
      <c r="AH90" s="91" t="e">
        <f t="shared" si="21"/>
        <v>#VALUE!</v>
      </c>
      <c r="AI90" s="91">
        <f t="shared" si="22"/>
        <v>-4308960</v>
      </c>
      <c r="AJ90" s="91">
        <f t="shared" si="23"/>
        <v>-60278928</v>
      </c>
      <c r="AK90" s="91">
        <f t="shared" si="24"/>
        <v>-5651088</v>
      </c>
      <c r="AL90" s="91">
        <f t="shared" si="25"/>
        <v>0</v>
      </c>
      <c r="AM90" s="91">
        <f t="shared" si="26"/>
        <v>-6454376</v>
      </c>
      <c r="AN90" s="91">
        <f t="shared" si="27"/>
        <v>-48108736</v>
      </c>
      <c r="AO90" s="91">
        <f t="shared" si="28"/>
        <v>-64728</v>
      </c>
      <c r="AP90" s="91">
        <f t="shared" si="29"/>
        <v>-70.316456299999999</v>
      </c>
      <c r="AQ90" s="92">
        <f t="shared" si="30"/>
        <v>-71.369037599999999</v>
      </c>
      <c r="AR90" s="92">
        <f t="shared" si="31"/>
        <v>-33.095143499999999</v>
      </c>
      <c r="AS90" s="92">
        <f t="shared" si="32"/>
        <v>-42.515505500000003</v>
      </c>
      <c r="AT90" s="92">
        <f t="shared" si="33"/>
        <v>-42.799503299999998</v>
      </c>
      <c r="AU90" s="92">
        <f t="shared" si="34"/>
        <v>-46.605496500000001</v>
      </c>
      <c r="AV90" s="93">
        <f t="shared" si="35"/>
        <v>-31.626768899999998</v>
      </c>
    </row>
    <row r="91" spans="33:48" x14ac:dyDescent="0.15">
      <c r="AG91" s="91" t="e">
        <f t="shared" si="20"/>
        <v>#VALUE!</v>
      </c>
      <c r="AH91" s="91" t="e">
        <f t="shared" si="21"/>
        <v>#VALUE!</v>
      </c>
      <c r="AI91" s="91">
        <f t="shared" si="22"/>
        <v>-17259744</v>
      </c>
      <c r="AJ91" s="91">
        <f t="shared" si="23"/>
        <v>-110707528</v>
      </c>
      <c r="AK91" s="91">
        <f t="shared" si="24"/>
        <v>-14841360</v>
      </c>
      <c r="AL91" s="91">
        <f t="shared" si="25"/>
        <v>0</v>
      </c>
      <c r="AM91" s="91">
        <f t="shared" si="26"/>
        <v>-8099208</v>
      </c>
      <c r="AN91" s="91">
        <f t="shared" si="27"/>
        <v>-87697432</v>
      </c>
      <c r="AO91" s="91">
        <f t="shared" si="28"/>
        <v>-69528</v>
      </c>
      <c r="AP91" s="91">
        <f t="shared" si="29"/>
        <v>-75.710287699999995</v>
      </c>
      <c r="AQ91" s="92">
        <f t="shared" si="30"/>
        <v>-77.417530400000004</v>
      </c>
      <c r="AR91" s="92">
        <f t="shared" si="31"/>
        <v>-34.168062599999999</v>
      </c>
      <c r="AS91" s="92">
        <f t="shared" si="32"/>
        <v>-42.861942200000001</v>
      </c>
      <c r="AT91" s="92">
        <f t="shared" si="33"/>
        <v>-43.3351489</v>
      </c>
      <c r="AU91" s="92">
        <f t="shared" si="34"/>
        <v>-49.911575200000001</v>
      </c>
      <c r="AV91" s="93">
        <f t="shared" si="35"/>
        <v>-33.231092400000001</v>
      </c>
    </row>
    <row r="92" spans="33:48" x14ac:dyDescent="0.15">
      <c r="AG92" s="91" t="e">
        <f t="shared" si="20"/>
        <v>#VALUE!</v>
      </c>
      <c r="AH92" s="91" t="e">
        <f t="shared" si="21"/>
        <v>#VALUE!</v>
      </c>
      <c r="AI92" s="91">
        <f t="shared" si="22"/>
        <v>-17259744</v>
      </c>
      <c r="AJ92" s="91">
        <f t="shared" si="23"/>
        <v>-161785680</v>
      </c>
      <c r="AK92" s="91">
        <f t="shared" si="24"/>
        <v>-16457880</v>
      </c>
      <c r="AL92" s="91">
        <f t="shared" si="25"/>
        <v>0</v>
      </c>
      <c r="AM92" s="91">
        <f t="shared" si="26"/>
        <v>-10281640</v>
      </c>
      <c r="AN92" s="91">
        <f t="shared" si="27"/>
        <v>-134976632</v>
      </c>
      <c r="AO92" s="91">
        <f t="shared" si="28"/>
        <v>-69528</v>
      </c>
      <c r="AP92" s="91">
        <f t="shared" si="29"/>
        <v>-76.627434500000007</v>
      </c>
      <c r="AQ92" s="92">
        <f t="shared" si="30"/>
        <v>-78.488235900000006</v>
      </c>
      <c r="AR92" s="92">
        <f t="shared" si="31"/>
        <v>-34.825448000000002</v>
      </c>
      <c r="AS92" s="92">
        <f t="shared" si="32"/>
        <v>-42.990658099999997</v>
      </c>
      <c r="AT92" s="92">
        <f t="shared" si="33"/>
        <v>-43.527176500000003</v>
      </c>
      <c r="AU92" s="92">
        <f t="shared" si="34"/>
        <v>-50.523032499999999</v>
      </c>
      <c r="AV92" s="93">
        <f t="shared" si="35"/>
        <v>-33.807484899999999</v>
      </c>
    </row>
    <row r="93" spans="33:48" ht="15.75" customHeight="1" thickBot="1" x14ac:dyDescent="0.2">
      <c r="AG93" s="94" t="e">
        <f t="shared" si="20"/>
        <v>#VALUE!</v>
      </c>
      <c r="AH93" s="94" t="e">
        <f t="shared" si="21"/>
        <v>#VALUE!</v>
      </c>
      <c r="AI93" s="94">
        <f t="shared" si="22"/>
        <v>-34522944</v>
      </c>
      <c r="AJ93" s="94">
        <f t="shared" si="23"/>
        <v>-243937088</v>
      </c>
      <c r="AK93" s="94">
        <f t="shared" si="24"/>
        <v>-25693560</v>
      </c>
      <c r="AL93" s="94">
        <f t="shared" si="25"/>
        <v>0</v>
      </c>
      <c r="AM93" s="94">
        <f t="shared" si="26"/>
        <v>-12315816</v>
      </c>
      <c r="AN93" s="94">
        <f t="shared" si="27"/>
        <v>-205858184</v>
      </c>
      <c r="AO93" s="94">
        <f t="shared" si="28"/>
        <v>-69528</v>
      </c>
      <c r="AP93" s="94">
        <f t="shared" si="29"/>
        <v>-79.040216000000001</v>
      </c>
      <c r="AQ93" s="95">
        <f t="shared" si="30"/>
        <v>-81.402415700000006</v>
      </c>
      <c r="AR93" s="95">
        <f t="shared" si="31"/>
        <v>-35.690950399999998</v>
      </c>
      <c r="AS93" s="95">
        <f t="shared" si="32"/>
        <v>-43.120618700000001</v>
      </c>
      <c r="AT93" s="95">
        <f t="shared" si="33"/>
        <v>-43.720245300000002</v>
      </c>
      <c r="AU93" s="95">
        <f t="shared" si="34"/>
        <v>-51.7648467</v>
      </c>
      <c r="AV93" s="96">
        <f t="shared" si="35"/>
        <v>-34.776605199999999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5:AZ48">
    <cfRule type="cellIs" dxfId="149" priority="33" operator="greaterThanOrEqual">
      <formula>0.03</formula>
    </cfRule>
    <cfRule type="cellIs" dxfId="148" priority="34" operator="lessThanOrEqual">
      <formula>-0.03</formula>
    </cfRule>
  </conditionalFormatting>
  <conditionalFormatting sqref="BA5:BA48">
    <cfRule type="cellIs" dxfId="147" priority="35" operator="greaterThanOrEqual">
      <formula>0.03</formula>
    </cfRule>
    <cfRule type="cellIs" dxfId="146" priority="36" operator="lessThanOrEqual">
      <formula>-0.03</formula>
    </cfRule>
  </conditionalFormatting>
  <conditionalFormatting sqref="BB5:BB48">
    <cfRule type="cellIs" dxfId="145" priority="43" operator="greaterThanOrEqual">
      <formula>0.03</formula>
    </cfRule>
    <cfRule type="cellIs" dxfId="144" priority="44" operator="lessThanOrEqual">
      <formula>-0.03</formula>
    </cfRule>
  </conditionalFormatting>
  <conditionalFormatting sqref="BC5:BC48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BD5:BD48">
    <cfRule type="cellIs" dxfId="141" priority="37" operator="greaterThanOrEqual">
      <formula>0.03</formula>
    </cfRule>
    <cfRule type="cellIs" dxfId="140" priority="38" operator="lessThanOrEqual">
      <formula>-0.03</formula>
    </cfRule>
  </conditionalFormatting>
  <conditionalFormatting sqref="BE5:BE48">
    <cfRule type="cellIs" dxfId="139" priority="39" operator="greaterThanOrEqual">
      <formula>0.03</formula>
    </cfRule>
    <cfRule type="cellIs" dxfId="138" priority="40" operator="lessThanOrEqual">
      <formula>-0.03</formula>
    </cfRule>
  </conditionalFormatting>
  <conditionalFormatting sqref="BF5:BF48">
    <cfRule type="cellIs" dxfId="137" priority="41" operator="greaterThanOrEqual">
      <formula>0.03</formula>
    </cfRule>
    <cfRule type="cellIs" dxfId="136" priority="42" operator="lessThanOrEqual">
      <formula>-0.03</formula>
    </cfRule>
  </conditionalFormatting>
  <conditionalFormatting sqref="J5:J45">
    <cfRule type="expression" dxfId="135" priority="32">
      <formula>OR(J5 &lt; H5 * 0.9, J5 &gt; H5)</formula>
    </cfRule>
  </conditionalFormatting>
  <conditionalFormatting sqref="AE5:AE45">
    <cfRule type="expression" dxfId="134" priority="31">
      <formula>OR(AE5 &lt; H5 * 0.9, AE5 &gt; H5)</formula>
    </cfRule>
  </conditionalFormatting>
  <conditionalFormatting sqref="BP5:BP48">
    <cfRule type="cellIs" dxfId="133" priority="29" operator="greaterThanOrEqual">
      <formula>0.001</formula>
    </cfRule>
    <cfRule type="cellIs" dxfId="132" priority="30" operator="lessThanOrEqual">
      <formula>-0.001</formula>
    </cfRule>
  </conditionalFormatting>
  <conditionalFormatting sqref="BQ5:BQ48">
    <cfRule type="cellIs" dxfId="131" priority="27" operator="greaterThanOrEqual">
      <formula>0.001</formula>
    </cfRule>
    <cfRule type="cellIs" dxfId="130" priority="28" operator="lessThanOrEqual">
      <formula>-0.001</formula>
    </cfRule>
  </conditionalFormatting>
  <conditionalFormatting sqref="BR5:BR48">
    <cfRule type="cellIs" dxfId="129" priority="25" operator="greaterThanOrEqual">
      <formula>0.001</formula>
    </cfRule>
    <cfRule type="cellIs" dxfId="128" priority="26" operator="lessThanOrEqual">
      <formula>-0.001</formula>
    </cfRule>
  </conditionalFormatting>
  <conditionalFormatting sqref="BS5:BS48">
    <cfRule type="cellIs" dxfId="127" priority="23" operator="greaterThanOrEqual">
      <formula>0.001</formula>
    </cfRule>
    <cfRule type="cellIs" dxfId="126" priority="24" operator="lessThanOrEqual">
      <formula>-0.001</formula>
    </cfRule>
  </conditionalFormatting>
  <conditionalFormatting sqref="AG54:AQ93">
    <cfRule type="cellIs" dxfId="125" priority="21" operator="lessThan">
      <formula>0</formula>
    </cfRule>
    <cfRule type="cellIs" dxfId="124" priority="22" operator="greaterThan">
      <formula>0</formula>
    </cfRule>
  </conditionalFormatting>
  <conditionalFormatting sqref="AR54:AV93">
    <cfRule type="cellIs" dxfId="123" priority="19" operator="lessThan">
      <formula>0</formula>
    </cfRule>
    <cfRule type="cellIs" dxfId="122" priority="20" operator="greaterThan">
      <formula>0</formula>
    </cfRule>
  </conditionalFormatting>
  <conditionalFormatting sqref="L5:L44">
    <cfRule type="expression" dxfId="121" priority="18">
      <formula>NOT(L5=O5)</formula>
    </cfRule>
  </conditionalFormatting>
  <conditionalFormatting sqref="AG5:AG44">
    <cfRule type="expression" dxfId="120" priority="17">
      <formula>NOT(AG5=AJ5)</formula>
    </cfRule>
  </conditionalFormatting>
  <conditionalFormatting sqref="BH5:BH48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I5:BI48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J5:BJ48">
    <cfRule type="cellIs" dxfId="115" priority="11" operator="greaterThanOrEqual">
      <formula>0.03</formula>
    </cfRule>
    <cfRule type="cellIs" dxfId="114" priority="12" operator="lessThanOrEqual">
      <formula>-0.03</formula>
    </cfRule>
  </conditionalFormatting>
  <conditionalFormatting sqref="BK5:BK48">
    <cfRule type="cellIs" dxfId="113" priority="13" operator="greaterThanOrEqual">
      <formula>0.03</formula>
    </cfRule>
    <cfRule type="cellIs" dxfId="112" priority="14" operator="lessThanOrEqual">
      <formula>-0.03</formula>
    </cfRule>
  </conditionalFormatting>
  <conditionalFormatting sqref="BL5:BL48">
    <cfRule type="cellIs" dxfId="111" priority="5" operator="greaterThanOrEqual">
      <formula>0.03</formula>
    </cfRule>
    <cfRule type="cellIs" dxfId="110" priority="6" operator="lessThanOrEqual">
      <formula>-0.03</formula>
    </cfRule>
  </conditionalFormatting>
  <conditionalFormatting sqref="BM5:BM48">
    <cfRule type="cellIs" dxfId="109" priority="15" operator="greaterThanOrEqual">
      <formula>0.03</formula>
    </cfRule>
    <cfRule type="cellIs" dxfId="108" priority="16" operator="lessThanOrEqual">
      <formula>-0.03</formula>
    </cfRule>
  </conditionalFormatting>
  <conditionalFormatting sqref="BN5:BN48">
    <cfRule type="cellIs" dxfId="107" priority="9" operator="greaterThanOrEqual">
      <formula>0.03</formula>
    </cfRule>
    <cfRule type="cellIs" dxfId="106" priority="10" operator="lessThanOrEqual">
      <formula>-0.03</formula>
    </cfRule>
  </conditionalFormatting>
  <conditionalFormatting sqref="BT5:BT48">
    <cfRule type="cellIs" dxfId="105" priority="1" operator="greaterThanOrEqual">
      <formula>0.001</formula>
    </cfRule>
    <cfRule type="cellIs" dxfId="104" priority="2" operator="lessThanOrEqual">
      <formula>-0.001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3"/>
  <sheetViews>
    <sheetView tabSelected="1"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N5" sqref="N5:AC44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18" t="s">
        <v>367</v>
      </c>
      <c r="B1" s="106"/>
      <c r="C1" s="106"/>
      <c r="D1" s="106"/>
      <c r="E1" s="106"/>
      <c r="F1" s="106"/>
      <c r="G1" s="106"/>
      <c r="H1" s="106"/>
      <c r="J1" s="114" t="str">
        <f>Summary!C1</f>
        <v>F300_v6.0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E1" s="115">
        <f>Summary!C2</f>
        <v>0</v>
      </c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</row>
    <row r="2" spans="1:72" ht="33" customHeight="1" thickBot="1" x14ac:dyDescent="0.2">
      <c r="A2" s="117" t="s">
        <v>149</v>
      </c>
      <c r="B2" s="116" t="s">
        <v>150</v>
      </c>
      <c r="C2" s="117" t="s">
        <v>333</v>
      </c>
      <c r="D2" s="116" t="s">
        <v>151</v>
      </c>
      <c r="E2" s="117" t="s">
        <v>152</v>
      </c>
      <c r="F2" s="116" t="s">
        <v>153</v>
      </c>
      <c r="G2" s="117" t="s">
        <v>154</v>
      </c>
      <c r="H2" s="116" t="s">
        <v>334</v>
      </c>
      <c r="J2" s="117" t="s">
        <v>127</v>
      </c>
      <c r="K2" s="116" t="s">
        <v>131</v>
      </c>
      <c r="L2" s="122" t="s">
        <v>120</v>
      </c>
      <c r="M2" s="116" t="s">
        <v>368</v>
      </c>
      <c r="N2" s="117" t="s">
        <v>81</v>
      </c>
      <c r="O2" s="116" t="s">
        <v>120</v>
      </c>
      <c r="P2" s="120" t="s">
        <v>421</v>
      </c>
      <c r="Q2" s="120" t="s">
        <v>422</v>
      </c>
      <c r="R2" s="120" t="s">
        <v>423</v>
      </c>
      <c r="S2" s="120" t="s">
        <v>424</v>
      </c>
      <c r="T2" s="120" t="s">
        <v>425</v>
      </c>
      <c r="U2" s="119" t="s">
        <v>335</v>
      </c>
      <c r="V2" s="106"/>
      <c r="W2" s="106"/>
      <c r="X2" s="106"/>
      <c r="Y2" s="106"/>
      <c r="Z2" s="120" t="s">
        <v>336</v>
      </c>
      <c r="AA2" s="106"/>
      <c r="AB2" s="117" t="s">
        <v>122</v>
      </c>
      <c r="AC2" s="116" t="s">
        <v>102</v>
      </c>
      <c r="AE2" s="117" t="s">
        <v>127</v>
      </c>
      <c r="AF2" s="116" t="s">
        <v>131</v>
      </c>
      <c r="AG2" s="122" t="s">
        <v>120</v>
      </c>
      <c r="AH2" s="116" t="s">
        <v>368</v>
      </c>
      <c r="AI2" s="117" t="s">
        <v>81</v>
      </c>
      <c r="AJ2" s="116" t="s">
        <v>120</v>
      </c>
      <c r="AK2" s="120" t="s">
        <v>421</v>
      </c>
      <c r="AL2" s="120" t="s">
        <v>422</v>
      </c>
      <c r="AM2" s="120" t="s">
        <v>423</v>
      </c>
      <c r="AN2" s="120" t="s">
        <v>424</v>
      </c>
      <c r="AO2" s="120" t="s">
        <v>425</v>
      </c>
      <c r="AP2" s="119" t="s">
        <v>335</v>
      </c>
      <c r="AQ2" s="106"/>
      <c r="AR2" s="106"/>
      <c r="AS2" s="106"/>
      <c r="AT2" s="106"/>
      <c r="AU2" s="120" t="s">
        <v>336</v>
      </c>
      <c r="AV2" s="106"/>
      <c r="AW2" s="117" t="s">
        <v>122</v>
      </c>
      <c r="AX2" s="116" t="s">
        <v>102</v>
      </c>
      <c r="AZ2" s="119" t="s">
        <v>15</v>
      </c>
      <c r="BA2" s="106"/>
      <c r="BB2" s="106"/>
      <c r="BC2" s="106"/>
      <c r="BD2" s="106"/>
      <c r="BE2" s="120" t="s">
        <v>16</v>
      </c>
      <c r="BF2" s="106"/>
      <c r="BH2" s="119" t="s">
        <v>411</v>
      </c>
      <c r="BI2" s="119"/>
      <c r="BJ2" s="121" t="s">
        <v>412</v>
      </c>
      <c r="BK2" s="121"/>
      <c r="BL2" s="121"/>
      <c r="BM2" s="117" t="s">
        <v>413</v>
      </c>
      <c r="BN2" s="116" t="s">
        <v>414</v>
      </c>
      <c r="BP2" s="117" t="s">
        <v>416</v>
      </c>
      <c r="BQ2" s="117" t="s">
        <v>417</v>
      </c>
      <c r="BR2" s="117" t="s">
        <v>419</v>
      </c>
      <c r="BS2" s="117" t="s">
        <v>418</v>
      </c>
      <c r="BT2" s="117" t="s">
        <v>420</v>
      </c>
    </row>
    <row r="3" spans="1:72" ht="33" customHeight="1" thickBot="1" x14ac:dyDescent="0.2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23"/>
      <c r="M3" s="108"/>
      <c r="N3" s="108"/>
      <c r="O3" s="108"/>
      <c r="P3" s="116"/>
      <c r="Q3" s="116"/>
      <c r="R3" s="116"/>
      <c r="S3" s="116"/>
      <c r="T3" s="116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08"/>
      <c r="AC3" s="108"/>
      <c r="AE3" s="108"/>
      <c r="AF3" s="108"/>
      <c r="AG3" s="123"/>
      <c r="AH3" s="108"/>
      <c r="AI3" s="108"/>
      <c r="AJ3" s="108"/>
      <c r="AK3" s="116"/>
      <c r="AL3" s="116"/>
      <c r="AM3" s="116"/>
      <c r="AN3" s="116"/>
      <c r="AO3" s="116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08"/>
      <c r="AX3" s="108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17"/>
      <c r="BN3" s="116"/>
      <c r="BP3" s="108"/>
      <c r="BQ3" s="108"/>
      <c r="BR3" s="108"/>
      <c r="BS3" s="108"/>
      <c r="BT3" s="108"/>
    </row>
    <row r="4" spans="1:72" ht="54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4.1318007999999997</v>
      </c>
      <c r="K5" s="21">
        <f t="shared" ref="K5:K44" si="1">IF(ISBLANK(O5),"·",O5/D5)</f>
        <v>3.4439020324335856</v>
      </c>
      <c r="L5" s="19">
        <f t="shared" ref="L5:L44" si="2">IF(OR(ISBLANK(M5),ISBLANK(S5),ISBLANK(T5)),".",M5+S5+T5)</f>
        <v>41318008</v>
      </c>
      <c r="M5" s="19">
        <f t="shared" ref="M5:M44" si="3">IF(OR(ISBLANK(Q5),ISBLANK(P5),ISBLANK(R5)),".",P5+Q5+R5)</f>
        <v>13577312</v>
      </c>
      <c r="N5" s="44">
        <v>5681424</v>
      </c>
      <c r="O5" s="22">
        <v>41318008</v>
      </c>
      <c r="P5" s="22">
        <v>8115120</v>
      </c>
      <c r="Q5" s="22">
        <v>0</v>
      </c>
      <c r="R5" s="22">
        <v>5462192</v>
      </c>
      <c r="S5" s="22">
        <v>27673728</v>
      </c>
      <c r="T5" s="22">
        <v>66968</v>
      </c>
      <c r="U5" s="45">
        <v>67.079066600000004</v>
      </c>
      <c r="V5" s="45">
        <v>67.927461199999996</v>
      </c>
      <c r="W5" s="45">
        <v>27.818565599999999</v>
      </c>
      <c r="X5" s="45">
        <v>33.4841379</v>
      </c>
      <c r="Y5" s="45">
        <v>32.852734599999998</v>
      </c>
      <c r="Z5" s="45">
        <v>47.301057800000002</v>
      </c>
      <c r="AA5" s="45">
        <v>26.416880299999999</v>
      </c>
      <c r="AB5" s="23">
        <v>10271.572695999999</v>
      </c>
      <c r="AC5" s="23">
        <v>38.329151000000003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8</v>
      </c>
      <c r="J6" s="36">
        <f t="shared" si="0"/>
        <v>8.2550711999999997</v>
      </c>
      <c r="K6" s="37">
        <f t="shared" si="1"/>
        <v>6.8806938813613572</v>
      </c>
      <c r="L6" s="35">
        <f t="shared" si="2"/>
        <v>82550712</v>
      </c>
      <c r="M6" s="35">
        <f t="shared" si="3"/>
        <v>16190528</v>
      </c>
      <c r="N6" s="46">
        <v>5681424</v>
      </c>
      <c r="O6" s="38">
        <v>82550712</v>
      </c>
      <c r="P6" s="38">
        <v>8115120</v>
      </c>
      <c r="Q6" s="38">
        <v>0</v>
      </c>
      <c r="R6" s="38">
        <v>8075408</v>
      </c>
      <c r="S6" s="38">
        <v>66293216</v>
      </c>
      <c r="T6" s="38">
        <v>66968</v>
      </c>
      <c r="U6" s="47">
        <v>67.779156400000005</v>
      </c>
      <c r="V6" s="47">
        <v>68.685868799999994</v>
      </c>
      <c r="W6" s="47">
        <v>30.925522999999998</v>
      </c>
      <c r="X6" s="47">
        <v>34.669907700000003</v>
      </c>
      <c r="Y6" s="47">
        <v>34.164009</v>
      </c>
      <c r="Z6" s="47">
        <v>47.5100002</v>
      </c>
      <c r="AA6" s="47">
        <v>28.104056100000001</v>
      </c>
      <c r="AB6" s="39">
        <v>11288.987493000001</v>
      </c>
      <c r="AC6" s="39">
        <v>42.978597999999998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11</v>
      </c>
      <c r="J7" s="20">
        <f t="shared" si="0"/>
        <v>11.6535464</v>
      </c>
      <c r="K7" s="21">
        <f t="shared" si="1"/>
        <v>9.713360850314734</v>
      </c>
      <c r="L7" s="19">
        <f t="shared" si="2"/>
        <v>116535464</v>
      </c>
      <c r="M7" s="19">
        <f t="shared" si="3"/>
        <v>22323312</v>
      </c>
      <c r="N7" s="44">
        <v>11389008</v>
      </c>
      <c r="O7" s="22">
        <v>116535464</v>
      </c>
      <c r="P7" s="22">
        <v>12587656</v>
      </c>
      <c r="Q7" s="22">
        <v>0</v>
      </c>
      <c r="R7" s="22">
        <v>9735656</v>
      </c>
      <c r="S7" s="22">
        <v>94142704</v>
      </c>
      <c r="T7" s="22">
        <v>69448</v>
      </c>
      <c r="U7" s="45">
        <v>71.510741199999998</v>
      </c>
      <c r="V7" s="45">
        <v>72.9567756</v>
      </c>
      <c r="W7" s="45">
        <v>32.2423334</v>
      </c>
      <c r="X7" s="45">
        <v>36.400588900000002</v>
      </c>
      <c r="Y7" s="45">
        <v>36.129502299999999</v>
      </c>
      <c r="Z7" s="45">
        <v>49.7201375</v>
      </c>
      <c r="AA7" s="45">
        <v>30.043495100000001</v>
      </c>
      <c r="AB7" s="23">
        <v>31808.765962000001</v>
      </c>
      <c r="AC7" s="23">
        <v>145.98780500000001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14</v>
      </c>
      <c r="J8" s="36">
        <f t="shared" si="0"/>
        <v>14.715993599999999</v>
      </c>
      <c r="K8" s="37">
        <f t="shared" si="1"/>
        <v>12.265944734876774</v>
      </c>
      <c r="L8" s="35">
        <f t="shared" si="2"/>
        <v>147159936</v>
      </c>
      <c r="M8" s="35">
        <f t="shared" si="3"/>
        <v>28948392</v>
      </c>
      <c r="N8" s="46">
        <v>22901024</v>
      </c>
      <c r="O8" s="38">
        <v>147159936</v>
      </c>
      <c r="P8" s="38">
        <v>20463464</v>
      </c>
      <c r="Q8" s="38">
        <v>0</v>
      </c>
      <c r="R8" s="38">
        <v>8484928</v>
      </c>
      <c r="S8" s="38">
        <v>118142096</v>
      </c>
      <c r="T8" s="38">
        <v>69448</v>
      </c>
      <c r="U8" s="47">
        <v>72.919027</v>
      </c>
      <c r="V8" s="47">
        <v>74.558754800000003</v>
      </c>
      <c r="W8" s="47">
        <v>33.2272763</v>
      </c>
      <c r="X8" s="47">
        <v>36.948543000000001</v>
      </c>
      <c r="Y8" s="47">
        <v>36.675694900000003</v>
      </c>
      <c r="Z8" s="47">
        <v>50.6518546</v>
      </c>
      <c r="AA8" s="47">
        <v>30.926424999999998</v>
      </c>
      <c r="AB8" s="39">
        <v>35706.546327999997</v>
      </c>
      <c r="AC8" s="39">
        <v>158.617448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21</v>
      </c>
      <c r="J9" s="51">
        <f t="shared" si="0"/>
        <v>22.211154399999998</v>
      </c>
      <c r="K9" s="52">
        <f t="shared" si="1"/>
        <v>18.513244825562786</v>
      </c>
      <c r="L9" s="49">
        <f t="shared" si="2"/>
        <v>222111544</v>
      </c>
      <c r="M9" s="49">
        <f t="shared" si="3"/>
        <v>35743328</v>
      </c>
      <c r="N9" s="53">
        <v>22901024</v>
      </c>
      <c r="O9" s="54">
        <v>222111544</v>
      </c>
      <c r="P9" s="54">
        <v>20463464</v>
      </c>
      <c r="Q9" s="54">
        <v>0</v>
      </c>
      <c r="R9" s="54">
        <v>15279864</v>
      </c>
      <c r="S9" s="54">
        <v>186298768</v>
      </c>
      <c r="T9" s="54">
        <v>69448</v>
      </c>
      <c r="U9" s="55">
        <v>74.351512999999997</v>
      </c>
      <c r="V9" s="55">
        <v>76.237871200000001</v>
      </c>
      <c r="W9" s="55">
        <v>34.848841800000002</v>
      </c>
      <c r="X9" s="55">
        <v>38.5065551</v>
      </c>
      <c r="Y9" s="55">
        <v>38.199926300000001</v>
      </c>
      <c r="Z9" s="55">
        <v>51.463733300000001</v>
      </c>
      <c r="AA9" s="55">
        <v>32.232133699999999</v>
      </c>
      <c r="AB9" s="56">
        <v>37915.476551</v>
      </c>
      <c r="AC9" s="56">
        <v>140.804506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4</v>
      </c>
      <c r="J10" s="36">
        <f t="shared" si="0"/>
        <v>5.1405807999999995</v>
      </c>
      <c r="K10" s="37">
        <f t="shared" si="1"/>
        <v>5.7117564444444442</v>
      </c>
      <c r="L10" s="35">
        <f t="shared" si="2"/>
        <v>51405808</v>
      </c>
      <c r="M10" s="35">
        <f t="shared" si="3"/>
        <v>10516704</v>
      </c>
      <c r="N10" s="46">
        <v>5609904</v>
      </c>
      <c r="O10" s="38">
        <v>51405808</v>
      </c>
      <c r="P10" s="38">
        <v>1353064</v>
      </c>
      <c r="Q10" s="38">
        <v>1277776</v>
      </c>
      <c r="R10" s="38">
        <v>7885864</v>
      </c>
      <c r="S10" s="38">
        <v>40822136</v>
      </c>
      <c r="T10" s="38">
        <v>66968</v>
      </c>
      <c r="U10" s="47">
        <v>64.099982699999998</v>
      </c>
      <c r="V10" s="47">
        <v>64.699049900000006</v>
      </c>
      <c r="W10" s="47">
        <v>35.214144400000002</v>
      </c>
      <c r="X10" s="47">
        <v>46.729424100000003</v>
      </c>
      <c r="Y10" s="47">
        <v>47.2386494</v>
      </c>
      <c r="Z10" s="47">
        <v>43.420010400000002</v>
      </c>
      <c r="AA10" s="47">
        <v>30.105251800000001</v>
      </c>
      <c r="AB10" s="39">
        <v>31203.944503999999</v>
      </c>
      <c r="AC10" s="39">
        <v>135.57789600000001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8</v>
      </c>
      <c r="J11" s="20">
        <f t="shared" si="0"/>
        <v>9.7526864</v>
      </c>
      <c r="K11" s="21">
        <f t="shared" si="1"/>
        <v>10.836318222222221</v>
      </c>
      <c r="L11" s="19">
        <f t="shared" si="2"/>
        <v>97526864</v>
      </c>
      <c r="M11" s="19">
        <f t="shared" si="3"/>
        <v>22265080</v>
      </c>
      <c r="N11" s="44">
        <v>11337904</v>
      </c>
      <c r="O11" s="22">
        <v>97526864</v>
      </c>
      <c r="P11" s="22">
        <v>5318344</v>
      </c>
      <c r="Q11" s="22">
        <v>841408</v>
      </c>
      <c r="R11" s="22">
        <v>16105328</v>
      </c>
      <c r="S11" s="22">
        <v>75192336</v>
      </c>
      <c r="T11" s="22">
        <v>69448</v>
      </c>
      <c r="U11" s="45">
        <v>69.702474899999999</v>
      </c>
      <c r="V11" s="45">
        <v>70.9345091</v>
      </c>
      <c r="W11" s="45">
        <v>37.336871700000003</v>
      </c>
      <c r="X11" s="45">
        <v>47.495921299999999</v>
      </c>
      <c r="Y11" s="45">
        <v>48.092539899999998</v>
      </c>
      <c r="Z11" s="45">
        <v>46.554924700000001</v>
      </c>
      <c r="AA11" s="45">
        <v>33.2677057</v>
      </c>
      <c r="AB11" s="23">
        <v>37895.278358000003</v>
      </c>
      <c r="AC11" s="23">
        <v>126.50655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11</v>
      </c>
      <c r="J12" s="36">
        <f t="shared" si="0"/>
        <v>12.434456000000001</v>
      </c>
      <c r="K12" s="37">
        <f t="shared" si="1"/>
        <v>13.816062222222222</v>
      </c>
      <c r="L12" s="35">
        <f t="shared" si="2"/>
        <v>124344560</v>
      </c>
      <c r="M12" s="35">
        <f t="shared" si="3"/>
        <v>24148496</v>
      </c>
      <c r="N12" s="46">
        <v>11337904</v>
      </c>
      <c r="O12" s="38">
        <v>124344560</v>
      </c>
      <c r="P12" s="38">
        <v>5741392</v>
      </c>
      <c r="Q12" s="38">
        <v>1473304</v>
      </c>
      <c r="R12" s="38">
        <v>16933800</v>
      </c>
      <c r="S12" s="38">
        <v>100126616</v>
      </c>
      <c r="T12" s="38">
        <v>69448</v>
      </c>
      <c r="U12" s="47">
        <v>69.765809200000007</v>
      </c>
      <c r="V12" s="47">
        <v>71.003709999999998</v>
      </c>
      <c r="W12" s="47">
        <v>37.986805199999999</v>
      </c>
      <c r="X12" s="47">
        <v>47.818190600000001</v>
      </c>
      <c r="Y12" s="47">
        <v>48.433858000000001</v>
      </c>
      <c r="Z12" s="47">
        <v>46.5671429</v>
      </c>
      <c r="AA12" s="47">
        <v>33.493703600000003</v>
      </c>
      <c r="AB12" s="39">
        <v>38993.038128</v>
      </c>
      <c r="AC12" s="39">
        <v>149.19239999999999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14</v>
      </c>
      <c r="J13" s="20">
        <f t="shared" si="0"/>
        <v>16.0078064</v>
      </c>
      <c r="K13" s="21">
        <f t="shared" si="1"/>
        <v>17.786451555555555</v>
      </c>
      <c r="L13" s="19">
        <f t="shared" si="2"/>
        <v>160078064</v>
      </c>
      <c r="M13" s="19">
        <f t="shared" si="3"/>
        <v>24148496</v>
      </c>
      <c r="N13" s="44">
        <v>11337904</v>
      </c>
      <c r="O13" s="22">
        <v>160078064</v>
      </c>
      <c r="P13" s="22">
        <v>5741392</v>
      </c>
      <c r="Q13" s="22">
        <v>1473304</v>
      </c>
      <c r="R13" s="22">
        <v>16933800</v>
      </c>
      <c r="S13" s="22">
        <v>135860120</v>
      </c>
      <c r="T13" s="22">
        <v>69448</v>
      </c>
      <c r="U13" s="45">
        <v>69.765809200000007</v>
      </c>
      <c r="V13" s="45">
        <v>71.003709999999998</v>
      </c>
      <c r="W13" s="45">
        <v>38.517101099999998</v>
      </c>
      <c r="X13" s="45">
        <v>48.530886799999998</v>
      </c>
      <c r="Y13" s="45">
        <v>49.185441400000002</v>
      </c>
      <c r="Z13" s="45">
        <v>46.5671429</v>
      </c>
      <c r="AA13" s="45">
        <v>33.634809699999998</v>
      </c>
      <c r="AB13" s="23">
        <v>40333.682699999998</v>
      </c>
      <c r="AC13" s="23">
        <v>142.96793700000001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21</v>
      </c>
      <c r="J14" s="28">
        <f t="shared" si="0"/>
        <v>21.8527232</v>
      </c>
      <c r="K14" s="29">
        <f t="shared" si="1"/>
        <v>24.280803555555554</v>
      </c>
      <c r="L14" s="27">
        <f t="shared" si="2"/>
        <v>218527232</v>
      </c>
      <c r="M14" s="27">
        <f t="shared" si="3"/>
        <v>49025576</v>
      </c>
      <c r="N14" s="58">
        <v>22859376</v>
      </c>
      <c r="O14" s="30">
        <v>218527232</v>
      </c>
      <c r="P14" s="30">
        <v>17523192</v>
      </c>
      <c r="Q14" s="30">
        <v>1347840</v>
      </c>
      <c r="R14" s="30">
        <v>30154544</v>
      </c>
      <c r="S14" s="30">
        <v>169431392</v>
      </c>
      <c r="T14" s="30">
        <v>70264</v>
      </c>
      <c r="U14" s="59">
        <v>73.910699500000007</v>
      </c>
      <c r="V14" s="59">
        <v>75.832225100000002</v>
      </c>
      <c r="W14" s="59">
        <v>39.282596900000001</v>
      </c>
      <c r="X14" s="59">
        <v>48.548494900000001</v>
      </c>
      <c r="Y14" s="59">
        <v>49.217668500000002</v>
      </c>
      <c r="Z14" s="59">
        <v>49.001942</v>
      </c>
      <c r="AA14" s="59">
        <v>35.916807599999999</v>
      </c>
      <c r="AB14" s="31">
        <v>50282.746183000003</v>
      </c>
      <c r="AC14" s="31">
        <v>158.07002800000001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3.0792976000000003</v>
      </c>
      <c r="K15" s="21">
        <f t="shared" si="1"/>
        <v>2.6003184258877847</v>
      </c>
      <c r="L15" s="19">
        <f t="shared" si="2"/>
        <v>30792976</v>
      </c>
      <c r="M15" s="19">
        <f t="shared" si="3"/>
        <v>11729568</v>
      </c>
      <c r="N15" s="44">
        <v>5676736</v>
      </c>
      <c r="O15" s="22">
        <v>30792976</v>
      </c>
      <c r="P15" s="22">
        <v>6657720</v>
      </c>
      <c r="Q15" s="22">
        <v>0</v>
      </c>
      <c r="R15" s="22">
        <v>5071848</v>
      </c>
      <c r="S15" s="22">
        <v>18996360</v>
      </c>
      <c r="T15" s="22">
        <v>67048</v>
      </c>
      <c r="U15" s="45">
        <v>70.2034333</v>
      </c>
      <c r="V15" s="45">
        <v>71.393227999999993</v>
      </c>
      <c r="W15" s="45">
        <v>35.640441799999998</v>
      </c>
      <c r="X15" s="45">
        <v>43.324719399999999</v>
      </c>
      <c r="Y15" s="45">
        <v>45.136019300000001</v>
      </c>
      <c r="Z15" s="45">
        <v>45.2275578</v>
      </c>
      <c r="AA15" s="45">
        <v>32.072799400000001</v>
      </c>
      <c r="AB15" s="23">
        <v>25788.032929000001</v>
      </c>
      <c r="AC15" s="23">
        <v>124.180362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5.0398584</v>
      </c>
      <c r="K16" s="37">
        <f t="shared" si="1"/>
        <v>4.2559175382676004</v>
      </c>
      <c r="L16" s="35">
        <f t="shared" si="2"/>
        <v>50398584</v>
      </c>
      <c r="M16" s="35">
        <f t="shared" si="3"/>
        <v>14332336</v>
      </c>
      <c r="N16" s="46">
        <v>5676736</v>
      </c>
      <c r="O16" s="38">
        <v>50398584</v>
      </c>
      <c r="P16" s="38">
        <v>7234808</v>
      </c>
      <c r="Q16" s="38">
        <v>0</v>
      </c>
      <c r="R16" s="38">
        <v>7097528</v>
      </c>
      <c r="S16" s="38">
        <v>35999280</v>
      </c>
      <c r="T16" s="38">
        <v>66968</v>
      </c>
      <c r="U16" s="47">
        <v>71.251891299999997</v>
      </c>
      <c r="V16" s="47">
        <v>72.535507199999998</v>
      </c>
      <c r="W16" s="47">
        <v>38.290563900000002</v>
      </c>
      <c r="X16" s="47">
        <v>43.940985499999996</v>
      </c>
      <c r="Y16" s="47">
        <v>46.386836099999996</v>
      </c>
      <c r="Z16" s="47">
        <v>45.670977299999997</v>
      </c>
      <c r="AA16" s="47">
        <v>33.251466399999998</v>
      </c>
      <c r="AB16" s="39">
        <v>26999.328465999999</v>
      </c>
      <c r="AC16" s="39">
        <v>140.67434299999999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9.7361959999999996</v>
      </c>
      <c r="K17" s="21">
        <f t="shared" si="1"/>
        <v>8.2217483158675364</v>
      </c>
      <c r="L17" s="19">
        <f t="shared" si="2"/>
        <v>97361960</v>
      </c>
      <c r="M17" s="19">
        <f t="shared" si="3"/>
        <v>27254568</v>
      </c>
      <c r="N17" s="44">
        <v>11357376</v>
      </c>
      <c r="O17" s="22">
        <v>97361960</v>
      </c>
      <c r="P17" s="22">
        <v>12099456</v>
      </c>
      <c r="Q17" s="22">
        <v>0</v>
      </c>
      <c r="R17" s="22">
        <v>15155112</v>
      </c>
      <c r="S17" s="22">
        <v>70037944</v>
      </c>
      <c r="T17" s="22">
        <v>69448</v>
      </c>
      <c r="U17" s="45">
        <v>76.072013299999995</v>
      </c>
      <c r="V17" s="45">
        <v>78.054860599999998</v>
      </c>
      <c r="W17" s="45">
        <v>41.045419000000003</v>
      </c>
      <c r="X17" s="45">
        <v>44.812964000000001</v>
      </c>
      <c r="Y17" s="45">
        <v>48.049783699999999</v>
      </c>
      <c r="Z17" s="45">
        <v>48.026430699999999</v>
      </c>
      <c r="AA17" s="45">
        <v>36.379637899999999</v>
      </c>
      <c r="AB17" s="23">
        <v>29619.460671000001</v>
      </c>
      <c r="AC17" s="23">
        <v>137.40474900000001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14.077600800000001</v>
      </c>
      <c r="K18" s="37">
        <f t="shared" si="1"/>
        <v>11.88785544876618</v>
      </c>
      <c r="L18" s="35">
        <f t="shared" si="2"/>
        <v>140776008</v>
      </c>
      <c r="M18" s="35">
        <f t="shared" si="3"/>
        <v>39161848</v>
      </c>
      <c r="N18" s="46">
        <v>22718208</v>
      </c>
      <c r="O18" s="38">
        <v>140776008</v>
      </c>
      <c r="P18" s="38">
        <v>20758952</v>
      </c>
      <c r="Q18" s="38">
        <v>0</v>
      </c>
      <c r="R18" s="38">
        <v>18402896</v>
      </c>
      <c r="S18" s="38">
        <v>101544712</v>
      </c>
      <c r="T18" s="38">
        <v>69448</v>
      </c>
      <c r="U18" s="47">
        <v>78.435969400000005</v>
      </c>
      <c r="V18" s="47">
        <v>81.008658499999996</v>
      </c>
      <c r="W18" s="47">
        <v>42.169135199999999</v>
      </c>
      <c r="X18" s="47">
        <v>45.506175499999998</v>
      </c>
      <c r="Y18" s="47">
        <v>49.195656399999997</v>
      </c>
      <c r="Z18" s="47">
        <v>49.640914199999997</v>
      </c>
      <c r="AA18" s="47">
        <v>38.111492699999999</v>
      </c>
      <c r="AB18" s="39">
        <v>33726.976501999998</v>
      </c>
      <c r="AC18" s="39">
        <v>148.826481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20.945655200000001</v>
      </c>
      <c r="K19" s="52">
        <f t="shared" si="1"/>
        <v>17.68759640472954</v>
      </c>
      <c r="L19" s="49">
        <f t="shared" si="2"/>
        <v>209456552</v>
      </c>
      <c r="M19" s="49">
        <f t="shared" si="3"/>
        <v>41126224</v>
      </c>
      <c r="N19" s="53">
        <v>22718208</v>
      </c>
      <c r="O19" s="54">
        <v>209456552</v>
      </c>
      <c r="P19" s="54">
        <v>20758952</v>
      </c>
      <c r="Q19" s="54">
        <v>0</v>
      </c>
      <c r="R19" s="54">
        <v>20367272</v>
      </c>
      <c r="S19" s="54">
        <v>168260880</v>
      </c>
      <c r="T19" s="54">
        <v>69448</v>
      </c>
      <c r="U19" s="55">
        <v>78.733427199999994</v>
      </c>
      <c r="V19" s="55">
        <v>81.411919499999996</v>
      </c>
      <c r="W19" s="55">
        <v>43.189236800000003</v>
      </c>
      <c r="X19" s="55">
        <v>46.454334299999999</v>
      </c>
      <c r="Y19" s="55">
        <v>50.473249699999997</v>
      </c>
      <c r="Z19" s="55">
        <v>49.769469899999997</v>
      </c>
      <c r="AA19" s="55">
        <v>38.586660799999997</v>
      </c>
      <c r="AB19" s="56">
        <v>35484.600796999999</v>
      </c>
      <c r="AC19" s="56">
        <v>160.134737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2.9462799999999998</v>
      </c>
      <c r="K20" s="37">
        <f t="shared" si="1"/>
        <v>2.4942918653684489</v>
      </c>
      <c r="L20" s="35">
        <f t="shared" si="2"/>
        <v>29462800</v>
      </c>
      <c r="M20" s="35">
        <f t="shared" si="3"/>
        <v>11268024</v>
      </c>
      <c r="N20" s="46">
        <v>5665680</v>
      </c>
      <c r="O20" s="38">
        <v>29462800</v>
      </c>
      <c r="P20" s="38">
        <v>6494488</v>
      </c>
      <c r="Q20" s="38">
        <v>0</v>
      </c>
      <c r="R20" s="38">
        <v>4773536</v>
      </c>
      <c r="S20" s="38">
        <v>18127808</v>
      </c>
      <c r="T20" s="38">
        <v>66968</v>
      </c>
      <c r="U20" s="47">
        <v>70.506879100000006</v>
      </c>
      <c r="V20" s="47">
        <v>71.740402500000002</v>
      </c>
      <c r="W20" s="47">
        <v>34.559935799999998</v>
      </c>
      <c r="X20" s="47">
        <v>42.806307500000003</v>
      </c>
      <c r="Y20" s="47">
        <v>44.1559648</v>
      </c>
      <c r="Z20" s="47">
        <v>46.2110026</v>
      </c>
      <c r="AA20" s="47">
        <v>31.208185</v>
      </c>
      <c r="AB20" s="39">
        <v>9340.8925280000003</v>
      </c>
      <c r="AC20" s="39">
        <v>37.590800000000002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4.9427279999999998</v>
      </c>
      <c r="K21" s="21">
        <f t="shared" si="1"/>
        <v>4.1844652385818257</v>
      </c>
      <c r="L21" s="19">
        <f t="shared" si="2"/>
        <v>49427280</v>
      </c>
      <c r="M21" s="19">
        <f t="shared" si="3"/>
        <v>12298400</v>
      </c>
      <c r="N21" s="44">
        <v>5665680</v>
      </c>
      <c r="O21" s="22">
        <v>49427280</v>
      </c>
      <c r="P21" s="22">
        <v>7062624</v>
      </c>
      <c r="Q21" s="22">
        <v>0</v>
      </c>
      <c r="R21" s="22">
        <v>5235776</v>
      </c>
      <c r="S21" s="22">
        <v>37061832</v>
      </c>
      <c r="T21" s="22">
        <v>67048</v>
      </c>
      <c r="U21" s="45">
        <v>70.863187100000005</v>
      </c>
      <c r="V21" s="45">
        <v>72.134078799999997</v>
      </c>
      <c r="W21" s="45">
        <v>37.243744800000002</v>
      </c>
      <c r="X21" s="45">
        <v>43.960626099999999</v>
      </c>
      <c r="Y21" s="45">
        <v>46.034110699999999</v>
      </c>
      <c r="Z21" s="45">
        <v>46.390853399999997</v>
      </c>
      <c r="AA21" s="45">
        <v>32.255716300000003</v>
      </c>
      <c r="AB21" s="23">
        <v>26417.419351</v>
      </c>
      <c r="AC21" s="23">
        <v>132.45187100000001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9.7549568000000004</v>
      </c>
      <c r="K22" s="37">
        <f t="shared" si="1"/>
        <v>8.258451129309039</v>
      </c>
      <c r="L22" s="35">
        <f t="shared" si="2"/>
        <v>97549568</v>
      </c>
      <c r="M22" s="35">
        <f t="shared" si="3"/>
        <v>25574944</v>
      </c>
      <c r="N22" s="46">
        <v>11333408</v>
      </c>
      <c r="O22" s="38">
        <v>97549568</v>
      </c>
      <c r="P22" s="38">
        <v>10770824</v>
      </c>
      <c r="Q22" s="38">
        <v>0</v>
      </c>
      <c r="R22" s="38">
        <v>14804120</v>
      </c>
      <c r="S22" s="38">
        <v>71905176</v>
      </c>
      <c r="T22" s="38">
        <v>69448</v>
      </c>
      <c r="U22" s="47">
        <v>76.316210600000005</v>
      </c>
      <c r="V22" s="47">
        <v>78.420968500000001</v>
      </c>
      <c r="W22" s="47">
        <v>40.3000854</v>
      </c>
      <c r="X22" s="47">
        <v>45.207615400000002</v>
      </c>
      <c r="Y22" s="47">
        <v>48.093445699999997</v>
      </c>
      <c r="Z22" s="47">
        <v>49.052654699999998</v>
      </c>
      <c r="AA22" s="47">
        <v>35.830805300000002</v>
      </c>
      <c r="AB22" s="39">
        <v>29110.834132</v>
      </c>
      <c r="AC22" s="39">
        <v>128.42154199999999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13.9914632</v>
      </c>
      <c r="K23" s="21">
        <f t="shared" si="1"/>
        <v>11.845036060510884</v>
      </c>
      <c r="L23" s="19">
        <f t="shared" si="2"/>
        <v>139914632</v>
      </c>
      <c r="M23" s="19">
        <f t="shared" si="3"/>
        <v>37803568</v>
      </c>
      <c r="N23" s="44">
        <v>22669584</v>
      </c>
      <c r="O23" s="22">
        <v>139914632</v>
      </c>
      <c r="P23" s="22">
        <v>22602008</v>
      </c>
      <c r="Q23" s="22">
        <v>0</v>
      </c>
      <c r="R23" s="22">
        <v>15201560</v>
      </c>
      <c r="S23" s="22">
        <v>102041616</v>
      </c>
      <c r="T23" s="22">
        <v>69448</v>
      </c>
      <c r="U23" s="45">
        <v>78.267184099999994</v>
      </c>
      <c r="V23" s="45">
        <v>80.893811900000003</v>
      </c>
      <c r="W23" s="45">
        <v>41.457224199999999</v>
      </c>
      <c r="X23" s="45">
        <v>45.730331300000003</v>
      </c>
      <c r="Y23" s="45">
        <v>48.840236599999997</v>
      </c>
      <c r="Z23" s="45">
        <v>50.614304099999998</v>
      </c>
      <c r="AA23" s="45">
        <v>37.418005100000002</v>
      </c>
      <c r="AB23" s="23">
        <v>32802.182553999999</v>
      </c>
      <c r="AC23" s="23">
        <v>160.053257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20.727951999999998</v>
      </c>
      <c r="K24" s="29">
        <f t="shared" si="1"/>
        <v>17.548081668866391</v>
      </c>
      <c r="L24" s="27">
        <f t="shared" si="2"/>
        <v>207279520</v>
      </c>
      <c r="M24" s="27">
        <f t="shared" si="3"/>
        <v>39740776</v>
      </c>
      <c r="N24" s="58">
        <v>22669584</v>
      </c>
      <c r="O24" s="30">
        <v>207279520</v>
      </c>
      <c r="P24" s="30">
        <v>20416520</v>
      </c>
      <c r="Q24" s="30">
        <v>0</v>
      </c>
      <c r="R24" s="30">
        <v>19324256</v>
      </c>
      <c r="S24" s="30">
        <v>167469296</v>
      </c>
      <c r="T24" s="30">
        <v>69448</v>
      </c>
      <c r="U24" s="59">
        <v>78.862199700000005</v>
      </c>
      <c r="V24" s="59">
        <v>81.729687900000002</v>
      </c>
      <c r="W24" s="59">
        <v>42.442087700000002</v>
      </c>
      <c r="X24" s="59">
        <v>46.801728199999999</v>
      </c>
      <c r="Y24" s="59">
        <v>50.190730500000001</v>
      </c>
      <c r="Z24" s="59">
        <v>50.851933500000001</v>
      </c>
      <c r="AA24" s="59">
        <v>38.058844299999997</v>
      </c>
      <c r="AB24" s="31">
        <v>34712.141082000002</v>
      </c>
      <c r="AC24" s="31">
        <v>153.531958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4.2232352000000004</v>
      </c>
      <c r="K25" s="21">
        <f t="shared" si="1"/>
        <v>3.5193626666666669</v>
      </c>
      <c r="L25" s="19">
        <f t="shared" si="2"/>
        <v>42232352</v>
      </c>
      <c r="M25" s="19">
        <f t="shared" si="3"/>
        <v>11470824</v>
      </c>
      <c r="N25" s="44">
        <v>23021184</v>
      </c>
      <c r="O25" s="22">
        <v>42232352</v>
      </c>
      <c r="P25" s="22">
        <v>6453288</v>
      </c>
      <c r="Q25" s="22">
        <v>0</v>
      </c>
      <c r="R25" s="22">
        <v>5017536</v>
      </c>
      <c r="S25" s="22">
        <v>30692000</v>
      </c>
      <c r="T25" s="22">
        <v>69528</v>
      </c>
      <c r="U25" s="45">
        <v>73.192462699999993</v>
      </c>
      <c r="V25" s="45">
        <v>74.916329899999994</v>
      </c>
      <c r="W25" s="45">
        <v>31.0571947</v>
      </c>
      <c r="X25" s="45">
        <v>39.915370699999997</v>
      </c>
      <c r="Y25" s="45">
        <v>36.592444999999998</v>
      </c>
      <c r="Z25" s="45">
        <v>44.800059699999998</v>
      </c>
      <c r="AA25" s="45">
        <v>27.955236800000002</v>
      </c>
      <c r="AB25" s="23">
        <v>11038.844911</v>
      </c>
      <c r="AC25" s="23">
        <v>45.030681999999999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8.3244975999999991</v>
      </c>
      <c r="K26" s="37">
        <f t="shared" si="1"/>
        <v>6.9370813333333334</v>
      </c>
      <c r="L26" s="35">
        <f t="shared" si="2"/>
        <v>83244976</v>
      </c>
      <c r="M26" s="35">
        <f t="shared" si="3"/>
        <v>18799120</v>
      </c>
      <c r="N26" s="46">
        <v>46064000</v>
      </c>
      <c r="O26" s="38">
        <v>83244976</v>
      </c>
      <c r="P26" s="38">
        <v>10792048</v>
      </c>
      <c r="Q26" s="38">
        <v>0</v>
      </c>
      <c r="R26" s="38">
        <v>8007072</v>
      </c>
      <c r="S26" s="38">
        <v>64373928</v>
      </c>
      <c r="T26" s="38">
        <v>71928</v>
      </c>
      <c r="U26" s="47">
        <v>76.613831599999997</v>
      </c>
      <c r="V26" s="47">
        <v>78.892508300000003</v>
      </c>
      <c r="W26" s="47">
        <v>33.436099599999999</v>
      </c>
      <c r="X26" s="47">
        <v>41.825887100000003</v>
      </c>
      <c r="Y26" s="47">
        <v>39.441951099999997</v>
      </c>
      <c r="Z26" s="47">
        <v>46.460217900000004</v>
      </c>
      <c r="AA26" s="47">
        <v>30.694315799999998</v>
      </c>
      <c r="AB26" s="39">
        <v>30304.316277000002</v>
      </c>
      <c r="AC26" s="39">
        <v>162.125348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12.233277599999999</v>
      </c>
      <c r="K27" s="21">
        <f t="shared" si="1"/>
        <v>10.194398</v>
      </c>
      <c r="L27" s="19">
        <f t="shared" si="2"/>
        <v>122332776</v>
      </c>
      <c r="M27" s="19">
        <f t="shared" si="3"/>
        <v>27942256</v>
      </c>
      <c r="N27" s="44">
        <v>92146368</v>
      </c>
      <c r="O27" s="22">
        <v>122332776</v>
      </c>
      <c r="P27" s="22">
        <v>20376656</v>
      </c>
      <c r="Q27" s="22">
        <v>0</v>
      </c>
      <c r="R27" s="22">
        <v>7565600</v>
      </c>
      <c r="S27" s="22">
        <v>94316032</v>
      </c>
      <c r="T27" s="22">
        <v>74488</v>
      </c>
      <c r="U27" s="45">
        <v>78.451409400000003</v>
      </c>
      <c r="V27" s="45">
        <v>81.144606899999999</v>
      </c>
      <c r="W27" s="45">
        <v>34.501021100000003</v>
      </c>
      <c r="X27" s="45">
        <v>43.189484299999997</v>
      </c>
      <c r="Y27" s="45">
        <v>41.242278499999998</v>
      </c>
      <c r="Z27" s="45">
        <v>47.908302499999998</v>
      </c>
      <c r="AA27" s="45">
        <v>32.0391063</v>
      </c>
      <c r="AB27" s="23">
        <v>90423.085804999995</v>
      </c>
      <c r="AC27" s="23">
        <v>477.01246099999997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17.301019199999999</v>
      </c>
      <c r="K28" s="37">
        <f t="shared" si="1"/>
        <v>14.417516000000001</v>
      </c>
      <c r="L28" s="35">
        <f t="shared" si="2"/>
        <v>173010192</v>
      </c>
      <c r="M28" s="35">
        <f t="shared" si="3"/>
        <v>45667336</v>
      </c>
      <c r="N28" s="46">
        <v>184310144</v>
      </c>
      <c r="O28" s="38">
        <v>173010192</v>
      </c>
      <c r="P28" s="38">
        <v>39691360</v>
      </c>
      <c r="Q28" s="38">
        <v>0</v>
      </c>
      <c r="R28" s="38">
        <v>5975976</v>
      </c>
      <c r="S28" s="38">
        <v>127268288</v>
      </c>
      <c r="T28" s="38">
        <v>74568</v>
      </c>
      <c r="U28" s="47">
        <v>80.3065876</v>
      </c>
      <c r="V28" s="47">
        <v>83.621433600000003</v>
      </c>
      <c r="W28" s="47">
        <v>35.318651699999997</v>
      </c>
      <c r="X28" s="47">
        <v>43.542847500000001</v>
      </c>
      <c r="Y28" s="47">
        <v>41.741235199999998</v>
      </c>
      <c r="Z28" s="47">
        <v>49.599126400000003</v>
      </c>
      <c r="AA28" s="47">
        <v>33.263931399999997</v>
      </c>
      <c r="AB28" s="39">
        <v>98300.447994000002</v>
      </c>
      <c r="AC28" s="39">
        <v>504.88248099999998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25.498236800000001</v>
      </c>
      <c r="K29" s="52">
        <f t="shared" si="1"/>
        <v>21.248530666666667</v>
      </c>
      <c r="L29" s="49">
        <f t="shared" si="2"/>
        <v>254982368</v>
      </c>
      <c r="M29" s="49">
        <f t="shared" si="3"/>
        <v>93448184</v>
      </c>
      <c r="N29" s="53">
        <v>138237904</v>
      </c>
      <c r="O29" s="54">
        <v>254982368</v>
      </c>
      <c r="P29" s="54">
        <v>85721840</v>
      </c>
      <c r="Q29" s="54">
        <v>0</v>
      </c>
      <c r="R29" s="54">
        <v>7726344</v>
      </c>
      <c r="S29" s="54">
        <v>161459776</v>
      </c>
      <c r="T29" s="54">
        <v>74408</v>
      </c>
      <c r="U29" s="55">
        <v>84.882391400000003</v>
      </c>
      <c r="V29" s="55">
        <v>90.099752100000003</v>
      </c>
      <c r="W29" s="55">
        <v>36.064014</v>
      </c>
      <c r="X29" s="55">
        <v>43.880965099999997</v>
      </c>
      <c r="Y29" s="55">
        <v>42.224651899999998</v>
      </c>
      <c r="Z29" s="55">
        <v>53.017683900000002</v>
      </c>
      <c r="AA29" s="55">
        <v>35.144628400000002</v>
      </c>
      <c r="AB29" s="56">
        <v>120382.591642</v>
      </c>
      <c r="AC29" s="56">
        <v>493.910282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2.0819304000000001</v>
      </c>
      <c r="K30" s="37">
        <f t="shared" si="1"/>
        <v>3.4712412553308343</v>
      </c>
      <c r="L30" s="35">
        <f t="shared" si="2"/>
        <v>20819304</v>
      </c>
      <c r="M30" s="35">
        <f t="shared" si="3"/>
        <v>5726400</v>
      </c>
      <c r="N30" s="46">
        <v>11256640</v>
      </c>
      <c r="O30" s="38">
        <v>20819304</v>
      </c>
      <c r="P30" s="38">
        <v>2457112</v>
      </c>
      <c r="Q30" s="38">
        <v>231376</v>
      </c>
      <c r="R30" s="38">
        <v>3037912</v>
      </c>
      <c r="S30" s="38">
        <v>15057736</v>
      </c>
      <c r="T30" s="38">
        <v>35168</v>
      </c>
      <c r="U30" s="47">
        <v>72.568638500000006</v>
      </c>
      <c r="V30" s="47">
        <v>74.150231300000002</v>
      </c>
      <c r="W30" s="47">
        <v>38.165894799999997</v>
      </c>
      <c r="X30" s="47">
        <v>44.359248299999997</v>
      </c>
      <c r="Y30" s="47">
        <v>43.004025400000003</v>
      </c>
      <c r="Z30" s="47">
        <v>47.471431000000003</v>
      </c>
      <c r="AA30" s="47">
        <v>34.272211499999997</v>
      </c>
      <c r="AB30" s="39">
        <v>12971.310226</v>
      </c>
      <c r="AC30" s="39">
        <v>73.529938999999999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4.1068480000000003</v>
      </c>
      <c r="K31" s="21">
        <f t="shared" si="1"/>
        <v>6.8474240094543637</v>
      </c>
      <c r="L31" s="19">
        <f t="shared" si="2"/>
        <v>41068480</v>
      </c>
      <c r="M31" s="19">
        <f t="shared" si="3"/>
        <v>8856984</v>
      </c>
      <c r="N31" s="44">
        <v>5692000</v>
      </c>
      <c r="O31" s="22">
        <v>41068480</v>
      </c>
      <c r="P31" s="22">
        <v>4112280</v>
      </c>
      <c r="Q31" s="22">
        <v>342616</v>
      </c>
      <c r="R31" s="22">
        <v>4402088</v>
      </c>
      <c r="S31" s="22">
        <v>32176776</v>
      </c>
      <c r="T31" s="22">
        <v>34720</v>
      </c>
      <c r="U31" s="45">
        <v>75.858421800000002</v>
      </c>
      <c r="V31" s="45">
        <v>77.907326400000002</v>
      </c>
      <c r="W31" s="45">
        <v>40.475119399999997</v>
      </c>
      <c r="X31" s="45">
        <v>45.781987899999997</v>
      </c>
      <c r="Y31" s="45">
        <v>44.6320555</v>
      </c>
      <c r="Z31" s="45">
        <v>49.570110300000003</v>
      </c>
      <c r="AA31" s="45">
        <v>36.377103200000001</v>
      </c>
      <c r="AB31" s="23">
        <v>15489.415849999999</v>
      </c>
      <c r="AC31" s="23">
        <v>81.112066999999996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6.1653784000000007</v>
      </c>
      <c r="K32" s="37">
        <f t="shared" si="1"/>
        <v>10.279650009820507</v>
      </c>
      <c r="L32" s="35">
        <f t="shared" si="2"/>
        <v>61653784</v>
      </c>
      <c r="M32" s="35">
        <f t="shared" si="3"/>
        <v>17270648</v>
      </c>
      <c r="N32" s="46">
        <v>22964896</v>
      </c>
      <c r="O32" s="38">
        <v>61653784</v>
      </c>
      <c r="P32" s="38">
        <v>12254560</v>
      </c>
      <c r="Q32" s="38">
        <v>806064</v>
      </c>
      <c r="R32" s="38">
        <v>4210024</v>
      </c>
      <c r="S32" s="38">
        <v>44347176</v>
      </c>
      <c r="T32" s="38">
        <v>35960</v>
      </c>
      <c r="U32" s="47">
        <v>79.267217400000007</v>
      </c>
      <c r="V32" s="47">
        <v>82.086525300000005</v>
      </c>
      <c r="W32" s="47">
        <v>41.576286000000003</v>
      </c>
      <c r="X32" s="47">
        <v>46.555656800000001</v>
      </c>
      <c r="Y32" s="47">
        <v>45.588332800000003</v>
      </c>
      <c r="Z32" s="47">
        <v>51.559542899999997</v>
      </c>
      <c r="AA32" s="47">
        <v>38.462070300000001</v>
      </c>
      <c r="AB32" s="39">
        <v>49872.820574999998</v>
      </c>
      <c r="AC32" s="39">
        <v>291.85603600000002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8.618061599999999</v>
      </c>
      <c r="K33" s="21">
        <f t="shared" si="1"/>
        <v>14.36905430023139</v>
      </c>
      <c r="L33" s="19">
        <f t="shared" si="2"/>
        <v>86180616</v>
      </c>
      <c r="M33" s="19">
        <f t="shared" si="3"/>
        <v>22647488</v>
      </c>
      <c r="N33" s="44">
        <v>22964896</v>
      </c>
      <c r="O33" s="22">
        <v>86180616</v>
      </c>
      <c r="P33" s="22">
        <v>12254560</v>
      </c>
      <c r="Q33" s="22">
        <v>806064</v>
      </c>
      <c r="R33" s="22">
        <v>9586864</v>
      </c>
      <c r="S33" s="22">
        <v>63497168</v>
      </c>
      <c r="T33" s="22">
        <v>35960</v>
      </c>
      <c r="U33" s="45">
        <v>80.986326800000001</v>
      </c>
      <c r="V33" s="45">
        <v>84.685654299999996</v>
      </c>
      <c r="W33" s="45">
        <v>42.494298200000003</v>
      </c>
      <c r="X33" s="45">
        <v>47.644734900000003</v>
      </c>
      <c r="Y33" s="45">
        <v>46.800372899999999</v>
      </c>
      <c r="Z33" s="45">
        <v>53.0084801</v>
      </c>
      <c r="AA33" s="45">
        <v>39.874823200000002</v>
      </c>
      <c r="AB33" s="23">
        <v>52674.522100000002</v>
      </c>
      <c r="AC33" s="23">
        <v>299.74473399999999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11.848508800000001</v>
      </c>
      <c r="K34" s="29">
        <f t="shared" si="1"/>
        <v>19.75523896510202</v>
      </c>
      <c r="L34" s="27">
        <f t="shared" si="2"/>
        <v>118485088</v>
      </c>
      <c r="M34" s="27">
        <f t="shared" si="3"/>
        <v>33265088</v>
      </c>
      <c r="N34" s="58">
        <v>57516368</v>
      </c>
      <c r="O34" s="30">
        <v>118485088</v>
      </c>
      <c r="P34" s="30">
        <v>26706096</v>
      </c>
      <c r="Q34" s="30">
        <v>4271968</v>
      </c>
      <c r="R34" s="30">
        <v>2287024</v>
      </c>
      <c r="S34" s="30">
        <v>85182792</v>
      </c>
      <c r="T34" s="30">
        <v>37208</v>
      </c>
      <c r="U34" s="59">
        <v>84.370575900000006</v>
      </c>
      <c r="V34" s="59">
        <v>88.954140699999996</v>
      </c>
      <c r="W34" s="59">
        <v>43.458146900000003</v>
      </c>
      <c r="X34" s="59">
        <v>48.342753000000002</v>
      </c>
      <c r="Y34" s="59">
        <v>47.601473300000002</v>
      </c>
      <c r="Z34" s="59">
        <v>56.712624300000002</v>
      </c>
      <c r="AA34" s="59">
        <v>42.3966055</v>
      </c>
      <c r="AB34" s="31">
        <v>63163.154469000001</v>
      </c>
      <c r="AC34" s="31">
        <v>248.92784499999999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3</v>
      </c>
      <c r="J35" s="20">
        <f t="shared" si="0"/>
        <v>2.8011856000000002</v>
      </c>
      <c r="K35" s="21">
        <f t="shared" si="1"/>
        <v>3.1124284444444443</v>
      </c>
      <c r="L35" s="19">
        <f t="shared" si="2"/>
        <v>28011856</v>
      </c>
      <c r="M35" s="19">
        <f t="shared" si="3"/>
        <v>7924072</v>
      </c>
      <c r="N35" s="44">
        <v>8608240</v>
      </c>
      <c r="O35" s="22">
        <v>28011856</v>
      </c>
      <c r="P35" s="22">
        <v>3569256</v>
      </c>
      <c r="Q35" s="22">
        <v>827104</v>
      </c>
      <c r="R35" s="22">
        <v>3527712</v>
      </c>
      <c r="S35" s="22">
        <v>20019120</v>
      </c>
      <c r="T35" s="22">
        <v>68664</v>
      </c>
      <c r="U35" s="45">
        <v>72.087395299999997</v>
      </c>
      <c r="V35" s="45">
        <v>73.640855599999995</v>
      </c>
      <c r="W35" s="45">
        <v>30.176791699999999</v>
      </c>
      <c r="X35" s="45">
        <v>38.969616100000003</v>
      </c>
      <c r="Y35" s="45">
        <v>38.999440200000002</v>
      </c>
      <c r="Z35" s="45">
        <v>47.765694799999999</v>
      </c>
      <c r="AA35" s="45">
        <v>29.152816900000001</v>
      </c>
      <c r="AB35" s="23">
        <v>68957.742238000006</v>
      </c>
      <c r="AC35" s="23">
        <v>451.473615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4</v>
      </c>
      <c r="J36" s="36">
        <f t="shared" si="0"/>
        <v>3.9002456000000003</v>
      </c>
      <c r="K36" s="37">
        <f t="shared" si="1"/>
        <v>4.3336062222222225</v>
      </c>
      <c r="L36" s="35">
        <f t="shared" si="2"/>
        <v>39002456</v>
      </c>
      <c r="M36" s="35">
        <f t="shared" si="3"/>
        <v>9375552</v>
      </c>
      <c r="N36" s="46">
        <v>17229088</v>
      </c>
      <c r="O36" s="38">
        <v>39002456</v>
      </c>
      <c r="P36" s="38">
        <v>5995856</v>
      </c>
      <c r="Q36" s="38">
        <v>1468896</v>
      </c>
      <c r="R36" s="38">
        <v>1910800</v>
      </c>
      <c r="S36" s="38">
        <v>29557376</v>
      </c>
      <c r="T36" s="38">
        <v>69528</v>
      </c>
      <c r="U36" s="47">
        <v>73.091075700000005</v>
      </c>
      <c r="V36" s="47">
        <v>74.759788400000005</v>
      </c>
      <c r="W36" s="47">
        <v>30.656571899999999</v>
      </c>
      <c r="X36" s="47">
        <v>39.080889999999997</v>
      </c>
      <c r="Y36" s="47">
        <v>39.163961800000003</v>
      </c>
      <c r="Z36" s="47">
        <v>48.037755900000001</v>
      </c>
      <c r="AA36" s="47">
        <v>29.541397</v>
      </c>
      <c r="AB36" s="39">
        <v>71773.886845999994</v>
      </c>
      <c r="AC36" s="39">
        <v>422.18271499999997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6</v>
      </c>
      <c r="J37" s="20">
        <f t="shared" si="0"/>
        <v>5.8646992000000004</v>
      </c>
      <c r="K37" s="21">
        <f t="shared" si="1"/>
        <v>6.5163324444444441</v>
      </c>
      <c r="L37" s="19">
        <f t="shared" si="2"/>
        <v>58646992</v>
      </c>
      <c r="M37" s="19">
        <f t="shared" si="3"/>
        <v>13393528</v>
      </c>
      <c r="N37" s="44">
        <v>17229088</v>
      </c>
      <c r="O37" s="22">
        <v>58646992</v>
      </c>
      <c r="P37" s="22">
        <v>5995856</v>
      </c>
      <c r="Q37" s="22">
        <v>1468896</v>
      </c>
      <c r="R37" s="22">
        <v>5928776</v>
      </c>
      <c r="S37" s="22">
        <v>45183936</v>
      </c>
      <c r="T37" s="22">
        <v>69528</v>
      </c>
      <c r="U37" s="45">
        <v>75.681110099999998</v>
      </c>
      <c r="V37" s="45">
        <v>77.691806799999995</v>
      </c>
      <c r="W37" s="45">
        <v>31.300064899999999</v>
      </c>
      <c r="X37" s="45">
        <v>39.173729000000002</v>
      </c>
      <c r="Y37" s="45">
        <v>39.316242099999997</v>
      </c>
      <c r="Z37" s="45">
        <v>49.7850246</v>
      </c>
      <c r="AA37" s="45">
        <v>30.355465899999999</v>
      </c>
      <c r="AB37" s="23">
        <v>73424.521611000004</v>
      </c>
      <c r="AC37" s="23">
        <v>486.515603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8</v>
      </c>
      <c r="J38" s="36">
        <f t="shared" si="0"/>
        <v>8.0646895999999995</v>
      </c>
      <c r="K38" s="37">
        <f t="shared" si="1"/>
        <v>8.9607662222222224</v>
      </c>
      <c r="L38" s="35">
        <f t="shared" si="2"/>
        <v>80646896</v>
      </c>
      <c r="M38" s="35">
        <f t="shared" si="3"/>
        <v>21851632</v>
      </c>
      <c r="N38" s="46">
        <v>34467088</v>
      </c>
      <c r="O38" s="38">
        <v>80646896</v>
      </c>
      <c r="P38" s="38">
        <v>12315504</v>
      </c>
      <c r="Q38" s="38">
        <v>3332128</v>
      </c>
      <c r="R38" s="38">
        <v>6204000</v>
      </c>
      <c r="S38" s="38">
        <v>58724232</v>
      </c>
      <c r="T38" s="38">
        <v>71032</v>
      </c>
      <c r="U38" s="47">
        <v>78.494154300000005</v>
      </c>
      <c r="V38" s="47">
        <v>81.0552359</v>
      </c>
      <c r="W38" s="47">
        <v>31.7633531</v>
      </c>
      <c r="X38" s="47">
        <v>39.268158399999997</v>
      </c>
      <c r="Y38" s="47">
        <v>39.485111500000002</v>
      </c>
      <c r="Z38" s="47">
        <v>51.341768000000002</v>
      </c>
      <c r="AA38" s="47">
        <v>31.018489500000001</v>
      </c>
      <c r="AB38" s="39">
        <v>79541.022127000004</v>
      </c>
      <c r="AC38" s="39">
        <v>427.94733500000001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12</v>
      </c>
      <c r="J39" s="51">
        <f t="shared" si="0"/>
        <v>11.866604800000001</v>
      </c>
      <c r="K39" s="52">
        <f t="shared" si="1"/>
        <v>13.185116444444445</v>
      </c>
      <c r="L39" s="49">
        <f t="shared" si="2"/>
        <v>118666048</v>
      </c>
      <c r="M39" s="49">
        <f t="shared" si="3"/>
        <v>27519032</v>
      </c>
      <c r="N39" s="53">
        <v>51701408</v>
      </c>
      <c r="O39" s="54">
        <v>118666048</v>
      </c>
      <c r="P39" s="54">
        <v>17632680</v>
      </c>
      <c r="Q39" s="54">
        <v>4699760</v>
      </c>
      <c r="R39" s="54">
        <v>5186592</v>
      </c>
      <c r="S39" s="54">
        <v>91075088</v>
      </c>
      <c r="T39" s="54">
        <v>71928</v>
      </c>
      <c r="U39" s="55">
        <v>80.303393099999994</v>
      </c>
      <c r="V39" s="55">
        <v>83.313741199999996</v>
      </c>
      <c r="W39" s="55">
        <v>32.501021700000003</v>
      </c>
      <c r="X39" s="55">
        <v>39.3440157</v>
      </c>
      <c r="Y39" s="55">
        <v>39.610099400000003</v>
      </c>
      <c r="Z39" s="55">
        <v>52.484734699999997</v>
      </c>
      <c r="AA39" s="55">
        <v>31.788602699999998</v>
      </c>
      <c r="AB39" s="56">
        <v>87336.543837999998</v>
      </c>
      <c r="AC39" s="56">
        <v>442.53600999999998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3</v>
      </c>
      <c r="J40" s="36">
        <f t="shared" si="0"/>
        <v>3.0721560000000001</v>
      </c>
      <c r="K40" s="37">
        <f t="shared" si="1"/>
        <v>3.4135066666666667</v>
      </c>
      <c r="L40" s="35">
        <f t="shared" si="2"/>
        <v>30721560</v>
      </c>
      <c r="M40" s="35">
        <f t="shared" si="3"/>
        <v>7193184</v>
      </c>
      <c r="N40" s="46">
        <v>8626496</v>
      </c>
      <c r="O40" s="38">
        <v>30721560</v>
      </c>
      <c r="P40" s="38">
        <v>3281376</v>
      </c>
      <c r="Q40" s="38">
        <v>335480</v>
      </c>
      <c r="R40" s="38">
        <v>3576328</v>
      </c>
      <c r="S40" s="38">
        <v>23457720</v>
      </c>
      <c r="T40" s="38">
        <v>70656</v>
      </c>
      <c r="U40" s="47">
        <v>73.102271299999998</v>
      </c>
      <c r="V40" s="47">
        <v>74.514537599999997</v>
      </c>
      <c r="W40" s="47">
        <v>33.279802500000002</v>
      </c>
      <c r="X40" s="47">
        <v>42.557037999999999</v>
      </c>
      <c r="Y40" s="47">
        <v>42.8764763</v>
      </c>
      <c r="Z40" s="47">
        <v>48.494621700000003</v>
      </c>
      <c r="AA40" s="47">
        <v>32.267146599999997</v>
      </c>
      <c r="AB40" s="39">
        <v>65502.197995000002</v>
      </c>
      <c r="AC40" s="39">
        <v>463.78421600000001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4</v>
      </c>
      <c r="J41" s="20">
        <f t="shared" si="0"/>
        <v>4.0802752</v>
      </c>
      <c r="K41" s="21">
        <f t="shared" si="1"/>
        <v>4.5336391111111114</v>
      </c>
      <c r="L41" s="19">
        <f t="shared" si="2"/>
        <v>40802752</v>
      </c>
      <c r="M41" s="19">
        <f t="shared" si="3"/>
        <v>11862096</v>
      </c>
      <c r="N41" s="44">
        <v>17259760</v>
      </c>
      <c r="O41" s="22">
        <v>40802752</v>
      </c>
      <c r="P41" s="22">
        <v>6221480</v>
      </c>
      <c r="Q41" s="22">
        <v>1208632</v>
      </c>
      <c r="R41" s="22">
        <v>4431984</v>
      </c>
      <c r="S41" s="22">
        <v>28871128</v>
      </c>
      <c r="T41" s="22">
        <v>69528</v>
      </c>
      <c r="U41" s="45">
        <v>75.844638399999994</v>
      </c>
      <c r="V41" s="45">
        <v>77.5711656</v>
      </c>
      <c r="W41" s="45">
        <v>33.642856799999997</v>
      </c>
      <c r="X41" s="45">
        <v>42.740057</v>
      </c>
      <c r="Y41" s="45">
        <v>43.160316600000002</v>
      </c>
      <c r="Z41" s="45">
        <v>49.9954082</v>
      </c>
      <c r="AA41" s="45">
        <v>32.9023878</v>
      </c>
      <c r="AB41" s="23">
        <v>68582.663205999997</v>
      </c>
      <c r="AC41" s="23">
        <v>429.85380700000002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6</v>
      </c>
      <c r="J42" s="36">
        <f t="shared" si="0"/>
        <v>6.2804599999999997</v>
      </c>
      <c r="K42" s="37">
        <f t="shared" si="1"/>
        <v>6.9782888888888888</v>
      </c>
      <c r="L42" s="35">
        <f t="shared" si="2"/>
        <v>62804600</v>
      </c>
      <c r="M42" s="35">
        <f t="shared" si="3"/>
        <v>16874400</v>
      </c>
      <c r="N42" s="46">
        <v>34522416</v>
      </c>
      <c r="O42" s="38">
        <v>62804600</v>
      </c>
      <c r="P42" s="38">
        <v>11229592</v>
      </c>
      <c r="Q42" s="38">
        <v>2246472</v>
      </c>
      <c r="R42" s="38">
        <v>3398336</v>
      </c>
      <c r="S42" s="38">
        <v>45859112</v>
      </c>
      <c r="T42" s="38">
        <v>71088</v>
      </c>
      <c r="U42" s="47">
        <v>78.041046600000001</v>
      </c>
      <c r="V42" s="47">
        <v>80.139003599999995</v>
      </c>
      <c r="W42" s="47">
        <v>34.293020300000002</v>
      </c>
      <c r="X42" s="47">
        <v>42.891663000000001</v>
      </c>
      <c r="Y42" s="47">
        <v>43.391042400000003</v>
      </c>
      <c r="Z42" s="47">
        <v>51.1396978</v>
      </c>
      <c r="AA42" s="47">
        <v>33.622965700000002</v>
      </c>
      <c r="AB42" s="39">
        <v>75549.341893999997</v>
      </c>
      <c r="AC42" s="39">
        <v>455.54503099999999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8</v>
      </c>
      <c r="J43" s="20">
        <f t="shared" si="0"/>
        <v>8.2251007999999999</v>
      </c>
      <c r="K43" s="21">
        <f t="shared" si="1"/>
        <v>9.139000888888889</v>
      </c>
      <c r="L43" s="19">
        <f t="shared" si="2"/>
        <v>82251008</v>
      </c>
      <c r="M43" s="19">
        <f t="shared" si="3"/>
        <v>20592080</v>
      </c>
      <c r="N43" s="44">
        <v>34522416</v>
      </c>
      <c r="O43" s="22">
        <v>82251008</v>
      </c>
      <c r="P43" s="22">
        <v>11229592</v>
      </c>
      <c r="Q43" s="22">
        <v>2246472</v>
      </c>
      <c r="R43" s="22">
        <v>7116016</v>
      </c>
      <c r="S43" s="22">
        <v>61587920</v>
      </c>
      <c r="T43" s="22">
        <v>71008</v>
      </c>
      <c r="U43" s="45">
        <v>79.232073499999998</v>
      </c>
      <c r="V43" s="45">
        <v>81.620679199999998</v>
      </c>
      <c r="W43" s="45">
        <v>34.356505599999998</v>
      </c>
      <c r="X43" s="45">
        <v>43.0225358</v>
      </c>
      <c r="Y43" s="45">
        <v>43.563686199999999</v>
      </c>
      <c r="Z43" s="45">
        <v>51.9596746</v>
      </c>
      <c r="AA43" s="45">
        <v>33.772693500000003</v>
      </c>
      <c r="AB43" s="23">
        <v>35275.456643999998</v>
      </c>
      <c r="AC43" s="23">
        <v>149.92774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12</v>
      </c>
      <c r="J44" s="28">
        <f t="shared" si="0"/>
        <v>12.3772944</v>
      </c>
      <c r="K44" s="29">
        <f t="shared" si="1"/>
        <v>13.752549333333333</v>
      </c>
      <c r="L44" s="27">
        <f t="shared" si="2"/>
        <v>123772944</v>
      </c>
      <c r="M44" s="27">
        <f t="shared" si="3"/>
        <v>25549224</v>
      </c>
      <c r="N44" s="58">
        <v>51785168</v>
      </c>
      <c r="O44" s="30">
        <v>123772944</v>
      </c>
      <c r="P44" s="30">
        <v>15971496</v>
      </c>
      <c r="Q44" s="30">
        <v>3224360</v>
      </c>
      <c r="R44" s="30">
        <v>6353368</v>
      </c>
      <c r="S44" s="30">
        <v>98151872</v>
      </c>
      <c r="T44" s="30">
        <v>71848</v>
      </c>
      <c r="U44" s="59">
        <v>80.839943000000005</v>
      </c>
      <c r="V44" s="59">
        <v>83.633063100000001</v>
      </c>
      <c r="W44" s="59">
        <v>34.936986699999999</v>
      </c>
      <c r="X44" s="59">
        <v>43.129041700000002</v>
      </c>
      <c r="Y44" s="59">
        <v>43.723633499999998</v>
      </c>
      <c r="Z44" s="59">
        <v>53.007232799999997</v>
      </c>
      <c r="AA44" s="59">
        <v>34.375315100000002</v>
      </c>
      <c r="AB44" s="31">
        <v>43148.580364000001</v>
      </c>
      <c r="AC44" s="31">
        <v>145.874347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12.324853832454924</v>
      </c>
      <c r="L45" s="42"/>
      <c r="M45" s="42"/>
      <c r="T45" s="104"/>
      <c r="AF45" s="42" t="e">
        <f>AVERAGE(AF5:AF14)</f>
        <v>#DIV/0!</v>
      </c>
      <c r="AG45" s="42"/>
      <c r="AH45" s="42"/>
      <c r="AZ45" s="5" t="e">
        <f t="shared" ref="AZ45:BF45" si="12">AVERAGE(AZ5:AZ14)</f>
        <v>#DIV/0!</v>
      </c>
      <c r="BA45" s="5" t="e">
        <f t="shared" si="12"/>
        <v>#DIV/0!</v>
      </c>
      <c r="BB45" s="5" t="e">
        <f t="shared" si="12"/>
        <v>#DIV/0!</v>
      </c>
      <c r="BC45" s="5" t="e">
        <f t="shared" si="12"/>
        <v>#DIV/0!</v>
      </c>
      <c r="BD45" s="5" t="e">
        <f t="shared" si="12"/>
        <v>#DIV/0!</v>
      </c>
      <c r="BE45" s="5" t="e">
        <f t="shared" si="12"/>
        <v>#DIV/0!</v>
      </c>
      <c r="BF45" s="5" t="e">
        <f t="shared" si="12"/>
        <v>#DIV/0!</v>
      </c>
      <c r="BH45" s="5" t="e">
        <f t="shared" ref="BH45:BN45" si="13">AVERAGE(BH5:BH14)</f>
        <v>#DIV/0!</v>
      </c>
      <c r="BI45" s="5" t="e">
        <f t="shared" si="13"/>
        <v>#DIV/0!</v>
      </c>
      <c r="BJ45" s="5" t="e">
        <f t="shared" si="13"/>
        <v>#DIV/0!</v>
      </c>
      <c r="BK45" s="5" t="e">
        <f t="shared" si="13"/>
        <v>#DIV/0!</v>
      </c>
      <c r="BL45" s="5" t="e">
        <f t="shared" si="13"/>
        <v>#DIV/0!</v>
      </c>
      <c r="BM45" s="5" t="e">
        <f t="shared" si="13"/>
        <v>#DIV/0!</v>
      </c>
      <c r="BN45" s="5" t="e">
        <f t="shared" si="13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8.8983762096155221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4">AVERAGE(AZ15:AZ24)</f>
        <v>#DIV/0!</v>
      </c>
      <c r="BA46" s="5" t="e">
        <f t="shared" si="14"/>
        <v>#DIV/0!</v>
      </c>
      <c r="BB46" s="5" t="e">
        <f t="shared" si="14"/>
        <v>#DIV/0!</v>
      </c>
      <c r="BC46" s="5" t="e">
        <f t="shared" si="14"/>
        <v>#DIV/0!</v>
      </c>
      <c r="BD46" s="5" t="e">
        <f t="shared" si="14"/>
        <v>#DIV/0!</v>
      </c>
      <c r="BE46" s="5" t="e">
        <f t="shared" si="14"/>
        <v>#DIV/0!</v>
      </c>
      <c r="BF46" s="5" t="e">
        <f t="shared" si="14"/>
        <v>#DIV/0!</v>
      </c>
      <c r="BH46" s="5" t="e">
        <f t="shared" ref="BH46:BN46" si="15">AVERAGE(BH15:BH24)</f>
        <v>#DIV/0!</v>
      </c>
      <c r="BI46" s="5" t="e">
        <f t="shared" si="15"/>
        <v>#DIV/0!</v>
      </c>
      <c r="BJ46" s="5" t="e">
        <f t="shared" si="15"/>
        <v>#DIV/0!</v>
      </c>
      <c r="BK46" s="5" t="e">
        <f t="shared" si="15"/>
        <v>#DIV/0!</v>
      </c>
      <c r="BL46" s="5" t="e">
        <f t="shared" si="15"/>
        <v>#DIV/0!</v>
      </c>
      <c r="BM46" s="5" t="e">
        <f t="shared" si="15"/>
        <v>#DIV/0!</v>
      </c>
      <c r="BN46" s="5" t="e">
        <f t="shared" si="15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9.2482365936636235</v>
      </c>
      <c r="L47" s="42"/>
      <c r="M47" s="42"/>
      <c r="T47" s="98"/>
      <c r="AF47" s="42" t="e">
        <f>AVERAGE(AF25:AF44)</f>
        <v>#DIV/0!</v>
      </c>
      <c r="AG47" s="42"/>
      <c r="AH47" s="42"/>
      <c r="AZ47" s="5" t="e">
        <f t="shared" ref="AZ47:BF47" si="16">AVERAGE(AZ25:AZ44)</f>
        <v>#DIV/0!</v>
      </c>
      <c r="BA47" s="5" t="e">
        <f t="shared" si="16"/>
        <v>#DIV/0!</v>
      </c>
      <c r="BB47" s="5" t="e">
        <f t="shared" si="16"/>
        <v>#DIV/0!</v>
      </c>
      <c r="BC47" s="5" t="e">
        <f t="shared" si="16"/>
        <v>#DIV/0!</v>
      </c>
      <c r="BD47" s="5" t="e">
        <f t="shared" si="16"/>
        <v>#DIV/0!</v>
      </c>
      <c r="BE47" s="5" t="e">
        <f t="shared" si="16"/>
        <v>#DIV/0!</v>
      </c>
      <c r="BF47" s="5" t="e">
        <f t="shared" si="16"/>
        <v>#DIV/0!</v>
      </c>
      <c r="BH47" s="5" t="e">
        <f t="shared" ref="BH47:BN47" si="17">AVERAGE(BH25:BH44)</f>
        <v>#DIV/0!</v>
      </c>
      <c r="BI47" s="5" t="e">
        <f t="shared" si="17"/>
        <v>#DIV/0!</v>
      </c>
      <c r="BJ47" s="5" t="e">
        <f t="shared" si="17"/>
        <v>#DIV/0!</v>
      </c>
      <c r="BK47" s="5" t="e">
        <f t="shared" si="17"/>
        <v>#DIV/0!</v>
      </c>
      <c r="BL47" s="5" t="e">
        <f t="shared" si="17"/>
        <v>#DIV/0!</v>
      </c>
      <c r="BM47" s="5" t="e">
        <f t="shared" si="17"/>
        <v>#DIV/0!</v>
      </c>
      <c r="BN47" s="5" t="e">
        <f t="shared" si="17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9.9299258073494201</v>
      </c>
      <c r="L48" s="42"/>
      <c r="M48" s="42"/>
      <c r="AF48" s="42" t="e">
        <f>AVERAGE(AF5:AF44)</f>
        <v>#DIV/0!</v>
      </c>
      <c r="AG48" s="42"/>
      <c r="AH48" s="42"/>
      <c r="AZ48" s="5" t="e">
        <f t="shared" ref="AZ48:BF48" si="18">AVERAGE(AZ5:AZ44)</f>
        <v>#DIV/0!</v>
      </c>
      <c r="BA48" s="5" t="e">
        <f t="shared" si="18"/>
        <v>#DIV/0!</v>
      </c>
      <c r="BB48" s="5" t="e">
        <f t="shared" si="18"/>
        <v>#DIV/0!</v>
      </c>
      <c r="BC48" s="5" t="e">
        <f t="shared" si="18"/>
        <v>#DIV/0!</v>
      </c>
      <c r="BD48" s="5" t="e">
        <f t="shared" si="18"/>
        <v>#DIV/0!</v>
      </c>
      <c r="BE48" s="5" t="e">
        <f t="shared" si="18"/>
        <v>#DIV/0!</v>
      </c>
      <c r="BF48" s="5" t="e">
        <f t="shared" si="18"/>
        <v>#DIV/0!</v>
      </c>
      <c r="BH48" s="5" t="e">
        <f t="shared" ref="BH48:BN48" si="19">AVERAGE(BH5:BH44)</f>
        <v>#DIV/0!</v>
      </c>
      <c r="BI48" s="5" t="e">
        <f t="shared" si="19"/>
        <v>#DIV/0!</v>
      </c>
      <c r="BJ48" s="5" t="e">
        <f t="shared" si="19"/>
        <v>#DIV/0!</v>
      </c>
      <c r="BK48" s="5" t="e">
        <f t="shared" si="19"/>
        <v>#DIV/0!</v>
      </c>
      <c r="BL48" s="5" t="e">
        <f t="shared" si="19"/>
        <v>#DIV/0!</v>
      </c>
      <c r="BM48" s="5" t="e">
        <f t="shared" si="19"/>
        <v>#DIV/0!</v>
      </c>
      <c r="BN48" s="5" t="e">
        <f t="shared" si="19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1823414.3745270001</v>
      </c>
      <c r="AC49" s="43">
        <f>SUM(AC5:AC14,AC15:AC24,AC25:AC44)</f>
        <v>9116.074713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J50" s="98"/>
      <c r="AW50" s="8">
        <f>AW49/AB49</f>
        <v>0</v>
      </c>
      <c r="AX50" s="8">
        <f>AX49/AC49</f>
        <v>0</v>
      </c>
    </row>
    <row r="51" spans="1:50" x14ac:dyDescent="0.15">
      <c r="AJ51" s="98"/>
    </row>
    <row r="52" spans="1:50" x14ac:dyDescent="0.15">
      <c r="AJ52" s="98"/>
      <c r="AL52" s="103"/>
    </row>
    <row r="53" spans="1:50" ht="15.75" customHeight="1" thickBot="1" x14ac:dyDescent="0.2">
      <c r="AJ53" s="98"/>
    </row>
    <row r="54" spans="1:50" x14ac:dyDescent="0.15">
      <c r="AG54" s="88" t="e">
        <f t="shared" ref="AG54:AG93" si="20">AG5-L5</f>
        <v>#VALUE!</v>
      </c>
      <c r="AH54" s="88" t="e">
        <f t="shared" ref="AH54:AH93" si="21">AH5-M5</f>
        <v>#VALUE!</v>
      </c>
      <c r="AI54" s="88">
        <f t="shared" ref="AI54:AI93" si="22">AI5-N5</f>
        <v>-5681424</v>
      </c>
      <c r="AJ54" s="88">
        <f t="shared" ref="AJ54:AJ93" si="23">AJ5-O5</f>
        <v>-41318008</v>
      </c>
      <c r="AK54" s="88">
        <f t="shared" ref="AK54:AK93" si="24">AK5-P5</f>
        <v>-8115120</v>
      </c>
      <c r="AL54" s="88">
        <f t="shared" ref="AL54:AL93" si="25">AL5-Q5</f>
        <v>0</v>
      </c>
      <c r="AM54" s="88">
        <f t="shared" ref="AM54:AM93" si="26">AM5-R5</f>
        <v>-5462192</v>
      </c>
      <c r="AN54" s="88">
        <f t="shared" ref="AN54:AN93" si="27">AN5-S5</f>
        <v>-27673728</v>
      </c>
      <c r="AO54" s="88">
        <f t="shared" ref="AO54:AO93" si="28">AO5-T5</f>
        <v>-66968</v>
      </c>
      <c r="AP54" s="88">
        <f t="shared" ref="AP54:AP93" si="29">AP5-U5</f>
        <v>-67.079066600000004</v>
      </c>
      <c r="AQ54" s="89">
        <f t="shared" ref="AQ54:AQ93" si="30">AQ5-V5</f>
        <v>-67.927461199999996</v>
      </c>
      <c r="AR54" s="89">
        <f t="shared" ref="AR54:AR93" si="31">AR5-W5</f>
        <v>-27.818565599999999</v>
      </c>
      <c r="AS54" s="89">
        <f t="shared" ref="AS54:AS93" si="32">AS5-X5</f>
        <v>-33.4841379</v>
      </c>
      <c r="AT54" s="89">
        <f t="shared" ref="AT54:AT93" si="33">AT5-Y5</f>
        <v>-32.852734599999998</v>
      </c>
      <c r="AU54" s="89">
        <f t="shared" ref="AU54:AU93" si="34">AU5-Z5</f>
        <v>-47.301057800000002</v>
      </c>
      <c r="AV54" s="90">
        <f t="shared" ref="AV54:AV93" si="35">AV5-AA5</f>
        <v>-26.416880299999999</v>
      </c>
    </row>
    <row r="55" spans="1:50" x14ac:dyDescent="0.15">
      <c r="AG55" s="91" t="e">
        <f t="shared" si="20"/>
        <v>#VALUE!</v>
      </c>
      <c r="AH55" s="91" t="e">
        <f t="shared" si="21"/>
        <v>#VALUE!</v>
      </c>
      <c r="AI55" s="91">
        <f t="shared" si="22"/>
        <v>-5681424</v>
      </c>
      <c r="AJ55" s="91">
        <f t="shared" si="23"/>
        <v>-82550712</v>
      </c>
      <c r="AK55" s="91">
        <f t="shared" si="24"/>
        <v>-8115120</v>
      </c>
      <c r="AL55" s="91">
        <f t="shared" si="25"/>
        <v>0</v>
      </c>
      <c r="AM55" s="91">
        <f t="shared" si="26"/>
        <v>-8075408</v>
      </c>
      <c r="AN55" s="91">
        <f t="shared" si="27"/>
        <v>-66293216</v>
      </c>
      <c r="AO55" s="91">
        <f t="shared" si="28"/>
        <v>-66968</v>
      </c>
      <c r="AP55" s="91">
        <f t="shared" si="29"/>
        <v>-67.779156400000005</v>
      </c>
      <c r="AQ55" s="92">
        <f t="shared" si="30"/>
        <v>-68.685868799999994</v>
      </c>
      <c r="AR55" s="92">
        <f t="shared" si="31"/>
        <v>-30.925522999999998</v>
      </c>
      <c r="AS55" s="92">
        <f t="shared" si="32"/>
        <v>-34.669907700000003</v>
      </c>
      <c r="AT55" s="92">
        <f t="shared" si="33"/>
        <v>-34.164009</v>
      </c>
      <c r="AU55" s="92">
        <f t="shared" si="34"/>
        <v>-47.5100002</v>
      </c>
      <c r="AV55" s="93">
        <f t="shared" si="35"/>
        <v>-28.104056100000001</v>
      </c>
    </row>
    <row r="56" spans="1:50" x14ac:dyDescent="0.15">
      <c r="AG56" s="91" t="e">
        <f t="shared" si="20"/>
        <v>#VALUE!</v>
      </c>
      <c r="AH56" s="91" t="e">
        <f t="shared" si="21"/>
        <v>#VALUE!</v>
      </c>
      <c r="AI56" s="91">
        <f t="shared" si="22"/>
        <v>-11389008</v>
      </c>
      <c r="AJ56" s="91">
        <f t="shared" si="23"/>
        <v>-116535464</v>
      </c>
      <c r="AK56" s="91">
        <f t="shared" si="24"/>
        <v>-12587656</v>
      </c>
      <c r="AL56" s="91">
        <f t="shared" si="25"/>
        <v>0</v>
      </c>
      <c r="AM56" s="91">
        <f t="shared" si="26"/>
        <v>-9735656</v>
      </c>
      <c r="AN56" s="91">
        <f t="shared" si="27"/>
        <v>-94142704</v>
      </c>
      <c r="AO56" s="91">
        <f t="shared" si="28"/>
        <v>-69448</v>
      </c>
      <c r="AP56" s="91">
        <f t="shared" si="29"/>
        <v>-71.510741199999998</v>
      </c>
      <c r="AQ56" s="92">
        <f t="shared" si="30"/>
        <v>-72.9567756</v>
      </c>
      <c r="AR56" s="92">
        <f t="shared" si="31"/>
        <v>-32.2423334</v>
      </c>
      <c r="AS56" s="92">
        <f t="shared" si="32"/>
        <v>-36.400588900000002</v>
      </c>
      <c r="AT56" s="92">
        <f t="shared" si="33"/>
        <v>-36.129502299999999</v>
      </c>
      <c r="AU56" s="92">
        <f t="shared" si="34"/>
        <v>-49.7201375</v>
      </c>
      <c r="AV56" s="93">
        <f t="shared" si="35"/>
        <v>-30.043495100000001</v>
      </c>
    </row>
    <row r="57" spans="1:50" x14ac:dyDescent="0.15">
      <c r="AG57" s="91" t="e">
        <f t="shared" si="20"/>
        <v>#VALUE!</v>
      </c>
      <c r="AH57" s="91" t="e">
        <f t="shared" si="21"/>
        <v>#VALUE!</v>
      </c>
      <c r="AI57" s="91">
        <f t="shared" si="22"/>
        <v>-22901024</v>
      </c>
      <c r="AJ57" s="91">
        <f t="shared" si="23"/>
        <v>-147159936</v>
      </c>
      <c r="AK57" s="91">
        <f t="shared" si="24"/>
        <v>-20463464</v>
      </c>
      <c r="AL57" s="91">
        <f t="shared" si="25"/>
        <v>0</v>
      </c>
      <c r="AM57" s="91">
        <f t="shared" si="26"/>
        <v>-8484928</v>
      </c>
      <c r="AN57" s="91">
        <f t="shared" si="27"/>
        <v>-118142096</v>
      </c>
      <c r="AO57" s="91">
        <f t="shared" si="28"/>
        <v>-69448</v>
      </c>
      <c r="AP57" s="91">
        <f t="shared" si="29"/>
        <v>-72.919027</v>
      </c>
      <c r="AQ57" s="92">
        <f t="shared" si="30"/>
        <v>-74.558754800000003</v>
      </c>
      <c r="AR57" s="92">
        <f t="shared" si="31"/>
        <v>-33.2272763</v>
      </c>
      <c r="AS57" s="92">
        <f t="shared" si="32"/>
        <v>-36.948543000000001</v>
      </c>
      <c r="AT57" s="92">
        <f t="shared" si="33"/>
        <v>-36.675694900000003</v>
      </c>
      <c r="AU57" s="92">
        <f t="shared" si="34"/>
        <v>-50.6518546</v>
      </c>
      <c r="AV57" s="93">
        <f t="shared" si="35"/>
        <v>-30.926424999999998</v>
      </c>
    </row>
    <row r="58" spans="1:50" x14ac:dyDescent="0.15">
      <c r="AG58" s="91" t="e">
        <f t="shared" si="20"/>
        <v>#VALUE!</v>
      </c>
      <c r="AH58" s="91" t="e">
        <f t="shared" si="21"/>
        <v>#VALUE!</v>
      </c>
      <c r="AI58" s="91">
        <f t="shared" si="22"/>
        <v>-22901024</v>
      </c>
      <c r="AJ58" s="91">
        <f t="shared" si="23"/>
        <v>-222111544</v>
      </c>
      <c r="AK58" s="91">
        <f t="shared" si="24"/>
        <v>-20463464</v>
      </c>
      <c r="AL58" s="91">
        <f t="shared" si="25"/>
        <v>0</v>
      </c>
      <c r="AM58" s="91">
        <f t="shared" si="26"/>
        <v>-15279864</v>
      </c>
      <c r="AN58" s="91">
        <f t="shared" si="27"/>
        <v>-186298768</v>
      </c>
      <c r="AO58" s="91">
        <f t="shared" si="28"/>
        <v>-69448</v>
      </c>
      <c r="AP58" s="91">
        <f t="shared" si="29"/>
        <v>-74.351512999999997</v>
      </c>
      <c r="AQ58" s="92">
        <f t="shared" si="30"/>
        <v>-76.237871200000001</v>
      </c>
      <c r="AR58" s="92">
        <f t="shared" si="31"/>
        <v>-34.848841800000002</v>
      </c>
      <c r="AS58" s="92">
        <f t="shared" si="32"/>
        <v>-38.5065551</v>
      </c>
      <c r="AT58" s="92">
        <f t="shared" si="33"/>
        <v>-38.199926300000001</v>
      </c>
      <c r="AU58" s="92">
        <f t="shared" si="34"/>
        <v>-51.463733300000001</v>
      </c>
      <c r="AV58" s="93">
        <f t="shared" si="35"/>
        <v>-32.232133699999999</v>
      </c>
    </row>
    <row r="59" spans="1:50" x14ac:dyDescent="0.15">
      <c r="AG59" s="91" t="e">
        <f t="shared" si="20"/>
        <v>#VALUE!</v>
      </c>
      <c r="AH59" s="91" t="e">
        <f t="shared" si="21"/>
        <v>#VALUE!</v>
      </c>
      <c r="AI59" s="91">
        <f t="shared" si="22"/>
        <v>-5609904</v>
      </c>
      <c r="AJ59" s="91">
        <f t="shared" si="23"/>
        <v>-51405808</v>
      </c>
      <c r="AK59" s="91">
        <f t="shared" si="24"/>
        <v>-1353064</v>
      </c>
      <c r="AL59" s="91">
        <f t="shared" si="25"/>
        <v>-1277776</v>
      </c>
      <c r="AM59" s="91">
        <f t="shared" si="26"/>
        <v>-7885864</v>
      </c>
      <c r="AN59" s="91">
        <f t="shared" si="27"/>
        <v>-40822136</v>
      </c>
      <c r="AO59" s="91">
        <f t="shared" si="28"/>
        <v>-66968</v>
      </c>
      <c r="AP59" s="91">
        <f t="shared" si="29"/>
        <v>-64.099982699999998</v>
      </c>
      <c r="AQ59" s="92">
        <f t="shared" si="30"/>
        <v>-64.699049900000006</v>
      </c>
      <c r="AR59" s="92">
        <f t="shared" si="31"/>
        <v>-35.214144400000002</v>
      </c>
      <c r="AS59" s="92">
        <f t="shared" si="32"/>
        <v>-46.729424100000003</v>
      </c>
      <c r="AT59" s="92">
        <f t="shared" si="33"/>
        <v>-47.2386494</v>
      </c>
      <c r="AU59" s="92">
        <f t="shared" si="34"/>
        <v>-43.420010400000002</v>
      </c>
      <c r="AV59" s="93">
        <f t="shared" si="35"/>
        <v>-30.105251800000001</v>
      </c>
    </row>
    <row r="60" spans="1:50" x14ac:dyDescent="0.15">
      <c r="AG60" s="91" t="e">
        <f t="shared" si="20"/>
        <v>#VALUE!</v>
      </c>
      <c r="AH60" s="91" t="e">
        <f t="shared" si="21"/>
        <v>#VALUE!</v>
      </c>
      <c r="AI60" s="91">
        <f t="shared" si="22"/>
        <v>-11337904</v>
      </c>
      <c r="AJ60" s="91">
        <f t="shared" si="23"/>
        <v>-97526864</v>
      </c>
      <c r="AK60" s="91">
        <f t="shared" si="24"/>
        <v>-5318344</v>
      </c>
      <c r="AL60" s="91">
        <f t="shared" si="25"/>
        <v>-841408</v>
      </c>
      <c r="AM60" s="91">
        <f t="shared" si="26"/>
        <v>-16105328</v>
      </c>
      <c r="AN60" s="91">
        <f t="shared" si="27"/>
        <v>-75192336</v>
      </c>
      <c r="AO60" s="91">
        <f t="shared" si="28"/>
        <v>-69448</v>
      </c>
      <c r="AP60" s="91">
        <f t="shared" si="29"/>
        <v>-69.702474899999999</v>
      </c>
      <c r="AQ60" s="92">
        <f t="shared" si="30"/>
        <v>-70.9345091</v>
      </c>
      <c r="AR60" s="92">
        <f t="shared" si="31"/>
        <v>-37.336871700000003</v>
      </c>
      <c r="AS60" s="92">
        <f t="shared" si="32"/>
        <v>-47.495921299999999</v>
      </c>
      <c r="AT60" s="92">
        <f t="shared" si="33"/>
        <v>-48.092539899999998</v>
      </c>
      <c r="AU60" s="92">
        <f t="shared" si="34"/>
        <v>-46.554924700000001</v>
      </c>
      <c r="AV60" s="93">
        <f t="shared" si="35"/>
        <v>-33.2677057</v>
      </c>
    </row>
    <row r="61" spans="1:50" x14ac:dyDescent="0.15">
      <c r="AG61" s="91" t="e">
        <f t="shared" si="20"/>
        <v>#VALUE!</v>
      </c>
      <c r="AH61" s="91" t="e">
        <f t="shared" si="21"/>
        <v>#VALUE!</v>
      </c>
      <c r="AI61" s="91">
        <f t="shared" si="22"/>
        <v>-11337904</v>
      </c>
      <c r="AJ61" s="91">
        <f t="shared" si="23"/>
        <v>-124344560</v>
      </c>
      <c r="AK61" s="91">
        <f t="shared" si="24"/>
        <v>-5741392</v>
      </c>
      <c r="AL61" s="91">
        <f t="shared" si="25"/>
        <v>-1473304</v>
      </c>
      <c r="AM61" s="91">
        <f t="shared" si="26"/>
        <v>-16933800</v>
      </c>
      <c r="AN61" s="91">
        <f t="shared" si="27"/>
        <v>-100126616</v>
      </c>
      <c r="AO61" s="91">
        <f t="shared" si="28"/>
        <v>-69448</v>
      </c>
      <c r="AP61" s="91">
        <f t="shared" si="29"/>
        <v>-69.765809200000007</v>
      </c>
      <c r="AQ61" s="92">
        <f t="shared" si="30"/>
        <v>-71.003709999999998</v>
      </c>
      <c r="AR61" s="92">
        <f t="shared" si="31"/>
        <v>-37.986805199999999</v>
      </c>
      <c r="AS61" s="92">
        <f t="shared" si="32"/>
        <v>-47.818190600000001</v>
      </c>
      <c r="AT61" s="92">
        <f t="shared" si="33"/>
        <v>-48.433858000000001</v>
      </c>
      <c r="AU61" s="92">
        <f t="shared" si="34"/>
        <v>-46.5671429</v>
      </c>
      <c r="AV61" s="93">
        <f t="shared" si="35"/>
        <v>-33.493703600000003</v>
      </c>
    </row>
    <row r="62" spans="1:50" x14ac:dyDescent="0.15">
      <c r="AG62" s="91" t="e">
        <f t="shared" si="20"/>
        <v>#VALUE!</v>
      </c>
      <c r="AH62" s="91" t="e">
        <f t="shared" si="21"/>
        <v>#VALUE!</v>
      </c>
      <c r="AI62" s="91">
        <f t="shared" si="22"/>
        <v>-11337904</v>
      </c>
      <c r="AJ62" s="91">
        <f t="shared" si="23"/>
        <v>-160078064</v>
      </c>
      <c r="AK62" s="91">
        <f t="shared" si="24"/>
        <v>-5741392</v>
      </c>
      <c r="AL62" s="91">
        <f t="shared" si="25"/>
        <v>-1473304</v>
      </c>
      <c r="AM62" s="91">
        <f t="shared" si="26"/>
        <v>-16933800</v>
      </c>
      <c r="AN62" s="91">
        <f t="shared" si="27"/>
        <v>-135860120</v>
      </c>
      <c r="AO62" s="91">
        <f t="shared" si="28"/>
        <v>-69448</v>
      </c>
      <c r="AP62" s="91">
        <f t="shared" si="29"/>
        <v>-69.765809200000007</v>
      </c>
      <c r="AQ62" s="92">
        <f t="shared" si="30"/>
        <v>-71.003709999999998</v>
      </c>
      <c r="AR62" s="92">
        <f t="shared" si="31"/>
        <v>-38.517101099999998</v>
      </c>
      <c r="AS62" s="92">
        <f t="shared" si="32"/>
        <v>-48.530886799999998</v>
      </c>
      <c r="AT62" s="92">
        <f t="shared" si="33"/>
        <v>-49.185441400000002</v>
      </c>
      <c r="AU62" s="92">
        <f t="shared" si="34"/>
        <v>-46.5671429</v>
      </c>
      <c r="AV62" s="93">
        <f t="shared" si="35"/>
        <v>-33.634809699999998</v>
      </c>
    </row>
    <row r="63" spans="1:50" x14ac:dyDescent="0.15">
      <c r="AG63" s="91" t="e">
        <f t="shared" si="20"/>
        <v>#VALUE!</v>
      </c>
      <c r="AH63" s="91" t="e">
        <f t="shared" si="21"/>
        <v>#VALUE!</v>
      </c>
      <c r="AI63" s="91">
        <f t="shared" si="22"/>
        <v>-22859376</v>
      </c>
      <c r="AJ63" s="91">
        <f t="shared" si="23"/>
        <v>-218527232</v>
      </c>
      <c r="AK63" s="91">
        <f t="shared" si="24"/>
        <v>-17523192</v>
      </c>
      <c r="AL63" s="91">
        <f t="shared" si="25"/>
        <v>-1347840</v>
      </c>
      <c r="AM63" s="91">
        <f t="shared" si="26"/>
        <v>-30154544</v>
      </c>
      <c r="AN63" s="91">
        <f t="shared" si="27"/>
        <v>-169431392</v>
      </c>
      <c r="AO63" s="91">
        <f t="shared" si="28"/>
        <v>-70264</v>
      </c>
      <c r="AP63" s="91">
        <f t="shared" si="29"/>
        <v>-73.910699500000007</v>
      </c>
      <c r="AQ63" s="92">
        <f t="shared" si="30"/>
        <v>-75.832225100000002</v>
      </c>
      <c r="AR63" s="92">
        <f t="shared" si="31"/>
        <v>-39.282596900000001</v>
      </c>
      <c r="AS63" s="92">
        <f t="shared" si="32"/>
        <v>-48.548494900000001</v>
      </c>
      <c r="AT63" s="92">
        <f t="shared" si="33"/>
        <v>-49.217668500000002</v>
      </c>
      <c r="AU63" s="92">
        <f t="shared" si="34"/>
        <v>-49.001942</v>
      </c>
      <c r="AV63" s="93">
        <f t="shared" si="35"/>
        <v>-35.916807599999999</v>
      </c>
    </row>
    <row r="64" spans="1:50" x14ac:dyDescent="0.15">
      <c r="AG64" s="91" t="e">
        <f t="shared" si="20"/>
        <v>#VALUE!</v>
      </c>
      <c r="AH64" s="91" t="e">
        <f t="shared" si="21"/>
        <v>#VALUE!</v>
      </c>
      <c r="AI64" s="91">
        <f t="shared" si="22"/>
        <v>-5676736</v>
      </c>
      <c r="AJ64" s="91">
        <f t="shared" si="23"/>
        <v>-30792976</v>
      </c>
      <c r="AK64" s="91">
        <f t="shared" si="24"/>
        <v>-6657720</v>
      </c>
      <c r="AL64" s="91">
        <f t="shared" si="25"/>
        <v>0</v>
      </c>
      <c r="AM64" s="91">
        <f t="shared" si="26"/>
        <v>-5071848</v>
      </c>
      <c r="AN64" s="91">
        <f t="shared" si="27"/>
        <v>-18996360</v>
      </c>
      <c r="AO64" s="91">
        <f t="shared" si="28"/>
        <v>-67048</v>
      </c>
      <c r="AP64" s="91">
        <f t="shared" si="29"/>
        <v>-70.2034333</v>
      </c>
      <c r="AQ64" s="92">
        <f t="shared" si="30"/>
        <v>-71.393227999999993</v>
      </c>
      <c r="AR64" s="92">
        <f t="shared" si="31"/>
        <v>-35.640441799999998</v>
      </c>
      <c r="AS64" s="92">
        <f t="shared" si="32"/>
        <v>-43.324719399999999</v>
      </c>
      <c r="AT64" s="92">
        <f t="shared" si="33"/>
        <v>-45.136019300000001</v>
      </c>
      <c r="AU64" s="92">
        <f t="shared" si="34"/>
        <v>-45.2275578</v>
      </c>
      <c r="AV64" s="93">
        <f t="shared" si="35"/>
        <v>-32.072799400000001</v>
      </c>
    </row>
    <row r="65" spans="33:48" x14ac:dyDescent="0.15">
      <c r="AG65" s="91" t="e">
        <f t="shared" si="20"/>
        <v>#VALUE!</v>
      </c>
      <c r="AH65" s="91" t="e">
        <f t="shared" si="21"/>
        <v>#VALUE!</v>
      </c>
      <c r="AI65" s="91">
        <f t="shared" si="22"/>
        <v>-5676736</v>
      </c>
      <c r="AJ65" s="91">
        <f t="shared" si="23"/>
        <v>-50398584</v>
      </c>
      <c r="AK65" s="91">
        <f t="shared" si="24"/>
        <v>-7234808</v>
      </c>
      <c r="AL65" s="91">
        <f t="shared" si="25"/>
        <v>0</v>
      </c>
      <c r="AM65" s="91">
        <f t="shared" si="26"/>
        <v>-7097528</v>
      </c>
      <c r="AN65" s="91">
        <f t="shared" si="27"/>
        <v>-35999280</v>
      </c>
      <c r="AO65" s="91">
        <f t="shared" si="28"/>
        <v>-66968</v>
      </c>
      <c r="AP65" s="91">
        <f t="shared" si="29"/>
        <v>-71.251891299999997</v>
      </c>
      <c r="AQ65" s="92">
        <f t="shared" si="30"/>
        <v>-72.535507199999998</v>
      </c>
      <c r="AR65" s="92">
        <f t="shared" si="31"/>
        <v>-38.290563900000002</v>
      </c>
      <c r="AS65" s="92">
        <f t="shared" si="32"/>
        <v>-43.940985499999996</v>
      </c>
      <c r="AT65" s="92">
        <f t="shared" si="33"/>
        <v>-46.386836099999996</v>
      </c>
      <c r="AU65" s="92">
        <f t="shared" si="34"/>
        <v>-45.670977299999997</v>
      </c>
      <c r="AV65" s="93">
        <f t="shared" si="35"/>
        <v>-33.251466399999998</v>
      </c>
    </row>
    <row r="66" spans="33:48" x14ac:dyDescent="0.15">
      <c r="AG66" s="91" t="e">
        <f t="shared" si="20"/>
        <v>#VALUE!</v>
      </c>
      <c r="AH66" s="91" t="e">
        <f t="shared" si="21"/>
        <v>#VALUE!</v>
      </c>
      <c r="AI66" s="91">
        <f t="shared" si="22"/>
        <v>-11357376</v>
      </c>
      <c r="AJ66" s="91">
        <f t="shared" si="23"/>
        <v>-97361960</v>
      </c>
      <c r="AK66" s="91">
        <f t="shared" si="24"/>
        <v>-12099456</v>
      </c>
      <c r="AL66" s="91">
        <f t="shared" si="25"/>
        <v>0</v>
      </c>
      <c r="AM66" s="91">
        <f t="shared" si="26"/>
        <v>-15155112</v>
      </c>
      <c r="AN66" s="91">
        <f t="shared" si="27"/>
        <v>-70037944</v>
      </c>
      <c r="AO66" s="91">
        <f t="shared" si="28"/>
        <v>-69448</v>
      </c>
      <c r="AP66" s="91">
        <f t="shared" si="29"/>
        <v>-76.072013299999995</v>
      </c>
      <c r="AQ66" s="92">
        <f t="shared" si="30"/>
        <v>-78.054860599999998</v>
      </c>
      <c r="AR66" s="92">
        <f t="shared" si="31"/>
        <v>-41.045419000000003</v>
      </c>
      <c r="AS66" s="92">
        <f t="shared" si="32"/>
        <v>-44.812964000000001</v>
      </c>
      <c r="AT66" s="92">
        <f t="shared" si="33"/>
        <v>-48.049783699999999</v>
      </c>
      <c r="AU66" s="92">
        <f t="shared" si="34"/>
        <v>-48.026430699999999</v>
      </c>
      <c r="AV66" s="93">
        <f t="shared" si="35"/>
        <v>-36.379637899999999</v>
      </c>
    </row>
    <row r="67" spans="33:48" x14ac:dyDescent="0.15">
      <c r="AG67" s="91" t="e">
        <f t="shared" si="20"/>
        <v>#VALUE!</v>
      </c>
      <c r="AH67" s="91" t="e">
        <f t="shared" si="21"/>
        <v>#VALUE!</v>
      </c>
      <c r="AI67" s="91">
        <f t="shared" si="22"/>
        <v>-22718208</v>
      </c>
      <c r="AJ67" s="91">
        <f t="shared" si="23"/>
        <v>-140776008</v>
      </c>
      <c r="AK67" s="91">
        <f t="shared" si="24"/>
        <v>-20758952</v>
      </c>
      <c r="AL67" s="91">
        <f t="shared" si="25"/>
        <v>0</v>
      </c>
      <c r="AM67" s="91">
        <f t="shared" si="26"/>
        <v>-18402896</v>
      </c>
      <c r="AN67" s="91">
        <f t="shared" si="27"/>
        <v>-101544712</v>
      </c>
      <c r="AO67" s="91">
        <f t="shared" si="28"/>
        <v>-69448</v>
      </c>
      <c r="AP67" s="91">
        <f t="shared" si="29"/>
        <v>-78.435969400000005</v>
      </c>
      <c r="AQ67" s="92">
        <f t="shared" si="30"/>
        <v>-81.008658499999996</v>
      </c>
      <c r="AR67" s="92">
        <f t="shared" si="31"/>
        <v>-42.169135199999999</v>
      </c>
      <c r="AS67" s="92">
        <f t="shared" si="32"/>
        <v>-45.506175499999998</v>
      </c>
      <c r="AT67" s="92">
        <f t="shared" si="33"/>
        <v>-49.195656399999997</v>
      </c>
      <c r="AU67" s="92">
        <f t="shared" si="34"/>
        <v>-49.640914199999997</v>
      </c>
      <c r="AV67" s="93">
        <f t="shared" si="35"/>
        <v>-38.111492699999999</v>
      </c>
    </row>
    <row r="68" spans="33:48" x14ac:dyDescent="0.15">
      <c r="AG68" s="91" t="e">
        <f t="shared" si="20"/>
        <v>#VALUE!</v>
      </c>
      <c r="AH68" s="91" t="e">
        <f t="shared" si="21"/>
        <v>#VALUE!</v>
      </c>
      <c r="AI68" s="91">
        <f t="shared" si="22"/>
        <v>-22718208</v>
      </c>
      <c r="AJ68" s="91">
        <f t="shared" si="23"/>
        <v>-209456552</v>
      </c>
      <c r="AK68" s="91">
        <f t="shared" si="24"/>
        <v>-20758952</v>
      </c>
      <c r="AL68" s="91">
        <f t="shared" si="25"/>
        <v>0</v>
      </c>
      <c r="AM68" s="91">
        <f t="shared" si="26"/>
        <v>-20367272</v>
      </c>
      <c r="AN68" s="91">
        <f t="shared" si="27"/>
        <v>-168260880</v>
      </c>
      <c r="AO68" s="91">
        <f t="shared" si="28"/>
        <v>-69448</v>
      </c>
      <c r="AP68" s="91">
        <f t="shared" si="29"/>
        <v>-78.733427199999994</v>
      </c>
      <c r="AQ68" s="92">
        <f t="shared" si="30"/>
        <v>-81.411919499999996</v>
      </c>
      <c r="AR68" s="92">
        <f t="shared" si="31"/>
        <v>-43.189236800000003</v>
      </c>
      <c r="AS68" s="92">
        <f t="shared" si="32"/>
        <v>-46.454334299999999</v>
      </c>
      <c r="AT68" s="92">
        <f t="shared" si="33"/>
        <v>-50.473249699999997</v>
      </c>
      <c r="AU68" s="92">
        <f t="shared" si="34"/>
        <v>-49.769469899999997</v>
      </c>
      <c r="AV68" s="93">
        <f t="shared" si="35"/>
        <v>-38.586660799999997</v>
      </c>
    </row>
    <row r="69" spans="33:48" x14ac:dyDescent="0.15">
      <c r="AG69" s="91" t="e">
        <f t="shared" si="20"/>
        <v>#VALUE!</v>
      </c>
      <c r="AH69" s="91" t="e">
        <f t="shared" si="21"/>
        <v>#VALUE!</v>
      </c>
      <c r="AI69" s="91">
        <f t="shared" si="22"/>
        <v>-5665680</v>
      </c>
      <c r="AJ69" s="91">
        <f t="shared" si="23"/>
        <v>-29462800</v>
      </c>
      <c r="AK69" s="91">
        <f t="shared" si="24"/>
        <v>-6494488</v>
      </c>
      <c r="AL69" s="91">
        <f t="shared" si="25"/>
        <v>0</v>
      </c>
      <c r="AM69" s="91">
        <f t="shared" si="26"/>
        <v>-4773536</v>
      </c>
      <c r="AN69" s="91">
        <f t="shared" si="27"/>
        <v>-18127808</v>
      </c>
      <c r="AO69" s="91">
        <f t="shared" si="28"/>
        <v>-66968</v>
      </c>
      <c r="AP69" s="91">
        <f t="shared" si="29"/>
        <v>-70.506879100000006</v>
      </c>
      <c r="AQ69" s="92">
        <f t="shared" si="30"/>
        <v>-71.740402500000002</v>
      </c>
      <c r="AR69" s="92">
        <f t="shared" si="31"/>
        <v>-34.559935799999998</v>
      </c>
      <c r="AS69" s="92">
        <f t="shared" si="32"/>
        <v>-42.806307500000003</v>
      </c>
      <c r="AT69" s="92">
        <f t="shared" si="33"/>
        <v>-44.1559648</v>
      </c>
      <c r="AU69" s="92">
        <f t="shared" si="34"/>
        <v>-46.2110026</v>
      </c>
      <c r="AV69" s="93">
        <f t="shared" si="35"/>
        <v>-31.208185</v>
      </c>
    </row>
    <row r="70" spans="33:48" x14ac:dyDescent="0.15">
      <c r="AG70" s="91" t="e">
        <f t="shared" si="20"/>
        <v>#VALUE!</v>
      </c>
      <c r="AH70" s="91" t="e">
        <f t="shared" si="21"/>
        <v>#VALUE!</v>
      </c>
      <c r="AI70" s="91">
        <f t="shared" si="22"/>
        <v>-5665680</v>
      </c>
      <c r="AJ70" s="91">
        <f t="shared" si="23"/>
        <v>-49427280</v>
      </c>
      <c r="AK70" s="91">
        <f t="shared" si="24"/>
        <v>-7062624</v>
      </c>
      <c r="AL70" s="91">
        <f t="shared" si="25"/>
        <v>0</v>
      </c>
      <c r="AM70" s="91">
        <f t="shared" si="26"/>
        <v>-5235776</v>
      </c>
      <c r="AN70" s="91">
        <f t="shared" si="27"/>
        <v>-37061832</v>
      </c>
      <c r="AO70" s="91">
        <f t="shared" si="28"/>
        <v>-67048</v>
      </c>
      <c r="AP70" s="91">
        <f t="shared" si="29"/>
        <v>-70.863187100000005</v>
      </c>
      <c r="AQ70" s="92">
        <f t="shared" si="30"/>
        <v>-72.134078799999997</v>
      </c>
      <c r="AR70" s="92">
        <f t="shared" si="31"/>
        <v>-37.243744800000002</v>
      </c>
      <c r="AS70" s="92">
        <f t="shared" si="32"/>
        <v>-43.960626099999999</v>
      </c>
      <c r="AT70" s="92">
        <f t="shared" si="33"/>
        <v>-46.034110699999999</v>
      </c>
      <c r="AU70" s="92">
        <f t="shared" si="34"/>
        <v>-46.390853399999997</v>
      </c>
      <c r="AV70" s="93">
        <f t="shared" si="35"/>
        <v>-32.255716300000003</v>
      </c>
    </row>
    <row r="71" spans="33:48" x14ac:dyDescent="0.15">
      <c r="AG71" s="91" t="e">
        <f t="shared" si="20"/>
        <v>#VALUE!</v>
      </c>
      <c r="AH71" s="91" t="e">
        <f t="shared" si="21"/>
        <v>#VALUE!</v>
      </c>
      <c r="AI71" s="91">
        <f t="shared" si="22"/>
        <v>-11333408</v>
      </c>
      <c r="AJ71" s="91">
        <f t="shared" si="23"/>
        <v>-97549568</v>
      </c>
      <c r="AK71" s="91">
        <f t="shared" si="24"/>
        <v>-10770824</v>
      </c>
      <c r="AL71" s="91">
        <f t="shared" si="25"/>
        <v>0</v>
      </c>
      <c r="AM71" s="91">
        <f t="shared" si="26"/>
        <v>-14804120</v>
      </c>
      <c r="AN71" s="91">
        <f t="shared" si="27"/>
        <v>-71905176</v>
      </c>
      <c r="AO71" s="91">
        <f t="shared" si="28"/>
        <v>-69448</v>
      </c>
      <c r="AP71" s="91">
        <f t="shared" si="29"/>
        <v>-76.316210600000005</v>
      </c>
      <c r="AQ71" s="92">
        <f t="shared" si="30"/>
        <v>-78.420968500000001</v>
      </c>
      <c r="AR71" s="92">
        <f t="shared" si="31"/>
        <v>-40.3000854</v>
      </c>
      <c r="AS71" s="92">
        <f t="shared" si="32"/>
        <v>-45.207615400000002</v>
      </c>
      <c r="AT71" s="92">
        <f t="shared" si="33"/>
        <v>-48.093445699999997</v>
      </c>
      <c r="AU71" s="92">
        <f t="shared" si="34"/>
        <v>-49.052654699999998</v>
      </c>
      <c r="AV71" s="93">
        <f t="shared" si="35"/>
        <v>-35.830805300000002</v>
      </c>
    </row>
    <row r="72" spans="33:48" x14ac:dyDescent="0.15">
      <c r="AG72" s="91" t="e">
        <f t="shared" si="20"/>
        <v>#VALUE!</v>
      </c>
      <c r="AH72" s="91" t="e">
        <f t="shared" si="21"/>
        <v>#VALUE!</v>
      </c>
      <c r="AI72" s="91">
        <f t="shared" si="22"/>
        <v>-22669584</v>
      </c>
      <c r="AJ72" s="91">
        <f t="shared" si="23"/>
        <v>-139914632</v>
      </c>
      <c r="AK72" s="91">
        <f t="shared" si="24"/>
        <v>-22602008</v>
      </c>
      <c r="AL72" s="91">
        <f t="shared" si="25"/>
        <v>0</v>
      </c>
      <c r="AM72" s="91">
        <f t="shared" si="26"/>
        <v>-15201560</v>
      </c>
      <c r="AN72" s="91">
        <f t="shared" si="27"/>
        <v>-102041616</v>
      </c>
      <c r="AO72" s="91">
        <f t="shared" si="28"/>
        <v>-69448</v>
      </c>
      <c r="AP72" s="91">
        <f t="shared" si="29"/>
        <v>-78.267184099999994</v>
      </c>
      <c r="AQ72" s="92">
        <f t="shared" si="30"/>
        <v>-80.893811900000003</v>
      </c>
      <c r="AR72" s="92">
        <f t="shared" si="31"/>
        <v>-41.457224199999999</v>
      </c>
      <c r="AS72" s="92">
        <f t="shared" si="32"/>
        <v>-45.730331300000003</v>
      </c>
      <c r="AT72" s="92">
        <f t="shared" si="33"/>
        <v>-48.840236599999997</v>
      </c>
      <c r="AU72" s="92">
        <f t="shared" si="34"/>
        <v>-50.614304099999998</v>
      </c>
      <c r="AV72" s="93">
        <f t="shared" si="35"/>
        <v>-37.418005100000002</v>
      </c>
    </row>
    <row r="73" spans="33:48" x14ac:dyDescent="0.15">
      <c r="AG73" s="91" t="e">
        <f t="shared" si="20"/>
        <v>#VALUE!</v>
      </c>
      <c r="AH73" s="91" t="e">
        <f t="shared" si="21"/>
        <v>#VALUE!</v>
      </c>
      <c r="AI73" s="91">
        <f t="shared" si="22"/>
        <v>-22669584</v>
      </c>
      <c r="AJ73" s="91">
        <f t="shared" si="23"/>
        <v>-207279520</v>
      </c>
      <c r="AK73" s="91">
        <f t="shared" si="24"/>
        <v>-20416520</v>
      </c>
      <c r="AL73" s="91">
        <f t="shared" si="25"/>
        <v>0</v>
      </c>
      <c r="AM73" s="91">
        <f t="shared" si="26"/>
        <v>-19324256</v>
      </c>
      <c r="AN73" s="91">
        <f t="shared" si="27"/>
        <v>-167469296</v>
      </c>
      <c r="AO73" s="91">
        <f t="shared" si="28"/>
        <v>-69448</v>
      </c>
      <c r="AP73" s="91">
        <f t="shared" si="29"/>
        <v>-78.862199700000005</v>
      </c>
      <c r="AQ73" s="92">
        <f t="shared" si="30"/>
        <v>-81.729687900000002</v>
      </c>
      <c r="AR73" s="92">
        <f t="shared" si="31"/>
        <v>-42.442087700000002</v>
      </c>
      <c r="AS73" s="92">
        <f t="shared" si="32"/>
        <v>-46.801728199999999</v>
      </c>
      <c r="AT73" s="92">
        <f t="shared" si="33"/>
        <v>-50.190730500000001</v>
      </c>
      <c r="AU73" s="92">
        <f t="shared" si="34"/>
        <v>-50.851933500000001</v>
      </c>
      <c r="AV73" s="93">
        <f t="shared" si="35"/>
        <v>-38.058844299999997</v>
      </c>
    </row>
    <row r="74" spans="33:48" x14ac:dyDescent="0.15">
      <c r="AG74" s="91" t="e">
        <f t="shared" si="20"/>
        <v>#VALUE!</v>
      </c>
      <c r="AH74" s="91" t="e">
        <f t="shared" si="21"/>
        <v>#VALUE!</v>
      </c>
      <c r="AI74" s="91">
        <f t="shared" si="22"/>
        <v>-23021184</v>
      </c>
      <c r="AJ74" s="91">
        <f t="shared" si="23"/>
        <v>-42232352</v>
      </c>
      <c r="AK74" s="91">
        <f t="shared" si="24"/>
        <v>-6453288</v>
      </c>
      <c r="AL74" s="91">
        <f t="shared" si="25"/>
        <v>0</v>
      </c>
      <c r="AM74" s="91">
        <f t="shared" si="26"/>
        <v>-5017536</v>
      </c>
      <c r="AN74" s="91">
        <f t="shared" si="27"/>
        <v>-30692000</v>
      </c>
      <c r="AO74" s="91">
        <f t="shared" si="28"/>
        <v>-69528</v>
      </c>
      <c r="AP74" s="91">
        <f t="shared" si="29"/>
        <v>-73.192462699999993</v>
      </c>
      <c r="AQ74" s="92">
        <f t="shared" si="30"/>
        <v>-74.916329899999994</v>
      </c>
      <c r="AR74" s="92">
        <f t="shared" si="31"/>
        <v>-31.0571947</v>
      </c>
      <c r="AS74" s="92">
        <f t="shared" si="32"/>
        <v>-39.915370699999997</v>
      </c>
      <c r="AT74" s="92">
        <f t="shared" si="33"/>
        <v>-36.592444999999998</v>
      </c>
      <c r="AU74" s="92">
        <f t="shared" si="34"/>
        <v>-44.800059699999998</v>
      </c>
      <c r="AV74" s="93">
        <f t="shared" si="35"/>
        <v>-27.955236800000002</v>
      </c>
    </row>
    <row r="75" spans="33:48" x14ac:dyDescent="0.15">
      <c r="AG75" s="91" t="e">
        <f t="shared" si="20"/>
        <v>#VALUE!</v>
      </c>
      <c r="AH75" s="91" t="e">
        <f t="shared" si="21"/>
        <v>#VALUE!</v>
      </c>
      <c r="AI75" s="91">
        <f t="shared" si="22"/>
        <v>-46064000</v>
      </c>
      <c r="AJ75" s="91">
        <f t="shared" si="23"/>
        <v>-83244976</v>
      </c>
      <c r="AK75" s="91">
        <f t="shared" si="24"/>
        <v>-10792048</v>
      </c>
      <c r="AL75" s="91">
        <f t="shared" si="25"/>
        <v>0</v>
      </c>
      <c r="AM75" s="91">
        <f t="shared" si="26"/>
        <v>-8007072</v>
      </c>
      <c r="AN75" s="91">
        <f t="shared" si="27"/>
        <v>-64373928</v>
      </c>
      <c r="AO75" s="91">
        <f t="shared" si="28"/>
        <v>-71928</v>
      </c>
      <c r="AP75" s="91">
        <f t="shared" si="29"/>
        <v>-76.613831599999997</v>
      </c>
      <c r="AQ75" s="92">
        <f t="shared" si="30"/>
        <v>-78.892508300000003</v>
      </c>
      <c r="AR75" s="92">
        <f t="shared" si="31"/>
        <v>-33.436099599999999</v>
      </c>
      <c r="AS75" s="92">
        <f t="shared" si="32"/>
        <v>-41.825887100000003</v>
      </c>
      <c r="AT75" s="92">
        <f t="shared" si="33"/>
        <v>-39.441951099999997</v>
      </c>
      <c r="AU75" s="92">
        <f t="shared" si="34"/>
        <v>-46.460217900000004</v>
      </c>
      <c r="AV75" s="93">
        <f t="shared" si="35"/>
        <v>-30.694315799999998</v>
      </c>
    </row>
    <row r="76" spans="33:48" x14ac:dyDescent="0.15">
      <c r="AG76" s="91" t="e">
        <f t="shared" si="20"/>
        <v>#VALUE!</v>
      </c>
      <c r="AH76" s="91" t="e">
        <f t="shared" si="21"/>
        <v>#VALUE!</v>
      </c>
      <c r="AI76" s="91">
        <f t="shared" si="22"/>
        <v>-92146368</v>
      </c>
      <c r="AJ76" s="91">
        <f t="shared" si="23"/>
        <v>-122332776</v>
      </c>
      <c r="AK76" s="91">
        <f t="shared" si="24"/>
        <v>-20376656</v>
      </c>
      <c r="AL76" s="91">
        <f t="shared" si="25"/>
        <v>0</v>
      </c>
      <c r="AM76" s="91">
        <f t="shared" si="26"/>
        <v>-7565600</v>
      </c>
      <c r="AN76" s="91">
        <f t="shared" si="27"/>
        <v>-94316032</v>
      </c>
      <c r="AO76" s="91">
        <f t="shared" si="28"/>
        <v>-74488</v>
      </c>
      <c r="AP76" s="91">
        <f t="shared" si="29"/>
        <v>-78.451409400000003</v>
      </c>
      <c r="AQ76" s="92">
        <f t="shared" si="30"/>
        <v>-81.144606899999999</v>
      </c>
      <c r="AR76" s="92">
        <f t="shared" si="31"/>
        <v>-34.501021100000003</v>
      </c>
      <c r="AS76" s="92">
        <f t="shared" si="32"/>
        <v>-43.189484299999997</v>
      </c>
      <c r="AT76" s="92">
        <f t="shared" si="33"/>
        <v>-41.242278499999998</v>
      </c>
      <c r="AU76" s="92">
        <f t="shared" si="34"/>
        <v>-47.908302499999998</v>
      </c>
      <c r="AV76" s="93">
        <f t="shared" si="35"/>
        <v>-32.0391063</v>
      </c>
    </row>
    <row r="77" spans="33:48" x14ac:dyDescent="0.15">
      <c r="AG77" s="91" t="e">
        <f t="shared" si="20"/>
        <v>#VALUE!</v>
      </c>
      <c r="AH77" s="91" t="e">
        <f t="shared" si="21"/>
        <v>#VALUE!</v>
      </c>
      <c r="AI77" s="91">
        <f t="shared" si="22"/>
        <v>-184310144</v>
      </c>
      <c r="AJ77" s="91">
        <f t="shared" si="23"/>
        <v>-173010192</v>
      </c>
      <c r="AK77" s="91">
        <f t="shared" si="24"/>
        <v>-39691360</v>
      </c>
      <c r="AL77" s="91">
        <f t="shared" si="25"/>
        <v>0</v>
      </c>
      <c r="AM77" s="91">
        <f t="shared" si="26"/>
        <v>-5975976</v>
      </c>
      <c r="AN77" s="91">
        <f t="shared" si="27"/>
        <v>-127268288</v>
      </c>
      <c r="AO77" s="91">
        <f t="shared" si="28"/>
        <v>-74568</v>
      </c>
      <c r="AP77" s="91">
        <f t="shared" si="29"/>
        <v>-80.3065876</v>
      </c>
      <c r="AQ77" s="92">
        <f t="shared" si="30"/>
        <v>-83.621433600000003</v>
      </c>
      <c r="AR77" s="92">
        <f t="shared" si="31"/>
        <v>-35.318651699999997</v>
      </c>
      <c r="AS77" s="92">
        <f t="shared" si="32"/>
        <v>-43.542847500000001</v>
      </c>
      <c r="AT77" s="92">
        <f t="shared" si="33"/>
        <v>-41.741235199999998</v>
      </c>
      <c r="AU77" s="92">
        <f t="shared" si="34"/>
        <v>-49.599126400000003</v>
      </c>
      <c r="AV77" s="93">
        <f t="shared" si="35"/>
        <v>-33.263931399999997</v>
      </c>
    </row>
    <row r="78" spans="33:48" x14ac:dyDescent="0.15">
      <c r="AG78" s="91" t="e">
        <f t="shared" si="20"/>
        <v>#VALUE!</v>
      </c>
      <c r="AH78" s="91" t="e">
        <f t="shared" si="21"/>
        <v>#VALUE!</v>
      </c>
      <c r="AI78" s="91">
        <f t="shared" si="22"/>
        <v>-138237904</v>
      </c>
      <c r="AJ78" s="91">
        <f t="shared" si="23"/>
        <v>-254982368</v>
      </c>
      <c r="AK78" s="91">
        <f t="shared" si="24"/>
        <v>-85721840</v>
      </c>
      <c r="AL78" s="91">
        <f t="shared" si="25"/>
        <v>0</v>
      </c>
      <c r="AM78" s="91">
        <f t="shared" si="26"/>
        <v>-7726344</v>
      </c>
      <c r="AN78" s="91">
        <f t="shared" si="27"/>
        <v>-161459776</v>
      </c>
      <c r="AO78" s="91">
        <f t="shared" si="28"/>
        <v>-74408</v>
      </c>
      <c r="AP78" s="91">
        <f t="shared" si="29"/>
        <v>-84.882391400000003</v>
      </c>
      <c r="AQ78" s="92">
        <f t="shared" si="30"/>
        <v>-90.099752100000003</v>
      </c>
      <c r="AR78" s="92">
        <f t="shared" si="31"/>
        <v>-36.064014</v>
      </c>
      <c r="AS78" s="92">
        <f t="shared" si="32"/>
        <v>-43.880965099999997</v>
      </c>
      <c r="AT78" s="92">
        <f t="shared" si="33"/>
        <v>-42.224651899999998</v>
      </c>
      <c r="AU78" s="92">
        <f t="shared" si="34"/>
        <v>-53.017683900000002</v>
      </c>
      <c r="AV78" s="93">
        <f t="shared" si="35"/>
        <v>-35.144628400000002</v>
      </c>
    </row>
    <row r="79" spans="33:48" x14ac:dyDescent="0.15">
      <c r="AG79" s="91" t="e">
        <f t="shared" si="20"/>
        <v>#VALUE!</v>
      </c>
      <c r="AH79" s="91" t="e">
        <f t="shared" si="21"/>
        <v>#VALUE!</v>
      </c>
      <c r="AI79" s="91">
        <f t="shared" si="22"/>
        <v>-11256640</v>
      </c>
      <c r="AJ79" s="91">
        <f t="shared" si="23"/>
        <v>-20819304</v>
      </c>
      <c r="AK79" s="91">
        <f t="shared" si="24"/>
        <v>-2457112</v>
      </c>
      <c r="AL79" s="91">
        <f t="shared" si="25"/>
        <v>-231376</v>
      </c>
      <c r="AM79" s="91">
        <f t="shared" si="26"/>
        <v>-3037912</v>
      </c>
      <c r="AN79" s="91">
        <f t="shared" si="27"/>
        <v>-15057736</v>
      </c>
      <c r="AO79" s="91">
        <f t="shared" si="28"/>
        <v>-35168</v>
      </c>
      <c r="AP79" s="91">
        <f t="shared" si="29"/>
        <v>-72.568638500000006</v>
      </c>
      <c r="AQ79" s="92">
        <f t="shared" si="30"/>
        <v>-74.150231300000002</v>
      </c>
      <c r="AR79" s="92">
        <f t="shared" si="31"/>
        <v>-38.165894799999997</v>
      </c>
      <c r="AS79" s="92">
        <f t="shared" si="32"/>
        <v>-44.359248299999997</v>
      </c>
      <c r="AT79" s="92">
        <f t="shared" si="33"/>
        <v>-43.004025400000003</v>
      </c>
      <c r="AU79" s="92">
        <f t="shared" si="34"/>
        <v>-47.471431000000003</v>
      </c>
      <c r="AV79" s="93">
        <f t="shared" si="35"/>
        <v>-34.272211499999997</v>
      </c>
    </row>
    <row r="80" spans="33:48" x14ac:dyDescent="0.15">
      <c r="AG80" s="91" t="e">
        <f t="shared" si="20"/>
        <v>#VALUE!</v>
      </c>
      <c r="AH80" s="91" t="e">
        <f t="shared" si="21"/>
        <v>#VALUE!</v>
      </c>
      <c r="AI80" s="91">
        <f t="shared" si="22"/>
        <v>-5692000</v>
      </c>
      <c r="AJ80" s="91">
        <f t="shared" si="23"/>
        <v>-41068480</v>
      </c>
      <c r="AK80" s="91">
        <f t="shared" si="24"/>
        <v>-4112280</v>
      </c>
      <c r="AL80" s="91">
        <f t="shared" si="25"/>
        <v>-342616</v>
      </c>
      <c r="AM80" s="91">
        <f t="shared" si="26"/>
        <v>-4402088</v>
      </c>
      <c r="AN80" s="91">
        <f t="shared" si="27"/>
        <v>-32176776</v>
      </c>
      <c r="AO80" s="91">
        <f t="shared" si="28"/>
        <v>-34720</v>
      </c>
      <c r="AP80" s="91">
        <f t="shared" si="29"/>
        <v>-75.858421800000002</v>
      </c>
      <c r="AQ80" s="92">
        <f t="shared" si="30"/>
        <v>-77.907326400000002</v>
      </c>
      <c r="AR80" s="92">
        <f t="shared" si="31"/>
        <v>-40.475119399999997</v>
      </c>
      <c r="AS80" s="92">
        <f t="shared" si="32"/>
        <v>-45.781987899999997</v>
      </c>
      <c r="AT80" s="92">
        <f t="shared" si="33"/>
        <v>-44.6320555</v>
      </c>
      <c r="AU80" s="92">
        <f t="shared" si="34"/>
        <v>-49.570110300000003</v>
      </c>
      <c r="AV80" s="93">
        <f t="shared" si="35"/>
        <v>-36.377103200000001</v>
      </c>
    </row>
    <row r="81" spans="33:48" x14ac:dyDescent="0.15">
      <c r="AG81" s="91" t="e">
        <f t="shared" si="20"/>
        <v>#VALUE!</v>
      </c>
      <c r="AH81" s="91" t="e">
        <f t="shared" si="21"/>
        <v>#VALUE!</v>
      </c>
      <c r="AI81" s="91">
        <f t="shared" si="22"/>
        <v>-22964896</v>
      </c>
      <c r="AJ81" s="91">
        <f t="shared" si="23"/>
        <v>-61653784</v>
      </c>
      <c r="AK81" s="91">
        <f t="shared" si="24"/>
        <v>-12254560</v>
      </c>
      <c r="AL81" s="91">
        <f t="shared" si="25"/>
        <v>-806064</v>
      </c>
      <c r="AM81" s="91">
        <f t="shared" si="26"/>
        <v>-4210024</v>
      </c>
      <c r="AN81" s="91">
        <f t="shared" si="27"/>
        <v>-44347176</v>
      </c>
      <c r="AO81" s="91">
        <f t="shared" si="28"/>
        <v>-35960</v>
      </c>
      <c r="AP81" s="91">
        <f t="shared" si="29"/>
        <v>-79.267217400000007</v>
      </c>
      <c r="AQ81" s="92">
        <f t="shared" si="30"/>
        <v>-82.086525300000005</v>
      </c>
      <c r="AR81" s="92">
        <f t="shared" si="31"/>
        <v>-41.576286000000003</v>
      </c>
      <c r="AS81" s="92">
        <f t="shared" si="32"/>
        <v>-46.555656800000001</v>
      </c>
      <c r="AT81" s="92">
        <f t="shared" si="33"/>
        <v>-45.588332800000003</v>
      </c>
      <c r="AU81" s="92">
        <f t="shared" si="34"/>
        <v>-51.559542899999997</v>
      </c>
      <c r="AV81" s="93">
        <f t="shared" si="35"/>
        <v>-38.462070300000001</v>
      </c>
    </row>
    <row r="82" spans="33:48" x14ac:dyDescent="0.15">
      <c r="AG82" s="91" t="e">
        <f t="shared" si="20"/>
        <v>#VALUE!</v>
      </c>
      <c r="AH82" s="91" t="e">
        <f t="shared" si="21"/>
        <v>#VALUE!</v>
      </c>
      <c r="AI82" s="91">
        <f t="shared" si="22"/>
        <v>-22964896</v>
      </c>
      <c r="AJ82" s="91">
        <f t="shared" si="23"/>
        <v>-86180616</v>
      </c>
      <c r="AK82" s="91">
        <f t="shared" si="24"/>
        <v>-12254560</v>
      </c>
      <c r="AL82" s="91">
        <f t="shared" si="25"/>
        <v>-806064</v>
      </c>
      <c r="AM82" s="91">
        <f t="shared" si="26"/>
        <v>-9586864</v>
      </c>
      <c r="AN82" s="91">
        <f t="shared" si="27"/>
        <v>-63497168</v>
      </c>
      <c r="AO82" s="91">
        <f t="shared" si="28"/>
        <v>-35960</v>
      </c>
      <c r="AP82" s="91">
        <f t="shared" si="29"/>
        <v>-80.986326800000001</v>
      </c>
      <c r="AQ82" s="92">
        <f t="shared" si="30"/>
        <v>-84.685654299999996</v>
      </c>
      <c r="AR82" s="92">
        <f t="shared" si="31"/>
        <v>-42.494298200000003</v>
      </c>
      <c r="AS82" s="92">
        <f t="shared" si="32"/>
        <v>-47.644734900000003</v>
      </c>
      <c r="AT82" s="92">
        <f t="shared" si="33"/>
        <v>-46.800372899999999</v>
      </c>
      <c r="AU82" s="92">
        <f t="shared" si="34"/>
        <v>-53.0084801</v>
      </c>
      <c r="AV82" s="93">
        <f t="shared" si="35"/>
        <v>-39.874823200000002</v>
      </c>
    </row>
    <row r="83" spans="33:48" x14ac:dyDescent="0.15">
      <c r="AG83" s="91" t="e">
        <f t="shared" si="20"/>
        <v>#VALUE!</v>
      </c>
      <c r="AH83" s="91" t="e">
        <f t="shared" si="21"/>
        <v>#VALUE!</v>
      </c>
      <c r="AI83" s="91">
        <f t="shared" si="22"/>
        <v>-57516368</v>
      </c>
      <c r="AJ83" s="91">
        <f t="shared" si="23"/>
        <v>-118485088</v>
      </c>
      <c r="AK83" s="91">
        <f t="shared" si="24"/>
        <v>-26706096</v>
      </c>
      <c r="AL83" s="91">
        <f t="shared" si="25"/>
        <v>-4271968</v>
      </c>
      <c r="AM83" s="91">
        <f t="shared" si="26"/>
        <v>-2287024</v>
      </c>
      <c r="AN83" s="91">
        <f t="shared" si="27"/>
        <v>-85182792</v>
      </c>
      <c r="AO83" s="91">
        <f t="shared" si="28"/>
        <v>-37208</v>
      </c>
      <c r="AP83" s="91">
        <f t="shared" si="29"/>
        <v>-84.370575900000006</v>
      </c>
      <c r="AQ83" s="92">
        <f t="shared" si="30"/>
        <v>-88.954140699999996</v>
      </c>
      <c r="AR83" s="92">
        <f t="shared" si="31"/>
        <v>-43.458146900000003</v>
      </c>
      <c r="AS83" s="92">
        <f t="shared" si="32"/>
        <v>-48.342753000000002</v>
      </c>
      <c r="AT83" s="92">
        <f t="shared" si="33"/>
        <v>-47.601473300000002</v>
      </c>
      <c r="AU83" s="92">
        <f t="shared" si="34"/>
        <v>-56.712624300000002</v>
      </c>
      <c r="AV83" s="93">
        <f t="shared" si="35"/>
        <v>-42.3966055</v>
      </c>
    </row>
    <row r="84" spans="33:48" x14ac:dyDescent="0.15">
      <c r="AG84" s="91" t="e">
        <f t="shared" si="20"/>
        <v>#VALUE!</v>
      </c>
      <c r="AH84" s="91" t="e">
        <f t="shared" si="21"/>
        <v>#VALUE!</v>
      </c>
      <c r="AI84" s="91">
        <f t="shared" si="22"/>
        <v>-8608240</v>
      </c>
      <c r="AJ84" s="91">
        <f t="shared" si="23"/>
        <v>-28011856</v>
      </c>
      <c r="AK84" s="91">
        <f t="shared" si="24"/>
        <v>-3569256</v>
      </c>
      <c r="AL84" s="91">
        <f t="shared" si="25"/>
        <v>-827104</v>
      </c>
      <c r="AM84" s="91">
        <f t="shared" si="26"/>
        <v>-3527712</v>
      </c>
      <c r="AN84" s="91">
        <f t="shared" si="27"/>
        <v>-20019120</v>
      </c>
      <c r="AO84" s="91">
        <f t="shared" si="28"/>
        <v>-68664</v>
      </c>
      <c r="AP84" s="91">
        <f t="shared" si="29"/>
        <v>-72.087395299999997</v>
      </c>
      <c r="AQ84" s="92">
        <f t="shared" si="30"/>
        <v>-73.640855599999995</v>
      </c>
      <c r="AR84" s="92">
        <f t="shared" si="31"/>
        <v>-30.176791699999999</v>
      </c>
      <c r="AS84" s="92">
        <f t="shared" si="32"/>
        <v>-38.969616100000003</v>
      </c>
      <c r="AT84" s="92">
        <f t="shared" si="33"/>
        <v>-38.999440200000002</v>
      </c>
      <c r="AU84" s="92">
        <f t="shared" si="34"/>
        <v>-47.765694799999999</v>
      </c>
      <c r="AV84" s="93">
        <f t="shared" si="35"/>
        <v>-29.152816900000001</v>
      </c>
    </row>
    <row r="85" spans="33:48" x14ac:dyDescent="0.15">
      <c r="AG85" s="91" t="e">
        <f t="shared" si="20"/>
        <v>#VALUE!</v>
      </c>
      <c r="AH85" s="91" t="e">
        <f t="shared" si="21"/>
        <v>#VALUE!</v>
      </c>
      <c r="AI85" s="91">
        <f t="shared" si="22"/>
        <v>-17229088</v>
      </c>
      <c r="AJ85" s="91">
        <f t="shared" si="23"/>
        <v>-39002456</v>
      </c>
      <c r="AK85" s="91">
        <f t="shared" si="24"/>
        <v>-5995856</v>
      </c>
      <c r="AL85" s="91">
        <f t="shared" si="25"/>
        <v>-1468896</v>
      </c>
      <c r="AM85" s="91">
        <f t="shared" si="26"/>
        <v>-1910800</v>
      </c>
      <c r="AN85" s="91">
        <f t="shared" si="27"/>
        <v>-29557376</v>
      </c>
      <c r="AO85" s="91">
        <f t="shared" si="28"/>
        <v>-69528</v>
      </c>
      <c r="AP85" s="91">
        <f t="shared" si="29"/>
        <v>-73.091075700000005</v>
      </c>
      <c r="AQ85" s="92">
        <f t="shared" si="30"/>
        <v>-74.759788400000005</v>
      </c>
      <c r="AR85" s="92">
        <f t="shared" si="31"/>
        <v>-30.656571899999999</v>
      </c>
      <c r="AS85" s="92">
        <f t="shared" si="32"/>
        <v>-39.080889999999997</v>
      </c>
      <c r="AT85" s="92">
        <f t="shared" si="33"/>
        <v>-39.163961800000003</v>
      </c>
      <c r="AU85" s="92">
        <f t="shared" si="34"/>
        <v>-48.037755900000001</v>
      </c>
      <c r="AV85" s="93">
        <f t="shared" si="35"/>
        <v>-29.541397</v>
      </c>
    </row>
    <row r="86" spans="33:48" x14ac:dyDescent="0.15">
      <c r="AG86" s="91" t="e">
        <f t="shared" si="20"/>
        <v>#VALUE!</v>
      </c>
      <c r="AH86" s="91" t="e">
        <f t="shared" si="21"/>
        <v>#VALUE!</v>
      </c>
      <c r="AI86" s="91">
        <f t="shared" si="22"/>
        <v>-17229088</v>
      </c>
      <c r="AJ86" s="91">
        <f t="shared" si="23"/>
        <v>-58646992</v>
      </c>
      <c r="AK86" s="91">
        <f t="shared" si="24"/>
        <v>-5995856</v>
      </c>
      <c r="AL86" s="91">
        <f t="shared" si="25"/>
        <v>-1468896</v>
      </c>
      <c r="AM86" s="91">
        <f t="shared" si="26"/>
        <v>-5928776</v>
      </c>
      <c r="AN86" s="91">
        <f t="shared" si="27"/>
        <v>-45183936</v>
      </c>
      <c r="AO86" s="91">
        <f t="shared" si="28"/>
        <v>-69528</v>
      </c>
      <c r="AP86" s="91">
        <f t="shared" si="29"/>
        <v>-75.681110099999998</v>
      </c>
      <c r="AQ86" s="92">
        <f t="shared" si="30"/>
        <v>-77.691806799999995</v>
      </c>
      <c r="AR86" s="92">
        <f t="shared" si="31"/>
        <v>-31.300064899999999</v>
      </c>
      <c r="AS86" s="92">
        <f t="shared" si="32"/>
        <v>-39.173729000000002</v>
      </c>
      <c r="AT86" s="92">
        <f t="shared" si="33"/>
        <v>-39.316242099999997</v>
      </c>
      <c r="AU86" s="92">
        <f t="shared" si="34"/>
        <v>-49.7850246</v>
      </c>
      <c r="AV86" s="93">
        <f t="shared" si="35"/>
        <v>-30.355465899999999</v>
      </c>
    </row>
    <row r="87" spans="33:48" x14ac:dyDescent="0.15">
      <c r="AG87" s="91" t="e">
        <f t="shared" si="20"/>
        <v>#VALUE!</v>
      </c>
      <c r="AH87" s="91" t="e">
        <f t="shared" si="21"/>
        <v>#VALUE!</v>
      </c>
      <c r="AI87" s="91">
        <f t="shared" si="22"/>
        <v>-34467088</v>
      </c>
      <c r="AJ87" s="91">
        <f t="shared" si="23"/>
        <v>-80646896</v>
      </c>
      <c r="AK87" s="91">
        <f t="shared" si="24"/>
        <v>-12315504</v>
      </c>
      <c r="AL87" s="91">
        <f t="shared" si="25"/>
        <v>-3332128</v>
      </c>
      <c r="AM87" s="91">
        <f t="shared" si="26"/>
        <v>-6204000</v>
      </c>
      <c r="AN87" s="91">
        <f t="shared" si="27"/>
        <v>-58724232</v>
      </c>
      <c r="AO87" s="91">
        <f t="shared" si="28"/>
        <v>-71032</v>
      </c>
      <c r="AP87" s="91">
        <f t="shared" si="29"/>
        <v>-78.494154300000005</v>
      </c>
      <c r="AQ87" s="92">
        <f t="shared" si="30"/>
        <v>-81.0552359</v>
      </c>
      <c r="AR87" s="92">
        <f t="shared" si="31"/>
        <v>-31.7633531</v>
      </c>
      <c r="AS87" s="92">
        <f t="shared" si="32"/>
        <v>-39.268158399999997</v>
      </c>
      <c r="AT87" s="92">
        <f t="shared" si="33"/>
        <v>-39.485111500000002</v>
      </c>
      <c r="AU87" s="92">
        <f t="shared" si="34"/>
        <v>-51.341768000000002</v>
      </c>
      <c r="AV87" s="93">
        <f t="shared" si="35"/>
        <v>-31.018489500000001</v>
      </c>
    </row>
    <row r="88" spans="33:48" x14ac:dyDescent="0.15">
      <c r="AG88" s="91" t="e">
        <f t="shared" si="20"/>
        <v>#VALUE!</v>
      </c>
      <c r="AH88" s="91" t="e">
        <f t="shared" si="21"/>
        <v>#VALUE!</v>
      </c>
      <c r="AI88" s="91">
        <f t="shared" si="22"/>
        <v>-51701408</v>
      </c>
      <c r="AJ88" s="91">
        <f t="shared" si="23"/>
        <v>-118666048</v>
      </c>
      <c r="AK88" s="91">
        <f t="shared" si="24"/>
        <v>-17632680</v>
      </c>
      <c r="AL88" s="91">
        <f t="shared" si="25"/>
        <v>-4699760</v>
      </c>
      <c r="AM88" s="91">
        <f t="shared" si="26"/>
        <v>-5186592</v>
      </c>
      <c r="AN88" s="91">
        <f t="shared" si="27"/>
        <v>-91075088</v>
      </c>
      <c r="AO88" s="91">
        <f t="shared" si="28"/>
        <v>-71928</v>
      </c>
      <c r="AP88" s="91">
        <f t="shared" si="29"/>
        <v>-80.303393099999994</v>
      </c>
      <c r="AQ88" s="92">
        <f t="shared" si="30"/>
        <v>-83.313741199999996</v>
      </c>
      <c r="AR88" s="92">
        <f t="shared" si="31"/>
        <v>-32.501021700000003</v>
      </c>
      <c r="AS88" s="92">
        <f t="shared" si="32"/>
        <v>-39.3440157</v>
      </c>
      <c r="AT88" s="92">
        <f t="shared" si="33"/>
        <v>-39.610099400000003</v>
      </c>
      <c r="AU88" s="92">
        <f t="shared" si="34"/>
        <v>-52.484734699999997</v>
      </c>
      <c r="AV88" s="93">
        <f t="shared" si="35"/>
        <v>-31.788602699999998</v>
      </c>
    </row>
    <row r="89" spans="33:48" x14ac:dyDescent="0.15">
      <c r="AG89" s="91" t="e">
        <f t="shared" si="20"/>
        <v>#VALUE!</v>
      </c>
      <c r="AH89" s="91" t="e">
        <f t="shared" si="21"/>
        <v>#VALUE!</v>
      </c>
      <c r="AI89" s="91">
        <f t="shared" si="22"/>
        <v>-8626496</v>
      </c>
      <c r="AJ89" s="91">
        <f t="shared" si="23"/>
        <v>-30721560</v>
      </c>
      <c r="AK89" s="91">
        <f t="shared" si="24"/>
        <v>-3281376</v>
      </c>
      <c r="AL89" s="91">
        <f t="shared" si="25"/>
        <v>-335480</v>
      </c>
      <c r="AM89" s="91">
        <f t="shared" si="26"/>
        <v>-3576328</v>
      </c>
      <c r="AN89" s="91">
        <f t="shared" si="27"/>
        <v>-23457720</v>
      </c>
      <c r="AO89" s="91">
        <f t="shared" si="28"/>
        <v>-70656</v>
      </c>
      <c r="AP89" s="91">
        <f t="shared" si="29"/>
        <v>-73.102271299999998</v>
      </c>
      <c r="AQ89" s="92">
        <f t="shared" si="30"/>
        <v>-74.514537599999997</v>
      </c>
      <c r="AR89" s="92">
        <f t="shared" si="31"/>
        <v>-33.279802500000002</v>
      </c>
      <c r="AS89" s="92">
        <f t="shared" si="32"/>
        <v>-42.557037999999999</v>
      </c>
      <c r="AT89" s="92">
        <f t="shared" si="33"/>
        <v>-42.8764763</v>
      </c>
      <c r="AU89" s="92">
        <f t="shared" si="34"/>
        <v>-48.494621700000003</v>
      </c>
      <c r="AV89" s="93">
        <f t="shared" si="35"/>
        <v>-32.267146599999997</v>
      </c>
    </row>
    <row r="90" spans="33:48" x14ac:dyDescent="0.15">
      <c r="AG90" s="91" t="e">
        <f t="shared" si="20"/>
        <v>#VALUE!</v>
      </c>
      <c r="AH90" s="91" t="e">
        <f t="shared" si="21"/>
        <v>#VALUE!</v>
      </c>
      <c r="AI90" s="91">
        <f t="shared" si="22"/>
        <v>-17259760</v>
      </c>
      <c r="AJ90" s="91">
        <f t="shared" si="23"/>
        <v>-40802752</v>
      </c>
      <c r="AK90" s="91">
        <f t="shared" si="24"/>
        <v>-6221480</v>
      </c>
      <c r="AL90" s="91">
        <f t="shared" si="25"/>
        <v>-1208632</v>
      </c>
      <c r="AM90" s="91">
        <f t="shared" si="26"/>
        <v>-4431984</v>
      </c>
      <c r="AN90" s="91">
        <f t="shared" si="27"/>
        <v>-28871128</v>
      </c>
      <c r="AO90" s="91">
        <f t="shared" si="28"/>
        <v>-69528</v>
      </c>
      <c r="AP90" s="91">
        <f t="shared" si="29"/>
        <v>-75.844638399999994</v>
      </c>
      <c r="AQ90" s="92">
        <f t="shared" si="30"/>
        <v>-77.5711656</v>
      </c>
      <c r="AR90" s="92">
        <f t="shared" si="31"/>
        <v>-33.642856799999997</v>
      </c>
      <c r="AS90" s="92">
        <f t="shared" si="32"/>
        <v>-42.740057</v>
      </c>
      <c r="AT90" s="92">
        <f t="shared" si="33"/>
        <v>-43.160316600000002</v>
      </c>
      <c r="AU90" s="92">
        <f t="shared" si="34"/>
        <v>-49.9954082</v>
      </c>
      <c r="AV90" s="93">
        <f t="shared" si="35"/>
        <v>-32.9023878</v>
      </c>
    </row>
    <row r="91" spans="33:48" x14ac:dyDescent="0.15">
      <c r="AG91" s="91" t="e">
        <f t="shared" si="20"/>
        <v>#VALUE!</v>
      </c>
      <c r="AH91" s="91" t="e">
        <f t="shared" si="21"/>
        <v>#VALUE!</v>
      </c>
      <c r="AI91" s="91">
        <f t="shared" si="22"/>
        <v>-34522416</v>
      </c>
      <c r="AJ91" s="91">
        <f t="shared" si="23"/>
        <v>-62804600</v>
      </c>
      <c r="AK91" s="91">
        <f t="shared" si="24"/>
        <v>-11229592</v>
      </c>
      <c r="AL91" s="91">
        <f t="shared" si="25"/>
        <v>-2246472</v>
      </c>
      <c r="AM91" s="91">
        <f t="shared" si="26"/>
        <v>-3398336</v>
      </c>
      <c r="AN91" s="91">
        <f t="shared" si="27"/>
        <v>-45859112</v>
      </c>
      <c r="AO91" s="91">
        <f t="shared" si="28"/>
        <v>-71088</v>
      </c>
      <c r="AP91" s="91">
        <f t="shared" si="29"/>
        <v>-78.041046600000001</v>
      </c>
      <c r="AQ91" s="92">
        <f t="shared" si="30"/>
        <v>-80.139003599999995</v>
      </c>
      <c r="AR91" s="92">
        <f t="shared" si="31"/>
        <v>-34.293020300000002</v>
      </c>
      <c r="AS91" s="92">
        <f t="shared" si="32"/>
        <v>-42.891663000000001</v>
      </c>
      <c r="AT91" s="92">
        <f t="shared" si="33"/>
        <v>-43.391042400000003</v>
      </c>
      <c r="AU91" s="92">
        <f t="shared" si="34"/>
        <v>-51.1396978</v>
      </c>
      <c r="AV91" s="93">
        <f t="shared" si="35"/>
        <v>-33.622965700000002</v>
      </c>
    </row>
    <row r="92" spans="33:48" x14ac:dyDescent="0.15">
      <c r="AG92" s="91" t="e">
        <f t="shared" si="20"/>
        <v>#VALUE!</v>
      </c>
      <c r="AH92" s="91" t="e">
        <f t="shared" si="21"/>
        <v>#VALUE!</v>
      </c>
      <c r="AI92" s="91">
        <f t="shared" si="22"/>
        <v>-34522416</v>
      </c>
      <c r="AJ92" s="91">
        <f t="shared" si="23"/>
        <v>-82251008</v>
      </c>
      <c r="AK92" s="91">
        <f t="shared" si="24"/>
        <v>-11229592</v>
      </c>
      <c r="AL92" s="91">
        <f t="shared" si="25"/>
        <v>-2246472</v>
      </c>
      <c r="AM92" s="91">
        <f t="shared" si="26"/>
        <v>-7116016</v>
      </c>
      <c r="AN92" s="91">
        <f t="shared" si="27"/>
        <v>-61587920</v>
      </c>
      <c r="AO92" s="91">
        <f t="shared" si="28"/>
        <v>-71008</v>
      </c>
      <c r="AP92" s="91">
        <f t="shared" si="29"/>
        <v>-79.232073499999998</v>
      </c>
      <c r="AQ92" s="92">
        <f t="shared" si="30"/>
        <v>-81.620679199999998</v>
      </c>
      <c r="AR92" s="92">
        <f t="shared" si="31"/>
        <v>-34.356505599999998</v>
      </c>
      <c r="AS92" s="92">
        <f t="shared" si="32"/>
        <v>-43.0225358</v>
      </c>
      <c r="AT92" s="92">
        <f t="shared" si="33"/>
        <v>-43.563686199999999</v>
      </c>
      <c r="AU92" s="92">
        <f t="shared" si="34"/>
        <v>-51.9596746</v>
      </c>
      <c r="AV92" s="93">
        <f t="shared" si="35"/>
        <v>-33.772693500000003</v>
      </c>
    </row>
    <row r="93" spans="33:48" ht="15.75" customHeight="1" thickBot="1" x14ac:dyDescent="0.2">
      <c r="AG93" s="94" t="e">
        <f t="shared" si="20"/>
        <v>#VALUE!</v>
      </c>
      <c r="AH93" s="94" t="e">
        <f t="shared" si="21"/>
        <v>#VALUE!</v>
      </c>
      <c r="AI93" s="94">
        <f t="shared" si="22"/>
        <v>-51785168</v>
      </c>
      <c r="AJ93" s="94">
        <f t="shared" si="23"/>
        <v>-123772944</v>
      </c>
      <c r="AK93" s="94">
        <f t="shared" si="24"/>
        <v>-15971496</v>
      </c>
      <c r="AL93" s="94">
        <f t="shared" si="25"/>
        <v>-3224360</v>
      </c>
      <c r="AM93" s="94">
        <f t="shared" si="26"/>
        <v>-6353368</v>
      </c>
      <c r="AN93" s="94">
        <f t="shared" si="27"/>
        <v>-98151872</v>
      </c>
      <c r="AO93" s="94">
        <f t="shared" si="28"/>
        <v>-71848</v>
      </c>
      <c r="AP93" s="94">
        <f t="shared" si="29"/>
        <v>-80.839943000000005</v>
      </c>
      <c r="AQ93" s="95">
        <f t="shared" si="30"/>
        <v>-83.633063100000001</v>
      </c>
      <c r="AR93" s="95">
        <f t="shared" si="31"/>
        <v>-34.936986699999999</v>
      </c>
      <c r="AS93" s="95">
        <f t="shared" si="32"/>
        <v>-43.129041700000002</v>
      </c>
      <c r="AT93" s="95">
        <f t="shared" si="33"/>
        <v>-43.723633499999998</v>
      </c>
      <c r="AU93" s="95">
        <f t="shared" si="34"/>
        <v>-53.007232799999997</v>
      </c>
      <c r="AV93" s="96">
        <f t="shared" si="35"/>
        <v>-34.375315100000002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45:AZ48">
    <cfRule type="cellIs" dxfId="103" priority="67" operator="greaterThanOrEqual">
      <formula>0.03</formula>
    </cfRule>
    <cfRule type="cellIs" dxfId="102" priority="68" operator="lessThanOrEqual">
      <formula>-0.03</formula>
    </cfRule>
  </conditionalFormatting>
  <conditionalFormatting sqref="BA45:BA48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BB45:BB48">
    <cfRule type="cellIs" dxfId="99" priority="71" operator="greaterThanOrEqual">
      <formula>0.03</formula>
    </cfRule>
    <cfRule type="cellIs" dxfId="98" priority="72" operator="lessThanOrEqual">
      <formula>-0.03</formula>
    </cfRule>
  </conditionalFormatting>
  <conditionalFormatting sqref="BC45:BC48">
    <cfRule type="cellIs" dxfId="97" priority="73" operator="greaterThanOrEqual">
      <formula>0.03</formula>
    </cfRule>
    <cfRule type="cellIs" dxfId="96" priority="74" operator="lessThanOrEqual">
      <formula>-0.03</formula>
    </cfRule>
  </conditionalFormatting>
  <conditionalFormatting sqref="BD45:BD48">
    <cfRule type="cellIs" dxfId="95" priority="65" operator="greaterThanOrEqual">
      <formula>0.03</formula>
    </cfRule>
    <cfRule type="cellIs" dxfId="94" priority="66" operator="lessThanOrEqual">
      <formula>-0.03</formula>
    </cfRule>
  </conditionalFormatting>
  <conditionalFormatting sqref="BE45:BE48">
    <cfRule type="cellIs" dxfId="93" priority="75" operator="greaterThanOrEqual">
      <formula>0.03</formula>
    </cfRule>
    <cfRule type="cellIs" dxfId="92" priority="76" operator="lessThanOrEqual">
      <formula>-0.03</formula>
    </cfRule>
  </conditionalFormatting>
  <conditionalFormatting sqref="BF45:BF48">
    <cfRule type="cellIs" dxfId="91" priority="69" operator="greaterThanOrEqual">
      <formula>0.03</formula>
    </cfRule>
    <cfRule type="cellIs" dxfId="90" priority="70" operator="lessThanOrEqual">
      <formula>-0.03</formula>
    </cfRule>
  </conditionalFormatting>
  <conditionalFormatting sqref="J5:J45">
    <cfRule type="expression" dxfId="89" priority="62">
      <formula>OR(J5 &lt; H5 * 0.9, J5 &gt; H5)</formula>
    </cfRule>
  </conditionalFormatting>
  <conditionalFormatting sqref="AE5:AE45">
    <cfRule type="expression" dxfId="88" priority="61">
      <formula>OR(AE5 &lt; H5 * 0.9, AE5 &gt; H5)</formula>
    </cfRule>
  </conditionalFormatting>
  <conditionalFormatting sqref="BP5:BP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Q5:BQ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R5:BR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BS5:BS48">
    <cfRule type="cellIs" dxfId="81" priority="53" operator="greaterThanOrEqual">
      <formula>0.001</formula>
    </cfRule>
    <cfRule type="cellIs" dxfId="80" priority="54" operator="lessThanOrEqual">
      <formula>-0.001</formula>
    </cfRule>
  </conditionalFormatting>
  <conditionalFormatting sqref="AG54:AQ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AR54:AV93">
    <cfRule type="cellIs" dxfId="77" priority="49" operator="lessThan">
      <formula>0</formula>
    </cfRule>
    <cfRule type="cellIs" dxfId="76" priority="50" operator="greaterThan">
      <formula>0</formula>
    </cfRule>
  </conditionalFormatting>
  <conditionalFormatting sqref="L5:L44">
    <cfRule type="expression" dxfId="75" priority="46">
      <formula>NOT(L5=O5)</formula>
    </cfRule>
  </conditionalFormatting>
  <conditionalFormatting sqref="AG5:AG44">
    <cfRule type="expression" dxfId="74" priority="45">
      <formula>NOT(AG5=AJ5)</formula>
    </cfRule>
  </conditionalFormatting>
  <conditionalFormatting sqref="BH45:BH48">
    <cfRule type="cellIs" dxfId="73" priority="35" operator="greaterThanOrEqual">
      <formula>0.03</formula>
    </cfRule>
    <cfRule type="cellIs" dxfId="72" priority="36" operator="lessThanOrEqual">
      <formula>-0.03</formula>
    </cfRule>
  </conditionalFormatting>
  <conditionalFormatting sqref="BI45:BI48">
    <cfRule type="cellIs" dxfId="71" priority="31" operator="greaterThanOrEqual">
      <formula>0.03</formula>
    </cfRule>
    <cfRule type="cellIs" dxfId="70" priority="32" operator="lessThanOrEqual">
      <formula>-0.03</formula>
    </cfRule>
  </conditionalFormatting>
  <conditionalFormatting sqref="BJ45:BJ48">
    <cfRule type="cellIs" dxfId="69" priority="39" operator="greaterThanOrEqual">
      <formula>0.03</formula>
    </cfRule>
    <cfRule type="cellIs" dxfId="68" priority="40" operator="lessThanOrEqual">
      <formula>-0.03</formula>
    </cfRule>
  </conditionalFormatting>
  <conditionalFormatting sqref="BK45:BK48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L45:BL48">
    <cfRule type="cellIs" dxfId="65" priority="33" operator="greaterThanOrEqual">
      <formula>0.03</formula>
    </cfRule>
    <cfRule type="cellIs" dxfId="64" priority="34" operator="lessThanOrEqual">
      <formula>-0.03</formula>
    </cfRule>
  </conditionalFormatting>
  <conditionalFormatting sqref="BM45:BM48">
    <cfRule type="cellIs" dxfId="63" priority="43" operator="greaterThanOrEqual">
      <formula>0.03</formula>
    </cfRule>
    <cfRule type="cellIs" dxfId="62" priority="44" operator="lessThanOrEqual">
      <formula>-0.03</formula>
    </cfRule>
  </conditionalFormatting>
  <conditionalFormatting sqref="BN45:BN48">
    <cfRule type="cellIs" dxfId="61" priority="37" operator="greaterThanOrEqual">
      <formula>0.03</formula>
    </cfRule>
    <cfRule type="cellIs" dxfId="60" priority="38" operator="lessThanOrEqual">
      <formula>-0.03</formula>
    </cfRule>
  </conditionalFormatting>
  <conditionalFormatting sqref="BT5:BT48">
    <cfRule type="cellIs" dxfId="59" priority="29" operator="greaterThanOrEqual">
      <formula>0.001</formula>
    </cfRule>
    <cfRule type="cellIs" dxfId="58" priority="30" operator="lessThanOrEqual">
      <formula>-0.001</formula>
    </cfRule>
  </conditionalFormatting>
  <conditionalFormatting sqref="AZ5:AZ44">
    <cfRule type="cellIs" dxfId="57" priority="15" operator="greaterThanOrEqual">
      <formula>0.03</formula>
    </cfRule>
    <cfRule type="cellIs" dxfId="56" priority="16" operator="lessThanOrEqual">
      <formula>-0.03</formula>
    </cfRule>
  </conditionalFormatting>
  <conditionalFormatting sqref="BA5:BA44">
    <cfRule type="cellIs" dxfId="55" priority="17" operator="greaterThanOrEqual">
      <formula>0.03</formula>
    </cfRule>
    <cfRule type="cellIs" dxfId="54" priority="18" operator="lessThanOrEqual">
      <formula>-0.03</formula>
    </cfRule>
  </conditionalFormatting>
  <conditionalFormatting sqref="BB5:BB44">
    <cfRule type="cellIs" dxfId="53" priority="25" operator="greaterThanOrEqual">
      <formula>0.03</formula>
    </cfRule>
    <cfRule type="cellIs" dxfId="52" priority="26" operator="lessThanOrEqual">
      <formula>-0.03</formula>
    </cfRule>
  </conditionalFormatting>
  <conditionalFormatting sqref="BC5:BC44">
    <cfRule type="cellIs" dxfId="51" priority="27" operator="greaterThanOrEqual">
      <formula>0.03</formula>
    </cfRule>
    <cfRule type="cellIs" dxfId="50" priority="28" operator="lessThanOrEqual">
      <formula>-0.03</formula>
    </cfRule>
  </conditionalFormatting>
  <conditionalFormatting sqref="BD5:BD44">
    <cfRule type="cellIs" dxfId="49" priority="19" operator="greaterThanOrEqual">
      <formula>0.03</formula>
    </cfRule>
    <cfRule type="cellIs" dxfId="48" priority="20" operator="lessThanOrEqual">
      <formula>-0.03</formula>
    </cfRule>
  </conditionalFormatting>
  <conditionalFormatting sqref="BE5:BE44">
    <cfRule type="cellIs" dxfId="47" priority="21" operator="greaterThanOrEqual">
      <formula>0.03</formula>
    </cfRule>
    <cfRule type="cellIs" dxfId="46" priority="22" operator="lessThanOrEqual">
      <formula>-0.03</formula>
    </cfRule>
  </conditionalFormatting>
  <conditionalFormatting sqref="BF5:BF4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H5:BH44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I5:BI44">
    <cfRule type="cellIs" dxfId="41" priority="1" operator="greaterThanOrEqual">
      <formula>0.03</formula>
    </cfRule>
    <cfRule type="cellIs" dxfId="40" priority="2" operator="lessThanOrEqual">
      <formula>-0.03</formula>
    </cfRule>
  </conditionalFormatting>
  <conditionalFormatting sqref="BJ5:BJ44">
    <cfRule type="cellIs" dxfId="39" priority="9" operator="greaterThanOrEqual">
      <formula>0.03</formula>
    </cfRule>
    <cfRule type="cellIs" dxfId="38" priority="10" operator="lessThanOrEqual">
      <formula>-0.03</formula>
    </cfRule>
  </conditionalFormatting>
  <conditionalFormatting sqref="BK5:BK44">
    <cfRule type="cellIs" dxfId="37" priority="11" operator="greaterThanOrEqual">
      <formula>0.03</formula>
    </cfRule>
    <cfRule type="cellIs" dxfId="36" priority="12" operator="lessThanOrEqual">
      <formula>-0.03</formula>
    </cfRule>
  </conditionalFormatting>
  <conditionalFormatting sqref="BL5:BL44">
    <cfRule type="cellIs" dxfId="35" priority="3" operator="greaterThanOrEqual">
      <formula>0.03</formula>
    </cfRule>
    <cfRule type="cellIs" dxfId="34" priority="4" operator="lessThanOrEqual">
      <formula>-0.03</formula>
    </cfRule>
  </conditionalFormatting>
  <conditionalFormatting sqref="BM5:BM44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N5:BN44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7"/>
  <sheetViews>
    <sheetView workbookViewId="0"/>
  </sheetViews>
  <sheetFormatPr defaultRowHeight="13.5" x14ac:dyDescent="0.15"/>
  <sheetData>
    <row r="1" spans="1:16" ht="15.75" customHeight="1" thickBot="1" x14ac:dyDescent="0.2">
      <c r="C1" s="124" t="s">
        <v>332</v>
      </c>
      <c r="D1" s="125"/>
      <c r="E1" s="125"/>
      <c r="F1" s="125"/>
      <c r="G1" s="125"/>
      <c r="H1" s="125"/>
      <c r="I1" s="126"/>
      <c r="J1" s="124" t="s">
        <v>367</v>
      </c>
      <c r="K1" s="125"/>
      <c r="L1" s="125"/>
      <c r="M1" s="125"/>
      <c r="N1" s="125"/>
      <c r="O1" s="125"/>
      <c r="P1" s="126"/>
    </row>
    <row r="2" spans="1:16" ht="15.75" customHeight="1" thickBot="1" x14ac:dyDescent="0.2">
      <c r="A2" s="127" t="s">
        <v>149</v>
      </c>
      <c r="B2" s="129" t="s">
        <v>150</v>
      </c>
      <c r="C2" s="131" t="s">
        <v>15</v>
      </c>
      <c r="D2" s="132"/>
      <c r="E2" s="132"/>
      <c r="F2" s="132"/>
      <c r="G2" s="132"/>
      <c r="H2" s="133" t="s">
        <v>16</v>
      </c>
      <c r="I2" s="134"/>
      <c r="J2" s="131" t="s">
        <v>15</v>
      </c>
      <c r="K2" s="132"/>
      <c r="L2" s="132"/>
      <c r="M2" s="132"/>
      <c r="N2" s="132"/>
      <c r="O2" s="133" t="s">
        <v>16</v>
      </c>
      <c r="P2" s="134"/>
    </row>
    <row r="3" spans="1:16" ht="30.75" customHeight="1" thickBot="1" x14ac:dyDescent="0.2">
      <c r="A3" s="128"/>
      <c r="B3" s="130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15">
      <c r="A4" s="63" t="s">
        <v>175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1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15">
      <c r="A6" s="63" t="s">
        <v>176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1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15">
      <c r="A8" s="63" t="s">
        <v>177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1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1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2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x14ac:dyDescent="0.15">
      <c r="A12" s="139" t="str">
        <f>Summary!B19</f>
        <v>Cat1-A average</v>
      </c>
      <c r="B12" s="136"/>
      <c r="C12" s="75" t="e">
        <f>Summary!C19</f>
        <v>#DIV/0!</v>
      </c>
      <c r="D12" s="75" t="e">
        <f>Summary!D19</f>
        <v>#DIV/0!</v>
      </c>
      <c r="E12" s="75" t="e">
        <f>Summary!E19</f>
        <v>#DIV/0!</v>
      </c>
      <c r="F12" s="75" t="e">
        <f>Summary!F19</f>
        <v>#DIV/0!</v>
      </c>
      <c r="G12" s="75" t="e">
        <f>Summary!G19</f>
        <v>#DIV/0!</v>
      </c>
      <c r="H12" s="75" t="e">
        <f>Summary!H19</f>
        <v>#DIV/0!</v>
      </c>
      <c r="I12" s="75" t="e">
        <f>Summary!I19</f>
        <v>#DIV/0!</v>
      </c>
      <c r="J12" s="76" t="e">
        <f>Summary!C31</f>
        <v>#DIV/0!</v>
      </c>
      <c r="K12" s="77" t="e">
        <f>Summary!D31</f>
        <v>#DIV/0!</v>
      </c>
      <c r="L12" s="77" t="e">
        <f>Summary!E31</f>
        <v>#DIV/0!</v>
      </c>
      <c r="M12" s="77" t="e">
        <f>Summary!F31</f>
        <v>#DIV/0!</v>
      </c>
      <c r="N12" s="77" t="e">
        <f>Summary!G31</f>
        <v>#DIV/0!</v>
      </c>
      <c r="O12" s="77" t="e">
        <f>Summary!H31</f>
        <v>#DIV/0!</v>
      </c>
      <c r="P12" s="78" t="e">
        <f>Summary!I31</f>
        <v>#DIV/0!</v>
      </c>
    </row>
    <row r="13" spans="1:16" x14ac:dyDescent="0.15">
      <c r="A13" s="140" t="str">
        <f>Summary!B20</f>
        <v>Cat1-B average</v>
      </c>
      <c r="B13" s="141"/>
      <c r="C13" s="79" t="e">
        <f>Summary!C20</f>
        <v>#DIV/0!</v>
      </c>
      <c r="D13" s="79" t="e">
        <f>Summary!D20</f>
        <v>#DIV/0!</v>
      </c>
      <c r="E13" s="79" t="e">
        <f>Summary!E20</f>
        <v>#DIV/0!</v>
      </c>
      <c r="F13" s="79" t="e">
        <f>Summary!F20</f>
        <v>#DIV/0!</v>
      </c>
      <c r="G13" s="79" t="e">
        <f>Summary!G20</f>
        <v>#DIV/0!</v>
      </c>
      <c r="H13" s="79" t="e">
        <f>Summary!H20</f>
        <v>#DIV/0!</v>
      </c>
      <c r="I13" s="79" t="e">
        <f>Summary!I20</f>
        <v>#DIV/0!</v>
      </c>
      <c r="J13" s="80" t="e">
        <f>Summary!C32</f>
        <v>#DIV/0!</v>
      </c>
      <c r="K13" s="79" t="e">
        <f>Summary!D32</f>
        <v>#DIV/0!</v>
      </c>
      <c r="L13" s="79" t="e">
        <f>Summary!E32</f>
        <v>#DIV/0!</v>
      </c>
      <c r="M13" s="79" t="e">
        <f>Summary!F32</f>
        <v>#DIV/0!</v>
      </c>
      <c r="N13" s="79" t="e">
        <f>Summary!G32</f>
        <v>#DIV/0!</v>
      </c>
      <c r="O13" s="79" t="e">
        <f>Summary!H32</f>
        <v>#DIV/0!</v>
      </c>
      <c r="P13" s="81" t="e">
        <f>Summary!I32</f>
        <v>#DIV/0!</v>
      </c>
    </row>
    <row r="14" spans="1:16" ht="15.75" customHeight="1" thickBot="1" x14ac:dyDescent="0.2">
      <c r="A14" s="142" t="str">
        <f>Summary!B21</f>
        <v>Cat1-C average</v>
      </c>
      <c r="B14" s="141"/>
      <c r="C14" s="75" t="e">
        <f>Summary!C21</f>
        <v>#DIV/0!</v>
      </c>
      <c r="D14" s="75" t="e">
        <f>Summary!D21</f>
        <v>#DIV/0!</v>
      </c>
      <c r="E14" s="75" t="e">
        <f>Summary!E21</f>
        <v>#DIV/0!</v>
      </c>
      <c r="F14" s="75" t="e">
        <f>Summary!F21</f>
        <v>#DIV/0!</v>
      </c>
      <c r="G14" s="75" t="e">
        <f>Summary!G21</f>
        <v>#DIV/0!</v>
      </c>
      <c r="H14" s="75" t="e">
        <f>Summary!H21</f>
        <v>#DIV/0!</v>
      </c>
      <c r="I14" s="75" t="e">
        <f>Summary!I21</f>
        <v>#DIV/0!</v>
      </c>
      <c r="J14" s="82" t="e">
        <f>Summary!C33</f>
        <v>#DIV/0!</v>
      </c>
      <c r="K14" s="75" t="e">
        <f>Summary!D33</f>
        <v>#DIV/0!</v>
      </c>
      <c r="L14" s="75" t="e">
        <f>Summary!E33</f>
        <v>#DIV/0!</v>
      </c>
      <c r="M14" s="75" t="e">
        <f>Summary!F33</f>
        <v>#DIV/0!</v>
      </c>
      <c r="N14" s="75" t="e">
        <f>Summary!G33</f>
        <v>#DIV/0!</v>
      </c>
      <c r="O14" s="75" t="e">
        <f>Summary!H33</f>
        <v>#DIV/0!</v>
      </c>
      <c r="P14" s="83" t="e">
        <f>Summary!I33</f>
        <v>#DIV/0!</v>
      </c>
    </row>
    <row r="15" spans="1:16" ht="15.75" customHeight="1" thickBot="1" x14ac:dyDescent="0.2">
      <c r="A15" s="143" t="str">
        <f>Summary!B22</f>
        <v>Overall average</v>
      </c>
      <c r="B15" s="126"/>
      <c r="C15" s="84" t="e">
        <f>Summary!C22</f>
        <v>#DIV/0!</v>
      </c>
      <c r="D15" s="84" t="e">
        <f>Summary!D22</f>
        <v>#DIV/0!</v>
      </c>
      <c r="E15" s="84" t="e">
        <f>Summary!E22</f>
        <v>#DIV/0!</v>
      </c>
      <c r="F15" s="84" t="e">
        <f>Summary!F22</f>
        <v>#DIV/0!</v>
      </c>
      <c r="G15" s="84" t="e">
        <f>Summary!G22</f>
        <v>#DIV/0!</v>
      </c>
      <c r="H15" s="84" t="e">
        <f>Summary!H22</f>
        <v>#DIV/0!</v>
      </c>
      <c r="I15" s="84" t="e">
        <f>Summary!I22</f>
        <v>#DIV/0!</v>
      </c>
      <c r="J15" s="85" t="e">
        <f>Summary!C34</f>
        <v>#DIV/0!</v>
      </c>
      <c r="K15" s="84" t="e">
        <f>Summary!D34</f>
        <v>#DIV/0!</v>
      </c>
      <c r="L15" s="84" t="e">
        <f>Summary!E34</f>
        <v>#DIV/0!</v>
      </c>
      <c r="M15" s="84" t="e">
        <f>Summary!F34</f>
        <v>#DIV/0!</v>
      </c>
      <c r="N15" s="84" t="e">
        <f>Summary!G34</f>
        <v>#DIV/0!</v>
      </c>
      <c r="O15" s="84" t="e">
        <f>Summary!H34</f>
        <v>#DIV/0!</v>
      </c>
      <c r="P15" s="86" t="e">
        <f>Summary!I34</f>
        <v>#DIV/0!</v>
      </c>
    </row>
    <row r="16" spans="1:16" x14ac:dyDescent="0.15">
      <c r="A16" s="142" t="str">
        <f>Summary!B23</f>
        <v>Avg. Enc Time [%]</v>
      </c>
      <c r="B16" s="141"/>
      <c r="C16" s="135">
        <f>Summary!C23</f>
        <v>0</v>
      </c>
      <c r="D16" s="132"/>
      <c r="E16" s="132"/>
      <c r="F16" s="132"/>
      <c r="G16" s="132"/>
      <c r="H16" s="132"/>
      <c r="I16" s="136"/>
      <c r="J16" s="135">
        <f>Summary!C35</f>
        <v>0</v>
      </c>
      <c r="K16" s="132"/>
      <c r="L16" s="132"/>
      <c r="M16" s="132"/>
      <c r="N16" s="132"/>
      <c r="O16" s="132"/>
      <c r="P16" s="136"/>
    </row>
    <row r="17" spans="1:16" ht="15.75" customHeight="1" thickBot="1" x14ac:dyDescent="0.2">
      <c r="A17" s="137" t="str">
        <f>Summary!B24</f>
        <v>Avg. Dec Time [%]</v>
      </c>
      <c r="B17" s="130"/>
      <c r="C17" s="138">
        <f>Summary!C24</f>
        <v>0</v>
      </c>
      <c r="D17" s="108"/>
      <c r="E17" s="108"/>
      <c r="F17" s="108"/>
      <c r="G17" s="108"/>
      <c r="H17" s="108"/>
      <c r="I17" s="130"/>
      <c r="J17" s="138">
        <f>Summary!C36</f>
        <v>0</v>
      </c>
      <c r="K17" s="108"/>
      <c r="L17" s="108"/>
      <c r="M17" s="108"/>
      <c r="N17" s="108"/>
      <c r="O17" s="108"/>
      <c r="P17" s="130"/>
    </row>
  </sheetData>
  <mergeCells count="18">
    <mergeCell ref="J16:P16"/>
    <mergeCell ref="A17:B17"/>
    <mergeCell ref="C17:I17"/>
    <mergeCell ref="J17:P17"/>
    <mergeCell ref="A12:B12"/>
    <mergeCell ref="A13:B13"/>
    <mergeCell ref="A14:B14"/>
    <mergeCell ref="A15:B15"/>
    <mergeCell ref="A16:B16"/>
    <mergeCell ref="C16:I16"/>
    <mergeCell ref="C1:I1"/>
    <mergeCell ref="J1:P1"/>
    <mergeCell ref="A2:A3"/>
    <mergeCell ref="B2:B3"/>
    <mergeCell ref="C2:G2"/>
    <mergeCell ref="H2:I2"/>
    <mergeCell ref="J2:N2"/>
    <mergeCell ref="O2:P2"/>
  </mergeCells>
  <phoneticPr fontId="2" type="noConversion"/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sun zhe</cp:lastModifiedBy>
  <dcterms:created xsi:type="dcterms:W3CDTF">2021-10-29T10:34:58Z</dcterms:created>
  <dcterms:modified xsi:type="dcterms:W3CDTF">2023-11-27T01:11:03Z</dcterms:modified>
</cp:coreProperties>
</file>