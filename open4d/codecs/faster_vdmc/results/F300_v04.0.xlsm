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oject\crosscheck\"/>
    </mc:Choice>
  </mc:AlternateContent>
  <xr:revisionPtr revIDLastSave="0" documentId="13_ncr:1_{51EDB394-21DE-4CF2-9275-A89FD9C9D3C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7" l="1"/>
  <c r="A16" i="7"/>
  <c r="A15" i="7"/>
  <c r="A14" i="7"/>
  <c r="A13" i="7"/>
  <c r="A12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AX49" i="6"/>
  <c r="AX50" i="6" s="1"/>
  <c r="AW49" i="6"/>
  <c r="AC49" i="6"/>
  <c r="AB49" i="6"/>
  <c r="BT44" i="6"/>
  <c r="BS44" i="6"/>
  <c r="BR44" i="6"/>
  <c r="BQ44" i="6"/>
  <c r="BP44" i="6"/>
  <c r="AF44" i="6"/>
  <c r="AE44" i="6"/>
  <c r="M44" i="6"/>
  <c r="L44" i="6" s="1"/>
  <c r="K44" i="6"/>
  <c r="J44" i="6"/>
  <c r="BT43" i="6"/>
  <c r="BS43" i="6"/>
  <c r="BR43" i="6"/>
  <c r="BQ43" i="6"/>
  <c r="BP43" i="6"/>
  <c r="AF43" i="6"/>
  <c r="AE43" i="6"/>
  <c r="M43" i="6"/>
  <c r="L43" i="6"/>
  <c r="K43" i="6"/>
  <c r="J43" i="6"/>
  <c r="BT42" i="6"/>
  <c r="BS42" i="6"/>
  <c r="BR42" i="6"/>
  <c r="BQ42" i="6"/>
  <c r="BP42" i="6"/>
  <c r="AF42" i="6"/>
  <c r="AE42" i="6"/>
  <c r="M42" i="6"/>
  <c r="L42" i="6" s="1"/>
  <c r="K42" i="6"/>
  <c r="J42" i="6"/>
  <c r="BT41" i="6"/>
  <c r="BS41" i="6"/>
  <c r="BR41" i="6"/>
  <c r="BQ41" i="6"/>
  <c r="BP41" i="6"/>
  <c r="AF41" i="6"/>
  <c r="AE41" i="6"/>
  <c r="M41" i="6"/>
  <c r="L41" i="6"/>
  <c r="K41" i="6"/>
  <c r="J41" i="6"/>
  <c r="BT40" i="6"/>
  <c r="BS40" i="6"/>
  <c r="BR40" i="6"/>
  <c r="BQ40" i="6"/>
  <c r="BP40" i="6"/>
  <c r="AF40" i="6"/>
  <c r="AE40" i="6"/>
  <c r="M40" i="6"/>
  <c r="K40" i="6"/>
  <c r="J40" i="6"/>
  <c r="BT39" i="6"/>
  <c r="BS39" i="6"/>
  <c r="BR39" i="6"/>
  <c r="BQ39" i="6"/>
  <c r="BP39" i="6"/>
  <c r="AF39" i="6"/>
  <c r="AE39" i="6"/>
  <c r="M39" i="6"/>
  <c r="L39" i="6"/>
  <c r="K39" i="6"/>
  <c r="J39" i="6"/>
  <c r="BT38" i="6"/>
  <c r="BS38" i="6"/>
  <c r="BR38" i="6"/>
  <c r="BQ38" i="6"/>
  <c r="BP38" i="6"/>
  <c r="AF38" i="6"/>
  <c r="AE38" i="6"/>
  <c r="M38" i="6"/>
  <c r="L38" i="6" s="1"/>
  <c r="K38" i="6"/>
  <c r="J38" i="6"/>
  <c r="BT37" i="6"/>
  <c r="BS37" i="6"/>
  <c r="BR37" i="6"/>
  <c r="BQ37" i="6"/>
  <c r="BP37" i="6"/>
  <c r="AF37" i="6"/>
  <c r="AE37" i="6"/>
  <c r="M37" i="6"/>
  <c r="L37" i="6"/>
  <c r="K37" i="6"/>
  <c r="J37" i="6"/>
  <c r="BT36" i="6"/>
  <c r="BS36" i="6"/>
  <c r="BR36" i="6"/>
  <c r="BQ36" i="6"/>
  <c r="BP36" i="6"/>
  <c r="AF36" i="6"/>
  <c r="AE36" i="6"/>
  <c r="M36" i="6"/>
  <c r="L36" i="6" s="1"/>
  <c r="K36" i="6"/>
  <c r="J36" i="6"/>
  <c r="BT35" i="6"/>
  <c r="BS35" i="6"/>
  <c r="BR35" i="6"/>
  <c r="BQ35" i="6"/>
  <c r="BP35" i="6"/>
  <c r="AF35" i="6"/>
  <c r="AE35" i="6"/>
  <c r="M35" i="6"/>
  <c r="L35" i="6"/>
  <c r="K35" i="6"/>
  <c r="J35" i="6"/>
  <c r="BT34" i="6"/>
  <c r="BS34" i="6"/>
  <c r="BR34" i="6"/>
  <c r="BQ34" i="6"/>
  <c r="BP34" i="6"/>
  <c r="AF34" i="6"/>
  <c r="AE34" i="6"/>
  <c r="M34" i="6"/>
  <c r="L34" i="6" s="1"/>
  <c r="K34" i="6"/>
  <c r="J34" i="6"/>
  <c r="BT33" i="6"/>
  <c r="BS33" i="6"/>
  <c r="BR33" i="6"/>
  <c r="BQ33" i="6"/>
  <c r="BP33" i="6"/>
  <c r="AF33" i="6"/>
  <c r="AE33" i="6"/>
  <c r="M33" i="6"/>
  <c r="L33" i="6"/>
  <c r="K33" i="6"/>
  <c r="J33" i="6"/>
  <c r="BT32" i="6"/>
  <c r="BS32" i="6"/>
  <c r="BR32" i="6"/>
  <c r="BQ32" i="6"/>
  <c r="BP32" i="6"/>
  <c r="AF32" i="6"/>
  <c r="AE32" i="6"/>
  <c r="M32" i="6"/>
  <c r="L32" i="6" s="1"/>
  <c r="K32" i="6"/>
  <c r="J32" i="6"/>
  <c r="BT31" i="6"/>
  <c r="BS31" i="6"/>
  <c r="BR31" i="6"/>
  <c r="BQ31" i="6"/>
  <c r="BP31" i="6"/>
  <c r="AF31" i="6"/>
  <c r="AE31" i="6"/>
  <c r="M31" i="6"/>
  <c r="L31" i="6"/>
  <c r="K31" i="6"/>
  <c r="J31" i="6"/>
  <c r="BT30" i="6"/>
  <c r="BS30" i="6"/>
  <c r="BR30" i="6"/>
  <c r="BQ30" i="6"/>
  <c r="BP30" i="6"/>
  <c r="AF30" i="6"/>
  <c r="AE30" i="6"/>
  <c r="M30" i="6"/>
  <c r="K30" i="6"/>
  <c r="J30" i="6"/>
  <c r="BT29" i="6"/>
  <c r="BS29" i="6"/>
  <c r="BR29" i="6"/>
  <c r="BQ29" i="6"/>
  <c r="BP29" i="6"/>
  <c r="AF29" i="6"/>
  <c r="AE29" i="6"/>
  <c r="M29" i="6"/>
  <c r="L29" i="6"/>
  <c r="K29" i="6"/>
  <c r="J29" i="6"/>
  <c r="BT28" i="6"/>
  <c r="BS28" i="6"/>
  <c r="BR28" i="6"/>
  <c r="BQ28" i="6"/>
  <c r="BP28" i="6"/>
  <c r="AF28" i="6"/>
  <c r="AE28" i="6"/>
  <c r="M28" i="6"/>
  <c r="L28" i="6" s="1"/>
  <c r="K28" i="6"/>
  <c r="J28" i="6"/>
  <c r="BT27" i="6"/>
  <c r="BS27" i="6"/>
  <c r="BR27" i="6"/>
  <c r="BQ27" i="6"/>
  <c r="BP27" i="6"/>
  <c r="AF27" i="6"/>
  <c r="AE27" i="6"/>
  <c r="M27" i="6"/>
  <c r="L27" i="6"/>
  <c r="K27" i="6"/>
  <c r="J27" i="6"/>
  <c r="BT26" i="6"/>
  <c r="BS26" i="6"/>
  <c r="BR26" i="6"/>
  <c r="BQ26" i="6"/>
  <c r="BP26" i="6"/>
  <c r="AF26" i="6"/>
  <c r="AE26" i="6"/>
  <c r="M26" i="6"/>
  <c r="K26" i="6"/>
  <c r="J26" i="6"/>
  <c r="BT25" i="6"/>
  <c r="BS25" i="6"/>
  <c r="BR25" i="6"/>
  <c r="BQ25" i="6"/>
  <c r="BP25" i="6"/>
  <c r="AF25" i="6"/>
  <c r="AE25" i="6"/>
  <c r="M25" i="6"/>
  <c r="L25" i="6"/>
  <c r="K25" i="6"/>
  <c r="K47" i="6" s="1"/>
  <c r="J25" i="6"/>
  <c r="BT24" i="6"/>
  <c r="BS24" i="6"/>
  <c r="BR24" i="6"/>
  <c r="BQ24" i="6"/>
  <c r="BP24" i="6"/>
  <c r="AF24" i="6"/>
  <c r="AE24" i="6"/>
  <c r="M24" i="6"/>
  <c r="L24" i="6" s="1"/>
  <c r="K24" i="6"/>
  <c r="J24" i="6"/>
  <c r="BT23" i="6"/>
  <c r="BS23" i="6"/>
  <c r="BR23" i="6"/>
  <c r="BQ23" i="6"/>
  <c r="BP23" i="6"/>
  <c r="AF23" i="6"/>
  <c r="AE23" i="6"/>
  <c r="M23" i="6"/>
  <c r="L23" i="6"/>
  <c r="K23" i="6"/>
  <c r="J23" i="6"/>
  <c r="BT22" i="6"/>
  <c r="BS22" i="6"/>
  <c r="BR22" i="6"/>
  <c r="BQ22" i="6"/>
  <c r="BP22" i="6"/>
  <c r="AF22" i="6"/>
  <c r="AE22" i="6"/>
  <c r="M22" i="6"/>
  <c r="K22" i="6"/>
  <c r="J22" i="6"/>
  <c r="BT21" i="6"/>
  <c r="BS21" i="6"/>
  <c r="BR21" i="6"/>
  <c r="BQ21" i="6"/>
  <c r="BP21" i="6"/>
  <c r="AF21" i="6"/>
  <c r="AE21" i="6"/>
  <c r="M21" i="6"/>
  <c r="L21" i="6"/>
  <c r="K21" i="6"/>
  <c r="J21" i="6"/>
  <c r="BT20" i="6"/>
  <c r="BS20" i="6"/>
  <c r="BR20" i="6"/>
  <c r="BQ20" i="6"/>
  <c r="BP20" i="6"/>
  <c r="AF20" i="6"/>
  <c r="AE20" i="6"/>
  <c r="M20" i="6"/>
  <c r="L20" i="6" s="1"/>
  <c r="K20" i="6"/>
  <c r="J20" i="6"/>
  <c r="BT19" i="6"/>
  <c r="BS19" i="6"/>
  <c r="BR19" i="6"/>
  <c r="BQ19" i="6"/>
  <c r="BP19" i="6"/>
  <c r="AF19" i="6"/>
  <c r="AE19" i="6"/>
  <c r="M19" i="6"/>
  <c r="L19" i="6"/>
  <c r="K19" i="6"/>
  <c r="J19" i="6"/>
  <c r="BT18" i="6"/>
  <c r="BS18" i="6"/>
  <c r="BR18" i="6"/>
  <c r="BQ18" i="6"/>
  <c r="BP18" i="6"/>
  <c r="AF18" i="6"/>
  <c r="AE18" i="6"/>
  <c r="M18" i="6"/>
  <c r="L18" i="6" s="1"/>
  <c r="K18" i="6"/>
  <c r="J18" i="6"/>
  <c r="BT17" i="6"/>
  <c r="BS17" i="6"/>
  <c r="BR17" i="6"/>
  <c r="BQ17" i="6"/>
  <c r="BP17" i="6"/>
  <c r="AF17" i="6"/>
  <c r="AE17" i="6"/>
  <c r="M17" i="6"/>
  <c r="L17" i="6"/>
  <c r="K17" i="6"/>
  <c r="J17" i="6"/>
  <c r="BT16" i="6"/>
  <c r="BS16" i="6"/>
  <c r="BR16" i="6"/>
  <c r="BQ16" i="6"/>
  <c r="BP16" i="6"/>
  <c r="AF16" i="6"/>
  <c r="AE16" i="6"/>
  <c r="M16" i="6"/>
  <c r="L16" i="6" s="1"/>
  <c r="K16" i="6"/>
  <c r="J16" i="6"/>
  <c r="BT15" i="6"/>
  <c r="BS15" i="6"/>
  <c r="BR15" i="6"/>
  <c r="BQ15" i="6"/>
  <c r="BP15" i="6"/>
  <c r="AF15" i="6"/>
  <c r="AE15" i="6"/>
  <c r="M15" i="6"/>
  <c r="L15" i="6"/>
  <c r="K15" i="6"/>
  <c r="K46" i="6" s="1"/>
  <c r="J15" i="6"/>
  <c r="BT14" i="6"/>
  <c r="BS14" i="6"/>
  <c r="BR14" i="6"/>
  <c r="BQ14" i="6"/>
  <c r="BP14" i="6"/>
  <c r="AF14" i="6"/>
  <c r="AE14" i="6"/>
  <c r="M14" i="6"/>
  <c r="L14" i="6" s="1"/>
  <c r="K14" i="6"/>
  <c r="J14" i="6"/>
  <c r="BT13" i="6"/>
  <c r="BS13" i="6"/>
  <c r="BR13" i="6"/>
  <c r="BQ13" i="6"/>
  <c r="BP13" i="6"/>
  <c r="AF13" i="6"/>
  <c r="AE13" i="6"/>
  <c r="M13" i="6"/>
  <c r="L13" i="6"/>
  <c r="K13" i="6"/>
  <c r="J13" i="6"/>
  <c r="BT12" i="6"/>
  <c r="BS12" i="6"/>
  <c r="BR12" i="6"/>
  <c r="BQ12" i="6"/>
  <c r="BP12" i="6"/>
  <c r="AF12" i="6"/>
  <c r="AE12" i="6"/>
  <c r="M12" i="6"/>
  <c r="L12" i="6" s="1"/>
  <c r="K12" i="6"/>
  <c r="J12" i="6"/>
  <c r="BT11" i="6"/>
  <c r="BS11" i="6"/>
  <c r="BR11" i="6"/>
  <c r="BQ11" i="6"/>
  <c r="BP11" i="6"/>
  <c r="AF11" i="6"/>
  <c r="AE11" i="6"/>
  <c r="M11" i="6"/>
  <c r="L11" i="6"/>
  <c r="K11" i="6"/>
  <c r="J11" i="6"/>
  <c r="BT10" i="6"/>
  <c r="BS10" i="6"/>
  <c r="BR10" i="6"/>
  <c r="BQ10" i="6"/>
  <c r="BP10" i="6"/>
  <c r="AF10" i="6"/>
  <c r="AE10" i="6"/>
  <c r="M10" i="6"/>
  <c r="L10" i="6" s="1"/>
  <c r="K10" i="6"/>
  <c r="J10" i="6"/>
  <c r="BT9" i="6"/>
  <c r="BS9" i="6"/>
  <c r="BR9" i="6"/>
  <c r="BQ9" i="6"/>
  <c r="BP9" i="6"/>
  <c r="AF9" i="6"/>
  <c r="AE9" i="6"/>
  <c r="M9" i="6"/>
  <c r="L9" i="6"/>
  <c r="K9" i="6"/>
  <c r="J9" i="6"/>
  <c r="BT8" i="6"/>
  <c r="BS8" i="6"/>
  <c r="BR8" i="6"/>
  <c r="BQ8" i="6"/>
  <c r="BP8" i="6"/>
  <c r="AF8" i="6"/>
  <c r="AE8" i="6"/>
  <c r="M8" i="6"/>
  <c r="L8" i="6" s="1"/>
  <c r="K8" i="6"/>
  <c r="J8" i="6"/>
  <c r="BT7" i="6"/>
  <c r="BS7" i="6"/>
  <c r="BR7" i="6"/>
  <c r="BQ7" i="6"/>
  <c r="BP7" i="6"/>
  <c r="AF7" i="6"/>
  <c r="AE7" i="6"/>
  <c r="M7" i="6"/>
  <c r="L7" i="6"/>
  <c r="K7" i="6"/>
  <c r="J7" i="6"/>
  <c r="BT6" i="6"/>
  <c r="BS6" i="6"/>
  <c r="BR6" i="6"/>
  <c r="BQ6" i="6"/>
  <c r="BP6" i="6"/>
  <c r="AF6" i="6"/>
  <c r="AE6" i="6"/>
  <c r="M6" i="6"/>
  <c r="L6" i="6" s="1"/>
  <c r="K6" i="6"/>
  <c r="J6" i="6"/>
  <c r="BT5" i="6"/>
  <c r="BS5" i="6"/>
  <c r="BR5" i="6"/>
  <c r="BQ5" i="6"/>
  <c r="BP5" i="6"/>
  <c r="AF5" i="6"/>
  <c r="AE5" i="6"/>
  <c r="M5" i="6"/>
  <c r="L5" i="6"/>
  <c r="K5" i="6"/>
  <c r="K45" i="6" s="1"/>
  <c r="J5" i="6"/>
  <c r="AE1" i="6"/>
  <c r="J1" i="6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AV59" i="5"/>
  <c r="AU59" i="5"/>
  <c r="AT59" i="5"/>
  <c r="AS59" i="5"/>
  <c r="AR59" i="5"/>
  <c r="AQ59" i="5"/>
  <c r="AP59" i="5"/>
  <c r="AV58" i="5"/>
  <c r="AU58" i="5"/>
  <c r="AT58" i="5"/>
  <c r="AS58" i="5"/>
  <c r="AR58" i="5"/>
  <c r="AQ58" i="5"/>
  <c r="AP58" i="5"/>
  <c r="AV57" i="5"/>
  <c r="AU57" i="5"/>
  <c r="AT57" i="5"/>
  <c r="AS57" i="5"/>
  <c r="AR57" i="5"/>
  <c r="AQ57" i="5"/>
  <c r="AP57" i="5"/>
  <c r="AV56" i="5"/>
  <c r="AU56" i="5"/>
  <c r="AT56" i="5"/>
  <c r="AS56" i="5"/>
  <c r="AR56" i="5"/>
  <c r="AQ56" i="5"/>
  <c r="AP56" i="5"/>
  <c r="AV55" i="5"/>
  <c r="AU55" i="5"/>
  <c r="AT55" i="5"/>
  <c r="AS55" i="5"/>
  <c r="AR55" i="5"/>
  <c r="AQ55" i="5"/>
  <c r="AP55" i="5"/>
  <c r="AV54" i="5"/>
  <c r="AU54" i="5"/>
  <c r="AT54" i="5"/>
  <c r="AS54" i="5"/>
  <c r="AR54" i="5"/>
  <c r="AQ54" i="5"/>
  <c r="AP54" i="5"/>
  <c r="AX49" i="5"/>
  <c r="AX50" i="5" s="1"/>
  <c r="C24" i="1" s="1"/>
  <c r="C17" i="7" s="1"/>
  <c r="AW49" i="5"/>
  <c r="AW50" i="5" s="1"/>
  <c r="C23" i="1" s="1"/>
  <c r="C16" i="7" s="1"/>
  <c r="AC49" i="5"/>
  <c r="AB49" i="5"/>
  <c r="BT44" i="5"/>
  <c r="BS44" i="5"/>
  <c r="BR44" i="5"/>
  <c r="BQ44" i="5"/>
  <c r="BP44" i="5"/>
  <c r="AF44" i="5"/>
  <c r="AE44" i="5"/>
  <c r="M44" i="5"/>
  <c r="L44" i="5" s="1"/>
  <c r="K44" i="5"/>
  <c r="J44" i="5"/>
  <c r="BT43" i="5"/>
  <c r="BS43" i="5"/>
  <c r="BR43" i="5"/>
  <c r="BQ43" i="5"/>
  <c r="BP43" i="5"/>
  <c r="AF43" i="5"/>
  <c r="AE43" i="5"/>
  <c r="M43" i="5"/>
  <c r="L43" i="5"/>
  <c r="K43" i="5"/>
  <c r="J43" i="5"/>
  <c r="BT42" i="5"/>
  <c r="BS42" i="5"/>
  <c r="BR42" i="5"/>
  <c r="BQ42" i="5"/>
  <c r="BP42" i="5"/>
  <c r="AF42" i="5"/>
  <c r="AE42" i="5"/>
  <c r="M42" i="5"/>
  <c r="L42" i="5" s="1"/>
  <c r="K42" i="5"/>
  <c r="J42" i="5"/>
  <c r="BT41" i="5"/>
  <c r="BS41" i="5"/>
  <c r="BR41" i="5"/>
  <c r="BQ41" i="5"/>
  <c r="BP41" i="5"/>
  <c r="AF41" i="5"/>
  <c r="AE41" i="5"/>
  <c r="M41" i="5"/>
  <c r="L41" i="5"/>
  <c r="K41" i="5"/>
  <c r="J41" i="5"/>
  <c r="BT40" i="5"/>
  <c r="BS40" i="5"/>
  <c r="BR40" i="5"/>
  <c r="BQ40" i="5"/>
  <c r="BP40" i="5"/>
  <c r="AF40" i="5"/>
  <c r="AE40" i="5"/>
  <c r="M40" i="5"/>
  <c r="L40" i="5" s="1"/>
  <c r="K40" i="5"/>
  <c r="J40" i="5"/>
  <c r="BT39" i="5"/>
  <c r="BS39" i="5"/>
  <c r="BR39" i="5"/>
  <c r="BQ39" i="5"/>
  <c r="BP39" i="5"/>
  <c r="AF39" i="5"/>
  <c r="AE39" i="5"/>
  <c r="M39" i="5"/>
  <c r="L39" i="5"/>
  <c r="K39" i="5"/>
  <c r="J39" i="5"/>
  <c r="BT38" i="5"/>
  <c r="BS38" i="5"/>
  <c r="BR38" i="5"/>
  <c r="BQ38" i="5"/>
  <c r="BP38" i="5"/>
  <c r="AF38" i="5"/>
  <c r="AE38" i="5"/>
  <c r="M38" i="5"/>
  <c r="L38" i="5" s="1"/>
  <c r="K38" i="5"/>
  <c r="J38" i="5"/>
  <c r="BT37" i="5"/>
  <c r="BS37" i="5"/>
  <c r="BR37" i="5"/>
  <c r="BQ37" i="5"/>
  <c r="BP37" i="5"/>
  <c r="AF37" i="5"/>
  <c r="AE37" i="5"/>
  <c r="M37" i="5"/>
  <c r="L37" i="5"/>
  <c r="K37" i="5"/>
  <c r="J37" i="5"/>
  <c r="BT36" i="5"/>
  <c r="BS36" i="5"/>
  <c r="BR36" i="5"/>
  <c r="BQ36" i="5"/>
  <c r="BP36" i="5"/>
  <c r="AF36" i="5"/>
  <c r="AE36" i="5"/>
  <c r="M36" i="5"/>
  <c r="L36" i="5" s="1"/>
  <c r="K36" i="5"/>
  <c r="J36" i="5"/>
  <c r="BT35" i="5"/>
  <c r="BS35" i="5"/>
  <c r="BR35" i="5"/>
  <c r="BQ35" i="5"/>
  <c r="BP35" i="5"/>
  <c r="AF35" i="5"/>
  <c r="AE35" i="5"/>
  <c r="M35" i="5"/>
  <c r="L35" i="5" s="1"/>
  <c r="K35" i="5"/>
  <c r="J35" i="5"/>
  <c r="BT34" i="5"/>
  <c r="BS34" i="5"/>
  <c r="BR34" i="5"/>
  <c r="BQ34" i="5"/>
  <c r="BP34" i="5"/>
  <c r="AF34" i="5"/>
  <c r="AE34" i="5"/>
  <c r="M34" i="5"/>
  <c r="L34" i="5"/>
  <c r="K34" i="5"/>
  <c r="J34" i="5"/>
  <c r="BT33" i="5"/>
  <c r="BS33" i="5"/>
  <c r="BR33" i="5"/>
  <c r="BQ33" i="5"/>
  <c r="BP33" i="5"/>
  <c r="AF33" i="5"/>
  <c r="AE33" i="5"/>
  <c r="M33" i="5"/>
  <c r="L33" i="5" s="1"/>
  <c r="K33" i="5"/>
  <c r="J33" i="5"/>
  <c r="BT32" i="5"/>
  <c r="BS32" i="5"/>
  <c r="BR32" i="5"/>
  <c r="BQ32" i="5"/>
  <c r="BP32" i="5"/>
  <c r="AF32" i="5"/>
  <c r="AE32" i="5"/>
  <c r="M32" i="5"/>
  <c r="L32" i="5" s="1"/>
  <c r="K32" i="5"/>
  <c r="J32" i="5"/>
  <c r="BT31" i="5"/>
  <c r="BS31" i="5"/>
  <c r="BR31" i="5"/>
  <c r="BQ31" i="5"/>
  <c r="BP31" i="5"/>
  <c r="AF31" i="5"/>
  <c r="AE31" i="5"/>
  <c r="M31" i="5"/>
  <c r="L31" i="5" s="1"/>
  <c r="K31" i="5"/>
  <c r="J31" i="5"/>
  <c r="BT30" i="5"/>
  <c r="BS30" i="5"/>
  <c r="BR30" i="5"/>
  <c r="BQ30" i="5"/>
  <c r="BP30" i="5"/>
  <c r="AF30" i="5"/>
  <c r="AE30" i="5"/>
  <c r="M30" i="5"/>
  <c r="L30" i="5"/>
  <c r="K30" i="5"/>
  <c r="J30" i="5"/>
  <c r="BT29" i="5"/>
  <c r="BS29" i="5"/>
  <c r="BR29" i="5"/>
  <c r="BQ29" i="5"/>
  <c r="BP29" i="5"/>
  <c r="AF29" i="5"/>
  <c r="AE29" i="5"/>
  <c r="M29" i="5"/>
  <c r="L29" i="5" s="1"/>
  <c r="K29" i="5"/>
  <c r="J29" i="5"/>
  <c r="BT28" i="5"/>
  <c r="BS28" i="5"/>
  <c r="BR28" i="5"/>
  <c r="BQ28" i="5"/>
  <c r="BP28" i="5"/>
  <c r="AF28" i="5"/>
  <c r="AE28" i="5"/>
  <c r="M28" i="5"/>
  <c r="L28" i="5" s="1"/>
  <c r="K28" i="5"/>
  <c r="J28" i="5"/>
  <c r="BT27" i="5"/>
  <c r="BS27" i="5"/>
  <c r="BR27" i="5"/>
  <c r="BQ27" i="5"/>
  <c r="BP27" i="5"/>
  <c r="AF27" i="5"/>
  <c r="AE27" i="5"/>
  <c r="M27" i="5"/>
  <c r="L27" i="5" s="1"/>
  <c r="K27" i="5"/>
  <c r="J27" i="5"/>
  <c r="BT26" i="5"/>
  <c r="BS26" i="5"/>
  <c r="BR26" i="5"/>
  <c r="BQ26" i="5"/>
  <c r="BP26" i="5"/>
  <c r="AF26" i="5"/>
  <c r="AE26" i="5"/>
  <c r="M26" i="5"/>
  <c r="L26" i="5"/>
  <c r="K26" i="5"/>
  <c r="J26" i="5"/>
  <c r="BT25" i="5"/>
  <c r="BS25" i="5"/>
  <c r="BR25" i="5"/>
  <c r="BQ25" i="5"/>
  <c r="BP25" i="5"/>
  <c r="AF25" i="5"/>
  <c r="AE25" i="5"/>
  <c r="M25" i="5"/>
  <c r="L25" i="5" s="1"/>
  <c r="K25" i="5"/>
  <c r="K47" i="5" s="1"/>
  <c r="J25" i="5"/>
  <c r="BT24" i="5"/>
  <c r="BS24" i="5"/>
  <c r="BR24" i="5"/>
  <c r="BQ24" i="5"/>
  <c r="BP24" i="5"/>
  <c r="AF24" i="5"/>
  <c r="AE24" i="5"/>
  <c r="M24" i="5"/>
  <c r="L24" i="5" s="1"/>
  <c r="K24" i="5"/>
  <c r="J24" i="5"/>
  <c r="BT23" i="5"/>
  <c r="BS23" i="5"/>
  <c r="BR23" i="5"/>
  <c r="BQ23" i="5"/>
  <c r="BP23" i="5"/>
  <c r="AF23" i="5"/>
  <c r="AE23" i="5"/>
  <c r="M23" i="5"/>
  <c r="L23" i="5" s="1"/>
  <c r="K23" i="5"/>
  <c r="J23" i="5"/>
  <c r="BT22" i="5"/>
  <c r="BS22" i="5"/>
  <c r="BR22" i="5"/>
  <c r="BQ22" i="5"/>
  <c r="BP22" i="5"/>
  <c r="AF22" i="5"/>
  <c r="AE22" i="5"/>
  <c r="M22" i="5"/>
  <c r="L22" i="5"/>
  <c r="K22" i="5"/>
  <c r="J22" i="5"/>
  <c r="BT21" i="5"/>
  <c r="BS21" i="5"/>
  <c r="BR21" i="5"/>
  <c r="BQ21" i="5"/>
  <c r="BP21" i="5"/>
  <c r="AF21" i="5"/>
  <c r="AE21" i="5"/>
  <c r="M21" i="5"/>
  <c r="L21" i="5"/>
  <c r="K21" i="5"/>
  <c r="J21" i="5"/>
  <c r="BT20" i="5"/>
  <c r="BS20" i="5"/>
  <c r="BR20" i="5"/>
  <c r="BQ20" i="5"/>
  <c r="BP20" i="5"/>
  <c r="AF20" i="5"/>
  <c r="AE20" i="5"/>
  <c r="M20" i="5"/>
  <c r="L20" i="5" s="1"/>
  <c r="K20" i="5"/>
  <c r="J20" i="5"/>
  <c r="BT19" i="5"/>
  <c r="BS19" i="5"/>
  <c r="BR19" i="5"/>
  <c r="BQ19" i="5"/>
  <c r="BP19" i="5"/>
  <c r="AF19" i="5"/>
  <c r="AE19" i="5"/>
  <c r="M19" i="5"/>
  <c r="L19" i="5" s="1"/>
  <c r="K19" i="5"/>
  <c r="J19" i="5"/>
  <c r="BT18" i="5"/>
  <c r="BS18" i="5"/>
  <c r="BR18" i="5"/>
  <c r="BQ18" i="5"/>
  <c r="BP18" i="5"/>
  <c r="AF18" i="5"/>
  <c r="AE18" i="5"/>
  <c r="M18" i="5"/>
  <c r="L18" i="5"/>
  <c r="K18" i="5"/>
  <c r="J18" i="5"/>
  <c r="BT17" i="5"/>
  <c r="BS17" i="5"/>
  <c r="BR17" i="5"/>
  <c r="BQ17" i="5"/>
  <c r="BP17" i="5"/>
  <c r="AF17" i="5"/>
  <c r="AE17" i="5"/>
  <c r="M17" i="5"/>
  <c r="L17" i="5"/>
  <c r="K17" i="5"/>
  <c r="J17" i="5"/>
  <c r="BT16" i="5"/>
  <c r="BS16" i="5"/>
  <c r="BR16" i="5"/>
  <c r="BQ16" i="5"/>
  <c r="BP16" i="5"/>
  <c r="AF16" i="5"/>
  <c r="AE16" i="5"/>
  <c r="M16" i="5"/>
  <c r="L16" i="5"/>
  <c r="K16" i="5"/>
  <c r="J16" i="5"/>
  <c r="BT15" i="5"/>
  <c r="BS15" i="5"/>
  <c r="BR15" i="5"/>
  <c r="BQ15" i="5"/>
  <c r="BP15" i="5"/>
  <c r="AF15" i="5"/>
  <c r="AE15" i="5"/>
  <c r="M15" i="5"/>
  <c r="K15" i="5"/>
  <c r="K46" i="5" s="1"/>
  <c r="J15" i="5"/>
  <c r="BT14" i="5"/>
  <c r="BS14" i="5"/>
  <c r="BR14" i="5"/>
  <c r="BQ14" i="5"/>
  <c r="BP14" i="5"/>
  <c r="AF14" i="5"/>
  <c r="AE14" i="5"/>
  <c r="M14" i="5"/>
  <c r="L14" i="5"/>
  <c r="K14" i="5"/>
  <c r="J14" i="5"/>
  <c r="BT13" i="5"/>
  <c r="BS13" i="5"/>
  <c r="BR13" i="5"/>
  <c r="BQ13" i="5"/>
  <c r="BP13" i="5"/>
  <c r="AF13" i="5"/>
  <c r="AE13" i="5"/>
  <c r="M13" i="5"/>
  <c r="L13" i="5"/>
  <c r="K13" i="5"/>
  <c r="J13" i="5"/>
  <c r="BT12" i="5"/>
  <c r="BS12" i="5"/>
  <c r="BR12" i="5"/>
  <c r="BQ12" i="5"/>
  <c r="BP12" i="5"/>
  <c r="AF12" i="5"/>
  <c r="AE12" i="5"/>
  <c r="M12" i="5"/>
  <c r="L12" i="5"/>
  <c r="K12" i="5"/>
  <c r="J12" i="5"/>
  <c r="BT11" i="5"/>
  <c r="BS11" i="5"/>
  <c r="BR11" i="5"/>
  <c r="BQ11" i="5"/>
  <c r="BP11" i="5"/>
  <c r="AF11" i="5"/>
  <c r="AE11" i="5"/>
  <c r="M11" i="5"/>
  <c r="L11" i="5" s="1"/>
  <c r="K11" i="5"/>
  <c r="J11" i="5"/>
  <c r="BT10" i="5"/>
  <c r="BS10" i="5"/>
  <c r="BR10" i="5"/>
  <c r="BQ10" i="5"/>
  <c r="BP10" i="5"/>
  <c r="AF10" i="5"/>
  <c r="AE10" i="5"/>
  <c r="M10" i="5"/>
  <c r="L10" i="5"/>
  <c r="K10" i="5"/>
  <c r="J10" i="5"/>
  <c r="BT9" i="5"/>
  <c r="BS9" i="5"/>
  <c r="BR9" i="5"/>
  <c r="BQ9" i="5"/>
  <c r="BP9" i="5"/>
  <c r="AF9" i="5"/>
  <c r="AE9" i="5"/>
  <c r="M9" i="5"/>
  <c r="L9" i="5"/>
  <c r="K9" i="5"/>
  <c r="J9" i="5"/>
  <c r="BT8" i="5"/>
  <c r="BS8" i="5"/>
  <c r="BR8" i="5"/>
  <c r="BQ8" i="5"/>
  <c r="BP8" i="5"/>
  <c r="AF8" i="5"/>
  <c r="AE8" i="5"/>
  <c r="M8" i="5"/>
  <c r="L8" i="5"/>
  <c r="K8" i="5"/>
  <c r="J8" i="5"/>
  <c r="BT7" i="5"/>
  <c r="BS7" i="5"/>
  <c r="BR7" i="5"/>
  <c r="BQ7" i="5"/>
  <c r="BP7" i="5"/>
  <c r="AF7" i="5"/>
  <c r="AE7" i="5"/>
  <c r="M7" i="5"/>
  <c r="L7" i="5" s="1"/>
  <c r="K7" i="5"/>
  <c r="J7" i="5"/>
  <c r="BT6" i="5"/>
  <c r="BS6" i="5"/>
  <c r="BR6" i="5"/>
  <c r="BQ6" i="5"/>
  <c r="BP6" i="5"/>
  <c r="AF6" i="5"/>
  <c r="AE6" i="5"/>
  <c r="M6" i="5"/>
  <c r="L6" i="5"/>
  <c r="K6" i="5"/>
  <c r="J6" i="5"/>
  <c r="BT5" i="5"/>
  <c r="BS5" i="5"/>
  <c r="BR5" i="5"/>
  <c r="BQ5" i="5"/>
  <c r="BP5" i="5"/>
  <c r="AF5" i="5"/>
  <c r="AE5" i="5"/>
  <c r="M5" i="5"/>
  <c r="L5" i="5"/>
  <c r="K5" i="5"/>
  <c r="K45" i="5" s="1"/>
  <c r="J5" i="5"/>
  <c r="AE1" i="5"/>
  <c r="J1" i="5"/>
  <c r="T17" i="3"/>
  <c r="T18" i="3" s="1"/>
  <c r="C14" i="1" s="1"/>
  <c r="S17" i="3"/>
  <c r="S18" i="3" s="1"/>
  <c r="C13" i="1" s="1"/>
  <c r="M17" i="3"/>
  <c r="L17" i="3"/>
  <c r="X12" i="3"/>
  <c r="P12" i="3"/>
  <c r="V12" i="3" s="1"/>
  <c r="O12" i="3"/>
  <c r="I12" i="3"/>
  <c r="H12" i="3"/>
  <c r="X11" i="3"/>
  <c r="P11" i="3"/>
  <c r="V11" i="3" s="1"/>
  <c r="O11" i="3"/>
  <c r="I11" i="3"/>
  <c r="H11" i="3"/>
  <c r="X10" i="3"/>
  <c r="P10" i="3"/>
  <c r="V10" i="3" s="1"/>
  <c r="O10" i="3"/>
  <c r="I10" i="3"/>
  <c r="H10" i="3"/>
  <c r="X9" i="3"/>
  <c r="P9" i="3"/>
  <c r="O9" i="3"/>
  <c r="I9" i="3"/>
  <c r="I15" i="3" s="1"/>
  <c r="H9" i="3"/>
  <c r="X8" i="3"/>
  <c r="P8" i="3"/>
  <c r="V8" i="3" s="1"/>
  <c r="O8" i="3"/>
  <c r="I8" i="3"/>
  <c r="H8" i="3"/>
  <c r="X7" i="3"/>
  <c r="P7" i="3"/>
  <c r="V7" i="3" s="1"/>
  <c r="O7" i="3"/>
  <c r="I7" i="3"/>
  <c r="I14" i="3" s="1"/>
  <c r="H7" i="3"/>
  <c r="X6" i="3"/>
  <c r="P6" i="3"/>
  <c r="V6" i="3" s="1"/>
  <c r="O6" i="3"/>
  <c r="I6" i="3"/>
  <c r="H6" i="3"/>
  <c r="X5" i="3"/>
  <c r="P5" i="3"/>
  <c r="O5" i="3"/>
  <c r="I5" i="3"/>
  <c r="I13" i="3" s="1"/>
  <c r="H5" i="3"/>
  <c r="C36" i="1"/>
  <c r="J17" i="7" s="1"/>
  <c r="BI10" i="6" a="1"/>
  <c r="BM35" i="6" a="1"/>
  <c r="BK10" i="6" a="1"/>
  <c r="BL30" i="6" a="1"/>
  <c r="BJ10" i="6" a="1"/>
  <c r="BI40" i="6" a="1"/>
  <c r="BL5" i="5" a="1"/>
  <c r="BJ30" i="5" a="1"/>
  <c r="BK30" i="5" a="1"/>
  <c r="BL30" i="5" a="1"/>
  <c r="BM5" i="5" a="1"/>
  <c r="BJ20" i="6" a="1"/>
  <c r="BH15" i="5" a="1"/>
  <c r="BN5" i="6" a="1"/>
  <c r="BJ35" i="6" a="1"/>
  <c r="BK35" i="6" a="1"/>
  <c r="BJ25" i="6" a="1"/>
  <c r="BN10" i="6" a="1"/>
  <c r="BN35" i="5" a="1"/>
  <c r="BN15" i="5" a="1"/>
  <c r="BL25" i="5" a="1"/>
  <c r="BH10" i="5" a="1"/>
  <c r="BE40" i="5" a="1"/>
  <c r="BN40" i="5" a="1"/>
  <c r="BN40" i="6" a="1"/>
  <c r="BJ30" i="6" a="1"/>
  <c r="BN15" i="6" a="1"/>
  <c r="BJ5" i="6" a="1"/>
  <c r="BL10" i="6" a="1"/>
  <c r="BJ40" i="5" a="1"/>
  <c r="BL15" i="5" a="1"/>
  <c r="BK20" i="5" a="1"/>
  <c r="BL10" i="5" a="1"/>
  <c r="BH40" i="5" a="1"/>
  <c r="BJ25" i="5" a="1"/>
  <c r="BL20" i="6" a="1"/>
  <c r="BN35" i="6" a="1"/>
  <c r="BM20" i="6" a="1"/>
  <c r="BL35" i="6" a="1"/>
  <c r="BN30" i="6" a="1"/>
  <c r="BL15" i="6" a="1"/>
  <c r="BJ10" i="5" a="1"/>
  <c r="BL20" i="5" a="1"/>
  <c r="BK35" i="5" a="1"/>
  <c r="BK15" i="5" a="1"/>
  <c r="BJ20" i="5" a="1"/>
  <c r="BK30" i="6" a="1"/>
  <c r="BK10" i="5" a="1"/>
  <c r="BK5" i="6" a="1"/>
  <c r="BK25" i="6" a="1"/>
  <c r="BK20" i="6" a="1"/>
  <c r="BJ15" i="6" a="1"/>
  <c r="BE5" i="6" a="1"/>
  <c r="BN30" i="5" a="1"/>
  <c r="BL40" i="5" a="1"/>
  <c r="BN5" i="5" a="1"/>
  <c r="BL35" i="5" a="1"/>
  <c r="BL25" i="6" a="1"/>
  <c r="BK5" i="5" a="1"/>
  <c r="BJ35" i="5" a="1"/>
  <c r="BN25" i="6" a="1"/>
  <c r="BK40" i="6" a="1"/>
  <c r="BK15" i="6" a="1"/>
  <c r="BN20" i="6" a="1"/>
  <c r="BK25" i="5" a="1"/>
  <c r="BJ5" i="5" a="1"/>
  <c r="BN10" i="5" a="1"/>
  <c r="BN20" i="5" a="1"/>
  <c r="BN25" i="5" a="1"/>
  <c r="BL40" i="6" a="1"/>
  <c r="BH30" i="5" a="1"/>
  <c r="BK40" i="5" a="1"/>
  <c r="BH40" i="6" a="1"/>
  <c r="BL5" i="6" a="1"/>
  <c r="BJ40" i="6" a="1"/>
  <c r="BJ15" i="5" a="1"/>
  <c r="BM40" i="6" a="1"/>
  <c r="BR46" i="6" l="1"/>
  <c r="BT48" i="6"/>
  <c r="BQ46" i="6"/>
  <c r="BT46" i="6"/>
  <c r="BR47" i="5"/>
  <c r="BT46" i="5"/>
  <c r="BT47" i="5"/>
  <c r="BQ46" i="5"/>
  <c r="P13" i="3"/>
  <c r="V13" i="3" s="1"/>
  <c r="C9" i="1" s="1"/>
  <c r="X15" i="3"/>
  <c r="BT47" i="6"/>
  <c r="BR47" i="6"/>
  <c r="BT45" i="6"/>
  <c r="BP47" i="6"/>
  <c r="BQ45" i="6"/>
  <c r="AF46" i="6"/>
  <c r="BQ47" i="6"/>
  <c r="BP47" i="5"/>
  <c r="AF46" i="5"/>
  <c r="BS48" i="5"/>
  <c r="BS46" i="5"/>
  <c r="X14" i="3"/>
  <c r="P15" i="3"/>
  <c r="V15" i="3" s="1"/>
  <c r="C11" i="1" s="1"/>
  <c r="X16" i="3"/>
  <c r="BN15" i="5"/>
  <c r="BN40" i="6"/>
  <c r="BJ5" i="5"/>
  <c r="BN10" i="5"/>
  <c r="BH15" i="5"/>
  <c r="BL20" i="5"/>
  <c r="BJ40" i="5"/>
  <c r="BL10" i="6"/>
  <c r="BJ15" i="6"/>
  <c r="BL25" i="6"/>
  <c r="BL30" i="6"/>
  <c r="BJ35" i="6"/>
  <c r="BL5" i="6"/>
  <c r="BK5" i="5"/>
  <c r="BN20" i="5"/>
  <c r="BL25" i="5"/>
  <c r="BJ30" i="5"/>
  <c r="BN35" i="5"/>
  <c r="BE40" i="5"/>
  <c r="H11" i="7" s="1"/>
  <c r="BK40" i="5"/>
  <c r="BN5" i="6"/>
  <c r="BN10" i="6"/>
  <c r="BN30" i="6"/>
  <c r="BH40" i="5"/>
  <c r="BL5" i="5"/>
  <c r="BN25" i="5"/>
  <c r="BL40" i="5"/>
  <c r="BK15" i="6"/>
  <c r="BJ20" i="6"/>
  <c r="BM20" i="6"/>
  <c r="BN25" i="6"/>
  <c r="BM35" i="6"/>
  <c r="BK35" i="6"/>
  <c r="BI40" i="6"/>
  <c r="BL35" i="5"/>
  <c r="BM5" i="5"/>
  <c r="BJ10" i="5"/>
  <c r="BH30" i="5"/>
  <c r="BK30" i="5"/>
  <c r="BJ35" i="5"/>
  <c r="BN40" i="5"/>
  <c r="BJ5" i="6"/>
  <c r="BK20" i="6"/>
  <c r="BJ40" i="6"/>
  <c r="BK10" i="6"/>
  <c r="BN5" i="5"/>
  <c r="BK10" i="5"/>
  <c r="BJ15" i="5"/>
  <c r="BJ20" i="5"/>
  <c r="BE5" i="6"/>
  <c r="O4" i="7" s="1"/>
  <c r="BL15" i="6"/>
  <c r="BL20" i="6"/>
  <c r="BJ25" i="6"/>
  <c r="BL35" i="6"/>
  <c r="BK40" i="6"/>
  <c r="BK25" i="5"/>
  <c r="BK30" i="6"/>
  <c r="BH10" i="5"/>
  <c r="BK15" i="5"/>
  <c r="BL30" i="5"/>
  <c r="BK35" i="5"/>
  <c r="BK5" i="6"/>
  <c r="BI10" i="6"/>
  <c r="BN20" i="6"/>
  <c r="BL40" i="6"/>
  <c r="BN30" i="5"/>
  <c r="BL10" i="5"/>
  <c r="BL15" i="5"/>
  <c r="BL46" i="5" s="1"/>
  <c r="BK20" i="5"/>
  <c r="BJ25" i="5"/>
  <c r="BJ10" i="6"/>
  <c r="BN15" i="6"/>
  <c r="BK25" i="6"/>
  <c r="BJ30" i="6"/>
  <c r="BN35" i="6"/>
  <c r="BH40" i="6"/>
  <c r="BM40" i="6"/>
  <c r="V5" i="3"/>
  <c r="V9" i="3"/>
  <c r="I16" i="3"/>
  <c r="BP48" i="5"/>
  <c r="L15" i="5"/>
  <c r="BS45" i="6"/>
  <c r="BS46" i="6"/>
  <c r="BS47" i="6"/>
  <c r="AW50" i="6"/>
  <c r="C35" i="1" s="1"/>
  <c r="J16" i="7" s="1"/>
  <c r="X13" i="3"/>
  <c r="P16" i="3"/>
  <c r="BQ45" i="5"/>
  <c r="P14" i="3"/>
  <c r="V14" i="3" s="1"/>
  <c r="C10" i="1" s="1"/>
  <c r="AF45" i="5"/>
  <c r="BR48" i="5"/>
  <c r="BP46" i="5"/>
  <c r="AF45" i="6"/>
  <c r="L22" i="6"/>
  <c r="BP45" i="5"/>
  <c r="AF48" i="5"/>
  <c r="BQ48" i="5"/>
  <c r="BT48" i="5"/>
  <c r="BR46" i="5"/>
  <c r="BR45" i="5"/>
  <c r="AF47" i="6"/>
  <c r="L26" i="6"/>
  <c r="L30" i="6"/>
  <c r="BS47" i="5"/>
  <c r="BR45" i="6"/>
  <c r="BR48" i="6"/>
  <c r="BS45" i="5"/>
  <c r="K48" i="5"/>
  <c r="AF47" i="5"/>
  <c r="BQ47" i="5"/>
  <c r="BT45" i="5"/>
  <c r="BP45" i="6"/>
  <c r="BP48" i="6"/>
  <c r="BP46" i="6"/>
  <c r="L40" i="6"/>
  <c r="K48" i="6"/>
  <c r="AF48" i="6"/>
  <c r="BQ48" i="6"/>
  <c r="BS48" i="6"/>
  <c r="BI5" i="6" a="1"/>
  <c r="BA35" i="6" a="1"/>
  <c r="BA10" i="6" a="1"/>
  <c r="BH15" i="6" a="1"/>
  <c r="BB20" i="6" a="1"/>
  <c r="AZ15" i="6" a="1"/>
  <c r="BC10" i="5" a="1"/>
  <c r="BI25" i="5" a="1"/>
  <c r="BH20" i="5" a="1"/>
  <c r="BM30" i="5" a="1"/>
  <c r="BB30" i="5" a="1"/>
  <c r="BA10" i="5" a="1"/>
  <c r="AZ5" i="5" a="1"/>
  <c r="BD25" i="5" a="1"/>
  <c r="BD10" i="6" a="1"/>
  <c r="BC10" i="6" a="1"/>
  <c r="BD5" i="6" a="1"/>
  <c r="BE25" i="6" a="1"/>
  <c r="BC15" i="6" a="1"/>
  <c r="BH20" i="6" a="1"/>
  <c r="BC25" i="6" a="1"/>
  <c r="BM10" i="5" a="1"/>
  <c r="BD35" i="5" a="1"/>
  <c r="BI40" i="5" a="1"/>
  <c r="BM40" i="5" a="1"/>
  <c r="BI20" i="5" a="1"/>
  <c r="BE5" i="5" a="1"/>
  <c r="BD30" i="5" a="1"/>
  <c r="BM30" i="6" a="1"/>
  <c r="BB5" i="6" a="1"/>
  <c r="AZ5" i="6" a="1"/>
  <c r="BM5" i="6" a="1"/>
  <c r="BF15" i="6" a="1"/>
  <c r="BF10" i="6" a="1"/>
  <c r="BM25" i="6" a="1"/>
  <c r="BB5" i="5" a="1"/>
  <c r="BH25" i="5" a="1"/>
  <c r="BA5" i="5" a="1"/>
  <c r="AZ35" i="5" a="1"/>
  <c r="BF35" i="5" a="1"/>
  <c r="BH5" i="5" a="1"/>
  <c r="BI30" i="6" a="1"/>
  <c r="BF5" i="6" a="1"/>
  <c r="BB35" i="6" a="1"/>
  <c r="BM15" i="6" a="1"/>
  <c r="BB15" i="6" a="1"/>
  <c r="BB10" i="6" a="1"/>
  <c r="BI25" i="6" a="1"/>
  <c r="AZ40" i="5" a="1"/>
  <c r="BA40" i="5" a="1"/>
  <c r="BI15" i="5" a="1"/>
  <c r="BF5" i="5" a="1"/>
  <c r="BI10" i="5" a="1"/>
  <c r="BB40" i="5" a="1"/>
  <c r="BH30" i="6" a="1"/>
  <c r="AZ25" i="6" a="1"/>
  <c r="BA5" i="6" a="1"/>
  <c r="BE15" i="6" a="1"/>
  <c r="BI35" i="6" a="1"/>
  <c r="BE10" i="6" a="1"/>
  <c r="BF35" i="6" a="1"/>
  <c r="BA35" i="5" a="1"/>
  <c r="BA20" i="5" a="1"/>
  <c r="BF20" i="5" a="1"/>
  <c r="BM25" i="5" a="1"/>
  <c r="BC25" i="5" a="1"/>
  <c r="BI5" i="5" a="1"/>
  <c r="AZ25" i="5" a="1"/>
  <c r="AZ10" i="5" a="1"/>
  <c r="BH25" i="6" a="1"/>
  <c r="BH10" i="6" a="1"/>
  <c r="BI15" i="6" a="1"/>
  <c r="BH5" i="6" a="1"/>
  <c r="BA25" i="6" a="1"/>
  <c r="BC20" i="6" a="1"/>
  <c r="BB25" i="6" a="1"/>
  <c r="AZ30" i="5" a="1"/>
  <c r="BH35" i="5" a="1"/>
  <c r="BB20" i="5" a="1"/>
  <c r="BD5" i="5" a="1"/>
  <c r="BD20" i="5" a="1"/>
  <c r="BI35" i="5" a="1"/>
  <c r="BE35" i="5" a="1"/>
  <c r="BI30" i="5" a="1"/>
  <c r="BC35" i="6" a="1"/>
  <c r="AZ35" i="6" a="1"/>
  <c r="BC5" i="6" a="1"/>
  <c r="AZ10" i="6" a="1"/>
  <c r="BA15" i="6" a="1"/>
  <c r="BI20" i="6" a="1"/>
  <c r="BD25" i="6" a="1"/>
  <c r="BC5" i="5" a="1"/>
  <c r="BC40" i="5" a="1"/>
  <c r="BF25" i="5" a="1"/>
  <c r="BD40" i="5" a="1"/>
  <c r="AZ20" i="5" a="1"/>
  <c r="BB10" i="5" a="1"/>
  <c r="BC35" i="5" a="1"/>
  <c r="BA30" i="5" a="1"/>
  <c r="BE25" i="5" a="1"/>
  <c r="BB35" i="5" a="1"/>
  <c r="BF30" i="5" a="1"/>
  <c r="BC30" i="5" a="1"/>
  <c r="BC20" i="5" a="1"/>
  <c r="BE10" i="5" a="1"/>
  <c r="BH35" i="6" a="1"/>
  <c r="BD35" i="6" a="1"/>
  <c r="BE35" i="6" a="1"/>
  <c r="BF25" i="6" a="1"/>
  <c r="BM10" i="6" a="1"/>
  <c r="BD15" i="6" a="1"/>
  <c r="BF40" i="5" a="1"/>
  <c r="BM15" i="5" a="1"/>
  <c r="BM20" i="5" a="1"/>
  <c r="BB25" i="5" a="1"/>
  <c r="BD10" i="5" a="1"/>
  <c r="BF10" i="5" a="1"/>
  <c r="BE30" i="5" a="1"/>
  <c r="BE20" i="5" a="1"/>
  <c r="BM35" i="5" a="1"/>
  <c r="BA25" i="5" a="1"/>
  <c r="BC10" i="6" l="1"/>
  <c r="M5" i="7" s="1"/>
  <c r="BD10" i="6"/>
  <c r="N5" i="7" s="1"/>
  <c r="BK46" i="6"/>
  <c r="BN45" i="6"/>
  <c r="BL45" i="5"/>
  <c r="BN45" i="5"/>
  <c r="BF40" i="5"/>
  <c r="I11" i="7" s="1"/>
  <c r="BJ46" i="5"/>
  <c r="BK48" i="5"/>
  <c r="BL47" i="5"/>
  <c r="BL48" i="6"/>
  <c r="BN46" i="6"/>
  <c r="BJ45" i="6"/>
  <c r="BN47" i="5"/>
  <c r="BL46" i="6"/>
  <c r="BN48" i="6"/>
  <c r="BK48" i="6"/>
  <c r="BN47" i="6"/>
  <c r="BJ48" i="6"/>
  <c r="BJ47" i="5"/>
  <c r="BN48" i="5"/>
  <c r="BJ45" i="5"/>
  <c r="BK46" i="5"/>
  <c r="BI35" i="5"/>
  <c r="BA20" i="5"/>
  <c r="D7" i="7" s="1"/>
  <c r="BB25" i="6"/>
  <c r="BI35" i="6"/>
  <c r="BM35" i="5"/>
  <c r="BI25" i="6"/>
  <c r="BE10" i="6"/>
  <c r="BB15" i="6"/>
  <c r="L6" i="7" s="1"/>
  <c r="BC40" i="5"/>
  <c r="F11" i="7" s="1"/>
  <c r="BB40" i="5"/>
  <c r="E11" i="7" s="1"/>
  <c r="AZ10" i="5"/>
  <c r="C5" i="7" s="1"/>
  <c r="BA40" i="5"/>
  <c r="D11" i="7" s="1"/>
  <c r="BA5" i="5"/>
  <c r="D4" i="7" s="1"/>
  <c r="BD5" i="5"/>
  <c r="G4" i="7" s="1"/>
  <c r="BD35" i="5"/>
  <c r="G10" i="7" s="1"/>
  <c r="AZ30" i="5"/>
  <c r="C9" i="7" s="1"/>
  <c r="BC25" i="5"/>
  <c r="F8" i="7" s="1"/>
  <c r="BE15" i="6"/>
  <c r="O6" i="7" s="1"/>
  <c r="BD30" i="5"/>
  <c r="G9" i="7" s="1"/>
  <c r="BI15" i="6"/>
  <c r="BD35" i="6"/>
  <c r="N10" i="7" s="1"/>
  <c r="BH35" i="6"/>
  <c r="BF35" i="6"/>
  <c r="P10" i="7" s="1"/>
  <c r="BM25" i="6"/>
  <c r="BB10" i="6"/>
  <c r="L5" i="7" s="1"/>
  <c r="BA10" i="5"/>
  <c r="D5" i="7" s="1"/>
  <c r="BF15" i="6"/>
  <c r="P6" i="7" s="1"/>
  <c r="BH5" i="5"/>
  <c r="BH45" i="5" s="1"/>
  <c r="BF30" i="5"/>
  <c r="I9" i="7" s="1"/>
  <c r="BM25" i="5"/>
  <c r="BI40" i="5"/>
  <c r="BA35" i="5"/>
  <c r="D10" i="7" s="1"/>
  <c r="BB20" i="5"/>
  <c r="E7" i="7" s="1"/>
  <c r="AZ25" i="5"/>
  <c r="C8" i="7" s="1"/>
  <c r="BM15" i="6"/>
  <c r="BM46" i="6" s="1"/>
  <c r="BE10" i="5"/>
  <c r="H5" i="7" s="1"/>
  <c r="BA5" i="6"/>
  <c r="BI5" i="6"/>
  <c r="AZ35" i="6"/>
  <c r="J10" i="7" s="1"/>
  <c r="BC35" i="6"/>
  <c r="M10" i="7" s="1"/>
  <c r="BC25" i="6"/>
  <c r="BF10" i="6"/>
  <c r="P5" i="7" s="1"/>
  <c r="BC15" i="6"/>
  <c r="BI15" i="5"/>
  <c r="BB30" i="5"/>
  <c r="E9" i="7" s="1"/>
  <c r="BF5" i="5"/>
  <c r="I4" i="7" s="1"/>
  <c r="BI25" i="5"/>
  <c r="AZ40" i="5"/>
  <c r="C11" i="7" s="1"/>
  <c r="BE35" i="5"/>
  <c r="H10" i="7" s="1"/>
  <c r="BF20" i="5"/>
  <c r="I7" i="7" s="1"/>
  <c r="BD25" i="5"/>
  <c r="G8" i="7" s="1"/>
  <c r="BI20" i="5"/>
  <c r="BM5" i="6"/>
  <c r="BB35" i="6"/>
  <c r="L10" i="7" s="1"/>
  <c r="BD25" i="6"/>
  <c r="N8" i="7" s="1"/>
  <c r="BH10" i="6"/>
  <c r="BI5" i="5"/>
  <c r="BE5" i="5"/>
  <c r="H4" i="7" s="1"/>
  <c r="BH25" i="6"/>
  <c r="BH25" i="5"/>
  <c r="AZ15" i="6"/>
  <c r="J6" i="7" s="1"/>
  <c r="BH20" i="6"/>
  <c r="BH20" i="5"/>
  <c r="BH46" i="5" s="1"/>
  <c r="BB5" i="5"/>
  <c r="E4" i="7" s="1"/>
  <c r="BH35" i="5"/>
  <c r="BF35" i="5"/>
  <c r="I10" i="7" s="1"/>
  <c r="BC20" i="5"/>
  <c r="F7" i="7" s="1"/>
  <c r="BA25" i="5"/>
  <c r="D8" i="7" s="1"/>
  <c r="BD10" i="5"/>
  <c r="G5" i="7" s="1"/>
  <c r="AZ35" i="5"/>
  <c r="C10" i="7" s="1"/>
  <c r="BH15" i="6"/>
  <c r="BE25" i="6"/>
  <c r="O8" i="7" s="1"/>
  <c r="AZ5" i="6"/>
  <c r="J4" i="7" s="1"/>
  <c r="BA25" i="6"/>
  <c r="K8" i="7" s="1"/>
  <c r="AZ25" i="6"/>
  <c r="J8" i="7" s="1"/>
  <c r="AZ5" i="5"/>
  <c r="C4" i="7" s="1"/>
  <c r="BH30" i="6"/>
  <c r="BM40" i="5"/>
  <c r="BM15" i="5"/>
  <c r="BD15" i="6"/>
  <c r="N6" i="7" s="1"/>
  <c r="BB20" i="6"/>
  <c r="L7" i="7" s="1"/>
  <c r="BE30" i="5"/>
  <c r="H9" i="7" s="1"/>
  <c r="BC30" i="5"/>
  <c r="F9" i="7" s="1"/>
  <c r="BE20" i="5"/>
  <c r="H7" i="7" s="1"/>
  <c r="BE25" i="5"/>
  <c r="H8" i="7" s="1"/>
  <c r="BF25" i="6"/>
  <c r="P8" i="7" s="1"/>
  <c r="BA10" i="6"/>
  <c r="K5" i="7" s="1"/>
  <c r="BD5" i="6"/>
  <c r="BH5" i="6"/>
  <c r="BH45" i="6" s="1"/>
  <c r="BF5" i="6"/>
  <c r="P4" i="7" s="1"/>
  <c r="BI30" i="6"/>
  <c r="BI20" i="6"/>
  <c r="BD40" i="5"/>
  <c r="G11" i="7" s="1"/>
  <c r="BM30" i="5"/>
  <c r="BM10" i="6"/>
  <c r="BM10" i="5"/>
  <c r="AZ10" i="6"/>
  <c r="J5" i="7" s="1"/>
  <c r="BA30" i="5"/>
  <c r="D9" i="7" s="1"/>
  <c r="BB35" i="5"/>
  <c r="E10" i="7" s="1"/>
  <c r="BF10" i="5"/>
  <c r="I5" i="7" s="1"/>
  <c r="AZ20" i="5"/>
  <c r="C7" i="7" s="1"/>
  <c r="BB25" i="5"/>
  <c r="E8" i="7" s="1"/>
  <c r="BC5" i="5"/>
  <c r="F4" i="7" s="1"/>
  <c r="BC10" i="5"/>
  <c r="F5" i="7" s="1"/>
  <c r="BE35" i="6"/>
  <c r="O10" i="7" s="1"/>
  <c r="BA35" i="6"/>
  <c r="K10" i="7" s="1"/>
  <c r="BC5" i="6"/>
  <c r="M4" i="7" s="1"/>
  <c r="BB5" i="6"/>
  <c r="L4" i="7" s="1"/>
  <c r="BM30" i="6"/>
  <c r="BC20" i="6"/>
  <c r="M7" i="7" s="1"/>
  <c r="BM20" i="5"/>
  <c r="BA15" i="6"/>
  <c r="K6" i="7" s="1"/>
  <c r="BI10" i="5"/>
  <c r="BI30" i="5"/>
  <c r="BC35" i="5"/>
  <c r="F10" i="7" s="1"/>
  <c r="BB10" i="5"/>
  <c r="E5" i="7" s="1"/>
  <c r="BD20" i="5"/>
  <c r="G7" i="7" s="1"/>
  <c r="BF25" i="5"/>
  <c r="I8" i="7" s="1"/>
  <c r="BK45" i="6"/>
  <c r="BJ48" i="5"/>
  <c r="BJ47" i="6"/>
  <c r="BL48" i="5"/>
  <c r="BL45" i="6"/>
  <c r="BK47" i="6"/>
  <c r="BK45" i="5"/>
  <c r="BK47" i="5"/>
  <c r="BL47" i="6"/>
  <c r="BJ46" i="6"/>
  <c r="BN46" i="5"/>
  <c r="L8" i="7"/>
  <c r="V16" i="3"/>
  <c r="C12" i="1" s="1"/>
  <c r="BF30" i="6" a="1"/>
  <c r="BA20" i="6" a="1"/>
  <c r="BB30" i="6" a="1"/>
  <c r="BF15" i="5" a="1"/>
  <c r="BE30" i="6" a="1"/>
  <c r="BD15" i="5" a="1"/>
  <c r="AZ30" i="6" a="1"/>
  <c r="BE15" i="5" a="1"/>
  <c r="BA40" i="6" a="1"/>
  <c r="BA15" i="5" a="1"/>
  <c r="BE20" i="6" a="1"/>
  <c r="BB40" i="6" a="1"/>
  <c r="BD20" i="6" a="1"/>
  <c r="BC15" i="5" a="1"/>
  <c r="BE40" i="6" a="1"/>
  <c r="AZ40" i="6" a="1"/>
  <c r="BB15" i="5" a="1"/>
  <c r="BF40" i="6" a="1"/>
  <c r="BA30" i="6" a="1"/>
  <c r="BC40" i="6" a="1"/>
  <c r="AZ20" i="6" a="1"/>
  <c r="AZ15" i="5" a="1"/>
  <c r="BD40" i="6" a="1"/>
  <c r="BC30" i="6" a="1"/>
  <c r="BD30" i="6" a="1"/>
  <c r="BF20" i="6" a="1"/>
  <c r="BD45" i="6" l="1"/>
  <c r="G31" i="1" s="1"/>
  <c r="N12" i="7" s="1"/>
  <c r="BC45" i="6"/>
  <c r="F31" i="1" s="1"/>
  <c r="M12" i="7" s="1"/>
  <c r="BF45" i="6"/>
  <c r="I31" i="1" s="1"/>
  <c r="P12" i="7" s="1"/>
  <c r="BI48" i="6"/>
  <c r="BA45" i="6"/>
  <c r="D31" i="1" s="1"/>
  <c r="K12" i="7" s="1"/>
  <c r="N4" i="7"/>
  <c r="BC46" i="6"/>
  <c r="F32" i="1" s="1"/>
  <c r="M13" i="7" s="1"/>
  <c r="BI45" i="6"/>
  <c r="M6" i="7"/>
  <c r="AZ47" i="5"/>
  <c r="C21" i="1" s="1"/>
  <c r="C14" i="7" s="1"/>
  <c r="BH46" i="6"/>
  <c r="BF45" i="5"/>
  <c r="I19" i="1" s="1"/>
  <c r="I12" i="7" s="1"/>
  <c r="BI48" i="5"/>
  <c r="BM48" i="6"/>
  <c r="BM45" i="6"/>
  <c r="BE45" i="5"/>
  <c r="H19" i="1" s="1"/>
  <c r="H12" i="7" s="1"/>
  <c r="BA47" i="5"/>
  <c r="D21" i="1" s="1"/>
  <c r="D14" i="7" s="1"/>
  <c r="AZ45" i="5"/>
  <c r="C19" i="1" s="1"/>
  <c r="C12" i="7" s="1"/>
  <c r="BB45" i="5"/>
  <c r="E19" i="1" s="1"/>
  <c r="E12" i="7" s="1"/>
  <c r="BH48" i="5"/>
  <c r="BI45" i="5"/>
  <c r="BC45" i="5"/>
  <c r="F19" i="1" s="1"/>
  <c r="F12" i="7" s="1"/>
  <c r="BC47" i="5"/>
  <c r="F21" i="1" s="1"/>
  <c r="F14" i="7" s="1"/>
  <c r="BE47" i="5"/>
  <c r="H21" i="1" s="1"/>
  <c r="H14" i="7" s="1"/>
  <c r="AZ15" i="5"/>
  <c r="AZ48" i="5" s="1"/>
  <c r="C22" i="1" s="1"/>
  <c r="C15" i="7" s="1"/>
  <c r="BE15" i="5"/>
  <c r="BE48" i="5" s="1"/>
  <c r="H22" i="1" s="1"/>
  <c r="H15" i="7" s="1"/>
  <c r="AZ30" i="6"/>
  <c r="BC40" i="6"/>
  <c r="M11" i="7" s="1"/>
  <c r="BC30" i="6"/>
  <c r="BC47" i="6" s="1"/>
  <c r="F33" i="1" s="1"/>
  <c r="M14" i="7" s="1"/>
  <c r="BB15" i="5"/>
  <c r="BB48" i="5" s="1"/>
  <c r="E22" i="1" s="1"/>
  <c r="E15" i="7" s="1"/>
  <c r="BD30" i="6"/>
  <c r="BE20" i="6"/>
  <c r="BA15" i="5"/>
  <c r="BA48" i="5" s="1"/>
  <c r="D22" i="1" s="1"/>
  <c r="D15" i="7" s="1"/>
  <c r="BF40" i="6"/>
  <c r="P11" i="7" s="1"/>
  <c r="BF15" i="5"/>
  <c r="BF48" i="5" s="1"/>
  <c r="I22" i="1" s="1"/>
  <c r="I15" i="7" s="1"/>
  <c r="BF20" i="6"/>
  <c r="BA20" i="6"/>
  <c r="AZ40" i="6"/>
  <c r="J11" i="7" s="1"/>
  <c r="BD40" i="6"/>
  <c r="N11" i="7" s="1"/>
  <c r="BC15" i="5"/>
  <c r="BC48" i="5" s="1"/>
  <c r="F22" i="1" s="1"/>
  <c r="F15" i="7" s="1"/>
  <c r="BE30" i="6"/>
  <c r="BA40" i="6"/>
  <c r="K11" i="7" s="1"/>
  <c r="BA30" i="6"/>
  <c r="BB30" i="6"/>
  <c r="BE40" i="6"/>
  <c r="O11" i="7" s="1"/>
  <c r="BD20" i="6"/>
  <c r="BD15" i="5"/>
  <c r="G6" i="7" s="1"/>
  <c r="AZ20" i="6"/>
  <c r="BF30" i="6"/>
  <c r="BB40" i="6"/>
  <c r="L11" i="7" s="1"/>
  <c r="AZ45" i="6"/>
  <c r="C31" i="1" s="1"/>
  <c r="J12" i="7" s="1"/>
  <c r="BH48" i="6"/>
  <c r="K4" i="7"/>
  <c r="BM48" i="5"/>
  <c r="BM45" i="5"/>
  <c r="BM47" i="6"/>
  <c r="BF47" i="5"/>
  <c r="I21" i="1" s="1"/>
  <c r="I14" i="7" s="1"/>
  <c r="BM46" i="5"/>
  <c r="BI47" i="5"/>
  <c r="O5" i="7"/>
  <c r="BE45" i="6"/>
  <c r="H31" i="1" s="1"/>
  <c r="O12" i="7" s="1"/>
  <c r="BM47" i="5"/>
  <c r="BI47" i="6"/>
  <c r="BB46" i="6"/>
  <c r="E32" i="1" s="1"/>
  <c r="L13" i="7" s="1"/>
  <c r="BD45" i="5"/>
  <c r="G19" i="1" s="1"/>
  <c r="G12" i="7" s="1"/>
  <c r="BD47" i="5"/>
  <c r="G21" i="1" s="1"/>
  <c r="G14" i="7" s="1"/>
  <c r="M8" i="7"/>
  <c r="BH47" i="5"/>
  <c r="BI46" i="5"/>
  <c r="BI46" i="6"/>
  <c r="BA45" i="5"/>
  <c r="D19" i="1" s="1"/>
  <c r="D12" i="7" s="1"/>
  <c r="BB47" i="5"/>
  <c r="E21" i="1" s="1"/>
  <c r="E14" i="7" s="1"/>
  <c r="BB45" i="6"/>
  <c r="E31" i="1" s="1"/>
  <c r="L12" i="7" s="1"/>
  <c r="BH47" i="6"/>
  <c r="H6" i="7"/>
  <c r="BE46" i="5"/>
  <c r="H20" i="1" s="1"/>
  <c r="H13" i="7" s="1"/>
  <c r="F6" i="7"/>
  <c r="AZ46" i="5" l="1"/>
  <c r="C20" i="1" s="1"/>
  <c r="C13" i="7" s="1"/>
  <c r="BD46" i="5"/>
  <c r="G20" i="1" s="1"/>
  <c r="G13" i="7" s="1"/>
  <c r="BB46" i="5"/>
  <c r="E20" i="1" s="1"/>
  <c r="E13" i="7" s="1"/>
  <c r="BC46" i="5"/>
  <c r="F20" i="1" s="1"/>
  <c r="F13" i="7" s="1"/>
  <c r="BB48" i="6"/>
  <c r="E34" i="1" s="1"/>
  <c r="L15" i="7" s="1"/>
  <c r="BE48" i="6"/>
  <c r="H34" i="1" s="1"/>
  <c r="O15" i="7" s="1"/>
  <c r="BD48" i="5"/>
  <c r="G22" i="1" s="1"/>
  <c r="G15" i="7" s="1"/>
  <c r="I6" i="7"/>
  <c r="BF46" i="5"/>
  <c r="I20" i="1" s="1"/>
  <c r="I13" i="7" s="1"/>
  <c r="D6" i="7"/>
  <c r="P9" i="7"/>
  <c r="BF47" i="6"/>
  <c r="I33" i="1" s="1"/>
  <c r="P14" i="7" s="1"/>
  <c r="J7" i="7"/>
  <c r="AZ46" i="6"/>
  <c r="C32" i="1" s="1"/>
  <c r="J13" i="7" s="1"/>
  <c r="O7" i="7"/>
  <c r="BE46" i="6"/>
  <c r="H32" i="1" s="1"/>
  <c r="O13" i="7" s="1"/>
  <c r="N9" i="7"/>
  <c r="BD47" i="6"/>
  <c r="G33" i="1" s="1"/>
  <c r="N14" i="7" s="1"/>
  <c r="N7" i="7"/>
  <c r="BD46" i="6"/>
  <c r="G32" i="1" s="1"/>
  <c r="N13" i="7" s="1"/>
  <c r="BD48" i="6"/>
  <c r="G34" i="1" s="1"/>
  <c r="N15" i="7" s="1"/>
  <c r="E6" i="7"/>
  <c r="K7" i="7"/>
  <c r="BA46" i="6"/>
  <c r="D32" i="1" s="1"/>
  <c r="K13" i="7" s="1"/>
  <c r="BA48" i="6"/>
  <c r="D34" i="1" s="1"/>
  <c r="K15" i="7" s="1"/>
  <c r="M9" i="7"/>
  <c r="BC48" i="6"/>
  <c r="F34" i="1" s="1"/>
  <c r="M15" i="7" s="1"/>
  <c r="C6" i="7"/>
  <c r="BA46" i="5"/>
  <c r="D20" i="1" s="1"/>
  <c r="D13" i="7" s="1"/>
  <c r="L9" i="7"/>
  <c r="BB47" i="6"/>
  <c r="E33" i="1" s="1"/>
  <c r="L14" i="7" s="1"/>
  <c r="P7" i="7"/>
  <c r="BF48" i="6"/>
  <c r="I34" i="1" s="1"/>
  <c r="P15" i="7" s="1"/>
  <c r="BF46" i="6"/>
  <c r="I32" i="1" s="1"/>
  <c r="P13" i="7" s="1"/>
  <c r="AZ48" i="6"/>
  <c r="C34" i="1" s="1"/>
  <c r="J15" i="7" s="1"/>
  <c r="K9" i="7"/>
  <c r="BA47" i="6"/>
  <c r="D33" i="1" s="1"/>
  <c r="K14" i="7" s="1"/>
  <c r="J9" i="7"/>
  <c r="AZ47" i="6"/>
  <c r="C33" i="1" s="1"/>
  <c r="J14" i="7" s="1"/>
  <c r="O9" i="7"/>
  <c r="BE47" i="6"/>
  <c r="H33" i="1" s="1"/>
  <c r="O14" i="7" s="1"/>
</calcChain>
</file>

<file path=xl/sharedStrings.xml><?xml version="1.0" encoding="utf-8"?>
<sst xmlns="http://schemas.openxmlformats.org/spreadsheetml/2006/main" count="959" uniqueCount="432">
  <si>
    <t>Reference:</t>
  </si>
  <si>
    <t>F300_anchor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</si>
  <si>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</si>
  <si>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</si>
  <si>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</si>
  <si>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</si>
  <si>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</si>
  <si>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</si>
  <si>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</si>
  <si>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</si>
  <si>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</si>
  <si>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</si>
  <si>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</si>
  <si>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</si>
  <si>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</si>
  <si>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</si>
  <si>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</si>
  <si>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</si>
  <si>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</si>
  <si>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</si>
  <si>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</si>
  <si>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</si>
  <si>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</si>
  <si>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</si>
  <si>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</si>
  <si>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</si>
  <si>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</si>
  <si>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</si>
  <si>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</si>
  <si>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</si>
  <si>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</si>
  <si>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</si>
  <si>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</si>
  <si>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</si>
  <si>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</si>
  <si>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</si>
  <si>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</si>
  <si>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</si>
  <si>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</si>
  <si>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</si>
  <si>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</si>
  <si>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</si>
  <si>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</si>
  <si>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</si>
  <si>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</si>
  <si>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</si>
  <si>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</si>
  <si>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</si>
  <si>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</si>
  <si>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</si>
  <si>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</si>
  <si>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</si>
  <si>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</si>
  <si>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</si>
  <si>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</si>
  <si>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</si>
  <si>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</si>
  <si>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</si>
  <si>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</si>
  <si>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</si>
  <si>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</si>
  <si>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</si>
  <si>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</si>
  <si>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</si>
  <si>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</si>
  <si>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</si>
  <si>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</si>
  <si>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</si>
  <si>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</si>
  <si>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</si>
  <si>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</si>
  <si>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</si>
  <si>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</si>
  <si>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</si>
  <si>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</si>
  <si>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</si>
  <si>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</si>
  <si>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</si>
  <si>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</si>
  <si>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</si>
  <si>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</si>
  <si>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</si>
  <si>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</si>
  <si>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</si>
  <si>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</si>
  <si>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</si>
  <si>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</si>
  <si>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</si>
  <si>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</si>
  <si>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</si>
  <si>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</si>
  <si>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</si>
  <si>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</si>
  <si>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</si>
  <si>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</si>
  <si>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</si>
  <si>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</si>
  <si>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</si>
  <si>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</si>
  <si>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</si>
  <si>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</si>
  <si>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</si>
  <si>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</si>
  <si>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</si>
  <si>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</si>
  <si>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</si>
  <si>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</si>
  <si>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</si>
  <si>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</si>
  <si>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</si>
  <si>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</si>
  <si>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</si>
  <si>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</si>
  <si>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</si>
  <si>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</si>
  <si>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</si>
  <si>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</si>
  <si>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</si>
  <si>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</si>
  <si>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</si>
  <si>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</si>
  <si>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</si>
  <si>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</si>
  <si>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</si>
  <si>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</si>
  <si>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</si>
  <si>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</si>
  <si>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</si>
  <si>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</si>
  <si>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</si>
  <si>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</si>
  <si>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</si>
  <si>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</si>
  <si>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</si>
  <si>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</si>
  <si>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</si>
  <si>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</si>
  <si>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</si>
  <si>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</si>
  <si>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</si>
  <si>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</si>
  <si>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</si>
  <si>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</si>
  <si>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</si>
  <si>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</si>
  <si>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</si>
  <si>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</si>
  <si>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</si>
  <si>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</si>
  <si>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</si>
  <si>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</si>
  <si>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</si>
  <si>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</si>
  <si>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</si>
  <si>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</si>
  <si>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</si>
  <si>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</si>
  <si>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</si>
  <si>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</si>
  <si>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</si>
  <si>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anchor</t>
  </si>
  <si>
    <t>proposal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</si>
  <si>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</si>
  <si>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</si>
  <si>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</si>
  <si>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</si>
  <si>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</si>
  <si>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</si>
  <si>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</si>
  <si>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</si>
  <si>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</si>
  <si>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</si>
  <si>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</si>
  <si>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</si>
  <si>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</si>
  <si>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</si>
  <si>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</si>
  <si>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</si>
  <si>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</si>
  <si>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</si>
  <si>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</si>
  <si>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</si>
  <si>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</si>
  <si>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</si>
  <si>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</si>
  <si>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</si>
  <si>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</si>
  <si>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</si>
  <si>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</si>
  <si>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</si>
  <si>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</si>
  <si>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</si>
  <si>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</si>
  <si>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</si>
  <si>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</si>
  <si>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</si>
  <si>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</si>
  <si>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</si>
  <si>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</si>
  <si>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</si>
  <si>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</si>
  <si>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</si>
  <si>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</si>
  <si>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</si>
  <si>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</si>
  <si>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</si>
  <si>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</si>
  <si>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</si>
  <si>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</si>
  <si>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</si>
  <si>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</si>
  <si>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</si>
  <si>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</si>
  <si>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</si>
  <si>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</si>
  <si>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</si>
  <si>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</si>
  <si>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</si>
  <si>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</si>
  <si>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</si>
  <si>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</si>
  <si>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</si>
  <si>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</si>
  <si>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</si>
  <si>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</si>
  <si>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</si>
  <si>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</si>
  <si>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</si>
  <si>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</si>
  <si>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</si>
  <si>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</si>
  <si>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</si>
  <si>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</si>
  <si>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</si>
  <si>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</si>
  <si>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</si>
  <si>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</si>
  <si>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</si>
  <si>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</si>
  <si>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</si>
  <si>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</si>
  <si>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</si>
  <si>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</si>
  <si>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</si>
  <si>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</si>
  <si>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</si>
  <si>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</si>
  <si>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</si>
  <si>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</si>
  <si>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</si>
  <si>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</si>
  <si>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</si>
  <si>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</si>
  <si>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</si>
  <si>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</si>
  <si>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</si>
  <si>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</si>
  <si>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</si>
  <si>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</si>
  <si>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</si>
  <si>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</si>
  <si>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</si>
  <si>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</si>
  <si>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</si>
  <si>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</si>
  <si>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</si>
  <si>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</si>
  <si>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</si>
  <si>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</si>
  <si>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</si>
  <si>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</si>
  <si>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</si>
  <si>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</si>
  <si>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</si>
  <si>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</si>
  <si>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</si>
  <si>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</si>
  <si>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</si>
  <si>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</si>
  <si>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</si>
  <si>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</si>
  <si>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</si>
  <si>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</si>
  <si>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</si>
  <si>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</si>
  <si>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</si>
  <si>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</si>
  <si>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</si>
  <si>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AI'!$AD$1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</si>
  <si>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</si>
  <si>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</si>
  <si>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</si>
  <si>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</si>
  <si>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</si>
  <si>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</si>
  <si>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</si>
  <si>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</si>
  <si>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</si>
  <si>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</si>
  <si>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</si>
  <si>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</si>
  <si>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</si>
  <si>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</si>
  <si>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</si>
  <si>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</si>
  <si>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</si>
  <si>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</si>
  <si>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</si>
  <si>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</si>
  <si>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</si>
  <si>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</si>
  <si>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</si>
  <si>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</si>
  <si>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</si>
  <si>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</si>
  <si>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</si>
  <si>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</si>
  <si>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</si>
  <si>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</si>
  <si>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</si>
  <si>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</si>
  <si>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</si>
  <si>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</si>
  <si>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</si>
  <si>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</si>
  <si>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</si>
  <si>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</si>
  <si>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</si>
  <si>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</si>
  <si>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</si>
  <si>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</si>
  <si>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</si>
  <si>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</si>
  <si>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</si>
  <si>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</si>
  <si>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</si>
  <si>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</si>
  <si>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</si>
  <si>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</si>
  <si>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</si>
  <si>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</si>
  <si>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</si>
  <si>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</si>
  <si>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</si>
  <si>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</si>
  <si>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</si>
  <si>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</si>
  <si>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</si>
  <si>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</si>
  <si>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</si>
  <si>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</si>
  <si>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</si>
  <si>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</si>
  <si>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</si>
  <si>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</si>
  <si>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</si>
  <si>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</si>
  <si>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</si>
  <si>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</si>
  <si>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</si>
  <si>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</si>
  <si>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</si>
  <si>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RA'!$AD$1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</si>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</sst>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66.859035899999995</c:v>
                </c:pt>
                <c:pt idx="1">
                  <c:v>67.635221299999998</c:v>
                </c:pt>
                <c:pt idx="2">
                  <c:v>71.281697800000003</c:v>
                </c:pt>
                <c:pt idx="3">
                  <c:v>72.693794499999996</c:v>
                </c:pt>
                <c:pt idx="4">
                  <c:v>74.134071599999999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D-46C3-ABDE-F8AB3A47D679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D-46C3-ABDE-F8AB3A47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67.692203399999997</c:v>
                </c:pt>
                <c:pt idx="1">
                  <c:v>68.533892600000001</c:v>
                </c:pt>
                <c:pt idx="2">
                  <c:v>72.715512599999997</c:v>
                </c:pt>
                <c:pt idx="3">
                  <c:v>74.335202300000006</c:v>
                </c:pt>
                <c:pt idx="4">
                  <c:v>76.016294299999998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5-4C45-8933-89B8478E6A52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5-4C45-8933-89B8478E6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47.125759600000002</c:v>
                </c:pt>
                <c:pt idx="1">
                  <c:v>47.355525299999996</c:v>
                </c:pt>
                <c:pt idx="2">
                  <c:v>49.534861999999997</c:v>
                </c:pt>
                <c:pt idx="3">
                  <c:v>50.660338299999999</c:v>
                </c:pt>
                <c:pt idx="4">
                  <c:v>51.333244100000002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F-4827-8194-DCB38FBA1E09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1F-4827-8194-DCB38FBA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27.822080700000001</c:v>
                </c:pt>
                <c:pt idx="1">
                  <c:v>30.918242200000002</c:v>
                </c:pt>
                <c:pt idx="2">
                  <c:v>32.217352200000001</c:v>
                </c:pt>
                <c:pt idx="3">
                  <c:v>33.203740400000001</c:v>
                </c:pt>
                <c:pt idx="4">
                  <c:v>34.8167258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C-4743-BC88-F0797681A4E0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6C-4743-BC88-F0797681A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33.483128800000003</c:v>
                </c:pt>
                <c:pt idx="1">
                  <c:v>34.664624600000003</c:v>
                </c:pt>
                <c:pt idx="2">
                  <c:v>36.392876000000001</c:v>
                </c:pt>
                <c:pt idx="3">
                  <c:v>36.940676500000002</c:v>
                </c:pt>
                <c:pt idx="4">
                  <c:v>38.4997781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2-47EB-B455-40FDC6D25D9F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12-47EB-B455-40FDC6D25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32.863452899999999</c:v>
                </c:pt>
                <c:pt idx="1">
                  <c:v>34.161674099999999</c:v>
                </c:pt>
                <c:pt idx="2">
                  <c:v>36.1256275</c:v>
                </c:pt>
                <c:pt idx="3">
                  <c:v>36.671137899999998</c:v>
                </c:pt>
                <c:pt idx="4">
                  <c:v>38.189272099999997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3A-4252-93D7-17C8171C4FCC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3A-4252-93D7-17C8171C4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F300_anchor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4.1907936000000001</c:v>
                </c:pt>
                <c:pt idx="1">
                  <c:v>8.3586711999999999</c:v>
                </c:pt>
                <c:pt idx="2">
                  <c:v>11.853187999999999</c:v>
                </c:pt>
                <c:pt idx="3">
                  <c:v>15.003436800000001</c:v>
                </c:pt>
                <c:pt idx="4">
                  <c:v>22.648175999999999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26.3747528</c:v>
                </c:pt>
                <c:pt idx="1">
                  <c:v>28.042404999999999</c:v>
                </c:pt>
                <c:pt idx="2">
                  <c:v>29.964031500000001</c:v>
                </c:pt>
                <c:pt idx="3">
                  <c:v>30.887225699999998</c:v>
                </c:pt>
                <c:pt idx="4">
                  <c:v>32.160299199999997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D-41A8-87AD-4EA21F397FC1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0D-41A8-87AD-4EA21F397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C2" sqref="C2:E2"/>
    </sheetView>
  </sheetViews>
  <sheetFormatPr defaultColWidth="9.125" defaultRowHeight="13.5" x14ac:dyDescent="0.15"/>
  <cols>
    <col min="2" max="2" width="16.75" style="98" customWidth="1"/>
    <col min="3" max="9" width="24.75" style="98" customWidth="1"/>
  </cols>
  <sheetData>
    <row r="1" spans="2:9" x14ac:dyDescent="0.15">
      <c r="B1" t="s">
        <v>0</v>
      </c>
      <c r="C1" s="106" t="s">
        <v>1</v>
      </c>
      <c r="D1" s="107"/>
      <c r="E1" s="107"/>
    </row>
    <row r="2" spans="2:9" x14ac:dyDescent="0.15">
      <c r="B2" t="s">
        <v>2</v>
      </c>
      <c r="C2" s="108"/>
      <c r="D2" s="107"/>
      <c r="E2" s="107"/>
    </row>
    <row r="4" spans="2:9" s="1" customFormat="1" x14ac:dyDescent="0.15">
      <c r="B4" s="1" t="s">
        <v>3</v>
      </c>
    </row>
    <row r="6" spans="2:9" ht="45" customHeight="1" x14ac:dyDescent="0.15">
      <c r="B6" s="109" t="s">
        <v>4</v>
      </c>
      <c r="C6" s="101" t="s">
        <v>5</v>
      </c>
    </row>
    <row r="7" spans="2:9" x14ac:dyDescent="0.15">
      <c r="B7" s="107"/>
      <c r="C7" s="102" t="s">
        <v>6</v>
      </c>
    </row>
    <row r="8" spans="2:9" x14ac:dyDescent="0.15">
      <c r="B8" s="110"/>
      <c r="C8" s="2" t="s">
        <v>7</v>
      </c>
    </row>
    <row r="9" spans="2:9" x14ac:dyDescent="0.15">
      <c r="B9" t="s">
        <v>8</v>
      </c>
      <c r="C9" s="3" t="e">
        <f>'C0 lossless AI'!V13</f>
        <v>#DIV/0!</v>
      </c>
    </row>
    <row r="10" spans="2:9" x14ac:dyDescent="0.15">
      <c r="B10" t="s">
        <v>9</v>
      </c>
      <c r="C10" s="3" t="e">
        <f>'C0 lossless AI'!V14</f>
        <v>#DIV/0!</v>
      </c>
    </row>
    <row r="11" spans="2:9" x14ac:dyDescent="0.15">
      <c r="B11" t="s">
        <v>10</v>
      </c>
      <c r="C11" s="3" t="e">
        <f>'C0 lossless AI'!V15</f>
        <v>#DIV/0!</v>
      </c>
    </row>
    <row r="12" spans="2:9" x14ac:dyDescent="0.15">
      <c r="B12" s="4" t="s">
        <v>11</v>
      </c>
      <c r="C12" s="5" t="e">
        <f>'C0 lossless AI'!V16</f>
        <v>#DIV/0!</v>
      </c>
    </row>
    <row r="13" spans="2:9" x14ac:dyDescent="0.15">
      <c r="B13" t="s">
        <v>12</v>
      </c>
      <c r="C13" s="97">
        <f>'C0 lossless AI'!S18</f>
        <v>0</v>
      </c>
    </row>
    <row r="14" spans="2:9" x14ac:dyDescent="0.15">
      <c r="B14" s="100" t="s">
        <v>13</v>
      </c>
      <c r="C14" s="99">
        <f>'C0 lossless AI'!T18</f>
        <v>0</v>
      </c>
    </row>
    <row r="16" spans="2:9" x14ac:dyDescent="0.15">
      <c r="B16" s="109" t="s">
        <v>14</v>
      </c>
      <c r="C16" s="111" t="s">
        <v>15</v>
      </c>
      <c r="D16" s="112"/>
      <c r="E16" s="112"/>
      <c r="F16" s="112"/>
      <c r="G16" s="112"/>
      <c r="H16" s="112"/>
      <c r="I16" s="112"/>
    </row>
    <row r="17" spans="2:9" x14ac:dyDescent="0.15">
      <c r="B17" s="107"/>
      <c r="C17" s="113" t="s">
        <v>16</v>
      </c>
      <c r="D17" s="107"/>
      <c r="E17" s="107"/>
      <c r="F17" s="107"/>
      <c r="G17" s="107"/>
      <c r="H17" s="114" t="s">
        <v>17</v>
      </c>
      <c r="I17" s="107"/>
    </row>
    <row r="18" spans="2:9" x14ac:dyDescent="0.15">
      <c r="B18" s="110"/>
      <c r="C18" s="2" t="s">
        <v>18</v>
      </c>
      <c r="D18" s="2" t="s">
        <v>19</v>
      </c>
      <c r="E18" s="2" t="s">
        <v>20</v>
      </c>
      <c r="F18" s="2" t="s">
        <v>21</v>
      </c>
      <c r="G18" s="2" t="s">
        <v>22</v>
      </c>
      <c r="H18" s="6" t="s">
        <v>23</v>
      </c>
      <c r="I18" s="6" t="s">
        <v>20</v>
      </c>
    </row>
    <row r="19" spans="2:9" x14ac:dyDescent="0.15">
      <c r="B19" t="s">
        <v>8</v>
      </c>
      <c r="C19" s="3" t="e">
        <f>'C1 lossy AI'!$AZ$45:$AZ$45</f>
        <v>#DIV/0!</v>
      </c>
      <c r="D19" s="3" t="e">
        <f>'C1 lossy AI'!$BA$45:$BA$45</f>
        <v>#DIV/0!</v>
      </c>
      <c r="E19" s="3" t="e">
        <f>'C1 lossy AI'!$BB$45:$BB$45</f>
        <v>#DIV/0!</v>
      </c>
      <c r="F19" s="3" t="e">
        <f>'C1 lossy AI'!$BC$45:$BC$45</f>
        <v>#DIV/0!</v>
      </c>
      <c r="G19" s="3" t="e">
        <f>'C1 lossy AI'!$BD$45:$BD$45</f>
        <v>#DIV/0!</v>
      </c>
      <c r="H19" s="3" t="e">
        <f>'C1 lossy AI'!$BE$45:$BE$45</f>
        <v>#DIV/0!</v>
      </c>
      <c r="I19" s="3" t="e">
        <f>'C1 lossy AI'!$BF$45:$BF$45</f>
        <v>#DIV/0!</v>
      </c>
    </row>
    <row r="20" spans="2:9" x14ac:dyDescent="0.15">
      <c r="B20" t="s">
        <v>9</v>
      </c>
      <c r="C20" s="3" t="e">
        <f>'C1 lossy AI'!$AZ$46:$AZ$46</f>
        <v>#DIV/0!</v>
      </c>
      <c r="D20" s="3" t="e">
        <f>'C1 lossy AI'!$BA$46:$BA$46</f>
        <v>#DIV/0!</v>
      </c>
      <c r="E20" s="3" t="e">
        <f>'C1 lossy AI'!$BB$46:$BB$46</f>
        <v>#DIV/0!</v>
      </c>
      <c r="F20" s="3" t="e">
        <f>'C1 lossy AI'!$BC$46:$BC$46</f>
        <v>#DIV/0!</v>
      </c>
      <c r="G20" s="3" t="e">
        <f>'C1 lossy AI'!$BD$46:$BD$46</f>
        <v>#DIV/0!</v>
      </c>
      <c r="H20" s="3" t="e">
        <f>'C1 lossy AI'!$BE$46:$BE$46</f>
        <v>#DIV/0!</v>
      </c>
      <c r="I20" s="3" t="e">
        <f>'C1 lossy AI'!$BF$46:$BF$46</f>
        <v>#DIV/0!</v>
      </c>
    </row>
    <row r="21" spans="2:9" x14ac:dyDescent="0.15">
      <c r="B21" t="s">
        <v>10</v>
      </c>
      <c r="C21" s="3" t="e">
        <f>'C1 lossy AI'!$AZ$47:$AZ$47</f>
        <v>#DIV/0!</v>
      </c>
      <c r="D21" s="3" t="e">
        <f>'C1 lossy AI'!$BA$47:$BA$47</f>
        <v>#DIV/0!</v>
      </c>
      <c r="E21" s="3" t="e">
        <f>'C1 lossy AI'!$BB$47:$BB$47</f>
        <v>#DIV/0!</v>
      </c>
      <c r="F21" s="3" t="e">
        <f>'C1 lossy AI'!$BC$47:$BC$47</f>
        <v>#DIV/0!</v>
      </c>
      <c r="G21" s="3" t="e">
        <f>'C1 lossy AI'!$BD$47:$BD$47</f>
        <v>#DIV/0!</v>
      </c>
      <c r="H21" s="3" t="e">
        <f>'C1 lossy AI'!$BE$47:$BE$47</f>
        <v>#DIV/0!</v>
      </c>
      <c r="I21" s="3" t="e">
        <f>'C1 lossy AI'!$BF$47:$BF$47</f>
        <v>#DIV/0!</v>
      </c>
    </row>
    <row r="22" spans="2:9" x14ac:dyDescent="0.15">
      <c r="B22" s="4" t="s">
        <v>11</v>
      </c>
      <c r="C22" s="5" t="e">
        <f>'C1 lossy AI'!$AZ$48:$AZ$48</f>
        <v>#DIV/0!</v>
      </c>
      <c r="D22" s="5" t="e">
        <f>'C1 lossy AI'!$BA$48:$BA$48</f>
        <v>#DIV/0!</v>
      </c>
      <c r="E22" s="5" t="e">
        <f>'C1 lossy AI'!$BB$48:$BB$48</f>
        <v>#DIV/0!</v>
      </c>
      <c r="F22" s="5" t="e">
        <f>'C1 lossy AI'!$BC$48:$BC$48</f>
        <v>#DIV/0!</v>
      </c>
      <c r="G22" s="5" t="e">
        <f>'C1 lossy AI'!$BD$48:$BD$48</f>
        <v>#DIV/0!</v>
      </c>
      <c r="H22" s="5" t="e">
        <f>'C1 lossy AI'!$BE$48:$BE$48</f>
        <v>#DIV/0!</v>
      </c>
      <c r="I22" s="5" t="e">
        <f>'C1 lossy AI'!$BF$48:$BF$48</f>
        <v>#DIV/0!</v>
      </c>
    </row>
    <row r="23" spans="2:9" x14ac:dyDescent="0.15">
      <c r="B23" t="s">
        <v>12</v>
      </c>
      <c r="C23" s="115">
        <f>'C1 lossy AI'!AW50</f>
        <v>0</v>
      </c>
      <c r="D23" s="107"/>
      <c r="E23" s="107"/>
      <c r="F23" s="107"/>
      <c r="G23" s="107"/>
      <c r="H23" s="107"/>
      <c r="I23" s="107"/>
    </row>
    <row r="24" spans="2:9" x14ac:dyDescent="0.15">
      <c r="B24" s="100" t="s">
        <v>13</v>
      </c>
      <c r="C24" s="116">
        <f>'C1 lossy AI'!AX50</f>
        <v>0</v>
      </c>
      <c r="D24" s="110"/>
      <c r="E24" s="110"/>
      <c r="F24" s="110"/>
      <c r="G24" s="110"/>
      <c r="H24" s="110"/>
      <c r="I24" s="110"/>
    </row>
    <row r="26" spans="2:9" s="1" customFormat="1" x14ac:dyDescent="0.15">
      <c r="B26" s="1" t="s">
        <v>24</v>
      </c>
    </row>
    <row r="28" spans="2:9" x14ac:dyDescent="0.15">
      <c r="B28" s="109" t="s">
        <v>25</v>
      </c>
      <c r="C28" s="111" t="s">
        <v>26</v>
      </c>
      <c r="D28" s="112"/>
      <c r="E28" s="112"/>
      <c r="F28" s="112"/>
      <c r="G28" s="112"/>
      <c r="H28" s="112"/>
      <c r="I28" s="112"/>
    </row>
    <row r="29" spans="2:9" x14ac:dyDescent="0.15">
      <c r="B29" s="107"/>
      <c r="C29" s="113" t="s">
        <v>16</v>
      </c>
      <c r="D29" s="107"/>
      <c r="E29" s="107"/>
      <c r="F29" s="107"/>
      <c r="G29" s="107"/>
      <c r="H29" s="114" t="s">
        <v>17</v>
      </c>
      <c r="I29" s="107"/>
    </row>
    <row r="30" spans="2:9" x14ac:dyDescent="0.15">
      <c r="B30" s="110"/>
      <c r="C30" s="2" t="s">
        <v>18</v>
      </c>
      <c r="D30" s="2" t="s">
        <v>19</v>
      </c>
      <c r="E30" s="2" t="s">
        <v>20</v>
      </c>
      <c r="F30" s="2" t="s">
        <v>21</v>
      </c>
      <c r="G30" s="2" t="s">
        <v>22</v>
      </c>
      <c r="H30" s="6" t="s">
        <v>23</v>
      </c>
      <c r="I30" s="6" t="s">
        <v>20</v>
      </c>
    </row>
    <row r="31" spans="2:9" x14ac:dyDescent="0.15">
      <c r="B31" t="s">
        <v>8</v>
      </c>
      <c r="C31" s="3" t="e">
        <f>'C2 lossy RA'!$AZ$45:$AZ$45</f>
        <v>#DIV/0!</v>
      </c>
      <c r="D31" s="3" t="e">
        <f>'C2 lossy RA'!$BA$45:$BA$45</f>
        <v>#DIV/0!</v>
      </c>
      <c r="E31" s="3" t="e">
        <f>'C2 lossy RA'!$BB$45:$BB$45</f>
        <v>#DIV/0!</v>
      </c>
      <c r="F31" s="3" t="e">
        <f>'C2 lossy RA'!$BC$45:$BC$45</f>
        <v>#DIV/0!</v>
      </c>
      <c r="G31" s="3" t="e">
        <f>'C2 lossy RA'!$BD$45:$BD$45</f>
        <v>#DIV/0!</v>
      </c>
      <c r="H31" s="3" t="e">
        <f>'C2 lossy RA'!$BE$45:$BE$45</f>
        <v>#DIV/0!</v>
      </c>
      <c r="I31" s="3" t="e">
        <f>'C2 lossy RA'!$BF$45:$BF$45</f>
        <v>#DIV/0!</v>
      </c>
    </row>
    <row r="32" spans="2:9" x14ac:dyDescent="0.15">
      <c r="B32" t="s">
        <v>9</v>
      </c>
      <c r="C32" s="3" t="e">
        <f>'C2 lossy RA'!$AZ$46:$AZ$46</f>
        <v>#DIV/0!</v>
      </c>
      <c r="D32" s="3" t="e">
        <f>'C2 lossy RA'!$BA$46:$BA$46</f>
        <v>#DIV/0!</v>
      </c>
      <c r="E32" s="3" t="e">
        <f>'C2 lossy RA'!$BB$46:$BB$46</f>
        <v>#DIV/0!</v>
      </c>
      <c r="F32" s="3" t="e">
        <f>'C2 lossy RA'!$BC$46:$BC$46</f>
        <v>#DIV/0!</v>
      </c>
      <c r="G32" s="3" t="e">
        <f>'C2 lossy RA'!$BD$46:$BD$46</f>
        <v>#DIV/0!</v>
      </c>
      <c r="H32" s="3" t="e">
        <f>'C2 lossy RA'!$BE$46:$BE$46</f>
        <v>#DIV/0!</v>
      </c>
      <c r="I32" s="3" t="e">
        <f>'C2 lossy RA'!$BF$46:$BF$46</f>
        <v>#DIV/0!</v>
      </c>
    </row>
    <row r="33" spans="2:9" x14ac:dyDescent="0.15">
      <c r="B33" t="s">
        <v>10</v>
      </c>
      <c r="C33" s="3" t="e">
        <f>'C2 lossy RA'!$AZ$47:$AZ$47</f>
        <v>#DIV/0!</v>
      </c>
      <c r="D33" s="3" t="e">
        <f>'C2 lossy RA'!$BA$47:$BA$47</f>
        <v>#DIV/0!</v>
      </c>
      <c r="E33" s="3" t="e">
        <f>'C2 lossy RA'!$BB$47:$BB$47</f>
        <v>#DIV/0!</v>
      </c>
      <c r="F33" s="3" t="e">
        <f>'C2 lossy RA'!$BC$47:$BC$47</f>
        <v>#DIV/0!</v>
      </c>
      <c r="G33" s="3" t="e">
        <f>'C2 lossy RA'!$BD$47:$BD$47</f>
        <v>#DIV/0!</v>
      </c>
      <c r="H33" s="3" t="e">
        <f>'C2 lossy RA'!$BE$47:$BE$47</f>
        <v>#DIV/0!</v>
      </c>
      <c r="I33" s="3" t="e">
        <f>'C2 lossy RA'!$BF$47:$BF$47</f>
        <v>#DIV/0!</v>
      </c>
    </row>
    <row r="34" spans="2:9" x14ac:dyDescent="0.15">
      <c r="B34" s="4" t="s">
        <v>11</v>
      </c>
      <c r="C34" s="5" t="e">
        <f>'C2 lossy RA'!$AZ$48:$AZ$48</f>
        <v>#DIV/0!</v>
      </c>
      <c r="D34" s="5" t="e">
        <f>'C2 lossy RA'!$BA$48:$BA$48</f>
        <v>#DIV/0!</v>
      </c>
      <c r="E34" s="5" t="e">
        <f>'C2 lossy RA'!$BB$48:$BB$48</f>
        <v>#DIV/0!</v>
      </c>
      <c r="F34" s="5" t="e">
        <f>'C2 lossy RA'!$BC$48:$BC$48</f>
        <v>#DIV/0!</v>
      </c>
      <c r="G34" s="5" t="e">
        <f>'C2 lossy RA'!$BD$48:$BD$48</f>
        <v>#DIV/0!</v>
      </c>
      <c r="H34" s="5" t="e">
        <f>'C2 lossy RA'!$BE$48:$BE$48</f>
        <v>#DIV/0!</v>
      </c>
      <c r="I34" s="5" t="e">
        <f>'C2 lossy RA'!$BF$48:$BF$48</f>
        <v>#DIV/0!</v>
      </c>
    </row>
    <row r="35" spans="2:9" x14ac:dyDescent="0.15">
      <c r="B35" t="s">
        <v>12</v>
      </c>
      <c r="C35" s="115">
        <f>'C2 lossy RA'!AW50</f>
        <v>0</v>
      </c>
      <c r="D35" s="107"/>
      <c r="E35" s="107"/>
      <c r="F35" s="107"/>
      <c r="G35" s="107"/>
      <c r="H35" s="107"/>
      <c r="I35" s="107"/>
    </row>
    <row r="36" spans="2:9" x14ac:dyDescent="0.15">
      <c r="B36" s="100" t="s">
        <v>13</v>
      </c>
      <c r="C36" s="116">
        <f>'C2 lossy RA'!AX50</f>
        <v>0</v>
      </c>
      <c r="D36" s="110"/>
      <c r="E36" s="110"/>
      <c r="F36" s="110"/>
      <c r="G36" s="110"/>
      <c r="H36" s="110"/>
      <c r="I36" s="110"/>
    </row>
  </sheetData>
  <mergeCells count="15">
    <mergeCell ref="C35:I35"/>
    <mergeCell ref="C36:I36"/>
    <mergeCell ref="C23:I23"/>
    <mergeCell ref="C24:I24"/>
    <mergeCell ref="B28:B30"/>
    <mergeCell ref="C28:I28"/>
    <mergeCell ref="C29:G29"/>
    <mergeCell ref="H29:I29"/>
    <mergeCell ref="C1:E1"/>
    <mergeCell ref="C2:E2"/>
    <mergeCell ref="B6:B8"/>
    <mergeCell ref="B16:B18"/>
    <mergeCell ref="C16:I16"/>
    <mergeCell ref="C17:G17"/>
    <mergeCell ref="H17:I17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style="98" customWidth="1"/>
    <col min="2" max="2" width="24.75" style="98" customWidth="1"/>
    <col min="4" max="4" width="24.75" style="98" customWidth="1"/>
    <col min="9" max="9" width="16.75" style="98" customWidth="1"/>
  </cols>
  <sheetData>
    <row r="1" spans="1:14" x14ac:dyDescent="0.15">
      <c r="A1" t="s">
        <v>27</v>
      </c>
      <c r="B1" s="7" t="s">
        <v>28</v>
      </c>
      <c r="C1" t="s">
        <v>29</v>
      </c>
      <c r="I1" t="s">
        <v>30</v>
      </c>
      <c r="M1" t="s">
        <v>31</v>
      </c>
      <c r="N1" t="s">
        <v>28</v>
      </c>
    </row>
    <row r="2" spans="1:14" x14ac:dyDescent="0.15">
      <c r="A2" t="s">
        <v>32</v>
      </c>
      <c r="B2" s="7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33</v>
      </c>
      <c r="N3" t="s">
        <v>33</v>
      </c>
    </row>
    <row r="4" spans="1:14" x14ac:dyDescent="0.15">
      <c r="A4" t="s">
        <v>41</v>
      </c>
      <c r="B4" s="7" t="s">
        <v>42</v>
      </c>
      <c r="C4" t="s">
        <v>43</v>
      </c>
      <c r="D4" s="7" t="s">
        <v>44</v>
      </c>
      <c r="E4" t="s">
        <v>45</v>
      </c>
      <c r="I4" t="s">
        <v>46</v>
      </c>
      <c r="J4" t="s">
        <v>47</v>
      </c>
      <c r="M4" t="s">
        <v>48</v>
      </c>
      <c r="N4" t="s">
        <v>48</v>
      </c>
    </row>
    <row r="5" spans="1:14" x14ac:dyDescent="0.15">
      <c r="A5" t="s">
        <v>41</v>
      </c>
      <c r="B5" s="7" t="s">
        <v>42</v>
      </c>
      <c r="C5" t="s">
        <v>43</v>
      </c>
      <c r="D5" s="7" t="s">
        <v>49</v>
      </c>
      <c r="E5" t="s">
        <v>50</v>
      </c>
      <c r="I5" t="s">
        <v>51</v>
      </c>
      <c r="J5" t="s">
        <v>52</v>
      </c>
      <c r="M5" t="s">
        <v>53</v>
      </c>
      <c r="N5" t="s">
        <v>53</v>
      </c>
    </row>
    <row r="6" spans="1:14" x14ac:dyDescent="0.15">
      <c r="A6" t="s">
        <v>41</v>
      </c>
      <c r="B6" s="7" t="s">
        <v>42</v>
      </c>
      <c r="C6" t="s">
        <v>43</v>
      </c>
      <c r="D6" s="7" t="s">
        <v>54</v>
      </c>
      <c r="E6" t="s">
        <v>55</v>
      </c>
      <c r="I6" t="s">
        <v>56</v>
      </c>
      <c r="J6" t="s">
        <v>57</v>
      </c>
      <c r="M6" t="s">
        <v>58</v>
      </c>
      <c r="N6" t="s">
        <v>58</v>
      </c>
    </row>
    <row r="7" spans="1:14" x14ac:dyDescent="0.15">
      <c r="A7" t="s">
        <v>41</v>
      </c>
      <c r="B7" s="7" t="s">
        <v>42</v>
      </c>
      <c r="C7" t="s">
        <v>43</v>
      </c>
      <c r="D7" s="7" t="s">
        <v>59</v>
      </c>
      <c r="E7" t="s">
        <v>60</v>
      </c>
      <c r="I7" t="s">
        <v>61</v>
      </c>
      <c r="J7" t="s">
        <v>62</v>
      </c>
      <c r="M7" t="s">
        <v>63</v>
      </c>
      <c r="N7" t="s">
        <v>63</v>
      </c>
    </row>
    <row r="8" spans="1:14" x14ac:dyDescent="0.15">
      <c r="A8" t="s">
        <v>41</v>
      </c>
      <c r="B8" s="7" t="s">
        <v>42</v>
      </c>
      <c r="C8" t="s">
        <v>43</v>
      </c>
      <c r="D8" s="7" t="s">
        <v>64</v>
      </c>
      <c r="E8" t="s">
        <v>65</v>
      </c>
      <c r="I8" t="s">
        <v>66</v>
      </c>
      <c r="J8" t="s">
        <v>67</v>
      </c>
      <c r="M8" t="s">
        <v>68</v>
      </c>
      <c r="N8" t="s">
        <v>68</v>
      </c>
    </row>
    <row r="9" spans="1:14" x14ac:dyDescent="0.15">
      <c r="A9" t="s">
        <v>41</v>
      </c>
      <c r="B9" s="7" t="s">
        <v>42</v>
      </c>
      <c r="C9" t="s">
        <v>43</v>
      </c>
      <c r="D9" s="7" t="s">
        <v>69</v>
      </c>
      <c r="E9" t="s">
        <v>70</v>
      </c>
      <c r="I9" t="s">
        <v>71</v>
      </c>
      <c r="J9" t="s">
        <v>72</v>
      </c>
      <c r="M9" t="s">
        <v>73</v>
      </c>
      <c r="N9" t="s">
        <v>73</v>
      </c>
    </row>
    <row r="10" spans="1:14" x14ac:dyDescent="0.15">
      <c r="A10" t="s">
        <v>41</v>
      </c>
      <c r="B10" s="7" t="s">
        <v>42</v>
      </c>
      <c r="C10" t="s">
        <v>43</v>
      </c>
      <c r="D10" s="7" t="s">
        <v>74</v>
      </c>
      <c r="E10" t="s">
        <v>75</v>
      </c>
      <c r="I10" t="s">
        <v>76</v>
      </c>
      <c r="J10" t="s">
        <v>77</v>
      </c>
      <c r="M10" t="s">
        <v>78</v>
      </c>
      <c r="N10" t="s">
        <v>78</v>
      </c>
    </row>
    <row r="11" spans="1:14" x14ac:dyDescent="0.15">
      <c r="I11" t="s">
        <v>54</v>
      </c>
      <c r="J11" t="s">
        <v>79</v>
      </c>
    </row>
    <row r="12" spans="1:14" x14ac:dyDescent="0.15">
      <c r="I12" t="s">
        <v>74</v>
      </c>
      <c r="J12" t="s">
        <v>80</v>
      </c>
    </row>
    <row r="13" spans="1:14" x14ac:dyDescent="0.15">
      <c r="I13" t="s">
        <v>81</v>
      </c>
      <c r="J13" t="s">
        <v>82</v>
      </c>
    </row>
    <row r="14" spans="1:14" x14ac:dyDescent="0.15">
      <c r="I14" t="s">
        <v>83</v>
      </c>
      <c r="J14" t="s">
        <v>84</v>
      </c>
    </row>
    <row r="15" spans="1:14" x14ac:dyDescent="0.15">
      <c r="I15" t="s">
        <v>85</v>
      </c>
      <c r="J15" t="s">
        <v>86</v>
      </c>
    </row>
    <row r="16" spans="1:14" x14ac:dyDescent="0.15">
      <c r="I16" t="s">
        <v>87</v>
      </c>
      <c r="J16" t="s">
        <v>88</v>
      </c>
    </row>
    <row r="17" spans="9:10" x14ac:dyDescent="0.15">
      <c r="I17" t="s">
        <v>64</v>
      </c>
      <c r="J17" t="s">
        <v>89</v>
      </c>
    </row>
    <row r="18" spans="9:10" x14ac:dyDescent="0.15">
      <c r="I18" t="s">
        <v>69</v>
      </c>
      <c r="J18" t="s">
        <v>90</v>
      </c>
    </row>
    <row r="19" spans="9:10" x14ac:dyDescent="0.15">
      <c r="I19" t="s">
        <v>44</v>
      </c>
      <c r="J19" t="s">
        <v>91</v>
      </c>
    </row>
    <row r="20" spans="9:10" x14ac:dyDescent="0.15">
      <c r="I20" t="s">
        <v>49</v>
      </c>
      <c r="J20" t="s">
        <v>92</v>
      </c>
    </row>
    <row r="21" spans="9:10" x14ac:dyDescent="0.15">
      <c r="I21" t="s">
        <v>59</v>
      </c>
      <c r="J21" t="s">
        <v>93</v>
      </c>
    </row>
    <row r="22" spans="9:10" x14ac:dyDescent="0.15">
      <c r="I22" t="s">
        <v>94</v>
      </c>
      <c r="J22" t="s">
        <v>95</v>
      </c>
    </row>
    <row r="23" spans="9:10" x14ac:dyDescent="0.15">
      <c r="I23" t="s">
        <v>96</v>
      </c>
      <c r="J23" t="s">
        <v>97</v>
      </c>
    </row>
    <row r="24" spans="9:10" x14ac:dyDescent="0.15">
      <c r="I24" t="s">
        <v>98</v>
      </c>
      <c r="J24" t="s">
        <v>99</v>
      </c>
    </row>
    <row r="25" spans="9:10" x14ac:dyDescent="0.15">
      <c r="I25" t="s">
        <v>100</v>
      </c>
      <c r="J25" t="s">
        <v>101</v>
      </c>
    </row>
    <row r="26" spans="9:10" x14ac:dyDescent="0.15">
      <c r="I26" t="s">
        <v>102</v>
      </c>
      <c r="J26" t="s">
        <v>103</v>
      </c>
    </row>
    <row r="27" spans="9:10" x14ac:dyDescent="0.15">
      <c r="I27" t="s">
        <v>104</v>
      </c>
      <c r="J27" t="s">
        <v>105</v>
      </c>
    </row>
    <row r="28" spans="9:10" x14ac:dyDescent="0.15">
      <c r="I28" t="s">
        <v>106</v>
      </c>
      <c r="J28" t="s">
        <v>107</v>
      </c>
    </row>
    <row r="29" spans="9:10" x14ac:dyDescent="0.15">
      <c r="I29" t="s">
        <v>108</v>
      </c>
      <c r="J29" t="s">
        <v>109</v>
      </c>
    </row>
    <row r="30" spans="9:10" x14ac:dyDescent="0.15">
      <c r="I30" t="s">
        <v>110</v>
      </c>
      <c r="J30" t="s">
        <v>111</v>
      </c>
    </row>
    <row r="31" spans="9:10" x14ac:dyDescent="0.15">
      <c r="I31" t="s">
        <v>112</v>
      </c>
      <c r="J31" t="s">
        <v>113</v>
      </c>
    </row>
    <row r="32" spans="9:10" x14ac:dyDescent="0.15">
      <c r="I32" t="s">
        <v>114</v>
      </c>
      <c r="J32" t="s">
        <v>115</v>
      </c>
    </row>
    <row r="33" spans="9:10" x14ac:dyDescent="0.15">
      <c r="I33" t="s">
        <v>116</v>
      </c>
      <c r="J33" t="s">
        <v>117</v>
      </c>
    </row>
    <row r="34" spans="9:10" x14ac:dyDescent="0.15">
      <c r="I34" t="s">
        <v>118</v>
      </c>
      <c r="J34" t="s">
        <v>119</v>
      </c>
    </row>
    <row r="35" spans="9:10" x14ac:dyDescent="0.15">
      <c r="I35" t="s">
        <v>120</v>
      </c>
      <c r="J35" t="s">
        <v>121</v>
      </c>
    </row>
    <row r="36" spans="9:10" x14ac:dyDescent="0.15">
      <c r="I36" t="s">
        <v>122</v>
      </c>
      <c r="J36" t="s">
        <v>123</v>
      </c>
    </row>
    <row r="37" spans="9:10" x14ac:dyDescent="0.15">
      <c r="I37" t="s">
        <v>124</v>
      </c>
      <c r="J37" t="s">
        <v>125</v>
      </c>
    </row>
    <row r="38" spans="9:10" x14ac:dyDescent="0.15">
      <c r="I38" t="s">
        <v>126</v>
      </c>
      <c r="J38" t="s">
        <v>127</v>
      </c>
    </row>
    <row r="39" spans="9:10" x14ac:dyDescent="0.15">
      <c r="I39" t="s">
        <v>128</v>
      </c>
      <c r="J39" t="s">
        <v>129</v>
      </c>
    </row>
    <row r="40" spans="9:10" x14ac:dyDescent="0.15">
      <c r="I40" t="s">
        <v>42</v>
      </c>
      <c r="J40" t="s">
        <v>130</v>
      </c>
    </row>
    <row r="41" spans="9:10" x14ac:dyDescent="0.15">
      <c r="I41" t="s">
        <v>131</v>
      </c>
      <c r="J41" t="s">
        <v>132</v>
      </c>
    </row>
    <row r="42" spans="9:10" x14ac:dyDescent="0.15">
      <c r="I42" t="s">
        <v>133</v>
      </c>
      <c r="J42" t="s">
        <v>134</v>
      </c>
    </row>
    <row r="43" spans="9:10" x14ac:dyDescent="0.15">
      <c r="I43" t="s">
        <v>135</v>
      </c>
      <c r="J43" t="s">
        <v>136</v>
      </c>
    </row>
    <row r="44" spans="9:10" x14ac:dyDescent="0.15">
      <c r="I44" t="s">
        <v>137</v>
      </c>
      <c r="J44" t="s">
        <v>138</v>
      </c>
    </row>
    <row r="45" spans="9:10" x14ac:dyDescent="0.15">
      <c r="I45" t="s">
        <v>139</v>
      </c>
      <c r="J45" t="s">
        <v>140</v>
      </c>
    </row>
    <row r="46" spans="9:10" x14ac:dyDescent="0.15">
      <c r="I46" t="s">
        <v>141</v>
      </c>
      <c r="J46" t="s">
        <v>142</v>
      </c>
    </row>
    <row r="47" spans="9:10" x14ac:dyDescent="0.15">
      <c r="I47" t="s">
        <v>143</v>
      </c>
      <c r="J47" t="s">
        <v>144</v>
      </c>
    </row>
    <row r="48" spans="9:10" x14ac:dyDescent="0.15">
      <c r="I48" t="s">
        <v>145</v>
      </c>
      <c r="J48" t="s">
        <v>146</v>
      </c>
    </row>
    <row r="49" spans="9:10" x14ac:dyDescent="0.15">
      <c r="I49" t="s">
        <v>147</v>
      </c>
      <c r="J49" t="s">
        <v>148</v>
      </c>
    </row>
    <row r="50" spans="9:10" x14ac:dyDescent="0.15">
      <c r="I50" t="s">
        <v>149</v>
      </c>
      <c r="J50" t="s">
        <v>150</v>
      </c>
    </row>
    <row r="51" spans="9:10" x14ac:dyDescent="0.15">
      <c r="I51" t="s">
        <v>151</v>
      </c>
      <c r="J51" t="s">
        <v>152</v>
      </c>
    </row>
    <row r="52" spans="9:10" x14ac:dyDescent="0.15">
      <c r="I52" t="s">
        <v>153</v>
      </c>
      <c r="J52" t="s">
        <v>154</v>
      </c>
    </row>
    <row r="53" spans="9:10" x14ac:dyDescent="0.15">
      <c r="I53" t="s">
        <v>155</v>
      </c>
      <c r="J53" t="s">
        <v>156</v>
      </c>
    </row>
    <row r="54" spans="9:10" x14ac:dyDescent="0.15">
      <c r="I54" t="s">
        <v>157</v>
      </c>
      <c r="J54" t="s">
        <v>158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4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18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R24" sqref="R24"/>
    </sheetView>
  </sheetViews>
  <sheetFormatPr defaultColWidth="9.125" defaultRowHeight="13.5" x14ac:dyDescent="0.15"/>
  <cols>
    <col min="2" max="2" width="24.75" style="98" customWidth="1"/>
    <col min="3" max="4" width="10.75" style="98" customWidth="1"/>
    <col min="7" max="7" width="1.75" style="98" customWidth="1"/>
    <col min="9" max="9" width="10.75" style="98" customWidth="1"/>
    <col min="10" max="11" width="12.75" style="98" customWidth="1"/>
    <col min="14" max="14" width="1.75" style="98" customWidth="1"/>
    <col min="16" max="16" width="10.75" style="98" customWidth="1"/>
    <col min="17" max="18" width="12.75" style="98" customWidth="1"/>
    <col min="21" max="21" width="1.75" style="98" customWidth="1"/>
    <col min="23" max="23" width="1.75" style="98" customWidth="1"/>
  </cols>
  <sheetData>
    <row r="1" spans="1:24" x14ac:dyDescent="0.15">
      <c r="A1" s="117" t="s">
        <v>159</v>
      </c>
      <c r="B1" s="107"/>
      <c r="C1" s="107"/>
      <c r="D1" s="107"/>
      <c r="E1" s="107"/>
      <c r="F1" s="107"/>
      <c r="H1" s="106" t="s">
        <v>160</v>
      </c>
      <c r="I1" s="107"/>
      <c r="J1" s="107"/>
      <c r="K1" s="107"/>
      <c r="L1" s="107"/>
      <c r="M1" s="107"/>
      <c r="O1" s="108" t="s">
        <v>161</v>
      </c>
      <c r="P1" s="107"/>
      <c r="Q1" s="107"/>
      <c r="R1" s="107"/>
      <c r="S1" s="107"/>
      <c r="T1" s="107"/>
    </row>
    <row r="2" spans="1:24" ht="30" customHeight="1" thickBot="1" x14ac:dyDescent="0.2">
      <c r="A2" s="118" t="s">
        <v>162</v>
      </c>
      <c r="B2" s="119" t="s">
        <v>163</v>
      </c>
      <c r="C2" s="118" t="s">
        <v>164</v>
      </c>
      <c r="D2" s="119" t="s">
        <v>165</v>
      </c>
      <c r="E2" s="118" t="s">
        <v>166</v>
      </c>
      <c r="F2" s="119" t="s">
        <v>167</v>
      </c>
      <c r="H2" s="118" t="s">
        <v>130</v>
      </c>
      <c r="I2" s="119" t="s">
        <v>134</v>
      </c>
      <c r="J2" s="118" t="s">
        <v>123</v>
      </c>
      <c r="K2" s="105" t="s">
        <v>168</v>
      </c>
      <c r="L2" s="119" t="s">
        <v>125</v>
      </c>
      <c r="M2" s="118" t="s">
        <v>105</v>
      </c>
      <c r="O2" s="119" t="s">
        <v>130</v>
      </c>
      <c r="P2" s="118" t="s">
        <v>134</v>
      </c>
      <c r="Q2" s="119" t="s">
        <v>123</v>
      </c>
      <c r="R2" s="105" t="s">
        <v>168</v>
      </c>
      <c r="S2" s="118" t="s">
        <v>125</v>
      </c>
      <c r="T2" s="119" t="s">
        <v>105</v>
      </c>
      <c r="V2" s="118" t="s">
        <v>169</v>
      </c>
      <c r="X2" s="118" t="s">
        <v>170</v>
      </c>
    </row>
    <row r="3" spans="1:24" ht="15.75" customHeight="1" thickBot="1" x14ac:dyDescent="0.2">
      <c r="A3" s="110"/>
      <c r="B3" s="110"/>
      <c r="C3" s="110"/>
      <c r="D3" s="110"/>
      <c r="E3" s="110"/>
      <c r="F3" s="110"/>
      <c r="H3" s="110"/>
      <c r="I3" s="110"/>
      <c r="J3" s="110"/>
      <c r="K3" s="104" t="s">
        <v>171</v>
      </c>
      <c r="L3" s="110"/>
      <c r="M3" s="110"/>
      <c r="O3" s="110"/>
      <c r="P3" s="110"/>
      <c r="Q3" s="110"/>
      <c r="R3" s="104" t="s">
        <v>171</v>
      </c>
      <c r="S3" s="110"/>
      <c r="T3" s="110"/>
      <c r="V3" s="110"/>
      <c r="X3" s="110"/>
    </row>
    <row r="4" spans="1:24" ht="48.75" hidden="1" customHeight="1" thickBot="1" x14ac:dyDescent="0.2">
      <c r="A4" s="8" t="s">
        <v>172</v>
      </c>
      <c r="B4" s="9" t="s">
        <v>173</v>
      </c>
      <c r="C4" s="8" t="s">
        <v>174</v>
      </c>
      <c r="D4" s="9" t="s">
        <v>175</v>
      </c>
      <c r="E4" s="8" t="s">
        <v>176</v>
      </c>
      <c r="F4" s="9" t="s">
        <v>177</v>
      </c>
      <c r="H4" s="8" t="s">
        <v>178</v>
      </c>
      <c r="I4" s="9" t="s">
        <v>179</v>
      </c>
      <c r="J4" s="8" t="s">
        <v>180</v>
      </c>
      <c r="K4" s="8"/>
      <c r="L4" s="9" t="s">
        <v>181</v>
      </c>
      <c r="M4" s="8" t="s">
        <v>182</v>
      </c>
      <c r="O4" s="9" t="s">
        <v>183</v>
      </c>
      <c r="P4" s="8" t="s">
        <v>184</v>
      </c>
      <c r="Q4" s="9" t="s">
        <v>185</v>
      </c>
      <c r="R4" s="9"/>
      <c r="S4" s="8" t="s">
        <v>186</v>
      </c>
      <c r="T4" s="9" t="s">
        <v>187</v>
      </c>
      <c r="V4" s="8" t="s">
        <v>188</v>
      </c>
    </row>
    <row r="5" spans="1:24" collapsed="1" x14ac:dyDescent="0.15">
      <c r="A5" s="10" t="s">
        <v>189</v>
      </c>
      <c r="B5" s="10" t="s">
        <v>33</v>
      </c>
      <c r="C5" s="10">
        <v>11997440</v>
      </c>
      <c r="D5" s="11">
        <v>10</v>
      </c>
      <c r="E5" s="12">
        <v>300</v>
      </c>
      <c r="F5" s="12">
        <v>30</v>
      </c>
      <c r="H5" s="13">
        <f t="shared" ref="H5:H12" si="0">IF(OR(ISBLANK(J5),ISBLANK(F5)),"·",J5*F5/E5/1000000)</f>
        <v>895.59616160000007</v>
      </c>
      <c r="I5" s="14">
        <f t="shared" ref="I5:I12" si="1">IF(ISBLANK(J5),"·",J5/C5)</f>
        <v>746.48938573562361</v>
      </c>
      <c r="J5" s="15">
        <v>8955961616</v>
      </c>
      <c r="K5" s="15">
        <v>146918088</v>
      </c>
      <c r="L5" s="16">
        <v>30569.222002999999</v>
      </c>
      <c r="M5" s="16">
        <v>379.34730000000002</v>
      </c>
      <c r="O5" s="13" t="str">
        <f t="shared" ref="O5:O12" si="2">IF(OR(ISBLANK(Q5),ISBLANK(F5)),"·",Q5*F5/E5/1000000)</f>
        <v>·</v>
      </c>
      <c r="P5" s="14" t="str">
        <f t="shared" ref="P5:P12" si="3">IF(ISBLANK(Q5),"·",Q5/C5)</f>
        <v>·</v>
      </c>
      <c r="Q5" s="15"/>
      <c r="R5" s="15"/>
      <c r="S5" s="16"/>
      <c r="T5" s="16"/>
      <c r="V5" s="17" t="e">
        <f t="shared" ref="V5:V16" si="4">P5/I5</f>
        <v>#VALUE!</v>
      </c>
      <c r="X5" s="17" t="str">
        <f t="shared" ref="X5:X12" si="5">IF(OR(ISBLANK(R5),ISBLANK(K5)),".",R5/K5-1)</f>
        <v>.</v>
      </c>
    </row>
    <row r="6" spans="1:24" ht="15.75" customHeight="1" collapsed="1" thickBot="1" x14ac:dyDescent="0.2">
      <c r="A6" s="18"/>
      <c r="B6" s="18" t="s">
        <v>48</v>
      </c>
      <c r="C6" s="18">
        <v>9000000</v>
      </c>
      <c r="D6" s="19">
        <v>10</v>
      </c>
      <c r="E6" s="20">
        <v>300</v>
      </c>
      <c r="F6" s="20">
        <v>30</v>
      </c>
      <c r="H6" s="21">
        <f t="shared" si="0"/>
        <v>650.23540560000004</v>
      </c>
      <c r="I6" s="22">
        <f t="shared" si="1"/>
        <v>722.48378400000001</v>
      </c>
      <c r="J6" s="23">
        <v>6502354056</v>
      </c>
      <c r="K6" s="23">
        <v>157817248</v>
      </c>
      <c r="L6" s="24">
        <v>29622.754326999999</v>
      </c>
      <c r="M6" s="24">
        <v>328.53445699999997</v>
      </c>
      <c r="O6" s="21" t="str">
        <f t="shared" si="2"/>
        <v>·</v>
      </c>
      <c r="P6" s="22" t="str">
        <f t="shared" si="3"/>
        <v>·</v>
      </c>
      <c r="Q6" s="23"/>
      <c r="R6" s="23"/>
      <c r="S6" s="24"/>
      <c r="T6" s="24"/>
      <c r="V6" s="25" t="e">
        <f t="shared" si="4"/>
        <v>#VALUE!</v>
      </c>
      <c r="X6" s="25" t="str">
        <f t="shared" si="5"/>
        <v>.</v>
      </c>
    </row>
    <row r="7" spans="1:24" collapsed="1" x14ac:dyDescent="0.15">
      <c r="A7" s="10" t="s">
        <v>190</v>
      </c>
      <c r="B7" s="10" t="s">
        <v>53</v>
      </c>
      <c r="C7" s="10">
        <v>11842002</v>
      </c>
      <c r="D7" s="11">
        <v>12</v>
      </c>
      <c r="E7" s="12">
        <v>300</v>
      </c>
      <c r="F7" s="12">
        <v>30</v>
      </c>
      <c r="H7" s="13">
        <f t="shared" si="0"/>
        <v>615.92030160000002</v>
      </c>
      <c r="I7" s="14">
        <f t="shared" si="1"/>
        <v>520.11501230957401</v>
      </c>
      <c r="J7" s="15">
        <v>6159203016</v>
      </c>
      <c r="K7" s="15">
        <v>166907640</v>
      </c>
      <c r="L7" s="16">
        <v>23662.249911999999</v>
      </c>
      <c r="M7" s="16">
        <v>291.45369099999999</v>
      </c>
      <c r="O7" s="13" t="str">
        <f t="shared" si="2"/>
        <v>·</v>
      </c>
      <c r="P7" s="14" t="str">
        <f t="shared" si="3"/>
        <v>·</v>
      </c>
      <c r="Q7" s="15"/>
      <c r="R7" s="15"/>
      <c r="S7" s="16"/>
      <c r="T7" s="16"/>
      <c r="V7" s="17" t="e">
        <f t="shared" si="4"/>
        <v>#VALUE!</v>
      </c>
      <c r="X7" s="17" t="str">
        <f t="shared" si="5"/>
        <v>.</v>
      </c>
    </row>
    <row r="8" spans="1:24" ht="15.75" customHeight="1" collapsed="1" thickBot="1" x14ac:dyDescent="0.2">
      <c r="A8" s="18"/>
      <c r="B8" s="18" t="s">
        <v>58</v>
      </c>
      <c r="C8" s="18">
        <v>11812090</v>
      </c>
      <c r="D8" s="19">
        <v>12</v>
      </c>
      <c r="E8" s="20">
        <v>300</v>
      </c>
      <c r="F8" s="20">
        <v>50</v>
      </c>
      <c r="H8" s="21">
        <f t="shared" si="0"/>
        <v>1014.2895</v>
      </c>
      <c r="I8" s="22">
        <f t="shared" si="1"/>
        <v>515.21254917631006</v>
      </c>
      <c r="J8" s="23">
        <v>6085737000</v>
      </c>
      <c r="K8" s="23">
        <v>163773408</v>
      </c>
      <c r="L8" s="24">
        <v>24605.164996</v>
      </c>
      <c r="M8" s="24">
        <v>312.324883</v>
      </c>
      <c r="O8" s="21" t="str">
        <f t="shared" si="2"/>
        <v>·</v>
      </c>
      <c r="P8" s="22" t="str">
        <f t="shared" si="3"/>
        <v>·</v>
      </c>
      <c r="Q8" s="23"/>
      <c r="R8" s="23"/>
      <c r="S8" s="24"/>
      <c r="T8" s="24"/>
      <c r="V8" s="25" t="e">
        <f t="shared" si="4"/>
        <v>#VALUE!</v>
      </c>
      <c r="X8" s="25" t="str">
        <f t="shared" si="5"/>
        <v>.</v>
      </c>
    </row>
    <row r="9" spans="1:24" collapsed="1" x14ac:dyDescent="0.15">
      <c r="A9" s="10" t="s">
        <v>191</v>
      </c>
      <c r="B9" s="10" t="s">
        <v>63</v>
      </c>
      <c r="C9" s="10">
        <v>12000000</v>
      </c>
      <c r="D9" s="11">
        <v>12</v>
      </c>
      <c r="E9" s="12">
        <v>300</v>
      </c>
      <c r="F9" s="12">
        <v>30</v>
      </c>
      <c r="H9" s="13">
        <f t="shared" si="0"/>
        <v>2990.6116671999998</v>
      </c>
      <c r="I9" s="14">
        <f t="shared" si="1"/>
        <v>2492.1763893333332</v>
      </c>
      <c r="J9" s="15">
        <v>29906116672</v>
      </c>
      <c r="K9" s="15">
        <v>214552472</v>
      </c>
      <c r="L9" s="16">
        <v>122603.725976</v>
      </c>
      <c r="M9" s="16">
        <v>1197.025983</v>
      </c>
      <c r="O9" s="13" t="str">
        <f t="shared" si="2"/>
        <v>·</v>
      </c>
      <c r="P9" s="14" t="str">
        <f t="shared" si="3"/>
        <v>·</v>
      </c>
      <c r="Q9" s="15"/>
      <c r="R9" s="15"/>
      <c r="S9" s="16"/>
      <c r="T9" s="16"/>
      <c r="V9" s="17" t="e">
        <f t="shared" si="4"/>
        <v>#VALUE!</v>
      </c>
      <c r="X9" s="17" t="str">
        <f t="shared" si="5"/>
        <v>.</v>
      </c>
    </row>
    <row r="10" spans="1:24" collapsed="1" x14ac:dyDescent="0.15">
      <c r="A10" s="26"/>
      <c r="B10" s="26" t="s">
        <v>68</v>
      </c>
      <c r="C10" s="26">
        <v>5997654</v>
      </c>
      <c r="D10" s="27">
        <v>12</v>
      </c>
      <c r="E10" s="28">
        <v>150</v>
      </c>
      <c r="F10" s="28">
        <v>30</v>
      </c>
      <c r="H10" s="29">
        <f t="shared" si="0"/>
        <v>2468.1686896000001</v>
      </c>
      <c r="I10" s="30">
        <f t="shared" si="1"/>
        <v>2057.6117675344394</v>
      </c>
      <c r="J10" s="31">
        <v>12340843448</v>
      </c>
      <c r="K10" s="31">
        <v>254126768</v>
      </c>
      <c r="L10" s="32">
        <v>70772.755166000003</v>
      </c>
      <c r="M10" s="32">
        <v>988.49636399999997</v>
      </c>
      <c r="O10" s="29" t="str">
        <f t="shared" si="2"/>
        <v>·</v>
      </c>
      <c r="P10" s="30" t="str">
        <f t="shared" si="3"/>
        <v>·</v>
      </c>
      <c r="Q10" s="31"/>
      <c r="R10" s="31"/>
      <c r="S10" s="32"/>
      <c r="T10" s="32"/>
      <c r="V10" s="33" t="e">
        <f t="shared" si="4"/>
        <v>#VALUE!</v>
      </c>
      <c r="X10" s="33" t="str">
        <f t="shared" si="5"/>
        <v>.</v>
      </c>
    </row>
    <row r="11" spans="1:24" collapsed="1" x14ac:dyDescent="0.15">
      <c r="A11" s="10"/>
      <c r="B11" s="10" t="s">
        <v>73</v>
      </c>
      <c r="C11" s="10">
        <v>9000000</v>
      </c>
      <c r="D11" s="11">
        <v>12</v>
      </c>
      <c r="E11" s="12">
        <v>300</v>
      </c>
      <c r="F11" s="12">
        <v>30</v>
      </c>
      <c r="H11" s="13">
        <f t="shared" si="0"/>
        <v>3677.8815423999999</v>
      </c>
      <c r="I11" s="14">
        <f t="shared" si="1"/>
        <v>4086.535047111111</v>
      </c>
      <c r="J11" s="15">
        <v>36778815424</v>
      </c>
      <c r="K11" s="15">
        <v>159298176</v>
      </c>
      <c r="L11" s="16">
        <v>96194.338310000006</v>
      </c>
      <c r="M11" s="16">
        <v>1094.490053</v>
      </c>
      <c r="O11" s="13" t="str">
        <f t="shared" si="2"/>
        <v>·</v>
      </c>
      <c r="P11" s="14" t="str">
        <f t="shared" si="3"/>
        <v>·</v>
      </c>
      <c r="Q11" s="15"/>
      <c r="R11" s="15"/>
      <c r="S11" s="16"/>
      <c r="T11" s="16"/>
      <c r="V11" s="17" t="e">
        <f t="shared" si="4"/>
        <v>#VALUE!</v>
      </c>
      <c r="X11" s="17" t="str">
        <f t="shared" si="5"/>
        <v>.</v>
      </c>
    </row>
    <row r="12" spans="1:24" ht="15.75" customHeight="1" collapsed="1" thickBot="1" x14ac:dyDescent="0.2">
      <c r="A12" s="18"/>
      <c r="B12" s="18" t="s">
        <v>78</v>
      </c>
      <c r="C12" s="18">
        <v>9000000</v>
      </c>
      <c r="D12" s="19">
        <v>12</v>
      </c>
      <c r="E12" s="20">
        <v>300</v>
      </c>
      <c r="F12" s="20">
        <v>30</v>
      </c>
      <c r="H12" s="21">
        <f t="shared" si="0"/>
        <v>2790.4155584</v>
      </c>
      <c r="I12" s="22">
        <f t="shared" si="1"/>
        <v>3100.4617315555556</v>
      </c>
      <c r="J12" s="23">
        <v>27904155584</v>
      </c>
      <c r="K12" s="23">
        <v>148727624</v>
      </c>
      <c r="L12" s="24">
        <v>107368.68177700001</v>
      </c>
      <c r="M12" s="24">
        <v>1190.106348</v>
      </c>
      <c r="O12" s="21" t="str">
        <f t="shared" si="2"/>
        <v>·</v>
      </c>
      <c r="P12" s="22" t="str">
        <f t="shared" si="3"/>
        <v>·</v>
      </c>
      <c r="Q12" s="23"/>
      <c r="R12" s="23"/>
      <c r="S12" s="24"/>
      <c r="T12" s="24"/>
      <c r="V12" s="25" t="e">
        <f t="shared" si="4"/>
        <v>#VALUE!</v>
      </c>
      <c r="X12" s="25" t="str">
        <f t="shared" si="5"/>
        <v>.</v>
      </c>
    </row>
    <row r="13" spans="1:24" x14ac:dyDescent="0.15">
      <c r="B13" s="34" t="s">
        <v>8</v>
      </c>
      <c r="I13" s="35">
        <f>AVERAGE(I5:I6)</f>
        <v>734.48658486781187</v>
      </c>
      <c r="P13" s="35" t="e">
        <f>AVERAGE(P5:P6)</f>
        <v>#DIV/0!</v>
      </c>
      <c r="V13" s="3" t="e">
        <f t="shared" si="4"/>
        <v>#DIV/0!</v>
      </c>
      <c r="X13" s="35" t="e">
        <f>AVERAGE(X5:X6)</f>
        <v>#DIV/0!</v>
      </c>
    </row>
    <row r="14" spans="1:24" x14ac:dyDescent="0.15">
      <c r="B14" s="34" t="s">
        <v>9</v>
      </c>
      <c r="I14" s="35">
        <f>AVERAGE(I7:I8)</f>
        <v>517.66378074294198</v>
      </c>
      <c r="P14" s="35" t="e">
        <f>AVERAGE(P7:P8)</f>
        <v>#DIV/0!</v>
      </c>
      <c r="V14" s="3" t="e">
        <f t="shared" si="4"/>
        <v>#DIV/0!</v>
      </c>
      <c r="X14" s="35" t="e">
        <f>AVERAGE(X7:X8)</f>
        <v>#DIV/0!</v>
      </c>
    </row>
    <row r="15" spans="1:24" x14ac:dyDescent="0.15">
      <c r="B15" s="34" t="s">
        <v>10</v>
      </c>
      <c r="I15" s="35">
        <f>AVERAGE(I9:I12)</f>
        <v>2934.1962338836097</v>
      </c>
      <c r="P15" s="35" t="e">
        <f>AVERAGE(P9:P12)</f>
        <v>#DIV/0!</v>
      </c>
      <c r="V15" s="3" t="e">
        <f t="shared" si="4"/>
        <v>#DIV/0!</v>
      </c>
      <c r="X15" s="35" t="e">
        <f>AVERAGE(X9:X12)</f>
        <v>#DIV/0!</v>
      </c>
    </row>
    <row r="16" spans="1:24" x14ac:dyDescent="0.15">
      <c r="B16" s="34" t="s">
        <v>11</v>
      </c>
      <c r="I16" s="35">
        <f>AVERAGE(I5:I12)</f>
        <v>1780.1357083444932</v>
      </c>
      <c r="P16" s="35" t="e">
        <f>AVERAGE(P5:P12)</f>
        <v>#DIV/0!</v>
      </c>
      <c r="V16" s="3" t="e">
        <f t="shared" si="4"/>
        <v>#DIV/0!</v>
      </c>
      <c r="X16" s="35" t="e">
        <f>AVERAGE(X5:X12)</f>
        <v>#DIV/0!</v>
      </c>
    </row>
    <row r="17" spans="1:20" x14ac:dyDescent="0.15">
      <c r="A17" s="34" t="s">
        <v>192</v>
      </c>
      <c r="B17" s="34" t="s">
        <v>193</v>
      </c>
      <c r="L17" s="36">
        <f>SUM(L5:L6,L7:L8,L9:L12)</f>
        <v>505398.89246700006</v>
      </c>
      <c r="M17" s="36">
        <f>SUM(M5:M6,M7:M8,M9:M12)</f>
        <v>5781.7790790000008</v>
      </c>
      <c r="S17" s="36">
        <f>SUM(S5:S6,S7:S8,S9:S12)</f>
        <v>0</v>
      </c>
      <c r="T17" s="36">
        <f>SUM(T5:T6,T7:T8,T9:T12)</f>
        <v>0</v>
      </c>
    </row>
    <row r="18" spans="1:20" x14ac:dyDescent="0.15">
      <c r="B18" s="34" t="s">
        <v>194</v>
      </c>
      <c r="S18" s="97">
        <f>S17/L17</f>
        <v>0</v>
      </c>
      <c r="T18" s="97">
        <f>T17/M17</f>
        <v>0</v>
      </c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30" workbookViewId="0">
      <selection activeCell="H72" sqref="H72"/>
    </sheetView>
  </sheetViews>
  <sheetFormatPr defaultColWidth="9.125" defaultRowHeight="13.5" x14ac:dyDescent="0.15"/>
  <cols>
    <col min="1" max="1" width="41.75" style="98" bestFit="1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>
        <v>1</v>
      </c>
    </row>
    <row r="29" spans="1:2" x14ac:dyDescent="0.15">
      <c r="A29" t="s">
        <v>233</v>
      </c>
      <c r="B29">
        <v>2</v>
      </c>
    </row>
    <row r="30" spans="1:2" x14ac:dyDescent="0.15">
      <c r="A30" t="s">
        <v>234</v>
      </c>
      <c r="B30">
        <v>3</v>
      </c>
    </row>
    <row r="31" spans="1:2" x14ac:dyDescent="0.15">
      <c r="A31" t="s">
        <v>235</v>
      </c>
      <c r="B31">
        <v>4</v>
      </c>
    </row>
    <row r="32" spans="1:2" x14ac:dyDescent="0.15">
      <c r="A32" t="s">
        <v>236</v>
      </c>
      <c r="B32">
        <v>5</v>
      </c>
    </row>
    <row r="33" spans="1:2" x14ac:dyDescent="0.15">
      <c r="A33" t="s">
        <v>237</v>
      </c>
      <c r="B33">
        <v>6</v>
      </c>
    </row>
    <row r="34" spans="1:2" x14ac:dyDescent="0.15">
      <c r="A34" t="s">
        <v>238</v>
      </c>
      <c r="B34">
        <v>7</v>
      </c>
    </row>
    <row r="35" spans="1:2" x14ac:dyDescent="0.15">
      <c r="A35" t="s">
        <v>239</v>
      </c>
      <c r="B35">
        <v>8</v>
      </c>
    </row>
    <row r="36" spans="1:2" x14ac:dyDescent="0.15">
      <c r="A36" t="s">
        <v>240</v>
      </c>
      <c r="B36">
        <v>10</v>
      </c>
    </row>
    <row r="37" spans="1:2" x14ac:dyDescent="0.15">
      <c r="A37" t="s">
        <v>241</v>
      </c>
      <c r="B37">
        <v>11</v>
      </c>
    </row>
    <row r="38" spans="1:2" x14ac:dyDescent="0.15">
      <c r="A38" t="s">
        <v>242</v>
      </c>
      <c r="B38">
        <v>13</v>
      </c>
    </row>
    <row r="39" spans="1:2" x14ac:dyDescent="0.15">
      <c r="A39" t="s">
        <v>243</v>
      </c>
      <c r="B39">
        <v>14</v>
      </c>
    </row>
    <row r="40" spans="1:2" x14ac:dyDescent="0.15">
      <c r="A40" t="s">
        <v>244</v>
      </c>
      <c r="B40">
        <v>15</v>
      </c>
    </row>
    <row r="41" spans="1:2" x14ac:dyDescent="0.15">
      <c r="A41" t="s">
        <v>245</v>
      </c>
      <c r="B41">
        <v>16</v>
      </c>
    </row>
    <row r="42" spans="1:2" x14ac:dyDescent="0.15">
      <c r="A42" t="s">
        <v>246</v>
      </c>
      <c r="B42">
        <v>17</v>
      </c>
    </row>
    <row r="43" spans="1:2" x14ac:dyDescent="0.15">
      <c r="A43" t="s">
        <v>247</v>
      </c>
      <c r="B43">
        <v>18</v>
      </c>
    </row>
    <row r="44" spans="1:2" x14ac:dyDescent="0.15">
      <c r="A44" t="s">
        <v>248</v>
      </c>
      <c r="B44">
        <v>19</v>
      </c>
    </row>
    <row r="45" spans="1:2" x14ac:dyDescent="0.15">
      <c r="A45" t="s">
        <v>249</v>
      </c>
      <c r="B45">
        <v>20</v>
      </c>
    </row>
    <row r="46" spans="1:2" x14ac:dyDescent="0.15">
      <c r="A46" t="s">
        <v>250</v>
      </c>
      <c r="B46">
        <v>21</v>
      </c>
    </row>
    <row r="47" spans="1:2" x14ac:dyDescent="0.15">
      <c r="A47" t="s">
        <v>251</v>
      </c>
      <c r="B47">
        <v>22</v>
      </c>
    </row>
    <row r="48" spans="1:2" x14ac:dyDescent="0.15">
      <c r="A48" t="s">
        <v>252</v>
      </c>
      <c r="B48">
        <v>23</v>
      </c>
    </row>
    <row r="49" spans="1:2" x14ac:dyDescent="0.15">
      <c r="A49" t="s">
        <v>253</v>
      </c>
      <c r="B49">
        <v>24</v>
      </c>
    </row>
    <row r="50" spans="1:2" x14ac:dyDescent="0.15">
      <c r="A50" t="s">
        <v>254</v>
      </c>
      <c r="B50">
        <v>25</v>
      </c>
    </row>
    <row r="51" spans="1:2" x14ac:dyDescent="0.15">
      <c r="A51" t="s">
        <v>255</v>
      </c>
      <c r="B51">
        <v>26</v>
      </c>
    </row>
    <row r="52" spans="1:2" x14ac:dyDescent="0.15">
      <c r="A52" t="s">
        <v>256</v>
      </c>
      <c r="B52">
        <v>27</v>
      </c>
    </row>
    <row r="53" spans="1:2" x14ac:dyDescent="0.15">
      <c r="A53" t="s">
        <v>257</v>
      </c>
      <c r="B53">
        <v>28</v>
      </c>
    </row>
    <row r="54" spans="1:2" x14ac:dyDescent="0.15">
      <c r="A54" t="s">
        <v>258</v>
      </c>
      <c r="B54">
        <v>29</v>
      </c>
    </row>
    <row r="55" spans="1:2" x14ac:dyDescent="0.15">
      <c r="A55" t="s">
        <v>259</v>
      </c>
      <c r="B55">
        <v>31</v>
      </c>
    </row>
    <row r="56" spans="1:2" x14ac:dyDescent="0.15">
      <c r="A56" t="s">
        <v>260</v>
      </c>
      <c r="B56">
        <v>32</v>
      </c>
    </row>
    <row r="57" spans="1:2" x14ac:dyDescent="0.15">
      <c r="A57" t="s">
        <v>261</v>
      </c>
      <c r="B57">
        <v>34</v>
      </c>
    </row>
    <row r="58" spans="1:2" x14ac:dyDescent="0.15">
      <c r="A58" t="s">
        <v>262</v>
      </c>
      <c r="B58">
        <v>35</v>
      </c>
    </row>
    <row r="59" spans="1:2" x14ac:dyDescent="0.15">
      <c r="A59" t="s">
        <v>263</v>
      </c>
      <c r="B59">
        <v>36</v>
      </c>
    </row>
    <row r="60" spans="1:2" x14ac:dyDescent="0.15">
      <c r="A60" t="s">
        <v>264</v>
      </c>
      <c r="B60">
        <v>37</v>
      </c>
    </row>
    <row r="61" spans="1:2" x14ac:dyDescent="0.15">
      <c r="A61" t="s">
        <v>265</v>
      </c>
      <c r="B61">
        <v>38</v>
      </c>
    </row>
    <row r="62" spans="1:2" x14ac:dyDescent="0.15">
      <c r="A62" t="s">
        <v>266</v>
      </c>
      <c r="B62">
        <v>39</v>
      </c>
    </row>
    <row r="63" spans="1:2" x14ac:dyDescent="0.15">
      <c r="A63" t="s">
        <v>267</v>
      </c>
      <c r="B63">
        <v>40</v>
      </c>
    </row>
    <row r="64" spans="1:2" x14ac:dyDescent="0.15">
      <c r="A64" t="s">
        <v>268</v>
      </c>
      <c r="B64">
        <v>41</v>
      </c>
    </row>
    <row r="65" spans="1:2" x14ac:dyDescent="0.15">
      <c r="A65" t="s">
        <v>269</v>
      </c>
      <c r="B65">
        <v>42</v>
      </c>
    </row>
    <row r="66" spans="1:2" x14ac:dyDescent="0.15">
      <c r="A66" t="s">
        <v>270</v>
      </c>
      <c r="B66">
        <v>43</v>
      </c>
    </row>
    <row r="67" spans="1:2" x14ac:dyDescent="0.15">
      <c r="A67" t="s">
        <v>271</v>
      </c>
      <c r="B67">
        <v>44</v>
      </c>
    </row>
    <row r="68" spans="1:2" x14ac:dyDescent="0.15">
      <c r="A68" t="s">
        <v>272</v>
      </c>
      <c r="B68">
        <v>45</v>
      </c>
    </row>
    <row r="69" spans="1:2" x14ac:dyDescent="0.15">
      <c r="A69" t="s">
        <v>273</v>
      </c>
      <c r="B69">
        <v>46</v>
      </c>
    </row>
    <row r="70" spans="1:2" x14ac:dyDescent="0.15">
      <c r="A70" t="s">
        <v>274</v>
      </c>
      <c r="B70">
        <v>47</v>
      </c>
    </row>
    <row r="71" spans="1:2" x14ac:dyDescent="0.15">
      <c r="A71" t="s">
        <v>275</v>
      </c>
      <c r="B71">
        <v>48</v>
      </c>
    </row>
    <row r="72" spans="1:2" x14ac:dyDescent="0.15">
      <c r="A72" t="s">
        <v>276</v>
      </c>
      <c r="B72">
        <v>49</v>
      </c>
    </row>
    <row r="73" spans="1:2" x14ac:dyDescent="0.15">
      <c r="A73" t="s">
        <v>277</v>
      </c>
      <c r="B73">
        <v>50</v>
      </c>
    </row>
    <row r="74" spans="1:2" x14ac:dyDescent="0.15">
      <c r="A74" t="s">
        <v>278</v>
      </c>
      <c r="B74">
        <v>52</v>
      </c>
    </row>
    <row r="75" spans="1:2" x14ac:dyDescent="0.15">
      <c r="A75" t="s">
        <v>279</v>
      </c>
      <c r="B75">
        <v>53</v>
      </c>
    </row>
    <row r="76" spans="1:2" x14ac:dyDescent="0.15">
      <c r="A76" t="s">
        <v>280</v>
      </c>
      <c r="B76">
        <v>54</v>
      </c>
    </row>
    <row r="77" spans="1:2" x14ac:dyDescent="0.15">
      <c r="A77" t="s">
        <v>281</v>
      </c>
      <c r="B77">
        <v>55</v>
      </c>
    </row>
    <row r="78" spans="1:2" x14ac:dyDescent="0.15">
      <c r="A78" t="s">
        <v>282</v>
      </c>
      <c r="B78">
        <v>56</v>
      </c>
    </row>
    <row r="79" spans="1:2" x14ac:dyDescent="0.15">
      <c r="A79" t="s">
        <v>283</v>
      </c>
      <c r="B79">
        <v>57</v>
      </c>
    </row>
    <row r="80" spans="1:2" x14ac:dyDescent="0.15">
      <c r="A80" t="s">
        <v>284</v>
      </c>
      <c r="B80">
        <v>58</v>
      </c>
    </row>
    <row r="81" spans="1:19" x14ac:dyDescent="0.15">
      <c r="A81" t="s">
        <v>285</v>
      </c>
      <c r="B81" t="s">
        <v>286</v>
      </c>
    </row>
    <row r="82" spans="1:19" x14ac:dyDescent="0.15">
      <c r="A82" t="s">
        <v>287</v>
      </c>
      <c r="B82" s="89" t="s">
        <v>288</v>
      </c>
    </row>
    <row r="83" spans="1:19" x14ac:dyDescent="0.15">
      <c r="A83" t="s">
        <v>289</v>
      </c>
      <c r="B83" s="89" t="s">
        <v>290</v>
      </c>
    </row>
    <row r="84" spans="1:19" x14ac:dyDescent="0.15">
      <c r="A84" t="s">
        <v>291</v>
      </c>
      <c r="B84" s="89" t="s">
        <v>292</v>
      </c>
    </row>
    <row r="85" spans="1:19" x14ac:dyDescent="0.15">
      <c r="A85" t="s">
        <v>293</v>
      </c>
      <c r="B85" s="89" t="s">
        <v>294</v>
      </c>
    </row>
    <row r="86" spans="1:19" x14ac:dyDescent="0.15">
      <c r="A86" t="s">
        <v>295</v>
      </c>
      <c r="B86" s="89" t="s">
        <v>296</v>
      </c>
    </row>
    <row r="87" spans="1:19" x14ac:dyDescent="0.15">
      <c r="A87" t="s">
        <v>297</v>
      </c>
      <c r="B87" s="89" t="s">
        <v>298</v>
      </c>
    </row>
    <row r="88" spans="1:19" x14ac:dyDescent="0.15">
      <c r="A88" t="s">
        <v>299</v>
      </c>
      <c r="B88" s="89" t="s">
        <v>300</v>
      </c>
    </row>
    <row r="89" spans="1:19" x14ac:dyDescent="0.15">
      <c r="A89" t="s">
        <v>301</v>
      </c>
      <c r="B89" s="89" t="s">
        <v>302</v>
      </c>
    </row>
    <row r="90" spans="1:19" x14ac:dyDescent="0.15">
      <c r="A90" t="s">
        <v>303</v>
      </c>
      <c r="B90" s="89" t="s">
        <v>304</v>
      </c>
    </row>
    <row r="91" spans="1:19" x14ac:dyDescent="0.15">
      <c r="A91" t="s">
        <v>305</v>
      </c>
      <c r="B91" t="s">
        <v>59</v>
      </c>
      <c r="C91" t="s">
        <v>104</v>
      </c>
      <c r="D91" t="s">
        <v>54</v>
      </c>
      <c r="E91" t="s">
        <v>133</v>
      </c>
      <c r="F91" t="s">
        <v>44</v>
      </c>
      <c r="G91" t="s">
        <v>49</v>
      </c>
      <c r="H91" t="s">
        <v>74</v>
      </c>
      <c r="I91" t="s">
        <v>42</v>
      </c>
      <c r="J91" t="s">
        <v>69</v>
      </c>
      <c r="K91" t="s">
        <v>122</v>
      </c>
      <c r="L91" t="s">
        <v>64</v>
      </c>
      <c r="M91" t="s">
        <v>83</v>
      </c>
      <c r="N91" t="s">
        <v>124</v>
      </c>
      <c r="O91" t="s">
        <v>149</v>
      </c>
      <c r="P91" t="s">
        <v>151</v>
      </c>
      <c r="Q91" t="s">
        <v>153</v>
      </c>
      <c r="R91" t="s">
        <v>155</v>
      </c>
      <c r="S91" t="s">
        <v>157</v>
      </c>
    </row>
    <row r="92" spans="1:19" x14ac:dyDescent="0.15">
      <c r="A92" t="s">
        <v>306</v>
      </c>
      <c r="B92">
        <v>1</v>
      </c>
    </row>
    <row r="93" spans="1:19" x14ac:dyDescent="0.15">
      <c r="A93" t="s">
        <v>307</v>
      </c>
      <c r="B93">
        <v>2</v>
      </c>
    </row>
    <row r="94" spans="1:19" x14ac:dyDescent="0.15">
      <c r="A94" t="s">
        <v>308</v>
      </c>
      <c r="B94">
        <v>3</v>
      </c>
    </row>
    <row r="95" spans="1:19" x14ac:dyDescent="0.15">
      <c r="A95" t="s">
        <v>309</v>
      </c>
      <c r="B95">
        <v>4</v>
      </c>
    </row>
    <row r="96" spans="1:19" x14ac:dyDescent="0.15">
      <c r="A96" t="s">
        <v>310</v>
      </c>
      <c r="B96">
        <v>5</v>
      </c>
    </row>
    <row r="97" spans="1:2" x14ac:dyDescent="0.15">
      <c r="A97" t="s">
        <v>311</v>
      </c>
      <c r="B97">
        <v>6</v>
      </c>
    </row>
    <row r="98" spans="1:2" x14ac:dyDescent="0.15">
      <c r="A98" t="s">
        <v>312</v>
      </c>
      <c r="B98">
        <v>7</v>
      </c>
    </row>
    <row r="99" spans="1:2" x14ac:dyDescent="0.15">
      <c r="A99" t="s">
        <v>313</v>
      </c>
      <c r="B99">
        <v>8</v>
      </c>
    </row>
    <row r="100" spans="1:2" x14ac:dyDescent="0.15">
      <c r="A100" t="s">
        <v>314</v>
      </c>
      <c r="B100">
        <v>10</v>
      </c>
    </row>
    <row r="101" spans="1:2" x14ac:dyDescent="0.15">
      <c r="A101" t="s">
        <v>315</v>
      </c>
      <c r="B101">
        <v>11</v>
      </c>
    </row>
    <row r="102" spans="1:2" x14ac:dyDescent="0.15">
      <c r="A102" t="s">
        <v>316</v>
      </c>
      <c r="B102">
        <v>13</v>
      </c>
    </row>
    <row r="103" spans="1:2" x14ac:dyDescent="0.15">
      <c r="A103" t="s">
        <v>317</v>
      </c>
      <c r="B103">
        <v>14</v>
      </c>
    </row>
    <row r="104" spans="1:2" x14ac:dyDescent="0.15">
      <c r="A104" t="s">
        <v>318</v>
      </c>
      <c r="B104">
        <v>15</v>
      </c>
    </row>
    <row r="105" spans="1:2" x14ac:dyDescent="0.15">
      <c r="A105" t="s">
        <v>319</v>
      </c>
      <c r="B105">
        <v>16</v>
      </c>
    </row>
    <row r="106" spans="1:2" x14ac:dyDescent="0.15">
      <c r="A106" t="s">
        <v>320</v>
      </c>
      <c r="B106">
        <v>17</v>
      </c>
    </row>
    <row r="107" spans="1:2" x14ac:dyDescent="0.15">
      <c r="A107" t="s">
        <v>321</v>
      </c>
      <c r="B107">
        <v>18</v>
      </c>
    </row>
    <row r="108" spans="1:2" x14ac:dyDescent="0.15">
      <c r="A108" t="s">
        <v>322</v>
      </c>
      <c r="B108">
        <v>19</v>
      </c>
    </row>
    <row r="109" spans="1:2" x14ac:dyDescent="0.15">
      <c r="A109" t="s">
        <v>323</v>
      </c>
      <c r="B109">
        <v>20</v>
      </c>
    </row>
    <row r="110" spans="1:2" x14ac:dyDescent="0.15">
      <c r="A110" t="s">
        <v>324</v>
      </c>
      <c r="B110">
        <v>21</v>
      </c>
    </row>
    <row r="111" spans="1:2" x14ac:dyDescent="0.15">
      <c r="A111" t="s">
        <v>325</v>
      </c>
      <c r="B111">
        <v>22</v>
      </c>
    </row>
    <row r="112" spans="1:2" x14ac:dyDescent="0.15">
      <c r="A112" t="s">
        <v>326</v>
      </c>
      <c r="B112">
        <v>23</v>
      </c>
    </row>
    <row r="113" spans="1:2" x14ac:dyDescent="0.15">
      <c r="A113" t="s">
        <v>327</v>
      </c>
      <c r="B113">
        <v>24</v>
      </c>
    </row>
    <row r="114" spans="1:2" x14ac:dyDescent="0.15">
      <c r="A114" t="s">
        <v>328</v>
      </c>
      <c r="B114">
        <v>25</v>
      </c>
    </row>
    <row r="115" spans="1:2" x14ac:dyDescent="0.15">
      <c r="A115" t="s">
        <v>329</v>
      </c>
      <c r="B115">
        <v>26</v>
      </c>
    </row>
    <row r="116" spans="1:2" x14ac:dyDescent="0.15">
      <c r="A116" t="s">
        <v>330</v>
      </c>
      <c r="B116">
        <v>27</v>
      </c>
    </row>
    <row r="117" spans="1:2" x14ac:dyDescent="0.15">
      <c r="A117" t="s">
        <v>331</v>
      </c>
      <c r="B117">
        <v>28</v>
      </c>
    </row>
    <row r="118" spans="1:2" x14ac:dyDescent="0.15">
      <c r="A118" t="s">
        <v>332</v>
      </c>
      <c r="B118">
        <v>29</v>
      </c>
    </row>
    <row r="119" spans="1:2" x14ac:dyDescent="0.15">
      <c r="A119" t="s">
        <v>333</v>
      </c>
      <c r="B119">
        <v>31</v>
      </c>
    </row>
    <row r="120" spans="1:2" x14ac:dyDescent="0.15">
      <c r="A120" t="s">
        <v>334</v>
      </c>
      <c r="B120">
        <v>32</v>
      </c>
    </row>
    <row r="121" spans="1:2" x14ac:dyDescent="0.15">
      <c r="A121" t="s">
        <v>335</v>
      </c>
      <c r="B121">
        <v>34</v>
      </c>
    </row>
    <row r="122" spans="1:2" x14ac:dyDescent="0.15">
      <c r="A122" t="s">
        <v>336</v>
      </c>
      <c r="B122">
        <v>35</v>
      </c>
    </row>
    <row r="123" spans="1:2" x14ac:dyDescent="0.15">
      <c r="A123" t="s">
        <v>337</v>
      </c>
      <c r="B123">
        <v>36</v>
      </c>
    </row>
    <row r="124" spans="1:2" x14ac:dyDescent="0.15">
      <c r="A124" t="s">
        <v>338</v>
      </c>
      <c r="B124">
        <v>37</v>
      </c>
    </row>
    <row r="125" spans="1:2" x14ac:dyDescent="0.15">
      <c r="A125" t="s">
        <v>339</v>
      </c>
      <c r="B125">
        <v>38</v>
      </c>
    </row>
    <row r="126" spans="1:2" x14ac:dyDescent="0.15">
      <c r="A126" t="s">
        <v>340</v>
      </c>
      <c r="B126">
        <v>39</v>
      </c>
    </row>
    <row r="127" spans="1:2" x14ac:dyDescent="0.15">
      <c r="A127" t="s">
        <v>341</v>
      </c>
      <c r="B127">
        <v>40</v>
      </c>
    </row>
    <row r="128" spans="1:2" x14ac:dyDescent="0.15">
      <c r="A128" t="s">
        <v>342</v>
      </c>
      <c r="B128">
        <v>41</v>
      </c>
    </row>
    <row r="129" spans="1:2" x14ac:dyDescent="0.15">
      <c r="A129" t="s">
        <v>343</v>
      </c>
      <c r="B129">
        <v>42</v>
      </c>
    </row>
    <row r="130" spans="1:2" x14ac:dyDescent="0.15">
      <c r="A130" t="s">
        <v>344</v>
      </c>
      <c r="B130">
        <v>43</v>
      </c>
    </row>
    <row r="131" spans="1:2" x14ac:dyDescent="0.15">
      <c r="A131" t="s">
        <v>345</v>
      </c>
      <c r="B131">
        <v>44</v>
      </c>
    </row>
    <row r="132" spans="1:2" x14ac:dyDescent="0.15">
      <c r="A132" t="s">
        <v>346</v>
      </c>
      <c r="B132">
        <v>45</v>
      </c>
    </row>
    <row r="133" spans="1:2" x14ac:dyDescent="0.15">
      <c r="A133" t="s">
        <v>347</v>
      </c>
      <c r="B133">
        <v>46</v>
      </c>
    </row>
    <row r="134" spans="1:2" x14ac:dyDescent="0.15">
      <c r="A134" t="s">
        <v>348</v>
      </c>
      <c r="B134">
        <v>47</v>
      </c>
    </row>
    <row r="135" spans="1:2" x14ac:dyDescent="0.15">
      <c r="A135" t="s">
        <v>349</v>
      </c>
      <c r="B135">
        <v>48</v>
      </c>
    </row>
    <row r="136" spans="1:2" x14ac:dyDescent="0.15">
      <c r="A136" t="s">
        <v>350</v>
      </c>
      <c r="B136">
        <v>49</v>
      </c>
    </row>
    <row r="137" spans="1:2" x14ac:dyDescent="0.15">
      <c r="A137" t="s">
        <v>351</v>
      </c>
      <c r="B137">
        <v>50</v>
      </c>
    </row>
    <row r="138" spans="1:2" x14ac:dyDescent="0.15">
      <c r="A138" t="s">
        <v>352</v>
      </c>
      <c r="B138">
        <v>52</v>
      </c>
    </row>
    <row r="139" spans="1:2" x14ac:dyDescent="0.15">
      <c r="A139" t="s">
        <v>353</v>
      </c>
      <c r="B139">
        <v>53</v>
      </c>
    </row>
    <row r="140" spans="1:2" x14ac:dyDescent="0.15">
      <c r="A140" t="s">
        <v>354</v>
      </c>
      <c r="B140">
        <v>54</v>
      </c>
    </row>
    <row r="141" spans="1:2" x14ac:dyDescent="0.15">
      <c r="A141" t="s">
        <v>355</v>
      </c>
      <c r="B141">
        <v>55</v>
      </c>
    </row>
    <row r="142" spans="1:2" x14ac:dyDescent="0.15">
      <c r="A142" t="s">
        <v>356</v>
      </c>
      <c r="B142">
        <v>56</v>
      </c>
    </row>
    <row r="143" spans="1:2" x14ac:dyDescent="0.15">
      <c r="A143" t="s">
        <v>357</v>
      </c>
      <c r="B143">
        <v>57</v>
      </c>
    </row>
    <row r="144" spans="1:2" x14ac:dyDescent="0.15">
      <c r="A144" t="s">
        <v>358</v>
      </c>
      <c r="B144">
        <v>58</v>
      </c>
    </row>
    <row r="145" spans="1:19" x14ac:dyDescent="0.15">
      <c r="A145" t="s">
        <v>359</v>
      </c>
      <c r="B145" t="s">
        <v>360</v>
      </c>
    </row>
    <row r="146" spans="1:19" x14ac:dyDescent="0.15">
      <c r="A146" t="s">
        <v>361</v>
      </c>
      <c r="B146" s="89" t="s">
        <v>362</v>
      </c>
    </row>
    <row r="147" spans="1:19" x14ac:dyDescent="0.15">
      <c r="A147" t="s">
        <v>363</v>
      </c>
      <c r="B147" s="89" t="s">
        <v>364</v>
      </c>
    </row>
    <row r="148" spans="1:19" x14ac:dyDescent="0.15">
      <c r="A148" t="s">
        <v>365</v>
      </c>
      <c r="B148" s="89" t="s">
        <v>366</v>
      </c>
    </row>
    <row r="149" spans="1:19" x14ac:dyDescent="0.15">
      <c r="A149" t="s">
        <v>367</v>
      </c>
      <c r="B149" s="89" t="s">
        <v>368</v>
      </c>
    </row>
    <row r="150" spans="1:19" x14ac:dyDescent="0.15">
      <c r="A150" t="s">
        <v>369</v>
      </c>
      <c r="B150" s="89" t="s">
        <v>370</v>
      </c>
    </row>
    <row r="151" spans="1:19" x14ac:dyDescent="0.15">
      <c r="A151" t="s">
        <v>371</v>
      </c>
      <c r="B151" s="89" t="s">
        <v>372</v>
      </c>
    </row>
    <row r="152" spans="1:19" x14ac:dyDescent="0.15">
      <c r="A152" t="s">
        <v>373</v>
      </c>
      <c r="B152" s="89" t="s">
        <v>374</v>
      </c>
    </row>
    <row r="153" spans="1:19" x14ac:dyDescent="0.15">
      <c r="A153" t="s">
        <v>375</v>
      </c>
      <c r="B153" s="89" t="s">
        <v>376</v>
      </c>
    </row>
    <row r="154" spans="1:19" x14ac:dyDescent="0.15">
      <c r="A154" t="s">
        <v>377</v>
      </c>
      <c r="B154" s="89" t="s">
        <v>378</v>
      </c>
    </row>
    <row r="155" spans="1:19" x14ac:dyDescent="0.15">
      <c r="A155" t="s">
        <v>379</v>
      </c>
      <c r="B155" t="s">
        <v>59</v>
      </c>
      <c r="C155" t="s">
        <v>104</v>
      </c>
      <c r="D155" t="s">
        <v>54</v>
      </c>
      <c r="E155" t="s">
        <v>133</v>
      </c>
      <c r="F155" t="s">
        <v>44</v>
      </c>
      <c r="G155" t="s">
        <v>49</v>
      </c>
      <c r="H155" t="s">
        <v>74</v>
      </c>
      <c r="I155" t="s">
        <v>42</v>
      </c>
      <c r="J155" t="s">
        <v>69</v>
      </c>
      <c r="K155" t="s">
        <v>122</v>
      </c>
      <c r="L155" t="s">
        <v>64</v>
      </c>
      <c r="M155" t="s">
        <v>83</v>
      </c>
      <c r="N155" t="s">
        <v>124</v>
      </c>
      <c r="O155" t="s">
        <v>149</v>
      </c>
      <c r="P155" t="s">
        <v>151</v>
      </c>
      <c r="Q155" t="s">
        <v>153</v>
      </c>
      <c r="R155" t="s">
        <v>155</v>
      </c>
      <c r="S155" t="s">
        <v>157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70" zoomScaleNormal="70" workbookViewId="0">
      <pane xSplit="2" ySplit="4" topLeftCell="X5" activePane="bottomRight" state="frozen"/>
      <selection pane="topRight" activeCell="C1" sqref="C1"/>
      <selection pane="bottomLeft" activeCell="A5" sqref="A5"/>
      <selection pane="bottomRight" activeCell="AG5" sqref="AG5:AX44"/>
    </sheetView>
  </sheetViews>
  <sheetFormatPr defaultColWidth="9.125" defaultRowHeight="13.5" outlineLevelRow="1" x14ac:dyDescent="0.15"/>
  <cols>
    <col min="2" max="2" width="24.75" style="98" customWidth="1"/>
    <col min="4" max="5" width="10.75" style="98" customWidth="1"/>
    <col min="9" max="9" width="1.75" style="98" customWidth="1"/>
    <col min="11" max="11" width="10.75" style="98" customWidth="1"/>
    <col min="12" max="13" width="12.5" style="98" customWidth="1"/>
    <col min="14" max="14" width="10.75" style="98" customWidth="1"/>
    <col min="15" max="20" width="12.75" style="98" customWidth="1"/>
    <col min="21" max="27" width="11.75" style="98" customWidth="1"/>
    <col min="30" max="30" width="1.75" style="98" customWidth="1"/>
    <col min="32" max="32" width="10.75" style="98" customWidth="1"/>
    <col min="33" max="34" width="12.5" style="98" customWidth="1"/>
    <col min="35" max="35" width="10.75" style="98" customWidth="1"/>
    <col min="36" max="41" width="12.75" style="98" customWidth="1"/>
    <col min="42" max="48" width="11.75" style="98" customWidth="1"/>
    <col min="51" max="51" width="1.75" style="98" customWidth="1"/>
    <col min="54" max="58" width="11.75" style="98" customWidth="1"/>
    <col min="59" max="59" width="1.75" style="98" customWidth="1"/>
    <col min="62" max="66" width="11.75" style="98" customWidth="1"/>
    <col min="67" max="67" width="1.75" style="98" customWidth="1"/>
  </cols>
  <sheetData>
    <row r="1" spans="1:72" x14ac:dyDescent="0.15">
      <c r="A1" s="117" t="s">
        <v>380</v>
      </c>
      <c r="B1" s="107"/>
      <c r="C1" s="107"/>
      <c r="D1" s="107"/>
      <c r="E1" s="107"/>
      <c r="F1" s="107"/>
      <c r="G1" s="107"/>
      <c r="H1" s="107"/>
      <c r="J1" s="106" t="str">
        <f>Summary!C1</f>
        <v>F300_anchor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8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8" t="s">
        <v>162</v>
      </c>
      <c r="B2" s="119" t="s">
        <v>163</v>
      </c>
      <c r="C2" s="118" t="s">
        <v>381</v>
      </c>
      <c r="D2" s="119" t="s">
        <v>164</v>
      </c>
      <c r="E2" s="118" t="s">
        <v>165</v>
      </c>
      <c r="F2" s="119" t="s">
        <v>166</v>
      </c>
      <c r="G2" s="118" t="s">
        <v>167</v>
      </c>
      <c r="H2" s="119" t="s">
        <v>382</v>
      </c>
      <c r="J2" s="118" t="s">
        <v>130</v>
      </c>
      <c r="K2" s="119" t="s">
        <v>134</v>
      </c>
      <c r="L2" s="120" t="s">
        <v>123</v>
      </c>
      <c r="M2" s="119" t="s">
        <v>383</v>
      </c>
      <c r="N2" s="118" t="s">
        <v>84</v>
      </c>
      <c r="O2" s="119" t="s">
        <v>123</v>
      </c>
      <c r="P2" s="119" t="s">
        <v>384</v>
      </c>
      <c r="Q2" s="119" t="s">
        <v>385</v>
      </c>
      <c r="R2" s="119" t="s">
        <v>386</v>
      </c>
      <c r="S2" s="119" t="s">
        <v>387</v>
      </c>
      <c r="T2" s="119" t="s">
        <v>388</v>
      </c>
      <c r="U2" s="121" t="s">
        <v>389</v>
      </c>
      <c r="V2" s="107"/>
      <c r="W2" s="107"/>
      <c r="X2" s="107"/>
      <c r="Y2" s="107"/>
      <c r="Z2" s="122" t="s">
        <v>390</v>
      </c>
      <c r="AA2" s="107"/>
      <c r="AB2" s="118" t="s">
        <v>125</v>
      </c>
      <c r="AC2" s="119" t="s">
        <v>105</v>
      </c>
      <c r="AE2" s="118" t="s">
        <v>130</v>
      </c>
      <c r="AF2" s="119" t="s">
        <v>134</v>
      </c>
      <c r="AG2" s="120" t="s">
        <v>123</v>
      </c>
      <c r="AH2" s="119" t="s">
        <v>383</v>
      </c>
      <c r="AI2" s="118" t="s">
        <v>84</v>
      </c>
      <c r="AJ2" s="119" t="s">
        <v>123</v>
      </c>
      <c r="AK2" s="119" t="s">
        <v>384</v>
      </c>
      <c r="AL2" s="119" t="s">
        <v>385</v>
      </c>
      <c r="AM2" s="119" t="s">
        <v>386</v>
      </c>
      <c r="AN2" s="119" t="s">
        <v>387</v>
      </c>
      <c r="AO2" s="119" t="s">
        <v>388</v>
      </c>
      <c r="AP2" s="121" t="s">
        <v>389</v>
      </c>
      <c r="AQ2" s="107"/>
      <c r="AR2" s="107"/>
      <c r="AS2" s="107"/>
      <c r="AT2" s="107"/>
      <c r="AU2" s="122" t="s">
        <v>390</v>
      </c>
      <c r="AV2" s="107"/>
      <c r="AW2" s="118" t="s">
        <v>125</v>
      </c>
      <c r="AX2" s="119" t="s">
        <v>105</v>
      </c>
      <c r="AZ2" s="121" t="s">
        <v>16</v>
      </c>
      <c r="BA2" s="107"/>
      <c r="BB2" s="107"/>
      <c r="BC2" s="107"/>
      <c r="BD2" s="107"/>
      <c r="BE2" s="122" t="s">
        <v>17</v>
      </c>
      <c r="BF2" s="107"/>
      <c r="BH2" s="121" t="s">
        <v>391</v>
      </c>
      <c r="BI2" s="107"/>
      <c r="BJ2" s="123" t="s">
        <v>392</v>
      </c>
      <c r="BK2" s="107"/>
      <c r="BL2" s="107"/>
      <c r="BM2" s="118" t="s">
        <v>393</v>
      </c>
      <c r="BN2" s="119" t="s">
        <v>394</v>
      </c>
      <c r="BP2" s="118" t="s">
        <v>395</v>
      </c>
      <c r="BQ2" s="118" t="s">
        <v>396</v>
      </c>
      <c r="BR2" s="118" t="s">
        <v>397</v>
      </c>
      <c r="BS2" s="118" t="s">
        <v>398</v>
      </c>
      <c r="BT2" s="118" t="s">
        <v>399</v>
      </c>
    </row>
    <row r="3" spans="1:72" ht="33" customHeight="1" thickBot="1" x14ac:dyDescent="0.2">
      <c r="A3" s="110"/>
      <c r="B3" s="110"/>
      <c r="C3" s="110"/>
      <c r="D3" s="110"/>
      <c r="E3" s="110"/>
      <c r="F3" s="110"/>
      <c r="G3" s="110"/>
      <c r="H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04" t="s">
        <v>18</v>
      </c>
      <c r="V3" s="104" t="s">
        <v>19</v>
      </c>
      <c r="W3" s="104" t="s">
        <v>20</v>
      </c>
      <c r="X3" s="104" t="s">
        <v>21</v>
      </c>
      <c r="Y3" s="104" t="s">
        <v>22</v>
      </c>
      <c r="Z3" s="103" t="s">
        <v>23</v>
      </c>
      <c r="AA3" s="103" t="s">
        <v>20</v>
      </c>
      <c r="AB3" s="110"/>
      <c r="AC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04" t="s">
        <v>18</v>
      </c>
      <c r="AQ3" s="104" t="s">
        <v>19</v>
      </c>
      <c r="AR3" s="104" t="s">
        <v>20</v>
      </c>
      <c r="AS3" s="104" t="s">
        <v>21</v>
      </c>
      <c r="AT3" s="104" t="s">
        <v>22</v>
      </c>
      <c r="AU3" s="103" t="s">
        <v>23</v>
      </c>
      <c r="AV3" s="103" t="s">
        <v>20</v>
      </c>
      <c r="AW3" s="110"/>
      <c r="AX3" s="110"/>
      <c r="AZ3" s="104" t="s">
        <v>18</v>
      </c>
      <c r="BA3" s="104" t="s">
        <v>19</v>
      </c>
      <c r="BB3" s="104" t="s">
        <v>20</v>
      </c>
      <c r="BC3" s="104" t="s">
        <v>21</v>
      </c>
      <c r="BD3" s="104" t="s">
        <v>22</v>
      </c>
      <c r="BE3" s="103" t="s">
        <v>23</v>
      </c>
      <c r="BF3" s="103" t="s">
        <v>20</v>
      </c>
      <c r="BH3" s="104" t="s">
        <v>18</v>
      </c>
      <c r="BI3" s="104" t="s">
        <v>19</v>
      </c>
      <c r="BJ3" s="54" t="s">
        <v>20</v>
      </c>
      <c r="BK3" s="54" t="s">
        <v>21</v>
      </c>
      <c r="BL3" s="54" t="s">
        <v>22</v>
      </c>
      <c r="BM3" s="110"/>
      <c r="BN3" s="110"/>
      <c r="BP3" s="110"/>
      <c r="BQ3" s="110"/>
      <c r="BR3" s="110"/>
      <c r="BS3" s="110"/>
      <c r="BT3" s="110"/>
    </row>
    <row r="4" spans="1:72" ht="1.5" hidden="1" customHeight="1" thickBot="1" x14ac:dyDescent="0.2">
      <c r="A4" s="8" t="s">
        <v>172</v>
      </c>
      <c r="B4" s="9" t="s">
        <v>173</v>
      </c>
      <c r="C4" s="8" t="s">
        <v>400</v>
      </c>
      <c r="D4" s="9" t="s">
        <v>174</v>
      </c>
      <c r="E4" s="8" t="s">
        <v>175</v>
      </c>
      <c r="F4" s="9" t="s">
        <v>176</v>
      </c>
      <c r="G4" s="8" t="s">
        <v>177</v>
      </c>
      <c r="H4" s="9" t="s">
        <v>401</v>
      </c>
      <c r="J4" s="8" t="s">
        <v>178</v>
      </c>
      <c r="K4" s="9" t="s">
        <v>179</v>
      </c>
      <c r="L4" s="9"/>
      <c r="M4" s="9"/>
      <c r="N4" s="8" t="s">
        <v>402</v>
      </c>
      <c r="O4" s="9" t="s">
        <v>180</v>
      </c>
      <c r="P4" s="9"/>
      <c r="Q4" s="9"/>
      <c r="R4" s="9"/>
      <c r="S4" s="9"/>
      <c r="T4" s="9"/>
      <c r="U4" s="8" t="s">
        <v>403</v>
      </c>
      <c r="V4" s="8" t="s">
        <v>404</v>
      </c>
      <c r="W4" s="8" t="s">
        <v>405</v>
      </c>
      <c r="X4" s="8" t="s">
        <v>406</v>
      </c>
      <c r="Y4" s="8" t="s">
        <v>407</v>
      </c>
      <c r="Z4" s="9" t="s">
        <v>408</v>
      </c>
      <c r="AA4" s="9" t="s">
        <v>409</v>
      </c>
      <c r="AB4" s="8" t="s">
        <v>181</v>
      </c>
      <c r="AC4" s="9" t="s">
        <v>182</v>
      </c>
      <c r="AE4" s="8" t="s">
        <v>183</v>
      </c>
      <c r="AF4" s="9" t="s">
        <v>184</v>
      </c>
      <c r="AG4" s="9"/>
      <c r="AH4" s="9"/>
      <c r="AI4" s="8" t="s">
        <v>410</v>
      </c>
      <c r="AJ4" s="9" t="s">
        <v>185</v>
      </c>
      <c r="AK4" s="9"/>
      <c r="AL4" s="9"/>
      <c r="AM4" s="9"/>
      <c r="AN4" s="9"/>
      <c r="AO4" s="9"/>
      <c r="AP4" s="8" t="s">
        <v>411</v>
      </c>
      <c r="AQ4" s="8" t="s">
        <v>412</v>
      </c>
      <c r="AR4" s="8" t="s">
        <v>413</v>
      </c>
      <c r="AS4" s="8" t="s">
        <v>414</v>
      </c>
      <c r="AT4" s="8" t="s">
        <v>415</v>
      </c>
      <c r="AU4" s="9" t="s">
        <v>416</v>
      </c>
      <c r="AV4" s="9" t="s">
        <v>417</v>
      </c>
      <c r="AW4" s="8" t="s">
        <v>186</v>
      </c>
      <c r="AX4" s="9" t="s">
        <v>187</v>
      </c>
      <c r="AZ4" s="8" t="s">
        <v>418</v>
      </c>
      <c r="BA4" s="8" t="s">
        <v>419</v>
      </c>
      <c r="BB4" s="8" t="s">
        <v>420</v>
      </c>
      <c r="BC4" s="8" t="s">
        <v>421</v>
      </c>
      <c r="BD4" s="8" t="s">
        <v>422</v>
      </c>
      <c r="BE4" s="9" t="s">
        <v>423</v>
      </c>
      <c r="BF4" s="9" t="s">
        <v>424</v>
      </c>
      <c r="BH4" s="8" t="s">
        <v>418</v>
      </c>
      <c r="BI4" s="8" t="s">
        <v>419</v>
      </c>
      <c r="BJ4" s="8" t="s">
        <v>420</v>
      </c>
      <c r="BK4" s="8" t="s">
        <v>421</v>
      </c>
      <c r="BL4" s="8" t="s">
        <v>422</v>
      </c>
      <c r="BM4" s="9" t="s">
        <v>423</v>
      </c>
      <c r="BN4" s="9" t="s">
        <v>424</v>
      </c>
    </row>
    <row r="5" spans="1:72" ht="15" customHeight="1" x14ac:dyDescent="0.15">
      <c r="A5" s="10" t="s">
        <v>189</v>
      </c>
      <c r="B5" s="10" t="s">
        <v>33</v>
      </c>
      <c r="C5" s="12" t="s">
        <v>425</v>
      </c>
      <c r="D5" s="10">
        <v>11997440</v>
      </c>
      <c r="E5" s="11">
        <v>10</v>
      </c>
      <c r="F5" s="12">
        <v>300</v>
      </c>
      <c r="G5" s="12">
        <v>30</v>
      </c>
      <c r="H5" s="12">
        <v>4</v>
      </c>
      <c r="J5" s="13">
        <f t="shared" ref="J5:J44" si="0">IF(OR(ISBLANK(O5),ISBLANK(G5)),"·",O5*G5/F5/1000000)</f>
        <v>5.1753288</v>
      </c>
      <c r="K5" s="14">
        <f t="shared" ref="K5:K44" si="1">IF(ISBLANK(O5),"·",O5/D5)</f>
        <v>4.3136942547743518</v>
      </c>
      <c r="L5" s="12">
        <f t="shared" ref="L5:L44" si="2">IF(OR(ISBLANK(M5),ISBLANK(S5),ISBLANK(T5)),".",M5+S5+T5)</f>
        <v>51753288</v>
      </c>
      <c r="M5" s="12">
        <f t="shared" ref="M5:M44" si="3">IF(OR(ISBLANK(Q5),ISBLANK(P5),ISBLANK(R5)),".",P5+Q5+R5)</f>
        <v>15425336</v>
      </c>
      <c r="N5" s="37">
        <v>5681424</v>
      </c>
      <c r="O5" s="15">
        <v>51753288</v>
      </c>
      <c r="P5" s="15">
        <v>8310720</v>
      </c>
      <c r="Q5" s="15">
        <v>0</v>
      </c>
      <c r="R5" s="15">
        <v>7114616</v>
      </c>
      <c r="S5" s="15">
        <v>36286344</v>
      </c>
      <c r="T5" s="15">
        <v>41608</v>
      </c>
      <c r="U5" s="38">
        <v>67.395328500000005</v>
      </c>
      <c r="V5" s="38">
        <v>68.276002500000004</v>
      </c>
      <c r="W5" s="38">
        <v>28.734739900000001</v>
      </c>
      <c r="X5" s="38">
        <v>33.871093999999999</v>
      </c>
      <c r="Y5" s="38">
        <v>33.294729699999998</v>
      </c>
      <c r="Z5" s="38">
        <v>47.274436899999998</v>
      </c>
      <c r="AA5" s="38">
        <v>26.994677100000001</v>
      </c>
      <c r="AB5" s="16">
        <v>6913.5914579999999</v>
      </c>
      <c r="AC5" s="16">
        <v>48.653061999999998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/>
      <c r="AH5" s="12"/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6">IF(AND(AK5=0,AK5=0),0,AK5/P5-1)</f>
        <v>0</v>
      </c>
      <c r="BQ5" s="17">
        <f t="shared" ref="BQ5:BQ44" si="7">IF(AND(AL5=0,AL5=0),0,AL5/Q5-1)</f>
        <v>0</v>
      </c>
      <c r="BR5" s="17">
        <f t="shared" ref="BR5:BR44" si="8">IF(AND(AM5=0,AM5=0),0,AM5/R5-1)</f>
        <v>0</v>
      </c>
      <c r="BS5" s="17">
        <f t="shared" ref="BS5:BS44" si="9">IF(AND(AN5=0,AN5=0),0,AN5/S5-1)</f>
        <v>0</v>
      </c>
      <c r="BT5" s="17">
        <f t="shared" ref="BT5:BT44" si="10">IF(AND(AO5=0,AO5=0),0,AO5/T5-1)</f>
        <v>0</v>
      </c>
    </row>
    <row r="6" spans="1:72" ht="15" customHeight="1" outlineLevel="1" x14ac:dyDescent="0.15">
      <c r="A6" s="26"/>
      <c r="B6" s="26" t="s">
        <v>33</v>
      </c>
      <c r="C6" s="28" t="s">
        <v>426</v>
      </c>
      <c r="D6" s="26">
        <v>11997440</v>
      </c>
      <c r="E6" s="27">
        <v>10</v>
      </c>
      <c r="F6" s="28">
        <v>300</v>
      </c>
      <c r="G6" s="28">
        <v>30</v>
      </c>
      <c r="H6" s="28">
        <v>9</v>
      </c>
      <c r="J6" s="29">
        <f t="shared" si="0"/>
        <v>9.4430448000000009</v>
      </c>
      <c r="K6" s="30">
        <f t="shared" si="1"/>
        <v>7.8708831217326365</v>
      </c>
      <c r="L6" s="28">
        <f t="shared" si="2"/>
        <v>94430448</v>
      </c>
      <c r="M6" s="28">
        <f t="shared" si="3"/>
        <v>17079432</v>
      </c>
      <c r="N6" s="39">
        <v>5681424</v>
      </c>
      <c r="O6" s="31">
        <v>94430448</v>
      </c>
      <c r="P6" s="31">
        <v>8938728</v>
      </c>
      <c r="Q6" s="31">
        <v>0</v>
      </c>
      <c r="R6" s="31">
        <v>8140704</v>
      </c>
      <c r="S6" s="31">
        <v>77309408</v>
      </c>
      <c r="T6" s="31">
        <v>41608</v>
      </c>
      <c r="U6" s="40">
        <v>67.652101200000004</v>
      </c>
      <c r="V6" s="40">
        <v>68.552565200000004</v>
      </c>
      <c r="W6" s="40">
        <v>31.315407100000002</v>
      </c>
      <c r="X6" s="40">
        <v>35.073476599999999</v>
      </c>
      <c r="Y6" s="40">
        <v>34.602452700000001</v>
      </c>
      <c r="Z6" s="40">
        <v>47.366967799999998</v>
      </c>
      <c r="AA6" s="40">
        <v>28.186352100000001</v>
      </c>
      <c r="AB6" s="32">
        <v>7140.3752290000002</v>
      </c>
      <c r="AC6" s="32">
        <v>49.670557000000002</v>
      </c>
      <c r="AE6" s="29" t="str">
        <f t="shared" si="4"/>
        <v>·</v>
      </c>
      <c r="AF6" s="30" t="str">
        <f t="shared" si="5"/>
        <v>·</v>
      </c>
      <c r="AG6" s="28"/>
      <c r="AH6" s="28"/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6"/>
        <v>0</v>
      </c>
      <c r="BQ6" s="33">
        <f t="shared" si="7"/>
        <v>0</v>
      </c>
      <c r="BR6" s="33">
        <f t="shared" si="8"/>
        <v>0</v>
      </c>
      <c r="BS6" s="33">
        <f t="shared" si="9"/>
        <v>0</v>
      </c>
      <c r="BT6" s="33">
        <f t="shared" si="10"/>
        <v>0</v>
      </c>
    </row>
    <row r="7" spans="1:72" ht="15" customHeight="1" outlineLevel="1" x14ac:dyDescent="0.15">
      <c r="A7" s="10"/>
      <c r="B7" s="10" t="s">
        <v>33</v>
      </c>
      <c r="C7" s="12" t="s">
        <v>427</v>
      </c>
      <c r="D7" s="10">
        <v>11997440</v>
      </c>
      <c r="E7" s="11">
        <v>10</v>
      </c>
      <c r="F7" s="12">
        <v>300</v>
      </c>
      <c r="G7" s="12">
        <v>30</v>
      </c>
      <c r="H7" s="12">
        <v>12</v>
      </c>
      <c r="J7" s="13">
        <f t="shared" si="0"/>
        <v>13.012633599999999</v>
      </c>
      <c r="K7" s="14">
        <f t="shared" si="1"/>
        <v>10.846175184039261</v>
      </c>
      <c r="L7" s="12">
        <f t="shared" si="2"/>
        <v>130126336</v>
      </c>
      <c r="M7" s="12">
        <f t="shared" si="3"/>
        <v>20900848</v>
      </c>
      <c r="N7" s="37">
        <v>11389008</v>
      </c>
      <c r="O7" s="15">
        <v>130126336</v>
      </c>
      <c r="P7" s="15">
        <v>13033912</v>
      </c>
      <c r="Q7" s="15">
        <v>0</v>
      </c>
      <c r="R7" s="15">
        <v>7866936</v>
      </c>
      <c r="S7" s="15">
        <v>109183720</v>
      </c>
      <c r="T7" s="15">
        <v>41768</v>
      </c>
      <c r="U7" s="38">
        <v>70.614322900000005</v>
      </c>
      <c r="V7" s="38">
        <v>71.966641100000004</v>
      </c>
      <c r="W7" s="38">
        <v>32.575001100000001</v>
      </c>
      <c r="X7" s="38">
        <v>36.881157199999997</v>
      </c>
      <c r="Y7" s="38">
        <v>36.593056799999999</v>
      </c>
      <c r="Z7" s="38">
        <v>49.338439999999999</v>
      </c>
      <c r="AA7" s="38">
        <v>29.914803899999999</v>
      </c>
      <c r="AB7" s="16">
        <v>15491.302147</v>
      </c>
      <c r="AC7" s="16">
        <v>173.38377</v>
      </c>
      <c r="AE7" s="13" t="str">
        <f t="shared" si="4"/>
        <v>·</v>
      </c>
      <c r="AF7" s="14" t="str">
        <f t="shared" si="5"/>
        <v>·</v>
      </c>
      <c r="AG7" s="12"/>
      <c r="AH7" s="12"/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6"/>
        <v>0</v>
      </c>
      <c r="BQ7" s="17">
        <f t="shared" si="7"/>
        <v>0</v>
      </c>
      <c r="BR7" s="17">
        <f t="shared" si="8"/>
        <v>0</v>
      </c>
      <c r="BS7" s="17">
        <f t="shared" si="9"/>
        <v>0</v>
      </c>
      <c r="BT7" s="17">
        <f t="shared" si="10"/>
        <v>0</v>
      </c>
    </row>
    <row r="8" spans="1:72" ht="15" customHeight="1" outlineLevel="1" x14ac:dyDescent="0.15">
      <c r="A8" s="26"/>
      <c r="B8" s="26" t="s">
        <v>33</v>
      </c>
      <c r="C8" s="28" t="s">
        <v>428</v>
      </c>
      <c r="D8" s="26">
        <v>11997440</v>
      </c>
      <c r="E8" s="27">
        <v>10</v>
      </c>
      <c r="F8" s="28">
        <v>300</v>
      </c>
      <c r="G8" s="28">
        <v>30</v>
      </c>
      <c r="H8" s="28">
        <v>15</v>
      </c>
      <c r="J8" s="29">
        <f t="shared" si="0"/>
        <v>16.1909448</v>
      </c>
      <c r="K8" s="30">
        <f t="shared" si="1"/>
        <v>13.495333004374267</v>
      </c>
      <c r="L8" s="28">
        <f t="shared" si="2"/>
        <v>161909448</v>
      </c>
      <c r="M8" s="28">
        <f t="shared" si="3"/>
        <v>27043776</v>
      </c>
      <c r="N8" s="39">
        <v>11389008</v>
      </c>
      <c r="O8" s="31">
        <v>161909448</v>
      </c>
      <c r="P8" s="31">
        <v>14198048</v>
      </c>
      <c r="Q8" s="31">
        <v>0</v>
      </c>
      <c r="R8" s="31">
        <v>12845728</v>
      </c>
      <c r="S8" s="31">
        <v>134823904</v>
      </c>
      <c r="T8" s="31">
        <v>41768</v>
      </c>
      <c r="U8" s="40">
        <v>72.092234599999998</v>
      </c>
      <c r="V8" s="40">
        <v>73.617791299999993</v>
      </c>
      <c r="W8" s="40">
        <v>33.517013200000001</v>
      </c>
      <c r="X8" s="40">
        <v>37.407750900000003</v>
      </c>
      <c r="Y8" s="40">
        <v>37.122662099999999</v>
      </c>
      <c r="Z8" s="40">
        <v>49.801802899999998</v>
      </c>
      <c r="AA8" s="40">
        <v>30.881806300000001</v>
      </c>
      <c r="AB8" s="32">
        <v>18283.16473</v>
      </c>
      <c r="AC8" s="32">
        <v>172.108881</v>
      </c>
      <c r="AE8" s="29" t="str">
        <f t="shared" si="4"/>
        <v>·</v>
      </c>
      <c r="AF8" s="30" t="str">
        <f t="shared" si="5"/>
        <v>·</v>
      </c>
      <c r="AG8" s="28"/>
      <c r="AH8" s="28"/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6"/>
        <v>0</v>
      </c>
      <c r="BQ8" s="33">
        <f t="shared" si="7"/>
        <v>0</v>
      </c>
      <c r="BR8" s="33">
        <f t="shared" si="8"/>
        <v>0</v>
      </c>
      <c r="BS8" s="33">
        <f t="shared" si="9"/>
        <v>0</v>
      </c>
      <c r="BT8" s="33">
        <f t="shared" si="10"/>
        <v>0</v>
      </c>
    </row>
    <row r="9" spans="1:72" ht="15.75" customHeight="1" outlineLevel="1" thickBot="1" x14ac:dyDescent="0.2">
      <c r="A9" s="10"/>
      <c r="B9" s="41" t="s">
        <v>33</v>
      </c>
      <c r="C9" s="42" t="s">
        <v>429</v>
      </c>
      <c r="D9" s="41">
        <v>11997440</v>
      </c>
      <c r="E9" s="43">
        <v>10</v>
      </c>
      <c r="F9" s="42">
        <v>300</v>
      </c>
      <c r="G9" s="42">
        <v>30</v>
      </c>
      <c r="H9" s="42">
        <v>22</v>
      </c>
      <c r="J9" s="44">
        <f t="shared" si="0"/>
        <v>23.474707200000001</v>
      </c>
      <c r="K9" s="45">
        <f t="shared" si="1"/>
        <v>19.566430171769976</v>
      </c>
      <c r="L9" s="42">
        <f t="shared" si="2"/>
        <v>234747072</v>
      </c>
      <c r="M9" s="42">
        <f t="shared" si="3"/>
        <v>44783000</v>
      </c>
      <c r="N9" s="46">
        <v>22901024</v>
      </c>
      <c r="O9" s="47">
        <v>234747072</v>
      </c>
      <c r="P9" s="47">
        <v>21369144</v>
      </c>
      <c r="Q9" s="47">
        <v>0</v>
      </c>
      <c r="R9" s="47">
        <v>23413856</v>
      </c>
      <c r="S9" s="47">
        <v>189922304</v>
      </c>
      <c r="T9" s="47">
        <v>41768</v>
      </c>
      <c r="U9" s="48">
        <v>75.347616000000002</v>
      </c>
      <c r="V9" s="48">
        <v>77.472037200000003</v>
      </c>
      <c r="W9" s="48">
        <v>34.921526800000002</v>
      </c>
      <c r="X9" s="48">
        <v>38.513194800000001</v>
      </c>
      <c r="Y9" s="48">
        <v>38.2148003</v>
      </c>
      <c r="Z9" s="48">
        <v>51.728374500000001</v>
      </c>
      <c r="AA9" s="48">
        <v>32.679411700000003</v>
      </c>
      <c r="AB9" s="49">
        <v>21322.018542999998</v>
      </c>
      <c r="AC9" s="49">
        <v>174.96777499999999</v>
      </c>
      <c r="AE9" s="44" t="str">
        <f t="shared" si="4"/>
        <v>·</v>
      </c>
      <c r="AF9" s="45" t="str">
        <f t="shared" si="5"/>
        <v>·</v>
      </c>
      <c r="AG9" s="42"/>
      <c r="AH9" s="42"/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6"/>
        <v>0</v>
      </c>
      <c r="BQ9" s="50">
        <f t="shared" si="7"/>
        <v>0</v>
      </c>
      <c r="BR9" s="50">
        <f t="shared" si="8"/>
        <v>0</v>
      </c>
      <c r="BS9" s="50">
        <f t="shared" si="9"/>
        <v>0</v>
      </c>
      <c r="BT9" s="50">
        <f t="shared" si="10"/>
        <v>0</v>
      </c>
    </row>
    <row r="10" spans="1:72" ht="15" customHeight="1" x14ac:dyDescent="0.15">
      <c r="A10" s="26"/>
      <c r="B10" s="26" t="s">
        <v>48</v>
      </c>
      <c r="C10" s="28" t="s">
        <v>425</v>
      </c>
      <c r="D10" s="26">
        <v>9000000</v>
      </c>
      <c r="E10" s="27">
        <v>10</v>
      </c>
      <c r="F10" s="28">
        <v>300</v>
      </c>
      <c r="G10" s="28">
        <v>30</v>
      </c>
      <c r="H10" s="28">
        <v>5</v>
      </c>
      <c r="J10" s="29">
        <f t="shared" si="0"/>
        <v>5.1003864000000005</v>
      </c>
      <c r="K10" s="30">
        <f t="shared" si="1"/>
        <v>5.6670959999999999</v>
      </c>
      <c r="L10" s="28">
        <f t="shared" si="2"/>
        <v>51003864</v>
      </c>
      <c r="M10" s="28">
        <f t="shared" si="3"/>
        <v>14755664</v>
      </c>
      <c r="N10" s="39">
        <v>5634672</v>
      </c>
      <c r="O10" s="31">
        <v>51003864</v>
      </c>
      <c r="P10" s="31">
        <v>8774128</v>
      </c>
      <c r="Q10" s="31">
        <v>0</v>
      </c>
      <c r="R10" s="31">
        <v>5981536</v>
      </c>
      <c r="S10" s="31">
        <v>36206432</v>
      </c>
      <c r="T10" s="31">
        <v>41768</v>
      </c>
      <c r="U10" s="40">
        <v>63.867308299999998</v>
      </c>
      <c r="V10" s="40">
        <v>64.403899199999998</v>
      </c>
      <c r="W10" s="40">
        <v>32.058367099999998</v>
      </c>
      <c r="X10" s="40">
        <v>44.953858400000001</v>
      </c>
      <c r="Y10" s="40">
        <v>45.246099800000003</v>
      </c>
      <c r="Z10" s="40">
        <v>43.176590500000003</v>
      </c>
      <c r="AA10" s="40">
        <v>29.0938403</v>
      </c>
      <c r="AB10" s="32">
        <v>18110.876864999998</v>
      </c>
      <c r="AC10" s="32">
        <v>162.32698300000001</v>
      </c>
      <c r="AE10" s="29" t="str">
        <f t="shared" si="4"/>
        <v>·</v>
      </c>
      <c r="AF10" s="30" t="str">
        <f t="shared" si="5"/>
        <v>·</v>
      </c>
      <c r="AG10" s="28"/>
      <c r="AH10" s="28"/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6"/>
        <v>0</v>
      </c>
      <c r="BQ10" s="33">
        <f t="shared" si="7"/>
        <v>0</v>
      </c>
      <c r="BR10" s="33">
        <f t="shared" si="8"/>
        <v>0</v>
      </c>
      <c r="BS10" s="33">
        <f t="shared" si="9"/>
        <v>0</v>
      </c>
      <c r="BT10" s="33">
        <f t="shared" si="10"/>
        <v>0</v>
      </c>
    </row>
    <row r="11" spans="1:72" ht="15" customHeight="1" outlineLevel="1" x14ac:dyDescent="0.15">
      <c r="A11" s="10"/>
      <c r="B11" s="10" t="s">
        <v>48</v>
      </c>
      <c r="C11" s="12" t="s">
        <v>426</v>
      </c>
      <c r="D11" s="10">
        <v>9000000</v>
      </c>
      <c r="E11" s="11">
        <v>10</v>
      </c>
      <c r="F11" s="12">
        <v>300</v>
      </c>
      <c r="G11" s="12">
        <v>30</v>
      </c>
      <c r="H11" s="12">
        <v>9</v>
      </c>
      <c r="J11" s="13">
        <f t="shared" si="0"/>
        <v>9.2250720000000008</v>
      </c>
      <c r="K11" s="14">
        <f t="shared" si="1"/>
        <v>10.250080000000001</v>
      </c>
      <c r="L11" s="12">
        <f t="shared" si="2"/>
        <v>92250720</v>
      </c>
      <c r="M11" s="12">
        <f t="shared" si="3"/>
        <v>24341184</v>
      </c>
      <c r="N11" s="37">
        <v>11348448</v>
      </c>
      <c r="O11" s="15">
        <v>92250720</v>
      </c>
      <c r="P11" s="15">
        <v>13819920</v>
      </c>
      <c r="Q11" s="15">
        <v>0</v>
      </c>
      <c r="R11" s="15">
        <v>10521264</v>
      </c>
      <c r="S11" s="15">
        <v>67867768</v>
      </c>
      <c r="T11" s="15">
        <v>41768</v>
      </c>
      <c r="U11" s="38">
        <v>68.877166200000005</v>
      </c>
      <c r="V11" s="38">
        <v>70.046091099999998</v>
      </c>
      <c r="W11" s="38">
        <v>34.835394999999998</v>
      </c>
      <c r="X11" s="38">
        <v>45.585599799999997</v>
      </c>
      <c r="Y11" s="38">
        <v>45.971108299999997</v>
      </c>
      <c r="Z11" s="38">
        <v>46.222981300000001</v>
      </c>
      <c r="AA11" s="38">
        <v>31.918854400000001</v>
      </c>
      <c r="AB11" s="16">
        <v>18934.081423</v>
      </c>
      <c r="AC11" s="16">
        <v>163.288948</v>
      </c>
      <c r="AE11" s="13" t="str">
        <f t="shared" si="4"/>
        <v>·</v>
      </c>
      <c r="AF11" s="14" t="str">
        <f t="shared" si="5"/>
        <v>·</v>
      </c>
      <c r="AG11" s="12"/>
      <c r="AH11" s="12"/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6"/>
        <v>0</v>
      </c>
      <c r="BQ11" s="17">
        <f t="shared" si="7"/>
        <v>0</v>
      </c>
      <c r="BR11" s="17">
        <f t="shared" si="8"/>
        <v>0</v>
      </c>
      <c r="BS11" s="17">
        <f t="shared" si="9"/>
        <v>0</v>
      </c>
      <c r="BT11" s="17">
        <f t="shared" si="10"/>
        <v>0</v>
      </c>
    </row>
    <row r="12" spans="1:72" ht="15" customHeight="1" outlineLevel="1" x14ac:dyDescent="0.15">
      <c r="A12" s="26"/>
      <c r="B12" s="26" t="s">
        <v>48</v>
      </c>
      <c r="C12" s="28" t="s">
        <v>427</v>
      </c>
      <c r="D12" s="26">
        <v>9000000</v>
      </c>
      <c r="E12" s="27">
        <v>10</v>
      </c>
      <c r="F12" s="28">
        <v>300</v>
      </c>
      <c r="G12" s="28">
        <v>30</v>
      </c>
      <c r="H12" s="28">
        <v>12</v>
      </c>
      <c r="J12" s="29">
        <f t="shared" si="0"/>
        <v>11.728200800000002</v>
      </c>
      <c r="K12" s="30">
        <f t="shared" si="1"/>
        <v>13.031334222222222</v>
      </c>
      <c r="L12" s="28">
        <f t="shared" si="2"/>
        <v>117282008</v>
      </c>
      <c r="M12" s="28">
        <f t="shared" si="3"/>
        <v>31679952</v>
      </c>
      <c r="N12" s="39">
        <v>11348448</v>
      </c>
      <c r="O12" s="31">
        <v>117282008</v>
      </c>
      <c r="P12" s="31">
        <v>13819920</v>
      </c>
      <c r="Q12" s="31">
        <v>0</v>
      </c>
      <c r="R12" s="31">
        <v>17860032</v>
      </c>
      <c r="S12" s="31">
        <v>85560288</v>
      </c>
      <c r="T12" s="31">
        <v>41768</v>
      </c>
      <c r="U12" s="40">
        <v>70.121871100000007</v>
      </c>
      <c r="V12" s="40">
        <v>71.411871199999993</v>
      </c>
      <c r="W12" s="40">
        <v>35.817584199999999</v>
      </c>
      <c r="X12" s="40">
        <v>45.911640599999998</v>
      </c>
      <c r="Y12" s="40">
        <v>46.336190299999998</v>
      </c>
      <c r="Z12" s="40">
        <v>46.582680000000003</v>
      </c>
      <c r="AA12" s="40">
        <v>32.754707400000001</v>
      </c>
      <c r="AB12" s="32">
        <v>20410.781490000001</v>
      </c>
      <c r="AC12" s="32">
        <v>174.760096</v>
      </c>
      <c r="AE12" s="29" t="str">
        <f t="shared" si="4"/>
        <v>·</v>
      </c>
      <c r="AF12" s="30" t="str">
        <f t="shared" si="5"/>
        <v>·</v>
      </c>
      <c r="AG12" s="28"/>
      <c r="AH12" s="28"/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6"/>
        <v>0</v>
      </c>
      <c r="BQ12" s="33">
        <f t="shared" si="7"/>
        <v>0</v>
      </c>
      <c r="BR12" s="33">
        <f t="shared" si="8"/>
        <v>0</v>
      </c>
      <c r="BS12" s="33">
        <f t="shared" si="9"/>
        <v>0</v>
      </c>
      <c r="BT12" s="33">
        <f t="shared" si="10"/>
        <v>0</v>
      </c>
    </row>
    <row r="13" spans="1:72" ht="15" customHeight="1" outlineLevel="1" x14ac:dyDescent="0.15">
      <c r="A13" s="10"/>
      <c r="B13" s="10" t="s">
        <v>48</v>
      </c>
      <c r="C13" s="12" t="s">
        <v>428</v>
      </c>
      <c r="D13" s="10">
        <v>9000000</v>
      </c>
      <c r="E13" s="11">
        <v>10</v>
      </c>
      <c r="F13" s="12">
        <v>300</v>
      </c>
      <c r="G13" s="12">
        <v>30</v>
      </c>
      <c r="H13" s="12">
        <v>15</v>
      </c>
      <c r="J13" s="13">
        <f t="shared" si="0"/>
        <v>15.320107199999999</v>
      </c>
      <c r="K13" s="14">
        <f t="shared" si="1"/>
        <v>17.022341333333333</v>
      </c>
      <c r="L13" s="12">
        <f t="shared" si="2"/>
        <v>153201072</v>
      </c>
      <c r="M13" s="12">
        <f t="shared" si="3"/>
        <v>44820952</v>
      </c>
      <c r="N13" s="37">
        <v>22860832</v>
      </c>
      <c r="O13" s="15">
        <v>153201072</v>
      </c>
      <c r="P13" s="15">
        <v>22811648</v>
      </c>
      <c r="Q13" s="15">
        <v>0</v>
      </c>
      <c r="R13" s="15">
        <v>22009304</v>
      </c>
      <c r="S13" s="15">
        <v>108338352</v>
      </c>
      <c r="T13" s="15">
        <v>41768</v>
      </c>
      <c r="U13" s="38">
        <v>73.162975099999997</v>
      </c>
      <c r="V13" s="38">
        <v>74.9947284</v>
      </c>
      <c r="W13" s="38">
        <v>36.9923103</v>
      </c>
      <c r="X13" s="38">
        <v>46.696715099999999</v>
      </c>
      <c r="Y13" s="38">
        <v>47.228043800000002</v>
      </c>
      <c r="Z13" s="38">
        <v>48.6679028</v>
      </c>
      <c r="AA13" s="38">
        <v>34.4931555</v>
      </c>
      <c r="AB13" s="16">
        <v>22309.093847</v>
      </c>
      <c r="AC13" s="16">
        <v>168.417216</v>
      </c>
      <c r="AE13" s="13" t="str">
        <f t="shared" si="4"/>
        <v>·</v>
      </c>
      <c r="AF13" s="14" t="str">
        <f t="shared" si="5"/>
        <v>·</v>
      </c>
      <c r="AG13" s="12"/>
      <c r="AH13" s="12"/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6"/>
        <v>0</v>
      </c>
      <c r="BQ13" s="17">
        <f t="shared" si="7"/>
        <v>0</v>
      </c>
      <c r="BR13" s="17">
        <f t="shared" si="8"/>
        <v>0</v>
      </c>
      <c r="BS13" s="17">
        <f t="shared" si="9"/>
        <v>0</v>
      </c>
      <c r="BT13" s="17">
        <f t="shared" si="10"/>
        <v>0</v>
      </c>
    </row>
    <row r="14" spans="1:72" ht="15.75" customHeight="1" outlineLevel="1" thickBot="1" x14ac:dyDescent="0.2">
      <c r="A14" s="18"/>
      <c r="B14" s="18" t="s">
        <v>48</v>
      </c>
      <c r="C14" s="20" t="s">
        <v>429</v>
      </c>
      <c r="D14" s="18">
        <v>9000000</v>
      </c>
      <c r="E14" s="19">
        <v>10</v>
      </c>
      <c r="F14" s="20">
        <v>300</v>
      </c>
      <c r="G14" s="20">
        <v>30</v>
      </c>
      <c r="H14" s="20">
        <v>22</v>
      </c>
      <c r="J14" s="21">
        <f t="shared" si="0"/>
        <v>22.245826399999999</v>
      </c>
      <c r="K14" s="22">
        <f t="shared" si="1"/>
        <v>24.71758488888889</v>
      </c>
      <c r="L14" s="20">
        <f t="shared" si="2"/>
        <v>222458264</v>
      </c>
      <c r="M14" s="20">
        <f t="shared" si="3"/>
        <v>53079936</v>
      </c>
      <c r="N14" s="51">
        <v>22860832</v>
      </c>
      <c r="O14" s="23">
        <v>222458264</v>
      </c>
      <c r="P14" s="23">
        <v>25054976</v>
      </c>
      <c r="Q14" s="23">
        <v>0</v>
      </c>
      <c r="R14" s="23">
        <v>28024960</v>
      </c>
      <c r="S14" s="23">
        <v>169336560</v>
      </c>
      <c r="T14" s="23">
        <v>41768</v>
      </c>
      <c r="U14" s="52">
        <v>73.8987908</v>
      </c>
      <c r="V14" s="52">
        <v>75.845554800000002</v>
      </c>
      <c r="W14" s="52">
        <v>38.625537899999998</v>
      </c>
      <c r="X14" s="52">
        <v>47.746934199999998</v>
      </c>
      <c r="Y14" s="52">
        <v>48.377638900000001</v>
      </c>
      <c r="Z14" s="52">
        <v>48.881113999999997</v>
      </c>
      <c r="AA14" s="52">
        <v>35.524349999999998</v>
      </c>
      <c r="AB14" s="24">
        <v>21507.930489999999</v>
      </c>
      <c r="AC14" s="24">
        <v>178.859306</v>
      </c>
      <c r="AE14" s="21" t="str">
        <f t="shared" si="4"/>
        <v>·</v>
      </c>
      <c r="AF14" s="22" t="str">
        <f t="shared" si="5"/>
        <v>·</v>
      </c>
      <c r="AG14" s="20"/>
      <c r="AH14" s="20"/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6"/>
        <v>0</v>
      </c>
      <c r="BQ14" s="25">
        <f t="shared" si="7"/>
        <v>0</v>
      </c>
      <c r="BR14" s="25">
        <f t="shared" si="8"/>
        <v>0</v>
      </c>
      <c r="BS14" s="25">
        <f t="shared" si="9"/>
        <v>0</v>
      </c>
      <c r="BT14" s="25">
        <f t="shared" si="10"/>
        <v>0</v>
      </c>
    </row>
    <row r="15" spans="1:72" ht="15" customHeight="1" x14ac:dyDescent="0.15">
      <c r="A15" s="10" t="s">
        <v>190</v>
      </c>
      <c r="B15" s="10" t="s">
        <v>53</v>
      </c>
      <c r="C15" s="12" t="s">
        <v>425</v>
      </c>
      <c r="D15" s="10">
        <v>11842002</v>
      </c>
      <c r="E15" s="11">
        <v>12</v>
      </c>
      <c r="F15" s="12">
        <v>300</v>
      </c>
      <c r="G15" s="12">
        <v>30</v>
      </c>
      <c r="H15" s="12">
        <v>3</v>
      </c>
      <c r="J15" s="13">
        <f t="shared" si="0"/>
        <v>3.1721112000000002</v>
      </c>
      <c r="K15" s="14">
        <f t="shared" si="1"/>
        <v>2.6786950382207331</v>
      </c>
      <c r="L15" s="12">
        <f t="shared" si="2"/>
        <v>31721112</v>
      </c>
      <c r="M15" s="12">
        <f t="shared" si="3"/>
        <v>12036408</v>
      </c>
      <c r="N15" s="37">
        <v>5676736</v>
      </c>
      <c r="O15" s="15">
        <v>31721112</v>
      </c>
      <c r="P15" s="15">
        <v>6879288</v>
      </c>
      <c r="Q15" s="15">
        <v>0</v>
      </c>
      <c r="R15" s="15">
        <v>5157120</v>
      </c>
      <c r="S15" s="15">
        <v>19642936</v>
      </c>
      <c r="T15" s="15">
        <v>41768</v>
      </c>
      <c r="U15" s="38">
        <v>69.877041899999995</v>
      </c>
      <c r="V15" s="38">
        <v>71.049014700000001</v>
      </c>
      <c r="W15" s="38">
        <v>35.628656800000002</v>
      </c>
      <c r="X15" s="38">
        <v>43.320914899999998</v>
      </c>
      <c r="Y15" s="38">
        <v>45.173822100000002</v>
      </c>
      <c r="Z15" s="38">
        <v>45.074284499999997</v>
      </c>
      <c r="AA15" s="38">
        <v>31.935662300000001</v>
      </c>
      <c r="AB15" s="16">
        <v>13326.021484000001</v>
      </c>
      <c r="AC15" s="16">
        <v>150.57370800000001</v>
      </c>
      <c r="AE15" s="13" t="str">
        <f t="shared" si="4"/>
        <v>·</v>
      </c>
      <c r="AF15" s="14" t="str">
        <f t="shared" si="5"/>
        <v>·</v>
      </c>
      <c r="AG15" s="12"/>
      <c r="AH15" s="12"/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6"/>
        <v>0</v>
      </c>
      <c r="BQ15" s="17">
        <f t="shared" si="7"/>
        <v>0</v>
      </c>
      <c r="BR15" s="17">
        <f t="shared" si="8"/>
        <v>0</v>
      </c>
      <c r="BS15" s="17">
        <f t="shared" si="9"/>
        <v>0</v>
      </c>
      <c r="BT15" s="17">
        <f t="shared" si="10"/>
        <v>0</v>
      </c>
    </row>
    <row r="16" spans="1:72" ht="15" customHeight="1" outlineLevel="1" x14ac:dyDescent="0.15">
      <c r="A16" s="26"/>
      <c r="B16" s="26" t="s">
        <v>53</v>
      </c>
      <c r="C16" s="28" t="s">
        <v>426</v>
      </c>
      <c r="D16" s="26">
        <v>11842002</v>
      </c>
      <c r="E16" s="27">
        <v>12</v>
      </c>
      <c r="F16" s="28">
        <v>300</v>
      </c>
      <c r="G16" s="28">
        <v>30</v>
      </c>
      <c r="H16" s="28">
        <v>5</v>
      </c>
      <c r="J16" s="29">
        <f t="shared" si="0"/>
        <v>5.2233304</v>
      </c>
      <c r="K16" s="30">
        <f t="shared" si="1"/>
        <v>4.4108508003967568</v>
      </c>
      <c r="L16" s="28">
        <f t="shared" si="2"/>
        <v>52233304</v>
      </c>
      <c r="M16" s="28">
        <f t="shared" si="3"/>
        <v>14626928</v>
      </c>
      <c r="N16" s="39">
        <v>5676736</v>
      </c>
      <c r="O16" s="31">
        <v>52233304</v>
      </c>
      <c r="P16" s="31">
        <v>7457648</v>
      </c>
      <c r="Q16" s="31">
        <v>0</v>
      </c>
      <c r="R16" s="31">
        <v>7169280</v>
      </c>
      <c r="S16" s="31">
        <v>37564608</v>
      </c>
      <c r="T16" s="31">
        <v>41768</v>
      </c>
      <c r="U16" s="40">
        <v>70.981459299999997</v>
      </c>
      <c r="V16" s="40">
        <v>72.252073800000005</v>
      </c>
      <c r="W16" s="40">
        <v>38.2665516</v>
      </c>
      <c r="X16" s="40">
        <v>43.944050300000001</v>
      </c>
      <c r="Y16" s="40">
        <v>46.403133400000002</v>
      </c>
      <c r="Z16" s="40">
        <v>45.468331599999999</v>
      </c>
      <c r="AA16" s="40">
        <v>33.102793499999997</v>
      </c>
      <c r="AB16" s="32">
        <v>15321.059841</v>
      </c>
      <c r="AC16" s="32">
        <v>165.33392799999999</v>
      </c>
      <c r="AE16" s="29" t="str">
        <f t="shared" si="4"/>
        <v>·</v>
      </c>
      <c r="AF16" s="30" t="str">
        <f t="shared" si="5"/>
        <v>·</v>
      </c>
      <c r="AG16" s="28"/>
      <c r="AH16" s="28"/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6"/>
        <v>0</v>
      </c>
      <c r="BQ16" s="33">
        <f t="shared" si="7"/>
        <v>0</v>
      </c>
      <c r="BR16" s="33">
        <f t="shared" si="8"/>
        <v>0</v>
      </c>
      <c r="BS16" s="33">
        <f t="shared" si="9"/>
        <v>0</v>
      </c>
      <c r="BT16" s="33">
        <f t="shared" si="10"/>
        <v>0</v>
      </c>
    </row>
    <row r="17" spans="1:72" ht="15" customHeight="1" outlineLevel="1" x14ac:dyDescent="0.15">
      <c r="A17" s="10"/>
      <c r="B17" s="10" t="s">
        <v>53</v>
      </c>
      <c r="C17" s="12" t="s">
        <v>427</v>
      </c>
      <c r="D17" s="10">
        <v>11842002</v>
      </c>
      <c r="E17" s="11">
        <v>12</v>
      </c>
      <c r="F17" s="12">
        <v>300</v>
      </c>
      <c r="G17" s="12">
        <v>30</v>
      </c>
      <c r="H17" s="12">
        <v>10</v>
      </c>
      <c r="J17" s="13">
        <f t="shared" si="0"/>
        <v>10.119339199999999</v>
      </c>
      <c r="K17" s="14">
        <f t="shared" si="1"/>
        <v>8.5452942838550445</v>
      </c>
      <c r="L17" s="12">
        <f t="shared" si="2"/>
        <v>101193392</v>
      </c>
      <c r="M17" s="12">
        <f t="shared" si="3"/>
        <v>27832592</v>
      </c>
      <c r="N17" s="37">
        <v>11357376</v>
      </c>
      <c r="O17" s="15">
        <v>101193392</v>
      </c>
      <c r="P17" s="15">
        <v>12543504</v>
      </c>
      <c r="Q17" s="15">
        <v>0</v>
      </c>
      <c r="R17" s="15">
        <v>15289088</v>
      </c>
      <c r="S17" s="15">
        <v>73319032</v>
      </c>
      <c r="T17" s="15">
        <v>41768</v>
      </c>
      <c r="U17" s="38">
        <v>75.837149199999999</v>
      </c>
      <c r="V17" s="38">
        <v>77.791347700000003</v>
      </c>
      <c r="W17" s="38">
        <v>41.027267700000003</v>
      </c>
      <c r="X17" s="38">
        <v>44.813473199999997</v>
      </c>
      <c r="Y17" s="38">
        <v>48.049542199999998</v>
      </c>
      <c r="Z17" s="38">
        <v>47.826787099999997</v>
      </c>
      <c r="AA17" s="38">
        <v>36.227999599999997</v>
      </c>
      <c r="AB17" s="16">
        <v>16760.864397000001</v>
      </c>
      <c r="AC17" s="16">
        <v>168.95413199999999</v>
      </c>
      <c r="AE17" s="13" t="str">
        <f t="shared" si="4"/>
        <v>·</v>
      </c>
      <c r="AF17" s="14" t="str">
        <f t="shared" si="5"/>
        <v>·</v>
      </c>
      <c r="AG17" s="12"/>
      <c r="AH17" s="12"/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6"/>
        <v>0</v>
      </c>
      <c r="BQ17" s="17">
        <f t="shared" si="7"/>
        <v>0</v>
      </c>
      <c r="BR17" s="17">
        <f t="shared" si="8"/>
        <v>0</v>
      </c>
      <c r="BS17" s="17">
        <f t="shared" si="9"/>
        <v>0</v>
      </c>
      <c r="BT17" s="17">
        <f t="shared" si="10"/>
        <v>0</v>
      </c>
    </row>
    <row r="18" spans="1:72" ht="15" customHeight="1" outlineLevel="1" x14ac:dyDescent="0.15">
      <c r="A18" s="26"/>
      <c r="B18" s="26" t="s">
        <v>53</v>
      </c>
      <c r="C18" s="28" t="s">
        <v>428</v>
      </c>
      <c r="D18" s="26">
        <v>11842002</v>
      </c>
      <c r="E18" s="27">
        <v>12</v>
      </c>
      <c r="F18" s="28">
        <v>300</v>
      </c>
      <c r="G18" s="28">
        <v>30</v>
      </c>
      <c r="H18" s="28">
        <v>14</v>
      </c>
      <c r="J18" s="29">
        <f t="shared" si="0"/>
        <v>14.6459376</v>
      </c>
      <c r="K18" s="30">
        <f t="shared" si="1"/>
        <v>12.367788487115607</v>
      </c>
      <c r="L18" s="28">
        <f t="shared" si="2"/>
        <v>146459376</v>
      </c>
      <c r="M18" s="28">
        <f t="shared" si="3"/>
        <v>40173688</v>
      </c>
      <c r="N18" s="39">
        <v>22718208</v>
      </c>
      <c r="O18" s="31">
        <v>146459376</v>
      </c>
      <c r="P18" s="31">
        <v>21604888</v>
      </c>
      <c r="Q18" s="31">
        <v>0</v>
      </c>
      <c r="R18" s="31">
        <v>18568800</v>
      </c>
      <c r="S18" s="31">
        <v>106243920</v>
      </c>
      <c r="T18" s="31">
        <v>41768</v>
      </c>
      <c r="U18" s="40">
        <v>78.180691699999997</v>
      </c>
      <c r="V18" s="40">
        <v>80.705348200000003</v>
      </c>
      <c r="W18" s="40">
        <v>42.141786600000003</v>
      </c>
      <c r="X18" s="40">
        <v>45.506698</v>
      </c>
      <c r="Y18" s="40">
        <v>49.194020500000001</v>
      </c>
      <c r="Z18" s="40">
        <v>49.450025500000002</v>
      </c>
      <c r="AA18" s="40">
        <v>37.949435200000003</v>
      </c>
      <c r="AB18" s="32">
        <v>16901.582182999999</v>
      </c>
      <c r="AC18" s="32">
        <v>166.06482500000001</v>
      </c>
      <c r="AE18" s="29" t="str">
        <f t="shared" si="4"/>
        <v>·</v>
      </c>
      <c r="AF18" s="30" t="str">
        <f t="shared" si="5"/>
        <v>·</v>
      </c>
      <c r="AG18" s="28"/>
      <c r="AH18" s="28"/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6"/>
        <v>0</v>
      </c>
      <c r="BQ18" s="33">
        <f t="shared" si="7"/>
        <v>0</v>
      </c>
      <c r="BR18" s="33">
        <f t="shared" si="8"/>
        <v>0</v>
      </c>
      <c r="BS18" s="33">
        <f t="shared" si="9"/>
        <v>0</v>
      </c>
      <c r="BT18" s="33">
        <f t="shared" si="10"/>
        <v>0</v>
      </c>
    </row>
    <row r="19" spans="1:72" ht="15.75" customHeight="1" outlineLevel="1" thickBot="1" x14ac:dyDescent="0.2">
      <c r="A19" s="10"/>
      <c r="B19" s="41" t="s">
        <v>53</v>
      </c>
      <c r="C19" s="42" t="s">
        <v>429</v>
      </c>
      <c r="D19" s="41">
        <v>11842002</v>
      </c>
      <c r="E19" s="43">
        <v>12</v>
      </c>
      <c r="F19" s="42">
        <v>300</v>
      </c>
      <c r="G19" s="42">
        <v>30</v>
      </c>
      <c r="H19" s="42">
        <v>21</v>
      </c>
      <c r="J19" s="44">
        <f t="shared" si="0"/>
        <v>21.822396000000001</v>
      </c>
      <c r="K19" s="45">
        <f t="shared" si="1"/>
        <v>18.427961758493201</v>
      </c>
      <c r="L19" s="42">
        <f t="shared" si="2"/>
        <v>218223960</v>
      </c>
      <c r="M19" s="42">
        <f t="shared" si="3"/>
        <v>42144864</v>
      </c>
      <c r="N19" s="46">
        <v>22718208</v>
      </c>
      <c r="O19" s="47">
        <v>218223960</v>
      </c>
      <c r="P19" s="47">
        <v>21604888</v>
      </c>
      <c r="Q19" s="47">
        <v>0</v>
      </c>
      <c r="R19" s="47">
        <v>20539976</v>
      </c>
      <c r="S19" s="47">
        <v>176037328</v>
      </c>
      <c r="T19" s="47">
        <v>41768</v>
      </c>
      <c r="U19" s="48">
        <v>78.485943700000007</v>
      </c>
      <c r="V19" s="48">
        <v>81.108867900000007</v>
      </c>
      <c r="W19" s="48">
        <v>43.160442699999997</v>
      </c>
      <c r="X19" s="48">
        <v>46.455865899999999</v>
      </c>
      <c r="Y19" s="48">
        <v>50.479879799999999</v>
      </c>
      <c r="Z19" s="48">
        <v>49.554909000000002</v>
      </c>
      <c r="AA19" s="48">
        <v>38.397516199999998</v>
      </c>
      <c r="AB19" s="49">
        <v>17215.921654999998</v>
      </c>
      <c r="AC19" s="49">
        <v>169.75861800000001</v>
      </c>
      <c r="AE19" s="44" t="str">
        <f t="shared" si="4"/>
        <v>·</v>
      </c>
      <c r="AF19" s="45" t="str">
        <f t="shared" si="5"/>
        <v>·</v>
      </c>
      <c r="AG19" s="42"/>
      <c r="AH19" s="42"/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6"/>
        <v>0</v>
      </c>
      <c r="BQ19" s="50">
        <f t="shared" si="7"/>
        <v>0</v>
      </c>
      <c r="BR19" s="50">
        <f t="shared" si="8"/>
        <v>0</v>
      </c>
      <c r="BS19" s="50">
        <f t="shared" si="9"/>
        <v>0</v>
      </c>
      <c r="BT19" s="50">
        <f t="shared" si="10"/>
        <v>0</v>
      </c>
    </row>
    <row r="20" spans="1:72" ht="15" customHeight="1" x14ac:dyDescent="0.15">
      <c r="A20" s="26"/>
      <c r="B20" s="26" t="s">
        <v>58</v>
      </c>
      <c r="C20" s="28" t="s">
        <v>425</v>
      </c>
      <c r="D20" s="26">
        <v>11812090</v>
      </c>
      <c r="E20" s="27">
        <v>12</v>
      </c>
      <c r="F20" s="28">
        <v>300</v>
      </c>
      <c r="G20" s="28">
        <v>30</v>
      </c>
      <c r="H20" s="28">
        <v>3</v>
      </c>
      <c r="J20" s="29">
        <f t="shared" si="0"/>
        <v>3.0077192000000004</v>
      </c>
      <c r="K20" s="30">
        <f t="shared" si="1"/>
        <v>2.5463056918800993</v>
      </c>
      <c r="L20" s="28">
        <f t="shared" si="2"/>
        <v>30077192</v>
      </c>
      <c r="M20" s="28">
        <f t="shared" si="3"/>
        <v>11569536</v>
      </c>
      <c r="N20" s="39">
        <v>5665680</v>
      </c>
      <c r="O20" s="31">
        <v>30077192</v>
      </c>
      <c r="P20" s="31">
        <v>6709184</v>
      </c>
      <c r="Q20" s="31">
        <v>0</v>
      </c>
      <c r="R20" s="31">
        <v>4860352</v>
      </c>
      <c r="S20" s="31">
        <v>18466048</v>
      </c>
      <c r="T20" s="31">
        <v>41608</v>
      </c>
      <c r="U20" s="40">
        <v>70.199355199999999</v>
      </c>
      <c r="V20" s="40">
        <v>71.416782900000001</v>
      </c>
      <c r="W20" s="40">
        <v>34.560715899999998</v>
      </c>
      <c r="X20" s="40">
        <v>42.748519299999998</v>
      </c>
      <c r="Y20" s="40">
        <v>44.140531799999998</v>
      </c>
      <c r="Z20" s="40">
        <v>46.074723400000003</v>
      </c>
      <c r="AA20" s="40">
        <v>31.063849099999999</v>
      </c>
      <c r="AB20" s="32">
        <v>4929.3379640000003</v>
      </c>
      <c r="AC20" s="32">
        <v>40.867013999999998</v>
      </c>
      <c r="AE20" s="29" t="str">
        <f t="shared" si="4"/>
        <v>·</v>
      </c>
      <c r="AF20" s="30" t="str">
        <f t="shared" si="5"/>
        <v>·</v>
      </c>
      <c r="AG20" s="28"/>
      <c r="AH20" s="28"/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6"/>
        <v>0</v>
      </c>
      <c r="BQ20" s="33">
        <f t="shared" si="7"/>
        <v>0</v>
      </c>
      <c r="BR20" s="33">
        <f t="shared" si="8"/>
        <v>0</v>
      </c>
      <c r="BS20" s="33">
        <f t="shared" si="9"/>
        <v>0</v>
      </c>
      <c r="BT20" s="33">
        <f t="shared" si="10"/>
        <v>0</v>
      </c>
    </row>
    <row r="21" spans="1:72" ht="15" customHeight="1" outlineLevel="1" x14ac:dyDescent="0.15">
      <c r="A21" s="10"/>
      <c r="B21" s="10" t="s">
        <v>58</v>
      </c>
      <c r="C21" s="12" t="s">
        <v>426</v>
      </c>
      <c r="D21" s="10">
        <v>11812090</v>
      </c>
      <c r="E21" s="11">
        <v>12</v>
      </c>
      <c r="F21" s="12">
        <v>300</v>
      </c>
      <c r="G21" s="12">
        <v>30</v>
      </c>
      <c r="H21" s="12">
        <v>5</v>
      </c>
      <c r="J21" s="13">
        <f t="shared" si="0"/>
        <v>5.0490111999999998</v>
      </c>
      <c r="K21" s="14">
        <f t="shared" si="1"/>
        <v>4.2744435574060136</v>
      </c>
      <c r="L21" s="12">
        <f t="shared" si="2"/>
        <v>50490112</v>
      </c>
      <c r="M21" s="12">
        <f t="shared" si="3"/>
        <v>12071160</v>
      </c>
      <c r="N21" s="37">
        <v>5665680</v>
      </c>
      <c r="O21" s="15">
        <v>50490112</v>
      </c>
      <c r="P21" s="15">
        <v>6709184</v>
      </c>
      <c r="Q21" s="15">
        <v>0</v>
      </c>
      <c r="R21" s="15">
        <v>5361976</v>
      </c>
      <c r="S21" s="15">
        <v>38377184</v>
      </c>
      <c r="T21" s="15">
        <v>41768</v>
      </c>
      <c r="U21" s="38">
        <v>70.534672799999996</v>
      </c>
      <c r="V21" s="38">
        <v>71.7872409</v>
      </c>
      <c r="W21" s="38">
        <v>37.177283299999999</v>
      </c>
      <c r="X21" s="38">
        <v>43.953575499999999</v>
      </c>
      <c r="Y21" s="38">
        <v>46.013518099999999</v>
      </c>
      <c r="Z21" s="38">
        <v>46.206837800000002</v>
      </c>
      <c r="AA21" s="38">
        <v>32.045824600000003</v>
      </c>
      <c r="AB21" s="16">
        <v>12269.420459000001</v>
      </c>
      <c r="AC21" s="16">
        <v>152.96976699999999</v>
      </c>
      <c r="AE21" s="13" t="str">
        <f t="shared" si="4"/>
        <v>·</v>
      </c>
      <c r="AF21" s="14" t="str">
        <f t="shared" si="5"/>
        <v>·</v>
      </c>
      <c r="AG21" s="12"/>
      <c r="AH21" s="12"/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6"/>
        <v>0</v>
      </c>
      <c r="BQ21" s="17">
        <f t="shared" si="7"/>
        <v>0</v>
      </c>
      <c r="BR21" s="17">
        <f t="shared" si="8"/>
        <v>0</v>
      </c>
      <c r="BS21" s="17">
        <f t="shared" si="9"/>
        <v>0</v>
      </c>
      <c r="BT21" s="17">
        <f t="shared" si="10"/>
        <v>0</v>
      </c>
    </row>
    <row r="22" spans="1:72" ht="15" customHeight="1" outlineLevel="1" x14ac:dyDescent="0.15">
      <c r="A22" s="26"/>
      <c r="B22" s="26" t="s">
        <v>58</v>
      </c>
      <c r="C22" s="28" t="s">
        <v>427</v>
      </c>
      <c r="D22" s="26">
        <v>11812090</v>
      </c>
      <c r="E22" s="27">
        <v>12</v>
      </c>
      <c r="F22" s="28">
        <v>300</v>
      </c>
      <c r="G22" s="28">
        <v>30</v>
      </c>
      <c r="H22" s="28">
        <v>10</v>
      </c>
      <c r="J22" s="29">
        <f t="shared" si="0"/>
        <v>10.097023199999999</v>
      </c>
      <c r="K22" s="30">
        <f t="shared" si="1"/>
        <v>8.5480412018533549</v>
      </c>
      <c r="L22" s="28">
        <f t="shared" si="2"/>
        <v>100970232</v>
      </c>
      <c r="M22" s="28">
        <f t="shared" si="3"/>
        <v>26147824</v>
      </c>
      <c r="N22" s="39">
        <v>11333408</v>
      </c>
      <c r="O22" s="31">
        <v>100970232</v>
      </c>
      <c r="P22" s="31">
        <v>11209680</v>
      </c>
      <c r="Q22" s="31">
        <v>0</v>
      </c>
      <c r="R22" s="31">
        <v>14938144</v>
      </c>
      <c r="S22" s="31">
        <v>74780640</v>
      </c>
      <c r="T22" s="31">
        <v>41768</v>
      </c>
      <c r="U22" s="40">
        <v>76.0852048</v>
      </c>
      <c r="V22" s="40">
        <v>78.156496500000003</v>
      </c>
      <c r="W22" s="40">
        <v>40.266653300000002</v>
      </c>
      <c r="X22" s="40">
        <v>45.206045699999997</v>
      </c>
      <c r="Y22" s="40">
        <v>48.096658099999999</v>
      </c>
      <c r="Z22" s="40">
        <v>48.8449375</v>
      </c>
      <c r="AA22" s="40">
        <v>35.654052200000002</v>
      </c>
      <c r="AB22" s="32">
        <v>13575.137019</v>
      </c>
      <c r="AC22" s="32">
        <v>165.68115299999999</v>
      </c>
      <c r="AE22" s="29" t="str">
        <f t="shared" si="4"/>
        <v>·</v>
      </c>
      <c r="AF22" s="30" t="str">
        <f t="shared" si="5"/>
        <v>·</v>
      </c>
      <c r="AG22" s="28"/>
      <c r="AH22" s="28"/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6"/>
        <v>0</v>
      </c>
      <c r="BQ22" s="33">
        <f t="shared" si="7"/>
        <v>0</v>
      </c>
      <c r="BR22" s="33">
        <f t="shared" si="8"/>
        <v>0</v>
      </c>
      <c r="BS22" s="33">
        <f t="shared" si="9"/>
        <v>0</v>
      </c>
      <c r="BT22" s="33">
        <f t="shared" si="10"/>
        <v>0</v>
      </c>
    </row>
    <row r="23" spans="1:72" ht="15" customHeight="1" outlineLevel="1" x14ac:dyDescent="0.15">
      <c r="A23" s="10"/>
      <c r="B23" s="10" t="s">
        <v>58</v>
      </c>
      <c r="C23" s="12" t="s">
        <v>428</v>
      </c>
      <c r="D23" s="10">
        <v>11812090</v>
      </c>
      <c r="E23" s="11">
        <v>12</v>
      </c>
      <c r="F23" s="12">
        <v>300</v>
      </c>
      <c r="G23" s="12">
        <v>30</v>
      </c>
      <c r="H23" s="12">
        <v>14</v>
      </c>
      <c r="J23" s="13">
        <f t="shared" si="0"/>
        <v>14.4987464</v>
      </c>
      <c r="K23" s="14">
        <f t="shared" si="1"/>
        <v>12.274497061908605</v>
      </c>
      <c r="L23" s="12">
        <f t="shared" si="2"/>
        <v>144987464</v>
      </c>
      <c r="M23" s="12">
        <f t="shared" si="3"/>
        <v>38803824</v>
      </c>
      <c r="N23" s="37">
        <v>22669584</v>
      </c>
      <c r="O23" s="15">
        <v>144987464</v>
      </c>
      <c r="P23" s="15">
        <v>23444640</v>
      </c>
      <c r="Q23" s="15">
        <v>0</v>
      </c>
      <c r="R23" s="15">
        <v>15359184</v>
      </c>
      <c r="S23" s="15">
        <v>106141872</v>
      </c>
      <c r="T23" s="15">
        <v>41768</v>
      </c>
      <c r="U23" s="38">
        <v>78.036747099999999</v>
      </c>
      <c r="V23" s="38">
        <v>80.624293699999996</v>
      </c>
      <c r="W23" s="38">
        <v>41.417812300000001</v>
      </c>
      <c r="X23" s="38">
        <v>45.7304472</v>
      </c>
      <c r="Y23" s="38">
        <v>48.836992199999997</v>
      </c>
      <c r="Z23" s="38">
        <v>50.454151500000002</v>
      </c>
      <c r="AA23" s="38">
        <v>37.282563000000003</v>
      </c>
      <c r="AB23" s="16">
        <v>16454.972007</v>
      </c>
      <c r="AC23" s="16">
        <v>169.43725800000001</v>
      </c>
      <c r="AE23" s="13" t="str">
        <f t="shared" si="4"/>
        <v>·</v>
      </c>
      <c r="AF23" s="14" t="str">
        <f t="shared" si="5"/>
        <v>·</v>
      </c>
      <c r="AG23" s="12"/>
      <c r="AH23" s="12"/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6"/>
        <v>0</v>
      </c>
      <c r="BQ23" s="17">
        <f t="shared" si="7"/>
        <v>0</v>
      </c>
      <c r="BR23" s="17">
        <f t="shared" si="8"/>
        <v>0</v>
      </c>
      <c r="BS23" s="17">
        <f t="shared" si="9"/>
        <v>0</v>
      </c>
      <c r="BT23" s="17">
        <f t="shared" si="10"/>
        <v>0</v>
      </c>
    </row>
    <row r="24" spans="1:72" ht="15.75" customHeight="1" outlineLevel="1" thickBot="1" x14ac:dyDescent="0.2">
      <c r="A24" s="18"/>
      <c r="B24" s="18" t="s">
        <v>58</v>
      </c>
      <c r="C24" s="20" t="s">
        <v>429</v>
      </c>
      <c r="D24" s="18">
        <v>11812090</v>
      </c>
      <c r="E24" s="19">
        <v>12</v>
      </c>
      <c r="F24" s="20">
        <v>300</v>
      </c>
      <c r="G24" s="20">
        <v>30</v>
      </c>
      <c r="H24" s="20">
        <v>21</v>
      </c>
      <c r="J24" s="21">
        <f t="shared" si="0"/>
        <v>21.513614399999998</v>
      </c>
      <c r="K24" s="22">
        <f t="shared" si="1"/>
        <v>18.213215781457812</v>
      </c>
      <c r="L24" s="20">
        <f t="shared" si="2"/>
        <v>215136144</v>
      </c>
      <c r="M24" s="20">
        <f t="shared" si="3"/>
        <v>40727168</v>
      </c>
      <c r="N24" s="51">
        <v>22669584</v>
      </c>
      <c r="O24" s="23">
        <v>215136144</v>
      </c>
      <c r="P24" s="23">
        <v>21254904</v>
      </c>
      <c r="Q24" s="23">
        <v>0</v>
      </c>
      <c r="R24" s="23">
        <v>19472264</v>
      </c>
      <c r="S24" s="23">
        <v>174367208</v>
      </c>
      <c r="T24" s="23">
        <v>41768</v>
      </c>
      <c r="U24" s="52">
        <v>78.633628000000002</v>
      </c>
      <c r="V24" s="52">
        <v>81.446598399999999</v>
      </c>
      <c r="W24" s="52">
        <v>42.397753999999999</v>
      </c>
      <c r="X24" s="52">
        <v>46.802472100000003</v>
      </c>
      <c r="Y24" s="52">
        <v>50.196407399999998</v>
      </c>
      <c r="Z24" s="52">
        <v>50.628340899999998</v>
      </c>
      <c r="AA24" s="52">
        <v>37.882982699999999</v>
      </c>
      <c r="AB24" s="24">
        <v>19854.319295000001</v>
      </c>
      <c r="AC24" s="24">
        <v>190.04049900000001</v>
      </c>
      <c r="AE24" s="21" t="str">
        <f t="shared" si="4"/>
        <v>·</v>
      </c>
      <c r="AF24" s="22" t="str">
        <f t="shared" si="5"/>
        <v>·</v>
      </c>
      <c r="AG24" s="20"/>
      <c r="AH24" s="20"/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6"/>
        <v>0</v>
      </c>
      <c r="BQ24" s="25">
        <f t="shared" si="7"/>
        <v>0</v>
      </c>
      <c r="BR24" s="25">
        <f t="shared" si="8"/>
        <v>0</v>
      </c>
      <c r="BS24" s="25">
        <f t="shared" si="9"/>
        <v>0</v>
      </c>
      <c r="BT24" s="25">
        <f t="shared" si="10"/>
        <v>0</v>
      </c>
    </row>
    <row r="25" spans="1:72" ht="15" customHeight="1" x14ac:dyDescent="0.15">
      <c r="A25" s="10" t="s">
        <v>191</v>
      </c>
      <c r="B25" s="10" t="s">
        <v>63</v>
      </c>
      <c r="C25" s="12" t="s">
        <v>425</v>
      </c>
      <c r="D25" s="10">
        <v>12000000</v>
      </c>
      <c r="E25" s="11">
        <v>12</v>
      </c>
      <c r="F25" s="12">
        <v>300</v>
      </c>
      <c r="G25" s="12">
        <v>30</v>
      </c>
      <c r="H25" s="12">
        <v>4</v>
      </c>
      <c r="J25" s="13">
        <f t="shared" si="0"/>
        <v>4.2955664000000002</v>
      </c>
      <c r="K25" s="14">
        <f t="shared" si="1"/>
        <v>3.5796386666666669</v>
      </c>
      <c r="L25" s="12">
        <f t="shared" si="2"/>
        <v>42955664</v>
      </c>
      <c r="M25" s="12">
        <f t="shared" si="3"/>
        <v>11650904</v>
      </c>
      <c r="N25" s="37">
        <v>23021184</v>
      </c>
      <c r="O25" s="15">
        <v>42955664</v>
      </c>
      <c r="P25" s="15">
        <v>6690928</v>
      </c>
      <c r="Q25" s="15">
        <v>0</v>
      </c>
      <c r="R25" s="15">
        <v>4959976</v>
      </c>
      <c r="S25" s="15">
        <v>31263152</v>
      </c>
      <c r="T25" s="15">
        <v>41608</v>
      </c>
      <c r="U25" s="38">
        <v>73.127954500000001</v>
      </c>
      <c r="V25" s="38">
        <v>74.816811900000005</v>
      </c>
      <c r="W25" s="38">
        <v>31.0739026</v>
      </c>
      <c r="X25" s="38">
        <v>39.9076497</v>
      </c>
      <c r="Y25" s="38">
        <v>36.592660799999997</v>
      </c>
      <c r="Z25" s="38">
        <v>44.942883199999997</v>
      </c>
      <c r="AA25" s="38">
        <v>27.8950608</v>
      </c>
      <c r="AB25" s="16">
        <v>8080.5242589999998</v>
      </c>
      <c r="AC25" s="16">
        <v>49.526316000000001</v>
      </c>
      <c r="AE25" s="13" t="str">
        <f t="shared" si="4"/>
        <v>·</v>
      </c>
      <c r="AF25" s="14" t="str">
        <f t="shared" si="5"/>
        <v>·</v>
      </c>
      <c r="AG25" s="12"/>
      <c r="AH25" s="12"/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6"/>
        <v>0</v>
      </c>
      <c r="BQ25" s="17">
        <f t="shared" si="7"/>
        <v>0</v>
      </c>
      <c r="BR25" s="17">
        <f t="shared" si="8"/>
        <v>0</v>
      </c>
      <c r="BS25" s="17">
        <f t="shared" si="9"/>
        <v>0</v>
      </c>
      <c r="BT25" s="17">
        <f t="shared" si="10"/>
        <v>0</v>
      </c>
    </row>
    <row r="26" spans="1:72" ht="15" customHeight="1" outlineLevel="1" x14ac:dyDescent="0.15">
      <c r="A26" s="26"/>
      <c r="B26" s="26" t="s">
        <v>63</v>
      </c>
      <c r="C26" s="28" t="s">
        <v>426</v>
      </c>
      <c r="D26" s="26">
        <v>12000000</v>
      </c>
      <c r="E26" s="27">
        <v>12</v>
      </c>
      <c r="F26" s="28">
        <v>300</v>
      </c>
      <c r="G26" s="28">
        <v>30</v>
      </c>
      <c r="H26" s="28">
        <v>8</v>
      </c>
      <c r="J26" s="29">
        <f t="shared" si="0"/>
        <v>8.5710791999999998</v>
      </c>
      <c r="K26" s="30">
        <f t="shared" si="1"/>
        <v>7.1425660000000004</v>
      </c>
      <c r="L26" s="28">
        <f t="shared" si="2"/>
        <v>85710792</v>
      </c>
      <c r="M26" s="28">
        <f t="shared" si="3"/>
        <v>19166496</v>
      </c>
      <c r="N26" s="39">
        <v>46064000</v>
      </c>
      <c r="O26" s="31">
        <v>85710792</v>
      </c>
      <c r="P26" s="31">
        <v>11265432</v>
      </c>
      <c r="Q26" s="31">
        <v>0</v>
      </c>
      <c r="R26" s="31">
        <v>7901064</v>
      </c>
      <c r="S26" s="31">
        <v>66502528</v>
      </c>
      <c r="T26" s="31">
        <v>41768</v>
      </c>
      <c r="U26" s="40">
        <v>76.551110499999993</v>
      </c>
      <c r="V26" s="40">
        <v>78.7779101</v>
      </c>
      <c r="W26" s="40">
        <v>33.417650999999999</v>
      </c>
      <c r="X26" s="40">
        <v>41.835862900000002</v>
      </c>
      <c r="Y26" s="40">
        <v>39.439223499999997</v>
      </c>
      <c r="Z26" s="40">
        <v>46.657209199999997</v>
      </c>
      <c r="AA26" s="40">
        <v>30.657900099999999</v>
      </c>
      <c r="AB26" s="32">
        <v>15533.826520000001</v>
      </c>
      <c r="AC26" s="32">
        <v>152.44843299999999</v>
      </c>
      <c r="AE26" s="29" t="str">
        <f t="shared" si="4"/>
        <v>·</v>
      </c>
      <c r="AF26" s="30" t="str">
        <f t="shared" si="5"/>
        <v>·</v>
      </c>
      <c r="AG26" s="28"/>
      <c r="AH26" s="28"/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6"/>
        <v>0</v>
      </c>
      <c r="BQ26" s="33">
        <f t="shared" si="7"/>
        <v>0</v>
      </c>
      <c r="BR26" s="33">
        <f t="shared" si="8"/>
        <v>0</v>
      </c>
      <c r="BS26" s="33">
        <f t="shared" si="9"/>
        <v>0</v>
      </c>
      <c r="BT26" s="33">
        <f t="shared" si="10"/>
        <v>0</v>
      </c>
    </row>
    <row r="27" spans="1:72" ht="15" customHeight="1" outlineLevel="1" x14ac:dyDescent="0.15">
      <c r="A27" s="10"/>
      <c r="B27" s="10" t="s">
        <v>63</v>
      </c>
      <c r="C27" s="12" t="s">
        <v>427</v>
      </c>
      <c r="D27" s="10">
        <v>12000000</v>
      </c>
      <c r="E27" s="11">
        <v>12</v>
      </c>
      <c r="F27" s="12">
        <v>300</v>
      </c>
      <c r="G27" s="12">
        <v>30</v>
      </c>
      <c r="H27" s="12">
        <v>12</v>
      </c>
      <c r="J27" s="13">
        <f t="shared" si="0"/>
        <v>12.819752800000002</v>
      </c>
      <c r="K27" s="14">
        <f t="shared" si="1"/>
        <v>10.683127333333333</v>
      </c>
      <c r="L27" s="12">
        <f t="shared" si="2"/>
        <v>128197528</v>
      </c>
      <c r="M27" s="12">
        <f t="shared" si="3"/>
        <v>28620840</v>
      </c>
      <c r="N27" s="37">
        <v>92146368</v>
      </c>
      <c r="O27" s="15">
        <v>128197528</v>
      </c>
      <c r="P27" s="15">
        <v>21272360</v>
      </c>
      <c r="Q27" s="15">
        <v>0</v>
      </c>
      <c r="R27" s="15">
        <v>7348480</v>
      </c>
      <c r="S27" s="15">
        <v>99534920</v>
      </c>
      <c r="T27" s="15">
        <v>41768</v>
      </c>
      <c r="U27" s="38">
        <v>78.458758599999996</v>
      </c>
      <c r="V27" s="38">
        <v>81.111227200000002</v>
      </c>
      <c r="W27" s="38">
        <v>34.489295200000001</v>
      </c>
      <c r="X27" s="38">
        <v>43.208865500000002</v>
      </c>
      <c r="Y27" s="38">
        <v>41.251431199999999</v>
      </c>
      <c r="Z27" s="38">
        <v>48.079882900000001</v>
      </c>
      <c r="AA27" s="38">
        <v>32.034510300000001</v>
      </c>
      <c r="AB27" s="16">
        <v>44984.036869000003</v>
      </c>
      <c r="AC27" s="16">
        <v>647.20663000000002</v>
      </c>
      <c r="AE27" s="13" t="str">
        <f t="shared" si="4"/>
        <v>·</v>
      </c>
      <c r="AF27" s="14" t="str">
        <f t="shared" si="5"/>
        <v>·</v>
      </c>
      <c r="AG27" s="12"/>
      <c r="AH27" s="12"/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6"/>
        <v>0</v>
      </c>
      <c r="BQ27" s="17">
        <f t="shared" si="7"/>
        <v>0</v>
      </c>
      <c r="BR27" s="17">
        <f t="shared" si="8"/>
        <v>0</v>
      </c>
      <c r="BS27" s="17">
        <f t="shared" si="9"/>
        <v>0</v>
      </c>
      <c r="BT27" s="17">
        <f t="shared" si="10"/>
        <v>0</v>
      </c>
    </row>
    <row r="28" spans="1:72" ht="15" customHeight="1" outlineLevel="1" x14ac:dyDescent="0.15">
      <c r="A28" s="26"/>
      <c r="B28" s="26" t="s">
        <v>63</v>
      </c>
      <c r="C28" s="28" t="s">
        <v>428</v>
      </c>
      <c r="D28" s="26">
        <v>12000000</v>
      </c>
      <c r="E28" s="27">
        <v>12</v>
      </c>
      <c r="F28" s="28">
        <v>300</v>
      </c>
      <c r="G28" s="28">
        <v>30</v>
      </c>
      <c r="H28" s="28">
        <v>17</v>
      </c>
      <c r="J28" s="29">
        <f t="shared" si="0"/>
        <v>18.145507200000001</v>
      </c>
      <c r="K28" s="30">
        <f t="shared" si="1"/>
        <v>15.121256000000001</v>
      </c>
      <c r="L28" s="28">
        <f t="shared" si="2"/>
        <v>181455072</v>
      </c>
      <c r="M28" s="28">
        <f t="shared" si="3"/>
        <v>47175048</v>
      </c>
      <c r="N28" s="39">
        <v>184310144</v>
      </c>
      <c r="O28" s="31">
        <v>181455072</v>
      </c>
      <c r="P28" s="31">
        <v>41411952</v>
      </c>
      <c r="Q28" s="31">
        <v>0</v>
      </c>
      <c r="R28" s="31">
        <v>5763096</v>
      </c>
      <c r="S28" s="31">
        <v>134238256</v>
      </c>
      <c r="T28" s="31">
        <v>41768</v>
      </c>
      <c r="U28" s="40">
        <v>80.394051899999994</v>
      </c>
      <c r="V28" s="40">
        <v>83.716167999999996</v>
      </c>
      <c r="W28" s="40">
        <v>35.322254200000003</v>
      </c>
      <c r="X28" s="40">
        <v>43.564531899999999</v>
      </c>
      <c r="Y28" s="40">
        <v>41.753906800000003</v>
      </c>
      <c r="Z28" s="40">
        <v>49.693513600000003</v>
      </c>
      <c r="AA28" s="40">
        <v>33.297358799999998</v>
      </c>
      <c r="AB28" s="32">
        <v>57327.102821</v>
      </c>
      <c r="AC28" s="32">
        <v>678.84502799999996</v>
      </c>
      <c r="AE28" s="29" t="str">
        <f t="shared" si="4"/>
        <v>·</v>
      </c>
      <c r="AF28" s="30" t="str">
        <f t="shared" si="5"/>
        <v>·</v>
      </c>
      <c r="AG28" s="28"/>
      <c r="AH28" s="28"/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6"/>
        <v>0</v>
      </c>
      <c r="BQ28" s="33">
        <f t="shared" si="7"/>
        <v>0</v>
      </c>
      <c r="BR28" s="33">
        <f t="shared" si="8"/>
        <v>0</v>
      </c>
      <c r="BS28" s="33">
        <f t="shared" si="9"/>
        <v>0</v>
      </c>
      <c r="BT28" s="33">
        <f t="shared" si="10"/>
        <v>0</v>
      </c>
    </row>
    <row r="29" spans="1:72" ht="15.75" customHeight="1" outlineLevel="1" thickBot="1" x14ac:dyDescent="0.2">
      <c r="A29" s="10"/>
      <c r="B29" s="41" t="s">
        <v>63</v>
      </c>
      <c r="C29" s="42" t="s">
        <v>429</v>
      </c>
      <c r="D29" s="41">
        <v>12000000</v>
      </c>
      <c r="E29" s="43">
        <v>12</v>
      </c>
      <c r="F29" s="42">
        <v>300</v>
      </c>
      <c r="G29" s="42">
        <v>30</v>
      </c>
      <c r="H29" s="42">
        <v>25</v>
      </c>
      <c r="J29" s="44">
        <f t="shared" si="0"/>
        <v>26.999079999999999</v>
      </c>
      <c r="K29" s="45">
        <f t="shared" si="1"/>
        <v>22.499233333333333</v>
      </c>
      <c r="L29" s="42">
        <f t="shared" si="2"/>
        <v>269990800</v>
      </c>
      <c r="M29" s="42">
        <f t="shared" si="3"/>
        <v>77483080</v>
      </c>
      <c r="N29" s="46">
        <v>368630976</v>
      </c>
      <c r="O29" s="47">
        <v>269990800</v>
      </c>
      <c r="P29" s="47">
        <v>73574192</v>
      </c>
      <c r="Q29" s="47">
        <v>0</v>
      </c>
      <c r="R29" s="47">
        <v>3908888</v>
      </c>
      <c r="S29" s="47">
        <v>192465952</v>
      </c>
      <c r="T29" s="47">
        <v>41768</v>
      </c>
      <c r="U29" s="48">
        <v>82.857129700000002</v>
      </c>
      <c r="V29" s="48">
        <v>87.339420399999995</v>
      </c>
      <c r="W29" s="48">
        <v>36.045885499999997</v>
      </c>
      <c r="X29" s="48">
        <v>44.189462200000001</v>
      </c>
      <c r="Y29" s="48">
        <v>42.577818899999997</v>
      </c>
      <c r="Z29" s="48">
        <v>52.077140399999998</v>
      </c>
      <c r="AA29" s="48">
        <v>34.718271999999999</v>
      </c>
      <c r="AB29" s="49">
        <v>69879.594318000003</v>
      </c>
      <c r="AC29" s="49">
        <v>680.05532600000004</v>
      </c>
      <c r="AE29" s="44" t="str">
        <f t="shared" si="4"/>
        <v>·</v>
      </c>
      <c r="AF29" s="45" t="str">
        <f t="shared" si="5"/>
        <v>·</v>
      </c>
      <c r="AG29" s="42"/>
      <c r="AH29" s="42"/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6"/>
        <v>0</v>
      </c>
      <c r="BQ29" s="50">
        <f t="shared" si="7"/>
        <v>0</v>
      </c>
      <c r="BR29" s="50">
        <f t="shared" si="8"/>
        <v>0</v>
      </c>
      <c r="BS29" s="50">
        <f t="shared" si="9"/>
        <v>0</v>
      </c>
      <c r="BT29" s="50">
        <f t="shared" si="10"/>
        <v>0</v>
      </c>
    </row>
    <row r="30" spans="1:72" ht="15" customHeight="1" x14ac:dyDescent="0.15">
      <c r="A30" s="26"/>
      <c r="B30" s="26" t="s">
        <v>68</v>
      </c>
      <c r="C30" s="28" t="s">
        <v>425</v>
      </c>
      <c r="D30" s="26">
        <v>5997654</v>
      </c>
      <c r="E30" s="27">
        <v>12</v>
      </c>
      <c r="F30" s="28">
        <v>150</v>
      </c>
      <c r="G30" s="28">
        <v>30</v>
      </c>
      <c r="H30" s="28">
        <v>4</v>
      </c>
      <c r="J30" s="29">
        <f t="shared" si="0"/>
        <v>4.3538304000000005</v>
      </c>
      <c r="K30" s="30">
        <f t="shared" si="1"/>
        <v>3.6296111779705864</v>
      </c>
      <c r="L30" s="28">
        <f t="shared" si="2"/>
        <v>21769152</v>
      </c>
      <c r="M30" s="28">
        <f t="shared" si="3"/>
        <v>7162600</v>
      </c>
      <c r="N30" s="39">
        <v>11261056</v>
      </c>
      <c r="O30" s="31">
        <v>21769152</v>
      </c>
      <c r="P30" s="31">
        <v>3775160</v>
      </c>
      <c r="Q30" s="31">
        <v>0</v>
      </c>
      <c r="R30" s="31">
        <v>3387440</v>
      </c>
      <c r="S30" s="31">
        <v>14585664</v>
      </c>
      <c r="T30" s="31">
        <v>20888</v>
      </c>
      <c r="U30" s="40">
        <v>72.890079600000007</v>
      </c>
      <c r="V30" s="40">
        <v>74.509226699999999</v>
      </c>
      <c r="W30" s="40">
        <v>37.526749899999999</v>
      </c>
      <c r="X30" s="40">
        <v>44.038511900000003</v>
      </c>
      <c r="Y30" s="40">
        <v>42.624844400000001</v>
      </c>
      <c r="Z30" s="40">
        <v>47.870873199999998</v>
      </c>
      <c r="AA30" s="40">
        <v>34.1575524</v>
      </c>
      <c r="AB30" s="32">
        <v>7820.4151499999998</v>
      </c>
      <c r="AC30" s="32">
        <v>79.968174000000005</v>
      </c>
      <c r="AE30" s="29" t="str">
        <f t="shared" si="4"/>
        <v>·</v>
      </c>
      <c r="AF30" s="30" t="str">
        <f t="shared" si="5"/>
        <v>·</v>
      </c>
      <c r="AG30" s="28"/>
      <c r="AH30" s="28"/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6"/>
        <v>0</v>
      </c>
      <c r="BQ30" s="33">
        <f t="shared" si="7"/>
        <v>0</v>
      </c>
      <c r="BR30" s="33">
        <f t="shared" si="8"/>
        <v>0</v>
      </c>
      <c r="BS30" s="33">
        <f t="shared" si="9"/>
        <v>0</v>
      </c>
      <c r="BT30" s="33">
        <f t="shared" si="10"/>
        <v>0</v>
      </c>
    </row>
    <row r="31" spans="1:72" ht="15" customHeight="1" outlineLevel="1" x14ac:dyDescent="0.15">
      <c r="A31" s="10"/>
      <c r="B31" s="10" t="s">
        <v>68</v>
      </c>
      <c r="C31" s="12" t="s">
        <v>426</v>
      </c>
      <c r="D31" s="10">
        <v>5997654</v>
      </c>
      <c r="E31" s="11">
        <v>12</v>
      </c>
      <c r="F31" s="12">
        <v>150</v>
      </c>
      <c r="G31" s="12">
        <v>30</v>
      </c>
      <c r="H31" s="12">
        <v>8</v>
      </c>
      <c r="J31" s="13">
        <f t="shared" si="0"/>
        <v>8.6967839999999992</v>
      </c>
      <c r="K31" s="14">
        <f t="shared" si="1"/>
        <v>7.2501548105309173</v>
      </c>
      <c r="L31" s="12">
        <f t="shared" si="2"/>
        <v>43483920</v>
      </c>
      <c r="M31" s="12">
        <f t="shared" si="3"/>
        <v>10096256</v>
      </c>
      <c r="N31" s="37">
        <v>11261056</v>
      </c>
      <c r="O31" s="15">
        <v>43483920</v>
      </c>
      <c r="P31" s="15">
        <v>3775160</v>
      </c>
      <c r="Q31" s="15">
        <v>0</v>
      </c>
      <c r="R31" s="15">
        <v>6321096</v>
      </c>
      <c r="S31" s="15">
        <v>33366776</v>
      </c>
      <c r="T31" s="15">
        <v>20888</v>
      </c>
      <c r="U31" s="38">
        <v>74.907746799999998</v>
      </c>
      <c r="V31" s="38">
        <v>76.760774299999994</v>
      </c>
      <c r="W31" s="38">
        <v>39.910133500000001</v>
      </c>
      <c r="X31" s="38">
        <v>45.727288600000001</v>
      </c>
      <c r="Y31" s="38">
        <v>44.564888799999999</v>
      </c>
      <c r="Z31" s="38">
        <v>48.885544699999997</v>
      </c>
      <c r="AA31" s="38">
        <v>35.796839300000002</v>
      </c>
      <c r="AB31" s="16">
        <v>7965.5318219999999</v>
      </c>
      <c r="AC31" s="16">
        <v>83.033251000000007</v>
      </c>
      <c r="AE31" s="13" t="str">
        <f t="shared" si="4"/>
        <v>·</v>
      </c>
      <c r="AF31" s="14" t="str">
        <f t="shared" si="5"/>
        <v>·</v>
      </c>
      <c r="AG31" s="12"/>
      <c r="AH31" s="12"/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6"/>
        <v>0</v>
      </c>
      <c r="BQ31" s="17">
        <f t="shared" si="7"/>
        <v>0</v>
      </c>
      <c r="BR31" s="17">
        <f t="shared" si="8"/>
        <v>0</v>
      </c>
      <c r="BS31" s="17">
        <f t="shared" si="9"/>
        <v>0</v>
      </c>
      <c r="BT31" s="17">
        <f t="shared" si="10"/>
        <v>0</v>
      </c>
    </row>
    <row r="32" spans="1:72" ht="15" customHeight="1" outlineLevel="1" x14ac:dyDescent="0.15">
      <c r="A32" s="26"/>
      <c r="B32" s="26" t="s">
        <v>68</v>
      </c>
      <c r="C32" s="28" t="s">
        <v>427</v>
      </c>
      <c r="D32" s="26">
        <v>5997654</v>
      </c>
      <c r="E32" s="27">
        <v>12</v>
      </c>
      <c r="F32" s="28">
        <v>150</v>
      </c>
      <c r="G32" s="28">
        <v>30</v>
      </c>
      <c r="H32" s="28">
        <v>12</v>
      </c>
      <c r="J32" s="29">
        <f t="shared" si="0"/>
        <v>12.905728</v>
      </c>
      <c r="K32" s="30">
        <f t="shared" si="1"/>
        <v>10.758980094550303</v>
      </c>
      <c r="L32" s="28">
        <f t="shared" si="2"/>
        <v>64528640</v>
      </c>
      <c r="M32" s="28">
        <f t="shared" si="3"/>
        <v>16300288</v>
      </c>
      <c r="N32" s="39">
        <v>11450400</v>
      </c>
      <c r="O32" s="31">
        <v>64528640</v>
      </c>
      <c r="P32" s="31">
        <v>10048160</v>
      </c>
      <c r="Q32" s="31">
        <v>0</v>
      </c>
      <c r="R32" s="31">
        <v>6252128</v>
      </c>
      <c r="S32" s="31">
        <v>48207464</v>
      </c>
      <c r="T32" s="31">
        <v>20888</v>
      </c>
      <c r="U32" s="40">
        <v>78.098180299999996</v>
      </c>
      <c r="V32" s="40">
        <v>80.685111599999999</v>
      </c>
      <c r="W32" s="40">
        <v>41.279904000000002</v>
      </c>
      <c r="X32" s="40">
        <v>46.468412999999998</v>
      </c>
      <c r="Y32" s="40">
        <v>45.4311711</v>
      </c>
      <c r="Z32" s="40">
        <v>51.0762413</v>
      </c>
      <c r="AA32" s="40">
        <v>37.706585599999997</v>
      </c>
      <c r="AB32" s="32">
        <v>10552.343433</v>
      </c>
      <c r="AC32" s="32">
        <v>90.922273000000004</v>
      </c>
      <c r="AE32" s="29" t="str">
        <f t="shared" si="4"/>
        <v>·</v>
      </c>
      <c r="AF32" s="30" t="str">
        <f t="shared" si="5"/>
        <v>·</v>
      </c>
      <c r="AG32" s="28"/>
      <c r="AH32" s="28"/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6"/>
        <v>0</v>
      </c>
      <c r="BQ32" s="33">
        <f t="shared" si="7"/>
        <v>0</v>
      </c>
      <c r="BR32" s="33">
        <f t="shared" si="8"/>
        <v>0</v>
      </c>
      <c r="BS32" s="33">
        <f t="shared" si="9"/>
        <v>0</v>
      </c>
      <c r="BT32" s="33">
        <f t="shared" si="10"/>
        <v>0</v>
      </c>
    </row>
    <row r="33" spans="1:72" ht="15" customHeight="1" outlineLevel="1" x14ac:dyDescent="0.15">
      <c r="A33" s="10"/>
      <c r="B33" s="10" t="s">
        <v>68</v>
      </c>
      <c r="C33" s="12" t="s">
        <v>428</v>
      </c>
      <c r="D33" s="10">
        <v>5997654</v>
      </c>
      <c r="E33" s="11">
        <v>12</v>
      </c>
      <c r="F33" s="12">
        <v>150</v>
      </c>
      <c r="G33" s="12">
        <v>30</v>
      </c>
      <c r="H33" s="12">
        <v>17</v>
      </c>
      <c r="J33" s="13">
        <f t="shared" si="0"/>
        <v>18.357644799999999</v>
      </c>
      <c r="K33" s="14">
        <f t="shared" si="1"/>
        <v>15.304021205624732</v>
      </c>
      <c r="L33" s="12">
        <f t="shared" si="2"/>
        <v>91788224</v>
      </c>
      <c r="M33" s="12">
        <f t="shared" si="3"/>
        <v>19042960</v>
      </c>
      <c r="N33" s="37">
        <v>11450400</v>
      </c>
      <c r="O33" s="15">
        <v>91788224</v>
      </c>
      <c r="P33" s="15">
        <v>10048160</v>
      </c>
      <c r="Q33" s="15">
        <v>0</v>
      </c>
      <c r="R33" s="15">
        <v>8994800</v>
      </c>
      <c r="S33" s="15">
        <v>72724376</v>
      </c>
      <c r="T33" s="15">
        <v>20888</v>
      </c>
      <c r="U33" s="38">
        <v>79.118499900000003</v>
      </c>
      <c r="V33" s="38">
        <v>82.081644999999995</v>
      </c>
      <c r="W33" s="38">
        <v>42.179608700000003</v>
      </c>
      <c r="X33" s="38">
        <v>47.610814300000001</v>
      </c>
      <c r="Y33" s="38">
        <v>46.7735561</v>
      </c>
      <c r="Z33" s="38">
        <v>51.605387399999998</v>
      </c>
      <c r="AA33" s="38">
        <v>38.706256600000003</v>
      </c>
      <c r="AB33" s="16">
        <v>28171.292174999999</v>
      </c>
      <c r="AC33" s="16">
        <v>368.69746800000001</v>
      </c>
      <c r="AE33" s="13" t="str">
        <f t="shared" si="4"/>
        <v>·</v>
      </c>
      <c r="AF33" s="14" t="str">
        <f t="shared" si="5"/>
        <v>·</v>
      </c>
      <c r="AG33" s="12"/>
      <c r="AH33" s="12"/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6"/>
        <v>0</v>
      </c>
      <c r="BQ33" s="17">
        <f t="shared" si="7"/>
        <v>0</v>
      </c>
      <c r="BR33" s="17">
        <f t="shared" si="8"/>
        <v>0</v>
      </c>
      <c r="BS33" s="17">
        <f t="shared" si="9"/>
        <v>0</v>
      </c>
      <c r="BT33" s="17">
        <f t="shared" si="10"/>
        <v>0</v>
      </c>
    </row>
    <row r="34" spans="1:72" ht="15.75" customHeight="1" outlineLevel="1" thickBot="1" x14ac:dyDescent="0.2">
      <c r="A34" s="26"/>
      <c r="B34" s="18" t="s">
        <v>68</v>
      </c>
      <c r="C34" s="20" t="s">
        <v>429</v>
      </c>
      <c r="D34" s="18">
        <v>5997654</v>
      </c>
      <c r="E34" s="19">
        <v>12</v>
      </c>
      <c r="F34" s="20">
        <v>150</v>
      </c>
      <c r="G34" s="20">
        <v>30</v>
      </c>
      <c r="H34" s="20">
        <v>25</v>
      </c>
      <c r="J34" s="21">
        <f t="shared" si="0"/>
        <v>26.656228800000001</v>
      </c>
      <c r="K34" s="22">
        <f t="shared" si="1"/>
        <v>22.222212885238129</v>
      </c>
      <c r="L34" s="20">
        <f t="shared" si="2"/>
        <v>133281144</v>
      </c>
      <c r="M34" s="20">
        <f t="shared" si="3"/>
        <v>31552064</v>
      </c>
      <c r="N34" s="51">
        <v>34479248</v>
      </c>
      <c r="O34" s="23">
        <v>133281144</v>
      </c>
      <c r="P34" s="23">
        <v>23070704</v>
      </c>
      <c r="Q34" s="23">
        <v>0</v>
      </c>
      <c r="R34" s="23">
        <v>8481360</v>
      </c>
      <c r="S34" s="23">
        <v>101708192</v>
      </c>
      <c r="T34" s="23">
        <v>20888</v>
      </c>
      <c r="U34" s="52">
        <v>81.988491400000001</v>
      </c>
      <c r="V34" s="52">
        <v>86.150969900000007</v>
      </c>
      <c r="W34" s="52">
        <v>43.2185457</v>
      </c>
      <c r="X34" s="52">
        <v>48.354152900000003</v>
      </c>
      <c r="Y34" s="52">
        <v>47.604358099999999</v>
      </c>
      <c r="Z34" s="52">
        <v>53.813003799999997</v>
      </c>
      <c r="AA34" s="52">
        <v>40.7528322</v>
      </c>
      <c r="AB34" s="24">
        <v>35248.509977000002</v>
      </c>
      <c r="AC34" s="24">
        <v>375.82600600000001</v>
      </c>
      <c r="AE34" s="21" t="str">
        <f t="shared" si="4"/>
        <v>·</v>
      </c>
      <c r="AF34" s="22" t="str">
        <f t="shared" si="5"/>
        <v>·</v>
      </c>
      <c r="AG34" s="20"/>
      <c r="AH34" s="20"/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6"/>
        <v>0</v>
      </c>
      <c r="BQ34" s="25">
        <f t="shared" si="7"/>
        <v>0</v>
      </c>
      <c r="BR34" s="25">
        <f t="shared" si="8"/>
        <v>0</v>
      </c>
      <c r="BS34" s="25">
        <f t="shared" si="9"/>
        <v>0</v>
      </c>
      <c r="BT34" s="25">
        <f t="shared" si="10"/>
        <v>0</v>
      </c>
    </row>
    <row r="35" spans="1:72" ht="15" customHeight="1" x14ac:dyDescent="0.15">
      <c r="A35" s="10"/>
      <c r="B35" s="10" t="s">
        <v>73</v>
      </c>
      <c r="C35" s="12" t="s">
        <v>425</v>
      </c>
      <c r="D35" s="10">
        <v>9000000</v>
      </c>
      <c r="E35" s="11">
        <v>12</v>
      </c>
      <c r="F35" s="12">
        <v>300</v>
      </c>
      <c r="G35" s="12">
        <v>30</v>
      </c>
      <c r="H35" s="12">
        <v>4</v>
      </c>
      <c r="J35" s="13">
        <f t="shared" si="0"/>
        <v>3.8760192</v>
      </c>
      <c r="K35" s="14">
        <f t="shared" si="1"/>
        <v>4.3066880000000003</v>
      </c>
      <c r="L35" s="12">
        <f t="shared" si="2"/>
        <v>38760192</v>
      </c>
      <c r="M35" s="12">
        <f t="shared" si="3"/>
        <v>12855344</v>
      </c>
      <c r="N35" s="37">
        <v>4297872</v>
      </c>
      <c r="O35" s="15">
        <v>38760192</v>
      </c>
      <c r="P35" s="15">
        <v>6116040</v>
      </c>
      <c r="Q35" s="15">
        <v>0</v>
      </c>
      <c r="R35" s="15">
        <v>6739304</v>
      </c>
      <c r="S35" s="15">
        <v>25863240</v>
      </c>
      <c r="T35" s="15">
        <v>41608</v>
      </c>
      <c r="U35" s="38">
        <v>69.102167800000004</v>
      </c>
      <c r="V35" s="38">
        <v>70.223694499999993</v>
      </c>
      <c r="W35" s="38">
        <v>29.619269299999999</v>
      </c>
      <c r="X35" s="38">
        <v>38.769930199999997</v>
      </c>
      <c r="Y35" s="38">
        <v>38.435540400000001</v>
      </c>
      <c r="Z35" s="38">
        <v>45.884188700000003</v>
      </c>
      <c r="AA35" s="38">
        <v>28.091312500000001</v>
      </c>
      <c r="AB35" s="16">
        <v>5895.0396620000001</v>
      </c>
      <c r="AC35" s="16">
        <v>42.391314000000001</v>
      </c>
      <c r="AE35" s="13" t="str">
        <f t="shared" si="4"/>
        <v>·</v>
      </c>
      <c r="AF35" s="14" t="str">
        <f t="shared" si="5"/>
        <v>·</v>
      </c>
      <c r="AG35" s="12"/>
      <c r="AH35" s="12"/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6"/>
        <v>0</v>
      </c>
      <c r="BQ35" s="17">
        <f t="shared" si="7"/>
        <v>0</v>
      </c>
      <c r="BR35" s="17">
        <f t="shared" si="8"/>
        <v>0</v>
      </c>
      <c r="BS35" s="17">
        <f t="shared" si="9"/>
        <v>0</v>
      </c>
      <c r="BT35" s="17">
        <f t="shared" si="10"/>
        <v>0</v>
      </c>
    </row>
    <row r="36" spans="1:72" ht="15" customHeight="1" outlineLevel="1" x14ac:dyDescent="0.15">
      <c r="A36" s="26"/>
      <c r="B36" s="26" t="s">
        <v>73</v>
      </c>
      <c r="C36" s="28" t="s">
        <v>426</v>
      </c>
      <c r="D36" s="26">
        <v>9000000</v>
      </c>
      <c r="E36" s="27">
        <v>12</v>
      </c>
      <c r="F36" s="28">
        <v>300</v>
      </c>
      <c r="G36" s="28">
        <v>30</v>
      </c>
      <c r="H36" s="28">
        <v>6</v>
      </c>
      <c r="J36" s="29">
        <f t="shared" si="0"/>
        <v>6.1480712000000004</v>
      </c>
      <c r="K36" s="30">
        <f t="shared" si="1"/>
        <v>6.8311902222222223</v>
      </c>
      <c r="L36" s="28">
        <f t="shared" si="2"/>
        <v>61480712</v>
      </c>
      <c r="M36" s="28">
        <f t="shared" si="3"/>
        <v>17440016</v>
      </c>
      <c r="N36" s="39">
        <v>8608176</v>
      </c>
      <c r="O36" s="31">
        <v>61480712</v>
      </c>
      <c r="P36" s="31">
        <v>9409480</v>
      </c>
      <c r="Q36" s="31">
        <v>0</v>
      </c>
      <c r="R36" s="31">
        <v>8030536</v>
      </c>
      <c r="S36" s="31">
        <v>43999088</v>
      </c>
      <c r="T36" s="31">
        <v>41608</v>
      </c>
      <c r="U36" s="40">
        <v>72.5037497</v>
      </c>
      <c r="V36" s="40">
        <v>74.119615300000007</v>
      </c>
      <c r="W36" s="40">
        <v>30.326992499999999</v>
      </c>
      <c r="X36" s="40">
        <v>38.945116300000002</v>
      </c>
      <c r="Y36" s="40">
        <v>38.719352999999998</v>
      </c>
      <c r="Z36" s="40">
        <v>47.929400700000002</v>
      </c>
      <c r="AA36" s="40">
        <v>28.752138899999999</v>
      </c>
      <c r="AB36" s="32">
        <v>8891.9921740000009</v>
      </c>
      <c r="AC36" s="32">
        <v>50.762560000000001</v>
      </c>
      <c r="AE36" s="29" t="str">
        <f t="shared" si="4"/>
        <v>·</v>
      </c>
      <c r="AF36" s="30" t="str">
        <f t="shared" si="5"/>
        <v>·</v>
      </c>
      <c r="AG36" s="28"/>
      <c r="AH36" s="28"/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6"/>
        <v>0</v>
      </c>
      <c r="BQ36" s="33">
        <f t="shared" si="7"/>
        <v>0</v>
      </c>
      <c r="BR36" s="33">
        <f t="shared" si="8"/>
        <v>0</v>
      </c>
      <c r="BS36" s="33">
        <f t="shared" si="9"/>
        <v>0</v>
      </c>
      <c r="BT36" s="33">
        <f t="shared" si="10"/>
        <v>0</v>
      </c>
    </row>
    <row r="37" spans="1:72" ht="15" customHeight="1" outlineLevel="1" x14ac:dyDescent="0.15">
      <c r="A37" s="10"/>
      <c r="B37" s="10" t="s">
        <v>73</v>
      </c>
      <c r="C37" s="12" t="s">
        <v>427</v>
      </c>
      <c r="D37" s="10">
        <v>9000000</v>
      </c>
      <c r="E37" s="11">
        <v>12</v>
      </c>
      <c r="F37" s="12">
        <v>300</v>
      </c>
      <c r="G37" s="12">
        <v>30</v>
      </c>
      <c r="H37" s="12">
        <v>11</v>
      </c>
      <c r="J37" s="13">
        <f t="shared" si="0"/>
        <v>11.3425736</v>
      </c>
      <c r="K37" s="14">
        <f t="shared" si="1"/>
        <v>12.602859555555556</v>
      </c>
      <c r="L37" s="12">
        <f t="shared" si="2"/>
        <v>113425736</v>
      </c>
      <c r="M37" s="12">
        <f t="shared" si="3"/>
        <v>22487760</v>
      </c>
      <c r="N37" s="37">
        <v>17228816</v>
      </c>
      <c r="O37" s="15">
        <v>113425736</v>
      </c>
      <c r="P37" s="15">
        <v>16002992</v>
      </c>
      <c r="Q37" s="15">
        <v>0</v>
      </c>
      <c r="R37" s="15">
        <v>6484768</v>
      </c>
      <c r="S37" s="15">
        <v>90896208</v>
      </c>
      <c r="T37" s="15">
        <v>41768</v>
      </c>
      <c r="U37" s="38">
        <v>74.206236200000006</v>
      </c>
      <c r="V37" s="38">
        <v>76.017016999999996</v>
      </c>
      <c r="W37" s="38">
        <v>31.231794099999998</v>
      </c>
      <c r="X37" s="38">
        <v>39.175487500000003</v>
      </c>
      <c r="Y37" s="38">
        <v>39.301818599999997</v>
      </c>
      <c r="Z37" s="38">
        <v>49.023923199999999</v>
      </c>
      <c r="AA37" s="38">
        <v>30.089499700000001</v>
      </c>
      <c r="AB37" s="16">
        <v>61364.215685000003</v>
      </c>
      <c r="AC37" s="16">
        <v>718.964203</v>
      </c>
      <c r="AE37" s="13" t="str">
        <f t="shared" si="4"/>
        <v>·</v>
      </c>
      <c r="AF37" s="14" t="str">
        <f t="shared" si="5"/>
        <v>·</v>
      </c>
      <c r="AG37" s="12"/>
      <c r="AH37" s="12"/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6"/>
        <v>0</v>
      </c>
      <c r="BQ37" s="17">
        <f t="shared" si="7"/>
        <v>0</v>
      </c>
      <c r="BR37" s="17">
        <f t="shared" si="8"/>
        <v>0</v>
      </c>
      <c r="BS37" s="17">
        <f t="shared" si="9"/>
        <v>0</v>
      </c>
      <c r="BT37" s="17">
        <f t="shared" si="10"/>
        <v>0</v>
      </c>
    </row>
    <row r="38" spans="1:72" ht="15" customHeight="1" outlineLevel="1" x14ac:dyDescent="0.15">
      <c r="A38" s="26"/>
      <c r="B38" s="26" t="s">
        <v>73</v>
      </c>
      <c r="C38" s="28" t="s">
        <v>428</v>
      </c>
      <c r="D38" s="26">
        <v>9000000</v>
      </c>
      <c r="E38" s="27">
        <v>12</v>
      </c>
      <c r="F38" s="28">
        <v>300</v>
      </c>
      <c r="G38" s="28">
        <v>30</v>
      </c>
      <c r="H38" s="28">
        <v>16</v>
      </c>
      <c r="J38" s="29">
        <f t="shared" si="0"/>
        <v>16.490071199999999</v>
      </c>
      <c r="K38" s="30">
        <f t="shared" si="1"/>
        <v>18.322301333333332</v>
      </c>
      <c r="L38" s="28">
        <f t="shared" si="2"/>
        <v>164900712</v>
      </c>
      <c r="M38" s="28">
        <f t="shared" si="3"/>
        <v>28689624</v>
      </c>
      <c r="N38" s="39">
        <v>17228816</v>
      </c>
      <c r="O38" s="31">
        <v>164900712</v>
      </c>
      <c r="P38" s="31">
        <v>17635096</v>
      </c>
      <c r="Q38" s="31">
        <v>0</v>
      </c>
      <c r="R38" s="31">
        <v>11054528</v>
      </c>
      <c r="S38" s="31">
        <v>136169320</v>
      </c>
      <c r="T38" s="31">
        <v>41768</v>
      </c>
      <c r="U38" s="40">
        <v>75.827805299999994</v>
      </c>
      <c r="V38" s="40">
        <v>77.895092099999999</v>
      </c>
      <c r="W38" s="40">
        <v>31.8950098</v>
      </c>
      <c r="X38" s="40">
        <v>39.247194800000003</v>
      </c>
      <c r="Y38" s="40">
        <v>39.427404500000002</v>
      </c>
      <c r="Z38" s="40">
        <v>49.933865699999998</v>
      </c>
      <c r="AA38" s="40">
        <v>30.7643734</v>
      </c>
      <c r="AB38" s="32">
        <v>55825.758654999998</v>
      </c>
      <c r="AC38" s="32">
        <v>659.18572900000004</v>
      </c>
      <c r="AE38" s="29" t="str">
        <f t="shared" si="4"/>
        <v>·</v>
      </c>
      <c r="AF38" s="30" t="str">
        <f t="shared" si="5"/>
        <v>·</v>
      </c>
      <c r="AG38" s="28"/>
      <c r="AH38" s="28"/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6"/>
        <v>0</v>
      </c>
      <c r="BQ38" s="33">
        <f t="shared" si="7"/>
        <v>0</v>
      </c>
      <c r="BR38" s="33">
        <f t="shared" si="8"/>
        <v>0</v>
      </c>
      <c r="BS38" s="33">
        <f t="shared" si="9"/>
        <v>0</v>
      </c>
      <c r="BT38" s="33">
        <f t="shared" si="10"/>
        <v>0</v>
      </c>
    </row>
    <row r="39" spans="1:72" ht="15.75" customHeight="1" outlineLevel="1" thickBot="1" x14ac:dyDescent="0.2">
      <c r="A39" s="10"/>
      <c r="B39" s="41" t="s">
        <v>73</v>
      </c>
      <c r="C39" s="42" t="s">
        <v>429</v>
      </c>
      <c r="D39" s="41">
        <v>9000000</v>
      </c>
      <c r="E39" s="43">
        <v>12</v>
      </c>
      <c r="F39" s="42">
        <v>300</v>
      </c>
      <c r="G39" s="42">
        <v>30</v>
      </c>
      <c r="H39" s="42">
        <v>24</v>
      </c>
      <c r="J39" s="44">
        <f t="shared" si="0"/>
        <v>24.7064512</v>
      </c>
      <c r="K39" s="45">
        <f t="shared" si="1"/>
        <v>27.451612444444443</v>
      </c>
      <c r="L39" s="42">
        <f t="shared" si="2"/>
        <v>247064512</v>
      </c>
      <c r="M39" s="42">
        <f t="shared" si="3"/>
        <v>40878944</v>
      </c>
      <c r="N39" s="46">
        <v>34467120</v>
      </c>
      <c r="O39" s="47">
        <v>247064512</v>
      </c>
      <c r="P39" s="47">
        <v>30981256</v>
      </c>
      <c r="Q39" s="47">
        <v>0</v>
      </c>
      <c r="R39" s="47">
        <v>9897688</v>
      </c>
      <c r="S39" s="47">
        <v>206143800</v>
      </c>
      <c r="T39" s="47">
        <v>41768</v>
      </c>
      <c r="U39" s="48">
        <v>78.267413300000001</v>
      </c>
      <c r="V39" s="48">
        <v>80.798130200000003</v>
      </c>
      <c r="W39" s="48">
        <v>32.745553200000003</v>
      </c>
      <c r="X39" s="48">
        <v>39.329186399999998</v>
      </c>
      <c r="Y39" s="48">
        <v>39.583173199999997</v>
      </c>
      <c r="Z39" s="48">
        <v>51.4289804</v>
      </c>
      <c r="AA39" s="48">
        <v>31.692030299999999</v>
      </c>
      <c r="AB39" s="49">
        <v>54635.953494000001</v>
      </c>
      <c r="AC39" s="49">
        <v>634.36927700000001</v>
      </c>
      <c r="AE39" s="44" t="str">
        <f t="shared" si="4"/>
        <v>·</v>
      </c>
      <c r="AF39" s="45" t="str">
        <f t="shared" si="5"/>
        <v>·</v>
      </c>
      <c r="AG39" s="42"/>
      <c r="AH39" s="42"/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6"/>
        <v>0</v>
      </c>
      <c r="BQ39" s="50">
        <f t="shared" si="7"/>
        <v>0</v>
      </c>
      <c r="BR39" s="50">
        <f t="shared" si="8"/>
        <v>0</v>
      </c>
      <c r="BS39" s="50">
        <f t="shared" si="9"/>
        <v>0</v>
      </c>
      <c r="BT39" s="50">
        <f t="shared" si="10"/>
        <v>0</v>
      </c>
    </row>
    <row r="40" spans="1:72" ht="15" customHeight="1" x14ac:dyDescent="0.15">
      <c r="A40" s="26"/>
      <c r="B40" s="26" t="s">
        <v>78</v>
      </c>
      <c r="C40" s="28" t="s">
        <v>425</v>
      </c>
      <c r="D40" s="26">
        <v>9000000</v>
      </c>
      <c r="E40" s="27">
        <v>12</v>
      </c>
      <c r="F40" s="28">
        <v>300</v>
      </c>
      <c r="G40" s="28">
        <v>30</v>
      </c>
      <c r="H40" s="28">
        <v>4</v>
      </c>
      <c r="J40" s="29">
        <f t="shared" si="0"/>
        <v>4.0173664000000002</v>
      </c>
      <c r="K40" s="30">
        <f t="shared" si="1"/>
        <v>4.4637404444444444</v>
      </c>
      <c r="L40" s="28">
        <f t="shared" si="2"/>
        <v>40173664</v>
      </c>
      <c r="M40" s="28">
        <f t="shared" si="3"/>
        <v>11487896</v>
      </c>
      <c r="N40" s="39">
        <v>4308960</v>
      </c>
      <c r="O40" s="31">
        <v>40173664</v>
      </c>
      <c r="P40" s="31">
        <v>5404448</v>
      </c>
      <c r="Q40" s="31">
        <v>0</v>
      </c>
      <c r="R40" s="31">
        <v>6083448</v>
      </c>
      <c r="S40" s="31">
        <v>28644000</v>
      </c>
      <c r="T40" s="31">
        <v>41768</v>
      </c>
      <c r="U40" s="40">
        <v>69.932977199999996</v>
      </c>
      <c r="V40" s="40">
        <v>70.964252700000003</v>
      </c>
      <c r="W40" s="40">
        <v>32.479345000000002</v>
      </c>
      <c r="X40" s="40">
        <v>42.2800747</v>
      </c>
      <c r="Y40" s="40">
        <v>42.522995799999997</v>
      </c>
      <c r="Z40" s="40">
        <v>46.293039700000001</v>
      </c>
      <c r="AA40" s="40">
        <v>31.278874900000002</v>
      </c>
      <c r="AB40" s="32">
        <v>13085.220052999999</v>
      </c>
      <c r="AC40" s="32">
        <v>140.65327500000001</v>
      </c>
      <c r="AE40" s="29" t="str">
        <f t="shared" si="4"/>
        <v>·</v>
      </c>
      <c r="AF40" s="30" t="str">
        <f t="shared" si="5"/>
        <v>·</v>
      </c>
      <c r="AG40" s="28"/>
      <c r="AH40" s="28"/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6"/>
        <v>0</v>
      </c>
      <c r="BQ40" s="33">
        <f t="shared" si="7"/>
        <v>0</v>
      </c>
      <c r="BR40" s="33">
        <f t="shared" si="8"/>
        <v>0</v>
      </c>
      <c r="BS40" s="33">
        <f t="shared" si="9"/>
        <v>0</v>
      </c>
      <c r="BT40" s="33">
        <f t="shared" si="10"/>
        <v>0</v>
      </c>
    </row>
    <row r="41" spans="1:72" ht="15" customHeight="1" outlineLevel="1" x14ac:dyDescent="0.15">
      <c r="A41" s="10"/>
      <c r="B41" s="10" t="s">
        <v>78</v>
      </c>
      <c r="C41" s="12" t="s">
        <v>426</v>
      </c>
      <c r="D41" s="10">
        <v>9000000</v>
      </c>
      <c r="E41" s="11">
        <v>12</v>
      </c>
      <c r="F41" s="12">
        <v>300</v>
      </c>
      <c r="G41" s="12">
        <v>30</v>
      </c>
      <c r="H41" s="12">
        <v>6</v>
      </c>
      <c r="J41" s="13">
        <f t="shared" si="0"/>
        <v>6.0605256000000001</v>
      </c>
      <c r="K41" s="14">
        <f t="shared" si="1"/>
        <v>6.7339173333333333</v>
      </c>
      <c r="L41" s="12">
        <f t="shared" si="2"/>
        <v>60605256</v>
      </c>
      <c r="M41" s="12">
        <f t="shared" si="3"/>
        <v>12275408</v>
      </c>
      <c r="N41" s="37">
        <v>4308960</v>
      </c>
      <c r="O41" s="15">
        <v>60605256</v>
      </c>
      <c r="P41" s="15">
        <v>5828160</v>
      </c>
      <c r="Q41" s="15">
        <v>0</v>
      </c>
      <c r="R41" s="15">
        <v>6447248</v>
      </c>
      <c r="S41" s="15">
        <v>48288080</v>
      </c>
      <c r="T41" s="15">
        <v>41768</v>
      </c>
      <c r="U41" s="38">
        <v>70.101096200000001</v>
      </c>
      <c r="V41" s="38">
        <v>71.143005500000001</v>
      </c>
      <c r="W41" s="38">
        <v>33.080492800000002</v>
      </c>
      <c r="X41" s="38">
        <v>42.528509800000002</v>
      </c>
      <c r="Y41" s="38">
        <v>42.8216708</v>
      </c>
      <c r="Z41" s="38">
        <v>46.353538899999997</v>
      </c>
      <c r="AA41" s="38">
        <v>31.564219999999999</v>
      </c>
      <c r="AB41" s="16">
        <v>49692.141885999998</v>
      </c>
      <c r="AC41" s="16">
        <v>626.54874900000004</v>
      </c>
      <c r="AE41" s="13" t="str">
        <f t="shared" si="4"/>
        <v>·</v>
      </c>
      <c r="AF41" s="14" t="str">
        <f t="shared" si="5"/>
        <v>·</v>
      </c>
      <c r="AG41" s="12"/>
      <c r="AH41" s="12"/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6"/>
        <v>0</v>
      </c>
      <c r="BQ41" s="17">
        <f t="shared" si="7"/>
        <v>0</v>
      </c>
      <c r="BR41" s="17">
        <f t="shared" si="8"/>
        <v>0</v>
      </c>
      <c r="BS41" s="17">
        <f t="shared" si="9"/>
        <v>0</v>
      </c>
      <c r="BT41" s="17">
        <f t="shared" si="10"/>
        <v>0</v>
      </c>
    </row>
    <row r="42" spans="1:72" ht="15" customHeight="1" outlineLevel="1" x14ac:dyDescent="0.15">
      <c r="A42" s="26"/>
      <c r="B42" s="26" t="s">
        <v>78</v>
      </c>
      <c r="C42" s="28" t="s">
        <v>427</v>
      </c>
      <c r="D42" s="26">
        <v>9000000</v>
      </c>
      <c r="E42" s="27">
        <v>12</v>
      </c>
      <c r="F42" s="28">
        <v>300</v>
      </c>
      <c r="G42" s="28">
        <v>30</v>
      </c>
      <c r="H42" s="28">
        <v>11</v>
      </c>
      <c r="J42" s="29">
        <f t="shared" si="0"/>
        <v>11.176429599999999</v>
      </c>
      <c r="K42" s="30">
        <f t="shared" si="1"/>
        <v>12.418255111111112</v>
      </c>
      <c r="L42" s="28">
        <f t="shared" si="2"/>
        <v>111764296</v>
      </c>
      <c r="M42" s="28">
        <f t="shared" si="3"/>
        <v>23690080</v>
      </c>
      <c r="N42" s="39">
        <v>17259744</v>
      </c>
      <c r="O42" s="31">
        <v>111764296</v>
      </c>
      <c r="P42" s="31">
        <v>15512800</v>
      </c>
      <c r="Q42" s="31">
        <v>0</v>
      </c>
      <c r="R42" s="31">
        <v>8177280</v>
      </c>
      <c r="S42" s="31">
        <v>88032448</v>
      </c>
      <c r="T42" s="31">
        <v>41768</v>
      </c>
      <c r="U42" s="40">
        <v>75.491839100000007</v>
      </c>
      <c r="V42" s="40">
        <v>77.209656899999999</v>
      </c>
      <c r="W42" s="40">
        <v>34.151955200000003</v>
      </c>
      <c r="X42" s="40">
        <v>42.869021500000002</v>
      </c>
      <c r="Y42" s="40">
        <v>43.345553700000004</v>
      </c>
      <c r="Z42" s="40">
        <v>50.016997799999999</v>
      </c>
      <c r="AA42" s="40">
        <v>33.215784499999998</v>
      </c>
      <c r="AB42" s="32">
        <v>62499.734151999997</v>
      </c>
      <c r="AC42" s="32">
        <v>755.42414900000006</v>
      </c>
      <c r="AE42" s="29" t="str">
        <f t="shared" si="4"/>
        <v>·</v>
      </c>
      <c r="AF42" s="30" t="str">
        <f t="shared" si="5"/>
        <v>·</v>
      </c>
      <c r="AG42" s="28"/>
      <c r="AH42" s="28"/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6"/>
        <v>0</v>
      </c>
      <c r="BQ42" s="33">
        <f t="shared" si="7"/>
        <v>0</v>
      </c>
      <c r="BR42" s="33">
        <f t="shared" si="8"/>
        <v>0</v>
      </c>
      <c r="BS42" s="33">
        <f t="shared" si="9"/>
        <v>0</v>
      </c>
      <c r="BT42" s="33">
        <f t="shared" si="10"/>
        <v>0</v>
      </c>
    </row>
    <row r="43" spans="1:72" ht="15" customHeight="1" outlineLevel="1" x14ac:dyDescent="0.15">
      <c r="A43" s="10"/>
      <c r="B43" s="10" t="s">
        <v>78</v>
      </c>
      <c r="C43" s="12" t="s">
        <v>428</v>
      </c>
      <c r="D43" s="10">
        <v>9000000</v>
      </c>
      <c r="E43" s="11">
        <v>12</v>
      </c>
      <c r="F43" s="12">
        <v>300</v>
      </c>
      <c r="G43" s="12">
        <v>30</v>
      </c>
      <c r="H43" s="12">
        <v>16</v>
      </c>
      <c r="J43" s="13">
        <f t="shared" si="0"/>
        <v>16.292969599999999</v>
      </c>
      <c r="K43" s="14">
        <f t="shared" si="1"/>
        <v>18.103299555555555</v>
      </c>
      <c r="L43" s="12">
        <f t="shared" si="2"/>
        <v>162929696</v>
      </c>
      <c r="M43" s="12">
        <f t="shared" si="3"/>
        <v>27529120</v>
      </c>
      <c r="N43" s="37">
        <v>17259744</v>
      </c>
      <c r="O43" s="15">
        <v>162929696</v>
      </c>
      <c r="P43" s="15">
        <v>17135744</v>
      </c>
      <c r="Q43" s="15">
        <v>0</v>
      </c>
      <c r="R43" s="15">
        <v>10393376</v>
      </c>
      <c r="S43" s="15">
        <v>135358808</v>
      </c>
      <c r="T43" s="15">
        <v>41768</v>
      </c>
      <c r="U43" s="38">
        <v>76.370076299999994</v>
      </c>
      <c r="V43" s="38">
        <v>78.225968300000005</v>
      </c>
      <c r="W43" s="38">
        <v>34.804715600000002</v>
      </c>
      <c r="X43" s="38">
        <v>42.996710299999997</v>
      </c>
      <c r="Y43" s="38">
        <v>43.533356300000001</v>
      </c>
      <c r="Z43" s="38">
        <v>50.4565974</v>
      </c>
      <c r="AA43" s="38">
        <v>33.768352</v>
      </c>
      <c r="AB43" s="16">
        <v>48942.613797999998</v>
      </c>
      <c r="AC43" s="16">
        <v>624.46184700000003</v>
      </c>
      <c r="AE43" s="13" t="str">
        <f t="shared" si="4"/>
        <v>·</v>
      </c>
      <c r="AF43" s="14" t="str">
        <f t="shared" si="5"/>
        <v>·</v>
      </c>
      <c r="AG43" s="12"/>
      <c r="AH43" s="12"/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6"/>
        <v>0</v>
      </c>
      <c r="BQ43" s="17">
        <f t="shared" si="7"/>
        <v>0</v>
      </c>
      <c r="BR43" s="17">
        <f t="shared" si="8"/>
        <v>0</v>
      </c>
      <c r="BS43" s="17">
        <f t="shared" si="9"/>
        <v>0</v>
      </c>
      <c r="BT43" s="17">
        <f t="shared" si="10"/>
        <v>0</v>
      </c>
    </row>
    <row r="44" spans="1:72" ht="15.75" customHeight="1" outlineLevel="1" thickBot="1" x14ac:dyDescent="0.2">
      <c r="A44" s="18"/>
      <c r="B44" s="18" t="s">
        <v>78</v>
      </c>
      <c r="C44" s="20" t="s">
        <v>429</v>
      </c>
      <c r="D44" s="18">
        <v>9000000</v>
      </c>
      <c r="E44" s="19">
        <v>12</v>
      </c>
      <c r="F44" s="20">
        <v>300</v>
      </c>
      <c r="G44" s="20">
        <v>30</v>
      </c>
      <c r="H44" s="20">
        <v>24</v>
      </c>
      <c r="J44" s="21">
        <f t="shared" si="0"/>
        <v>24.585712000000001</v>
      </c>
      <c r="K44" s="22">
        <f t="shared" si="1"/>
        <v>27.317457777777779</v>
      </c>
      <c r="L44" s="20">
        <f t="shared" si="2"/>
        <v>245857120</v>
      </c>
      <c r="M44" s="20">
        <f t="shared" si="3"/>
        <v>39425960</v>
      </c>
      <c r="N44" s="51">
        <v>34522944</v>
      </c>
      <c r="O44" s="23">
        <v>245857120</v>
      </c>
      <c r="P44" s="23">
        <v>27010896</v>
      </c>
      <c r="Q44" s="23">
        <v>0</v>
      </c>
      <c r="R44" s="23">
        <v>12415064</v>
      </c>
      <c r="S44" s="23">
        <v>206389392</v>
      </c>
      <c r="T44" s="23">
        <v>41768</v>
      </c>
      <c r="U44" s="52">
        <v>78.853713200000001</v>
      </c>
      <c r="V44" s="52">
        <v>81.240891899999994</v>
      </c>
      <c r="W44" s="52">
        <v>35.672755799999997</v>
      </c>
      <c r="X44" s="52">
        <v>43.1258409</v>
      </c>
      <c r="Y44" s="52">
        <v>43.729294299999999</v>
      </c>
      <c r="Z44" s="52">
        <v>52.035513600000002</v>
      </c>
      <c r="AA44" s="52">
        <v>34.781337499999999</v>
      </c>
      <c r="AB44" s="24">
        <v>53437.989457000003</v>
      </c>
      <c r="AC44" s="24">
        <v>629.20669399999997</v>
      </c>
      <c r="AE44" s="21" t="str">
        <f t="shared" si="4"/>
        <v>·</v>
      </c>
      <c r="AF44" s="22" t="str">
        <f t="shared" si="5"/>
        <v>·</v>
      </c>
      <c r="AG44" s="20"/>
      <c r="AH44" s="20"/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6"/>
        <v>0</v>
      </c>
      <c r="BQ44" s="25">
        <f t="shared" si="7"/>
        <v>0</v>
      </c>
      <c r="BR44" s="25">
        <f t="shared" si="8"/>
        <v>0</v>
      </c>
      <c r="BS44" s="25">
        <f t="shared" si="9"/>
        <v>0</v>
      </c>
      <c r="BT44" s="25">
        <f t="shared" si="10"/>
        <v>0</v>
      </c>
    </row>
    <row r="45" spans="1:72" x14ac:dyDescent="0.15">
      <c r="B45" s="34" t="s">
        <v>8</v>
      </c>
      <c r="K45" s="35">
        <f>AVERAGE(K5:K14)</f>
        <v>12.678095218113494</v>
      </c>
      <c r="L45" s="35"/>
      <c r="M45" s="35"/>
      <c r="AF45" s="35" t="e">
        <f>AVERAGE(AF5:AF14)</f>
        <v>#DIV/0!</v>
      </c>
      <c r="AG45" s="35"/>
      <c r="AH45" s="35"/>
      <c r="AZ45" s="3" t="e">
        <f t="shared" ref="AZ45:BF45" si="11">AVERAGE(AZ5:AZ14)</f>
        <v>#DIV/0!</v>
      </c>
      <c r="BA45" s="3" t="e">
        <f t="shared" si="11"/>
        <v>#DIV/0!</v>
      </c>
      <c r="BB45" s="3" t="e">
        <f t="shared" si="11"/>
        <v>#DIV/0!</v>
      </c>
      <c r="BC45" s="3" t="e">
        <f t="shared" si="11"/>
        <v>#DIV/0!</v>
      </c>
      <c r="BD45" s="3" t="e">
        <f t="shared" si="11"/>
        <v>#DIV/0!</v>
      </c>
      <c r="BE45" s="3" t="e">
        <f t="shared" si="11"/>
        <v>#DIV/0!</v>
      </c>
      <c r="BF45" s="3" t="e">
        <f t="shared" si="11"/>
        <v>#DIV/0!</v>
      </c>
      <c r="BH45" s="3" t="e">
        <f t="shared" ref="BH45:BN45" si="12">AVERAGE(BH5:BH14)</f>
        <v>#DIV/0!</v>
      </c>
      <c r="BI45" s="3" t="e">
        <f t="shared" si="12"/>
        <v>#DIV/0!</v>
      </c>
      <c r="BJ45" s="3" t="e">
        <f t="shared" si="12"/>
        <v>#DIV/0!</v>
      </c>
      <c r="BK45" s="3" t="e">
        <f t="shared" si="12"/>
        <v>#DIV/0!</v>
      </c>
      <c r="BL45" s="3" t="e">
        <f t="shared" si="12"/>
        <v>#DIV/0!</v>
      </c>
      <c r="BM45" s="3" t="e">
        <f t="shared" si="12"/>
        <v>#DIV/0!</v>
      </c>
      <c r="BN45" s="3" t="e">
        <f t="shared" si="12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15">
      <c r="B46" s="34" t="s">
        <v>9</v>
      </c>
      <c r="K46" s="35">
        <f>AVERAGE(K15:K24)</f>
        <v>9.2287093662587232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3">AVERAGE(AZ15:AZ24)</f>
        <v>#DIV/0!</v>
      </c>
      <c r="BA46" s="3" t="e">
        <f t="shared" si="13"/>
        <v>#DIV/0!</v>
      </c>
      <c r="BB46" s="3" t="e">
        <f t="shared" si="13"/>
        <v>#DIV/0!</v>
      </c>
      <c r="BC46" s="3" t="e">
        <f t="shared" si="13"/>
        <v>#DIV/0!</v>
      </c>
      <c r="BD46" s="3" t="e">
        <f t="shared" si="13"/>
        <v>#DIV/0!</v>
      </c>
      <c r="BE46" s="3" t="e">
        <f t="shared" si="13"/>
        <v>#DIV/0!</v>
      </c>
      <c r="BF46" s="3" t="e">
        <f t="shared" si="13"/>
        <v>#DIV/0!</v>
      </c>
      <c r="BH46" s="3" t="e">
        <f t="shared" ref="BH46:BN46" si="14">AVERAGE(BH15:BH24)</f>
        <v>#DIV/0!</v>
      </c>
      <c r="BI46" s="3" t="e">
        <f t="shared" si="14"/>
        <v>#DIV/0!</v>
      </c>
      <c r="BJ46" s="3" t="e">
        <f t="shared" si="14"/>
        <v>#DIV/0!</v>
      </c>
      <c r="BK46" s="3" t="e">
        <f t="shared" si="14"/>
        <v>#DIV/0!</v>
      </c>
      <c r="BL46" s="3" t="e">
        <f t="shared" si="14"/>
        <v>#DIV/0!</v>
      </c>
      <c r="BM46" s="3" t="e">
        <f t="shared" si="14"/>
        <v>#DIV/0!</v>
      </c>
      <c r="BN46" s="3" t="e">
        <f t="shared" si="14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15">
      <c r="B47" s="34" t="s">
        <v>10</v>
      </c>
      <c r="K47" s="35">
        <f>AVERAGE(K25:K44)</f>
        <v>12.83710616425129</v>
      </c>
      <c r="L47" s="35"/>
      <c r="M47" s="35"/>
      <c r="AF47" s="35" t="e">
        <f>AVERAGE(AF25:AF44)</f>
        <v>#DIV/0!</v>
      </c>
      <c r="AG47" s="35"/>
      <c r="AH47" s="35"/>
      <c r="AZ47" s="3" t="e">
        <f t="shared" ref="AZ47:BF47" si="15">AVERAGE(AZ25:AZ44)</f>
        <v>#DIV/0!</v>
      </c>
      <c r="BA47" s="3" t="e">
        <f t="shared" si="15"/>
        <v>#DIV/0!</v>
      </c>
      <c r="BB47" s="3" t="e">
        <f t="shared" si="15"/>
        <v>#DIV/0!</v>
      </c>
      <c r="BC47" s="3" t="e">
        <f t="shared" si="15"/>
        <v>#DIV/0!</v>
      </c>
      <c r="BD47" s="3" t="e">
        <f t="shared" si="15"/>
        <v>#DIV/0!</v>
      </c>
      <c r="BE47" s="3" t="e">
        <f t="shared" si="15"/>
        <v>#DIV/0!</v>
      </c>
      <c r="BF47" s="3" t="e">
        <f t="shared" si="15"/>
        <v>#DIV/0!</v>
      </c>
      <c r="BH47" s="3" t="e">
        <f t="shared" ref="BH47:BN47" si="16">AVERAGE(BH25:BH44)</f>
        <v>#DIV/0!</v>
      </c>
      <c r="BI47" s="3" t="e">
        <f t="shared" si="16"/>
        <v>#DIV/0!</v>
      </c>
      <c r="BJ47" s="3" t="e">
        <f t="shared" si="16"/>
        <v>#DIV/0!</v>
      </c>
      <c r="BK47" s="3" t="e">
        <f t="shared" si="16"/>
        <v>#DIV/0!</v>
      </c>
      <c r="BL47" s="3" t="e">
        <f t="shared" si="16"/>
        <v>#DIV/0!</v>
      </c>
      <c r="BM47" s="3" t="e">
        <f t="shared" si="16"/>
        <v>#DIV/0!</v>
      </c>
      <c r="BN47" s="3" t="e">
        <f t="shared" si="16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15">
      <c r="B48" s="34" t="s">
        <v>11</v>
      </c>
      <c r="K48" s="35">
        <f>AVERAGE(K5:K44)</f>
        <v>11.8952542282187</v>
      </c>
      <c r="L48" s="35"/>
      <c r="M48" s="35"/>
      <c r="AF48" s="35" t="e">
        <f>AVERAGE(AF5:AF44)</f>
        <v>#DIV/0!</v>
      </c>
      <c r="AG48" s="35"/>
      <c r="AH48" s="35"/>
      <c r="AJ48" s="90"/>
      <c r="AK48" s="90"/>
      <c r="AZ48" s="3" t="e">
        <f t="shared" ref="AZ48:BF48" si="17">AVERAGE(AZ5:AZ44)</f>
        <v>#DIV/0!</v>
      </c>
      <c r="BA48" s="3" t="e">
        <f t="shared" si="17"/>
        <v>#DIV/0!</v>
      </c>
      <c r="BB48" s="3" t="e">
        <f t="shared" si="17"/>
        <v>#DIV/0!</v>
      </c>
      <c r="BC48" s="3" t="e">
        <f t="shared" si="17"/>
        <v>#DIV/0!</v>
      </c>
      <c r="BD48" s="3" t="e">
        <f t="shared" si="17"/>
        <v>#DIV/0!</v>
      </c>
      <c r="BE48" s="3" t="e">
        <f t="shared" si="17"/>
        <v>#DIV/0!</v>
      </c>
      <c r="BF48" s="3" t="e">
        <f t="shared" si="17"/>
        <v>#DIV/0!</v>
      </c>
      <c r="BH48" s="3" t="e">
        <f t="shared" ref="BH48:BN48" si="18">AVERAGE(BH5:BH44)</f>
        <v>#DIV/0!</v>
      </c>
      <c r="BI48" s="3" t="e">
        <f t="shared" si="18"/>
        <v>#DIV/0!</v>
      </c>
      <c r="BJ48" s="3" t="e">
        <f t="shared" si="18"/>
        <v>#DIV/0!</v>
      </c>
      <c r="BK48" s="3" t="e">
        <f t="shared" si="18"/>
        <v>#DIV/0!</v>
      </c>
      <c r="BL48" s="3" t="e">
        <f t="shared" si="18"/>
        <v>#DIV/0!</v>
      </c>
      <c r="BM48" s="3" t="e">
        <f t="shared" si="18"/>
        <v>#DIV/0!</v>
      </c>
      <c r="BN48" s="3" t="e">
        <f t="shared" si="18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15">
      <c r="A49" s="34" t="s">
        <v>192</v>
      </c>
      <c r="B49" s="34" t="s">
        <v>193</v>
      </c>
      <c r="AB49" s="36">
        <f>SUM(AB5:AB14,AB15:AB24,AB25:AB44)</f>
        <v>1016865.6888860001</v>
      </c>
      <c r="AC49" s="36">
        <f>SUM(AC5:AC14,AC15:AC24,AC25:AC44)</f>
        <v>11094.614198000003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15">
      <c r="B50" s="34" t="s">
        <v>194</v>
      </c>
      <c r="AW50" s="97">
        <f>AW49/AB49</f>
        <v>0</v>
      </c>
      <c r="AX50" s="97">
        <f>AX49/AC49</f>
        <v>0</v>
      </c>
    </row>
    <row r="53" spans="1:50" ht="15.75" customHeight="1" thickBot="1" x14ac:dyDescent="0.2"/>
    <row r="54" spans="1:50" x14ac:dyDescent="0.15">
      <c r="AP54" s="80">
        <f t="shared" ref="AP54:AP93" si="19">AP5-U5</f>
        <v>-67.395328500000005</v>
      </c>
      <c r="AQ54" s="81">
        <f t="shared" ref="AQ54:AQ93" si="20">AQ5-V5</f>
        <v>-68.276002500000004</v>
      </c>
      <c r="AR54" s="81">
        <f t="shared" ref="AR54:AR93" si="21">AR5-W5</f>
        <v>-28.734739900000001</v>
      </c>
      <c r="AS54" s="81">
        <f t="shared" ref="AS54:AS93" si="22">AS5-X5</f>
        <v>-33.871093999999999</v>
      </c>
      <c r="AT54" s="81">
        <f t="shared" ref="AT54:AT93" si="23">AT5-Y5</f>
        <v>-33.294729699999998</v>
      </c>
      <c r="AU54" s="81">
        <f t="shared" ref="AU54:AU93" si="24">AU5-Z5</f>
        <v>-47.274436899999998</v>
      </c>
      <c r="AV54" s="82">
        <f t="shared" ref="AV54:AV93" si="25">AV5-AA5</f>
        <v>-26.994677100000001</v>
      </c>
    </row>
    <row r="55" spans="1:50" x14ac:dyDescent="0.15">
      <c r="AP55" s="83">
        <f t="shared" si="19"/>
        <v>-67.652101200000004</v>
      </c>
      <c r="AQ55" s="84">
        <f t="shared" si="20"/>
        <v>-68.552565200000004</v>
      </c>
      <c r="AR55" s="84">
        <f t="shared" si="21"/>
        <v>-31.315407100000002</v>
      </c>
      <c r="AS55" s="84">
        <f t="shared" si="22"/>
        <v>-35.073476599999999</v>
      </c>
      <c r="AT55" s="84">
        <f t="shared" si="23"/>
        <v>-34.602452700000001</v>
      </c>
      <c r="AU55" s="84">
        <f t="shared" si="24"/>
        <v>-47.366967799999998</v>
      </c>
      <c r="AV55" s="85">
        <f t="shared" si="25"/>
        <v>-28.186352100000001</v>
      </c>
    </row>
    <row r="56" spans="1:50" x14ac:dyDescent="0.15">
      <c r="AP56" s="83">
        <f t="shared" si="19"/>
        <v>-70.614322900000005</v>
      </c>
      <c r="AQ56" s="84">
        <f t="shared" si="20"/>
        <v>-71.966641100000004</v>
      </c>
      <c r="AR56" s="84">
        <f t="shared" si="21"/>
        <v>-32.575001100000001</v>
      </c>
      <c r="AS56" s="84">
        <f t="shared" si="22"/>
        <v>-36.881157199999997</v>
      </c>
      <c r="AT56" s="84">
        <f t="shared" si="23"/>
        <v>-36.593056799999999</v>
      </c>
      <c r="AU56" s="84">
        <f t="shared" si="24"/>
        <v>-49.338439999999999</v>
      </c>
      <c r="AV56" s="85">
        <f t="shared" si="25"/>
        <v>-29.914803899999999</v>
      </c>
    </row>
    <row r="57" spans="1:50" x14ac:dyDescent="0.15">
      <c r="AP57" s="83">
        <f t="shared" si="19"/>
        <v>-72.092234599999998</v>
      </c>
      <c r="AQ57" s="84">
        <f t="shared" si="20"/>
        <v>-73.617791299999993</v>
      </c>
      <c r="AR57" s="84">
        <f t="shared" si="21"/>
        <v>-33.517013200000001</v>
      </c>
      <c r="AS57" s="84">
        <f t="shared" si="22"/>
        <v>-37.407750900000003</v>
      </c>
      <c r="AT57" s="84">
        <f t="shared" si="23"/>
        <v>-37.122662099999999</v>
      </c>
      <c r="AU57" s="84">
        <f t="shared" si="24"/>
        <v>-49.801802899999998</v>
      </c>
      <c r="AV57" s="85">
        <f t="shared" si="25"/>
        <v>-30.881806300000001</v>
      </c>
    </row>
    <row r="58" spans="1:50" x14ac:dyDescent="0.15">
      <c r="AP58" s="83">
        <f t="shared" si="19"/>
        <v>-75.347616000000002</v>
      </c>
      <c r="AQ58" s="84">
        <f t="shared" si="20"/>
        <v>-77.472037200000003</v>
      </c>
      <c r="AR58" s="84">
        <f t="shared" si="21"/>
        <v>-34.921526800000002</v>
      </c>
      <c r="AS58" s="84">
        <f t="shared" si="22"/>
        <v>-38.513194800000001</v>
      </c>
      <c r="AT58" s="84">
        <f t="shared" si="23"/>
        <v>-38.2148003</v>
      </c>
      <c r="AU58" s="84">
        <f t="shared" si="24"/>
        <v>-51.728374500000001</v>
      </c>
      <c r="AV58" s="85">
        <f t="shared" si="25"/>
        <v>-32.679411700000003</v>
      </c>
    </row>
    <row r="59" spans="1:50" x14ac:dyDescent="0.15">
      <c r="AP59" s="83">
        <f t="shared" si="19"/>
        <v>-63.867308299999998</v>
      </c>
      <c r="AQ59" s="84">
        <f t="shared" si="20"/>
        <v>-64.403899199999998</v>
      </c>
      <c r="AR59" s="84">
        <f t="shared" si="21"/>
        <v>-32.058367099999998</v>
      </c>
      <c r="AS59" s="84">
        <f t="shared" si="22"/>
        <v>-44.953858400000001</v>
      </c>
      <c r="AT59" s="84">
        <f t="shared" si="23"/>
        <v>-45.246099800000003</v>
      </c>
      <c r="AU59" s="84">
        <f t="shared" si="24"/>
        <v>-43.176590500000003</v>
      </c>
      <c r="AV59" s="85">
        <f t="shared" si="25"/>
        <v>-29.0938403</v>
      </c>
    </row>
    <row r="60" spans="1:50" x14ac:dyDescent="0.15">
      <c r="AP60" s="83">
        <f t="shared" si="19"/>
        <v>-68.877166200000005</v>
      </c>
      <c r="AQ60" s="84">
        <f t="shared" si="20"/>
        <v>-70.046091099999998</v>
      </c>
      <c r="AR60" s="84">
        <f t="shared" si="21"/>
        <v>-34.835394999999998</v>
      </c>
      <c r="AS60" s="84">
        <f t="shared" si="22"/>
        <v>-45.585599799999997</v>
      </c>
      <c r="AT60" s="84">
        <f t="shared" si="23"/>
        <v>-45.971108299999997</v>
      </c>
      <c r="AU60" s="84">
        <f t="shared" si="24"/>
        <v>-46.222981300000001</v>
      </c>
      <c r="AV60" s="85">
        <f t="shared" si="25"/>
        <v>-31.918854400000001</v>
      </c>
    </row>
    <row r="61" spans="1:50" x14ac:dyDescent="0.15">
      <c r="AP61" s="83">
        <f t="shared" si="19"/>
        <v>-70.121871100000007</v>
      </c>
      <c r="AQ61" s="84">
        <f t="shared" si="20"/>
        <v>-71.411871199999993</v>
      </c>
      <c r="AR61" s="84">
        <f t="shared" si="21"/>
        <v>-35.817584199999999</v>
      </c>
      <c r="AS61" s="84">
        <f t="shared" si="22"/>
        <v>-45.911640599999998</v>
      </c>
      <c r="AT61" s="84">
        <f t="shared" si="23"/>
        <v>-46.336190299999998</v>
      </c>
      <c r="AU61" s="84">
        <f t="shared" si="24"/>
        <v>-46.582680000000003</v>
      </c>
      <c r="AV61" s="85">
        <f t="shared" si="25"/>
        <v>-32.754707400000001</v>
      </c>
    </row>
    <row r="62" spans="1:50" x14ac:dyDescent="0.15">
      <c r="AP62" s="83">
        <f t="shared" si="19"/>
        <v>-73.162975099999997</v>
      </c>
      <c r="AQ62" s="84">
        <f t="shared" si="20"/>
        <v>-74.9947284</v>
      </c>
      <c r="AR62" s="84">
        <f t="shared" si="21"/>
        <v>-36.9923103</v>
      </c>
      <c r="AS62" s="84">
        <f t="shared" si="22"/>
        <v>-46.696715099999999</v>
      </c>
      <c r="AT62" s="84">
        <f t="shared" si="23"/>
        <v>-47.228043800000002</v>
      </c>
      <c r="AU62" s="84">
        <f t="shared" si="24"/>
        <v>-48.6679028</v>
      </c>
      <c r="AV62" s="85">
        <f t="shared" si="25"/>
        <v>-34.4931555</v>
      </c>
    </row>
    <row r="63" spans="1:50" x14ac:dyDescent="0.15">
      <c r="AP63" s="83">
        <f t="shared" si="19"/>
        <v>-73.8987908</v>
      </c>
      <c r="AQ63" s="84">
        <f t="shared" si="20"/>
        <v>-75.845554800000002</v>
      </c>
      <c r="AR63" s="84">
        <f t="shared" si="21"/>
        <v>-38.625537899999998</v>
      </c>
      <c r="AS63" s="84">
        <f t="shared" si="22"/>
        <v>-47.746934199999998</v>
      </c>
      <c r="AT63" s="84">
        <f t="shared" si="23"/>
        <v>-48.377638900000001</v>
      </c>
      <c r="AU63" s="84">
        <f t="shared" si="24"/>
        <v>-48.881113999999997</v>
      </c>
      <c r="AV63" s="85">
        <f t="shared" si="25"/>
        <v>-35.524349999999998</v>
      </c>
    </row>
    <row r="64" spans="1:50" x14ac:dyDescent="0.15">
      <c r="AP64" s="83">
        <f t="shared" si="19"/>
        <v>-69.877041899999995</v>
      </c>
      <c r="AQ64" s="84">
        <f t="shared" si="20"/>
        <v>-71.049014700000001</v>
      </c>
      <c r="AR64" s="84">
        <f t="shared" si="21"/>
        <v>-35.628656800000002</v>
      </c>
      <c r="AS64" s="84">
        <f t="shared" si="22"/>
        <v>-43.320914899999998</v>
      </c>
      <c r="AT64" s="84">
        <f t="shared" si="23"/>
        <v>-45.173822100000002</v>
      </c>
      <c r="AU64" s="84">
        <f t="shared" si="24"/>
        <v>-45.074284499999997</v>
      </c>
      <c r="AV64" s="85">
        <f t="shared" si="25"/>
        <v>-31.935662300000001</v>
      </c>
    </row>
    <row r="65" spans="42:48" x14ac:dyDescent="0.15">
      <c r="AP65" s="83">
        <f t="shared" si="19"/>
        <v>-70.981459299999997</v>
      </c>
      <c r="AQ65" s="84">
        <f t="shared" si="20"/>
        <v>-72.252073800000005</v>
      </c>
      <c r="AR65" s="84">
        <f t="shared" si="21"/>
        <v>-38.2665516</v>
      </c>
      <c r="AS65" s="84">
        <f t="shared" si="22"/>
        <v>-43.944050300000001</v>
      </c>
      <c r="AT65" s="84">
        <f t="shared" si="23"/>
        <v>-46.403133400000002</v>
      </c>
      <c r="AU65" s="84">
        <f t="shared" si="24"/>
        <v>-45.468331599999999</v>
      </c>
      <c r="AV65" s="85">
        <f t="shared" si="25"/>
        <v>-33.102793499999997</v>
      </c>
    </row>
    <row r="66" spans="42:48" x14ac:dyDescent="0.15">
      <c r="AP66" s="83">
        <f t="shared" si="19"/>
        <v>-75.837149199999999</v>
      </c>
      <c r="AQ66" s="84">
        <f t="shared" si="20"/>
        <v>-77.791347700000003</v>
      </c>
      <c r="AR66" s="84">
        <f t="shared" si="21"/>
        <v>-41.027267700000003</v>
      </c>
      <c r="AS66" s="84">
        <f t="shared" si="22"/>
        <v>-44.813473199999997</v>
      </c>
      <c r="AT66" s="84">
        <f t="shared" si="23"/>
        <v>-48.049542199999998</v>
      </c>
      <c r="AU66" s="84">
        <f t="shared" si="24"/>
        <v>-47.826787099999997</v>
      </c>
      <c r="AV66" s="85">
        <f t="shared" si="25"/>
        <v>-36.227999599999997</v>
      </c>
    </row>
    <row r="67" spans="42:48" x14ac:dyDescent="0.15">
      <c r="AP67" s="83">
        <f t="shared" si="19"/>
        <v>-78.180691699999997</v>
      </c>
      <c r="AQ67" s="84">
        <f t="shared" si="20"/>
        <v>-80.705348200000003</v>
      </c>
      <c r="AR67" s="84">
        <f t="shared" si="21"/>
        <v>-42.141786600000003</v>
      </c>
      <c r="AS67" s="84">
        <f t="shared" si="22"/>
        <v>-45.506698</v>
      </c>
      <c r="AT67" s="84">
        <f t="shared" si="23"/>
        <v>-49.194020500000001</v>
      </c>
      <c r="AU67" s="84">
        <f t="shared" si="24"/>
        <v>-49.450025500000002</v>
      </c>
      <c r="AV67" s="85">
        <f t="shared" si="25"/>
        <v>-37.949435200000003</v>
      </c>
    </row>
    <row r="68" spans="42:48" x14ac:dyDescent="0.15">
      <c r="AP68" s="83">
        <f t="shared" si="19"/>
        <v>-78.485943700000007</v>
      </c>
      <c r="AQ68" s="84">
        <f t="shared" si="20"/>
        <v>-81.108867900000007</v>
      </c>
      <c r="AR68" s="84">
        <f t="shared" si="21"/>
        <v>-43.160442699999997</v>
      </c>
      <c r="AS68" s="84">
        <f t="shared" si="22"/>
        <v>-46.455865899999999</v>
      </c>
      <c r="AT68" s="84">
        <f t="shared" si="23"/>
        <v>-50.479879799999999</v>
      </c>
      <c r="AU68" s="84">
        <f t="shared" si="24"/>
        <v>-49.554909000000002</v>
      </c>
      <c r="AV68" s="85">
        <f t="shared" si="25"/>
        <v>-38.397516199999998</v>
      </c>
    </row>
    <row r="69" spans="42:48" x14ac:dyDescent="0.15">
      <c r="AP69" s="83">
        <f t="shared" si="19"/>
        <v>-70.199355199999999</v>
      </c>
      <c r="AQ69" s="84">
        <f t="shared" si="20"/>
        <v>-71.416782900000001</v>
      </c>
      <c r="AR69" s="84">
        <f t="shared" si="21"/>
        <v>-34.560715899999998</v>
      </c>
      <c r="AS69" s="84">
        <f t="shared" si="22"/>
        <v>-42.748519299999998</v>
      </c>
      <c r="AT69" s="84">
        <f t="shared" si="23"/>
        <v>-44.140531799999998</v>
      </c>
      <c r="AU69" s="84">
        <f t="shared" si="24"/>
        <v>-46.074723400000003</v>
      </c>
      <c r="AV69" s="85">
        <f t="shared" si="25"/>
        <v>-31.063849099999999</v>
      </c>
    </row>
    <row r="70" spans="42:48" x14ac:dyDescent="0.15">
      <c r="AP70" s="83">
        <f t="shared" si="19"/>
        <v>-70.534672799999996</v>
      </c>
      <c r="AQ70" s="84">
        <f t="shared" si="20"/>
        <v>-71.7872409</v>
      </c>
      <c r="AR70" s="84">
        <f t="shared" si="21"/>
        <v>-37.177283299999999</v>
      </c>
      <c r="AS70" s="84">
        <f t="shared" si="22"/>
        <v>-43.953575499999999</v>
      </c>
      <c r="AT70" s="84">
        <f t="shared" si="23"/>
        <v>-46.013518099999999</v>
      </c>
      <c r="AU70" s="84">
        <f t="shared" si="24"/>
        <v>-46.206837800000002</v>
      </c>
      <c r="AV70" s="85">
        <f t="shared" si="25"/>
        <v>-32.045824600000003</v>
      </c>
    </row>
    <row r="71" spans="42:48" x14ac:dyDescent="0.15">
      <c r="AP71" s="83">
        <f t="shared" si="19"/>
        <v>-76.0852048</v>
      </c>
      <c r="AQ71" s="84">
        <f t="shared" si="20"/>
        <v>-78.156496500000003</v>
      </c>
      <c r="AR71" s="84">
        <f t="shared" si="21"/>
        <v>-40.266653300000002</v>
      </c>
      <c r="AS71" s="84">
        <f t="shared" si="22"/>
        <v>-45.206045699999997</v>
      </c>
      <c r="AT71" s="84">
        <f t="shared" si="23"/>
        <v>-48.096658099999999</v>
      </c>
      <c r="AU71" s="84">
        <f t="shared" si="24"/>
        <v>-48.8449375</v>
      </c>
      <c r="AV71" s="85">
        <f t="shared" si="25"/>
        <v>-35.654052200000002</v>
      </c>
    </row>
    <row r="72" spans="42:48" x14ac:dyDescent="0.15">
      <c r="AP72" s="83">
        <f t="shared" si="19"/>
        <v>-78.036747099999999</v>
      </c>
      <c r="AQ72" s="84">
        <f t="shared" si="20"/>
        <v>-80.624293699999996</v>
      </c>
      <c r="AR72" s="84">
        <f t="shared" si="21"/>
        <v>-41.417812300000001</v>
      </c>
      <c r="AS72" s="84">
        <f t="shared" si="22"/>
        <v>-45.7304472</v>
      </c>
      <c r="AT72" s="84">
        <f t="shared" si="23"/>
        <v>-48.836992199999997</v>
      </c>
      <c r="AU72" s="84">
        <f t="shared" si="24"/>
        <v>-50.454151500000002</v>
      </c>
      <c r="AV72" s="85">
        <f t="shared" si="25"/>
        <v>-37.282563000000003</v>
      </c>
    </row>
    <row r="73" spans="42:48" x14ac:dyDescent="0.15">
      <c r="AP73" s="83">
        <f t="shared" si="19"/>
        <v>-78.633628000000002</v>
      </c>
      <c r="AQ73" s="84">
        <f t="shared" si="20"/>
        <v>-81.446598399999999</v>
      </c>
      <c r="AR73" s="84">
        <f t="shared" si="21"/>
        <v>-42.397753999999999</v>
      </c>
      <c r="AS73" s="84">
        <f t="shared" si="22"/>
        <v>-46.802472100000003</v>
      </c>
      <c r="AT73" s="84">
        <f t="shared" si="23"/>
        <v>-50.196407399999998</v>
      </c>
      <c r="AU73" s="84">
        <f t="shared" si="24"/>
        <v>-50.628340899999998</v>
      </c>
      <c r="AV73" s="85">
        <f t="shared" si="25"/>
        <v>-37.882982699999999</v>
      </c>
    </row>
    <row r="74" spans="42:48" x14ac:dyDescent="0.15">
      <c r="AP74" s="83">
        <f t="shared" si="19"/>
        <v>-73.127954500000001</v>
      </c>
      <c r="AQ74" s="84">
        <f t="shared" si="20"/>
        <v>-74.816811900000005</v>
      </c>
      <c r="AR74" s="84">
        <f t="shared" si="21"/>
        <v>-31.0739026</v>
      </c>
      <c r="AS74" s="84">
        <f t="shared" si="22"/>
        <v>-39.9076497</v>
      </c>
      <c r="AT74" s="84">
        <f t="shared" si="23"/>
        <v>-36.592660799999997</v>
      </c>
      <c r="AU74" s="84">
        <f t="shared" si="24"/>
        <v>-44.942883199999997</v>
      </c>
      <c r="AV74" s="85">
        <f t="shared" si="25"/>
        <v>-27.8950608</v>
      </c>
    </row>
    <row r="75" spans="42:48" x14ac:dyDescent="0.15">
      <c r="AP75" s="83">
        <f t="shared" si="19"/>
        <v>-76.551110499999993</v>
      </c>
      <c r="AQ75" s="84">
        <f t="shared" si="20"/>
        <v>-78.7779101</v>
      </c>
      <c r="AR75" s="84">
        <f t="shared" si="21"/>
        <v>-33.417650999999999</v>
      </c>
      <c r="AS75" s="84">
        <f t="shared" si="22"/>
        <v>-41.835862900000002</v>
      </c>
      <c r="AT75" s="84">
        <f t="shared" si="23"/>
        <v>-39.439223499999997</v>
      </c>
      <c r="AU75" s="84">
        <f t="shared" si="24"/>
        <v>-46.657209199999997</v>
      </c>
      <c r="AV75" s="85">
        <f t="shared" si="25"/>
        <v>-30.657900099999999</v>
      </c>
    </row>
    <row r="76" spans="42:48" x14ac:dyDescent="0.15">
      <c r="AP76" s="83">
        <f t="shared" si="19"/>
        <v>-78.458758599999996</v>
      </c>
      <c r="AQ76" s="84">
        <f t="shared" si="20"/>
        <v>-81.111227200000002</v>
      </c>
      <c r="AR76" s="84">
        <f t="shared" si="21"/>
        <v>-34.489295200000001</v>
      </c>
      <c r="AS76" s="84">
        <f t="shared" si="22"/>
        <v>-43.208865500000002</v>
      </c>
      <c r="AT76" s="84">
        <f t="shared" si="23"/>
        <v>-41.251431199999999</v>
      </c>
      <c r="AU76" s="84">
        <f t="shared" si="24"/>
        <v>-48.079882900000001</v>
      </c>
      <c r="AV76" s="85">
        <f t="shared" si="25"/>
        <v>-32.034510300000001</v>
      </c>
    </row>
    <row r="77" spans="42:48" x14ac:dyDescent="0.15">
      <c r="AP77" s="83">
        <f t="shared" si="19"/>
        <v>-80.394051899999994</v>
      </c>
      <c r="AQ77" s="84">
        <f t="shared" si="20"/>
        <v>-83.716167999999996</v>
      </c>
      <c r="AR77" s="84">
        <f t="shared" si="21"/>
        <v>-35.322254200000003</v>
      </c>
      <c r="AS77" s="84">
        <f t="shared" si="22"/>
        <v>-43.564531899999999</v>
      </c>
      <c r="AT77" s="84">
        <f t="shared" si="23"/>
        <v>-41.753906800000003</v>
      </c>
      <c r="AU77" s="84">
        <f t="shared" si="24"/>
        <v>-49.693513600000003</v>
      </c>
      <c r="AV77" s="85">
        <f t="shared" si="25"/>
        <v>-33.297358799999998</v>
      </c>
    </row>
    <row r="78" spans="42:48" x14ac:dyDescent="0.15">
      <c r="AP78" s="83">
        <f t="shared" si="19"/>
        <v>-82.857129700000002</v>
      </c>
      <c r="AQ78" s="84">
        <f t="shared" si="20"/>
        <v>-87.339420399999995</v>
      </c>
      <c r="AR78" s="84">
        <f t="shared" si="21"/>
        <v>-36.045885499999997</v>
      </c>
      <c r="AS78" s="84">
        <f t="shared" si="22"/>
        <v>-44.189462200000001</v>
      </c>
      <c r="AT78" s="84">
        <f t="shared" si="23"/>
        <v>-42.577818899999997</v>
      </c>
      <c r="AU78" s="84">
        <f t="shared" si="24"/>
        <v>-52.077140399999998</v>
      </c>
      <c r="AV78" s="85">
        <f t="shared" si="25"/>
        <v>-34.718271999999999</v>
      </c>
    </row>
    <row r="79" spans="42:48" x14ac:dyDescent="0.15">
      <c r="AP79" s="83">
        <f t="shared" si="19"/>
        <v>-72.890079600000007</v>
      </c>
      <c r="AQ79" s="84">
        <f t="shared" si="20"/>
        <v>-74.509226699999999</v>
      </c>
      <c r="AR79" s="84">
        <f t="shared" si="21"/>
        <v>-37.526749899999999</v>
      </c>
      <c r="AS79" s="84">
        <f t="shared" si="22"/>
        <v>-44.038511900000003</v>
      </c>
      <c r="AT79" s="84">
        <f t="shared" si="23"/>
        <v>-42.624844400000001</v>
      </c>
      <c r="AU79" s="84">
        <f t="shared" si="24"/>
        <v>-47.870873199999998</v>
      </c>
      <c r="AV79" s="85">
        <f t="shared" si="25"/>
        <v>-34.1575524</v>
      </c>
    </row>
    <row r="80" spans="42:48" x14ac:dyDescent="0.15">
      <c r="AP80" s="83">
        <f t="shared" si="19"/>
        <v>-74.907746799999998</v>
      </c>
      <c r="AQ80" s="84">
        <f t="shared" si="20"/>
        <v>-76.760774299999994</v>
      </c>
      <c r="AR80" s="84">
        <f t="shared" si="21"/>
        <v>-39.910133500000001</v>
      </c>
      <c r="AS80" s="84">
        <f t="shared" si="22"/>
        <v>-45.727288600000001</v>
      </c>
      <c r="AT80" s="84">
        <f t="shared" si="23"/>
        <v>-44.564888799999999</v>
      </c>
      <c r="AU80" s="84">
        <f t="shared" si="24"/>
        <v>-48.885544699999997</v>
      </c>
      <c r="AV80" s="85">
        <f t="shared" si="25"/>
        <v>-35.796839300000002</v>
      </c>
    </row>
    <row r="81" spans="42:48" x14ac:dyDescent="0.15">
      <c r="AP81" s="83">
        <f t="shared" si="19"/>
        <v>-78.098180299999996</v>
      </c>
      <c r="AQ81" s="84">
        <f t="shared" si="20"/>
        <v>-80.685111599999999</v>
      </c>
      <c r="AR81" s="84">
        <f t="shared" si="21"/>
        <v>-41.279904000000002</v>
      </c>
      <c r="AS81" s="84">
        <f t="shared" si="22"/>
        <v>-46.468412999999998</v>
      </c>
      <c r="AT81" s="84">
        <f t="shared" si="23"/>
        <v>-45.4311711</v>
      </c>
      <c r="AU81" s="84">
        <f t="shared" si="24"/>
        <v>-51.0762413</v>
      </c>
      <c r="AV81" s="85">
        <f t="shared" si="25"/>
        <v>-37.706585599999997</v>
      </c>
    </row>
    <row r="82" spans="42:48" x14ac:dyDescent="0.15">
      <c r="AP82" s="83">
        <f t="shared" si="19"/>
        <v>-79.118499900000003</v>
      </c>
      <c r="AQ82" s="84">
        <f t="shared" si="20"/>
        <v>-82.081644999999995</v>
      </c>
      <c r="AR82" s="84">
        <f t="shared" si="21"/>
        <v>-42.179608700000003</v>
      </c>
      <c r="AS82" s="84">
        <f t="shared" si="22"/>
        <v>-47.610814300000001</v>
      </c>
      <c r="AT82" s="84">
        <f t="shared" si="23"/>
        <v>-46.7735561</v>
      </c>
      <c r="AU82" s="84">
        <f t="shared" si="24"/>
        <v>-51.605387399999998</v>
      </c>
      <c r="AV82" s="85">
        <f t="shared" si="25"/>
        <v>-38.706256600000003</v>
      </c>
    </row>
    <row r="83" spans="42:48" x14ac:dyDescent="0.15">
      <c r="AP83" s="83">
        <f t="shared" si="19"/>
        <v>-81.988491400000001</v>
      </c>
      <c r="AQ83" s="84">
        <f t="shared" si="20"/>
        <v>-86.150969900000007</v>
      </c>
      <c r="AR83" s="84">
        <f t="shared" si="21"/>
        <v>-43.2185457</v>
      </c>
      <c r="AS83" s="84">
        <f t="shared" si="22"/>
        <v>-48.354152900000003</v>
      </c>
      <c r="AT83" s="84">
        <f t="shared" si="23"/>
        <v>-47.604358099999999</v>
      </c>
      <c r="AU83" s="84">
        <f t="shared" si="24"/>
        <v>-53.813003799999997</v>
      </c>
      <c r="AV83" s="85">
        <f t="shared" si="25"/>
        <v>-40.7528322</v>
      </c>
    </row>
    <row r="84" spans="42:48" x14ac:dyDescent="0.15">
      <c r="AP84" s="83">
        <f t="shared" si="19"/>
        <v>-69.102167800000004</v>
      </c>
      <c r="AQ84" s="84">
        <f t="shared" si="20"/>
        <v>-70.223694499999993</v>
      </c>
      <c r="AR84" s="84">
        <f t="shared" si="21"/>
        <v>-29.619269299999999</v>
      </c>
      <c r="AS84" s="84">
        <f t="shared" si="22"/>
        <v>-38.769930199999997</v>
      </c>
      <c r="AT84" s="84">
        <f t="shared" si="23"/>
        <v>-38.435540400000001</v>
      </c>
      <c r="AU84" s="84">
        <f t="shared" si="24"/>
        <v>-45.884188700000003</v>
      </c>
      <c r="AV84" s="85">
        <f t="shared" si="25"/>
        <v>-28.091312500000001</v>
      </c>
    </row>
    <row r="85" spans="42:48" x14ac:dyDescent="0.15">
      <c r="AP85" s="83">
        <f t="shared" si="19"/>
        <v>-72.5037497</v>
      </c>
      <c r="AQ85" s="84">
        <f t="shared" si="20"/>
        <v>-74.119615300000007</v>
      </c>
      <c r="AR85" s="84">
        <f t="shared" si="21"/>
        <v>-30.326992499999999</v>
      </c>
      <c r="AS85" s="84">
        <f t="shared" si="22"/>
        <v>-38.945116300000002</v>
      </c>
      <c r="AT85" s="84">
        <f t="shared" si="23"/>
        <v>-38.719352999999998</v>
      </c>
      <c r="AU85" s="84">
        <f t="shared" si="24"/>
        <v>-47.929400700000002</v>
      </c>
      <c r="AV85" s="85">
        <f t="shared" si="25"/>
        <v>-28.752138899999999</v>
      </c>
    </row>
    <row r="86" spans="42:48" x14ac:dyDescent="0.15">
      <c r="AP86" s="83">
        <f t="shared" si="19"/>
        <v>-74.206236200000006</v>
      </c>
      <c r="AQ86" s="84">
        <f t="shared" si="20"/>
        <v>-76.017016999999996</v>
      </c>
      <c r="AR86" s="84">
        <f t="shared" si="21"/>
        <v>-31.231794099999998</v>
      </c>
      <c r="AS86" s="84">
        <f t="shared" si="22"/>
        <v>-39.175487500000003</v>
      </c>
      <c r="AT86" s="84">
        <f t="shared" si="23"/>
        <v>-39.301818599999997</v>
      </c>
      <c r="AU86" s="84">
        <f t="shared" si="24"/>
        <v>-49.023923199999999</v>
      </c>
      <c r="AV86" s="85">
        <f t="shared" si="25"/>
        <v>-30.089499700000001</v>
      </c>
    </row>
    <row r="87" spans="42:48" x14ac:dyDescent="0.15">
      <c r="AP87" s="83">
        <f t="shared" si="19"/>
        <v>-75.827805299999994</v>
      </c>
      <c r="AQ87" s="84">
        <f t="shared" si="20"/>
        <v>-77.895092099999999</v>
      </c>
      <c r="AR87" s="84">
        <f t="shared" si="21"/>
        <v>-31.8950098</v>
      </c>
      <c r="AS87" s="84">
        <f t="shared" si="22"/>
        <v>-39.247194800000003</v>
      </c>
      <c r="AT87" s="84">
        <f t="shared" si="23"/>
        <v>-39.427404500000002</v>
      </c>
      <c r="AU87" s="84">
        <f t="shared" si="24"/>
        <v>-49.933865699999998</v>
      </c>
      <c r="AV87" s="85">
        <f t="shared" si="25"/>
        <v>-30.7643734</v>
      </c>
    </row>
    <row r="88" spans="42:48" x14ac:dyDescent="0.15">
      <c r="AP88" s="83">
        <f t="shared" si="19"/>
        <v>-78.267413300000001</v>
      </c>
      <c r="AQ88" s="84">
        <f t="shared" si="20"/>
        <v>-80.798130200000003</v>
      </c>
      <c r="AR88" s="84">
        <f t="shared" si="21"/>
        <v>-32.745553200000003</v>
      </c>
      <c r="AS88" s="84">
        <f t="shared" si="22"/>
        <v>-39.329186399999998</v>
      </c>
      <c r="AT88" s="84">
        <f t="shared" si="23"/>
        <v>-39.583173199999997</v>
      </c>
      <c r="AU88" s="84">
        <f t="shared" si="24"/>
        <v>-51.4289804</v>
      </c>
      <c r="AV88" s="85">
        <f t="shared" si="25"/>
        <v>-31.692030299999999</v>
      </c>
    </row>
    <row r="89" spans="42:48" x14ac:dyDescent="0.15">
      <c r="AP89" s="83">
        <f t="shared" si="19"/>
        <v>-69.932977199999996</v>
      </c>
      <c r="AQ89" s="84">
        <f t="shared" si="20"/>
        <v>-70.964252700000003</v>
      </c>
      <c r="AR89" s="84">
        <f t="shared" si="21"/>
        <v>-32.479345000000002</v>
      </c>
      <c r="AS89" s="84">
        <f t="shared" si="22"/>
        <v>-42.2800747</v>
      </c>
      <c r="AT89" s="84">
        <f t="shared" si="23"/>
        <v>-42.522995799999997</v>
      </c>
      <c r="AU89" s="84">
        <f t="shared" si="24"/>
        <v>-46.293039700000001</v>
      </c>
      <c r="AV89" s="85">
        <f t="shared" si="25"/>
        <v>-31.278874900000002</v>
      </c>
    </row>
    <row r="90" spans="42:48" x14ac:dyDescent="0.15">
      <c r="AP90" s="83">
        <f t="shared" si="19"/>
        <v>-70.101096200000001</v>
      </c>
      <c r="AQ90" s="84">
        <f t="shared" si="20"/>
        <v>-71.143005500000001</v>
      </c>
      <c r="AR90" s="84">
        <f t="shared" si="21"/>
        <v>-33.080492800000002</v>
      </c>
      <c r="AS90" s="84">
        <f t="shared" si="22"/>
        <v>-42.528509800000002</v>
      </c>
      <c r="AT90" s="84">
        <f t="shared" si="23"/>
        <v>-42.8216708</v>
      </c>
      <c r="AU90" s="84">
        <f t="shared" si="24"/>
        <v>-46.353538899999997</v>
      </c>
      <c r="AV90" s="85">
        <f t="shared" si="25"/>
        <v>-31.564219999999999</v>
      </c>
    </row>
    <row r="91" spans="42:48" x14ac:dyDescent="0.15">
      <c r="AP91" s="83">
        <f t="shared" si="19"/>
        <v>-75.491839100000007</v>
      </c>
      <c r="AQ91" s="84">
        <f t="shared" si="20"/>
        <v>-77.209656899999999</v>
      </c>
      <c r="AR91" s="84">
        <f t="shared" si="21"/>
        <v>-34.151955200000003</v>
      </c>
      <c r="AS91" s="84">
        <f t="shared" si="22"/>
        <v>-42.869021500000002</v>
      </c>
      <c r="AT91" s="84">
        <f t="shared" si="23"/>
        <v>-43.345553700000004</v>
      </c>
      <c r="AU91" s="84">
        <f t="shared" si="24"/>
        <v>-50.016997799999999</v>
      </c>
      <c r="AV91" s="85">
        <f t="shared" si="25"/>
        <v>-33.215784499999998</v>
      </c>
    </row>
    <row r="92" spans="42:48" x14ac:dyDescent="0.15">
      <c r="AP92" s="83">
        <f t="shared" si="19"/>
        <v>-76.370076299999994</v>
      </c>
      <c r="AQ92" s="84">
        <f t="shared" si="20"/>
        <v>-78.225968300000005</v>
      </c>
      <c r="AR92" s="84">
        <f t="shared" si="21"/>
        <v>-34.804715600000002</v>
      </c>
      <c r="AS92" s="84">
        <f t="shared" si="22"/>
        <v>-42.996710299999997</v>
      </c>
      <c r="AT92" s="84">
        <f t="shared" si="23"/>
        <v>-43.533356300000001</v>
      </c>
      <c r="AU92" s="84">
        <f t="shared" si="24"/>
        <v>-50.4565974</v>
      </c>
      <c r="AV92" s="85">
        <f t="shared" si="25"/>
        <v>-33.768352</v>
      </c>
    </row>
    <row r="93" spans="42:48" ht="15.75" customHeight="1" thickBot="1" x14ac:dyDescent="0.2">
      <c r="AP93" s="86">
        <f t="shared" si="19"/>
        <v>-78.853713200000001</v>
      </c>
      <c r="AQ93" s="87">
        <f t="shared" si="20"/>
        <v>-81.240891899999994</v>
      </c>
      <c r="AR93" s="87">
        <f t="shared" si="21"/>
        <v>-35.672755799999997</v>
      </c>
      <c r="AS93" s="87">
        <f t="shared" si="22"/>
        <v>-43.1258409</v>
      </c>
      <c r="AT93" s="87">
        <f t="shared" si="23"/>
        <v>-43.729294299999999</v>
      </c>
      <c r="AU93" s="87">
        <f t="shared" si="24"/>
        <v>-52.035513600000002</v>
      </c>
      <c r="AV93" s="88">
        <f t="shared" si="25"/>
        <v>-34.781337499999999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P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tabSelected="1" zoomScale="55" zoomScaleNormal="55" workbookViewId="0">
      <pane xSplit="2" ySplit="4" topLeftCell="Y5" activePane="bottomRight" state="frozen"/>
      <selection pane="topRight" activeCell="C1" sqref="C1"/>
      <selection pane="bottomLeft" activeCell="A5" sqref="A5"/>
      <selection pane="bottomRight" activeCell="AG5" sqref="AG5:AX44"/>
    </sheetView>
  </sheetViews>
  <sheetFormatPr defaultColWidth="9.125" defaultRowHeight="13.5" outlineLevelRow="1" x14ac:dyDescent="0.15"/>
  <cols>
    <col min="2" max="2" width="24.75" style="98" customWidth="1"/>
    <col min="4" max="5" width="10.75" style="98" customWidth="1"/>
    <col min="9" max="9" width="1.75" style="98" customWidth="1"/>
    <col min="11" max="11" width="10.75" style="98" customWidth="1"/>
    <col min="12" max="13" width="12.5" style="98" customWidth="1"/>
    <col min="14" max="14" width="10.75" style="98" customWidth="1"/>
    <col min="15" max="20" width="12.75" style="98" customWidth="1"/>
    <col min="21" max="27" width="11.75" style="98" customWidth="1"/>
    <col min="30" max="30" width="1.75" style="98" customWidth="1"/>
    <col min="32" max="32" width="10.75" style="98" customWidth="1"/>
    <col min="33" max="34" width="12.5" style="98" customWidth="1"/>
    <col min="35" max="35" width="10.75" style="98" customWidth="1"/>
    <col min="36" max="41" width="12.75" style="98" customWidth="1"/>
    <col min="42" max="48" width="11.75" style="98" customWidth="1"/>
    <col min="51" max="51" width="1.75" style="98" customWidth="1"/>
    <col min="54" max="58" width="11.75" style="98" customWidth="1"/>
    <col min="59" max="59" width="1.75" style="98" customWidth="1"/>
    <col min="62" max="66" width="11.75" style="98" customWidth="1"/>
    <col min="67" max="67" width="1.75" style="98" customWidth="1"/>
  </cols>
  <sheetData>
    <row r="1" spans="1:72" x14ac:dyDescent="0.15">
      <c r="A1" s="117" t="s">
        <v>430</v>
      </c>
      <c r="B1" s="107"/>
      <c r="C1" s="107"/>
      <c r="D1" s="107"/>
      <c r="E1" s="107"/>
      <c r="F1" s="107"/>
      <c r="G1" s="107"/>
      <c r="H1" s="107"/>
      <c r="J1" s="106" t="str">
        <f>Summary!C1</f>
        <v>F300_anchor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08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8" t="s">
        <v>162</v>
      </c>
      <c r="B2" s="119" t="s">
        <v>163</v>
      </c>
      <c r="C2" s="118" t="s">
        <v>381</v>
      </c>
      <c r="D2" s="119" t="s">
        <v>164</v>
      </c>
      <c r="E2" s="118" t="s">
        <v>165</v>
      </c>
      <c r="F2" s="119" t="s">
        <v>166</v>
      </c>
      <c r="G2" s="118" t="s">
        <v>167</v>
      </c>
      <c r="H2" s="119" t="s">
        <v>382</v>
      </c>
      <c r="J2" s="118" t="s">
        <v>130</v>
      </c>
      <c r="K2" s="119" t="s">
        <v>134</v>
      </c>
      <c r="L2" s="120" t="s">
        <v>123</v>
      </c>
      <c r="M2" s="119" t="s">
        <v>383</v>
      </c>
      <c r="N2" s="118" t="s">
        <v>84</v>
      </c>
      <c r="O2" s="119" t="s">
        <v>123</v>
      </c>
      <c r="P2" s="119" t="s">
        <v>384</v>
      </c>
      <c r="Q2" s="119" t="s">
        <v>385</v>
      </c>
      <c r="R2" s="119" t="s">
        <v>386</v>
      </c>
      <c r="S2" s="119" t="s">
        <v>387</v>
      </c>
      <c r="T2" s="119" t="s">
        <v>388</v>
      </c>
      <c r="U2" s="121" t="s">
        <v>389</v>
      </c>
      <c r="V2" s="107"/>
      <c r="W2" s="107"/>
      <c r="X2" s="107"/>
      <c r="Y2" s="107"/>
      <c r="Z2" s="122" t="s">
        <v>390</v>
      </c>
      <c r="AA2" s="107"/>
      <c r="AB2" s="118" t="s">
        <v>125</v>
      </c>
      <c r="AC2" s="119" t="s">
        <v>105</v>
      </c>
      <c r="AE2" s="118" t="s">
        <v>130</v>
      </c>
      <c r="AF2" s="119" t="s">
        <v>134</v>
      </c>
      <c r="AG2" s="120" t="s">
        <v>123</v>
      </c>
      <c r="AH2" s="119" t="s">
        <v>383</v>
      </c>
      <c r="AI2" s="118" t="s">
        <v>84</v>
      </c>
      <c r="AJ2" s="119" t="s">
        <v>123</v>
      </c>
      <c r="AK2" s="119" t="s">
        <v>384</v>
      </c>
      <c r="AL2" s="119" t="s">
        <v>385</v>
      </c>
      <c r="AM2" s="119" t="s">
        <v>386</v>
      </c>
      <c r="AN2" s="119" t="s">
        <v>387</v>
      </c>
      <c r="AO2" s="119" t="s">
        <v>388</v>
      </c>
      <c r="AP2" s="121" t="s">
        <v>389</v>
      </c>
      <c r="AQ2" s="107"/>
      <c r="AR2" s="107"/>
      <c r="AS2" s="107"/>
      <c r="AT2" s="107"/>
      <c r="AU2" s="122" t="s">
        <v>390</v>
      </c>
      <c r="AV2" s="107"/>
      <c r="AW2" s="118" t="s">
        <v>125</v>
      </c>
      <c r="AX2" s="119" t="s">
        <v>105</v>
      </c>
      <c r="AZ2" s="121" t="s">
        <v>16</v>
      </c>
      <c r="BA2" s="107"/>
      <c r="BB2" s="107"/>
      <c r="BC2" s="107"/>
      <c r="BD2" s="107"/>
      <c r="BE2" s="122" t="s">
        <v>17</v>
      </c>
      <c r="BF2" s="107"/>
      <c r="BH2" s="121" t="s">
        <v>391</v>
      </c>
      <c r="BI2" s="107"/>
      <c r="BJ2" s="123" t="s">
        <v>392</v>
      </c>
      <c r="BK2" s="107"/>
      <c r="BL2" s="107"/>
      <c r="BM2" s="118" t="s">
        <v>431</v>
      </c>
      <c r="BN2" s="119" t="s">
        <v>394</v>
      </c>
      <c r="BP2" s="118" t="s">
        <v>395</v>
      </c>
      <c r="BQ2" s="118" t="s">
        <v>396</v>
      </c>
      <c r="BR2" s="118" t="s">
        <v>397</v>
      </c>
      <c r="BS2" s="118" t="s">
        <v>398</v>
      </c>
      <c r="BT2" s="118" t="s">
        <v>399</v>
      </c>
    </row>
    <row r="3" spans="1:72" ht="33" customHeight="1" thickBot="1" x14ac:dyDescent="0.2">
      <c r="A3" s="110"/>
      <c r="B3" s="110"/>
      <c r="C3" s="110"/>
      <c r="D3" s="110"/>
      <c r="E3" s="110"/>
      <c r="F3" s="110"/>
      <c r="G3" s="110"/>
      <c r="H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04" t="s">
        <v>18</v>
      </c>
      <c r="V3" s="104" t="s">
        <v>19</v>
      </c>
      <c r="W3" s="104" t="s">
        <v>20</v>
      </c>
      <c r="X3" s="104" t="s">
        <v>21</v>
      </c>
      <c r="Y3" s="104" t="s">
        <v>22</v>
      </c>
      <c r="Z3" s="103" t="s">
        <v>23</v>
      </c>
      <c r="AA3" s="103" t="s">
        <v>20</v>
      </c>
      <c r="AB3" s="110"/>
      <c r="AC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04" t="s">
        <v>18</v>
      </c>
      <c r="AQ3" s="104" t="s">
        <v>19</v>
      </c>
      <c r="AR3" s="104" t="s">
        <v>20</v>
      </c>
      <c r="AS3" s="104" t="s">
        <v>21</v>
      </c>
      <c r="AT3" s="104" t="s">
        <v>22</v>
      </c>
      <c r="AU3" s="103" t="s">
        <v>23</v>
      </c>
      <c r="AV3" s="103" t="s">
        <v>20</v>
      </c>
      <c r="AW3" s="110"/>
      <c r="AX3" s="110"/>
      <c r="AZ3" s="104" t="s">
        <v>18</v>
      </c>
      <c r="BA3" s="104" t="s">
        <v>19</v>
      </c>
      <c r="BB3" s="104" t="s">
        <v>20</v>
      </c>
      <c r="BC3" s="104" t="s">
        <v>21</v>
      </c>
      <c r="BD3" s="104" t="s">
        <v>22</v>
      </c>
      <c r="BE3" s="103" t="s">
        <v>23</v>
      </c>
      <c r="BF3" s="103" t="s">
        <v>20</v>
      </c>
      <c r="BH3" s="104" t="s">
        <v>18</v>
      </c>
      <c r="BI3" s="104" t="s">
        <v>19</v>
      </c>
      <c r="BJ3" s="54" t="s">
        <v>20</v>
      </c>
      <c r="BK3" s="54" t="s">
        <v>21</v>
      </c>
      <c r="BL3" s="54" t="s">
        <v>22</v>
      </c>
      <c r="BM3" s="110"/>
      <c r="BN3" s="110"/>
      <c r="BP3" s="110"/>
      <c r="BQ3" s="110"/>
      <c r="BR3" s="110"/>
      <c r="BS3" s="110"/>
      <c r="BT3" s="110"/>
    </row>
    <row r="4" spans="1:72" ht="54" hidden="1" customHeight="1" thickBot="1" x14ac:dyDescent="0.2">
      <c r="A4" s="8" t="s">
        <v>172</v>
      </c>
      <c r="B4" s="9" t="s">
        <v>173</v>
      </c>
      <c r="C4" s="8" t="s">
        <v>400</v>
      </c>
      <c r="D4" s="9" t="s">
        <v>174</v>
      </c>
      <c r="E4" s="8" t="s">
        <v>175</v>
      </c>
      <c r="F4" s="9" t="s">
        <v>176</v>
      </c>
      <c r="G4" s="8" t="s">
        <v>177</v>
      </c>
      <c r="H4" s="9" t="s">
        <v>401</v>
      </c>
      <c r="J4" s="8" t="s">
        <v>178</v>
      </c>
      <c r="K4" s="9" t="s">
        <v>179</v>
      </c>
      <c r="L4" s="9"/>
      <c r="M4" s="9"/>
      <c r="N4" s="8" t="s">
        <v>402</v>
      </c>
      <c r="O4" s="9" t="s">
        <v>180</v>
      </c>
      <c r="P4" s="9"/>
      <c r="Q4" s="9"/>
      <c r="R4" s="9"/>
      <c r="S4" s="9"/>
      <c r="T4" s="9"/>
      <c r="U4" s="8" t="s">
        <v>403</v>
      </c>
      <c r="V4" s="8" t="s">
        <v>404</v>
      </c>
      <c r="W4" s="8" t="s">
        <v>405</v>
      </c>
      <c r="X4" s="8" t="s">
        <v>406</v>
      </c>
      <c r="Y4" s="8" t="s">
        <v>407</v>
      </c>
      <c r="Z4" s="9" t="s">
        <v>408</v>
      </c>
      <c r="AA4" s="9" t="s">
        <v>409</v>
      </c>
      <c r="AB4" s="8" t="s">
        <v>181</v>
      </c>
      <c r="AC4" s="9" t="s">
        <v>182</v>
      </c>
      <c r="AE4" s="8" t="s">
        <v>183</v>
      </c>
      <c r="AF4" s="9" t="s">
        <v>184</v>
      </c>
      <c r="AG4" s="9"/>
      <c r="AH4" s="9"/>
      <c r="AI4" s="8" t="s">
        <v>410</v>
      </c>
      <c r="AJ4" s="9" t="s">
        <v>185</v>
      </c>
      <c r="AK4" s="9"/>
      <c r="AL4" s="9"/>
      <c r="AM4" s="9"/>
      <c r="AN4" s="9"/>
      <c r="AO4" s="9"/>
      <c r="AP4" s="8" t="s">
        <v>411</v>
      </c>
      <c r="AQ4" s="8" t="s">
        <v>412</v>
      </c>
      <c r="AR4" s="8" t="s">
        <v>413</v>
      </c>
      <c r="AS4" s="8" t="s">
        <v>414</v>
      </c>
      <c r="AT4" s="8" t="s">
        <v>415</v>
      </c>
      <c r="AU4" s="9" t="s">
        <v>416</v>
      </c>
      <c r="AV4" s="9" t="s">
        <v>417</v>
      </c>
      <c r="AW4" s="8" t="s">
        <v>186</v>
      </c>
      <c r="AX4" s="9" t="s">
        <v>187</v>
      </c>
      <c r="AZ4" s="8" t="s">
        <v>418</v>
      </c>
      <c r="BA4" s="8" t="s">
        <v>419</v>
      </c>
      <c r="BB4" s="8" t="s">
        <v>420</v>
      </c>
      <c r="BC4" s="8" t="s">
        <v>421</v>
      </c>
      <c r="BD4" s="8" t="s">
        <v>422</v>
      </c>
      <c r="BE4" s="9" t="s">
        <v>423</v>
      </c>
      <c r="BF4" s="9" t="s">
        <v>424</v>
      </c>
      <c r="BH4" s="8" t="s">
        <v>418</v>
      </c>
      <c r="BI4" s="8" t="s">
        <v>419</v>
      </c>
      <c r="BJ4" s="8" t="s">
        <v>420</v>
      </c>
      <c r="BK4" s="8" t="s">
        <v>421</v>
      </c>
      <c r="BL4" s="8" t="s">
        <v>422</v>
      </c>
      <c r="BM4" s="9" t="s">
        <v>423</v>
      </c>
      <c r="BN4" s="9" t="s">
        <v>424</v>
      </c>
    </row>
    <row r="5" spans="1:72" ht="15" customHeight="1" x14ac:dyDescent="0.15">
      <c r="A5" s="10" t="s">
        <v>189</v>
      </c>
      <c r="B5" s="10" t="s">
        <v>33</v>
      </c>
      <c r="C5" s="12" t="s">
        <v>425</v>
      </c>
      <c r="D5" s="10">
        <v>11997440</v>
      </c>
      <c r="E5" s="11">
        <v>10</v>
      </c>
      <c r="F5" s="12">
        <v>300</v>
      </c>
      <c r="G5" s="12">
        <v>30</v>
      </c>
      <c r="H5" s="12">
        <v>4</v>
      </c>
      <c r="J5" s="13">
        <f t="shared" ref="J5:J44" si="0">IF(OR(ISBLANK(O5),ISBLANK(G5)),"·",O5*G5/F5/1000000)</f>
        <v>4.1907936000000001</v>
      </c>
      <c r="K5" s="14">
        <f t="shared" ref="K5:K44" si="1">IF(ISBLANK(O5),"·",O5/D5)</f>
        <v>3.4930731889469753</v>
      </c>
      <c r="L5" s="12">
        <f t="shared" ref="L5:L44" si="2">IF(OR(ISBLANK(M5),ISBLANK(S5),ISBLANK(T5)),".",M5+S5+T5)</f>
        <v>41907936</v>
      </c>
      <c r="M5" s="12">
        <f t="shared" ref="M5:M44" si="3">IF(OR(ISBLANK(Q5),ISBLANK(P5),ISBLANK(R5)),".",P5+Q5+R5)</f>
        <v>13822080</v>
      </c>
      <c r="N5" s="37">
        <v>5681424</v>
      </c>
      <c r="O5" s="15">
        <v>41907936</v>
      </c>
      <c r="P5" s="15">
        <v>8310720</v>
      </c>
      <c r="Q5" s="15">
        <v>0</v>
      </c>
      <c r="R5" s="15">
        <v>5511360</v>
      </c>
      <c r="S5" s="15">
        <v>28044248</v>
      </c>
      <c r="T5" s="15">
        <v>41608</v>
      </c>
      <c r="U5" s="38">
        <v>66.859035899999995</v>
      </c>
      <c r="V5" s="38">
        <v>67.692203399999997</v>
      </c>
      <c r="W5" s="38">
        <v>27.822080700000001</v>
      </c>
      <c r="X5" s="38">
        <v>33.483128800000003</v>
      </c>
      <c r="Y5" s="38">
        <v>32.863452899999999</v>
      </c>
      <c r="Z5" s="38">
        <v>47.125759600000002</v>
      </c>
      <c r="AA5" s="38">
        <v>26.3747528</v>
      </c>
      <c r="AB5" s="16">
        <v>5689.6953549999998</v>
      </c>
      <c r="AC5" s="16">
        <v>42.127715000000002</v>
      </c>
      <c r="AE5" s="13" t="str">
        <f t="shared" ref="AE5:AE44" si="4">IF(OR(ISBLANK(AJ5),ISBLANK(G5)),"·",AJ5*G5/F5/1000000)</f>
        <v>·</v>
      </c>
      <c r="AF5" s="14" t="str">
        <f t="shared" ref="AF5:AF44" si="5">IF(ISBLANK(AJ5),"·",AJ5/D5)</f>
        <v>·</v>
      </c>
      <c r="AG5" s="12"/>
      <c r="AH5" s="12"/>
      <c r="AI5" s="37"/>
      <c r="AJ5" s="15"/>
      <c r="AK5" s="15"/>
      <c r="AL5" s="15"/>
      <c r="AM5" s="15"/>
      <c r="AN5" s="15"/>
      <c r="AO5" s="15"/>
      <c r="AP5" s="38"/>
      <c r="AQ5" s="38"/>
      <c r="AR5" s="38"/>
      <c r="AS5" s="38"/>
      <c r="AT5" s="38"/>
      <c r="AU5" s="38"/>
      <c r="AV5" s="38"/>
      <c r="AW5" s="16"/>
      <c r="AX5" s="16"/>
      <c r="AZ5" s="17" t="str">
        <f t="array" ref="AZ5">IF( OR(AND(ISBLANK(L5:L9)),AND(ISBLANK(AG5:AG9)), AND(ISBLANK(U5:U9)),AND(ISBLANK(AP5:AP9))), "·", bdRateExtend( L5:L9,U5:U9, AG5:AG9,AP5:AP9))</f>
        <v>·</v>
      </c>
      <c r="BA5" s="17" t="str">
        <f t="array" ref="BA5">IF( OR(AND(ISBLANK(L5:L9)),AND(ISBLANK(AG5:AG9)), AND(ISBLANK(V5:V9)),AND(ISBLANK(AQ5:AQ9))), "·", bdRateExtend( L5:L9,V5:V9, AG5:AG9,AQ5:AQ9))</f>
        <v>·</v>
      </c>
      <c r="BB5" s="17" t="str">
        <f t="array" ref="BB5">IF( OR(AND(ISBLANK(L5:L9)),AND(ISBLANK(AG5:AG9)), AND(ISBLANK(W5:W9)),AND(ISBLANK(AR5:AR9))), "·", bdRateExtend( L5:L9,W5:W9, AG5:AG9,AR5:AR9))</f>
        <v>·</v>
      </c>
      <c r="BC5" s="17" t="str">
        <f t="array" ref="BC5">IF( OR(AND(ISBLANK(L5:L9)),AND(ISBLANK(AG5:AG9)), AND(ISBLANK(X5:X9)),AND(ISBLANK(AS5:AS9))), "·", bdRateExtend( L5:L9,X5:X9, AG5:AG9,AS5:AS9))</f>
        <v>·</v>
      </c>
      <c r="BD5" s="17" t="str">
        <f t="array" ref="BD5">IF( OR(AND(ISBLANK(L5:L9)),AND(ISBLANK(AG5:AG9)), AND(ISBLANK(Y5:Y9)),AND(ISBLANK(AT5:AT9))), "·", bdRateExtend( L5:L9,Y5:Y9, AG5:AG9,AT5:AT9))</f>
        <v>·</v>
      </c>
      <c r="BE5" s="17" t="str">
        <f t="array" ref="BE5">IF( OR(AND(ISBLANK(L5:L9)),AND(ISBLANK(AG5:AG9)), AND(ISBLANK(Z5:Z9)),AND(ISBLANK(AU5:AU9))), "·", bdRateExtend( L5:L9,Z5:Z9, AG5:AG9,AU5:AU9))</f>
        <v>·</v>
      </c>
      <c r="BF5" s="17" t="str">
        <f t="array" ref="BF5">IF( OR(AND(ISBLANK(L5:L9)),AND(ISBLANK(AG5:AG9)), AND(ISBLANK(AA5:AA9)),AND(ISBLANK(AV5:AV9))), "·", bdRateExtend( L5:L9,AA5:AA9, AG5:AG9,AV5:AV9))</f>
        <v>·</v>
      </c>
      <c r="BH5" s="17" t="str">
        <f t="array" ref="BH5">IF( OR(AND(ISBLANK(M5:M9)),AND(ISBLANK(AH5:AH9)), AND(ISBLANK(U5:U9)),AND(ISBLANK(AP5:AP9))), "·", bdRateExtend( M5:M9,U5:U9, AH5:AH9,AP5:AP9))</f>
        <v>·</v>
      </c>
      <c r="BI5" s="17" t="str">
        <f t="array" ref="BI5">IF( OR(AND(ISBLANK(M5:M9)),AND(ISBLANK(AH5:AH9)), AND(ISBLANK(V5:V9)),AND(ISBLANK(AQ5:AQ9))), "·", bdRateExtend( M5:M9,V5:V9, AH5:AH9,AQ5:AQ9))</f>
        <v>·</v>
      </c>
      <c r="BJ5" s="17" t="str">
        <f t="array" ref="BJ5">IF( OR(AND(ISBLANK(S5:S9)),AND(ISBLANK(AN5:AN9)), AND(ISBLANK(W5:W9)),AND(ISBLANK(AR5:AR9))), "·", bdRateExtend( S5:S9,W5:W9, AN5:AN9,AR5:AR9))</f>
        <v>·</v>
      </c>
      <c r="BK5" s="17" t="str">
        <f t="array" ref="BK5">IF( OR(AND(ISBLANK(S5:S9)),AND(ISBLANK(AN5:AN9)), AND(ISBLANK(X5:X9)),AND(ISBLANK(AS5:AS9))), "·", bdRateExtend( S5:S9,X5:X9, AN5:AN9,AS5:AS9))</f>
        <v>·</v>
      </c>
      <c r="BL5" s="17" t="str">
        <f t="array" ref="BL5">IF( OR(AND(ISBLANK(S5:S9)),AND(ISBLANK(AN5:AN9)), AND(ISBLANK(Y5:Y9)),AND(ISBLANK(AT5:AT9))), "·", bdRateExtend( S5:S9,Y5:Y9, AN5:AN9,AT5:AT9))</f>
        <v>·</v>
      </c>
      <c r="BM5" s="17" t="str">
        <f t="array" ref="BM5">IF( OR(AND(ISBLANK(M5:M9)),AND(ISBLANK(AH5:AH9)), AND(ISBLANK(Z5:Z9)),AND(ISBLANK(AU5:AU9))), "·", bdRateExtend( M5:M9,Z5:Z9, AH5:AH9,AU5:AU9))</f>
        <v>·</v>
      </c>
      <c r="BN5" s="17" t="str">
        <f t="array" ref="BN5">IF( OR(AND(ISBLANK(S5:S9)),AND(ISBLANK(AN5:AN9)), AND(ISBLANK(AA5:AA9)),AND(ISBLANK(AV5:AV9))), "·", bdRateExtend( S5:S9,AA5:AA9, AN5:AN9,AV5:AV9))</f>
        <v>·</v>
      </c>
      <c r="BP5" s="17">
        <f t="shared" ref="BP5:BP44" si="6">IF(AND(AK5=0,AK5=0),0,AK5/P5-1)</f>
        <v>0</v>
      </c>
      <c r="BQ5" s="17">
        <f t="shared" ref="BQ5:BQ44" si="7">IF(AND(AL5=0,AL5=0),0,AL5/Q5-1)</f>
        <v>0</v>
      </c>
      <c r="BR5" s="17">
        <f t="shared" ref="BR5:BR44" si="8">IF(AND(AM5=0,AM5=0),0,AM5/R5-1)</f>
        <v>0</v>
      </c>
      <c r="BS5" s="17">
        <f t="shared" ref="BS5:BS44" si="9">IF(AND(AN5=0,AN5=0),0,AN5/S5-1)</f>
        <v>0</v>
      </c>
      <c r="BT5" s="17">
        <f t="shared" ref="BT5:BT44" si="10">IF(AND(AO5=0,AO5=0),0,AO5/T5-1)</f>
        <v>0</v>
      </c>
    </row>
    <row r="6" spans="1:72" ht="15" customHeight="1" outlineLevel="1" x14ac:dyDescent="0.15">
      <c r="A6" s="26"/>
      <c r="B6" s="26" t="s">
        <v>33</v>
      </c>
      <c r="C6" s="28" t="s">
        <v>426</v>
      </c>
      <c r="D6" s="26">
        <v>11997440</v>
      </c>
      <c r="E6" s="27">
        <v>10</v>
      </c>
      <c r="F6" s="28">
        <v>300</v>
      </c>
      <c r="G6" s="28">
        <v>30</v>
      </c>
      <c r="H6" s="28">
        <v>8</v>
      </c>
      <c r="J6" s="29">
        <f t="shared" si="0"/>
        <v>8.3586711999999999</v>
      </c>
      <c r="K6" s="30">
        <f t="shared" si="1"/>
        <v>6.9670456364024327</v>
      </c>
      <c r="L6" s="28">
        <f t="shared" si="2"/>
        <v>83586712</v>
      </c>
      <c r="M6" s="28">
        <f t="shared" si="3"/>
        <v>16432248</v>
      </c>
      <c r="N6" s="39">
        <v>5681424</v>
      </c>
      <c r="O6" s="31">
        <v>83586712</v>
      </c>
      <c r="P6" s="31">
        <v>8310720</v>
      </c>
      <c r="Q6" s="31">
        <v>0</v>
      </c>
      <c r="R6" s="31">
        <v>8121528</v>
      </c>
      <c r="S6" s="31">
        <v>67112856</v>
      </c>
      <c r="T6" s="31">
        <v>41608</v>
      </c>
      <c r="U6" s="40">
        <v>67.635221299999998</v>
      </c>
      <c r="V6" s="40">
        <v>68.533892600000001</v>
      </c>
      <c r="W6" s="40">
        <v>30.918242200000002</v>
      </c>
      <c r="X6" s="40">
        <v>34.664624600000003</v>
      </c>
      <c r="Y6" s="40">
        <v>34.161674099999999</v>
      </c>
      <c r="Z6" s="40">
        <v>47.355525299999996</v>
      </c>
      <c r="AA6" s="40">
        <v>28.042404999999999</v>
      </c>
      <c r="AB6" s="32">
        <v>6675.3485529999998</v>
      </c>
      <c r="AC6" s="32">
        <v>47.480679000000002</v>
      </c>
      <c r="AE6" s="29" t="str">
        <f t="shared" si="4"/>
        <v>·</v>
      </c>
      <c r="AF6" s="30" t="str">
        <f t="shared" si="5"/>
        <v>·</v>
      </c>
      <c r="AG6" s="28"/>
      <c r="AH6" s="28"/>
      <c r="AI6" s="39"/>
      <c r="AJ6" s="31"/>
      <c r="AK6" s="31"/>
      <c r="AL6" s="31"/>
      <c r="AM6" s="31"/>
      <c r="AN6" s="31"/>
      <c r="AO6" s="31"/>
      <c r="AP6" s="40"/>
      <c r="AQ6" s="40"/>
      <c r="AR6" s="40"/>
      <c r="AS6" s="40"/>
      <c r="AT6" s="40"/>
      <c r="AU6" s="40"/>
      <c r="AV6" s="40"/>
      <c r="AW6" s="32"/>
      <c r="AX6" s="32"/>
      <c r="AZ6" s="33"/>
      <c r="BA6" s="33"/>
      <c r="BB6" s="33"/>
      <c r="BC6" s="33"/>
      <c r="BD6" s="33"/>
      <c r="BE6" s="33"/>
      <c r="BF6" s="33"/>
      <c r="BH6" s="93"/>
      <c r="BI6" s="93"/>
      <c r="BJ6" s="93"/>
      <c r="BK6" s="93"/>
      <c r="BL6" s="93"/>
      <c r="BM6" s="93"/>
      <c r="BN6" s="93"/>
      <c r="BP6" s="33">
        <f t="shared" si="6"/>
        <v>0</v>
      </c>
      <c r="BQ6" s="33">
        <f t="shared" si="7"/>
        <v>0</v>
      </c>
      <c r="BR6" s="33">
        <f t="shared" si="8"/>
        <v>0</v>
      </c>
      <c r="BS6" s="33">
        <f t="shared" si="9"/>
        <v>0</v>
      </c>
      <c r="BT6" s="33">
        <f t="shared" si="10"/>
        <v>0</v>
      </c>
    </row>
    <row r="7" spans="1:72" ht="15" customHeight="1" outlineLevel="1" x14ac:dyDescent="0.15">
      <c r="A7" s="10"/>
      <c r="B7" s="10" t="s">
        <v>33</v>
      </c>
      <c r="C7" s="12" t="s">
        <v>427</v>
      </c>
      <c r="D7" s="10">
        <v>11997440</v>
      </c>
      <c r="E7" s="11">
        <v>10</v>
      </c>
      <c r="F7" s="12">
        <v>300</v>
      </c>
      <c r="G7" s="12">
        <v>30</v>
      </c>
      <c r="H7" s="12">
        <v>11</v>
      </c>
      <c r="J7" s="13">
        <f t="shared" si="0"/>
        <v>11.853187999999999</v>
      </c>
      <c r="K7" s="14">
        <f t="shared" si="1"/>
        <v>9.8797643497279424</v>
      </c>
      <c r="L7" s="12">
        <f t="shared" si="2"/>
        <v>118531880</v>
      </c>
      <c r="M7" s="12">
        <f t="shared" si="3"/>
        <v>22811672</v>
      </c>
      <c r="N7" s="37">
        <v>11389008</v>
      </c>
      <c r="O7" s="15">
        <v>118531880</v>
      </c>
      <c r="P7" s="15">
        <v>13033912</v>
      </c>
      <c r="Q7" s="15">
        <v>0</v>
      </c>
      <c r="R7" s="15">
        <v>9777760</v>
      </c>
      <c r="S7" s="15">
        <v>95678440</v>
      </c>
      <c r="T7" s="15">
        <v>41768</v>
      </c>
      <c r="U7" s="38">
        <v>71.281697800000003</v>
      </c>
      <c r="V7" s="38">
        <v>72.715512599999997</v>
      </c>
      <c r="W7" s="38">
        <v>32.217352200000001</v>
      </c>
      <c r="X7" s="38">
        <v>36.392876000000001</v>
      </c>
      <c r="Y7" s="38">
        <v>36.1256275</v>
      </c>
      <c r="Z7" s="38">
        <v>49.534861999999997</v>
      </c>
      <c r="AA7" s="38">
        <v>29.964031500000001</v>
      </c>
      <c r="AB7" s="16">
        <v>17603.011743999999</v>
      </c>
      <c r="AC7" s="16">
        <v>161.04507899999999</v>
      </c>
      <c r="AE7" s="13" t="str">
        <f t="shared" si="4"/>
        <v>·</v>
      </c>
      <c r="AF7" s="14" t="str">
        <f t="shared" si="5"/>
        <v>·</v>
      </c>
      <c r="AG7" s="12"/>
      <c r="AH7" s="12"/>
      <c r="AI7" s="37"/>
      <c r="AJ7" s="15"/>
      <c r="AK7" s="15"/>
      <c r="AL7" s="15"/>
      <c r="AM7" s="15"/>
      <c r="AN7" s="15"/>
      <c r="AO7" s="15"/>
      <c r="AP7" s="38"/>
      <c r="AQ7" s="38"/>
      <c r="AR7" s="38"/>
      <c r="AS7" s="38"/>
      <c r="AT7" s="38"/>
      <c r="AU7" s="38"/>
      <c r="AV7" s="38"/>
      <c r="AW7" s="16"/>
      <c r="AX7" s="16"/>
      <c r="AZ7" s="17"/>
      <c r="BA7" s="17"/>
      <c r="BB7" s="17"/>
      <c r="BC7" s="17"/>
      <c r="BD7" s="17"/>
      <c r="BE7" s="17"/>
      <c r="BF7" s="17"/>
      <c r="BH7" s="92"/>
      <c r="BI7" s="92"/>
      <c r="BJ7" s="92"/>
      <c r="BK7" s="92"/>
      <c r="BL7" s="92"/>
      <c r="BM7" s="92"/>
      <c r="BN7" s="92"/>
      <c r="BP7" s="17">
        <f t="shared" si="6"/>
        <v>0</v>
      </c>
      <c r="BQ7" s="17">
        <f t="shared" si="7"/>
        <v>0</v>
      </c>
      <c r="BR7" s="17">
        <f t="shared" si="8"/>
        <v>0</v>
      </c>
      <c r="BS7" s="17">
        <f t="shared" si="9"/>
        <v>0</v>
      </c>
      <c r="BT7" s="17">
        <f t="shared" si="10"/>
        <v>0</v>
      </c>
    </row>
    <row r="8" spans="1:72" ht="15" customHeight="1" outlineLevel="1" x14ac:dyDescent="0.15">
      <c r="A8" s="26"/>
      <c r="B8" s="26" t="s">
        <v>33</v>
      </c>
      <c r="C8" s="28" t="s">
        <v>428</v>
      </c>
      <c r="D8" s="26">
        <v>11997440</v>
      </c>
      <c r="E8" s="27">
        <v>10</v>
      </c>
      <c r="F8" s="28">
        <v>300</v>
      </c>
      <c r="G8" s="28">
        <v>30</v>
      </c>
      <c r="H8" s="28">
        <v>14</v>
      </c>
      <c r="J8" s="29">
        <f t="shared" si="0"/>
        <v>15.003436800000001</v>
      </c>
      <c r="K8" s="30">
        <f t="shared" si="1"/>
        <v>12.505531846793982</v>
      </c>
      <c r="L8" s="28">
        <f t="shared" si="2"/>
        <v>150034368</v>
      </c>
      <c r="M8" s="28">
        <f t="shared" si="3"/>
        <v>29855176</v>
      </c>
      <c r="N8" s="39">
        <v>22901024</v>
      </c>
      <c r="O8" s="31">
        <v>150034368</v>
      </c>
      <c r="P8" s="31">
        <v>21369144</v>
      </c>
      <c r="Q8" s="31">
        <v>0</v>
      </c>
      <c r="R8" s="31">
        <v>8486032</v>
      </c>
      <c r="S8" s="31">
        <v>120137424</v>
      </c>
      <c r="T8" s="31">
        <v>41768</v>
      </c>
      <c r="U8" s="40">
        <v>72.693794499999996</v>
      </c>
      <c r="V8" s="40">
        <v>74.335202300000006</v>
      </c>
      <c r="W8" s="40">
        <v>33.203740400000001</v>
      </c>
      <c r="X8" s="40">
        <v>36.940676500000002</v>
      </c>
      <c r="Y8" s="40">
        <v>36.671137899999998</v>
      </c>
      <c r="Z8" s="40">
        <v>50.660338299999999</v>
      </c>
      <c r="AA8" s="40">
        <v>30.887225699999998</v>
      </c>
      <c r="AB8" s="32">
        <v>21883.085321999999</v>
      </c>
      <c r="AC8" s="32">
        <v>183.44884500000001</v>
      </c>
      <c r="AE8" s="29" t="str">
        <f t="shared" si="4"/>
        <v>·</v>
      </c>
      <c r="AF8" s="30" t="str">
        <f t="shared" si="5"/>
        <v>·</v>
      </c>
      <c r="AG8" s="28"/>
      <c r="AH8" s="28"/>
      <c r="AI8" s="39"/>
      <c r="AJ8" s="31"/>
      <c r="AK8" s="31"/>
      <c r="AL8" s="31"/>
      <c r="AM8" s="31"/>
      <c r="AN8" s="31"/>
      <c r="AO8" s="31"/>
      <c r="AP8" s="40"/>
      <c r="AQ8" s="40"/>
      <c r="AR8" s="40"/>
      <c r="AS8" s="40"/>
      <c r="AT8" s="40"/>
      <c r="AU8" s="40"/>
      <c r="AV8" s="40"/>
      <c r="AW8" s="32"/>
      <c r="AX8" s="32"/>
      <c r="AZ8" s="33"/>
      <c r="BA8" s="33"/>
      <c r="BB8" s="33"/>
      <c r="BC8" s="33"/>
      <c r="BD8" s="33"/>
      <c r="BE8" s="33"/>
      <c r="BF8" s="33"/>
      <c r="BH8" s="93"/>
      <c r="BI8" s="93"/>
      <c r="BJ8" s="93"/>
      <c r="BK8" s="93"/>
      <c r="BL8" s="93"/>
      <c r="BM8" s="93"/>
      <c r="BN8" s="93"/>
      <c r="BP8" s="33">
        <f t="shared" si="6"/>
        <v>0</v>
      </c>
      <c r="BQ8" s="33">
        <f t="shared" si="7"/>
        <v>0</v>
      </c>
      <c r="BR8" s="33">
        <f t="shared" si="8"/>
        <v>0</v>
      </c>
      <c r="BS8" s="33">
        <f t="shared" si="9"/>
        <v>0</v>
      </c>
      <c r="BT8" s="33">
        <f t="shared" si="10"/>
        <v>0</v>
      </c>
    </row>
    <row r="9" spans="1:72" ht="15.75" customHeight="1" outlineLevel="1" thickBot="1" x14ac:dyDescent="0.2">
      <c r="A9" s="10"/>
      <c r="B9" s="41" t="s">
        <v>33</v>
      </c>
      <c r="C9" s="42" t="s">
        <v>429</v>
      </c>
      <c r="D9" s="41">
        <v>11997440</v>
      </c>
      <c r="E9" s="43">
        <v>10</v>
      </c>
      <c r="F9" s="42">
        <v>300</v>
      </c>
      <c r="G9" s="42">
        <v>30</v>
      </c>
      <c r="H9" s="42">
        <v>21</v>
      </c>
      <c r="J9" s="44">
        <f t="shared" si="0"/>
        <v>22.648175999999999</v>
      </c>
      <c r="K9" s="45">
        <f t="shared" si="1"/>
        <v>18.877507201536329</v>
      </c>
      <c r="L9" s="42">
        <f t="shared" si="2"/>
        <v>226481760</v>
      </c>
      <c r="M9" s="42">
        <f t="shared" si="3"/>
        <v>36650216</v>
      </c>
      <c r="N9" s="46">
        <v>22901024</v>
      </c>
      <c r="O9" s="47">
        <v>226481760</v>
      </c>
      <c r="P9" s="47">
        <v>21369144</v>
      </c>
      <c r="Q9" s="47">
        <v>0</v>
      </c>
      <c r="R9" s="47">
        <v>15281072</v>
      </c>
      <c r="S9" s="47">
        <v>189789776</v>
      </c>
      <c r="T9" s="47">
        <v>41768</v>
      </c>
      <c r="U9" s="48">
        <v>74.134071599999999</v>
      </c>
      <c r="V9" s="48">
        <v>76.016294299999998</v>
      </c>
      <c r="W9" s="48">
        <v>34.8167258</v>
      </c>
      <c r="X9" s="48">
        <v>38.4997781</v>
      </c>
      <c r="Y9" s="48">
        <v>38.189272099999997</v>
      </c>
      <c r="Z9" s="48">
        <v>51.333244100000002</v>
      </c>
      <c r="AA9" s="48">
        <v>32.160299199999997</v>
      </c>
      <c r="AB9" s="49">
        <v>21408.330720000002</v>
      </c>
      <c r="AC9" s="49">
        <v>168.812985</v>
      </c>
      <c r="AE9" s="44" t="str">
        <f t="shared" si="4"/>
        <v>·</v>
      </c>
      <c r="AF9" s="45" t="str">
        <f t="shared" si="5"/>
        <v>·</v>
      </c>
      <c r="AG9" s="42"/>
      <c r="AH9" s="42"/>
      <c r="AI9" s="46"/>
      <c r="AJ9" s="47"/>
      <c r="AK9" s="47"/>
      <c r="AL9" s="47"/>
      <c r="AM9" s="47"/>
      <c r="AN9" s="47"/>
      <c r="AO9" s="47"/>
      <c r="AP9" s="48"/>
      <c r="AQ9" s="48"/>
      <c r="AR9" s="48"/>
      <c r="AS9" s="48"/>
      <c r="AT9" s="48"/>
      <c r="AU9" s="48"/>
      <c r="AV9" s="48"/>
      <c r="AW9" s="49"/>
      <c r="AX9" s="49"/>
      <c r="AZ9" s="50"/>
      <c r="BA9" s="50"/>
      <c r="BB9" s="50"/>
      <c r="BC9" s="50"/>
      <c r="BD9" s="50"/>
      <c r="BE9" s="50"/>
      <c r="BF9" s="50"/>
      <c r="BH9" s="94"/>
      <c r="BI9" s="94"/>
      <c r="BJ9" s="94"/>
      <c r="BK9" s="94"/>
      <c r="BL9" s="94"/>
      <c r="BM9" s="94"/>
      <c r="BN9" s="94"/>
      <c r="BP9" s="50">
        <f t="shared" si="6"/>
        <v>0</v>
      </c>
      <c r="BQ9" s="50">
        <f t="shared" si="7"/>
        <v>0</v>
      </c>
      <c r="BR9" s="50">
        <f t="shared" si="8"/>
        <v>0</v>
      </c>
      <c r="BS9" s="50">
        <f t="shared" si="9"/>
        <v>0</v>
      </c>
      <c r="BT9" s="50">
        <f t="shared" si="10"/>
        <v>0</v>
      </c>
    </row>
    <row r="10" spans="1:72" ht="15" customHeight="1" x14ac:dyDescent="0.15">
      <c r="A10" s="26"/>
      <c r="B10" s="26" t="s">
        <v>48</v>
      </c>
      <c r="C10" s="28" t="s">
        <v>425</v>
      </c>
      <c r="D10" s="26">
        <v>9000000</v>
      </c>
      <c r="E10" s="27">
        <v>10</v>
      </c>
      <c r="F10" s="28">
        <v>300</v>
      </c>
      <c r="G10" s="28">
        <v>30</v>
      </c>
      <c r="H10" s="28">
        <v>4</v>
      </c>
      <c r="J10" s="29">
        <f t="shared" si="0"/>
        <v>5.1819280000000001</v>
      </c>
      <c r="K10" s="30">
        <f t="shared" si="1"/>
        <v>5.7576977777777776</v>
      </c>
      <c r="L10" s="28">
        <f t="shared" si="2"/>
        <v>51819280</v>
      </c>
      <c r="M10" s="28">
        <f t="shared" si="3"/>
        <v>10472032</v>
      </c>
      <c r="N10" s="39">
        <v>5612608</v>
      </c>
      <c r="O10" s="31">
        <v>51819280</v>
      </c>
      <c r="P10" s="31">
        <v>1337168</v>
      </c>
      <c r="Q10" s="31">
        <v>1327816</v>
      </c>
      <c r="R10" s="31">
        <v>7807048</v>
      </c>
      <c r="S10" s="31">
        <v>41301320</v>
      </c>
      <c r="T10" s="31">
        <v>45928</v>
      </c>
      <c r="U10" s="40">
        <v>64.165921999999995</v>
      </c>
      <c r="V10" s="40">
        <v>64.776683599999998</v>
      </c>
      <c r="W10" s="40">
        <v>35.254629399999999</v>
      </c>
      <c r="X10" s="40">
        <v>46.746037399999999</v>
      </c>
      <c r="Y10" s="40">
        <v>47.2527671</v>
      </c>
      <c r="Z10" s="40">
        <v>43.378234399999997</v>
      </c>
      <c r="AA10" s="40">
        <v>30.149582299999999</v>
      </c>
      <c r="AB10" s="32">
        <v>30390.112007</v>
      </c>
      <c r="AC10" s="32">
        <v>135.38914299999999</v>
      </c>
      <c r="AE10" s="29" t="str">
        <f t="shared" si="4"/>
        <v>·</v>
      </c>
      <c r="AF10" s="30" t="str">
        <f t="shared" si="5"/>
        <v>·</v>
      </c>
      <c r="AG10" s="28"/>
      <c r="AH10" s="28"/>
      <c r="AI10" s="39"/>
      <c r="AJ10" s="31"/>
      <c r="AK10" s="31"/>
      <c r="AL10" s="31"/>
      <c r="AM10" s="31"/>
      <c r="AN10" s="31"/>
      <c r="AO10" s="31"/>
      <c r="AP10" s="40"/>
      <c r="AQ10" s="40"/>
      <c r="AR10" s="40"/>
      <c r="AS10" s="40"/>
      <c r="AT10" s="40"/>
      <c r="AU10" s="40"/>
      <c r="AV10" s="40"/>
      <c r="AW10" s="32"/>
      <c r="AX10" s="32"/>
      <c r="AZ10" s="33" t="str">
        <f t="array" ref="AZ10">IF( OR(AND(ISBLANK(L10:L14)),AND(ISBLANK(AG10:AG14)), AND(ISBLANK(U10:U14)),AND(ISBLANK(AP10:AP14))), "·", bdRateExtend( L10:L14,U10:U14, AG10:AG14,AP10:AP14))</f>
        <v>·</v>
      </c>
      <c r="BA10" s="33" t="str">
        <f t="array" ref="BA10">IF( OR(AND(ISBLANK(L10:L14)),AND(ISBLANK(AG10:AG14)), AND(ISBLANK(V10:V14)),AND(ISBLANK(AQ10:AQ14))), "·", bdRateExtend( L10:L14,V10:V14, AG10:AG14,AQ10:AQ14))</f>
        <v>·</v>
      </c>
      <c r="BB10" s="33" t="str">
        <f t="array" ref="BB10">IF( OR(AND(ISBLANK(L10:L14)),AND(ISBLANK(AG10:AG14)), AND(ISBLANK(W10:W14)),AND(ISBLANK(AR10:AR14))), "·", bdRateExtend( L10:L14,W10:W14, AG10:AG14,AR10:AR14))</f>
        <v>·</v>
      </c>
      <c r="BC10" s="33" t="str">
        <f t="array" ref="BC10">IF( OR(AND(ISBLANK(L10:L14)),AND(ISBLANK(AG10:AG14)), AND(ISBLANK(X10:X14)),AND(ISBLANK(AS10:AS14))), "·", bdRateExtend( L10:L14,X10:X14, AG10:AG14,AS10:AS14))</f>
        <v>·</v>
      </c>
      <c r="BD10" s="33" t="str">
        <f t="array" ref="BD10">IF( OR(AND(ISBLANK(L10:L14)),AND(ISBLANK(AG10:AG14)), AND(ISBLANK(Y10:Y14)),AND(ISBLANK(AT10:AT14))), "·", bdRateExtend( L10:L14,Y10:Y14, AG10:AG14,AT10:AT14))</f>
        <v>·</v>
      </c>
      <c r="BE10" s="33" t="str">
        <f t="array" ref="BE10">IF( OR(AND(ISBLANK(L10:L14)),AND(ISBLANK(AG10:AG14)), AND(ISBLANK(Z10:Z14)),AND(ISBLANK(AU10:AU14))), "·", bdRateExtend( L10:L14,Z10:Z14, AG10:AG14,AU10:AU14))</f>
        <v>·</v>
      </c>
      <c r="BF10" s="33" t="str">
        <f t="array" ref="BF10">IF( OR(AND(ISBLANK(L10:L14)),AND(ISBLANK(AG10:AG14)), AND(ISBLANK(AA10:AA14)),AND(ISBLANK(AV10:AV14))), "·", bdRateExtend( L10:L14,AA10:AA14, AG10:AG14,AV10:AV14))</f>
        <v>·</v>
      </c>
      <c r="BH10" s="33" t="str">
        <f t="array" ref="BH10">IF( OR(AND(ISBLANK(M10:M14)),AND(ISBLANK(AH10:AH14)), AND(ISBLANK(U10:U14)),AND(ISBLANK(AP10:AP14))), "·", bdRateExtend( M10:M14,U10:U14, AH10:AH14,AP10:AP14))</f>
        <v>·</v>
      </c>
      <c r="BI10" s="33" t="str">
        <f t="array" ref="BI10">IF( OR(AND(ISBLANK(M10:M14)),AND(ISBLANK(AH10:AH14)), AND(ISBLANK(V10:V14)),AND(ISBLANK(AQ10:AQ14))), "·", bdRateExtend( M10:M14,V10:V14, AH10:AH14,AQ10:AQ14))</f>
        <v>·</v>
      </c>
      <c r="BJ10" s="33" t="str">
        <f t="array" ref="BJ10">IF( OR(AND(ISBLANK(S10:S14)),AND(ISBLANK(AN10:AN14)), AND(ISBLANK(W10:W14)),AND(ISBLANK(AR10:AR14))), "·", bdRateExtend( S10:S14,W10:W14, AN10:AN14,AR10:AR14))</f>
        <v>·</v>
      </c>
      <c r="BK10" s="33" t="str">
        <f t="array" ref="BK10">IF( OR(AND(ISBLANK(S10:S14)),AND(ISBLANK(AN10:AN14)), AND(ISBLANK(X10:X14)),AND(ISBLANK(AS10:AS14))), "·", bdRateExtend( S10:S14,X10:X14, AN10:AN14,AS10:AS14))</f>
        <v>·</v>
      </c>
      <c r="BL10" s="33" t="str">
        <f t="array" ref="BL10">IF( OR(AND(ISBLANK(S10:S14)),AND(ISBLANK(AN10:AN14)), AND(ISBLANK(Y10:Y14)),AND(ISBLANK(AT10:AT14))), "·", bdRateExtend( S10:S14,Y10:Y14, AN10:AN14,AT10:AT14))</f>
        <v>·</v>
      </c>
      <c r="BM10" s="33" t="str">
        <f t="array" ref="BM10">IF( OR(AND(ISBLANK(M10:M14)),AND(ISBLANK(AH10:AH14)), AND(ISBLANK(Z10:Z14)),AND(ISBLANK(AU10:AU14))), "·", bdRateExtend( M10:M14,Z10:Z14, AH10:AH14,AU10:AU14))</f>
        <v>·</v>
      </c>
      <c r="BN10" s="33" t="str">
        <f t="array" ref="BN10">IF( OR(AND(ISBLANK(S10:S14)),AND(ISBLANK(AN10:AN14)), AND(ISBLANK(AA10:AA14)),AND(ISBLANK(AV10:AV14))), "·", bdRateExtend( S10:S14,AA10:AA14, AN10:AN14,AV10:AV14))</f>
        <v>·</v>
      </c>
      <c r="BP10" s="33">
        <f t="shared" si="6"/>
        <v>0</v>
      </c>
      <c r="BQ10" s="33">
        <f t="shared" si="7"/>
        <v>0</v>
      </c>
      <c r="BR10" s="33">
        <f t="shared" si="8"/>
        <v>0</v>
      </c>
      <c r="BS10" s="33">
        <f t="shared" si="9"/>
        <v>0</v>
      </c>
      <c r="BT10" s="33">
        <f t="shared" si="10"/>
        <v>0</v>
      </c>
    </row>
    <row r="11" spans="1:72" ht="15" customHeight="1" outlineLevel="1" x14ac:dyDescent="0.15">
      <c r="A11" s="10"/>
      <c r="B11" s="10" t="s">
        <v>48</v>
      </c>
      <c r="C11" s="12" t="s">
        <v>426</v>
      </c>
      <c r="D11" s="10">
        <v>9000000</v>
      </c>
      <c r="E11" s="11">
        <v>10</v>
      </c>
      <c r="F11" s="12">
        <v>300</v>
      </c>
      <c r="G11" s="12">
        <v>30</v>
      </c>
      <c r="H11" s="12">
        <v>8</v>
      </c>
      <c r="J11" s="13">
        <f t="shared" si="0"/>
        <v>9.6873135999999995</v>
      </c>
      <c r="K11" s="14">
        <f t="shared" si="1"/>
        <v>10.763681777777778</v>
      </c>
      <c r="L11" s="12">
        <f t="shared" si="2"/>
        <v>96873136</v>
      </c>
      <c r="M11" s="12">
        <f t="shared" si="3"/>
        <v>22217664</v>
      </c>
      <c r="N11" s="37">
        <v>11343552</v>
      </c>
      <c r="O11" s="15">
        <v>96873136</v>
      </c>
      <c r="P11" s="15">
        <v>5123024</v>
      </c>
      <c r="Q11" s="15">
        <v>1268312</v>
      </c>
      <c r="R11" s="15">
        <v>15826328</v>
      </c>
      <c r="S11" s="15">
        <v>74610504</v>
      </c>
      <c r="T11" s="15">
        <v>44968</v>
      </c>
      <c r="U11" s="38">
        <v>69.608428399999994</v>
      </c>
      <c r="V11" s="38">
        <v>70.835139100000006</v>
      </c>
      <c r="W11" s="38">
        <v>37.3285658</v>
      </c>
      <c r="X11" s="38">
        <v>47.4924617</v>
      </c>
      <c r="Y11" s="38">
        <v>48.083831500000002</v>
      </c>
      <c r="Z11" s="38">
        <v>46.435849500000003</v>
      </c>
      <c r="AA11" s="38">
        <v>33.215064099999999</v>
      </c>
      <c r="AB11" s="16">
        <v>37530.827215999998</v>
      </c>
      <c r="AC11" s="16">
        <v>151.29196400000001</v>
      </c>
      <c r="AE11" s="13" t="str">
        <f t="shared" si="4"/>
        <v>·</v>
      </c>
      <c r="AF11" s="14" t="str">
        <f t="shared" si="5"/>
        <v>·</v>
      </c>
      <c r="AG11" s="12"/>
      <c r="AH11" s="12"/>
      <c r="AI11" s="37"/>
      <c r="AJ11" s="15"/>
      <c r="AK11" s="15"/>
      <c r="AL11" s="15"/>
      <c r="AM11" s="15"/>
      <c r="AN11" s="15"/>
      <c r="AO11" s="15"/>
      <c r="AP11" s="38"/>
      <c r="AQ11" s="38"/>
      <c r="AR11" s="38"/>
      <c r="AS11" s="38"/>
      <c r="AT11" s="38"/>
      <c r="AU11" s="38"/>
      <c r="AV11" s="38"/>
      <c r="AW11" s="16"/>
      <c r="AX11" s="16"/>
      <c r="AZ11" s="17"/>
      <c r="BA11" s="17"/>
      <c r="BB11" s="17"/>
      <c r="BC11" s="17"/>
      <c r="BD11" s="17"/>
      <c r="BE11" s="17"/>
      <c r="BF11" s="17"/>
      <c r="BH11" s="17"/>
      <c r="BI11" s="17"/>
      <c r="BJ11" s="17"/>
      <c r="BK11" s="17"/>
      <c r="BL11" s="17"/>
      <c r="BM11" s="17"/>
      <c r="BN11" s="17"/>
      <c r="BP11" s="17">
        <f t="shared" si="6"/>
        <v>0</v>
      </c>
      <c r="BQ11" s="17">
        <f t="shared" si="7"/>
        <v>0</v>
      </c>
      <c r="BR11" s="17">
        <f t="shared" si="8"/>
        <v>0</v>
      </c>
      <c r="BS11" s="17">
        <f t="shared" si="9"/>
        <v>0</v>
      </c>
      <c r="BT11" s="17">
        <f t="shared" si="10"/>
        <v>0</v>
      </c>
    </row>
    <row r="12" spans="1:72" ht="15" customHeight="1" outlineLevel="1" x14ac:dyDescent="0.15">
      <c r="A12" s="26"/>
      <c r="B12" s="26" t="s">
        <v>48</v>
      </c>
      <c r="C12" s="28" t="s">
        <v>427</v>
      </c>
      <c r="D12" s="26">
        <v>9000000</v>
      </c>
      <c r="E12" s="27">
        <v>10</v>
      </c>
      <c r="F12" s="28">
        <v>300</v>
      </c>
      <c r="G12" s="28">
        <v>30</v>
      </c>
      <c r="H12" s="28">
        <v>11</v>
      </c>
      <c r="J12" s="29">
        <f t="shared" si="0"/>
        <v>12.384204</v>
      </c>
      <c r="K12" s="30">
        <f t="shared" si="1"/>
        <v>13.760226666666666</v>
      </c>
      <c r="L12" s="28">
        <f t="shared" si="2"/>
        <v>123842040</v>
      </c>
      <c r="M12" s="28">
        <f t="shared" si="3"/>
        <v>24008968</v>
      </c>
      <c r="N12" s="39">
        <v>11343552</v>
      </c>
      <c r="O12" s="31">
        <v>123842040</v>
      </c>
      <c r="P12" s="31">
        <v>5517976</v>
      </c>
      <c r="Q12" s="31">
        <v>1796720</v>
      </c>
      <c r="R12" s="31">
        <v>16694272</v>
      </c>
      <c r="S12" s="31">
        <v>99788120</v>
      </c>
      <c r="T12" s="31">
        <v>44952</v>
      </c>
      <c r="U12" s="40">
        <v>69.665279699999999</v>
      </c>
      <c r="V12" s="40">
        <v>70.897699099999997</v>
      </c>
      <c r="W12" s="40">
        <v>37.973041100000003</v>
      </c>
      <c r="X12" s="40">
        <v>47.826632400000001</v>
      </c>
      <c r="Y12" s="40">
        <v>48.451857699999998</v>
      </c>
      <c r="Z12" s="40">
        <v>46.457515600000001</v>
      </c>
      <c r="AA12" s="40">
        <v>33.4364901</v>
      </c>
      <c r="AB12" s="32">
        <v>45112.397712999998</v>
      </c>
      <c r="AC12" s="32">
        <v>188.68179000000001</v>
      </c>
      <c r="AE12" s="29" t="str">
        <f t="shared" si="4"/>
        <v>·</v>
      </c>
      <c r="AF12" s="30" t="str">
        <f t="shared" si="5"/>
        <v>·</v>
      </c>
      <c r="AG12" s="28"/>
      <c r="AH12" s="28"/>
      <c r="AI12" s="39"/>
      <c r="AJ12" s="31"/>
      <c r="AK12" s="31"/>
      <c r="AL12" s="31"/>
      <c r="AM12" s="31"/>
      <c r="AN12" s="31"/>
      <c r="AO12" s="31"/>
      <c r="AP12" s="40"/>
      <c r="AQ12" s="40"/>
      <c r="AR12" s="40"/>
      <c r="AS12" s="40"/>
      <c r="AT12" s="40"/>
      <c r="AU12" s="40"/>
      <c r="AV12" s="40"/>
      <c r="AW12" s="32"/>
      <c r="AX12" s="32"/>
      <c r="AZ12" s="33"/>
      <c r="BA12" s="33"/>
      <c r="BB12" s="33"/>
      <c r="BC12" s="33"/>
      <c r="BD12" s="33"/>
      <c r="BE12" s="33"/>
      <c r="BF12" s="33"/>
      <c r="BH12" s="33"/>
      <c r="BI12" s="33"/>
      <c r="BJ12" s="33"/>
      <c r="BK12" s="33"/>
      <c r="BL12" s="33"/>
      <c r="BM12" s="33"/>
      <c r="BN12" s="33"/>
      <c r="BP12" s="33">
        <f t="shared" si="6"/>
        <v>0</v>
      </c>
      <c r="BQ12" s="33">
        <f t="shared" si="7"/>
        <v>0</v>
      </c>
      <c r="BR12" s="33">
        <f t="shared" si="8"/>
        <v>0</v>
      </c>
      <c r="BS12" s="33">
        <f t="shared" si="9"/>
        <v>0</v>
      </c>
      <c r="BT12" s="33">
        <f t="shared" si="10"/>
        <v>0</v>
      </c>
    </row>
    <row r="13" spans="1:72" ht="15" customHeight="1" outlineLevel="1" x14ac:dyDescent="0.15">
      <c r="A13" s="10"/>
      <c r="B13" s="10" t="s">
        <v>48</v>
      </c>
      <c r="C13" s="12" t="s">
        <v>428</v>
      </c>
      <c r="D13" s="10">
        <v>9000000</v>
      </c>
      <c r="E13" s="11">
        <v>10</v>
      </c>
      <c r="F13" s="12">
        <v>300</v>
      </c>
      <c r="G13" s="12">
        <v>30</v>
      </c>
      <c r="H13" s="12">
        <v>14</v>
      </c>
      <c r="J13" s="13">
        <f t="shared" si="0"/>
        <v>16.0322064</v>
      </c>
      <c r="K13" s="14">
        <f t="shared" si="1"/>
        <v>17.813562666666666</v>
      </c>
      <c r="L13" s="12">
        <f t="shared" si="2"/>
        <v>160322064</v>
      </c>
      <c r="M13" s="12">
        <f t="shared" si="3"/>
        <v>24008968</v>
      </c>
      <c r="N13" s="37">
        <v>11343552</v>
      </c>
      <c r="O13" s="15">
        <v>160322064</v>
      </c>
      <c r="P13" s="15">
        <v>5517976</v>
      </c>
      <c r="Q13" s="15">
        <v>1796720</v>
      </c>
      <c r="R13" s="15">
        <v>16694272</v>
      </c>
      <c r="S13" s="15">
        <v>136268144</v>
      </c>
      <c r="T13" s="15">
        <v>44952</v>
      </c>
      <c r="U13" s="38">
        <v>69.665279699999999</v>
      </c>
      <c r="V13" s="38">
        <v>70.897699099999997</v>
      </c>
      <c r="W13" s="38">
        <v>38.498125600000002</v>
      </c>
      <c r="X13" s="38">
        <v>48.539084500000001</v>
      </c>
      <c r="Y13" s="38">
        <v>49.181782400000003</v>
      </c>
      <c r="Z13" s="38">
        <v>46.457515600000001</v>
      </c>
      <c r="AA13" s="38">
        <v>33.5736469</v>
      </c>
      <c r="AB13" s="16">
        <v>46937.155895999997</v>
      </c>
      <c r="AC13" s="16">
        <v>192.96974599999999</v>
      </c>
      <c r="AE13" s="13" t="str">
        <f t="shared" si="4"/>
        <v>·</v>
      </c>
      <c r="AF13" s="14" t="str">
        <f t="shared" si="5"/>
        <v>·</v>
      </c>
      <c r="AG13" s="12"/>
      <c r="AH13" s="12"/>
      <c r="AI13" s="37"/>
      <c r="AJ13" s="15"/>
      <c r="AK13" s="15"/>
      <c r="AL13" s="15"/>
      <c r="AM13" s="15"/>
      <c r="AN13" s="15"/>
      <c r="AO13" s="15"/>
      <c r="AP13" s="38"/>
      <c r="AQ13" s="38"/>
      <c r="AR13" s="38"/>
      <c r="AS13" s="38"/>
      <c r="AT13" s="38"/>
      <c r="AU13" s="38"/>
      <c r="AV13" s="38"/>
      <c r="AW13" s="16"/>
      <c r="AX13" s="16"/>
      <c r="AZ13" s="17"/>
      <c r="BA13" s="17"/>
      <c r="BB13" s="17"/>
      <c r="BC13" s="17"/>
      <c r="BD13" s="17"/>
      <c r="BE13" s="17"/>
      <c r="BF13" s="17"/>
      <c r="BH13" s="17"/>
      <c r="BI13" s="17"/>
      <c r="BJ13" s="17"/>
      <c r="BK13" s="17"/>
      <c r="BL13" s="17"/>
      <c r="BM13" s="17"/>
      <c r="BN13" s="17"/>
      <c r="BP13" s="17">
        <f t="shared" si="6"/>
        <v>0</v>
      </c>
      <c r="BQ13" s="17">
        <f t="shared" si="7"/>
        <v>0</v>
      </c>
      <c r="BR13" s="17">
        <f t="shared" si="8"/>
        <v>0</v>
      </c>
      <c r="BS13" s="17">
        <f t="shared" si="9"/>
        <v>0</v>
      </c>
      <c r="BT13" s="17">
        <f t="shared" si="10"/>
        <v>0</v>
      </c>
    </row>
    <row r="14" spans="1:72" ht="15.75" customHeight="1" outlineLevel="1" thickBot="1" x14ac:dyDescent="0.2">
      <c r="A14" s="18"/>
      <c r="B14" s="18" t="s">
        <v>48</v>
      </c>
      <c r="C14" s="20" t="s">
        <v>429</v>
      </c>
      <c r="D14" s="18">
        <v>9000000</v>
      </c>
      <c r="E14" s="19">
        <v>10</v>
      </c>
      <c r="F14" s="20">
        <v>300</v>
      </c>
      <c r="G14" s="20">
        <v>30</v>
      </c>
      <c r="H14" s="20">
        <v>21</v>
      </c>
      <c r="J14" s="21">
        <f t="shared" si="0"/>
        <v>22.122208799999999</v>
      </c>
      <c r="K14" s="22">
        <f t="shared" si="1"/>
        <v>24.580231999999999</v>
      </c>
      <c r="L14" s="20">
        <f t="shared" si="2"/>
        <v>221222088</v>
      </c>
      <c r="M14" s="20">
        <f t="shared" si="3"/>
        <v>49582520</v>
      </c>
      <c r="N14" s="51">
        <v>22858592</v>
      </c>
      <c r="O14" s="23">
        <v>221222088</v>
      </c>
      <c r="P14" s="23">
        <v>17775752</v>
      </c>
      <c r="Q14" s="23">
        <v>1832640</v>
      </c>
      <c r="R14" s="23">
        <v>29974128</v>
      </c>
      <c r="S14" s="23">
        <v>171596104</v>
      </c>
      <c r="T14" s="23">
        <v>43464</v>
      </c>
      <c r="U14" s="52">
        <v>73.785301399999994</v>
      </c>
      <c r="V14" s="52">
        <v>75.692494199999999</v>
      </c>
      <c r="W14" s="52">
        <v>39.264933300000003</v>
      </c>
      <c r="X14" s="52">
        <v>48.5361288</v>
      </c>
      <c r="Y14" s="52">
        <v>49.198249199999999</v>
      </c>
      <c r="Z14" s="52">
        <v>48.820353400000002</v>
      </c>
      <c r="AA14" s="52">
        <v>35.8372642</v>
      </c>
      <c r="AB14" s="24">
        <v>53786.347156000003</v>
      </c>
      <c r="AC14" s="24">
        <v>160.712988</v>
      </c>
      <c r="AE14" s="21" t="str">
        <f t="shared" si="4"/>
        <v>·</v>
      </c>
      <c r="AF14" s="22" t="str">
        <f t="shared" si="5"/>
        <v>·</v>
      </c>
      <c r="AG14" s="20"/>
      <c r="AH14" s="20"/>
      <c r="AI14" s="51"/>
      <c r="AJ14" s="23"/>
      <c r="AK14" s="23"/>
      <c r="AL14" s="23"/>
      <c r="AM14" s="23"/>
      <c r="AN14" s="23"/>
      <c r="AO14" s="23"/>
      <c r="AP14" s="52"/>
      <c r="AQ14" s="52"/>
      <c r="AR14" s="52"/>
      <c r="AS14" s="52"/>
      <c r="AT14" s="52"/>
      <c r="AU14" s="52"/>
      <c r="AV14" s="52"/>
      <c r="AW14" s="24"/>
      <c r="AX14" s="24"/>
      <c r="AZ14" s="25"/>
      <c r="BA14" s="25"/>
      <c r="BB14" s="25"/>
      <c r="BC14" s="25"/>
      <c r="BD14" s="25"/>
      <c r="BE14" s="25"/>
      <c r="BF14" s="25"/>
      <c r="BH14" s="25"/>
      <c r="BI14" s="25"/>
      <c r="BJ14" s="25"/>
      <c r="BK14" s="25"/>
      <c r="BL14" s="25"/>
      <c r="BM14" s="25"/>
      <c r="BN14" s="25"/>
      <c r="BP14" s="25">
        <f t="shared" si="6"/>
        <v>0</v>
      </c>
      <c r="BQ14" s="25">
        <f t="shared" si="7"/>
        <v>0</v>
      </c>
      <c r="BR14" s="25">
        <f t="shared" si="8"/>
        <v>0</v>
      </c>
      <c r="BS14" s="25">
        <f t="shared" si="9"/>
        <v>0</v>
      </c>
      <c r="BT14" s="25">
        <f t="shared" si="10"/>
        <v>0</v>
      </c>
    </row>
    <row r="15" spans="1:72" ht="15" customHeight="1" x14ac:dyDescent="0.15">
      <c r="A15" s="10" t="s">
        <v>190</v>
      </c>
      <c r="B15" s="10" t="s">
        <v>53</v>
      </c>
      <c r="C15" s="12" t="s">
        <v>425</v>
      </c>
      <c r="D15" s="10">
        <v>11842002</v>
      </c>
      <c r="E15" s="11">
        <v>12</v>
      </c>
      <c r="F15" s="12">
        <v>300</v>
      </c>
      <c r="G15" s="12">
        <v>30</v>
      </c>
      <c r="H15" s="12">
        <v>3</v>
      </c>
      <c r="J15" s="13">
        <f t="shared" si="0"/>
        <v>3.166048</v>
      </c>
      <c r="K15" s="14">
        <f t="shared" si="1"/>
        <v>2.6735749580180785</v>
      </c>
      <c r="L15" s="12">
        <f t="shared" si="2"/>
        <v>31660480</v>
      </c>
      <c r="M15" s="12">
        <f t="shared" si="3"/>
        <v>11975776</v>
      </c>
      <c r="N15" s="37">
        <v>5676736</v>
      </c>
      <c r="O15" s="15">
        <v>31660480</v>
      </c>
      <c r="P15" s="15">
        <v>6879288</v>
      </c>
      <c r="Q15" s="15">
        <v>0</v>
      </c>
      <c r="R15" s="15">
        <v>5096488</v>
      </c>
      <c r="S15" s="15">
        <v>19642936</v>
      </c>
      <c r="T15" s="15">
        <v>41768</v>
      </c>
      <c r="U15" s="38">
        <v>69.877041899999995</v>
      </c>
      <c r="V15" s="38">
        <v>71.049014700000001</v>
      </c>
      <c r="W15" s="38">
        <v>35.628656800000002</v>
      </c>
      <c r="X15" s="38">
        <v>43.320914899999998</v>
      </c>
      <c r="Y15" s="38">
        <v>45.173822100000002</v>
      </c>
      <c r="Z15" s="38">
        <v>45.074284499999997</v>
      </c>
      <c r="AA15" s="38">
        <v>31.935662300000001</v>
      </c>
      <c r="AB15" s="16">
        <v>13220.857986000001</v>
      </c>
      <c r="AC15" s="16">
        <v>153.46416500000001</v>
      </c>
      <c r="AE15" s="13" t="str">
        <f t="shared" si="4"/>
        <v>·</v>
      </c>
      <c r="AF15" s="14" t="str">
        <f t="shared" si="5"/>
        <v>·</v>
      </c>
      <c r="AG15" s="12"/>
      <c r="AH15" s="12"/>
      <c r="AI15" s="37"/>
      <c r="AJ15" s="15"/>
      <c r="AK15" s="15"/>
      <c r="AL15" s="15"/>
      <c r="AM15" s="15"/>
      <c r="AN15" s="15"/>
      <c r="AO15" s="15"/>
      <c r="AP15" s="38"/>
      <c r="AQ15" s="38"/>
      <c r="AR15" s="38"/>
      <c r="AS15" s="38"/>
      <c r="AT15" s="38"/>
      <c r="AU15" s="38"/>
      <c r="AV15" s="38"/>
      <c r="AW15" s="16"/>
      <c r="AX15" s="16"/>
      <c r="AZ15" s="17" t="str">
        <f t="array" ref="AZ15">IF( OR(AND(ISBLANK(L15:L19)),AND(ISBLANK(AG15:AG19)), AND(ISBLANK(U15:U19)),AND(ISBLANK(AP15:AP19))), "·", bdRateExtend( L15:L19,U15:U19, AG15:AG19,AP15:AP19))</f>
        <v>·</v>
      </c>
      <c r="BA15" s="17" t="str">
        <f t="array" ref="BA15">IF( OR(AND(ISBLANK(L15:L19)),AND(ISBLANK(AG15:AG19)), AND(ISBLANK(V15:V19)),AND(ISBLANK(AQ15:AQ19))), "·", bdRateExtend( L15:L19,V15:V19, AG15:AG19,AQ15:AQ19))</f>
        <v>·</v>
      </c>
      <c r="BB15" s="17" t="str">
        <f t="array" ref="BB15">IF( OR(AND(ISBLANK(L15:L19)),AND(ISBLANK(AG15:AG19)), AND(ISBLANK(W15:W19)),AND(ISBLANK(AR15:AR19))), "·", bdRateExtend( L15:L19,W15:W19, AG15:AG19,AR15:AR19))</f>
        <v>·</v>
      </c>
      <c r="BC15" s="17" t="str">
        <f t="array" ref="BC15">IF( OR(AND(ISBLANK(L15:L19)),AND(ISBLANK(AG15:AG19)), AND(ISBLANK(X15:X19)),AND(ISBLANK(AS15:AS19))), "·", bdRateExtend( L15:L19,X15:X19, AG15:AG19,AS15:AS19))</f>
        <v>·</v>
      </c>
      <c r="BD15" s="17" t="str">
        <f t="array" ref="BD15">IF( OR(AND(ISBLANK(L15:L19)),AND(ISBLANK(AG15:AG19)), AND(ISBLANK(Y15:Y19)),AND(ISBLANK(AT15:AT19))), "·", bdRateExtend( L15:L19,Y15:Y19, AG15:AG19,AT15:AT19))</f>
        <v>·</v>
      </c>
      <c r="BE15" s="17" t="str">
        <f t="array" ref="BE15">IF( OR(AND(ISBLANK(L15:L19)),AND(ISBLANK(AG15:AG19)), AND(ISBLANK(Z15:Z19)),AND(ISBLANK(AU15:AU19))), "·", bdRateExtend( L15:L19,Z15:Z19, AG15:AG19,AU15:AU19))</f>
        <v>·</v>
      </c>
      <c r="BF15" s="17" t="str">
        <f t="array" ref="BF15">IF( OR(AND(ISBLANK(L15:L19)),AND(ISBLANK(AG15:AG19)), AND(ISBLANK(AA15:AA19)),AND(ISBLANK(AV15:AV19))), "·", bdRateExtend( L15:L19,AA15:AA19, AG15:AG19,AV15:AV19))</f>
        <v>·</v>
      </c>
      <c r="BH15" s="17" t="str">
        <f t="array" ref="BH15">IF( OR(AND(ISBLANK(M15:M19)),AND(ISBLANK(AH15:AH19)), AND(ISBLANK(U15:U19)),AND(ISBLANK(AP15:AP19))), "·", bdRateExtend( M15:M19,U15:U19, AH15:AH19,AP15:AP19))</f>
        <v>·</v>
      </c>
      <c r="BI15" s="17" t="str">
        <f t="array" ref="BI15">IF( OR(AND(ISBLANK(M15:M19)),AND(ISBLANK(AH15:AH19)), AND(ISBLANK(V15:V19)),AND(ISBLANK(AQ15:AQ19))), "·", bdRateExtend( M15:M19,V15:V19, AH15:AH19,AQ15:AQ19))</f>
        <v>·</v>
      </c>
      <c r="BJ15" s="17" t="str">
        <f t="array" ref="BJ15">IF( OR(AND(ISBLANK(S15:S19)),AND(ISBLANK(AN15:AN19)), AND(ISBLANK(W15:W19)),AND(ISBLANK(AR15:AR19))), "·", bdRateExtend( S15:S19,W15:W19, AN15:AN19,AR15:AR19))</f>
        <v>·</v>
      </c>
      <c r="BK15" s="17" t="str">
        <f t="array" ref="BK15">IF( OR(AND(ISBLANK(S15:S19)),AND(ISBLANK(AN15:AN19)), AND(ISBLANK(X15:X19)),AND(ISBLANK(AS15:AS19))), "·", bdRateExtend( S15:S19,X15:X19, AN15:AN19,AS15:AS19))</f>
        <v>·</v>
      </c>
      <c r="BL15" s="17" t="str">
        <f t="array" ref="BL15">IF( OR(AND(ISBLANK(S15:S19)),AND(ISBLANK(AN15:AN19)), AND(ISBLANK(Y15:Y19)),AND(ISBLANK(AT15:AT19))), "·", bdRateExtend( S15:S19,Y15:Y19, AN15:AN19,AT15:AT19))</f>
        <v>·</v>
      </c>
      <c r="BM15" s="17" t="str">
        <f t="array" ref="BM15">IF( OR(AND(ISBLANK(M15:M19)),AND(ISBLANK(AH15:AH19)), AND(ISBLANK(Z15:Z19)),AND(ISBLANK(AU15:AU19))), "·", bdRateExtend( M15:M19,Z15:Z19, AH15:AH19,AU15:AU19))</f>
        <v>·</v>
      </c>
      <c r="BN15" s="17" t="str">
        <f t="array" ref="BN15">IF( OR(AND(ISBLANK(S15:S19)),AND(ISBLANK(AN15:AN19)), AND(ISBLANK(AA15:AA19)),AND(ISBLANK(AV15:AV19))), "·", bdRateExtend( S15:S19,AA15:AA19, AN15:AN19,AV15:AV19))</f>
        <v>·</v>
      </c>
      <c r="BP15" s="17">
        <f t="shared" si="6"/>
        <v>0</v>
      </c>
      <c r="BQ15" s="17">
        <f t="shared" si="7"/>
        <v>0</v>
      </c>
      <c r="BR15" s="17">
        <f t="shared" si="8"/>
        <v>0</v>
      </c>
      <c r="BS15" s="17">
        <f t="shared" si="9"/>
        <v>0</v>
      </c>
      <c r="BT15" s="17">
        <f t="shared" si="10"/>
        <v>0</v>
      </c>
    </row>
    <row r="16" spans="1:72" ht="15" customHeight="1" outlineLevel="1" x14ac:dyDescent="0.15">
      <c r="A16" s="26"/>
      <c r="B16" s="26" t="s">
        <v>53</v>
      </c>
      <c r="C16" s="28" t="s">
        <v>426</v>
      </c>
      <c r="D16" s="26">
        <v>11842002</v>
      </c>
      <c r="E16" s="27">
        <v>12</v>
      </c>
      <c r="F16" s="28">
        <v>300</v>
      </c>
      <c r="G16" s="28">
        <v>30</v>
      </c>
      <c r="H16" s="28">
        <v>5</v>
      </c>
      <c r="J16" s="29">
        <f t="shared" si="0"/>
        <v>5.2176984000000006</v>
      </c>
      <c r="K16" s="30">
        <f t="shared" si="1"/>
        <v>4.4060948478137396</v>
      </c>
      <c r="L16" s="28">
        <f t="shared" si="2"/>
        <v>52176984</v>
      </c>
      <c r="M16" s="28">
        <f t="shared" si="3"/>
        <v>14570608</v>
      </c>
      <c r="N16" s="39">
        <v>5676736</v>
      </c>
      <c r="O16" s="31">
        <v>52176984</v>
      </c>
      <c r="P16" s="31">
        <v>7457648</v>
      </c>
      <c r="Q16" s="31">
        <v>0</v>
      </c>
      <c r="R16" s="31">
        <v>7112960</v>
      </c>
      <c r="S16" s="31">
        <v>37564608</v>
      </c>
      <c r="T16" s="31">
        <v>41768</v>
      </c>
      <c r="U16" s="40">
        <v>70.981459299999997</v>
      </c>
      <c r="V16" s="40">
        <v>72.252073800000005</v>
      </c>
      <c r="W16" s="40">
        <v>38.2665516</v>
      </c>
      <c r="X16" s="40">
        <v>43.944050300000001</v>
      </c>
      <c r="Y16" s="40">
        <v>46.403133400000002</v>
      </c>
      <c r="Z16" s="40">
        <v>45.468331599999999</v>
      </c>
      <c r="AA16" s="40">
        <v>33.102793499999997</v>
      </c>
      <c r="AB16" s="32">
        <v>13685.776805</v>
      </c>
      <c r="AC16" s="32">
        <v>155.47038599999999</v>
      </c>
      <c r="AE16" s="29" t="str">
        <f t="shared" si="4"/>
        <v>·</v>
      </c>
      <c r="AF16" s="30" t="str">
        <f t="shared" si="5"/>
        <v>·</v>
      </c>
      <c r="AG16" s="28"/>
      <c r="AH16" s="28"/>
      <c r="AI16" s="39"/>
      <c r="AJ16" s="31"/>
      <c r="AK16" s="31"/>
      <c r="AL16" s="31"/>
      <c r="AM16" s="31"/>
      <c r="AN16" s="31"/>
      <c r="AO16" s="31"/>
      <c r="AP16" s="40"/>
      <c r="AQ16" s="40"/>
      <c r="AR16" s="40"/>
      <c r="AS16" s="40"/>
      <c r="AT16" s="40"/>
      <c r="AU16" s="40"/>
      <c r="AV16" s="40"/>
      <c r="AW16" s="32"/>
      <c r="AX16" s="32"/>
      <c r="AZ16" s="33"/>
      <c r="BA16" s="33"/>
      <c r="BB16" s="33"/>
      <c r="BC16" s="33"/>
      <c r="BD16" s="33"/>
      <c r="BE16" s="33"/>
      <c r="BF16" s="33"/>
      <c r="BH16" s="33"/>
      <c r="BI16" s="33"/>
      <c r="BJ16" s="33"/>
      <c r="BK16" s="33"/>
      <c r="BL16" s="33"/>
      <c r="BM16" s="33"/>
      <c r="BN16" s="33"/>
      <c r="BP16" s="33">
        <f t="shared" si="6"/>
        <v>0</v>
      </c>
      <c r="BQ16" s="33">
        <f t="shared" si="7"/>
        <v>0</v>
      </c>
      <c r="BR16" s="33">
        <f t="shared" si="8"/>
        <v>0</v>
      </c>
      <c r="BS16" s="33">
        <f t="shared" si="9"/>
        <v>0</v>
      </c>
      <c r="BT16" s="33">
        <f t="shared" si="10"/>
        <v>0</v>
      </c>
    </row>
    <row r="17" spans="1:72" ht="15" customHeight="1" outlineLevel="1" x14ac:dyDescent="0.15">
      <c r="A17" s="10"/>
      <c r="B17" s="10" t="s">
        <v>53</v>
      </c>
      <c r="C17" s="12" t="s">
        <v>427</v>
      </c>
      <c r="D17" s="10">
        <v>11842002</v>
      </c>
      <c r="E17" s="11">
        <v>12</v>
      </c>
      <c r="F17" s="12">
        <v>300</v>
      </c>
      <c r="G17" s="12">
        <v>30</v>
      </c>
      <c r="H17" s="12">
        <v>10</v>
      </c>
      <c r="J17" s="13">
        <f t="shared" si="0"/>
        <v>10.108745599999999</v>
      </c>
      <c r="K17" s="14">
        <f t="shared" si="1"/>
        <v>8.5363484991811358</v>
      </c>
      <c r="L17" s="12">
        <f t="shared" si="2"/>
        <v>101087456</v>
      </c>
      <c r="M17" s="12">
        <f t="shared" si="3"/>
        <v>27726656</v>
      </c>
      <c r="N17" s="37">
        <v>11357376</v>
      </c>
      <c r="O17" s="15">
        <v>101087456</v>
      </c>
      <c r="P17" s="15">
        <v>12543504</v>
      </c>
      <c r="Q17" s="15">
        <v>0</v>
      </c>
      <c r="R17" s="15">
        <v>15183152</v>
      </c>
      <c r="S17" s="15">
        <v>73319032</v>
      </c>
      <c r="T17" s="15">
        <v>41768</v>
      </c>
      <c r="U17" s="38">
        <v>75.837149199999999</v>
      </c>
      <c r="V17" s="38">
        <v>77.791347700000003</v>
      </c>
      <c r="W17" s="38">
        <v>41.027267700000003</v>
      </c>
      <c r="X17" s="38">
        <v>44.813473199999997</v>
      </c>
      <c r="Y17" s="38">
        <v>48.049542199999998</v>
      </c>
      <c r="Z17" s="38">
        <v>47.826787099999997</v>
      </c>
      <c r="AA17" s="38">
        <v>36.227999599999997</v>
      </c>
      <c r="AB17" s="16">
        <v>14948.984236</v>
      </c>
      <c r="AC17" s="16">
        <v>164.871983</v>
      </c>
      <c r="AE17" s="13" t="str">
        <f t="shared" si="4"/>
        <v>·</v>
      </c>
      <c r="AF17" s="14" t="str">
        <f t="shared" si="5"/>
        <v>·</v>
      </c>
      <c r="AG17" s="12"/>
      <c r="AH17" s="12"/>
      <c r="AI17" s="37"/>
      <c r="AJ17" s="15"/>
      <c r="AK17" s="15"/>
      <c r="AL17" s="15"/>
      <c r="AM17" s="15"/>
      <c r="AN17" s="15"/>
      <c r="AO17" s="15"/>
      <c r="AP17" s="38"/>
      <c r="AQ17" s="38"/>
      <c r="AR17" s="38"/>
      <c r="AS17" s="38"/>
      <c r="AT17" s="38"/>
      <c r="AU17" s="38"/>
      <c r="AV17" s="38"/>
      <c r="AW17" s="16"/>
      <c r="AX17" s="16"/>
      <c r="AZ17" s="17"/>
      <c r="BA17" s="17"/>
      <c r="BB17" s="17"/>
      <c r="BC17" s="17"/>
      <c r="BD17" s="17"/>
      <c r="BE17" s="17"/>
      <c r="BF17" s="17"/>
      <c r="BH17" s="17"/>
      <c r="BI17" s="17"/>
      <c r="BJ17" s="17"/>
      <c r="BK17" s="17"/>
      <c r="BL17" s="17"/>
      <c r="BM17" s="17"/>
      <c r="BN17" s="17"/>
      <c r="BP17" s="17">
        <f t="shared" si="6"/>
        <v>0</v>
      </c>
      <c r="BQ17" s="17">
        <f t="shared" si="7"/>
        <v>0</v>
      </c>
      <c r="BR17" s="17">
        <f t="shared" si="8"/>
        <v>0</v>
      </c>
      <c r="BS17" s="17">
        <f t="shared" si="9"/>
        <v>0</v>
      </c>
      <c r="BT17" s="17">
        <f t="shared" si="10"/>
        <v>0</v>
      </c>
    </row>
    <row r="18" spans="1:72" ht="15" customHeight="1" outlineLevel="1" x14ac:dyDescent="0.15">
      <c r="A18" s="26"/>
      <c r="B18" s="26" t="s">
        <v>53</v>
      </c>
      <c r="C18" s="28" t="s">
        <v>428</v>
      </c>
      <c r="D18" s="26">
        <v>11842002</v>
      </c>
      <c r="E18" s="27">
        <v>12</v>
      </c>
      <c r="F18" s="28">
        <v>300</v>
      </c>
      <c r="G18" s="28">
        <v>30</v>
      </c>
      <c r="H18" s="28">
        <v>14</v>
      </c>
      <c r="J18" s="29">
        <f t="shared" si="0"/>
        <v>14.636449599999999</v>
      </c>
      <c r="K18" s="30">
        <f t="shared" si="1"/>
        <v>12.359776328360695</v>
      </c>
      <c r="L18" s="28">
        <f t="shared" si="2"/>
        <v>146364496</v>
      </c>
      <c r="M18" s="28">
        <f t="shared" si="3"/>
        <v>40078808</v>
      </c>
      <c r="N18" s="39">
        <v>22718208</v>
      </c>
      <c r="O18" s="31">
        <v>146364496</v>
      </c>
      <c r="P18" s="31">
        <v>21604888</v>
      </c>
      <c r="Q18" s="31">
        <v>0</v>
      </c>
      <c r="R18" s="31">
        <v>18473920</v>
      </c>
      <c r="S18" s="31">
        <v>106243920</v>
      </c>
      <c r="T18" s="31">
        <v>41768</v>
      </c>
      <c r="U18" s="40">
        <v>78.180691699999997</v>
      </c>
      <c r="V18" s="40">
        <v>80.705348200000003</v>
      </c>
      <c r="W18" s="40">
        <v>42.141786600000003</v>
      </c>
      <c r="X18" s="40">
        <v>45.506698</v>
      </c>
      <c r="Y18" s="40">
        <v>49.194020500000001</v>
      </c>
      <c r="Z18" s="40">
        <v>49.450025500000002</v>
      </c>
      <c r="AA18" s="40">
        <v>37.949435200000003</v>
      </c>
      <c r="AB18" s="32">
        <v>16627.508115000001</v>
      </c>
      <c r="AC18" s="32">
        <v>175.742424</v>
      </c>
      <c r="AE18" s="29" t="str">
        <f t="shared" si="4"/>
        <v>·</v>
      </c>
      <c r="AF18" s="30" t="str">
        <f t="shared" si="5"/>
        <v>·</v>
      </c>
      <c r="AG18" s="28"/>
      <c r="AH18" s="28"/>
      <c r="AI18" s="39"/>
      <c r="AJ18" s="31"/>
      <c r="AK18" s="31"/>
      <c r="AL18" s="31"/>
      <c r="AM18" s="31"/>
      <c r="AN18" s="31"/>
      <c r="AO18" s="31"/>
      <c r="AP18" s="40"/>
      <c r="AQ18" s="40"/>
      <c r="AR18" s="40"/>
      <c r="AS18" s="40"/>
      <c r="AT18" s="40"/>
      <c r="AU18" s="40"/>
      <c r="AV18" s="40"/>
      <c r="AW18" s="32"/>
      <c r="AX18" s="32"/>
      <c r="AZ18" s="33"/>
      <c r="BA18" s="33"/>
      <c r="BB18" s="33"/>
      <c r="BC18" s="33"/>
      <c r="BD18" s="33"/>
      <c r="BE18" s="33"/>
      <c r="BF18" s="33"/>
      <c r="BH18" s="33"/>
      <c r="BI18" s="33"/>
      <c r="BJ18" s="33"/>
      <c r="BK18" s="33"/>
      <c r="BL18" s="33"/>
      <c r="BM18" s="33"/>
      <c r="BN18" s="33"/>
      <c r="BP18" s="33">
        <f t="shared" si="6"/>
        <v>0</v>
      </c>
      <c r="BQ18" s="33">
        <f t="shared" si="7"/>
        <v>0</v>
      </c>
      <c r="BR18" s="33">
        <f t="shared" si="8"/>
        <v>0</v>
      </c>
      <c r="BS18" s="33">
        <f t="shared" si="9"/>
        <v>0</v>
      </c>
      <c r="BT18" s="33">
        <f t="shared" si="10"/>
        <v>0</v>
      </c>
    </row>
    <row r="19" spans="1:72" ht="15.75" customHeight="1" outlineLevel="1" thickBot="1" x14ac:dyDescent="0.2">
      <c r="A19" s="10"/>
      <c r="B19" s="41" t="s">
        <v>53</v>
      </c>
      <c r="C19" s="42" t="s">
        <v>429</v>
      </c>
      <c r="D19" s="41">
        <v>11842002</v>
      </c>
      <c r="E19" s="43">
        <v>12</v>
      </c>
      <c r="F19" s="42">
        <v>300</v>
      </c>
      <c r="G19" s="42">
        <v>30</v>
      </c>
      <c r="H19" s="42">
        <v>21</v>
      </c>
      <c r="J19" s="44">
        <f t="shared" si="0"/>
        <v>21.812614399999998</v>
      </c>
      <c r="K19" s="45">
        <f t="shared" si="1"/>
        <v>18.419701668687441</v>
      </c>
      <c r="L19" s="42">
        <f t="shared" si="2"/>
        <v>218126144</v>
      </c>
      <c r="M19" s="42">
        <f t="shared" si="3"/>
        <v>42047048</v>
      </c>
      <c r="N19" s="46">
        <v>22718208</v>
      </c>
      <c r="O19" s="47">
        <v>218126144</v>
      </c>
      <c r="P19" s="47">
        <v>21604888</v>
      </c>
      <c r="Q19" s="47">
        <v>0</v>
      </c>
      <c r="R19" s="47">
        <v>20442160</v>
      </c>
      <c r="S19" s="47">
        <v>176037328</v>
      </c>
      <c r="T19" s="47">
        <v>41768</v>
      </c>
      <c r="U19" s="48">
        <v>78.485943700000007</v>
      </c>
      <c r="V19" s="48">
        <v>81.108867900000007</v>
      </c>
      <c r="W19" s="48">
        <v>43.160442699999997</v>
      </c>
      <c r="X19" s="48">
        <v>46.455865899999999</v>
      </c>
      <c r="Y19" s="48">
        <v>50.479879799999999</v>
      </c>
      <c r="Z19" s="48">
        <v>49.554909000000002</v>
      </c>
      <c r="AA19" s="48">
        <v>38.397516199999998</v>
      </c>
      <c r="AB19" s="49">
        <v>16624.473550999999</v>
      </c>
      <c r="AC19" s="49">
        <v>160.610274</v>
      </c>
      <c r="AE19" s="44" t="str">
        <f t="shared" si="4"/>
        <v>·</v>
      </c>
      <c r="AF19" s="45" t="str">
        <f t="shared" si="5"/>
        <v>·</v>
      </c>
      <c r="AG19" s="42"/>
      <c r="AH19" s="42"/>
      <c r="AI19" s="46"/>
      <c r="AJ19" s="47"/>
      <c r="AK19" s="47"/>
      <c r="AL19" s="47"/>
      <c r="AM19" s="47"/>
      <c r="AN19" s="47"/>
      <c r="AO19" s="47"/>
      <c r="AP19" s="48"/>
      <c r="AQ19" s="48"/>
      <c r="AR19" s="48"/>
      <c r="AS19" s="48"/>
      <c r="AT19" s="48"/>
      <c r="AU19" s="48"/>
      <c r="AV19" s="48"/>
      <c r="AW19" s="49"/>
      <c r="AX19" s="49"/>
      <c r="AZ19" s="50"/>
      <c r="BA19" s="50"/>
      <c r="BB19" s="50"/>
      <c r="BC19" s="50"/>
      <c r="BD19" s="50"/>
      <c r="BE19" s="50"/>
      <c r="BF19" s="50"/>
      <c r="BH19" s="50"/>
      <c r="BI19" s="50"/>
      <c r="BJ19" s="50"/>
      <c r="BK19" s="50"/>
      <c r="BL19" s="50"/>
      <c r="BM19" s="50"/>
      <c r="BN19" s="50"/>
      <c r="BP19" s="50">
        <f t="shared" si="6"/>
        <v>0</v>
      </c>
      <c r="BQ19" s="50">
        <f t="shared" si="7"/>
        <v>0</v>
      </c>
      <c r="BR19" s="50">
        <f t="shared" si="8"/>
        <v>0</v>
      </c>
      <c r="BS19" s="50">
        <f t="shared" si="9"/>
        <v>0</v>
      </c>
      <c r="BT19" s="50">
        <f t="shared" si="10"/>
        <v>0</v>
      </c>
    </row>
    <row r="20" spans="1:72" ht="15" customHeight="1" x14ac:dyDescent="0.15">
      <c r="A20" s="26"/>
      <c r="B20" s="26" t="s">
        <v>58</v>
      </c>
      <c r="C20" s="28" t="s">
        <v>425</v>
      </c>
      <c r="D20" s="26">
        <v>11812090</v>
      </c>
      <c r="E20" s="27">
        <v>12</v>
      </c>
      <c r="F20" s="28">
        <v>300</v>
      </c>
      <c r="G20" s="28">
        <v>30</v>
      </c>
      <c r="H20" s="28">
        <v>3</v>
      </c>
      <c r="J20" s="29">
        <f t="shared" si="0"/>
        <v>3.0012303999999999</v>
      </c>
      <c r="K20" s="30">
        <f t="shared" si="1"/>
        <v>2.5408123371901161</v>
      </c>
      <c r="L20" s="28">
        <f t="shared" si="2"/>
        <v>30012304</v>
      </c>
      <c r="M20" s="28">
        <f t="shared" si="3"/>
        <v>11504648</v>
      </c>
      <c r="N20" s="39">
        <v>5665680</v>
      </c>
      <c r="O20" s="31">
        <v>30012304</v>
      </c>
      <c r="P20" s="31">
        <v>6709184</v>
      </c>
      <c r="Q20" s="31">
        <v>0</v>
      </c>
      <c r="R20" s="31">
        <v>4795464</v>
      </c>
      <c r="S20" s="31">
        <v>18466048</v>
      </c>
      <c r="T20" s="31">
        <v>41608</v>
      </c>
      <c r="U20" s="40">
        <v>70.199355199999999</v>
      </c>
      <c r="V20" s="40">
        <v>71.416782900000001</v>
      </c>
      <c r="W20" s="40">
        <v>34.560715899999998</v>
      </c>
      <c r="X20" s="40">
        <v>42.748519299999998</v>
      </c>
      <c r="Y20" s="40">
        <v>44.140531799999998</v>
      </c>
      <c r="Z20" s="40">
        <v>46.074723400000003</v>
      </c>
      <c r="AA20" s="40">
        <v>31.063849099999999</v>
      </c>
      <c r="AB20" s="32">
        <v>4979.1747340000002</v>
      </c>
      <c r="AC20" s="32">
        <v>40.815886999999996</v>
      </c>
      <c r="AE20" s="29" t="str">
        <f t="shared" si="4"/>
        <v>·</v>
      </c>
      <c r="AF20" s="30" t="str">
        <f t="shared" si="5"/>
        <v>·</v>
      </c>
      <c r="AG20" s="28"/>
      <c r="AH20" s="28"/>
      <c r="AI20" s="39"/>
      <c r="AJ20" s="31"/>
      <c r="AK20" s="31"/>
      <c r="AL20" s="31"/>
      <c r="AM20" s="31"/>
      <c r="AN20" s="31"/>
      <c r="AO20" s="31"/>
      <c r="AP20" s="40"/>
      <c r="AQ20" s="40"/>
      <c r="AR20" s="40"/>
      <c r="AS20" s="40"/>
      <c r="AT20" s="40"/>
      <c r="AU20" s="40"/>
      <c r="AV20" s="40"/>
      <c r="AW20" s="32"/>
      <c r="AX20" s="32"/>
      <c r="AZ20" s="33" t="str">
        <f t="array" ref="AZ20">IF( OR(AND(ISBLANK(L20:L24)),AND(ISBLANK(AG20:AG24)), AND(ISBLANK(U20:U24)),AND(ISBLANK(AP20:AP24))), "·", bdRateExtend( L20:L24,U20:U24, AG20:AG24,AP20:AP24))</f>
        <v>·</v>
      </c>
      <c r="BA20" s="33" t="str">
        <f t="array" ref="BA20">IF( OR(AND(ISBLANK(L20:L24)),AND(ISBLANK(AG20:AG24)), AND(ISBLANK(V20:V24)),AND(ISBLANK(AQ20:AQ24))), "·", bdRateExtend( L20:L24,V20:V24, AG20:AG24,AQ20:AQ24))</f>
        <v>·</v>
      </c>
      <c r="BB20" s="33" t="str">
        <f t="array" ref="BB20">IF( OR(AND(ISBLANK(L20:L24)),AND(ISBLANK(AG20:AG24)), AND(ISBLANK(W20:W24)),AND(ISBLANK(AR20:AR24))), "·", bdRateExtend( L20:L24,W20:W24, AG20:AG24,AR20:AR24))</f>
        <v>·</v>
      </c>
      <c r="BC20" s="33" t="str">
        <f t="array" ref="BC20">IF( OR(AND(ISBLANK(L20:L24)),AND(ISBLANK(AG20:AG24)), AND(ISBLANK(X20:X24)),AND(ISBLANK(AS20:AS24))), "·", bdRateExtend( L20:L24,X20:X24, AG20:AG24,AS20:AS24))</f>
        <v>·</v>
      </c>
      <c r="BD20" s="33" t="str">
        <f t="array" ref="BD20">IF( OR(AND(ISBLANK(L20:L24)),AND(ISBLANK(AG20:AG24)), AND(ISBLANK(Y20:Y24)),AND(ISBLANK(AT20:AT24))), "·", bdRateExtend( L20:L24,Y20:Y24, AG20:AG24,AT20:AT24))</f>
        <v>·</v>
      </c>
      <c r="BE20" s="33" t="str">
        <f t="array" ref="BE20">IF( OR(AND(ISBLANK(L20:L24)),AND(ISBLANK(AG20:AG24)), AND(ISBLANK(Z20:Z24)),AND(ISBLANK(AU20:AU24))), "·", bdRateExtend( L20:L24,Z20:Z24, AG20:AG24,AU20:AU24))</f>
        <v>·</v>
      </c>
      <c r="BF20" s="33" t="str">
        <f t="array" ref="BF20">IF( OR(AND(ISBLANK(L20:L24)),AND(ISBLANK(AG20:AG24)), AND(ISBLANK(AA20:AA24)),AND(ISBLANK(AV20:AV24))), "·", bdRateExtend( L20:L24,AA20:AA24, AG20:AG24,AV20:AV24))</f>
        <v>·</v>
      </c>
      <c r="BH20" s="33" t="str">
        <f t="array" ref="BH20">IF( OR(AND(ISBLANK(M20:M24)),AND(ISBLANK(AH20:AH24)), AND(ISBLANK(U20:U24)),AND(ISBLANK(AP20:AP24))), "·", bdRateExtend( M20:M24,U20:U24, AH20:AH24,AP20:AP24))</f>
        <v>·</v>
      </c>
      <c r="BI20" s="33" t="str">
        <f t="array" ref="BI20">IF( OR(AND(ISBLANK(M20:M24)),AND(ISBLANK(AH20:AH24)), AND(ISBLANK(V20:V24)),AND(ISBLANK(AQ20:AQ24))), "·", bdRateExtend( M20:M24,V20:V24, AH20:AH24,AQ20:AQ24))</f>
        <v>·</v>
      </c>
      <c r="BJ20" s="33" t="str">
        <f t="array" ref="BJ20">IF( OR(AND(ISBLANK(S20:S24)),AND(ISBLANK(AN20:AN24)), AND(ISBLANK(W20:W24)),AND(ISBLANK(AR20:AR24))), "·", bdRateExtend( S20:S24,W20:W24, AN20:AN24,AR20:AR24))</f>
        <v>·</v>
      </c>
      <c r="BK20" s="33" t="str">
        <f t="array" ref="BK20">IF( OR(AND(ISBLANK(S20:S24)),AND(ISBLANK(AN20:AN24)), AND(ISBLANK(X20:X24)),AND(ISBLANK(AS20:AS24))), "·", bdRateExtend( S20:S24,X20:X24, AN20:AN24,AS20:AS24))</f>
        <v>·</v>
      </c>
      <c r="BL20" s="33" t="str">
        <f t="array" ref="BL20">IF( OR(AND(ISBLANK(S20:S24)),AND(ISBLANK(AN20:AN24)), AND(ISBLANK(Y20:Y24)),AND(ISBLANK(AT20:AT24))), "·", bdRateExtend( S20:S24,Y20:Y24, AN20:AN24,AT20:AT24))</f>
        <v>·</v>
      </c>
      <c r="BM20" s="33" t="str">
        <f t="array" ref="BM20">IF( OR(AND(ISBLANK(M20:M24)),AND(ISBLANK(AH20:AH24)), AND(ISBLANK(Z20:Z24)),AND(ISBLANK(AU20:AU24))), "·", bdRateExtend( M20:M24,Z20:Z24, AH20:AH24,AU20:AU24))</f>
        <v>·</v>
      </c>
      <c r="BN20" s="33" t="str">
        <f t="array" ref="BN20">IF( OR(AND(ISBLANK(S20:S24)),AND(ISBLANK(AN20:AN24)), AND(ISBLANK(AA20:AA24)),AND(ISBLANK(AV20:AV24))), "·", bdRateExtend( S20:S24,AA20:AA24, AN20:AN24,AV20:AV24))</f>
        <v>·</v>
      </c>
      <c r="BP20" s="33">
        <f t="shared" si="6"/>
        <v>0</v>
      </c>
      <c r="BQ20" s="33">
        <f t="shared" si="7"/>
        <v>0</v>
      </c>
      <c r="BR20" s="33">
        <f t="shared" si="8"/>
        <v>0</v>
      </c>
      <c r="BS20" s="33">
        <f t="shared" si="9"/>
        <v>0</v>
      </c>
      <c r="BT20" s="33">
        <f t="shared" si="10"/>
        <v>0</v>
      </c>
    </row>
    <row r="21" spans="1:72" ht="15" customHeight="1" outlineLevel="1" x14ac:dyDescent="0.15">
      <c r="A21" s="10"/>
      <c r="B21" s="10" t="s">
        <v>58</v>
      </c>
      <c r="C21" s="12" t="s">
        <v>426</v>
      </c>
      <c r="D21" s="10">
        <v>11812090</v>
      </c>
      <c r="E21" s="11">
        <v>12</v>
      </c>
      <c r="F21" s="12">
        <v>300</v>
      </c>
      <c r="G21" s="12">
        <v>30</v>
      </c>
      <c r="H21" s="12">
        <v>5</v>
      </c>
      <c r="J21" s="13">
        <f t="shared" si="0"/>
        <v>5.0943671999999998</v>
      </c>
      <c r="K21" s="14">
        <f t="shared" si="1"/>
        <v>4.3128415039167498</v>
      </c>
      <c r="L21" s="12">
        <f t="shared" si="2"/>
        <v>50943672</v>
      </c>
      <c r="M21" s="12">
        <f t="shared" si="3"/>
        <v>12531320</v>
      </c>
      <c r="N21" s="37">
        <v>5665680</v>
      </c>
      <c r="O21" s="15">
        <v>50943672</v>
      </c>
      <c r="P21" s="15">
        <v>7277976</v>
      </c>
      <c r="Q21" s="15">
        <v>0</v>
      </c>
      <c r="R21" s="15">
        <v>5253344</v>
      </c>
      <c r="S21" s="15">
        <v>38370584</v>
      </c>
      <c r="T21" s="15">
        <v>41768</v>
      </c>
      <c r="U21" s="38">
        <v>70.564707999999996</v>
      </c>
      <c r="V21" s="38">
        <v>71.820186899999996</v>
      </c>
      <c r="W21" s="38">
        <v>37.184982599999998</v>
      </c>
      <c r="X21" s="38">
        <v>43.950003899999999</v>
      </c>
      <c r="Y21" s="38">
        <v>46.013927600000002</v>
      </c>
      <c r="Z21" s="38">
        <v>46.2306667</v>
      </c>
      <c r="AA21" s="38">
        <v>32.064462900000002</v>
      </c>
      <c r="AB21" s="16">
        <v>12880.158869000001</v>
      </c>
      <c r="AC21" s="16">
        <v>155.66280599999999</v>
      </c>
      <c r="AE21" s="13" t="str">
        <f t="shared" si="4"/>
        <v>·</v>
      </c>
      <c r="AF21" s="14" t="str">
        <f t="shared" si="5"/>
        <v>·</v>
      </c>
      <c r="AG21" s="12"/>
      <c r="AH21" s="12"/>
      <c r="AI21" s="37"/>
      <c r="AJ21" s="15"/>
      <c r="AK21" s="15"/>
      <c r="AL21" s="15"/>
      <c r="AM21" s="15"/>
      <c r="AN21" s="15"/>
      <c r="AO21" s="15"/>
      <c r="AP21" s="38"/>
      <c r="AQ21" s="38"/>
      <c r="AR21" s="38"/>
      <c r="AS21" s="38"/>
      <c r="AT21" s="38"/>
      <c r="AU21" s="38"/>
      <c r="AV21" s="38"/>
      <c r="AW21" s="16"/>
      <c r="AX21" s="16"/>
      <c r="AZ21" s="17"/>
      <c r="BA21" s="17"/>
      <c r="BB21" s="17"/>
      <c r="BC21" s="17"/>
      <c r="BD21" s="17"/>
      <c r="BE21" s="17"/>
      <c r="BF21" s="17"/>
      <c r="BH21" s="17"/>
      <c r="BI21" s="17"/>
      <c r="BJ21" s="17"/>
      <c r="BK21" s="17"/>
      <c r="BL21" s="17"/>
      <c r="BM21" s="17"/>
      <c r="BN21" s="17"/>
      <c r="BP21" s="17">
        <f t="shared" si="6"/>
        <v>0</v>
      </c>
      <c r="BQ21" s="17">
        <f t="shared" si="7"/>
        <v>0</v>
      </c>
      <c r="BR21" s="17">
        <f t="shared" si="8"/>
        <v>0</v>
      </c>
      <c r="BS21" s="17">
        <f t="shared" si="9"/>
        <v>0</v>
      </c>
      <c r="BT21" s="17">
        <f t="shared" si="10"/>
        <v>0</v>
      </c>
    </row>
    <row r="22" spans="1:72" ht="15" customHeight="1" outlineLevel="1" x14ac:dyDescent="0.15">
      <c r="A22" s="26"/>
      <c r="B22" s="26" t="s">
        <v>58</v>
      </c>
      <c r="C22" s="28" t="s">
        <v>427</v>
      </c>
      <c r="D22" s="26">
        <v>11812090</v>
      </c>
      <c r="E22" s="27">
        <v>12</v>
      </c>
      <c r="F22" s="28">
        <v>300</v>
      </c>
      <c r="G22" s="28">
        <v>30</v>
      </c>
      <c r="H22" s="28">
        <v>10</v>
      </c>
      <c r="J22" s="29">
        <f t="shared" si="0"/>
        <v>10.0875</v>
      </c>
      <c r="K22" s="30">
        <f t="shared" si="1"/>
        <v>8.5399789537668607</v>
      </c>
      <c r="L22" s="28">
        <f t="shared" si="2"/>
        <v>100875000</v>
      </c>
      <c r="M22" s="28">
        <f t="shared" si="3"/>
        <v>26052592</v>
      </c>
      <c r="N22" s="39">
        <v>11333408</v>
      </c>
      <c r="O22" s="31">
        <v>100875000</v>
      </c>
      <c r="P22" s="31">
        <v>11209680</v>
      </c>
      <c r="Q22" s="31">
        <v>0</v>
      </c>
      <c r="R22" s="31">
        <v>14842912</v>
      </c>
      <c r="S22" s="31">
        <v>74780640</v>
      </c>
      <c r="T22" s="31">
        <v>41768</v>
      </c>
      <c r="U22" s="40">
        <v>76.0852048</v>
      </c>
      <c r="V22" s="40">
        <v>78.156496500000003</v>
      </c>
      <c r="W22" s="40">
        <v>40.266653300000002</v>
      </c>
      <c r="X22" s="40">
        <v>45.206045699999997</v>
      </c>
      <c r="Y22" s="40">
        <v>48.096658099999999</v>
      </c>
      <c r="Z22" s="40">
        <v>48.8449375</v>
      </c>
      <c r="AA22" s="40">
        <v>35.654052200000002</v>
      </c>
      <c r="AB22" s="32">
        <v>16922.189966999998</v>
      </c>
      <c r="AC22" s="32">
        <v>183.70048600000001</v>
      </c>
      <c r="AE22" s="29" t="str">
        <f t="shared" si="4"/>
        <v>·</v>
      </c>
      <c r="AF22" s="30" t="str">
        <f t="shared" si="5"/>
        <v>·</v>
      </c>
      <c r="AG22" s="28"/>
      <c r="AH22" s="28"/>
      <c r="AI22" s="39"/>
      <c r="AJ22" s="31"/>
      <c r="AK22" s="31"/>
      <c r="AL22" s="31"/>
      <c r="AM22" s="31"/>
      <c r="AN22" s="31"/>
      <c r="AO22" s="31"/>
      <c r="AP22" s="40"/>
      <c r="AQ22" s="40"/>
      <c r="AR22" s="40"/>
      <c r="AS22" s="40"/>
      <c r="AT22" s="40"/>
      <c r="AU22" s="40"/>
      <c r="AV22" s="40"/>
      <c r="AW22" s="32"/>
      <c r="AX22" s="32"/>
      <c r="AZ22" s="33"/>
      <c r="BA22" s="33"/>
      <c r="BB22" s="33"/>
      <c r="BC22" s="33"/>
      <c r="BD22" s="33"/>
      <c r="BE22" s="33"/>
      <c r="BF22" s="33"/>
      <c r="BH22" s="33"/>
      <c r="BI22" s="33"/>
      <c r="BJ22" s="33"/>
      <c r="BK22" s="33"/>
      <c r="BL22" s="33"/>
      <c r="BM22" s="33"/>
      <c r="BN22" s="33"/>
      <c r="BP22" s="33">
        <f t="shared" si="6"/>
        <v>0</v>
      </c>
      <c r="BQ22" s="33">
        <f t="shared" si="7"/>
        <v>0</v>
      </c>
      <c r="BR22" s="33">
        <f t="shared" si="8"/>
        <v>0</v>
      </c>
      <c r="BS22" s="33">
        <f t="shared" si="9"/>
        <v>0</v>
      </c>
      <c r="BT22" s="33">
        <f t="shared" si="10"/>
        <v>0</v>
      </c>
    </row>
    <row r="23" spans="1:72" ht="15" customHeight="1" outlineLevel="1" x14ac:dyDescent="0.15">
      <c r="A23" s="10"/>
      <c r="B23" s="10" t="s">
        <v>58</v>
      </c>
      <c r="C23" s="12" t="s">
        <v>428</v>
      </c>
      <c r="D23" s="10">
        <v>11812090</v>
      </c>
      <c r="E23" s="11">
        <v>12</v>
      </c>
      <c r="F23" s="12">
        <v>300</v>
      </c>
      <c r="G23" s="12">
        <v>30</v>
      </c>
      <c r="H23" s="12">
        <v>14</v>
      </c>
      <c r="J23" s="13">
        <f t="shared" si="0"/>
        <v>14.489857599999999</v>
      </c>
      <c r="K23" s="14">
        <f t="shared" si="1"/>
        <v>12.266971890664564</v>
      </c>
      <c r="L23" s="12">
        <f t="shared" si="2"/>
        <v>144898576</v>
      </c>
      <c r="M23" s="12">
        <f t="shared" si="3"/>
        <v>38714936</v>
      </c>
      <c r="N23" s="37">
        <v>22669584</v>
      </c>
      <c r="O23" s="15">
        <v>144898576</v>
      </c>
      <c r="P23" s="15">
        <v>23444640</v>
      </c>
      <c r="Q23" s="15">
        <v>0</v>
      </c>
      <c r="R23" s="15">
        <v>15270296</v>
      </c>
      <c r="S23" s="15">
        <v>106141872</v>
      </c>
      <c r="T23" s="15">
        <v>41768</v>
      </c>
      <c r="U23" s="38">
        <v>78.036747099999999</v>
      </c>
      <c r="V23" s="38">
        <v>80.624293699999996</v>
      </c>
      <c r="W23" s="38">
        <v>41.417812300000001</v>
      </c>
      <c r="X23" s="38">
        <v>45.7304472</v>
      </c>
      <c r="Y23" s="38">
        <v>48.836992199999997</v>
      </c>
      <c r="Z23" s="38">
        <v>50.454151500000002</v>
      </c>
      <c r="AA23" s="38">
        <v>37.282563000000003</v>
      </c>
      <c r="AB23" s="16">
        <v>18531.470776999999</v>
      </c>
      <c r="AC23" s="16">
        <v>170.00827699999999</v>
      </c>
      <c r="AE23" s="13" t="str">
        <f t="shared" si="4"/>
        <v>·</v>
      </c>
      <c r="AF23" s="14" t="str">
        <f t="shared" si="5"/>
        <v>·</v>
      </c>
      <c r="AG23" s="12"/>
      <c r="AH23" s="12"/>
      <c r="AI23" s="37"/>
      <c r="AJ23" s="15"/>
      <c r="AK23" s="15"/>
      <c r="AL23" s="15"/>
      <c r="AM23" s="15"/>
      <c r="AN23" s="15"/>
      <c r="AO23" s="15"/>
      <c r="AP23" s="38"/>
      <c r="AQ23" s="38"/>
      <c r="AR23" s="38"/>
      <c r="AS23" s="38"/>
      <c r="AT23" s="38"/>
      <c r="AU23" s="38"/>
      <c r="AV23" s="38"/>
      <c r="AW23" s="16"/>
      <c r="AX23" s="16"/>
      <c r="AZ23" s="17"/>
      <c r="BA23" s="17"/>
      <c r="BB23" s="17"/>
      <c r="BC23" s="17"/>
      <c r="BD23" s="17"/>
      <c r="BE23" s="17"/>
      <c r="BF23" s="17"/>
      <c r="BH23" s="17"/>
      <c r="BI23" s="17"/>
      <c r="BJ23" s="17"/>
      <c r="BK23" s="17"/>
      <c r="BL23" s="17"/>
      <c r="BM23" s="17"/>
      <c r="BN23" s="17"/>
      <c r="BP23" s="17">
        <f t="shared" si="6"/>
        <v>0</v>
      </c>
      <c r="BQ23" s="17">
        <f t="shared" si="7"/>
        <v>0</v>
      </c>
      <c r="BR23" s="17">
        <f t="shared" si="8"/>
        <v>0</v>
      </c>
      <c r="BS23" s="17">
        <f t="shared" si="9"/>
        <v>0</v>
      </c>
      <c r="BT23" s="17">
        <f t="shared" si="10"/>
        <v>0</v>
      </c>
    </row>
    <row r="24" spans="1:72" ht="15.75" customHeight="1" outlineLevel="1" thickBot="1" x14ac:dyDescent="0.2">
      <c r="A24" s="18"/>
      <c r="B24" s="18" t="s">
        <v>58</v>
      </c>
      <c r="C24" s="20" t="s">
        <v>429</v>
      </c>
      <c r="D24" s="18">
        <v>11812090</v>
      </c>
      <c r="E24" s="19">
        <v>12</v>
      </c>
      <c r="F24" s="20">
        <v>300</v>
      </c>
      <c r="G24" s="20">
        <v>30</v>
      </c>
      <c r="H24" s="20">
        <v>21</v>
      </c>
      <c r="J24" s="21">
        <f t="shared" si="0"/>
        <v>21.504384000000002</v>
      </c>
      <c r="K24" s="22">
        <f t="shared" si="1"/>
        <v>18.205401414990913</v>
      </c>
      <c r="L24" s="20">
        <f t="shared" si="2"/>
        <v>215043840</v>
      </c>
      <c r="M24" s="20">
        <f t="shared" si="3"/>
        <v>40634864</v>
      </c>
      <c r="N24" s="51">
        <v>22669584</v>
      </c>
      <c r="O24" s="23">
        <v>215043840</v>
      </c>
      <c r="P24" s="23">
        <v>21254904</v>
      </c>
      <c r="Q24" s="23">
        <v>0</v>
      </c>
      <c r="R24" s="23">
        <v>19379960</v>
      </c>
      <c r="S24" s="23">
        <v>174367208</v>
      </c>
      <c r="T24" s="23">
        <v>41768</v>
      </c>
      <c r="U24" s="52">
        <v>78.633628000000002</v>
      </c>
      <c r="V24" s="52">
        <v>81.446598399999999</v>
      </c>
      <c r="W24" s="52">
        <v>42.397753999999999</v>
      </c>
      <c r="X24" s="52">
        <v>46.802472100000003</v>
      </c>
      <c r="Y24" s="52">
        <v>50.196407399999998</v>
      </c>
      <c r="Z24" s="52">
        <v>50.628340899999998</v>
      </c>
      <c r="AA24" s="52">
        <v>37.882982699999999</v>
      </c>
      <c r="AB24" s="24">
        <v>19625.547148000001</v>
      </c>
      <c r="AC24" s="24">
        <v>182.95112399999999</v>
      </c>
      <c r="AE24" s="21" t="str">
        <f t="shared" si="4"/>
        <v>·</v>
      </c>
      <c r="AF24" s="22" t="str">
        <f t="shared" si="5"/>
        <v>·</v>
      </c>
      <c r="AG24" s="20"/>
      <c r="AH24" s="20"/>
      <c r="AI24" s="51"/>
      <c r="AJ24" s="23"/>
      <c r="AK24" s="23"/>
      <c r="AL24" s="23"/>
      <c r="AM24" s="23"/>
      <c r="AN24" s="23"/>
      <c r="AO24" s="23"/>
      <c r="AP24" s="52"/>
      <c r="AQ24" s="52"/>
      <c r="AR24" s="52"/>
      <c r="AS24" s="52"/>
      <c r="AT24" s="52"/>
      <c r="AU24" s="52"/>
      <c r="AV24" s="52"/>
      <c r="AW24" s="24"/>
      <c r="AX24" s="24"/>
      <c r="AZ24" s="25"/>
      <c r="BA24" s="25"/>
      <c r="BB24" s="25"/>
      <c r="BC24" s="25"/>
      <c r="BD24" s="25"/>
      <c r="BE24" s="25"/>
      <c r="BF24" s="25"/>
      <c r="BH24" s="25"/>
      <c r="BI24" s="25"/>
      <c r="BJ24" s="25"/>
      <c r="BK24" s="25"/>
      <c r="BL24" s="25"/>
      <c r="BM24" s="25"/>
      <c r="BN24" s="25"/>
      <c r="BP24" s="25">
        <f t="shared" si="6"/>
        <v>0</v>
      </c>
      <c r="BQ24" s="25">
        <f t="shared" si="7"/>
        <v>0</v>
      </c>
      <c r="BR24" s="25">
        <f t="shared" si="8"/>
        <v>0</v>
      </c>
      <c r="BS24" s="25">
        <f t="shared" si="9"/>
        <v>0</v>
      </c>
      <c r="BT24" s="25">
        <f t="shared" si="10"/>
        <v>0</v>
      </c>
    </row>
    <row r="25" spans="1:72" ht="15" customHeight="1" x14ac:dyDescent="0.15">
      <c r="A25" s="10" t="s">
        <v>191</v>
      </c>
      <c r="B25" s="10" t="s">
        <v>63</v>
      </c>
      <c r="C25" s="12" t="s">
        <v>425</v>
      </c>
      <c r="D25" s="10">
        <v>12000000</v>
      </c>
      <c r="E25" s="11">
        <v>12</v>
      </c>
      <c r="F25" s="12">
        <v>300</v>
      </c>
      <c r="G25" s="12">
        <v>30</v>
      </c>
      <c r="H25" s="12">
        <v>4</v>
      </c>
      <c r="J25" s="13">
        <f t="shared" si="0"/>
        <v>4.2888064000000004</v>
      </c>
      <c r="K25" s="14">
        <f t="shared" si="1"/>
        <v>3.5740053333333335</v>
      </c>
      <c r="L25" s="12">
        <f t="shared" si="2"/>
        <v>42888064</v>
      </c>
      <c r="M25" s="12">
        <f t="shared" si="3"/>
        <v>11583304</v>
      </c>
      <c r="N25" s="37">
        <v>23021184</v>
      </c>
      <c r="O25" s="15">
        <v>42888064</v>
      </c>
      <c r="P25" s="15">
        <v>6690928</v>
      </c>
      <c r="Q25" s="15">
        <v>0</v>
      </c>
      <c r="R25" s="15">
        <v>4892376</v>
      </c>
      <c r="S25" s="15">
        <v>31263152</v>
      </c>
      <c r="T25" s="15">
        <v>41608</v>
      </c>
      <c r="U25" s="38">
        <v>73.127954500000001</v>
      </c>
      <c r="V25" s="38">
        <v>74.816811900000005</v>
      </c>
      <c r="W25" s="38">
        <v>31.0739026</v>
      </c>
      <c r="X25" s="38">
        <v>39.9076497</v>
      </c>
      <c r="Y25" s="38">
        <v>36.592660799999997</v>
      </c>
      <c r="Z25" s="38">
        <v>44.942883199999997</v>
      </c>
      <c r="AA25" s="38">
        <v>27.8950608</v>
      </c>
      <c r="AB25" s="16">
        <v>6385.1610069999997</v>
      </c>
      <c r="AC25" s="16">
        <v>42.918787999999999</v>
      </c>
      <c r="AE25" s="13" t="str">
        <f t="shared" si="4"/>
        <v>·</v>
      </c>
      <c r="AF25" s="14" t="str">
        <f t="shared" si="5"/>
        <v>·</v>
      </c>
      <c r="AG25" s="12"/>
      <c r="AH25" s="12"/>
      <c r="AI25" s="37"/>
      <c r="AJ25" s="15"/>
      <c r="AK25" s="15"/>
      <c r="AL25" s="15"/>
      <c r="AM25" s="15"/>
      <c r="AN25" s="15"/>
      <c r="AO25" s="15"/>
      <c r="AP25" s="38"/>
      <c r="AQ25" s="38"/>
      <c r="AR25" s="38"/>
      <c r="AS25" s="38"/>
      <c r="AT25" s="38"/>
      <c r="AU25" s="38"/>
      <c r="AV25" s="38"/>
      <c r="AW25" s="16"/>
      <c r="AX25" s="16"/>
      <c r="AZ25" s="17" t="str">
        <f t="array" ref="AZ25">IF( OR(AND(ISBLANK(L25:L29)),AND(ISBLANK(AG25:AG29)), AND(ISBLANK(U25:U29)),AND(ISBLANK(AP25:AP29))), "·", bdRateExtend( L25:L29,U25:U29, AG25:AG29,AP25:AP29))</f>
        <v>·</v>
      </c>
      <c r="BA25" s="17" t="str">
        <f t="array" ref="BA25">IF( OR(AND(ISBLANK(L25:L29)),AND(ISBLANK(AG25:AG29)), AND(ISBLANK(V25:V29)),AND(ISBLANK(AQ25:AQ29))), "·", bdRateExtend( L25:L29,V25:V29, AG25:AG29,AQ25:AQ29))</f>
        <v>·</v>
      </c>
      <c r="BB25" s="17" t="str">
        <f t="array" ref="BB25">IF( OR(AND(ISBLANK(L25:L29)),AND(ISBLANK(AG25:AG29)), AND(ISBLANK(W25:W29)),AND(ISBLANK(AR25:AR29))), "·", bdRateExtend( L25:L29,W25:W29, AG25:AG29,AR25:AR29))</f>
        <v>·</v>
      </c>
      <c r="BC25" s="17" t="str">
        <f t="array" ref="BC25">IF( OR(AND(ISBLANK(L25:L29)),AND(ISBLANK(AG25:AG29)), AND(ISBLANK(X25:X29)),AND(ISBLANK(AS25:AS29))), "·", bdRateExtend( L25:L29,X25:X29, AG25:AG29,AS25:AS29))</f>
        <v>·</v>
      </c>
      <c r="BD25" s="17" t="str">
        <f t="array" ref="BD25">IF( OR(AND(ISBLANK(L25:L29)),AND(ISBLANK(AG25:AG29)), AND(ISBLANK(Y25:Y29)),AND(ISBLANK(AT25:AT29))), "·", bdRateExtend( L25:L29,Y25:Y29, AG25:AG29,AT25:AT29))</f>
        <v>·</v>
      </c>
      <c r="BE25" s="17" t="str">
        <f t="array" ref="BE25">IF( OR(AND(ISBLANK(L25:L29)),AND(ISBLANK(AG25:AG29)), AND(ISBLANK(Z25:Z29)),AND(ISBLANK(AU25:AU29))), "·", bdRateExtend( L25:L29,Z25:Z29, AG25:AG29,AU25:AU29))</f>
        <v>·</v>
      </c>
      <c r="BF25" s="17" t="str">
        <f t="array" ref="BF25">IF( OR(AND(ISBLANK(L25:L29)),AND(ISBLANK(AG25:AG29)), AND(ISBLANK(AA25:AA29)),AND(ISBLANK(AV25:AV29))), "·", bdRateExtend( L25:L29,AA25:AA29, AG25:AG29,AV25:AV29))</f>
        <v>·</v>
      </c>
      <c r="BH25" s="17" t="str">
        <f t="array" ref="BH25">IF( OR(AND(ISBLANK(M25:M29)),AND(ISBLANK(AH25:AH29)), AND(ISBLANK(U25:U29)),AND(ISBLANK(AP25:AP29))), "·", bdRateExtend( M25:M29,U25:U29, AH25:AH29,AP25:AP29))</f>
        <v>·</v>
      </c>
      <c r="BI25" s="17" t="str">
        <f t="array" ref="BI25">IF( OR(AND(ISBLANK(M25:M29)),AND(ISBLANK(AH25:AH29)), AND(ISBLANK(V25:V29)),AND(ISBLANK(AQ25:AQ29))), "·", bdRateExtend( M25:M29,V25:V29, AH25:AH29,AQ25:AQ29))</f>
        <v>·</v>
      </c>
      <c r="BJ25" s="17" t="str">
        <f t="array" ref="BJ25">IF( OR(AND(ISBLANK(S25:S29)),AND(ISBLANK(AN25:AN29)), AND(ISBLANK(W25:W29)),AND(ISBLANK(AR25:AR29))), "·", bdRateExtend( S25:S29,W25:W29, AN25:AN29,AR25:AR29))</f>
        <v>·</v>
      </c>
      <c r="BK25" s="17" t="str">
        <f t="array" ref="BK25">IF( OR(AND(ISBLANK(S25:S29)),AND(ISBLANK(AN25:AN29)), AND(ISBLANK(X25:X29)),AND(ISBLANK(AS25:AS29))), "·", bdRateExtend( S25:S29,X25:X29, AN25:AN29,AS25:AS29))</f>
        <v>·</v>
      </c>
      <c r="BL25" s="17" t="str">
        <f t="array" ref="BL25">IF( OR(AND(ISBLANK(S25:S29)),AND(ISBLANK(AN25:AN29)), AND(ISBLANK(Y25:Y29)),AND(ISBLANK(AT25:AT29))), "·", bdRateExtend( S25:S29,Y25:Y29, AN25:AN29,AT25:AT29))</f>
        <v>·</v>
      </c>
      <c r="BM25" s="17" t="str">
        <f t="array" ref="BM25">IF( OR(AND(ISBLANK(M25:M29)),AND(ISBLANK(AH25:AH29)), AND(ISBLANK(Z25:Z29)),AND(ISBLANK(AU25:AU29))), "·", bdRateExtend( M25:M29,Z25:Z29, AH25:AH29,AU25:AU29))</f>
        <v>·</v>
      </c>
      <c r="BN25" s="17" t="str">
        <f t="array" ref="BN25">IF( OR(AND(ISBLANK(S25:S29)),AND(ISBLANK(AN25:AN29)), AND(ISBLANK(AA25:AA29)),AND(ISBLANK(AV25:AV29))), "·", bdRateExtend( S25:S29,AA25:AA29, AN25:AN29,AV25:AV29))</f>
        <v>·</v>
      </c>
      <c r="BP25" s="17">
        <f t="shared" si="6"/>
        <v>0</v>
      </c>
      <c r="BQ25" s="17">
        <f t="shared" si="7"/>
        <v>0</v>
      </c>
      <c r="BR25" s="17">
        <f t="shared" si="8"/>
        <v>0</v>
      </c>
      <c r="BS25" s="17">
        <f t="shared" si="9"/>
        <v>0</v>
      </c>
      <c r="BT25" s="17">
        <f t="shared" si="10"/>
        <v>0</v>
      </c>
    </row>
    <row r="26" spans="1:72" ht="15" customHeight="1" outlineLevel="1" x14ac:dyDescent="0.15">
      <c r="A26" s="26"/>
      <c r="B26" s="26" t="s">
        <v>63</v>
      </c>
      <c r="C26" s="28" t="s">
        <v>426</v>
      </c>
      <c r="D26" s="26">
        <v>12000000</v>
      </c>
      <c r="E26" s="27">
        <v>12</v>
      </c>
      <c r="F26" s="28">
        <v>300</v>
      </c>
      <c r="G26" s="28">
        <v>30</v>
      </c>
      <c r="H26" s="28">
        <v>8</v>
      </c>
      <c r="J26" s="29">
        <f t="shared" si="0"/>
        <v>8.5624663999999999</v>
      </c>
      <c r="K26" s="30">
        <f t="shared" si="1"/>
        <v>7.1353886666666666</v>
      </c>
      <c r="L26" s="28">
        <f t="shared" si="2"/>
        <v>85624664</v>
      </c>
      <c r="M26" s="28">
        <f t="shared" si="3"/>
        <v>19080368</v>
      </c>
      <c r="N26" s="39">
        <v>46064000</v>
      </c>
      <c r="O26" s="31">
        <v>85624664</v>
      </c>
      <c r="P26" s="31">
        <v>11265432</v>
      </c>
      <c r="Q26" s="31">
        <v>0</v>
      </c>
      <c r="R26" s="31">
        <v>7814936</v>
      </c>
      <c r="S26" s="31">
        <v>66502528</v>
      </c>
      <c r="T26" s="31">
        <v>41768</v>
      </c>
      <c r="U26" s="40">
        <v>76.551110499999993</v>
      </c>
      <c r="V26" s="40">
        <v>78.7779101</v>
      </c>
      <c r="W26" s="40">
        <v>33.417650999999999</v>
      </c>
      <c r="X26" s="40">
        <v>41.835862900000002</v>
      </c>
      <c r="Y26" s="40">
        <v>39.439223499999997</v>
      </c>
      <c r="Z26" s="40">
        <v>46.657209199999997</v>
      </c>
      <c r="AA26" s="40">
        <v>30.657900099999999</v>
      </c>
      <c r="AB26" s="32">
        <v>17912.610249000001</v>
      </c>
      <c r="AC26" s="32">
        <v>175.248256</v>
      </c>
      <c r="AE26" s="29" t="str">
        <f t="shared" si="4"/>
        <v>·</v>
      </c>
      <c r="AF26" s="30" t="str">
        <f t="shared" si="5"/>
        <v>·</v>
      </c>
      <c r="AG26" s="28"/>
      <c r="AH26" s="28"/>
      <c r="AI26" s="39"/>
      <c r="AJ26" s="31"/>
      <c r="AK26" s="31"/>
      <c r="AL26" s="31"/>
      <c r="AM26" s="31"/>
      <c r="AN26" s="31"/>
      <c r="AO26" s="31"/>
      <c r="AP26" s="40"/>
      <c r="AQ26" s="40"/>
      <c r="AR26" s="40"/>
      <c r="AS26" s="40"/>
      <c r="AT26" s="40"/>
      <c r="AU26" s="40"/>
      <c r="AV26" s="40"/>
      <c r="AW26" s="32"/>
      <c r="AX26" s="32"/>
      <c r="AZ26" s="33"/>
      <c r="BA26" s="33"/>
      <c r="BB26" s="33"/>
      <c r="BC26" s="33"/>
      <c r="BD26" s="33"/>
      <c r="BE26" s="33"/>
      <c r="BF26" s="33"/>
      <c r="BH26" s="33"/>
      <c r="BI26" s="33"/>
      <c r="BJ26" s="33"/>
      <c r="BK26" s="33"/>
      <c r="BL26" s="33"/>
      <c r="BM26" s="33"/>
      <c r="BN26" s="33"/>
      <c r="BP26" s="33">
        <f t="shared" si="6"/>
        <v>0</v>
      </c>
      <c r="BQ26" s="33">
        <f t="shared" si="7"/>
        <v>0</v>
      </c>
      <c r="BR26" s="33">
        <f t="shared" si="8"/>
        <v>0</v>
      </c>
      <c r="BS26" s="33">
        <f t="shared" si="9"/>
        <v>0</v>
      </c>
      <c r="BT26" s="33">
        <f t="shared" si="10"/>
        <v>0</v>
      </c>
    </row>
    <row r="27" spans="1:72" ht="15" customHeight="1" outlineLevel="1" x14ac:dyDescent="0.15">
      <c r="A27" s="10"/>
      <c r="B27" s="10" t="s">
        <v>63</v>
      </c>
      <c r="C27" s="12" t="s">
        <v>427</v>
      </c>
      <c r="D27" s="10">
        <v>12000000</v>
      </c>
      <c r="E27" s="11">
        <v>12</v>
      </c>
      <c r="F27" s="12">
        <v>300</v>
      </c>
      <c r="G27" s="12">
        <v>30</v>
      </c>
      <c r="H27" s="12">
        <v>12</v>
      </c>
      <c r="J27" s="13">
        <f t="shared" si="0"/>
        <v>12.808567199999999</v>
      </c>
      <c r="K27" s="14">
        <f t="shared" si="1"/>
        <v>10.673806000000001</v>
      </c>
      <c r="L27" s="12">
        <f t="shared" si="2"/>
        <v>128085672</v>
      </c>
      <c r="M27" s="12">
        <f t="shared" si="3"/>
        <v>28508984</v>
      </c>
      <c r="N27" s="37">
        <v>92146368</v>
      </c>
      <c r="O27" s="15">
        <v>128085672</v>
      </c>
      <c r="P27" s="15">
        <v>21272360</v>
      </c>
      <c r="Q27" s="15">
        <v>0</v>
      </c>
      <c r="R27" s="15">
        <v>7236624</v>
      </c>
      <c r="S27" s="15">
        <v>99534920</v>
      </c>
      <c r="T27" s="15">
        <v>41768</v>
      </c>
      <c r="U27" s="38">
        <v>78.458758599999996</v>
      </c>
      <c r="V27" s="38">
        <v>81.111227200000002</v>
      </c>
      <c r="W27" s="38">
        <v>34.489295200000001</v>
      </c>
      <c r="X27" s="38">
        <v>43.208865500000002</v>
      </c>
      <c r="Y27" s="38">
        <v>41.251431199999999</v>
      </c>
      <c r="Z27" s="38">
        <v>48.079882900000001</v>
      </c>
      <c r="AA27" s="38">
        <v>32.034510300000001</v>
      </c>
      <c r="AB27" s="16">
        <v>57322.923570999999</v>
      </c>
      <c r="AC27" s="16">
        <v>787.45315000000005</v>
      </c>
      <c r="AE27" s="13" t="str">
        <f t="shared" si="4"/>
        <v>·</v>
      </c>
      <c r="AF27" s="14" t="str">
        <f t="shared" si="5"/>
        <v>·</v>
      </c>
      <c r="AG27" s="12"/>
      <c r="AH27" s="12"/>
      <c r="AI27" s="37"/>
      <c r="AJ27" s="15"/>
      <c r="AK27" s="15"/>
      <c r="AL27" s="15"/>
      <c r="AM27" s="15"/>
      <c r="AN27" s="15"/>
      <c r="AO27" s="15"/>
      <c r="AP27" s="38"/>
      <c r="AQ27" s="38"/>
      <c r="AR27" s="38"/>
      <c r="AS27" s="38"/>
      <c r="AT27" s="38"/>
      <c r="AU27" s="38"/>
      <c r="AV27" s="38"/>
      <c r="AW27" s="16"/>
      <c r="AX27" s="16"/>
      <c r="AZ27" s="17"/>
      <c r="BA27" s="17"/>
      <c r="BB27" s="17"/>
      <c r="BC27" s="17"/>
      <c r="BD27" s="17"/>
      <c r="BE27" s="17"/>
      <c r="BF27" s="17"/>
      <c r="BH27" s="17"/>
      <c r="BI27" s="17"/>
      <c r="BJ27" s="17"/>
      <c r="BK27" s="17"/>
      <c r="BL27" s="17"/>
      <c r="BM27" s="17"/>
      <c r="BN27" s="17"/>
      <c r="BP27" s="17">
        <f t="shared" si="6"/>
        <v>0</v>
      </c>
      <c r="BQ27" s="17">
        <f t="shared" si="7"/>
        <v>0</v>
      </c>
      <c r="BR27" s="17">
        <f t="shared" si="8"/>
        <v>0</v>
      </c>
      <c r="BS27" s="17">
        <f t="shared" si="9"/>
        <v>0</v>
      </c>
      <c r="BT27" s="17">
        <f t="shared" si="10"/>
        <v>0</v>
      </c>
    </row>
    <row r="28" spans="1:72" ht="15" customHeight="1" outlineLevel="1" x14ac:dyDescent="0.15">
      <c r="A28" s="26"/>
      <c r="B28" s="26" t="s">
        <v>63</v>
      </c>
      <c r="C28" s="28" t="s">
        <v>428</v>
      </c>
      <c r="D28" s="26">
        <v>12000000</v>
      </c>
      <c r="E28" s="27">
        <v>12</v>
      </c>
      <c r="F28" s="28">
        <v>300</v>
      </c>
      <c r="G28" s="28">
        <v>30</v>
      </c>
      <c r="H28" s="28">
        <v>17</v>
      </c>
      <c r="J28" s="29">
        <f t="shared" si="0"/>
        <v>18.132430399999997</v>
      </c>
      <c r="K28" s="30">
        <f t="shared" si="1"/>
        <v>15.110358666666666</v>
      </c>
      <c r="L28" s="28">
        <f t="shared" si="2"/>
        <v>181324304</v>
      </c>
      <c r="M28" s="28">
        <f t="shared" si="3"/>
        <v>47044280</v>
      </c>
      <c r="N28" s="39">
        <v>184310144</v>
      </c>
      <c r="O28" s="31">
        <v>181324304</v>
      </c>
      <c r="P28" s="31">
        <v>41411952</v>
      </c>
      <c r="Q28" s="31">
        <v>0</v>
      </c>
      <c r="R28" s="31">
        <v>5632328</v>
      </c>
      <c r="S28" s="31">
        <v>134238256</v>
      </c>
      <c r="T28" s="31">
        <v>41768</v>
      </c>
      <c r="U28" s="40">
        <v>80.394051899999994</v>
      </c>
      <c r="V28" s="40">
        <v>83.716167999999996</v>
      </c>
      <c r="W28" s="40">
        <v>35.322254200000003</v>
      </c>
      <c r="X28" s="40">
        <v>43.564531899999999</v>
      </c>
      <c r="Y28" s="40">
        <v>41.753906800000003</v>
      </c>
      <c r="Z28" s="40">
        <v>49.693513600000003</v>
      </c>
      <c r="AA28" s="40">
        <v>33.297358799999998</v>
      </c>
      <c r="AB28" s="32">
        <v>56614.535666000003</v>
      </c>
      <c r="AC28" s="32">
        <v>660.17899799999998</v>
      </c>
      <c r="AE28" s="29" t="str">
        <f t="shared" si="4"/>
        <v>·</v>
      </c>
      <c r="AF28" s="30" t="str">
        <f t="shared" si="5"/>
        <v>·</v>
      </c>
      <c r="AG28" s="28"/>
      <c r="AH28" s="28"/>
      <c r="AI28" s="39"/>
      <c r="AJ28" s="31"/>
      <c r="AK28" s="31"/>
      <c r="AL28" s="31"/>
      <c r="AM28" s="31"/>
      <c r="AN28" s="31"/>
      <c r="AO28" s="31"/>
      <c r="AP28" s="40"/>
      <c r="AQ28" s="40"/>
      <c r="AR28" s="40"/>
      <c r="AS28" s="40"/>
      <c r="AT28" s="40"/>
      <c r="AU28" s="40"/>
      <c r="AV28" s="40"/>
      <c r="AW28" s="32"/>
      <c r="AX28" s="32"/>
      <c r="AZ28" s="33"/>
      <c r="BA28" s="33"/>
      <c r="BB28" s="33"/>
      <c r="BC28" s="33"/>
      <c r="BD28" s="33"/>
      <c r="BE28" s="33"/>
      <c r="BF28" s="33"/>
      <c r="BH28" s="33"/>
      <c r="BI28" s="33"/>
      <c r="BJ28" s="33"/>
      <c r="BK28" s="33"/>
      <c r="BL28" s="33"/>
      <c r="BM28" s="33"/>
      <c r="BN28" s="33"/>
      <c r="BP28" s="33">
        <f t="shared" si="6"/>
        <v>0</v>
      </c>
      <c r="BQ28" s="33">
        <f t="shared" si="7"/>
        <v>0</v>
      </c>
      <c r="BR28" s="33">
        <f t="shared" si="8"/>
        <v>0</v>
      </c>
      <c r="BS28" s="33">
        <f t="shared" si="9"/>
        <v>0</v>
      </c>
      <c r="BT28" s="33">
        <f t="shared" si="10"/>
        <v>0</v>
      </c>
    </row>
    <row r="29" spans="1:72" ht="15.75" customHeight="1" outlineLevel="1" thickBot="1" x14ac:dyDescent="0.2">
      <c r="A29" s="10"/>
      <c r="B29" s="41" t="s">
        <v>63</v>
      </c>
      <c r="C29" s="42" t="s">
        <v>429</v>
      </c>
      <c r="D29" s="41">
        <v>12000000</v>
      </c>
      <c r="E29" s="43">
        <v>12</v>
      </c>
      <c r="F29" s="42">
        <v>300</v>
      </c>
      <c r="G29" s="42">
        <v>30</v>
      </c>
      <c r="H29" s="42">
        <v>25</v>
      </c>
      <c r="J29" s="44">
        <f t="shared" si="0"/>
        <v>26.840947199999999</v>
      </c>
      <c r="K29" s="45">
        <f t="shared" si="1"/>
        <v>22.367456000000001</v>
      </c>
      <c r="L29" s="42">
        <f t="shared" si="2"/>
        <v>268409472</v>
      </c>
      <c r="M29" s="42">
        <f t="shared" si="3"/>
        <v>98262120</v>
      </c>
      <c r="N29" s="46">
        <v>138237904</v>
      </c>
      <c r="O29" s="47">
        <v>268409472</v>
      </c>
      <c r="P29" s="47">
        <v>90459992</v>
      </c>
      <c r="Q29" s="47">
        <v>0</v>
      </c>
      <c r="R29" s="47">
        <v>7802128</v>
      </c>
      <c r="S29" s="47">
        <v>170105584</v>
      </c>
      <c r="T29" s="47">
        <v>41768</v>
      </c>
      <c r="U29" s="48">
        <v>84.867022800000001</v>
      </c>
      <c r="V29" s="48">
        <v>90.041310199999998</v>
      </c>
      <c r="W29" s="48">
        <v>36.051755300000004</v>
      </c>
      <c r="X29" s="48">
        <v>43.9013773</v>
      </c>
      <c r="Y29" s="48">
        <v>42.232542299999999</v>
      </c>
      <c r="Z29" s="48">
        <v>53.071029600000003</v>
      </c>
      <c r="AA29" s="48">
        <v>35.137628100000001</v>
      </c>
      <c r="AB29" s="49">
        <v>102183.74106299999</v>
      </c>
      <c r="AC29" s="49">
        <v>796.59889899999996</v>
      </c>
      <c r="AE29" s="44" t="str">
        <f t="shared" si="4"/>
        <v>·</v>
      </c>
      <c r="AF29" s="45" t="str">
        <f t="shared" si="5"/>
        <v>·</v>
      </c>
      <c r="AG29" s="42"/>
      <c r="AH29" s="42"/>
      <c r="AI29" s="46"/>
      <c r="AJ29" s="47"/>
      <c r="AK29" s="47"/>
      <c r="AL29" s="47"/>
      <c r="AM29" s="47"/>
      <c r="AN29" s="47"/>
      <c r="AO29" s="47"/>
      <c r="AP29" s="48"/>
      <c r="AQ29" s="48"/>
      <c r="AR29" s="48"/>
      <c r="AS29" s="48"/>
      <c r="AT29" s="48"/>
      <c r="AU29" s="48"/>
      <c r="AV29" s="48"/>
      <c r="AW29" s="49"/>
      <c r="AX29" s="49"/>
      <c r="AZ29" s="50"/>
      <c r="BA29" s="50"/>
      <c r="BB29" s="50"/>
      <c r="BC29" s="50"/>
      <c r="BD29" s="50"/>
      <c r="BE29" s="50"/>
      <c r="BF29" s="50"/>
      <c r="BH29" s="50"/>
      <c r="BI29" s="50"/>
      <c r="BJ29" s="50"/>
      <c r="BK29" s="50"/>
      <c r="BL29" s="50"/>
      <c r="BM29" s="50"/>
      <c r="BN29" s="50"/>
      <c r="BP29" s="50">
        <f t="shared" si="6"/>
        <v>0</v>
      </c>
      <c r="BQ29" s="50">
        <f t="shared" si="7"/>
        <v>0</v>
      </c>
      <c r="BR29" s="50">
        <f t="shared" si="8"/>
        <v>0</v>
      </c>
      <c r="BS29" s="50">
        <f t="shared" si="9"/>
        <v>0</v>
      </c>
      <c r="BT29" s="50">
        <f t="shared" si="10"/>
        <v>0</v>
      </c>
    </row>
    <row r="30" spans="1:72" ht="15" customHeight="1" x14ac:dyDescent="0.15">
      <c r="A30" s="26"/>
      <c r="B30" s="26" t="s">
        <v>68</v>
      </c>
      <c r="C30" s="28" t="s">
        <v>425</v>
      </c>
      <c r="D30" s="26">
        <v>5997654</v>
      </c>
      <c r="E30" s="27">
        <v>12</v>
      </c>
      <c r="F30" s="28">
        <v>150</v>
      </c>
      <c r="G30" s="28">
        <v>30</v>
      </c>
      <c r="H30" s="28">
        <v>4</v>
      </c>
      <c r="J30" s="29">
        <f t="shared" si="0"/>
        <v>4.350568</v>
      </c>
      <c r="K30" s="30">
        <f t="shared" si="1"/>
        <v>3.6268914478894581</v>
      </c>
      <c r="L30" s="28">
        <f t="shared" si="2"/>
        <v>21752840</v>
      </c>
      <c r="M30" s="28">
        <f t="shared" si="3"/>
        <v>5720216</v>
      </c>
      <c r="N30" s="39">
        <v>11256640</v>
      </c>
      <c r="O30" s="31">
        <v>21752840</v>
      </c>
      <c r="P30" s="31">
        <v>2528832</v>
      </c>
      <c r="Q30" s="31">
        <v>216600</v>
      </c>
      <c r="R30" s="31">
        <v>2974784</v>
      </c>
      <c r="S30" s="31">
        <v>16010024</v>
      </c>
      <c r="T30" s="31">
        <v>22600</v>
      </c>
      <c r="U30" s="40">
        <v>72.732863499999993</v>
      </c>
      <c r="V30" s="40">
        <v>74.320652899999999</v>
      </c>
      <c r="W30" s="40">
        <v>38.135070399999996</v>
      </c>
      <c r="X30" s="40">
        <v>44.394201500000001</v>
      </c>
      <c r="Y30" s="40">
        <v>43.014968099999997</v>
      </c>
      <c r="Z30" s="40">
        <v>47.764257299999997</v>
      </c>
      <c r="AA30" s="40">
        <v>34.318163200000001</v>
      </c>
      <c r="AB30" s="32">
        <v>14695.604600999999</v>
      </c>
      <c r="AC30" s="32">
        <v>74.548255999999995</v>
      </c>
      <c r="AE30" s="29" t="str">
        <f t="shared" si="4"/>
        <v>·</v>
      </c>
      <c r="AF30" s="30" t="str">
        <f t="shared" si="5"/>
        <v>·</v>
      </c>
      <c r="AG30" s="28"/>
      <c r="AH30" s="28"/>
      <c r="AI30" s="39"/>
      <c r="AJ30" s="31"/>
      <c r="AK30" s="31"/>
      <c r="AL30" s="31"/>
      <c r="AM30" s="31"/>
      <c r="AN30" s="31"/>
      <c r="AO30" s="31"/>
      <c r="AP30" s="40"/>
      <c r="AQ30" s="40"/>
      <c r="AR30" s="40"/>
      <c r="AS30" s="40"/>
      <c r="AT30" s="40"/>
      <c r="AU30" s="40"/>
      <c r="AV30" s="40"/>
      <c r="AW30" s="32"/>
      <c r="AX30" s="32"/>
      <c r="AZ30" s="33" t="str">
        <f t="array" ref="AZ30">IF( OR(AND(ISBLANK(L30:L34)),AND(ISBLANK(AG30:AG34)), AND(ISBLANK(U30:U34)),AND(ISBLANK(AP30:AP34))), "·", bdRateExtend( L30:L34,U30:U34, AG30:AG34,AP30:AP34))</f>
        <v>·</v>
      </c>
      <c r="BA30" s="33" t="str">
        <f t="array" ref="BA30">IF( OR(AND(ISBLANK(L30:L34)),AND(ISBLANK(AG30:AG34)), AND(ISBLANK(V30:V34)),AND(ISBLANK(AQ30:AQ34))), "·", bdRateExtend( L30:L34,V30:V34, AG30:AG34,AQ30:AQ34))</f>
        <v>·</v>
      </c>
      <c r="BB30" s="33" t="str">
        <f t="array" ref="BB30">IF( OR(AND(ISBLANK(L30:L34)),AND(ISBLANK(AG30:AG34)), AND(ISBLANK(W30:W34)),AND(ISBLANK(AR30:AR34))), "·", bdRateExtend( L30:L34,W30:W34, AG30:AG34,AR30:AR34))</f>
        <v>·</v>
      </c>
      <c r="BC30" s="33" t="str">
        <f t="array" ref="BC30">IF( OR(AND(ISBLANK(L30:L34)),AND(ISBLANK(AG30:AG34)), AND(ISBLANK(X30:X34)),AND(ISBLANK(AS30:AS34))), "·", bdRateExtend( L30:L34,X30:X34, AG30:AG34,AS30:AS34))</f>
        <v>·</v>
      </c>
      <c r="BD30" s="33" t="str">
        <f t="array" ref="BD30">IF( OR(AND(ISBLANK(L30:L34)),AND(ISBLANK(AG30:AG34)), AND(ISBLANK(Y30:Y34)),AND(ISBLANK(AT30:AT34))), "·", bdRateExtend( L30:L34,Y30:Y34, AG30:AG34,AT30:AT34))</f>
        <v>·</v>
      </c>
      <c r="BE30" s="33" t="str">
        <f t="array" ref="BE30">IF( OR(AND(ISBLANK(L30:L34)),AND(ISBLANK(AG30:AG34)), AND(ISBLANK(Z30:Z34)),AND(ISBLANK(AU30:AU34))), "·", bdRateExtend( L30:L34,Z30:Z34, AG30:AG34,AU30:AU34))</f>
        <v>·</v>
      </c>
      <c r="BF30" s="33" t="str">
        <f t="array" ref="BF30">IF( OR(AND(ISBLANK(L30:L34)),AND(ISBLANK(AG30:AG34)), AND(ISBLANK(AA30:AA34)),AND(ISBLANK(AV30:AV34))), "·", bdRateExtend( L30:L34,AA30:AA34, AG30:AG34,AV30:AV34))</f>
        <v>·</v>
      </c>
      <c r="BH30" s="33" t="str">
        <f t="array" ref="BH30">IF( OR(AND(ISBLANK(M30:M34)),AND(ISBLANK(AH30:AH34)), AND(ISBLANK(U30:U34)),AND(ISBLANK(AP30:AP34))), "·", bdRateExtend( M30:M34,U30:U34, AH30:AH34,AP30:AP34))</f>
        <v>·</v>
      </c>
      <c r="BI30" s="33" t="str">
        <f t="array" ref="BI30">IF( OR(AND(ISBLANK(M30:M34)),AND(ISBLANK(AH30:AH34)), AND(ISBLANK(V30:V34)),AND(ISBLANK(AQ30:AQ34))), "·", bdRateExtend( M30:M34,V30:V34, AH30:AH34,AQ30:AQ34))</f>
        <v>·</v>
      </c>
      <c r="BJ30" s="33" t="str">
        <f t="array" ref="BJ30">IF( OR(AND(ISBLANK(S30:S34)),AND(ISBLANK(AN30:AN34)), AND(ISBLANK(W30:W34)),AND(ISBLANK(AR30:AR34))), "·", bdRateExtend( S30:S34,W30:W34, AN30:AN34,AR30:AR34))</f>
        <v>·</v>
      </c>
      <c r="BK30" s="33" t="str">
        <f t="array" ref="BK30">IF( OR(AND(ISBLANK(S30:S34)),AND(ISBLANK(AN30:AN34)), AND(ISBLANK(X30:X34)),AND(ISBLANK(AS30:AS34))), "·", bdRateExtend( S30:S34,X30:X34, AN30:AN34,AS30:AS34))</f>
        <v>·</v>
      </c>
      <c r="BL30" s="33" t="str">
        <f t="array" ref="BL30">IF( OR(AND(ISBLANK(S30:S34)),AND(ISBLANK(AN30:AN34)), AND(ISBLANK(Y30:Y34)),AND(ISBLANK(AT30:AT34))), "·", bdRateExtend( S30:S34,Y30:Y34, AN30:AN34,AT30:AT34))</f>
        <v>·</v>
      </c>
      <c r="BM30" s="33" t="str">
        <f t="array" ref="BM30">IF( OR(AND(ISBLANK(M30:M34)),AND(ISBLANK(AH30:AH34)), AND(ISBLANK(Z30:Z34)),AND(ISBLANK(AU30:AU34))), "·", bdRateExtend( M30:M34,Z30:Z34, AH30:AH34,AU30:AU34))</f>
        <v>·</v>
      </c>
      <c r="BN30" s="33" t="str">
        <f t="array" ref="BN30">IF( OR(AND(ISBLANK(S30:S34)),AND(ISBLANK(AN30:AN34)), AND(ISBLANK(AA30:AA34)),AND(ISBLANK(AV30:AV34))), "·", bdRateExtend( S30:S34,AA30:AA34, AN30:AN34,AV30:AV34))</f>
        <v>·</v>
      </c>
      <c r="BP30" s="33">
        <f t="shared" si="6"/>
        <v>0</v>
      </c>
      <c r="BQ30" s="33">
        <f t="shared" si="7"/>
        <v>0</v>
      </c>
      <c r="BR30" s="33">
        <f t="shared" si="8"/>
        <v>0</v>
      </c>
      <c r="BS30" s="33">
        <f t="shared" si="9"/>
        <v>0</v>
      </c>
      <c r="BT30" s="33">
        <f t="shared" si="10"/>
        <v>0</v>
      </c>
    </row>
    <row r="31" spans="1:72" ht="15" customHeight="1" outlineLevel="1" x14ac:dyDescent="0.15">
      <c r="A31" s="10"/>
      <c r="B31" s="10" t="s">
        <v>68</v>
      </c>
      <c r="C31" s="12" t="s">
        <v>426</v>
      </c>
      <c r="D31" s="10">
        <v>5997654</v>
      </c>
      <c r="E31" s="11">
        <v>12</v>
      </c>
      <c r="F31" s="12">
        <v>150</v>
      </c>
      <c r="G31" s="12">
        <v>30</v>
      </c>
      <c r="H31" s="12">
        <v>8</v>
      </c>
      <c r="J31" s="13">
        <f t="shared" si="0"/>
        <v>8.6465488000000015</v>
      </c>
      <c r="K31" s="14">
        <f t="shared" si="1"/>
        <v>7.2082757691590746</v>
      </c>
      <c r="L31" s="12">
        <f t="shared" si="2"/>
        <v>43232744</v>
      </c>
      <c r="M31" s="12">
        <f t="shared" si="3"/>
        <v>9024368</v>
      </c>
      <c r="N31" s="37">
        <v>5692000</v>
      </c>
      <c r="O31" s="15">
        <v>43232744</v>
      </c>
      <c r="P31" s="15">
        <v>4270832</v>
      </c>
      <c r="Q31" s="15">
        <v>333976</v>
      </c>
      <c r="R31" s="15">
        <v>4419560</v>
      </c>
      <c r="S31" s="15">
        <v>34186000</v>
      </c>
      <c r="T31" s="15">
        <v>22376</v>
      </c>
      <c r="U31" s="38">
        <v>75.550658299999995</v>
      </c>
      <c r="V31" s="38">
        <v>77.5742166</v>
      </c>
      <c r="W31" s="38">
        <v>40.4112911</v>
      </c>
      <c r="X31" s="38">
        <v>45.799434300000001</v>
      </c>
      <c r="Y31" s="38">
        <v>44.635669399999998</v>
      </c>
      <c r="Z31" s="38">
        <v>49.360111099999997</v>
      </c>
      <c r="AA31" s="38">
        <v>36.189790199999997</v>
      </c>
      <c r="AB31" s="16">
        <v>20609.088814999999</v>
      </c>
      <c r="AC31" s="16">
        <v>82.101273000000006</v>
      </c>
      <c r="AE31" s="13" t="str">
        <f t="shared" si="4"/>
        <v>·</v>
      </c>
      <c r="AF31" s="14" t="str">
        <f t="shared" si="5"/>
        <v>·</v>
      </c>
      <c r="AG31" s="12"/>
      <c r="AH31" s="12"/>
      <c r="AI31" s="37"/>
      <c r="AJ31" s="15"/>
      <c r="AK31" s="15"/>
      <c r="AL31" s="15"/>
      <c r="AM31" s="15"/>
      <c r="AN31" s="15"/>
      <c r="AO31" s="15"/>
      <c r="AP31" s="38"/>
      <c r="AQ31" s="38"/>
      <c r="AR31" s="38"/>
      <c r="AS31" s="38"/>
      <c r="AT31" s="38"/>
      <c r="AU31" s="38"/>
      <c r="AV31" s="38"/>
      <c r="AW31" s="16"/>
      <c r="AX31" s="16"/>
      <c r="AZ31" s="17"/>
      <c r="BA31" s="17"/>
      <c r="BB31" s="17"/>
      <c r="BC31" s="17"/>
      <c r="BD31" s="17"/>
      <c r="BE31" s="17"/>
      <c r="BF31" s="17"/>
      <c r="BH31" s="17"/>
      <c r="BI31" s="17"/>
      <c r="BJ31" s="17"/>
      <c r="BK31" s="17"/>
      <c r="BL31" s="17"/>
      <c r="BM31" s="17"/>
      <c r="BN31" s="17"/>
      <c r="BP31" s="17">
        <f t="shared" si="6"/>
        <v>0</v>
      </c>
      <c r="BQ31" s="17">
        <f t="shared" si="7"/>
        <v>0</v>
      </c>
      <c r="BR31" s="17">
        <f t="shared" si="8"/>
        <v>0</v>
      </c>
      <c r="BS31" s="17">
        <f t="shared" si="9"/>
        <v>0</v>
      </c>
      <c r="BT31" s="17">
        <f t="shared" si="10"/>
        <v>0</v>
      </c>
    </row>
    <row r="32" spans="1:72" ht="15" customHeight="1" outlineLevel="1" x14ac:dyDescent="0.15">
      <c r="A32" s="26"/>
      <c r="B32" s="26" t="s">
        <v>68</v>
      </c>
      <c r="C32" s="28" t="s">
        <v>427</v>
      </c>
      <c r="D32" s="26">
        <v>5997654</v>
      </c>
      <c r="E32" s="27">
        <v>12</v>
      </c>
      <c r="F32" s="28">
        <v>150</v>
      </c>
      <c r="G32" s="28">
        <v>30</v>
      </c>
      <c r="H32" s="28">
        <v>12</v>
      </c>
      <c r="J32" s="29">
        <f t="shared" si="0"/>
        <v>13.1767824</v>
      </c>
      <c r="K32" s="30">
        <f t="shared" si="1"/>
        <v>10.984947114321701</v>
      </c>
      <c r="L32" s="28">
        <f t="shared" si="2"/>
        <v>65883912</v>
      </c>
      <c r="M32" s="28">
        <f t="shared" si="3"/>
        <v>17949472</v>
      </c>
      <c r="N32" s="39">
        <v>22964896</v>
      </c>
      <c r="O32" s="31">
        <v>65883912</v>
      </c>
      <c r="P32" s="31">
        <v>12914840</v>
      </c>
      <c r="Q32" s="31">
        <v>826576</v>
      </c>
      <c r="R32" s="31">
        <v>4208056</v>
      </c>
      <c r="S32" s="31">
        <v>47912328</v>
      </c>
      <c r="T32" s="31">
        <v>22112</v>
      </c>
      <c r="U32" s="40">
        <v>79.2404741</v>
      </c>
      <c r="V32" s="40">
        <v>82.060709299999999</v>
      </c>
      <c r="W32" s="40">
        <v>41.538328100000001</v>
      </c>
      <c r="X32" s="40">
        <v>46.584816699999998</v>
      </c>
      <c r="Y32" s="40">
        <v>45.609869500000002</v>
      </c>
      <c r="Z32" s="40">
        <v>51.784798799999997</v>
      </c>
      <c r="AA32" s="40">
        <v>38.507800699999997</v>
      </c>
      <c r="AB32" s="32">
        <v>75558.104548000003</v>
      </c>
      <c r="AC32" s="32">
        <v>355.61625099999998</v>
      </c>
      <c r="AE32" s="29" t="str">
        <f t="shared" si="4"/>
        <v>·</v>
      </c>
      <c r="AF32" s="30" t="str">
        <f t="shared" si="5"/>
        <v>·</v>
      </c>
      <c r="AG32" s="28"/>
      <c r="AH32" s="28"/>
      <c r="AI32" s="39"/>
      <c r="AJ32" s="31"/>
      <c r="AK32" s="31"/>
      <c r="AL32" s="31"/>
      <c r="AM32" s="31"/>
      <c r="AN32" s="31"/>
      <c r="AO32" s="31"/>
      <c r="AP32" s="40"/>
      <c r="AQ32" s="40"/>
      <c r="AR32" s="40"/>
      <c r="AS32" s="40"/>
      <c r="AT32" s="40"/>
      <c r="AU32" s="40"/>
      <c r="AV32" s="40"/>
      <c r="AW32" s="32"/>
      <c r="AX32" s="32"/>
      <c r="AZ32" s="33"/>
      <c r="BA32" s="33"/>
      <c r="BB32" s="33"/>
      <c r="BC32" s="33"/>
      <c r="BD32" s="33"/>
      <c r="BE32" s="33"/>
      <c r="BF32" s="33"/>
      <c r="BH32" s="33"/>
      <c r="BI32" s="33"/>
      <c r="BJ32" s="33"/>
      <c r="BK32" s="33"/>
      <c r="BL32" s="33"/>
      <c r="BM32" s="33"/>
      <c r="BN32" s="33"/>
      <c r="BP32" s="33">
        <f t="shared" si="6"/>
        <v>0</v>
      </c>
      <c r="BQ32" s="33">
        <f t="shared" si="7"/>
        <v>0</v>
      </c>
      <c r="BR32" s="33">
        <f t="shared" si="8"/>
        <v>0</v>
      </c>
      <c r="BS32" s="33">
        <f t="shared" si="9"/>
        <v>0</v>
      </c>
      <c r="BT32" s="33">
        <f t="shared" si="10"/>
        <v>0</v>
      </c>
    </row>
    <row r="33" spans="1:72" ht="15" customHeight="1" outlineLevel="1" x14ac:dyDescent="0.15">
      <c r="A33" s="10"/>
      <c r="B33" s="10" t="s">
        <v>68</v>
      </c>
      <c r="C33" s="12" t="s">
        <v>428</v>
      </c>
      <c r="D33" s="10">
        <v>5997654</v>
      </c>
      <c r="E33" s="11">
        <v>12</v>
      </c>
      <c r="F33" s="12">
        <v>150</v>
      </c>
      <c r="G33" s="12">
        <v>30</v>
      </c>
      <c r="H33" s="12">
        <v>17</v>
      </c>
      <c r="J33" s="13">
        <f t="shared" si="0"/>
        <v>18.402091200000001</v>
      </c>
      <c r="K33" s="14">
        <f t="shared" si="1"/>
        <v>15.341074360074789</v>
      </c>
      <c r="L33" s="12">
        <f t="shared" si="2"/>
        <v>92010456</v>
      </c>
      <c r="M33" s="12">
        <f t="shared" si="3"/>
        <v>23334264</v>
      </c>
      <c r="N33" s="37">
        <v>22964896</v>
      </c>
      <c r="O33" s="15">
        <v>92010456</v>
      </c>
      <c r="P33" s="15">
        <v>12914840</v>
      </c>
      <c r="Q33" s="15">
        <v>826576</v>
      </c>
      <c r="R33" s="15">
        <v>9592848</v>
      </c>
      <c r="S33" s="15">
        <v>68654080</v>
      </c>
      <c r="T33" s="15">
        <v>22112</v>
      </c>
      <c r="U33" s="38">
        <v>80.8773482</v>
      </c>
      <c r="V33" s="38">
        <v>84.587319500000007</v>
      </c>
      <c r="W33" s="38">
        <v>42.457705799999999</v>
      </c>
      <c r="X33" s="38">
        <v>47.667467199999997</v>
      </c>
      <c r="Y33" s="38">
        <v>46.818425300000001</v>
      </c>
      <c r="Z33" s="38">
        <v>52.952482699999997</v>
      </c>
      <c r="AA33" s="38">
        <v>39.813323599999997</v>
      </c>
      <c r="AB33" s="16">
        <v>84129.472261000003</v>
      </c>
      <c r="AC33" s="16">
        <v>370.69575800000001</v>
      </c>
      <c r="AE33" s="13" t="str">
        <f t="shared" si="4"/>
        <v>·</v>
      </c>
      <c r="AF33" s="14" t="str">
        <f t="shared" si="5"/>
        <v>·</v>
      </c>
      <c r="AG33" s="12"/>
      <c r="AH33" s="12"/>
      <c r="AI33" s="37"/>
      <c r="AJ33" s="15"/>
      <c r="AK33" s="15"/>
      <c r="AL33" s="15"/>
      <c r="AM33" s="15"/>
      <c r="AN33" s="15"/>
      <c r="AO33" s="15"/>
      <c r="AP33" s="38"/>
      <c r="AQ33" s="38"/>
      <c r="AR33" s="38"/>
      <c r="AS33" s="38"/>
      <c r="AT33" s="38"/>
      <c r="AU33" s="38"/>
      <c r="AV33" s="38"/>
      <c r="AW33" s="16"/>
      <c r="AX33" s="16"/>
      <c r="AZ33" s="17"/>
      <c r="BA33" s="17"/>
      <c r="BB33" s="17"/>
      <c r="BC33" s="17"/>
      <c r="BD33" s="17"/>
      <c r="BE33" s="17"/>
      <c r="BF33" s="17"/>
      <c r="BH33" s="17"/>
      <c r="BI33" s="17"/>
      <c r="BJ33" s="17"/>
      <c r="BK33" s="17"/>
      <c r="BL33" s="17"/>
      <c r="BM33" s="17"/>
      <c r="BN33" s="17"/>
      <c r="BP33" s="17">
        <f t="shared" si="6"/>
        <v>0</v>
      </c>
      <c r="BQ33" s="17">
        <f t="shared" si="7"/>
        <v>0</v>
      </c>
      <c r="BR33" s="17">
        <f t="shared" si="8"/>
        <v>0</v>
      </c>
      <c r="BS33" s="17">
        <f t="shared" si="9"/>
        <v>0</v>
      </c>
      <c r="BT33" s="17">
        <f t="shared" si="10"/>
        <v>0</v>
      </c>
    </row>
    <row r="34" spans="1:72" ht="15.75" customHeight="1" outlineLevel="1" thickBot="1" x14ac:dyDescent="0.2">
      <c r="A34" s="26"/>
      <c r="B34" s="18" t="s">
        <v>68</v>
      </c>
      <c r="C34" s="20" t="s">
        <v>429</v>
      </c>
      <c r="D34" s="18">
        <v>5997654</v>
      </c>
      <c r="E34" s="19">
        <v>12</v>
      </c>
      <c r="F34" s="20">
        <v>150</v>
      </c>
      <c r="G34" s="20">
        <v>30</v>
      </c>
      <c r="H34" s="20">
        <v>25</v>
      </c>
      <c r="J34" s="21">
        <f t="shared" si="0"/>
        <v>25.352081600000002</v>
      </c>
      <c r="K34" s="22">
        <f t="shared" si="1"/>
        <v>21.13499845106103</v>
      </c>
      <c r="L34" s="20">
        <f t="shared" si="2"/>
        <v>126760408</v>
      </c>
      <c r="M34" s="20">
        <f t="shared" si="3"/>
        <v>34764976</v>
      </c>
      <c r="N34" s="51">
        <v>57516368</v>
      </c>
      <c r="O34" s="23">
        <v>126760408</v>
      </c>
      <c r="P34" s="23">
        <v>28066328</v>
      </c>
      <c r="Q34" s="23">
        <v>4420000</v>
      </c>
      <c r="R34" s="23">
        <v>2278648</v>
      </c>
      <c r="S34" s="23">
        <v>91973648</v>
      </c>
      <c r="T34" s="23">
        <v>21784</v>
      </c>
      <c r="U34" s="52">
        <v>84.294185999999996</v>
      </c>
      <c r="V34" s="52">
        <v>88.842938899999993</v>
      </c>
      <c r="W34" s="52">
        <v>43.436366399999997</v>
      </c>
      <c r="X34" s="52">
        <v>48.355191099999999</v>
      </c>
      <c r="Y34" s="52">
        <v>47.610816499999999</v>
      </c>
      <c r="Z34" s="52">
        <v>56.774735</v>
      </c>
      <c r="AA34" s="52">
        <v>42.401554300000001</v>
      </c>
      <c r="AB34" s="24">
        <v>87857.769243999996</v>
      </c>
      <c r="AC34" s="24">
        <v>358.863899</v>
      </c>
      <c r="AE34" s="21" t="str">
        <f t="shared" si="4"/>
        <v>·</v>
      </c>
      <c r="AF34" s="22" t="str">
        <f t="shared" si="5"/>
        <v>·</v>
      </c>
      <c r="AG34" s="20"/>
      <c r="AH34" s="20"/>
      <c r="AI34" s="51"/>
      <c r="AJ34" s="23"/>
      <c r="AK34" s="23"/>
      <c r="AL34" s="23"/>
      <c r="AM34" s="23"/>
      <c r="AN34" s="23"/>
      <c r="AO34" s="23"/>
      <c r="AP34" s="52"/>
      <c r="AQ34" s="52"/>
      <c r="AR34" s="52"/>
      <c r="AS34" s="52"/>
      <c r="AT34" s="52"/>
      <c r="AU34" s="52"/>
      <c r="AV34" s="52"/>
      <c r="AW34" s="24"/>
      <c r="AX34" s="24"/>
      <c r="AZ34" s="25"/>
      <c r="BA34" s="25"/>
      <c r="BB34" s="25"/>
      <c r="BC34" s="25"/>
      <c r="BD34" s="25"/>
      <c r="BE34" s="25"/>
      <c r="BF34" s="25"/>
      <c r="BH34" s="25"/>
      <c r="BI34" s="25"/>
      <c r="BJ34" s="25"/>
      <c r="BK34" s="25"/>
      <c r="BL34" s="25"/>
      <c r="BM34" s="25"/>
      <c r="BN34" s="25"/>
      <c r="BP34" s="25">
        <f t="shared" si="6"/>
        <v>0</v>
      </c>
      <c r="BQ34" s="25">
        <f t="shared" si="7"/>
        <v>0</v>
      </c>
      <c r="BR34" s="25">
        <f t="shared" si="8"/>
        <v>0</v>
      </c>
      <c r="BS34" s="25">
        <f t="shared" si="9"/>
        <v>0</v>
      </c>
      <c r="BT34" s="25">
        <f t="shared" si="10"/>
        <v>0</v>
      </c>
    </row>
    <row r="35" spans="1:72" ht="15" customHeight="1" x14ac:dyDescent="0.15">
      <c r="A35" s="10"/>
      <c r="B35" s="10" t="s">
        <v>73</v>
      </c>
      <c r="C35" s="12" t="s">
        <v>425</v>
      </c>
      <c r="D35" s="10">
        <v>9000000</v>
      </c>
      <c r="E35" s="11">
        <v>12</v>
      </c>
      <c r="F35" s="12">
        <v>300</v>
      </c>
      <c r="G35" s="12">
        <v>30</v>
      </c>
      <c r="H35" s="12">
        <v>3</v>
      </c>
      <c r="J35" s="13">
        <f t="shared" si="0"/>
        <v>2.8865599999999998</v>
      </c>
      <c r="K35" s="14">
        <f t="shared" si="1"/>
        <v>3.2072888888888889</v>
      </c>
      <c r="L35" s="12">
        <f t="shared" si="2"/>
        <v>28865600</v>
      </c>
      <c r="M35" s="12">
        <f t="shared" si="3"/>
        <v>8107032</v>
      </c>
      <c r="N35" s="37">
        <v>8608240</v>
      </c>
      <c r="O35" s="15">
        <v>28865600</v>
      </c>
      <c r="P35" s="15">
        <v>3688392</v>
      </c>
      <c r="Q35" s="15">
        <v>869000</v>
      </c>
      <c r="R35" s="15">
        <v>3549640</v>
      </c>
      <c r="S35" s="15">
        <v>20713592</v>
      </c>
      <c r="T35" s="15">
        <v>44976</v>
      </c>
      <c r="U35" s="38">
        <v>71.796817300000001</v>
      </c>
      <c r="V35" s="38">
        <v>73.340868799999996</v>
      </c>
      <c r="W35" s="38">
        <v>30.1458567</v>
      </c>
      <c r="X35" s="38">
        <v>38.990453799999997</v>
      </c>
      <c r="Y35" s="38">
        <v>39.010941299999999</v>
      </c>
      <c r="Z35" s="38">
        <v>47.652156599999998</v>
      </c>
      <c r="AA35" s="38">
        <v>29.074301699999999</v>
      </c>
      <c r="AB35" s="16">
        <v>96318.532888000002</v>
      </c>
      <c r="AC35" s="16">
        <v>632.25177599999995</v>
      </c>
      <c r="AE35" s="13" t="str">
        <f t="shared" si="4"/>
        <v>·</v>
      </c>
      <c r="AF35" s="14" t="str">
        <f t="shared" si="5"/>
        <v>·</v>
      </c>
      <c r="AG35" s="12"/>
      <c r="AH35" s="12"/>
      <c r="AI35" s="37"/>
      <c r="AJ35" s="15"/>
      <c r="AK35" s="15"/>
      <c r="AL35" s="15"/>
      <c r="AM35" s="15"/>
      <c r="AN35" s="15"/>
      <c r="AO35" s="15"/>
      <c r="AP35" s="38"/>
      <c r="AQ35" s="38"/>
      <c r="AR35" s="38"/>
      <c r="AS35" s="38"/>
      <c r="AT35" s="38"/>
      <c r="AU35" s="38"/>
      <c r="AV35" s="38"/>
      <c r="AW35" s="16"/>
      <c r="AX35" s="16"/>
      <c r="AZ35" s="17" t="str">
        <f t="array" ref="AZ35">IF( OR(AND(ISBLANK(L35:L39)),AND(ISBLANK(AG35:AG39)), AND(ISBLANK(U35:U39)),AND(ISBLANK(AP35:AP39))), "·", bdRateExtend( L35:L39,U35:U39, AG35:AG39,AP35:AP39))</f>
        <v>·</v>
      </c>
      <c r="BA35" s="17" t="str">
        <f t="array" ref="BA35">IF( OR(AND(ISBLANK(L35:L39)),AND(ISBLANK(AG35:AG39)), AND(ISBLANK(V35:V39)),AND(ISBLANK(AQ35:AQ39))), "·", bdRateExtend( L35:L39,V35:V39, AG35:AG39,AQ35:AQ39))</f>
        <v>·</v>
      </c>
      <c r="BB35" s="17" t="str">
        <f t="array" ref="BB35">IF( OR(AND(ISBLANK(L35:L39)),AND(ISBLANK(AG35:AG39)), AND(ISBLANK(W35:W39)),AND(ISBLANK(AR35:AR39))), "·", bdRateExtend( L35:L39,W35:W39, AG35:AG39,AR35:AR39))</f>
        <v>·</v>
      </c>
      <c r="BC35" s="17" t="str">
        <f t="array" ref="BC35">IF( OR(AND(ISBLANK(L35:L39)),AND(ISBLANK(AG35:AG39)), AND(ISBLANK(X35:X39)),AND(ISBLANK(AS35:AS39))), "·", bdRateExtend( L35:L39,X35:X39, AG35:AG39,AS35:AS39))</f>
        <v>·</v>
      </c>
      <c r="BD35" s="17" t="str">
        <f t="array" ref="BD35">IF( OR(AND(ISBLANK(L35:L39)),AND(ISBLANK(AG35:AG39)), AND(ISBLANK(Y35:Y39)),AND(ISBLANK(AT35:AT39))), "·", bdRateExtend( L35:L39,Y35:Y39, AG35:AG39,AT35:AT39))</f>
        <v>·</v>
      </c>
      <c r="BE35" s="17" t="str">
        <f t="array" ref="BE35">IF( OR(AND(ISBLANK(L35:L39)),AND(ISBLANK(AG35:AG39)), AND(ISBLANK(Z35:Z39)),AND(ISBLANK(AU35:AU39))), "·", bdRateExtend( L35:L39,Z35:Z39, AG35:AG39,AU35:AU39))</f>
        <v>·</v>
      </c>
      <c r="BF35" s="17" t="str">
        <f t="array" ref="BF35">IF( OR(AND(ISBLANK(L35:L39)),AND(ISBLANK(AG35:AG39)), AND(ISBLANK(AA35:AA39)),AND(ISBLANK(AV35:AV39))), "·", bdRateExtend( L35:L39,AA35:AA39, AG35:AG39,AV35:AV39))</f>
        <v>·</v>
      </c>
      <c r="BH35" s="91" t="str">
        <f t="array" ref="BH35">IF( OR(AND(ISBLANK(M35:M39)),AND(ISBLANK(AH35:AH39)), AND(ISBLANK(U35:U39)),AND(ISBLANK(AP35:AP39))), "·", bdRateExtend( M35:M39,U35:U39, AH35:AH39,AP35:AP39))</f>
        <v>·</v>
      </c>
      <c r="BI35" s="17" t="str">
        <f t="array" ref="BI35">IF( OR(AND(ISBLANK(M35:M39)),AND(ISBLANK(AH35:AH39)), AND(ISBLANK(V35:V39)),AND(ISBLANK(AQ35:AQ39))), "·", bdRateExtend( M35:M39,V35:V39, AH35:AH39,AQ35:AQ39))</f>
        <v>·</v>
      </c>
      <c r="BJ35" s="17" t="str">
        <f t="array" ref="BJ35">IF( OR(AND(ISBLANK(S35:S39)),AND(ISBLANK(AN35:AN39)), AND(ISBLANK(W35:W39)),AND(ISBLANK(AR35:AR39))), "·", bdRateExtend( S35:S39,W35:W39, AN35:AN39,AR35:AR39))</f>
        <v>·</v>
      </c>
      <c r="BK35" s="17" t="str">
        <f t="array" ref="BK35">IF( OR(AND(ISBLANK(S35:S39)),AND(ISBLANK(AN35:AN39)), AND(ISBLANK(X35:X39)),AND(ISBLANK(AS35:AS39))), "·", bdRateExtend( S35:S39,X35:X39, AN35:AN39,AS35:AS39))</f>
        <v>·</v>
      </c>
      <c r="BL35" s="17" t="str">
        <f t="array" ref="BL35">IF( OR(AND(ISBLANK(S35:S39)),AND(ISBLANK(AN35:AN39)), AND(ISBLANK(Y35:Y39)),AND(ISBLANK(AT35:AT39))), "·", bdRateExtend( S35:S39,Y35:Y39, AN35:AN39,AT35:AT39))</f>
        <v>·</v>
      </c>
      <c r="BM35" s="17" t="str">
        <f t="array" ref="BM35">IF( OR(AND(ISBLANK(M35:M39)),AND(ISBLANK(AH35:AH39)), AND(ISBLANK(Z35:Z39)),AND(ISBLANK(AU35:AU39))), "·", bdRateExtend( M35:M39,Z35:Z39, AH35:AH39,AU35:AU39))</f>
        <v>·</v>
      </c>
      <c r="BN35" s="17" t="str">
        <f t="array" ref="BN35">IF( OR(AND(ISBLANK(S35:S39)),AND(ISBLANK(AN35:AN39)), AND(ISBLANK(AA35:AA39)),AND(ISBLANK(AV35:AV39))), "·", bdRateExtend( S35:S39,AA35:AA39, AN35:AN39,AV35:AV39))</f>
        <v>·</v>
      </c>
      <c r="BP35" s="17">
        <f t="shared" si="6"/>
        <v>0</v>
      </c>
      <c r="BQ35" s="17">
        <f t="shared" si="7"/>
        <v>0</v>
      </c>
      <c r="BR35" s="17">
        <f t="shared" si="8"/>
        <v>0</v>
      </c>
      <c r="BS35" s="17">
        <f t="shared" si="9"/>
        <v>0</v>
      </c>
      <c r="BT35" s="17">
        <f t="shared" si="10"/>
        <v>0</v>
      </c>
    </row>
    <row r="36" spans="1:72" ht="15" customHeight="1" outlineLevel="1" x14ac:dyDescent="0.15">
      <c r="A36" s="26"/>
      <c r="B36" s="26" t="s">
        <v>73</v>
      </c>
      <c r="C36" s="28" t="s">
        <v>426</v>
      </c>
      <c r="D36" s="26">
        <v>9000000</v>
      </c>
      <c r="E36" s="27">
        <v>12</v>
      </c>
      <c r="F36" s="28">
        <v>300</v>
      </c>
      <c r="G36" s="28">
        <v>30</v>
      </c>
      <c r="H36" s="28">
        <v>4</v>
      </c>
      <c r="J36" s="29">
        <f t="shared" si="0"/>
        <v>4.0254496</v>
      </c>
      <c r="K36" s="30">
        <f t="shared" si="1"/>
        <v>4.4727217777777781</v>
      </c>
      <c r="L36" s="28">
        <f t="shared" si="2"/>
        <v>40254496</v>
      </c>
      <c r="M36" s="28">
        <f t="shared" si="3"/>
        <v>9700496</v>
      </c>
      <c r="N36" s="39">
        <v>17229088</v>
      </c>
      <c r="O36" s="31">
        <v>40254496</v>
      </c>
      <c r="P36" s="31">
        <v>6229096</v>
      </c>
      <c r="Q36" s="31">
        <v>1572520</v>
      </c>
      <c r="R36" s="31">
        <v>1898880</v>
      </c>
      <c r="S36" s="31">
        <v>30508984</v>
      </c>
      <c r="T36" s="31">
        <v>45016</v>
      </c>
      <c r="U36" s="40">
        <v>72.959325500000006</v>
      </c>
      <c r="V36" s="40">
        <v>74.603796299999999</v>
      </c>
      <c r="W36" s="40">
        <v>30.6510885</v>
      </c>
      <c r="X36" s="40">
        <v>39.108908900000003</v>
      </c>
      <c r="Y36" s="40">
        <v>39.182199400000002</v>
      </c>
      <c r="Z36" s="40">
        <v>48.290463899999999</v>
      </c>
      <c r="AA36" s="40">
        <v>29.529627000000001</v>
      </c>
      <c r="AB36" s="32">
        <v>103407.427044</v>
      </c>
      <c r="AC36" s="32">
        <v>651.05473199999994</v>
      </c>
      <c r="AE36" s="29" t="str">
        <f t="shared" si="4"/>
        <v>·</v>
      </c>
      <c r="AF36" s="30" t="str">
        <f t="shared" si="5"/>
        <v>·</v>
      </c>
      <c r="AG36" s="28"/>
      <c r="AH36" s="28"/>
      <c r="AI36" s="39"/>
      <c r="AJ36" s="31"/>
      <c r="AK36" s="31"/>
      <c r="AL36" s="31"/>
      <c r="AM36" s="31"/>
      <c r="AN36" s="31"/>
      <c r="AO36" s="31"/>
      <c r="AP36" s="40"/>
      <c r="AQ36" s="40"/>
      <c r="AR36" s="40"/>
      <c r="AS36" s="40"/>
      <c r="AT36" s="40"/>
      <c r="AU36" s="40"/>
      <c r="AV36" s="40"/>
      <c r="AW36" s="32"/>
      <c r="AX36" s="32"/>
      <c r="AZ36" s="33"/>
      <c r="BA36" s="33"/>
      <c r="BB36" s="33"/>
      <c r="BC36" s="33"/>
      <c r="BD36" s="33"/>
      <c r="BE36" s="33"/>
      <c r="BF36" s="33"/>
      <c r="BH36" s="33"/>
      <c r="BI36" s="33"/>
      <c r="BJ36" s="33"/>
      <c r="BK36" s="33"/>
      <c r="BL36" s="33"/>
      <c r="BM36" s="33"/>
      <c r="BN36" s="33"/>
      <c r="BP36" s="33">
        <f t="shared" si="6"/>
        <v>0</v>
      </c>
      <c r="BQ36" s="33">
        <f t="shared" si="7"/>
        <v>0</v>
      </c>
      <c r="BR36" s="33">
        <f t="shared" si="8"/>
        <v>0</v>
      </c>
      <c r="BS36" s="33">
        <f t="shared" si="9"/>
        <v>0</v>
      </c>
      <c r="BT36" s="33">
        <f t="shared" si="10"/>
        <v>0</v>
      </c>
    </row>
    <row r="37" spans="1:72" ht="15" customHeight="1" outlineLevel="1" x14ac:dyDescent="0.15">
      <c r="A37" s="10"/>
      <c r="B37" s="10" t="s">
        <v>73</v>
      </c>
      <c r="C37" s="12" t="s">
        <v>427</v>
      </c>
      <c r="D37" s="10">
        <v>9000000</v>
      </c>
      <c r="E37" s="11">
        <v>12</v>
      </c>
      <c r="F37" s="12">
        <v>300</v>
      </c>
      <c r="G37" s="12">
        <v>30</v>
      </c>
      <c r="H37" s="12">
        <v>6</v>
      </c>
      <c r="J37" s="13">
        <f t="shared" si="0"/>
        <v>6.0216775999999994</v>
      </c>
      <c r="K37" s="14">
        <f t="shared" si="1"/>
        <v>6.6907528888888885</v>
      </c>
      <c r="L37" s="12">
        <f t="shared" si="2"/>
        <v>60216776</v>
      </c>
      <c r="M37" s="12">
        <f t="shared" si="3"/>
        <v>13775432</v>
      </c>
      <c r="N37" s="37">
        <v>17229088</v>
      </c>
      <c r="O37" s="15">
        <v>60216776</v>
      </c>
      <c r="P37" s="15">
        <v>6229096</v>
      </c>
      <c r="Q37" s="15">
        <v>1572520</v>
      </c>
      <c r="R37" s="15">
        <v>5973816</v>
      </c>
      <c r="S37" s="15">
        <v>46396328</v>
      </c>
      <c r="T37" s="15">
        <v>45016</v>
      </c>
      <c r="U37" s="38">
        <v>75.441734800000006</v>
      </c>
      <c r="V37" s="38">
        <v>77.448937999999998</v>
      </c>
      <c r="W37" s="38">
        <v>31.267436499999999</v>
      </c>
      <c r="X37" s="38">
        <v>39.193633400000003</v>
      </c>
      <c r="Y37" s="38">
        <v>39.324233300000003</v>
      </c>
      <c r="Z37" s="38">
        <v>49.7565302</v>
      </c>
      <c r="AA37" s="38">
        <v>30.2979257</v>
      </c>
      <c r="AB37" s="16">
        <v>79991.998290999996</v>
      </c>
      <c r="AC37" s="16">
        <v>553.44795099999999</v>
      </c>
      <c r="AE37" s="13" t="str">
        <f t="shared" si="4"/>
        <v>·</v>
      </c>
      <c r="AF37" s="14" t="str">
        <f t="shared" si="5"/>
        <v>·</v>
      </c>
      <c r="AG37" s="12"/>
      <c r="AH37" s="12"/>
      <c r="AI37" s="37"/>
      <c r="AJ37" s="15"/>
      <c r="AK37" s="15"/>
      <c r="AL37" s="15"/>
      <c r="AM37" s="15"/>
      <c r="AN37" s="15"/>
      <c r="AO37" s="15"/>
      <c r="AP37" s="38"/>
      <c r="AQ37" s="38"/>
      <c r="AR37" s="38"/>
      <c r="AS37" s="38"/>
      <c r="AT37" s="38"/>
      <c r="AU37" s="38"/>
      <c r="AV37" s="38"/>
      <c r="AW37" s="16"/>
      <c r="AX37" s="16"/>
      <c r="AZ37" s="17"/>
      <c r="BA37" s="17"/>
      <c r="BB37" s="17"/>
      <c r="BC37" s="17"/>
      <c r="BD37" s="17"/>
      <c r="BE37" s="17"/>
      <c r="BF37" s="17"/>
      <c r="BH37" s="17"/>
      <c r="BI37" s="17"/>
      <c r="BJ37" s="17"/>
      <c r="BK37" s="17"/>
      <c r="BL37" s="17"/>
      <c r="BM37" s="17"/>
      <c r="BN37" s="17"/>
      <c r="BP37" s="17">
        <f t="shared" si="6"/>
        <v>0</v>
      </c>
      <c r="BQ37" s="17">
        <f t="shared" si="7"/>
        <v>0</v>
      </c>
      <c r="BR37" s="17">
        <f t="shared" si="8"/>
        <v>0</v>
      </c>
      <c r="BS37" s="17">
        <f t="shared" si="9"/>
        <v>0</v>
      </c>
      <c r="BT37" s="17">
        <f t="shared" si="10"/>
        <v>0</v>
      </c>
    </row>
    <row r="38" spans="1:72" ht="15" customHeight="1" outlineLevel="1" x14ac:dyDescent="0.15">
      <c r="A38" s="26"/>
      <c r="B38" s="26" t="s">
        <v>73</v>
      </c>
      <c r="C38" s="28" t="s">
        <v>428</v>
      </c>
      <c r="D38" s="26">
        <v>9000000</v>
      </c>
      <c r="E38" s="27">
        <v>12</v>
      </c>
      <c r="F38" s="28">
        <v>300</v>
      </c>
      <c r="G38" s="28">
        <v>30</v>
      </c>
      <c r="H38" s="28">
        <v>8</v>
      </c>
      <c r="J38" s="29">
        <f t="shared" si="0"/>
        <v>8.2649695999999988</v>
      </c>
      <c r="K38" s="30">
        <f t="shared" si="1"/>
        <v>9.1832995555555552</v>
      </c>
      <c r="L38" s="28">
        <f t="shared" si="2"/>
        <v>82649696</v>
      </c>
      <c r="M38" s="28">
        <f t="shared" si="3"/>
        <v>22501056</v>
      </c>
      <c r="N38" s="39">
        <v>34467088</v>
      </c>
      <c r="O38" s="31">
        <v>82649696</v>
      </c>
      <c r="P38" s="31">
        <v>12795720</v>
      </c>
      <c r="Q38" s="31">
        <v>3488720</v>
      </c>
      <c r="R38" s="31">
        <v>6216616</v>
      </c>
      <c r="S38" s="31">
        <v>60103792</v>
      </c>
      <c r="T38" s="31">
        <v>44848</v>
      </c>
      <c r="U38" s="40">
        <v>78.318910599999995</v>
      </c>
      <c r="V38" s="40">
        <v>80.869742599999995</v>
      </c>
      <c r="W38" s="40">
        <v>31.750117299999999</v>
      </c>
      <c r="X38" s="40">
        <v>39.284384099999997</v>
      </c>
      <c r="Y38" s="40">
        <v>39.491445300000002</v>
      </c>
      <c r="Z38" s="40">
        <v>51.461284599999999</v>
      </c>
      <c r="AA38" s="40">
        <v>30.9943703</v>
      </c>
      <c r="AB38" s="32">
        <v>87950.571930000006</v>
      </c>
      <c r="AC38" s="32">
        <v>566.65522099999998</v>
      </c>
      <c r="AE38" s="29" t="str">
        <f t="shared" si="4"/>
        <v>·</v>
      </c>
      <c r="AF38" s="30" t="str">
        <f t="shared" si="5"/>
        <v>·</v>
      </c>
      <c r="AG38" s="28"/>
      <c r="AH38" s="28"/>
      <c r="AI38" s="39"/>
      <c r="AJ38" s="31"/>
      <c r="AK38" s="31"/>
      <c r="AL38" s="31"/>
      <c r="AM38" s="31"/>
      <c r="AN38" s="31"/>
      <c r="AO38" s="31"/>
      <c r="AP38" s="40"/>
      <c r="AQ38" s="40"/>
      <c r="AR38" s="40"/>
      <c r="AS38" s="40"/>
      <c r="AT38" s="40"/>
      <c r="AU38" s="40"/>
      <c r="AV38" s="40"/>
      <c r="AW38" s="32"/>
      <c r="AX38" s="32"/>
      <c r="AZ38" s="33"/>
      <c r="BA38" s="33"/>
      <c r="BB38" s="33"/>
      <c r="BC38" s="33"/>
      <c r="BD38" s="33"/>
      <c r="BE38" s="33"/>
      <c r="BF38" s="33"/>
      <c r="BH38" s="33"/>
      <c r="BI38" s="33"/>
      <c r="BJ38" s="33"/>
      <c r="BK38" s="33"/>
      <c r="BL38" s="33"/>
      <c r="BM38" s="33"/>
      <c r="BN38" s="33"/>
      <c r="BP38" s="33">
        <f t="shared" si="6"/>
        <v>0</v>
      </c>
      <c r="BQ38" s="33">
        <f t="shared" si="7"/>
        <v>0</v>
      </c>
      <c r="BR38" s="33">
        <f t="shared" si="8"/>
        <v>0</v>
      </c>
      <c r="BS38" s="33">
        <f t="shared" si="9"/>
        <v>0</v>
      </c>
      <c r="BT38" s="33">
        <f t="shared" si="10"/>
        <v>0</v>
      </c>
    </row>
    <row r="39" spans="1:72" ht="15.75" customHeight="1" outlineLevel="1" thickBot="1" x14ac:dyDescent="0.2">
      <c r="A39" s="10"/>
      <c r="B39" s="41" t="s">
        <v>73</v>
      </c>
      <c r="C39" s="42" t="s">
        <v>429</v>
      </c>
      <c r="D39" s="41">
        <v>9000000</v>
      </c>
      <c r="E39" s="43">
        <v>12</v>
      </c>
      <c r="F39" s="42">
        <v>300</v>
      </c>
      <c r="G39" s="42">
        <v>30</v>
      </c>
      <c r="H39" s="42">
        <v>12</v>
      </c>
      <c r="J39" s="44">
        <f t="shared" si="0"/>
        <v>12.131195999999999</v>
      </c>
      <c r="K39" s="45">
        <f t="shared" si="1"/>
        <v>13.479106666666667</v>
      </c>
      <c r="L39" s="42">
        <f t="shared" si="2"/>
        <v>121311960</v>
      </c>
      <c r="M39" s="42">
        <f t="shared" si="3"/>
        <v>28538640</v>
      </c>
      <c r="N39" s="46">
        <v>51701408</v>
      </c>
      <c r="O39" s="47">
        <v>121311960</v>
      </c>
      <c r="P39" s="47">
        <v>18347424</v>
      </c>
      <c r="Q39" s="47">
        <v>4940184</v>
      </c>
      <c r="R39" s="47">
        <v>5251032</v>
      </c>
      <c r="S39" s="47">
        <v>92728512</v>
      </c>
      <c r="T39" s="47">
        <v>44808</v>
      </c>
      <c r="U39" s="48">
        <v>80.153868000000003</v>
      </c>
      <c r="V39" s="48">
        <v>83.134605399999998</v>
      </c>
      <c r="W39" s="48">
        <v>32.491396999999999</v>
      </c>
      <c r="X39" s="48">
        <v>39.355380099999998</v>
      </c>
      <c r="Y39" s="48">
        <v>39.619766200000001</v>
      </c>
      <c r="Z39" s="48">
        <v>52.596130500000001</v>
      </c>
      <c r="AA39" s="48">
        <v>31.773250099999998</v>
      </c>
      <c r="AB39" s="49">
        <v>107072.829422</v>
      </c>
      <c r="AC39" s="49">
        <v>561.43397900000002</v>
      </c>
      <c r="AE39" s="44" t="str">
        <f t="shared" si="4"/>
        <v>·</v>
      </c>
      <c r="AF39" s="45" t="str">
        <f t="shared" si="5"/>
        <v>·</v>
      </c>
      <c r="AG39" s="42"/>
      <c r="AH39" s="42"/>
      <c r="AI39" s="46"/>
      <c r="AJ39" s="47"/>
      <c r="AK39" s="47"/>
      <c r="AL39" s="47"/>
      <c r="AM39" s="47"/>
      <c r="AN39" s="47"/>
      <c r="AO39" s="47"/>
      <c r="AP39" s="48"/>
      <c r="AQ39" s="48"/>
      <c r="AR39" s="48"/>
      <c r="AS39" s="48"/>
      <c r="AT39" s="48"/>
      <c r="AU39" s="48"/>
      <c r="AV39" s="48"/>
      <c r="AW39" s="49"/>
      <c r="AX39" s="49"/>
      <c r="AZ39" s="50"/>
      <c r="BA39" s="50"/>
      <c r="BB39" s="50"/>
      <c r="BC39" s="50"/>
      <c r="BD39" s="50"/>
      <c r="BE39" s="50"/>
      <c r="BF39" s="50"/>
      <c r="BH39" s="50"/>
      <c r="BI39" s="50"/>
      <c r="BJ39" s="50"/>
      <c r="BK39" s="50"/>
      <c r="BL39" s="50"/>
      <c r="BM39" s="50"/>
      <c r="BN39" s="50"/>
      <c r="BP39" s="50">
        <f t="shared" si="6"/>
        <v>0</v>
      </c>
      <c r="BQ39" s="50">
        <f t="shared" si="7"/>
        <v>0</v>
      </c>
      <c r="BR39" s="50">
        <f t="shared" si="8"/>
        <v>0</v>
      </c>
      <c r="BS39" s="50">
        <f t="shared" si="9"/>
        <v>0</v>
      </c>
      <c r="BT39" s="50">
        <f t="shared" si="10"/>
        <v>0</v>
      </c>
    </row>
    <row r="40" spans="1:72" ht="15" customHeight="1" x14ac:dyDescent="0.15">
      <c r="A40" s="26"/>
      <c r="B40" s="26" t="s">
        <v>78</v>
      </c>
      <c r="C40" s="28" t="s">
        <v>425</v>
      </c>
      <c r="D40" s="26">
        <v>9000000</v>
      </c>
      <c r="E40" s="27">
        <v>12</v>
      </c>
      <c r="F40" s="28">
        <v>300</v>
      </c>
      <c r="G40" s="28">
        <v>30</v>
      </c>
      <c r="H40" s="28">
        <v>3</v>
      </c>
      <c r="J40" s="29">
        <f t="shared" si="0"/>
        <v>3.1962287999999996</v>
      </c>
      <c r="K40" s="30">
        <f t="shared" si="1"/>
        <v>3.5513653333333335</v>
      </c>
      <c r="L40" s="28">
        <f t="shared" si="2"/>
        <v>31962288</v>
      </c>
      <c r="M40" s="28">
        <f t="shared" si="3"/>
        <v>7527768</v>
      </c>
      <c r="N40" s="39">
        <v>8626496</v>
      </c>
      <c r="O40" s="31">
        <v>31962288</v>
      </c>
      <c r="P40" s="31">
        <v>3403440</v>
      </c>
      <c r="Q40" s="31">
        <v>506768</v>
      </c>
      <c r="R40" s="31">
        <v>3617560</v>
      </c>
      <c r="S40" s="31">
        <v>24390576</v>
      </c>
      <c r="T40" s="31">
        <v>43944</v>
      </c>
      <c r="U40" s="40">
        <v>72.811596899999998</v>
      </c>
      <c r="V40" s="40">
        <v>74.214401600000002</v>
      </c>
      <c r="W40" s="40">
        <v>33.264529699999997</v>
      </c>
      <c r="X40" s="40">
        <v>42.590595299999997</v>
      </c>
      <c r="Y40" s="40">
        <v>42.873506900000002</v>
      </c>
      <c r="Z40" s="40">
        <v>48.3251834</v>
      </c>
      <c r="AA40" s="40">
        <v>32.229368100000002</v>
      </c>
      <c r="AB40" s="32">
        <v>71305.293468999997</v>
      </c>
      <c r="AC40" s="32">
        <v>542.12446799999998</v>
      </c>
      <c r="AE40" s="29" t="str">
        <f t="shared" si="4"/>
        <v>·</v>
      </c>
      <c r="AF40" s="30" t="str">
        <f t="shared" si="5"/>
        <v>·</v>
      </c>
      <c r="AG40" s="28"/>
      <c r="AH40" s="28"/>
      <c r="AI40" s="39"/>
      <c r="AJ40" s="31"/>
      <c r="AK40" s="31"/>
      <c r="AL40" s="31"/>
      <c r="AM40" s="31"/>
      <c r="AN40" s="31"/>
      <c r="AO40" s="31"/>
      <c r="AP40" s="40"/>
      <c r="AQ40" s="40"/>
      <c r="AR40" s="40"/>
      <c r="AS40" s="40"/>
      <c r="AT40" s="40"/>
      <c r="AU40" s="40"/>
      <c r="AV40" s="40"/>
      <c r="AW40" s="32"/>
      <c r="AX40" s="32"/>
      <c r="AZ40" s="33" t="str">
        <f t="array" ref="AZ40">IF( OR(AND(ISBLANK(L40:L44)),AND(ISBLANK(AG40:AG44)), AND(ISBLANK(U40:U44)),AND(ISBLANK(AP40:AP44))), "·", bdRateExtend( L40:L44,U40:U44, AG40:AG44,AP40:AP44))</f>
        <v>·</v>
      </c>
      <c r="BA40" s="33" t="str">
        <f t="array" ref="BA40">IF( OR(AND(ISBLANK(L40:L44)),AND(ISBLANK(AG40:AG44)), AND(ISBLANK(V40:V44)),AND(ISBLANK(AQ40:AQ44))), "·", bdRateExtend( L40:L44,V40:V44, AG40:AG44,AQ40:AQ44))</f>
        <v>·</v>
      </c>
      <c r="BB40" s="33" t="str">
        <f t="array" ref="BB40">IF( OR(AND(ISBLANK(L40:L44)),AND(ISBLANK(AG40:AG44)), AND(ISBLANK(W40:W44)),AND(ISBLANK(AR40:AR44))), "·", bdRateExtend( L40:L44,W40:W44, AG40:AG44,AR40:AR44))</f>
        <v>·</v>
      </c>
      <c r="BC40" s="33" t="str">
        <f t="array" ref="BC40">IF( OR(AND(ISBLANK(L40:L44)),AND(ISBLANK(AG40:AG44)), AND(ISBLANK(X40:X44)),AND(ISBLANK(AS40:AS44))), "·", bdRateExtend( L40:L44,X40:X44, AG40:AG44,AS40:AS44))</f>
        <v>·</v>
      </c>
      <c r="BD40" s="33" t="str">
        <f t="array" ref="BD40">IF( OR(AND(ISBLANK(L40:L44)),AND(ISBLANK(AG40:AG44)), AND(ISBLANK(Y40:Y44)),AND(ISBLANK(AT40:AT44))), "·", bdRateExtend( L40:L44,Y40:Y44, AG40:AG44,AT40:AT44))</f>
        <v>·</v>
      </c>
      <c r="BE40" s="33" t="str">
        <f t="array" ref="BE40">IF( OR(AND(ISBLANK(L40:L44)),AND(ISBLANK(AG40:AG44)), AND(ISBLANK(Z40:Z44)),AND(ISBLANK(AU40:AU44))), "·", bdRateExtend( L40:L44,Z40:Z44, AG40:AG44,AU40:AU44))</f>
        <v>·</v>
      </c>
      <c r="BF40" s="33" t="str">
        <f t="array" ref="BF40">IF( OR(AND(ISBLANK(L40:L44)),AND(ISBLANK(AG40:AG44)), AND(ISBLANK(AA40:AA44)),AND(ISBLANK(AV40:AV44))), "·", bdRateExtend( L40:L44,AA40:AA44, AG40:AG44,AV40:AV44))</f>
        <v>·</v>
      </c>
      <c r="BH40" s="33" t="str">
        <f t="array" ref="BH40">IF( OR(AND(ISBLANK(M40:M44)),AND(ISBLANK(AH40:AH44)), AND(ISBLANK(U40:U44)),AND(ISBLANK(AP40:AP44))), "·", bdRateExtend( M40:M44,U40:U44, AH40:AH44,AP40:AP44))</f>
        <v>·</v>
      </c>
      <c r="BI40" s="33" t="str">
        <f t="array" ref="BI40">IF( OR(AND(ISBLANK(M40:M44)),AND(ISBLANK(AH40:AH44)), AND(ISBLANK(V40:V44)),AND(ISBLANK(AQ40:AQ44))), "·", bdRateExtend( M40:M44,V40:V44, AH40:AH44,AQ40:AQ44))</f>
        <v>·</v>
      </c>
      <c r="BJ40" s="33" t="str">
        <f t="array" ref="BJ40">IF( OR(AND(ISBLANK(S40:S44)),AND(ISBLANK(AN40:AN44)), AND(ISBLANK(W40:W44)),AND(ISBLANK(AR40:AR44))), "·", bdRateExtend( S40:S44,W40:W44, AN40:AN44,AR40:AR44))</f>
        <v>·</v>
      </c>
      <c r="BK40" s="33" t="str">
        <f t="array" ref="BK40">IF( OR(AND(ISBLANK(S40:S44)),AND(ISBLANK(AN40:AN44)), AND(ISBLANK(X40:X44)),AND(ISBLANK(AS40:AS44))), "·", bdRateExtend( S40:S44,X40:X44, AN40:AN44,AS40:AS44))</f>
        <v>·</v>
      </c>
      <c r="BL40" s="33" t="str">
        <f t="array" ref="BL40">IF( OR(AND(ISBLANK(S40:S44)),AND(ISBLANK(AN40:AN44)), AND(ISBLANK(Y40:Y44)),AND(ISBLANK(AT40:AT44))), "·", bdRateExtend( S40:S44,Y40:Y44, AN40:AN44,AT40:AT44))</f>
        <v>·</v>
      </c>
      <c r="BM40" s="33" t="str">
        <f t="array" ref="BM40">IF( OR(AND(ISBLANK(M40:M44)),AND(ISBLANK(AH40:AH44)), AND(ISBLANK(Z40:Z44)),AND(ISBLANK(AU40:AU44))), "·", bdRateExtend( M40:M44,Z40:Z44, AH40:AH44,AU40:AU44))</f>
        <v>·</v>
      </c>
      <c r="BN40" s="33" t="str">
        <f t="array" ref="BN40">IF( OR(AND(ISBLANK(S40:S44)),AND(ISBLANK(AN40:AN44)), AND(ISBLANK(AA40:AA44)),AND(ISBLANK(AV40:AV44))), "·", bdRateExtend( S40:S44,AA40:AA44, AN40:AN44,AV40:AV44))</f>
        <v>·</v>
      </c>
      <c r="BP40" s="33">
        <f t="shared" si="6"/>
        <v>0</v>
      </c>
      <c r="BQ40" s="33">
        <f t="shared" si="7"/>
        <v>0</v>
      </c>
      <c r="BR40" s="33">
        <f t="shared" si="8"/>
        <v>0</v>
      </c>
      <c r="BS40" s="33">
        <f t="shared" si="9"/>
        <v>0</v>
      </c>
      <c r="BT40" s="33">
        <f t="shared" si="10"/>
        <v>0</v>
      </c>
    </row>
    <row r="41" spans="1:72" ht="15" customHeight="1" outlineLevel="1" x14ac:dyDescent="0.15">
      <c r="A41" s="10"/>
      <c r="B41" s="10" t="s">
        <v>78</v>
      </c>
      <c r="C41" s="12" t="s">
        <v>426</v>
      </c>
      <c r="D41" s="10">
        <v>9000000</v>
      </c>
      <c r="E41" s="11">
        <v>12</v>
      </c>
      <c r="F41" s="12">
        <v>300</v>
      </c>
      <c r="G41" s="12">
        <v>30</v>
      </c>
      <c r="H41" s="12">
        <v>4</v>
      </c>
      <c r="J41" s="13">
        <f t="shared" si="0"/>
        <v>4.2448927999999997</v>
      </c>
      <c r="K41" s="14">
        <f t="shared" si="1"/>
        <v>4.7165475555555556</v>
      </c>
      <c r="L41" s="12">
        <f t="shared" si="2"/>
        <v>42448928</v>
      </c>
      <c r="M41" s="12">
        <f t="shared" si="3"/>
        <v>12535632</v>
      </c>
      <c r="N41" s="37">
        <v>17259760</v>
      </c>
      <c r="O41" s="15">
        <v>42448928</v>
      </c>
      <c r="P41" s="15">
        <v>6455640</v>
      </c>
      <c r="Q41" s="15">
        <v>1668480</v>
      </c>
      <c r="R41" s="15">
        <v>4411512</v>
      </c>
      <c r="S41" s="15">
        <v>29868360</v>
      </c>
      <c r="T41" s="15">
        <v>44936</v>
      </c>
      <c r="U41" s="38">
        <v>75.618747400000004</v>
      </c>
      <c r="V41" s="38">
        <v>77.348021200000005</v>
      </c>
      <c r="W41" s="38">
        <v>33.632702500000001</v>
      </c>
      <c r="X41" s="38">
        <v>42.765278299999999</v>
      </c>
      <c r="Y41" s="38">
        <v>43.164362699999998</v>
      </c>
      <c r="Z41" s="38">
        <v>50.113447800000003</v>
      </c>
      <c r="AA41" s="38">
        <v>32.8881874</v>
      </c>
      <c r="AB41" s="16">
        <v>96937.474774000002</v>
      </c>
      <c r="AC41" s="16">
        <v>630.03957000000003</v>
      </c>
      <c r="AE41" s="13" t="str">
        <f t="shared" si="4"/>
        <v>·</v>
      </c>
      <c r="AF41" s="14" t="str">
        <f t="shared" si="5"/>
        <v>·</v>
      </c>
      <c r="AG41" s="12"/>
      <c r="AH41" s="12"/>
      <c r="AI41" s="37"/>
      <c r="AJ41" s="15"/>
      <c r="AK41" s="15"/>
      <c r="AL41" s="15"/>
      <c r="AM41" s="15"/>
      <c r="AN41" s="15"/>
      <c r="AO41" s="15"/>
      <c r="AP41" s="38"/>
      <c r="AQ41" s="38"/>
      <c r="AR41" s="38"/>
      <c r="AS41" s="38"/>
      <c r="AT41" s="38"/>
      <c r="AU41" s="38"/>
      <c r="AV41" s="38"/>
      <c r="AW41" s="16"/>
      <c r="AX41" s="16"/>
      <c r="AZ41" s="17"/>
      <c r="BA41" s="17"/>
      <c r="BB41" s="17"/>
      <c r="BC41" s="17"/>
      <c r="BD41" s="17"/>
      <c r="BE41" s="17"/>
      <c r="BF41" s="17"/>
      <c r="BH41" s="17"/>
      <c r="BI41" s="17"/>
      <c r="BJ41" s="17"/>
      <c r="BK41" s="17"/>
      <c r="BL41" s="17"/>
      <c r="BM41" s="17"/>
      <c r="BN41" s="17"/>
      <c r="BP41" s="17">
        <f t="shared" si="6"/>
        <v>0</v>
      </c>
      <c r="BQ41" s="17">
        <f t="shared" si="7"/>
        <v>0</v>
      </c>
      <c r="BR41" s="17">
        <f t="shared" si="8"/>
        <v>0</v>
      </c>
      <c r="BS41" s="17">
        <f t="shared" si="9"/>
        <v>0</v>
      </c>
      <c r="BT41" s="17">
        <f t="shared" si="10"/>
        <v>0</v>
      </c>
    </row>
    <row r="42" spans="1:72" ht="15" customHeight="1" outlineLevel="1" x14ac:dyDescent="0.15">
      <c r="A42" s="26"/>
      <c r="B42" s="26" t="s">
        <v>78</v>
      </c>
      <c r="C42" s="28" t="s">
        <v>427</v>
      </c>
      <c r="D42" s="26">
        <v>9000000</v>
      </c>
      <c r="E42" s="27">
        <v>12</v>
      </c>
      <c r="F42" s="28">
        <v>300</v>
      </c>
      <c r="G42" s="28">
        <v>30</v>
      </c>
      <c r="H42" s="28">
        <v>6</v>
      </c>
      <c r="J42" s="29">
        <f t="shared" si="0"/>
        <v>6.5251200000000003</v>
      </c>
      <c r="K42" s="30">
        <f t="shared" si="1"/>
        <v>7.2501333333333333</v>
      </c>
      <c r="L42" s="28">
        <f t="shared" si="2"/>
        <v>65251200</v>
      </c>
      <c r="M42" s="28">
        <f t="shared" si="3"/>
        <v>18168520</v>
      </c>
      <c r="N42" s="39">
        <v>34522416</v>
      </c>
      <c r="O42" s="31">
        <v>65251200</v>
      </c>
      <c r="P42" s="31">
        <v>11706152</v>
      </c>
      <c r="Q42" s="31">
        <v>3120328</v>
      </c>
      <c r="R42" s="31">
        <v>3342040</v>
      </c>
      <c r="S42" s="31">
        <v>47037792</v>
      </c>
      <c r="T42" s="31">
        <v>44888</v>
      </c>
      <c r="U42" s="40">
        <v>77.949991699999998</v>
      </c>
      <c r="V42" s="40">
        <v>80.017332100000004</v>
      </c>
      <c r="W42" s="40">
        <v>34.289487999999999</v>
      </c>
      <c r="X42" s="40">
        <v>42.910834700000002</v>
      </c>
      <c r="Y42" s="40">
        <v>43.399046200000001</v>
      </c>
      <c r="Z42" s="40">
        <v>51.3800642</v>
      </c>
      <c r="AA42" s="40">
        <v>33.635760599999998</v>
      </c>
      <c r="AB42" s="32">
        <v>82941.423511999994</v>
      </c>
      <c r="AC42" s="32">
        <v>589.60254899999995</v>
      </c>
      <c r="AE42" s="29" t="str">
        <f t="shared" si="4"/>
        <v>·</v>
      </c>
      <c r="AF42" s="30" t="str">
        <f t="shared" si="5"/>
        <v>·</v>
      </c>
      <c r="AG42" s="28"/>
      <c r="AH42" s="28"/>
      <c r="AI42" s="39"/>
      <c r="AJ42" s="31"/>
      <c r="AK42" s="31"/>
      <c r="AL42" s="31"/>
      <c r="AM42" s="31"/>
      <c r="AN42" s="31"/>
      <c r="AO42" s="31"/>
      <c r="AP42" s="40"/>
      <c r="AQ42" s="40"/>
      <c r="AR42" s="40"/>
      <c r="AS42" s="40"/>
      <c r="AT42" s="40"/>
      <c r="AU42" s="40"/>
      <c r="AV42" s="40"/>
      <c r="AW42" s="32"/>
      <c r="AX42" s="32"/>
      <c r="AZ42" s="33"/>
      <c r="BA42" s="33"/>
      <c r="BB42" s="33"/>
      <c r="BC42" s="33"/>
      <c r="BD42" s="33"/>
      <c r="BE42" s="33"/>
      <c r="BF42" s="33"/>
      <c r="BH42" s="33"/>
      <c r="BI42" s="33"/>
      <c r="BJ42" s="33"/>
      <c r="BK42" s="33"/>
      <c r="BL42" s="33"/>
      <c r="BM42" s="33"/>
      <c r="BN42" s="33"/>
      <c r="BP42" s="33">
        <f t="shared" si="6"/>
        <v>0</v>
      </c>
      <c r="BQ42" s="33">
        <f t="shared" si="7"/>
        <v>0</v>
      </c>
      <c r="BR42" s="33">
        <f t="shared" si="8"/>
        <v>0</v>
      </c>
      <c r="BS42" s="33">
        <f t="shared" si="9"/>
        <v>0</v>
      </c>
      <c r="BT42" s="33">
        <f t="shared" si="10"/>
        <v>0</v>
      </c>
    </row>
    <row r="43" spans="1:72" ht="15" customHeight="1" outlineLevel="1" x14ac:dyDescent="0.15">
      <c r="A43" s="10"/>
      <c r="B43" s="10" t="s">
        <v>78</v>
      </c>
      <c r="C43" s="12" t="s">
        <v>428</v>
      </c>
      <c r="D43" s="10">
        <v>9000000</v>
      </c>
      <c r="E43" s="11">
        <v>12</v>
      </c>
      <c r="F43" s="12">
        <v>300</v>
      </c>
      <c r="G43" s="12">
        <v>30</v>
      </c>
      <c r="H43" s="12">
        <v>8</v>
      </c>
      <c r="J43" s="13">
        <f t="shared" si="0"/>
        <v>8.4949304000000012</v>
      </c>
      <c r="K43" s="14">
        <f t="shared" si="1"/>
        <v>9.4388115555555547</v>
      </c>
      <c r="L43" s="12">
        <f t="shared" si="2"/>
        <v>84949304</v>
      </c>
      <c r="M43" s="12">
        <f t="shared" si="3"/>
        <v>21830840</v>
      </c>
      <c r="N43" s="37">
        <v>34522416</v>
      </c>
      <c r="O43" s="15">
        <v>84949304</v>
      </c>
      <c r="P43" s="15">
        <v>11706152</v>
      </c>
      <c r="Q43" s="15">
        <v>3120328</v>
      </c>
      <c r="R43" s="15">
        <v>7004360</v>
      </c>
      <c r="S43" s="15">
        <v>63073576</v>
      </c>
      <c r="T43" s="15">
        <v>44888</v>
      </c>
      <c r="U43" s="38">
        <v>79.042064499999995</v>
      </c>
      <c r="V43" s="38">
        <v>81.431796700000007</v>
      </c>
      <c r="W43" s="38">
        <v>34.357746200000001</v>
      </c>
      <c r="X43" s="38">
        <v>43.032460399999998</v>
      </c>
      <c r="Y43" s="38">
        <v>43.570932800000001</v>
      </c>
      <c r="Z43" s="38">
        <v>52.152535499999999</v>
      </c>
      <c r="AA43" s="38">
        <v>33.774061699999997</v>
      </c>
      <c r="AB43" s="16">
        <v>45110.196040000003</v>
      </c>
      <c r="AC43" s="16">
        <v>164.297653</v>
      </c>
      <c r="AE43" s="13" t="str">
        <f t="shared" si="4"/>
        <v>·</v>
      </c>
      <c r="AF43" s="14" t="str">
        <f t="shared" si="5"/>
        <v>·</v>
      </c>
      <c r="AG43" s="12"/>
      <c r="AH43" s="12"/>
      <c r="AI43" s="37"/>
      <c r="AJ43" s="15"/>
      <c r="AK43" s="15"/>
      <c r="AL43" s="15"/>
      <c r="AM43" s="15"/>
      <c r="AN43" s="15"/>
      <c r="AO43" s="15"/>
      <c r="AP43" s="38"/>
      <c r="AQ43" s="38"/>
      <c r="AR43" s="38"/>
      <c r="AS43" s="38"/>
      <c r="AT43" s="38"/>
      <c r="AU43" s="38"/>
      <c r="AV43" s="38"/>
      <c r="AW43" s="16"/>
      <c r="AX43" s="16"/>
      <c r="AZ43" s="17"/>
      <c r="BA43" s="17"/>
      <c r="BB43" s="17"/>
      <c r="BC43" s="17"/>
      <c r="BD43" s="17"/>
      <c r="BE43" s="17"/>
      <c r="BF43" s="17"/>
      <c r="BH43" s="17"/>
      <c r="BI43" s="17"/>
      <c r="BJ43" s="17"/>
      <c r="BK43" s="17"/>
      <c r="BL43" s="17"/>
      <c r="BM43" s="17"/>
      <c r="BN43" s="17"/>
      <c r="BP43" s="17">
        <f t="shared" si="6"/>
        <v>0</v>
      </c>
      <c r="BQ43" s="17">
        <f t="shared" si="7"/>
        <v>0</v>
      </c>
      <c r="BR43" s="17">
        <f t="shared" si="8"/>
        <v>0</v>
      </c>
      <c r="BS43" s="17">
        <f t="shared" si="9"/>
        <v>0</v>
      </c>
      <c r="BT43" s="17">
        <f t="shared" si="10"/>
        <v>0</v>
      </c>
    </row>
    <row r="44" spans="1:72" ht="15.75" customHeight="1" outlineLevel="1" thickBot="1" x14ac:dyDescent="0.2">
      <c r="A44" s="18"/>
      <c r="B44" s="18" t="s">
        <v>78</v>
      </c>
      <c r="C44" s="20" t="s">
        <v>429</v>
      </c>
      <c r="D44" s="18">
        <v>9000000</v>
      </c>
      <c r="E44" s="19">
        <v>12</v>
      </c>
      <c r="F44" s="20">
        <v>300</v>
      </c>
      <c r="G44" s="20">
        <v>30</v>
      </c>
      <c r="H44" s="20">
        <v>12</v>
      </c>
      <c r="J44" s="21">
        <f t="shared" si="0"/>
        <v>12.7652248</v>
      </c>
      <c r="K44" s="22">
        <f t="shared" si="1"/>
        <v>14.183583111111112</v>
      </c>
      <c r="L44" s="20">
        <f t="shared" si="2"/>
        <v>127652248</v>
      </c>
      <c r="M44" s="20">
        <f t="shared" si="3"/>
        <v>27318904</v>
      </c>
      <c r="N44" s="51">
        <v>51785168</v>
      </c>
      <c r="O44" s="23">
        <v>127652248</v>
      </c>
      <c r="P44" s="23">
        <v>16680776</v>
      </c>
      <c r="Q44" s="23">
        <v>4500648</v>
      </c>
      <c r="R44" s="23">
        <v>6137480</v>
      </c>
      <c r="S44" s="23">
        <v>100288472</v>
      </c>
      <c r="T44" s="23">
        <v>44872</v>
      </c>
      <c r="U44" s="52">
        <v>80.702805299999994</v>
      </c>
      <c r="V44" s="52">
        <v>83.491151599999995</v>
      </c>
      <c r="W44" s="52">
        <v>34.939911899999998</v>
      </c>
      <c r="X44" s="52">
        <v>43.136447199999999</v>
      </c>
      <c r="Y44" s="52">
        <v>43.729340000000001</v>
      </c>
      <c r="Z44" s="52">
        <v>53.159433700000001</v>
      </c>
      <c r="AA44" s="52">
        <v>34.398621200000001</v>
      </c>
      <c r="AB44" s="24">
        <v>41924.710962999998</v>
      </c>
      <c r="AC44" s="24">
        <v>150.292494</v>
      </c>
      <c r="AE44" s="21" t="str">
        <f t="shared" si="4"/>
        <v>·</v>
      </c>
      <c r="AF44" s="22" t="str">
        <f t="shared" si="5"/>
        <v>·</v>
      </c>
      <c r="AG44" s="20"/>
      <c r="AH44" s="20"/>
      <c r="AI44" s="51"/>
      <c r="AJ44" s="23"/>
      <c r="AK44" s="23"/>
      <c r="AL44" s="23"/>
      <c r="AM44" s="23"/>
      <c r="AN44" s="23"/>
      <c r="AO44" s="23"/>
      <c r="AP44" s="52"/>
      <c r="AQ44" s="52"/>
      <c r="AR44" s="52"/>
      <c r="AS44" s="52"/>
      <c r="AT44" s="52"/>
      <c r="AU44" s="52"/>
      <c r="AV44" s="52"/>
      <c r="AW44" s="24"/>
      <c r="AX44" s="24"/>
      <c r="AZ44" s="25"/>
      <c r="BA44" s="25"/>
      <c r="BB44" s="25"/>
      <c r="BC44" s="25"/>
      <c r="BD44" s="25"/>
      <c r="BE44" s="25"/>
      <c r="BF44" s="25"/>
      <c r="BH44" s="25"/>
      <c r="BI44" s="25"/>
      <c r="BJ44" s="25"/>
      <c r="BK44" s="25"/>
      <c r="BL44" s="25"/>
      <c r="BM44" s="25"/>
      <c r="BN44" s="25"/>
      <c r="BP44" s="25">
        <f t="shared" si="6"/>
        <v>0</v>
      </c>
      <c r="BQ44" s="25">
        <f t="shared" si="7"/>
        <v>0</v>
      </c>
      <c r="BR44" s="25">
        <f t="shared" si="8"/>
        <v>0</v>
      </c>
      <c r="BS44" s="25">
        <f t="shared" si="9"/>
        <v>0</v>
      </c>
      <c r="BT44" s="25">
        <f t="shared" si="10"/>
        <v>0</v>
      </c>
    </row>
    <row r="45" spans="1:72" x14ac:dyDescent="0.15">
      <c r="B45" s="34" t="s">
        <v>8</v>
      </c>
      <c r="K45" s="35">
        <f>AVERAGE(K5:K14)</f>
        <v>12.439832311229654</v>
      </c>
      <c r="L45" s="35"/>
      <c r="M45" s="35"/>
      <c r="T45" s="96"/>
      <c r="AF45" s="35" t="e">
        <f>AVERAGE(AF5:AF14)</f>
        <v>#DIV/0!</v>
      </c>
      <c r="AG45" s="35"/>
      <c r="AH45" s="35"/>
      <c r="AZ45" s="3" t="e">
        <f t="shared" ref="AZ45:BF45" si="11">AVERAGE(AZ5:AZ14)</f>
        <v>#DIV/0!</v>
      </c>
      <c r="BA45" s="3" t="e">
        <f t="shared" si="11"/>
        <v>#DIV/0!</v>
      </c>
      <c r="BB45" s="3" t="e">
        <f t="shared" si="11"/>
        <v>#DIV/0!</v>
      </c>
      <c r="BC45" s="3" t="e">
        <f t="shared" si="11"/>
        <v>#DIV/0!</v>
      </c>
      <c r="BD45" s="3" t="e">
        <f t="shared" si="11"/>
        <v>#DIV/0!</v>
      </c>
      <c r="BE45" s="3" t="e">
        <f t="shared" si="11"/>
        <v>#DIV/0!</v>
      </c>
      <c r="BF45" s="3" t="e">
        <f t="shared" si="11"/>
        <v>#DIV/0!</v>
      </c>
      <c r="BH45" s="3" t="e">
        <f t="shared" ref="BH45:BN45" si="12">AVERAGE(BH5:BH14)</f>
        <v>#DIV/0!</v>
      </c>
      <c r="BI45" s="3" t="e">
        <f t="shared" si="12"/>
        <v>#DIV/0!</v>
      </c>
      <c r="BJ45" s="3" t="e">
        <f t="shared" si="12"/>
        <v>#DIV/0!</v>
      </c>
      <c r="BK45" s="3" t="e">
        <f t="shared" si="12"/>
        <v>#DIV/0!</v>
      </c>
      <c r="BL45" s="3" t="e">
        <f t="shared" si="12"/>
        <v>#DIV/0!</v>
      </c>
      <c r="BM45" s="3" t="e">
        <f t="shared" si="12"/>
        <v>#DIV/0!</v>
      </c>
      <c r="BN45" s="3" t="e">
        <f t="shared" si="12"/>
        <v>#DIV/0!</v>
      </c>
      <c r="BP45" s="3">
        <f>AVERAGE(BP5:BP14)</f>
        <v>0</v>
      </c>
      <c r="BQ45" s="3">
        <f>AVERAGE(BQ5:BQ14)</f>
        <v>0</v>
      </c>
      <c r="BR45" s="3">
        <f>AVERAGE(BR5:BR14)</f>
        <v>0</v>
      </c>
      <c r="BS45" s="3">
        <f>AVERAGE(BS5:BS14)</f>
        <v>0</v>
      </c>
      <c r="BT45" s="3">
        <f>AVERAGE(BT5:BT14)</f>
        <v>0</v>
      </c>
    </row>
    <row r="46" spans="1:72" x14ac:dyDescent="0.15">
      <c r="B46" s="34" t="s">
        <v>9</v>
      </c>
      <c r="K46" s="35">
        <f>AVERAGE(K15:K24)</f>
        <v>9.226150240259031</v>
      </c>
      <c r="L46" s="35"/>
      <c r="M46" s="35"/>
      <c r="AF46" s="35" t="e">
        <f>AVERAGE(AF15:AF24)</f>
        <v>#DIV/0!</v>
      </c>
      <c r="AG46" s="35"/>
      <c r="AH46" s="35"/>
      <c r="AZ46" s="3" t="e">
        <f t="shared" ref="AZ46:BF46" si="13">AVERAGE(AZ15:AZ24)</f>
        <v>#DIV/0!</v>
      </c>
      <c r="BA46" s="3" t="e">
        <f t="shared" si="13"/>
        <v>#DIV/0!</v>
      </c>
      <c r="BB46" s="3" t="e">
        <f t="shared" si="13"/>
        <v>#DIV/0!</v>
      </c>
      <c r="BC46" s="3" t="e">
        <f t="shared" si="13"/>
        <v>#DIV/0!</v>
      </c>
      <c r="BD46" s="3" t="e">
        <f t="shared" si="13"/>
        <v>#DIV/0!</v>
      </c>
      <c r="BE46" s="3" t="e">
        <f t="shared" si="13"/>
        <v>#DIV/0!</v>
      </c>
      <c r="BF46" s="3" t="e">
        <f t="shared" si="13"/>
        <v>#DIV/0!</v>
      </c>
      <c r="BH46" s="3" t="e">
        <f t="shared" ref="BH46:BN46" si="14">AVERAGE(BH15:BH24)</f>
        <v>#DIV/0!</v>
      </c>
      <c r="BI46" s="3" t="e">
        <f t="shared" si="14"/>
        <v>#DIV/0!</v>
      </c>
      <c r="BJ46" s="3" t="e">
        <f t="shared" si="14"/>
        <v>#DIV/0!</v>
      </c>
      <c r="BK46" s="3" t="e">
        <f t="shared" si="14"/>
        <v>#DIV/0!</v>
      </c>
      <c r="BL46" s="3" t="e">
        <f t="shared" si="14"/>
        <v>#DIV/0!</v>
      </c>
      <c r="BM46" s="3" t="e">
        <f t="shared" si="14"/>
        <v>#DIV/0!</v>
      </c>
      <c r="BN46" s="3" t="e">
        <f t="shared" si="14"/>
        <v>#DIV/0!</v>
      </c>
      <c r="BP46" s="3">
        <f>AVERAGE(BP15:BP24)</f>
        <v>0</v>
      </c>
      <c r="BQ46" s="3">
        <f>AVERAGE(BQ15:BQ24)</f>
        <v>0</v>
      </c>
      <c r="BR46" s="3">
        <f>AVERAGE(BR15:BR24)</f>
        <v>0</v>
      </c>
      <c r="BS46" s="3">
        <f>AVERAGE(BS15:BS24)</f>
        <v>0</v>
      </c>
      <c r="BT46" s="3">
        <f>AVERAGE(BT15:BT24)</f>
        <v>0</v>
      </c>
    </row>
    <row r="47" spans="1:72" x14ac:dyDescent="0.15">
      <c r="B47" s="34" t="s">
        <v>10</v>
      </c>
      <c r="K47" s="35">
        <f>AVERAGE(K25:K44)</f>
        <v>9.6665406237919704</v>
      </c>
      <c r="L47" s="35"/>
      <c r="M47" s="35"/>
      <c r="T47" s="90"/>
      <c r="AF47" s="35" t="e">
        <f>AVERAGE(AF25:AF44)</f>
        <v>#DIV/0!</v>
      </c>
      <c r="AG47" s="35"/>
      <c r="AH47" s="35"/>
      <c r="AZ47" s="3" t="e">
        <f t="shared" ref="AZ47:BF47" si="15">AVERAGE(AZ25:AZ44)</f>
        <v>#DIV/0!</v>
      </c>
      <c r="BA47" s="3" t="e">
        <f t="shared" si="15"/>
        <v>#DIV/0!</v>
      </c>
      <c r="BB47" s="3" t="e">
        <f t="shared" si="15"/>
        <v>#DIV/0!</v>
      </c>
      <c r="BC47" s="3" t="e">
        <f t="shared" si="15"/>
        <v>#DIV/0!</v>
      </c>
      <c r="BD47" s="3" t="e">
        <f t="shared" si="15"/>
        <v>#DIV/0!</v>
      </c>
      <c r="BE47" s="3" t="e">
        <f t="shared" si="15"/>
        <v>#DIV/0!</v>
      </c>
      <c r="BF47" s="3" t="e">
        <f t="shared" si="15"/>
        <v>#DIV/0!</v>
      </c>
      <c r="BH47" s="3" t="e">
        <f t="shared" ref="BH47:BN47" si="16">AVERAGE(BH25:BH44)</f>
        <v>#DIV/0!</v>
      </c>
      <c r="BI47" s="3" t="e">
        <f t="shared" si="16"/>
        <v>#DIV/0!</v>
      </c>
      <c r="BJ47" s="3" t="e">
        <f t="shared" si="16"/>
        <v>#DIV/0!</v>
      </c>
      <c r="BK47" s="3" t="e">
        <f t="shared" si="16"/>
        <v>#DIV/0!</v>
      </c>
      <c r="BL47" s="3" t="e">
        <f t="shared" si="16"/>
        <v>#DIV/0!</v>
      </c>
      <c r="BM47" s="3" t="e">
        <f t="shared" si="16"/>
        <v>#DIV/0!</v>
      </c>
      <c r="BN47" s="3" t="e">
        <f t="shared" si="16"/>
        <v>#DIV/0!</v>
      </c>
      <c r="BP47" s="3">
        <f>AVERAGE(BP25:BP44)</f>
        <v>0</v>
      </c>
      <c r="BQ47" s="3">
        <f>AVERAGE(BQ25:BQ44)</f>
        <v>0</v>
      </c>
      <c r="BR47" s="3">
        <f>AVERAGE(BR25:BR44)</f>
        <v>0</v>
      </c>
      <c r="BS47" s="3">
        <f>AVERAGE(BS25:BS44)</f>
        <v>0</v>
      </c>
      <c r="BT47" s="3">
        <f>AVERAGE(BT25:BT44)</f>
        <v>0</v>
      </c>
    </row>
    <row r="48" spans="1:72" x14ac:dyDescent="0.15">
      <c r="B48" s="34" t="s">
        <v>11</v>
      </c>
      <c r="K48" s="35">
        <f>AVERAGE(K5:K44)</f>
        <v>10.249765949768157</v>
      </c>
      <c r="L48" s="35"/>
      <c r="M48" s="35"/>
      <c r="AF48" s="35" t="e">
        <f>AVERAGE(AF5:AF44)</f>
        <v>#DIV/0!</v>
      </c>
      <c r="AG48" s="35"/>
      <c r="AH48" s="35"/>
      <c r="AZ48" s="3" t="e">
        <f t="shared" ref="AZ48:BF48" si="17">AVERAGE(AZ5:AZ44)</f>
        <v>#DIV/0!</v>
      </c>
      <c r="BA48" s="3" t="e">
        <f t="shared" si="17"/>
        <v>#DIV/0!</v>
      </c>
      <c r="BB48" s="3" t="e">
        <f t="shared" si="17"/>
        <v>#DIV/0!</v>
      </c>
      <c r="BC48" s="3" t="e">
        <f t="shared" si="17"/>
        <v>#DIV/0!</v>
      </c>
      <c r="BD48" s="3" t="e">
        <f t="shared" si="17"/>
        <v>#DIV/0!</v>
      </c>
      <c r="BE48" s="3" t="e">
        <f t="shared" si="17"/>
        <v>#DIV/0!</v>
      </c>
      <c r="BF48" s="3" t="e">
        <f t="shared" si="17"/>
        <v>#DIV/0!</v>
      </c>
      <c r="BH48" s="3" t="e">
        <f t="shared" ref="BH48:BN48" si="18">AVERAGE(BH5:BH44)</f>
        <v>#DIV/0!</v>
      </c>
      <c r="BI48" s="3" t="e">
        <f t="shared" si="18"/>
        <v>#DIV/0!</v>
      </c>
      <c r="BJ48" s="3" t="e">
        <f t="shared" si="18"/>
        <v>#DIV/0!</v>
      </c>
      <c r="BK48" s="3" t="e">
        <f t="shared" si="18"/>
        <v>#DIV/0!</v>
      </c>
      <c r="BL48" s="3" t="e">
        <f t="shared" si="18"/>
        <v>#DIV/0!</v>
      </c>
      <c r="BM48" s="3" t="e">
        <f t="shared" si="18"/>
        <v>#DIV/0!</v>
      </c>
      <c r="BN48" s="3" t="e">
        <f t="shared" si="18"/>
        <v>#DIV/0!</v>
      </c>
      <c r="BP48" s="3">
        <f>AVERAGE(BP5:BP44)</f>
        <v>0</v>
      </c>
      <c r="BQ48" s="3">
        <f>AVERAGE(BQ5:BQ44)</f>
        <v>0</v>
      </c>
      <c r="BR48" s="3">
        <f>AVERAGE(BR5:BR44)</f>
        <v>0</v>
      </c>
      <c r="BS48" s="3">
        <f>AVERAGE(BS5:BS44)</f>
        <v>0</v>
      </c>
      <c r="BT48" s="3">
        <f>AVERAGE(BT5:BT44)</f>
        <v>0</v>
      </c>
    </row>
    <row r="49" spans="1:50" x14ac:dyDescent="0.15">
      <c r="A49" s="34" t="s">
        <v>192</v>
      </c>
      <c r="B49" s="34" t="s">
        <v>193</v>
      </c>
      <c r="AB49" s="36">
        <f>SUM(AB5:AB14,AB15:AB24,AB25:AB44)</f>
        <v>1771291.9232279998</v>
      </c>
      <c r="AC49" s="36">
        <f>SUM(AC5:AC14,AC15:AC24,AC25:AC44)</f>
        <v>11720.682666999997</v>
      </c>
      <c r="AW49" s="36">
        <f>SUM(AW5:AW14,AW15:AW24,AW25:AW44)</f>
        <v>0</v>
      </c>
      <c r="AX49" s="36">
        <f>SUM(AX5:AX14,AX15:AX24,AX25:AX44)</f>
        <v>0</v>
      </c>
    </row>
    <row r="50" spans="1:50" x14ac:dyDescent="0.15">
      <c r="B50" s="34" t="s">
        <v>194</v>
      </c>
      <c r="AJ50" s="90"/>
      <c r="AW50" s="97">
        <f>AW49/AB49</f>
        <v>0</v>
      </c>
      <c r="AX50" s="97">
        <f>AX49/AC49</f>
        <v>0</v>
      </c>
    </row>
    <row r="51" spans="1:50" x14ac:dyDescent="0.15">
      <c r="AJ51" s="90"/>
    </row>
    <row r="52" spans="1:50" x14ac:dyDescent="0.15">
      <c r="AJ52" s="90"/>
      <c r="AL52" s="95"/>
    </row>
    <row r="53" spans="1:50" ht="15.75" customHeight="1" thickBot="1" x14ac:dyDescent="0.2">
      <c r="AJ53" s="90"/>
    </row>
    <row r="54" spans="1:50" x14ac:dyDescent="0.15">
      <c r="AJ54" s="90"/>
      <c r="AP54" s="80">
        <f t="shared" ref="AP54:AP93" si="19">AP5-U5</f>
        <v>-66.859035899999995</v>
      </c>
      <c r="AQ54" s="81">
        <f t="shared" ref="AQ54:AQ93" si="20">AQ5-V5</f>
        <v>-67.692203399999997</v>
      </c>
      <c r="AR54" s="81">
        <f t="shared" ref="AR54:AR93" si="21">AR5-W5</f>
        <v>-27.822080700000001</v>
      </c>
      <c r="AS54" s="81">
        <f t="shared" ref="AS54:AS93" si="22">AS5-X5</f>
        <v>-33.483128800000003</v>
      </c>
      <c r="AT54" s="81">
        <f t="shared" ref="AT54:AT93" si="23">AT5-Y5</f>
        <v>-32.863452899999999</v>
      </c>
      <c r="AU54" s="81">
        <f t="shared" ref="AU54:AU93" si="24">AU5-Z5</f>
        <v>-47.125759600000002</v>
      </c>
      <c r="AV54" s="82">
        <f t="shared" ref="AV54:AV93" si="25">AV5-AA5</f>
        <v>-26.3747528</v>
      </c>
    </row>
    <row r="55" spans="1:50" x14ac:dyDescent="0.15">
      <c r="AJ55" s="90"/>
      <c r="AP55" s="83">
        <f t="shared" si="19"/>
        <v>-67.635221299999998</v>
      </c>
      <c r="AQ55" s="84">
        <f t="shared" si="20"/>
        <v>-68.533892600000001</v>
      </c>
      <c r="AR55" s="84">
        <f t="shared" si="21"/>
        <v>-30.918242200000002</v>
      </c>
      <c r="AS55" s="84">
        <f t="shared" si="22"/>
        <v>-34.664624600000003</v>
      </c>
      <c r="AT55" s="84">
        <f t="shared" si="23"/>
        <v>-34.161674099999999</v>
      </c>
      <c r="AU55" s="84">
        <f t="shared" si="24"/>
        <v>-47.355525299999996</v>
      </c>
      <c r="AV55" s="85">
        <f t="shared" si="25"/>
        <v>-28.042404999999999</v>
      </c>
    </row>
    <row r="56" spans="1:50" x14ac:dyDescent="0.15">
      <c r="AJ56" s="90"/>
      <c r="AP56" s="83">
        <f t="shared" si="19"/>
        <v>-71.281697800000003</v>
      </c>
      <c r="AQ56" s="84">
        <f t="shared" si="20"/>
        <v>-72.715512599999997</v>
      </c>
      <c r="AR56" s="84">
        <f t="shared" si="21"/>
        <v>-32.217352200000001</v>
      </c>
      <c r="AS56" s="84">
        <f t="shared" si="22"/>
        <v>-36.392876000000001</v>
      </c>
      <c r="AT56" s="84">
        <f t="shared" si="23"/>
        <v>-36.1256275</v>
      </c>
      <c r="AU56" s="84">
        <f t="shared" si="24"/>
        <v>-49.534861999999997</v>
      </c>
      <c r="AV56" s="85">
        <f t="shared" si="25"/>
        <v>-29.964031500000001</v>
      </c>
    </row>
    <row r="57" spans="1:50" x14ac:dyDescent="0.15">
      <c r="AJ57" s="90"/>
      <c r="AP57" s="83">
        <f t="shared" si="19"/>
        <v>-72.693794499999996</v>
      </c>
      <c r="AQ57" s="84">
        <f t="shared" si="20"/>
        <v>-74.335202300000006</v>
      </c>
      <c r="AR57" s="84">
        <f t="shared" si="21"/>
        <v>-33.203740400000001</v>
      </c>
      <c r="AS57" s="84">
        <f t="shared" si="22"/>
        <v>-36.940676500000002</v>
      </c>
      <c r="AT57" s="84">
        <f t="shared" si="23"/>
        <v>-36.671137899999998</v>
      </c>
      <c r="AU57" s="84">
        <f t="shared" si="24"/>
        <v>-50.660338299999999</v>
      </c>
      <c r="AV57" s="85">
        <f t="shared" si="25"/>
        <v>-30.887225699999998</v>
      </c>
    </row>
    <row r="58" spans="1:50" x14ac:dyDescent="0.15">
      <c r="AJ58" s="90"/>
      <c r="AP58" s="83">
        <f t="shared" si="19"/>
        <v>-74.134071599999999</v>
      </c>
      <c r="AQ58" s="84">
        <f t="shared" si="20"/>
        <v>-76.016294299999998</v>
      </c>
      <c r="AR58" s="84">
        <f t="shared" si="21"/>
        <v>-34.8167258</v>
      </c>
      <c r="AS58" s="84">
        <f t="shared" si="22"/>
        <v>-38.4997781</v>
      </c>
      <c r="AT58" s="84">
        <f t="shared" si="23"/>
        <v>-38.189272099999997</v>
      </c>
      <c r="AU58" s="84">
        <f t="shared" si="24"/>
        <v>-51.333244100000002</v>
      </c>
      <c r="AV58" s="85">
        <f t="shared" si="25"/>
        <v>-32.160299199999997</v>
      </c>
    </row>
    <row r="59" spans="1:50" x14ac:dyDescent="0.15">
      <c r="AJ59" s="90"/>
      <c r="AP59" s="83">
        <f t="shared" si="19"/>
        <v>-64.165921999999995</v>
      </c>
      <c r="AQ59" s="84">
        <f t="shared" si="20"/>
        <v>-64.776683599999998</v>
      </c>
      <c r="AR59" s="84">
        <f t="shared" si="21"/>
        <v>-35.254629399999999</v>
      </c>
      <c r="AS59" s="84">
        <f t="shared" si="22"/>
        <v>-46.746037399999999</v>
      </c>
      <c r="AT59" s="84">
        <f t="shared" si="23"/>
        <v>-47.2527671</v>
      </c>
      <c r="AU59" s="84">
        <f t="shared" si="24"/>
        <v>-43.378234399999997</v>
      </c>
      <c r="AV59" s="85">
        <f t="shared" si="25"/>
        <v>-30.149582299999999</v>
      </c>
    </row>
    <row r="60" spans="1:50" x14ac:dyDescent="0.15">
      <c r="AP60" s="83">
        <f t="shared" si="19"/>
        <v>-69.608428399999994</v>
      </c>
      <c r="AQ60" s="84">
        <f t="shared" si="20"/>
        <v>-70.835139100000006</v>
      </c>
      <c r="AR60" s="84">
        <f t="shared" si="21"/>
        <v>-37.3285658</v>
      </c>
      <c r="AS60" s="84">
        <f t="shared" si="22"/>
        <v>-47.4924617</v>
      </c>
      <c r="AT60" s="84">
        <f t="shared" si="23"/>
        <v>-48.083831500000002</v>
      </c>
      <c r="AU60" s="84">
        <f t="shared" si="24"/>
        <v>-46.435849500000003</v>
      </c>
      <c r="AV60" s="85">
        <f t="shared" si="25"/>
        <v>-33.215064099999999</v>
      </c>
    </row>
    <row r="61" spans="1:50" x14ac:dyDescent="0.15">
      <c r="AP61" s="83">
        <f t="shared" si="19"/>
        <v>-69.665279699999999</v>
      </c>
      <c r="AQ61" s="84">
        <f t="shared" si="20"/>
        <v>-70.897699099999997</v>
      </c>
      <c r="AR61" s="84">
        <f t="shared" si="21"/>
        <v>-37.973041100000003</v>
      </c>
      <c r="AS61" s="84">
        <f t="shared" si="22"/>
        <v>-47.826632400000001</v>
      </c>
      <c r="AT61" s="84">
        <f t="shared" si="23"/>
        <v>-48.451857699999998</v>
      </c>
      <c r="AU61" s="84">
        <f t="shared" si="24"/>
        <v>-46.457515600000001</v>
      </c>
      <c r="AV61" s="85">
        <f t="shared" si="25"/>
        <v>-33.4364901</v>
      </c>
    </row>
    <row r="62" spans="1:50" x14ac:dyDescent="0.15">
      <c r="AP62" s="83">
        <f t="shared" si="19"/>
        <v>-69.665279699999999</v>
      </c>
      <c r="AQ62" s="84">
        <f t="shared" si="20"/>
        <v>-70.897699099999997</v>
      </c>
      <c r="AR62" s="84">
        <f t="shared" si="21"/>
        <v>-38.498125600000002</v>
      </c>
      <c r="AS62" s="84">
        <f t="shared" si="22"/>
        <v>-48.539084500000001</v>
      </c>
      <c r="AT62" s="84">
        <f t="shared" si="23"/>
        <v>-49.181782400000003</v>
      </c>
      <c r="AU62" s="84">
        <f t="shared" si="24"/>
        <v>-46.457515600000001</v>
      </c>
      <c r="AV62" s="85">
        <f t="shared" si="25"/>
        <v>-33.5736469</v>
      </c>
    </row>
    <row r="63" spans="1:50" x14ac:dyDescent="0.15">
      <c r="AP63" s="83">
        <f t="shared" si="19"/>
        <v>-73.785301399999994</v>
      </c>
      <c r="AQ63" s="84">
        <f t="shared" si="20"/>
        <v>-75.692494199999999</v>
      </c>
      <c r="AR63" s="84">
        <f t="shared" si="21"/>
        <v>-39.264933300000003</v>
      </c>
      <c r="AS63" s="84">
        <f t="shared" si="22"/>
        <v>-48.5361288</v>
      </c>
      <c r="AT63" s="84">
        <f t="shared" si="23"/>
        <v>-49.198249199999999</v>
      </c>
      <c r="AU63" s="84">
        <f t="shared" si="24"/>
        <v>-48.820353400000002</v>
      </c>
      <c r="AV63" s="85">
        <f t="shared" si="25"/>
        <v>-35.8372642</v>
      </c>
    </row>
    <row r="64" spans="1:50" x14ac:dyDescent="0.15">
      <c r="AP64" s="83">
        <f t="shared" si="19"/>
        <v>-69.877041899999995</v>
      </c>
      <c r="AQ64" s="84">
        <f t="shared" si="20"/>
        <v>-71.049014700000001</v>
      </c>
      <c r="AR64" s="84">
        <f t="shared" si="21"/>
        <v>-35.628656800000002</v>
      </c>
      <c r="AS64" s="84">
        <f t="shared" si="22"/>
        <v>-43.320914899999998</v>
      </c>
      <c r="AT64" s="84">
        <f t="shared" si="23"/>
        <v>-45.173822100000002</v>
      </c>
      <c r="AU64" s="84">
        <f t="shared" si="24"/>
        <v>-45.074284499999997</v>
      </c>
      <c r="AV64" s="85">
        <f t="shared" si="25"/>
        <v>-31.935662300000001</v>
      </c>
    </row>
    <row r="65" spans="42:48" x14ac:dyDescent="0.15">
      <c r="AP65" s="83">
        <f t="shared" si="19"/>
        <v>-70.981459299999997</v>
      </c>
      <c r="AQ65" s="84">
        <f t="shared" si="20"/>
        <v>-72.252073800000005</v>
      </c>
      <c r="AR65" s="84">
        <f t="shared" si="21"/>
        <v>-38.2665516</v>
      </c>
      <c r="AS65" s="84">
        <f t="shared" si="22"/>
        <v>-43.944050300000001</v>
      </c>
      <c r="AT65" s="84">
        <f t="shared" si="23"/>
        <v>-46.403133400000002</v>
      </c>
      <c r="AU65" s="84">
        <f t="shared" si="24"/>
        <v>-45.468331599999999</v>
      </c>
      <c r="AV65" s="85">
        <f t="shared" si="25"/>
        <v>-33.102793499999997</v>
      </c>
    </row>
    <row r="66" spans="42:48" x14ac:dyDescent="0.15">
      <c r="AP66" s="83">
        <f t="shared" si="19"/>
        <v>-75.837149199999999</v>
      </c>
      <c r="AQ66" s="84">
        <f t="shared" si="20"/>
        <v>-77.791347700000003</v>
      </c>
      <c r="AR66" s="84">
        <f t="shared" si="21"/>
        <v>-41.027267700000003</v>
      </c>
      <c r="AS66" s="84">
        <f t="shared" si="22"/>
        <v>-44.813473199999997</v>
      </c>
      <c r="AT66" s="84">
        <f t="shared" si="23"/>
        <v>-48.049542199999998</v>
      </c>
      <c r="AU66" s="84">
        <f t="shared" si="24"/>
        <v>-47.826787099999997</v>
      </c>
      <c r="AV66" s="85">
        <f t="shared" si="25"/>
        <v>-36.227999599999997</v>
      </c>
    </row>
    <row r="67" spans="42:48" x14ac:dyDescent="0.15">
      <c r="AP67" s="83">
        <f t="shared" si="19"/>
        <v>-78.180691699999997</v>
      </c>
      <c r="AQ67" s="84">
        <f t="shared" si="20"/>
        <v>-80.705348200000003</v>
      </c>
      <c r="AR67" s="84">
        <f t="shared" si="21"/>
        <v>-42.141786600000003</v>
      </c>
      <c r="AS67" s="84">
        <f t="shared" si="22"/>
        <v>-45.506698</v>
      </c>
      <c r="AT67" s="84">
        <f t="shared" si="23"/>
        <v>-49.194020500000001</v>
      </c>
      <c r="AU67" s="84">
        <f t="shared" si="24"/>
        <v>-49.450025500000002</v>
      </c>
      <c r="AV67" s="85">
        <f t="shared" si="25"/>
        <v>-37.949435200000003</v>
      </c>
    </row>
    <row r="68" spans="42:48" x14ac:dyDescent="0.15">
      <c r="AP68" s="83">
        <f t="shared" si="19"/>
        <v>-78.485943700000007</v>
      </c>
      <c r="AQ68" s="84">
        <f t="shared" si="20"/>
        <v>-81.108867900000007</v>
      </c>
      <c r="AR68" s="84">
        <f t="shared" si="21"/>
        <v>-43.160442699999997</v>
      </c>
      <c r="AS68" s="84">
        <f t="shared" si="22"/>
        <v>-46.455865899999999</v>
      </c>
      <c r="AT68" s="84">
        <f t="shared" si="23"/>
        <v>-50.479879799999999</v>
      </c>
      <c r="AU68" s="84">
        <f t="shared" si="24"/>
        <v>-49.554909000000002</v>
      </c>
      <c r="AV68" s="85">
        <f t="shared" si="25"/>
        <v>-38.397516199999998</v>
      </c>
    </row>
    <row r="69" spans="42:48" x14ac:dyDescent="0.15">
      <c r="AP69" s="83">
        <f t="shared" si="19"/>
        <v>-70.199355199999999</v>
      </c>
      <c r="AQ69" s="84">
        <f t="shared" si="20"/>
        <v>-71.416782900000001</v>
      </c>
      <c r="AR69" s="84">
        <f t="shared" si="21"/>
        <v>-34.560715899999998</v>
      </c>
      <c r="AS69" s="84">
        <f t="shared" si="22"/>
        <v>-42.748519299999998</v>
      </c>
      <c r="AT69" s="84">
        <f t="shared" si="23"/>
        <v>-44.140531799999998</v>
      </c>
      <c r="AU69" s="84">
        <f t="shared" si="24"/>
        <v>-46.074723400000003</v>
      </c>
      <c r="AV69" s="85">
        <f t="shared" si="25"/>
        <v>-31.063849099999999</v>
      </c>
    </row>
    <row r="70" spans="42:48" x14ac:dyDescent="0.15">
      <c r="AP70" s="83">
        <f t="shared" si="19"/>
        <v>-70.564707999999996</v>
      </c>
      <c r="AQ70" s="84">
        <f t="shared" si="20"/>
        <v>-71.820186899999996</v>
      </c>
      <c r="AR70" s="84">
        <f t="shared" si="21"/>
        <v>-37.184982599999998</v>
      </c>
      <c r="AS70" s="84">
        <f t="shared" si="22"/>
        <v>-43.950003899999999</v>
      </c>
      <c r="AT70" s="84">
        <f t="shared" si="23"/>
        <v>-46.013927600000002</v>
      </c>
      <c r="AU70" s="84">
        <f t="shared" si="24"/>
        <v>-46.2306667</v>
      </c>
      <c r="AV70" s="85">
        <f t="shared" si="25"/>
        <v>-32.064462900000002</v>
      </c>
    </row>
    <row r="71" spans="42:48" x14ac:dyDescent="0.15">
      <c r="AP71" s="83">
        <f t="shared" si="19"/>
        <v>-76.0852048</v>
      </c>
      <c r="AQ71" s="84">
        <f t="shared" si="20"/>
        <v>-78.156496500000003</v>
      </c>
      <c r="AR71" s="84">
        <f t="shared" si="21"/>
        <v>-40.266653300000002</v>
      </c>
      <c r="AS71" s="84">
        <f t="shared" si="22"/>
        <v>-45.206045699999997</v>
      </c>
      <c r="AT71" s="84">
        <f t="shared" si="23"/>
        <v>-48.096658099999999</v>
      </c>
      <c r="AU71" s="84">
        <f t="shared" si="24"/>
        <v>-48.8449375</v>
      </c>
      <c r="AV71" s="85">
        <f t="shared" si="25"/>
        <v>-35.654052200000002</v>
      </c>
    </row>
    <row r="72" spans="42:48" x14ac:dyDescent="0.15">
      <c r="AP72" s="83">
        <f t="shared" si="19"/>
        <v>-78.036747099999999</v>
      </c>
      <c r="AQ72" s="84">
        <f t="shared" si="20"/>
        <v>-80.624293699999996</v>
      </c>
      <c r="AR72" s="84">
        <f t="shared" si="21"/>
        <v>-41.417812300000001</v>
      </c>
      <c r="AS72" s="84">
        <f t="shared" si="22"/>
        <v>-45.7304472</v>
      </c>
      <c r="AT72" s="84">
        <f t="shared" si="23"/>
        <v>-48.836992199999997</v>
      </c>
      <c r="AU72" s="84">
        <f t="shared" si="24"/>
        <v>-50.454151500000002</v>
      </c>
      <c r="AV72" s="85">
        <f t="shared" si="25"/>
        <v>-37.282563000000003</v>
      </c>
    </row>
    <row r="73" spans="42:48" x14ac:dyDescent="0.15">
      <c r="AP73" s="83">
        <f t="shared" si="19"/>
        <v>-78.633628000000002</v>
      </c>
      <c r="AQ73" s="84">
        <f t="shared" si="20"/>
        <v>-81.446598399999999</v>
      </c>
      <c r="AR73" s="84">
        <f t="shared" si="21"/>
        <v>-42.397753999999999</v>
      </c>
      <c r="AS73" s="84">
        <f t="shared" si="22"/>
        <v>-46.802472100000003</v>
      </c>
      <c r="AT73" s="84">
        <f t="shared" si="23"/>
        <v>-50.196407399999998</v>
      </c>
      <c r="AU73" s="84">
        <f t="shared" si="24"/>
        <v>-50.628340899999998</v>
      </c>
      <c r="AV73" s="85">
        <f t="shared" si="25"/>
        <v>-37.882982699999999</v>
      </c>
    </row>
    <row r="74" spans="42:48" x14ac:dyDescent="0.15">
      <c r="AP74" s="83">
        <f t="shared" si="19"/>
        <v>-73.127954500000001</v>
      </c>
      <c r="AQ74" s="84">
        <f t="shared" si="20"/>
        <v>-74.816811900000005</v>
      </c>
      <c r="AR74" s="84">
        <f t="shared" si="21"/>
        <v>-31.0739026</v>
      </c>
      <c r="AS74" s="84">
        <f t="shared" si="22"/>
        <v>-39.9076497</v>
      </c>
      <c r="AT74" s="84">
        <f t="shared" si="23"/>
        <v>-36.592660799999997</v>
      </c>
      <c r="AU74" s="84">
        <f t="shared" si="24"/>
        <v>-44.942883199999997</v>
      </c>
      <c r="AV74" s="85">
        <f t="shared" si="25"/>
        <v>-27.8950608</v>
      </c>
    </row>
    <row r="75" spans="42:48" x14ac:dyDescent="0.15">
      <c r="AP75" s="83">
        <f t="shared" si="19"/>
        <v>-76.551110499999993</v>
      </c>
      <c r="AQ75" s="84">
        <f t="shared" si="20"/>
        <v>-78.7779101</v>
      </c>
      <c r="AR75" s="84">
        <f t="shared" si="21"/>
        <v>-33.417650999999999</v>
      </c>
      <c r="AS75" s="84">
        <f t="shared" si="22"/>
        <v>-41.835862900000002</v>
      </c>
      <c r="AT75" s="84">
        <f t="shared" si="23"/>
        <v>-39.439223499999997</v>
      </c>
      <c r="AU75" s="84">
        <f t="shared" si="24"/>
        <v>-46.657209199999997</v>
      </c>
      <c r="AV75" s="85">
        <f t="shared" si="25"/>
        <v>-30.657900099999999</v>
      </c>
    </row>
    <row r="76" spans="42:48" x14ac:dyDescent="0.15">
      <c r="AP76" s="83">
        <f t="shared" si="19"/>
        <v>-78.458758599999996</v>
      </c>
      <c r="AQ76" s="84">
        <f t="shared" si="20"/>
        <v>-81.111227200000002</v>
      </c>
      <c r="AR76" s="84">
        <f t="shared" si="21"/>
        <v>-34.489295200000001</v>
      </c>
      <c r="AS76" s="84">
        <f t="shared" si="22"/>
        <v>-43.208865500000002</v>
      </c>
      <c r="AT76" s="84">
        <f t="shared" si="23"/>
        <v>-41.251431199999999</v>
      </c>
      <c r="AU76" s="84">
        <f t="shared" si="24"/>
        <v>-48.079882900000001</v>
      </c>
      <c r="AV76" s="85">
        <f t="shared" si="25"/>
        <v>-32.034510300000001</v>
      </c>
    </row>
    <row r="77" spans="42:48" x14ac:dyDescent="0.15">
      <c r="AP77" s="83">
        <f t="shared" si="19"/>
        <v>-80.394051899999994</v>
      </c>
      <c r="AQ77" s="84">
        <f t="shared" si="20"/>
        <v>-83.716167999999996</v>
      </c>
      <c r="AR77" s="84">
        <f t="shared" si="21"/>
        <v>-35.322254200000003</v>
      </c>
      <c r="AS77" s="84">
        <f t="shared" si="22"/>
        <v>-43.564531899999999</v>
      </c>
      <c r="AT77" s="84">
        <f t="shared" si="23"/>
        <v>-41.753906800000003</v>
      </c>
      <c r="AU77" s="84">
        <f t="shared" si="24"/>
        <v>-49.693513600000003</v>
      </c>
      <c r="AV77" s="85">
        <f t="shared" si="25"/>
        <v>-33.297358799999998</v>
      </c>
    </row>
    <row r="78" spans="42:48" x14ac:dyDescent="0.15">
      <c r="AP78" s="83">
        <f t="shared" si="19"/>
        <v>-84.867022800000001</v>
      </c>
      <c r="AQ78" s="84">
        <f t="shared" si="20"/>
        <v>-90.041310199999998</v>
      </c>
      <c r="AR78" s="84">
        <f t="shared" si="21"/>
        <v>-36.051755300000004</v>
      </c>
      <c r="AS78" s="84">
        <f t="shared" si="22"/>
        <v>-43.9013773</v>
      </c>
      <c r="AT78" s="84">
        <f t="shared" si="23"/>
        <v>-42.232542299999999</v>
      </c>
      <c r="AU78" s="84">
        <f t="shared" si="24"/>
        <v>-53.071029600000003</v>
      </c>
      <c r="AV78" s="85">
        <f t="shared" si="25"/>
        <v>-35.137628100000001</v>
      </c>
    </row>
    <row r="79" spans="42:48" x14ac:dyDescent="0.15">
      <c r="AP79" s="83">
        <f t="shared" si="19"/>
        <v>-72.732863499999993</v>
      </c>
      <c r="AQ79" s="84">
        <f t="shared" si="20"/>
        <v>-74.320652899999999</v>
      </c>
      <c r="AR79" s="84">
        <f t="shared" si="21"/>
        <v>-38.135070399999996</v>
      </c>
      <c r="AS79" s="84">
        <f t="shared" si="22"/>
        <v>-44.394201500000001</v>
      </c>
      <c r="AT79" s="84">
        <f t="shared" si="23"/>
        <v>-43.014968099999997</v>
      </c>
      <c r="AU79" s="84">
        <f t="shared" si="24"/>
        <v>-47.764257299999997</v>
      </c>
      <c r="AV79" s="85">
        <f t="shared" si="25"/>
        <v>-34.318163200000001</v>
      </c>
    </row>
    <row r="80" spans="42:48" x14ac:dyDescent="0.15">
      <c r="AP80" s="83">
        <f t="shared" si="19"/>
        <v>-75.550658299999995</v>
      </c>
      <c r="AQ80" s="84">
        <f t="shared" si="20"/>
        <v>-77.5742166</v>
      </c>
      <c r="AR80" s="84">
        <f t="shared" si="21"/>
        <v>-40.4112911</v>
      </c>
      <c r="AS80" s="84">
        <f t="shared" si="22"/>
        <v>-45.799434300000001</v>
      </c>
      <c r="AT80" s="84">
        <f t="shared" si="23"/>
        <v>-44.635669399999998</v>
      </c>
      <c r="AU80" s="84">
        <f t="shared" si="24"/>
        <v>-49.360111099999997</v>
      </c>
      <c r="AV80" s="85">
        <f t="shared" si="25"/>
        <v>-36.189790199999997</v>
      </c>
    </row>
    <row r="81" spans="42:48" x14ac:dyDescent="0.15">
      <c r="AP81" s="83">
        <f t="shared" si="19"/>
        <v>-79.2404741</v>
      </c>
      <c r="AQ81" s="84">
        <f t="shared" si="20"/>
        <v>-82.060709299999999</v>
      </c>
      <c r="AR81" s="84">
        <f t="shared" si="21"/>
        <v>-41.538328100000001</v>
      </c>
      <c r="AS81" s="84">
        <f t="shared" si="22"/>
        <v>-46.584816699999998</v>
      </c>
      <c r="AT81" s="84">
        <f t="shared" si="23"/>
        <v>-45.609869500000002</v>
      </c>
      <c r="AU81" s="84">
        <f t="shared" si="24"/>
        <v>-51.784798799999997</v>
      </c>
      <c r="AV81" s="85">
        <f t="shared" si="25"/>
        <v>-38.507800699999997</v>
      </c>
    </row>
    <row r="82" spans="42:48" x14ac:dyDescent="0.15">
      <c r="AP82" s="83">
        <f t="shared" si="19"/>
        <v>-80.8773482</v>
      </c>
      <c r="AQ82" s="84">
        <f t="shared" si="20"/>
        <v>-84.587319500000007</v>
      </c>
      <c r="AR82" s="84">
        <f t="shared" si="21"/>
        <v>-42.457705799999999</v>
      </c>
      <c r="AS82" s="84">
        <f t="shared" si="22"/>
        <v>-47.667467199999997</v>
      </c>
      <c r="AT82" s="84">
        <f t="shared" si="23"/>
        <v>-46.818425300000001</v>
      </c>
      <c r="AU82" s="84">
        <f t="shared" si="24"/>
        <v>-52.952482699999997</v>
      </c>
      <c r="AV82" s="85">
        <f t="shared" si="25"/>
        <v>-39.813323599999997</v>
      </c>
    </row>
    <row r="83" spans="42:48" x14ac:dyDescent="0.15">
      <c r="AP83" s="83">
        <f t="shared" si="19"/>
        <v>-84.294185999999996</v>
      </c>
      <c r="AQ83" s="84">
        <f t="shared" si="20"/>
        <v>-88.842938899999993</v>
      </c>
      <c r="AR83" s="84">
        <f t="shared" si="21"/>
        <v>-43.436366399999997</v>
      </c>
      <c r="AS83" s="84">
        <f t="shared" si="22"/>
        <v>-48.355191099999999</v>
      </c>
      <c r="AT83" s="84">
        <f t="shared" si="23"/>
        <v>-47.610816499999999</v>
      </c>
      <c r="AU83" s="84">
        <f t="shared" si="24"/>
        <v>-56.774735</v>
      </c>
      <c r="AV83" s="85">
        <f t="shared" si="25"/>
        <v>-42.401554300000001</v>
      </c>
    </row>
    <row r="84" spans="42:48" x14ac:dyDescent="0.15">
      <c r="AP84" s="83">
        <f t="shared" si="19"/>
        <v>-71.796817300000001</v>
      </c>
      <c r="AQ84" s="84">
        <f t="shared" si="20"/>
        <v>-73.340868799999996</v>
      </c>
      <c r="AR84" s="84">
        <f t="shared" si="21"/>
        <v>-30.1458567</v>
      </c>
      <c r="AS84" s="84">
        <f t="shared" si="22"/>
        <v>-38.990453799999997</v>
      </c>
      <c r="AT84" s="84">
        <f t="shared" si="23"/>
        <v>-39.010941299999999</v>
      </c>
      <c r="AU84" s="84">
        <f t="shared" si="24"/>
        <v>-47.652156599999998</v>
      </c>
      <c r="AV84" s="85">
        <f t="shared" si="25"/>
        <v>-29.074301699999999</v>
      </c>
    </row>
    <row r="85" spans="42:48" x14ac:dyDescent="0.15">
      <c r="AP85" s="83">
        <f t="shared" si="19"/>
        <v>-72.959325500000006</v>
      </c>
      <c r="AQ85" s="84">
        <f t="shared" si="20"/>
        <v>-74.603796299999999</v>
      </c>
      <c r="AR85" s="84">
        <f t="shared" si="21"/>
        <v>-30.6510885</v>
      </c>
      <c r="AS85" s="84">
        <f t="shared" si="22"/>
        <v>-39.108908900000003</v>
      </c>
      <c r="AT85" s="84">
        <f t="shared" si="23"/>
        <v>-39.182199400000002</v>
      </c>
      <c r="AU85" s="84">
        <f t="shared" si="24"/>
        <v>-48.290463899999999</v>
      </c>
      <c r="AV85" s="85">
        <f t="shared" si="25"/>
        <v>-29.529627000000001</v>
      </c>
    </row>
    <row r="86" spans="42:48" x14ac:dyDescent="0.15">
      <c r="AP86" s="83">
        <f t="shared" si="19"/>
        <v>-75.441734800000006</v>
      </c>
      <c r="AQ86" s="84">
        <f t="shared" si="20"/>
        <v>-77.448937999999998</v>
      </c>
      <c r="AR86" s="84">
        <f t="shared" si="21"/>
        <v>-31.267436499999999</v>
      </c>
      <c r="AS86" s="84">
        <f t="shared" si="22"/>
        <v>-39.193633400000003</v>
      </c>
      <c r="AT86" s="84">
        <f t="shared" si="23"/>
        <v>-39.324233300000003</v>
      </c>
      <c r="AU86" s="84">
        <f t="shared" si="24"/>
        <v>-49.7565302</v>
      </c>
      <c r="AV86" s="85">
        <f t="shared" si="25"/>
        <v>-30.2979257</v>
      </c>
    </row>
    <row r="87" spans="42:48" x14ac:dyDescent="0.15">
      <c r="AP87" s="83">
        <f t="shared" si="19"/>
        <v>-78.318910599999995</v>
      </c>
      <c r="AQ87" s="84">
        <f t="shared" si="20"/>
        <v>-80.869742599999995</v>
      </c>
      <c r="AR87" s="84">
        <f t="shared" si="21"/>
        <v>-31.750117299999999</v>
      </c>
      <c r="AS87" s="84">
        <f t="shared" si="22"/>
        <v>-39.284384099999997</v>
      </c>
      <c r="AT87" s="84">
        <f t="shared" si="23"/>
        <v>-39.491445300000002</v>
      </c>
      <c r="AU87" s="84">
        <f t="shared" si="24"/>
        <v>-51.461284599999999</v>
      </c>
      <c r="AV87" s="85">
        <f t="shared" si="25"/>
        <v>-30.9943703</v>
      </c>
    </row>
    <row r="88" spans="42:48" x14ac:dyDescent="0.15">
      <c r="AP88" s="83">
        <f t="shared" si="19"/>
        <v>-80.153868000000003</v>
      </c>
      <c r="AQ88" s="84">
        <f t="shared" si="20"/>
        <v>-83.134605399999998</v>
      </c>
      <c r="AR88" s="84">
        <f t="shared" si="21"/>
        <v>-32.491396999999999</v>
      </c>
      <c r="AS88" s="84">
        <f t="shared" si="22"/>
        <v>-39.355380099999998</v>
      </c>
      <c r="AT88" s="84">
        <f t="shared" si="23"/>
        <v>-39.619766200000001</v>
      </c>
      <c r="AU88" s="84">
        <f t="shared" si="24"/>
        <v>-52.596130500000001</v>
      </c>
      <c r="AV88" s="85">
        <f t="shared" si="25"/>
        <v>-31.773250099999998</v>
      </c>
    </row>
    <row r="89" spans="42:48" x14ac:dyDescent="0.15">
      <c r="AP89" s="83">
        <f t="shared" si="19"/>
        <v>-72.811596899999998</v>
      </c>
      <c r="AQ89" s="84">
        <f t="shared" si="20"/>
        <v>-74.214401600000002</v>
      </c>
      <c r="AR89" s="84">
        <f t="shared" si="21"/>
        <v>-33.264529699999997</v>
      </c>
      <c r="AS89" s="84">
        <f t="shared" si="22"/>
        <v>-42.590595299999997</v>
      </c>
      <c r="AT89" s="84">
        <f t="shared" si="23"/>
        <v>-42.873506900000002</v>
      </c>
      <c r="AU89" s="84">
        <f t="shared" si="24"/>
        <v>-48.3251834</v>
      </c>
      <c r="AV89" s="85">
        <f t="shared" si="25"/>
        <v>-32.229368100000002</v>
      </c>
    </row>
    <row r="90" spans="42:48" x14ac:dyDescent="0.15">
      <c r="AP90" s="83">
        <f t="shared" si="19"/>
        <v>-75.618747400000004</v>
      </c>
      <c r="AQ90" s="84">
        <f t="shared" si="20"/>
        <v>-77.348021200000005</v>
      </c>
      <c r="AR90" s="84">
        <f t="shared" si="21"/>
        <v>-33.632702500000001</v>
      </c>
      <c r="AS90" s="84">
        <f t="shared" si="22"/>
        <v>-42.765278299999999</v>
      </c>
      <c r="AT90" s="84">
        <f t="shared" si="23"/>
        <v>-43.164362699999998</v>
      </c>
      <c r="AU90" s="84">
        <f t="shared" si="24"/>
        <v>-50.113447800000003</v>
      </c>
      <c r="AV90" s="85">
        <f t="shared" si="25"/>
        <v>-32.8881874</v>
      </c>
    </row>
    <row r="91" spans="42:48" x14ac:dyDescent="0.15">
      <c r="AP91" s="83">
        <f t="shared" si="19"/>
        <v>-77.949991699999998</v>
      </c>
      <c r="AQ91" s="84">
        <f t="shared" si="20"/>
        <v>-80.017332100000004</v>
      </c>
      <c r="AR91" s="84">
        <f t="shared" si="21"/>
        <v>-34.289487999999999</v>
      </c>
      <c r="AS91" s="84">
        <f t="shared" si="22"/>
        <v>-42.910834700000002</v>
      </c>
      <c r="AT91" s="84">
        <f t="shared" si="23"/>
        <v>-43.399046200000001</v>
      </c>
      <c r="AU91" s="84">
        <f t="shared" si="24"/>
        <v>-51.3800642</v>
      </c>
      <c r="AV91" s="85">
        <f t="shared" si="25"/>
        <v>-33.635760599999998</v>
      </c>
    </row>
    <row r="92" spans="42:48" x14ac:dyDescent="0.15">
      <c r="AP92" s="83">
        <f t="shared" si="19"/>
        <v>-79.042064499999995</v>
      </c>
      <c r="AQ92" s="84">
        <f t="shared" si="20"/>
        <v>-81.431796700000007</v>
      </c>
      <c r="AR92" s="84">
        <f t="shared" si="21"/>
        <v>-34.357746200000001</v>
      </c>
      <c r="AS92" s="84">
        <f t="shared" si="22"/>
        <v>-43.032460399999998</v>
      </c>
      <c r="AT92" s="84">
        <f t="shared" si="23"/>
        <v>-43.570932800000001</v>
      </c>
      <c r="AU92" s="84">
        <f t="shared" si="24"/>
        <v>-52.152535499999999</v>
      </c>
      <c r="AV92" s="85">
        <f t="shared" si="25"/>
        <v>-33.774061699999997</v>
      </c>
    </row>
    <row r="93" spans="42:48" ht="15.75" customHeight="1" thickBot="1" x14ac:dyDescent="0.2">
      <c r="AP93" s="86">
        <f t="shared" si="19"/>
        <v>-80.702805299999994</v>
      </c>
      <c r="AQ93" s="87">
        <f t="shared" si="20"/>
        <v>-83.491151599999995</v>
      </c>
      <c r="AR93" s="87">
        <f t="shared" si="21"/>
        <v>-34.939911899999998</v>
      </c>
      <c r="AS93" s="87">
        <f t="shared" si="22"/>
        <v>-43.136447199999999</v>
      </c>
      <c r="AT93" s="87">
        <f t="shared" si="23"/>
        <v>-43.729340000000001</v>
      </c>
      <c r="AU93" s="87">
        <f t="shared" si="24"/>
        <v>-53.159433700000001</v>
      </c>
      <c r="AV93" s="88">
        <f t="shared" si="25"/>
        <v>-34.398621200000001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P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36" t="s">
        <v>380</v>
      </c>
      <c r="D1" s="137"/>
      <c r="E1" s="137"/>
      <c r="F1" s="137"/>
      <c r="G1" s="137"/>
      <c r="H1" s="137"/>
      <c r="I1" s="135"/>
      <c r="J1" s="136" t="s">
        <v>430</v>
      </c>
      <c r="K1" s="137"/>
      <c r="L1" s="137"/>
      <c r="M1" s="137"/>
      <c r="N1" s="137"/>
      <c r="O1" s="137"/>
      <c r="P1" s="135"/>
    </row>
    <row r="2" spans="1:16" ht="15.75" customHeight="1" thickBot="1" x14ac:dyDescent="0.2">
      <c r="A2" s="138" t="s">
        <v>162</v>
      </c>
      <c r="B2" s="140" t="s">
        <v>163</v>
      </c>
      <c r="C2" s="141" t="s">
        <v>16</v>
      </c>
      <c r="D2" s="125"/>
      <c r="E2" s="125"/>
      <c r="F2" s="125"/>
      <c r="G2" s="125"/>
      <c r="H2" s="142" t="s">
        <v>17</v>
      </c>
      <c r="I2" s="143"/>
      <c r="J2" s="141" t="s">
        <v>16</v>
      </c>
      <c r="K2" s="125"/>
      <c r="L2" s="125"/>
      <c r="M2" s="125"/>
      <c r="N2" s="125"/>
      <c r="O2" s="142" t="s">
        <v>17</v>
      </c>
      <c r="P2" s="143"/>
    </row>
    <row r="3" spans="1:16" ht="30.75" customHeight="1" thickBot="1" x14ac:dyDescent="0.2">
      <c r="A3" s="139"/>
      <c r="B3" s="128"/>
      <c r="C3" s="53" t="s">
        <v>18</v>
      </c>
      <c r="D3" s="54" t="s">
        <v>19</v>
      </c>
      <c r="E3" s="54" t="s">
        <v>20</v>
      </c>
      <c r="F3" s="54" t="s">
        <v>21</v>
      </c>
      <c r="G3" s="54" t="s">
        <v>22</v>
      </c>
      <c r="H3" s="54" t="s">
        <v>23</v>
      </c>
      <c r="I3" s="55" t="s">
        <v>20</v>
      </c>
      <c r="J3" s="53" t="s">
        <v>18</v>
      </c>
      <c r="K3" s="54" t="s">
        <v>19</v>
      </c>
      <c r="L3" s="54" t="s">
        <v>20</v>
      </c>
      <c r="M3" s="54" t="s">
        <v>21</v>
      </c>
      <c r="N3" s="54" t="s">
        <v>22</v>
      </c>
      <c r="O3" s="54" t="s">
        <v>23</v>
      </c>
      <c r="P3" s="55" t="s">
        <v>20</v>
      </c>
    </row>
    <row r="4" spans="1:16" x14ac:dyDescent="0.15">
      <c r="A4" s="56" t="s">
        <v>189</v>
      </c>
      <c r="B4" s="57" t="s">
        <v>33</v>
      </c>
      <c r="C4" s="58" t="str">
        <f>'C1 lossy AI'!AZ5</f>
        <v>·</v>
      </c>
      <c r="D4" s="17" t="str">
        <f>'C1 lossy AI'!BA5</f>
        <v>·</v>
      </c>
      <c r="E4" s="17" t="str">
        <f>'C1 lossy AI'!BB5</f>
        <v>·</v>
      </c>
      <c r="F4" s="17" t="str">
        <f>'C1 lossy AI'!BC5</f>
        <v>·</v>
      </c>
      <c r="G4" s="17" t="str">
        <f>'C1 lossy AI'!BD5</f>
        <v>·</v>
      </c>
      <c r="H4" s="17" t="str">
        <f>'C1 lossy AI'!BE5</f>
        <v>·</v>
      </c>
      <c r="I4" s="59" t="str">
        <f>'C1 lossy AI'!BF5</f>
        <v>·</v>
      </c>
      <c r="J4" s="58" t="str">
        <f>'C2 lossy RA'!AZ5</f>
        <v>·</v>
      </c>
      <c r="K4" s="17" t="str">
        <f>'C2 lossy RA'!BA5</f>
        <v>·</v>
      </c>
      <c r="L4" s="17" t="str">
        <f>'C2 lossy RA'!BB5</f>
        <v>·</v>
      </c>
      <c r="M4" s="17" t="str">
        <f>'C2 lossy RA'!BC5</f>
        <v>·</v>
      </c>
      <c r="N4" s="17" t="str">
        <f>'C2 lossy RA'!BD5</f>
        <v>·</v>
      </c>
      <c r="O4" s="17" t="str">
        <f>'C2 lossy RA'!BE5</f>
        <v>·</v>
      </c>
      <c r="P4" s="59" t="str">
        <f>'C2 lossy RA'!BF5</f>
        <v>·</v>
      </c>
    </row>
    <row r="5" spans="1:16" x14ac:dyDescent="0.15">
      <c r="A5" s="60"/>
      <c r="B5" s="61" t="s">
        <v>48</v>
      </c>
      <c r="C5" s="62" t="str">
        <f>'C1 lossy AI'!AZ10</f>
        <v>·</v>
      </c>
      <c r="D5" s="33" t="str">
        <f>'C1 lossy AI'!BA10</f>
        <v>·</v>
      </c>
      <c r="E5" s="33" t="str">
        <f>'C1 lossy AI'!BB10</f>
        <v>·</v>
      </c>
      <c r="F5" s="33" t="str">
        <f>'C1 lossy AI'!BC10</f>
        <v>·</v>
      </c>
      <c r="G5" s="33" t="str">
        <f>'C1 lossy AI'!BD10</f>
        <v>·</v>
      </c>
      <c r="H5" s="33" t="str">
        <f>'C1 lossy AI'!BE10</f>
        <v>·</v>
      </c>
      <c r="I5" s="63" t="str">
        <f>'C1 lossy AI'!BF10</f>
        <v>·</v>
      </c>
      <c r="J5" s="62" t="str">
        <f>'C2 lossy RA'!AZ10</f>
        <v>·</v>
      </c>
      <c r="K5" s="33" t="str">
        <f>'C2 lossy RA'!BA10</f>
        <v>·</v>
      </c>
      <c r="L5" s="33" t="str">
        <f>'C2 lossy RA'!BB10</f>
        <v>·</v>
      </c>
      <c r="M5" s="33" t="str">
        <f>'C2 lossy RA'!BC10</f>
        <v>·</v>
      </c>
      <c r="N5" s="33" t="str">
        <f>'C2 lossy RA'!BD10</f>
        <v>·</v>
      </c>
      <c r="O5" s="33" t="str">
        <f>'C2 lossy RA'!BE10</f>
        <v>·</v>
      </c>
      <c r="P5" s="63" t="str">
        <f>'C2 lossy RA'!BF10</f>
        <v>·</v>
      </c>
    </row>
    <row r="6" spans="1:16" x14ac:dyDescent="0.15">
      <c r="A6" s="56" t="s">
        <v>190</v>
      </c>
      <c r="B6" s="57" t="s">
        <v>53</v>
      </c>
      <c r="C6" s="58" t="str">
        <f>'C1 lossy AI'!AZ15</f>
        <v>·</v>
      </c>
      <c r="D6" s="17" t="str">
        <f>'C1 lossy AI'!BA15</f>
        <v>·</v>
      </c>
      <c r="E6" s="17" t="str">
        <f>'C1 lossy AI'!BB15</f>
        <v>·</v>
      </c>
      <c r="F6" s="17" t="str">
        <f>'C1 lossy AI'!BC15</f>
        <v>·</v>
      </c>
      <c r="G6" s="17" t="str">
        <f>'C1 lossy AI'!BD15</f>
        <v>·</v>
      </c>
      <c r="H6" s="17" t="str">
        <f>'C1 lossy AI'!BE15</f>
        <v>·</v>
      </c>
      <c r="I6" s="59" t="str">
        <f>'C1 lossy AI'!BF15</f>
        <v>·</v>
      </c>
      <c r="J6" s="58" t="str">
        <f>'C2 lossy RA'!AZ15</f>
        <v>·</v>
      </c>
      <c r="K6" s="17" t="str">
        <f>'C2 lossy RA'!BA15</f>
        <v>·</v>
      </c>
      <c r="L6" s="17" t="str">
        <f>'C2 lossy RA'!BB15</f>
        <v>·</v>
      </c>
      <c r="M6" s="17" t="str">
        <f>'C2 lossy RA'!BC15</f>
        <v>·</v>
      </c>
      <c r="N6" s="17" t="str">
        <f>'C2 lossy RA'!BD15</f>
        <v>·</v>
      </c>
      <c r="O6" s="17" t="str">
        <f>'C2 lossy RA'!BE15</f>
        <v>·</v>
      </c>
      <c r="P6" s="59" t="str">
        <f>'C2 lossy RA'!BF15</f>
        <v>·</v>
      </c>
    </row>
    <row r="7" spans="1:16" x14ac:dyDescent="0.15">
      <c r="A7" s="60"/>
      <c r="B7" s="61" t="s">
        <v>58</v>
      </c>
      <c r="C7" s="62" t="str">
        <f>'C1 lossy AI'!AZ20</f>
        <v>·</v>
      </c>
      <c r="D7" s="33" t="str">
        <f>'C1 lossy AI'!BA20</f>
        <v>·</v>
      </c>
      <c r="E7" s="33" t="str">
        <f>'C1 lossy AI'!BB20</f>
        <v>·</v>
      </c>
      <c r="F7" s="33" t="str">
        <f>'C1 lossy AI'!BC20</f>
        <v>·</v>
      </c>
      <c r="G7" s="33" t="str">
        <f>'C1 lossy AI'!BD20</f>
        <v>·</v>
      </c>
      <c r="H7" s="33" t="str">
        <f>'C1 lossy AI'!BE20</f>
        <v>·</v>
      </c>
      <c r="I7" s="63" t="str">
        <f>'C1 lossy AI'!BF20</f>
        <v>·</v>
      </c>
      <c r="J7" s="62" t="str">
        <f>'C2 lossy RA'!AZ20</f>
        <v>·</v>
      </c>
      <c r="K7" s="33" t="str">
        <f>'C2 lossy RA'!BA20</f>
        <v>·</v>
      </c>
      <c r="L7" s="33" t="str">
        <f>'C2 lossy RA'!BB20</f>
        <v>·</v>
      </c>
      <c r="M7" s="33" t="str">
        <f>'C2 lossy RA'!BC20</f>
        <v>·</v>
      </c>
      <c r="N7" s="33" t="str">
        <f>'C2 lossy RA'!BD20</f>
        <v>·</v>
      </c>
      <c r="O7" s="33" t="str">
        <f>'C2 lossy RA'!BE20</f>
        <v>·</v>
      </c>
      <c r="P7" s="63" t="str">
        <f>'C2 lossy RA'!BF20</f>
        <v>·</v>
      </c>
    </row>
    <row r="8" spans="1:16" x14ac:dyDescent="0.15">
      <c r="A8" s="56" t="s">
        <v>191</v>
      </c>
      <c r="B8" s="57" t="s">
        <v>63</v>
      </c>
      <c r="C8" s="58" t="str">
        <f>'C1 lossy AI'!AZ25</f>
        <v>·</v>
      </c>
      <c r="D8" s="17" t="str">
        <f>'C1 lossy AI'!BA25</f>
        <v>·</v>
      </c>
      <c r="E8" s="17" t="str">
        <f>'C1 lossy AI'!BB25</f>
        <v>·</v>
      </c>
      <c r="F8" s="17" t="str">
        <f>'C1 lossy AI'!BC25</f>
        <v>·</v>
      </c>
      <c r="G8" s="17" t="str">
        <f>'C1 lossy AI'!BD25</f>
        <v>·</v>
      </c>
      <c r="H8" s="17" t="str">
        <f>'C1 lossy AI'!BE25</f>
        <v>·</v>
      </c>
      <c r="I8" s="59" t="str">
        <f>'C1 lossy AI'!BF25</f>
        <v>·</v>
      </c>
      <c r="J8" s="58" t="str">
        <f>'C2 lossy RA'!AZ25</f>
        <v>·</v>
      </c>
      <c r="K8" s="17" t="str">
        <f>'C2 lossy RA'!BA25</f>
        <v>·</v>
      </c>
      <c r="L8" s="17" t="str">
        <f>'C2 lossy RA'!BB25</f>
        <v>·</v>
      </c>
      <c r="M8" s="17" t="str">
        <f>'C2 lossy RA'!BC25</f>
        <v>·</v>
      </c>
      <c r="N8" s="17" t="str">
        <f>'C2 lossy RA'!BD25</f>
        <v>·</v>
      </c>
      <c r="O8" s="17" t="str">
        <f>'C2 lossy RA'!BE25</f>
        <v>·</v>
      </c>
      <c r="P8" s="59" t="str">
        <f>'C2 lossy RA'!BF25</f>
        <v>·</v>
      </c>
    </row>
    <row r="9" spans="1:16" x14ac:dyDescent="0.15">
      <c r="A9" s="60"/>
      <c r="B9" s="61" t="s">
        <v>68</v>
      </c>
      <c r="C9" s="62" t="str">
        <f>'C1 lossy AI'!AZ30</f>
        <v>·</v>
      </c>
      <c r="D9" s="33" t="str">
        <f>'C1 lossy AI'!BA30</f>
        <v>·</v>
      </c>
      <c r="E9" s="33" t="str">
        <f>'C1 lossy AI'!BB30</f>
        <v>·</v>
      </c>
      <c r="F9" s="33" t="str">
        <f>'C1 lossy AI'!BC30</f>
        <v>·</v>
      </c>
      <c r="G9" s="33" t="str">
        <f>'C1 lossy AI'!BD30</f>
        <v>·</v>
      </c>
      <c r="H9" s="33" t="str">
        <f>'C1 lossy AI'!BE30</f>
        <v>·</v>
      </c>
      <c r="I9" s="63" t="str">
        <f>'C1 lossy AI'!BF30</f>
        <v>·</v>
      </c>
      <c r="J9" s="62" t="str">
        <f>'C2 lossy RA'!AZ30</f>
        <v>·</v>
      </c>
      <c r="K9" s="33" t="str">
        <f>'C2 lossy RA'!BA30</f>
        <v>·</v>
      </c>
      <c r="L9" s="33" t="str">
        <f>'C2 lossy RA'!BB30</f>
        <v>·</v>
      </c>
      <c r="M9" s="33" t="str">
        <f>'C2 lossy RA'!BC30</f>
        <v>·</v>
      </c>
      <c r="N9" s="33" t="str">
        <f>'C2 lossy RA'!BD30</f>
        <v>·</v>
      </c>
      <c r="O9" s="33" t="str">
        <f>'C2 lossy RA'!BE30</f>
        <v>·</v>
      </c>
      <c r="P9" s="63" t="str">
        <f>'C2 lossy RA'!BF30</f>
        <v>·</v>
      </c>
    </row>
    <row r="10" spans="1:16" x14ac:dyDescent="0.15">
      <c r="A10" s="56"/>
      <c r="B10" s="57" t="s">
        <v>73</v>
      </c>
      <c r="C10" s="58" t="str">
        <f>'C1 lossy AI'!AZ35</f>
        <v>·</v>
      </c>
      <c r="D10" s="17" t="str">
        <f>'C1 lossy AI'!BA35</f>
        <v>·</v>
      </c>
      <c r="E10" s="17" t="str">
        <f>'C1 lossy AI'!BB35</f>
        <v>·</v>
      </c>
      <c r="F10" s="17" t="str">
        <f>'C1 lossy AI'!BC35</f>
        <v>·</v>
      </c>
      <c r="G10" s="17" t="str">
        <f>'C1 lossy AI'!BD35</f>
        <v>·</v>
      </c>
      <c r="H10" s="17" t="str">
        <f>'C1 lossy AI'!BE35</f>
        <v>·</v>
      </c>
      <c r="I10" s="59" t="str">
        <f>'C1 lossy AI'!BF35</f>
        <v>·</v>
      </c>
      <c r="J10" s="58" t="str">
        <f>'C2 lossy RA'!AZ35</f>
        <v>·</v>
      </c>
      <c r="K10" s="17" t="str">
        <f>'C2 lossy RA'!BA35</f>
        <v>·</v>
      </c>
      <c r="L10" s="17" t="str">
        <f>'C2 lossy RA'!BB35</f>
        <v>·</v>
      </c>
      <c r="M10" s="17" t="str">
        <f>'C2 lossy RA'!BC35</f>
        <v>·</v>
      </c>
      <c r="N10" s="17" t="str">
        <f>'C2 lossy RA'!BD35</f>
        <v>·</v>
      </c>
      <c r="O10" s="17" t="str">
        <f>'C2 lossy RA'!BE35</f>
        <v>·</v>
      </c>
      <c r="P10" s="59" t="str">
        <f>'C2 lossy RA'!BF35</f>
        <v>·</v>
      </c>
    </row>
    <row r="11" spans="1:16" ht="15.75" customHeight="1" thickBot="1" x14ac:dyDescent="0.2">
      <c r="A11" s="64"/>
      <c r="B11" s="65" t="s">
        <v>78</v>
      </c>
      <c r="C11" s="66" t="str">
        <f>'C1 lossy AI'!AZ40</f>
        <v>·</v>
      </c>
      <c r="D11" s="25" t="str">
        <f>'C1 lossy AI'!BA40</f>
        <v>·</v>
      </c>
      <c r="E11" s="25" t="str">
        <f>'C1 lossy AI'!BB40</f>
        <v>·</v>
      </c>
      <c r="F11" s="25" t="str">
        <f>'C1 lossy AI'!BC40</f>
        <v>·</v>
      </c>
      <c r="G11" s="25" t="str">
        <f>'C1 lossy AI'!BD40</f>
        <v>·</v>
      </c>
      <c r="H11" s="25" t="str">
        <f>'C1 lossy AI'!BE40</f>
        <v>·</v>
      </c>
      <c r="I11" s="67" t="str">
        <f>'C1 lossy AI'!BF40</f>
        <v>·</v>
      </c>
      <c r="J11" s="66" t="str">
        <f>'C2 lossy RA'!AZ40</f>
        <v>·</v>
      </c>
      <c r="K11" s="25" t="str">
        <f>'C2 lossy RA'!BA40</f>
        <v>·</v>
      </c>
      <c r="L11" s="25" t="str">
        <f>'C2 lossy RA'!BB40</f>
        <v>·</v>
      </c>
      <c r="M11" s="25" t="str">
        <f>'C2 lossy RA'!BC40</f>
        <v>·</v>
      </c>
      <c r="N11" s="25" t="str">
        <f>'C2 lossy RA'!BD40</f>
        <v>·</v>
      </c>
      <c r="O11" s="25" t="str">
        <f>'C2 lossy RA'!BE40</f>
        <v>·</v>
      </c>
      <c r="P11" s="67" t="str">
        <f>'C2 lossy RA'!BF40</f>
        <v>·</v>
      </c>
    </row>
    <row r="12" spans="1:16" x14ac:dyDescent="0.15">
      <c r="A12" s="130" t="str">
        <f>Summary!B19</f>
        <v>Cat1-A average</v>
      </c>
      <c r="B12" s="126"/>
      <c r="C12" s="68" t="e">
        <f>Summary!C19</f>
        <v>#DIV/0!</v>
      </c>
      <c r="D12" s="68" t="e">
        <f>Summary!D19</f>
        <v>#DIV/0!</v>
      </c>
      <c r="E12" s="68" t="e">
        <f>Summary!E19</f>
        <v>#DIV/0!</v>
      </c>
      <c r="F12" s="68" t="e">
        <f>Summary!F19</f>
        <v>#DIV/0!</v>
      </c>
      <c r="G12" s="68" t="e">
        <f>Summary!G19</f>
        <v>#DIV/0!</v>
      </c>
      <c r="H12" s="68" t="e">
        <f>Summary!H19</f>
        <v>#DIV/0!</v>
      </c>
      <c r="I12" s="68" t="e">
        <f>Summary!I19</f>
        <v>#DIV/0!</v>
      </c>
      <c r="J12" s="69" t="e">
        <f>Summary!C31</f>
        <v>#DIV/0!</v>
      </c>
      <c r="K12" s="70" t="e">
        <f>Summary!D31</f>
        <v>#DIV/0!</v>
      </c>
      <c r="L12" s="70" t="e">
        <f>Summary!E31</f>
        <v>#DIV/0!</v>
      </c>
      <c r="M12" s="70" t="e">
        <f>Summary!F31</f>
        <v>#DIV/0!</v>
      </c>
      <c r="N12" s="70" t="e">
        <f>Summary!G31</f>
        <v>#DIV/0!</v>
      </c>
      <c r="O12" s="70" t="e">
        <f>Summary!H31</f>
        <v>#DIV/0!</v>
      </c>
      <c r="P12" s="71" t="e">
        <f>Summary!I31</f>
        <v>#DIV/0!</v>
      </c>
    </row>
    <row r="13" spans="1:16" x14ac:dyDescent="0.15">
      <c r="A13" s="131" t="str">
        <f>Summary!B20</f>
        <v>Cat1-B average</v>
      </c>
      <c r="B13" s="132"/>
      <c r="C13" s="72" t="e">
        <f>Summary!C20</f>
        <v>#DIV/0!</v>
      </c>
      <c r="D13" s="72" t="e">
        <f>Summary!D20</f>
        <v>#DIV/0!</v>
      </c>
      <c r="E13" s="72" t="e">
        <f>Summary!E20</f>
        <v>#DIV/0!</v>
      </c>
      <c r="F13" s="72" t="e">
        <f>Summary!F20</f>
        <v>#DIV/0!</v>
      </c>
      <c r="G13" s="72" t="e">
        <f>Summary!G20</f>
        <v>#DIV/0!</v>
      </c>
      <c r="H13" s="72" t="e">
        <f>Summary!H20</f>
        <v>#DIV/0!</v>
      </c>
      <c r="I13" s="72" t="e">
        <f>Summary!I20</f>
        <v>#DIV/0!</v>
      </c>
      <c r="J13" s="73" t="e">
        <f>Summary!C32</f>
        <v>#DIV/0!</v>
      </c>
      <c r="K13" s="72" t="e">
        <f>Summary!D32</f>
        <v>#DIV/0!</v>
      </c>
      <c r="L13" s="72" t="e">
        <f>Summary!E32</f>
        <v>#DIV/0!</v>
      </c>
      <c r="M13" s="72" t="e">
        <f>Summary!F32</f>
        <v>#DIV/0!</v>
      </c>
      <c r="N13" s="72" t="e">
        <f>Summary!G32</f>
        <v>#DIV/0!</v>
      </c>
      <c r="O13" s="72" t="e">
        <f>Summary!H32</f>
        <v>#DIV/0!</v>
      </c>
      <c r="P13" s="74" t="e">
        <f>Summary!I32</f>
        <v>#DIV/0!</v>
      </c>
    </row>
    <row r="14" spans="1:16" ht="15.75" customHeight="1" thickBot="1" x14ac:dyDescent="0.2">
      <c r="A14" s="133" t="str">
        <f>Summary!B21</f>
        <v>Cat1-C average</v>
      </c>
      <c r="B14" s="132"/>
      <c r="C14" s="68" t="e">
        <f>Summary!C21</f>
        <v>#DIV/0!</v>
      </c>
      <c r="D14" s="68" t="e">
        <f>Summary!D21</f>
        <v>#DIV/0!</v>
      </c>
      <c r="E14" s="68" t="e">
        <f>Summary!E21</f>
        <v>#DIV/0!</v>
      </c>
      <c r="F14" s="68" t="e">
        <f>Summary!F21</f>
        <v>#DIV/0!</v>
      </c>
      <c r="G14" s="68" t="e">
        <f>Summary!G21</f>
        <v>#DIV/0!</v>
      </c>
      <c r="H14" s="68" t="e">
        <f>Summary!H21</f>
        <v>#DIV/0!</v>
      </c>
      <c r="I14" s="68" t="e">
        <f>Summary!I21</f>
        <v>#DIV/0!</v>
      </c>
      <c r="J14" s="75" t="e">
        <f>Summary!C33</f>
        <v>#DIV/0!</v>
      </c>
      <c r="K14" s="68" t="e">
        <f>Summary!D33</f>
        <v>#DIV/0!</v>
      </c>
      <c r="L14" s="68" t="e">
        <f>Summary!E33</f>
        <v>#DIV/0!</v>
      </c>
      <c r="M14" s="68" t="e">
        <f>Summary!F33</f>
        <v>#DIV/0!</v>
      </c>
      <c r="N14" s="68" t="e">
        <f>Summary!G33</f>
        <v>#DIV/0!</v>
      </c>
      <c r="O14" s="68" t="e">
        <f>Summary!H33</f>
        <v>#DIV/0!</v>
      </c>
      <c r="P14" s="76" t="e">
        <f>Summary!I33</f>
        <v>#DIV/0!</v>
      </c>
    </row>
    <row r="15" spans="1:16" ht="15.75" customHeight="1" thickBot="1" x14ac:dyDescent="0.2">
      <c r="A15" s="134" t="str">
        <f>Summary!B22</f>
        <v>Overall average</v>
      </c>
      <c r="B15" s="135"/>
      <c r="C15" s="77" t="e">
        <f>Summary!C22</f>
        <v>#DIV/0!</v>
      </c>
      <c r="D15" s="77" t="e">
        <f>Summary!D22</f>
        <v>#DIV/0!</v>
      </c>
      <c r="E15" s="77" t="e">
        <f>Summary!E22</f>
        <v>#DIV/0!</v>
      </c>
      <c r="F15" s="77" t="e">
        <f>Summary!F22</f>
        <v>#DIV/0!</v>
      </c>
      <c r="G15" s="77" t="e">
        <f>Summary!G22</f>
        <v>#DIV/0!</v>
      </c>
      <c r="H15" s="77" t="e">
        <f>Summary!H22</f>
        <v>#DIV/0!</v>
      </c>
      <c r="I15" s="77" t="e">
        <f>Summary!I22</f>
        <v>#DIV/0!</v>
      </c>
      <c r="J15" s="78" t="e">
        <f>Summary!C34</f>
        <v>#DIV/0!</v>
      </c>
      <c r="K15" s="77" t="e">
        <f>Summary!D34</f>
        <v>#DIV/0!</v>
      </c>
      <c r="L15" s="77" t="e">
        <f>Summary!E34</f>
        <v>#DIV/0!</v>
      </c>
      <c r="M15" s="77" t="e">
        <f>Summary!F34</f>
        <v>#DIV/0!</v>
      </c>
      <c r="N15" s="77" t="e">
        <f>Summary!G34</f>
        <v>#DIV/0!</v>
      </c>
      <c r="O15" s="77" t="e">
        <f>Summary!H34</f>
        <v>#DIV/0!</v>
      </c>
      <c r="P15" s="79" t="e">
        <f>Summary!I34</f>
        <v>#DIV/0!</v>
      </c>
    </row>
    <row r="16" spans="1:16" x14ac:dyDescent="0.15">
      <c r="A16" s="133" t="str">
        <f>Summary!B23</f>
        <v>Avg. Enc Time [%]</v>
      </c>
      <c r="B16" s="132"/>
      <c r="C16" s="124">
        <f>Summary!C23</f>
        <v>0</v>
      </c>
      <c r="D16" s="125"/>
      <c r="E16" s="125"/>
      <c r="F16" s="125"/>
      <c r="G16" s="125"/>
      <c r="H16" s="125"/>
      <c r="I16" s="126"/>
      <c r="J16" s="124">
        <f>Summary!C35</f>
        <v>0</v>
      </c>
      <c r="K16" s="125"/>
      <c r="L16" s="125"/>
      <c r="M16" s="125"/>
      <c r="N16" s="125"/>
      <c r="O16" s="125"/>
      <c r="P16" s="126"/>
    </row>
    <row r="17" spans="1:16" ht="15.75" customHeight="1" thickBot="1" x14ac:dyDescent="0.2">
      <c r="A17" s="127" t="str">
        <f>Summary!B24</f>
        <v>Avg. Dec Time [%]</v>
      </c>
      <c r="B17" s="128"/>
      <c r="C17" s="129">
        <f>Summary!C24</f>
        <v>0</v>
      </c>
      <c r="D17" s="110"/>
      <c r="E17" s="110"/>
      <c r="F17" s="110"/>
      <c r="G17" s="110"/>
      <c r="H17" s="110"/>
      <c r="I17" s="128"/>
      <c r="J17" s="129">
        <f>Summary!C36</f>
        <v>0</v>
      </c>
      <c r="K17" s="110"/>
      <c r="L17" s="110"/>
      <c r="M17" s="110"/>
      <c r="N17" s="110"/>
      <c r="O17" s="110"/>
      <c r="P17" s="128"/>
    </row>
  </sheetData>
  <mergeCells count="18">
    <mergeCell ref="C1:I1"/>
    <mergeCell ref="J1:P1"/>
    <mergeCell ref="A2:A3"/>
    <mergeCell ref="B2:B3"/>
    <mergeCell ref="C2:G2"/>
    <mergeCell ref="H2:I2"/>
    <mergeCell ref="J2:N2"/>
    <mergeCell ref="O2:P2"/>
    <mergeCell ref="J16:P16"/>
    <mergeCell ref="A17:B17"/>
    <mergeCell ref="C17:I17"/>
    <mergeCell ref="J17:P17"/>
    <mergeCell ref="A12:B12"/>
    <mergeCell ref="A13:B13"/>
    <mergeCell ref="A14:B14"/>
    <mergeCell ref="A15:B15"/>
    <mergeCell ref="A16:B16"/>
    <mergeCell ref="C16:I16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sunzhe</cp:lastModifiedBy>
  <dcterms:created xsi:type="dcterms:W3CDTF">2021-10-29T10:34:58Z</dcterms:created>
  <dcterms:modified xsi:type="dcterms:W3CDTF">2023-05-29T00:52:55Z</dcterms:modified>
</cp:coreProperties>
</file>