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F:\hxh\code\V8.0_integration_test\results\"/>
    </mc:Choice>
  </mc:AlternateContent>
  <bookViews>
    <workbookView xWindow="0" yWindow="0" windowWidth="28800" windowHeight="13905" activeTab="6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9" i="6" l="1"/>
  <c r="AW49" i="6"/>
  <c r="AC49" i="6"/>
  <c r="AB49" i="6"/>
  <c r="AX55" i="5" l="1"/>
  <c r="AB55" i="5"/>
  <c r="AC55" i="5"/>
  <c r="AW55" i="5"/>
  <c r="A16" i="7"/>
  <c r="A15" i="7"/>
  <c r="P13" i="3"/>
  <c r="P17" i="3" s="1"/>
  <c r="X13" i="3"/>
  <c r="I13" i="3"/>
  <c r="I17" i="3" s="1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AH45" i="5"/>
  <c r="AG45" i="5" s="1"/>
  <c r="AF45" i="5"/>
  <c r="AE45" i="5"/>
  <c r="M45" i="5"/>
  <c r="K45" i="5"/>
  <c r="J45" i="5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BJ45" i="5" a="1"/>
  <c r="BL45" i="5" a="1"/>
  <c r="BK45" i="5" a="1"/>
  <c r="BN45" i="5" a="1"/>
  <c r="BN45" i="5" l="1"/>
  <c r="BN53" i="5" s="1"/>
  <c r="BK45" i="5"/>
  <c r="BK53" i="5" s="1"/>
  <c r="BL45" i="5"/>
  <c r="BL53" i="5" s="1"/>
  <c r="BJ45" i="5"/>
  <c r="BJ53" i="5" s="1"/>
  <c r="AG95" i="6"/>
  <c r="AF53" i="5"/>
  <c r="AH103" i="5"/>
  <c r="AG97" i="6"/>
  <c r="AG94" i="6"/>
  <c r="AG98" i="6"/>
  <c r="AG101" i="5"/>
  <c r="AG102" i="5"/>
  <c r="K53" i="5"/>
  <c r="AG104" i="5"/>
  <c r="AG96" i="6"/>
  <c r="V13" i="3"/>
  <c r="AH94" i="6"/>
  <c r="AH95" i="6"/>
  <c r="AH96" i="6"/>
  <c r="AH97" i="6"/>
  <c r="AH98" i="6"/>
  <c r="BQ53" i="5"/>
  <c r="V17" i="3"/>
  <c r="L45" i="5"/>
  <c r="AG100" i="5" s="1"/>
  <c r="BS53" i="5"/>
  <c r="BP53" i="5"/>
  <c r="BT53" i="5"/>
  <c r="BR53" i="5"/>
  <c r="AH100" i="5"/>
  <c r="AH101" i="5"/>
  <c r="AH102" i="5"/>
  <c r="AH104" i="5"/>
  <c r="L48" i="5"/>
  <c r="BI45" i="5" a="1"/>
  <c r="BM45" i="5" a="1"/>
  <c r="BE45" i="5" a="1"/>
  <c r="BH45" i="5" a="1"/>
  <c r="BN40" i="6" a="1"/>
  <c r="BN10" i="6" a="1"/>
  <c r="BL40" i="6" a="1"/>
  <c r="BL30" i="6" a="1"/>
  <c r="BN25" i="6" a="1"/>
  <c r="BL10" i="6" a="1"/>
  <c r="BK40" i="6" a="1"/>
  <c r="BK30" i="6" a="1"/>
  <c r="BK20" i="6" a="1"/>
  <c r="BK10" i="6" a="1"/>
  <c r="BJ40" i="6" a="1"/>
  <c r="BJ30" i="6" a="1"/>
  <c r="BJ20" i="6" a="1"/>
  <c r="BJ10" i="6" a="1"/>
  <c r="BN35" i="6" a="1"/>
  <c r="BL35" i="6" a="1"/>
  <c r="BL15" i="6" a="1"/>
  <c r="BN15" i="6" a="1"/>
  <c r="BK35" i="6" a="1"/>
  <c r="BK25" i="6" a="1"/>
  <c r="BK15" i="6" a="1"/>
  <c r="BK5" i="6" a="1"/>
  <c r="BJ35" i="6" a="1"/>
  <c r="BJ25" i="6" a="1"/>
  <c r="BJ15" i="6" a="1"/>
  <c r="BJ5" i="6" a="1"/>
  <c r="BN30" i="6" a="1"/>
  <c r="BN20" i="6" a="1"/>
  <c r="BL20" i="6" a="1"/>
  <c r="BN5" i="6" a="1"/>
  <c r="BL25" i="6" a="1"/>
  <c r="BL5" i="6" a="1"/>
  <c r="C36" i="1" l="1"/>
  <c r="G36" i="1"/>
  <c r="H36" i="1"/>
  <c r="BH45" i="5"/>
  <c r="BH53" i="5" s="1"/>
  <c r="BE45" i="5"/>
  <c r="BE53" i="5" s="1"/>
  <c r="H23" i="1" s="1"/>
  <c r="H16" i="7" s="1"/>
  <c r="BM45" i="5"/>
  <c r="BM53" i="5" s="1"/>
  <c r="BI45" i="5"/>
  <c r="BI53" i="5" s="1"/>
  <c r="BL5" i="6"/>
  <c r="BL25" i="6"/>
  <c r="BN5" i="6"/>
  <c r="BL20" i="6"/>
  <c r="BN20" i="6"/>
  <c r="BN30" i="6"/>
  <c r="BJ5" i="6"/>
  <c r="BJ15" i="6"/>
  <c r="BJ25" i="6"/>
  <c r="BJ35" i="6"/>
  <c r="BK5" i="6"/>
  <c r="BK15" i="6"/>
  <c r="BK25" i="6"/>
  <c r="BK35" i="6"/>
  <c r="BN15" i="6"/>
  <c r="BL15" i="6"/>
  <c r="BL35" i="6"/>
  <c r="BN35" i="6"/>
  <c r="BJ10" i="6"/>
  <c r="BJ20" i="6"/>
  <c r="BJ30" i="6"/>
  <c r="BJ40" i="6"/>
  <c r="BK10" i="6"/>
  <c r="BK20" i="6"/>
  <c r="BK30" i="6"/>
  <c r="BK40" i="6"/>
  <c r="BL10" i="6"/>
  <c r="BN25" i="6"/>
  <c r="BL30" i="6"/>
  <c r="BL40" i="6"/>
  <c r="BN10" i="6"/>
  <c r="BN40" i="6"/>
  <c r="I36" i="1"/>
  <c r="D36" i="1"/>
  <c r="F36" i="1"/>
  <c r="E36" i="1"/>
  <c r="AG103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D45" i="5" a="1"/>
  <c r="AZ45" i="5" a="1"/>
  <c r="BC45" i="5" a="1"/>
  <c r="BF45" i="5" a="1"/>
  <c r="BB45" i="5" a="1"/>
  <c r="BA45" i="5" a="1"/>
  <c r="BL5" i="5" a="1"/>
  <c r="BK35" i="5" a="1"/>
  <c r="BK25" i="5" a="1"/>
  <c r="BK15" i="5" a="1"/>
  <c r="BK5" i="5" a="1"/>
  <c r="BL20" i="5" a="1"/>
  <c r="BK30" i="5" a="1"/>
  <c r="BK10" i="5" a="1"/>
  <c r="BL35" i="5" a="1"/>
  <c r="BJ35" i="5" a="1"/>
  <c r="BJ25" i="5" a="1"/>
  <c r="BJ15" i="5" a="1"/>
  <c r="BJ5" i="5" a="1"/>
  <c r="BL30" i="5" a="1"/>
  <c r="BL25" i="5" a="1"/>
  <c r="BN40" i="5" a="1"/>
  <c r="BN30" i="5" a="1"/>
  <c r="BN20" i="5" a="1"/>
  <c r="BN10" i="5" a="1"/>
  <c r="BL40" i="5" a="1"/>
  <c r="BL10" i="5" a="1"/>
  <c r="BK40" i="5" a="1"/>
  <c r="BK20" i="5" a="1"/>
  <c r="BL15" i="5" a="1"/>
  <c r="BJ40" i="5" a="1"/>
  <c r="BJ30" i="5" a="1"/>
  <c r="BJ20" i="5" a="1"/>
  <c r="BJ10" i="5" a="1"/>
  <c r="BN35" i="5" a="1"/>
  <c r="BN25" i="5" a="1"/>
  <c r="BN15" i="5" a="1"/>
  <c r="BN5" i="5" a="1"/>
  <c r="H12" i="7" l="1"/>
  <c r="BK46" i="6"/>
  <c r="BL46" i="6"/>
  <c r="BN47" i="6"/>
  <c r="BN48" i="6"/>
  <c r="BL48" i="6"/>
  <c r="BJ46" i="6"/>
  <c r="BK48" i="6"/>
  <c r="BJ48" i="6"/>
  <c r="BA45" i="5"/>
  <c r="D12" i="7" s="1"/>
  <c r="BB45" i="5"/>
  <c r="BB53" i="5" s="1"/>
  <c r="E23" i="1" s="1"/>
  <c r="E16" i="7" s="1"/>
  <c r="BF45" i="5"/>
  <c r="BF53" i="5" s="1"/>
  <c r="I23" i="1" s="1"/>
  <c r="I16" i="7" s="1"/>
  <c r="BC45" i="5"/>
  <c r="BC53" i="5" s="1"/>
  <c r="F23" i="1" s="1"/>
  <c r="F16" i="7" s="1"/>
  <c r="AZ45" i="5"/>
  <c r="AZ53" i="5" s="1"/>
  <c r="C23" i="1" s="1"/>
  <c r="C16" i="7" s="1"/>
  <c r="BD45" i="5"/>
  <c r="G12" i="7" s="1"/>
  <c r="BN5" i="5"/>
  <c r="BN15" i="5"/>
  <c r="BN25" i="5"/>
  <c r="BN35" i="5"/>
  <c r="BJ10" i="5"/>
  <c r="BJ20" i="5"/>
  <c r="BJ30" i="5"/>
  <c r="BJ40" i="5"/>
  <c r="BL15" i="5"/>
  <c r="BK20" i="5"/>
  <c r="BK40" i="5"/>
  <c r="BL10" i="5"/>
  <c r="BL40" i="5"/>
  <c r="BN10" i="5"/>
  <c r="BN50" i="5" s="1"/>
  <c r="BN20" i="5"/>
  <c r="BN30" i="5"/>
  <c r="BN40" i="5"/>
  <c r="BL25" i="5"/>
  <c r="BL30" i="5"/>
  <c r="BJ5" i="5"/>
  <c r="BJ15" i="5"/>
  <c r="BJ25" i="5"/>
  <c r="BJ35" i="5"/>
  <c r="BL35" i="5"/>
  <c r="BK10" i="5"/>
  <c r="BK30" i="5"/>
  <c r="BL20" i="5"/>
  <c r="BL51" i="5" s="1"/>
  <c r="BK5" i="5"/>
  <c r="BK50" i="5" s="1"/>
  <c r="BK15" i="5"/>
  <c r="BK25" i="5"/>
  <c r="BK35" i="5"/>
  <c r="BL5" i="5"/>
  <c r="BT48" i="6"/>
  <c r="BT54" i="5"/>
  <c r="BA53" i="5"/>
  <c r="D23" i="1" s="1"/>
  <c r="D16" i="7" s="1"/>
  <c r="BT51" i="5"/>
  <c r="BT46" i="6"/>
  <c r="BT47" i="6"/>
  <c r="BT52" i="5"/>
  <c r="BT50" i="5"/>
  <c r="BT45" i="6"/>
  <c r="BN46" i="6"/>
  <c r="BN45" i="6"/>
  <c r="BJ45" i="6"/>
  <c r="BL45" i="6"/>
  <c r="BK47" i="6"/>
  <c r="BK45" i="6"/>
  <c r="BJ47" i="6"/>
  <c r="BL47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F12" i="7" l="1"/>
  <c r="BL54" i="5"/>
  <c r="BK54" i="5"/>
  <c r="BJ51" i="5"/>
  <c r="C12" i="7"/>
  <c r="BL50" i="5"/>
  <c r="BL52" i="5"/>
  <c r="BD53" i="5"/>
  <c r="G23" i="1" s="1"/>
  <c r="G16" i="7" s="1"/>
  <c r="BN51" i="5"/>
  <c r="E12" i="7"/>
  <c r="I12" i="7"/>
  <c r="BK52" i="5"/>
  <c r="BJ52" i="5"/>
  <c r="BN54" i="5"/>
  <c r="BJ50" i="5"/>
  <c r="BN52" i="5"/>
  <c r="BK51" i="5"/>
  <c r="BJ54" i="5"/>
  <c r="L25" i="6"/>
  <c r="AH58" i="6"/>
  <c r="AG9" i="6"/>
  <c r="AG58" i="6" s="1"/>
  <c r="AH82" i="6"/>
  <c r="AG33" i="6"/>
  <c r="AG82" i="6" s="1"/>
  <c r="AH96" i="5"/>
  <c r="AG41" i="5"/>
  <c r="AG96" i="5" s="1"/>
  <c r="AH83" i="6"/>
  <c r="AG34" i="6"/>
  <c r="AG83" i="6" s="1"/>
  <c r="L5" i="6"/>
  <c r="AG5" i="6"/>
  <c r="AH54" i="6"/>
  <c r="AG29" i="6"/>
  <c r="AG78" i="6" s="1"/>
  <c r="AH78" i="6"/>
  <c r="AG21" i="5"/>
  <c r="AG76" i="5" s="1"/>
  <c r="AH76" i="5"/>
  <c r="L40" i="6"/>
  <c r="AH57" i="6"/>
  <c r="AG8" i="6"/>
  <c r="AG57" i="6" s="1"/>
  <c r="AH65" i="6"/>
  <c r="AG16" i="6"/>
  <c r="AG65" i="6" s="1"/>
  <c r="AH73" i="6"/>
  <c r="AG24" i="6"/>
  <c r="AG73" i="6" s="1"/>
  <c r="AH81" i="6"/>
  <c r="AG32" i="6"/>
  <c r="AG81" i="6" s="1"/>
  <c r="AH89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59" i="6"/>
  <c r="AG10" i="6"/>
  <c r="AH65" i="5"/>
  <c r="AG10" i="5"/>
  <c r="AG65" i="5" s="1"/>
  <c r="AH81" i="5"/>
  <c r="AG26" i="5"/>
  <c r="AG81" i="5" s="1"/>
  <c r="AH97" i="5"/>
  <c r="AG42" i="5"/>
  <c r="AG97" i="5" s="1"/>
  <c r="L35" i="6"/>
  <c r="AH60" i="6"/>
  <c r="AG11" i="6"/>
  <c r="AG60" i="6" s="1"/>
  <c r="AH68" i="6"/>
  <c r="AG19" i="6"/>
  <c r="AG68" i="6" s="1"/>
  <c r="AH76" i="6"/>
  <c r="AG27" i="6"/>
  <c r="AG76" i="6" s="1"/>
  <c r="AH84" i="6"/>
  <c r="AG35" i="6"/>
  <c r="AG84" i="6" s="1"/>
  <c r="AH92" i="6"/>
  <c r="AG43" i="6"/>
  <c r="AG92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66" i="6"/>
  <c r="AG17" i="6"/>
  <c r="AG66" i="6" s="1"/>
  <c r="AH72" i="5"/>
  <c r="AG17" i="5"/>
  <c r="AG72" i="5" s="1"/>
  <c r="AH88" i="5"/>
  <c r="AG33" i="5"/>
  <c r="AG88" i="5" s="1"/>
  <c r="AH75" i="6"/>
  <c r="AG26" i="6"/>
  <c r="AG75" i="6" s="1"/>
  <c r="AH73" i="5"/>
  <c r="AG18" i="5"/>
  <c r="AG73" i="5" s="1"/>
  <c r="AH89" i="5"/>
  <c r="AG34" i="5"/>
  <c r="AG89" i="5" s="1"/>
  <c r="L20" i="6"/>
  <c r="AH61" i="6"/>
  <c r="AG12" i="6"/>
  <c r="AG61" i="6" s="1"/>
  <c r="AH69" i="6"/>
  <c r="AG20" i="6"/>
  <c r="AH77" i="6"/>
  <c r="AG28" i="6"/>
  <c r="AG77" i="6" s="1"/>
  <c r="AH85" i="6"/>
  <c r="AG36" i="6"/>
  <c r="AG85" i="6" s="1"/>
  <c r="AH93" i="6"/>
  <c r="AG44" i="6"/>
  <c r="AG93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74" i="6"/>
  <c r="AG25" i="6"/>
  <c r="AG74" i="6" s="1"/>
  <c r="L10" i="6"/>
  <c r="AG37" i="6"/>
  <c r="AG86" i="6" s="1"/>
  <c r="AH86" i="6"/>
  <c r="AG13" i="5"/>
  <c r="AG68" i="5" s="1"/>
  <c r="AH68" i="5"/>
  <c r="AG37" i="5"/>
  <c r="AG92" i="5" s="1"/>
  <c r="AH92" i="5"/>
  <c r="L30" i="6"/>
  <c r="AG6" i="6"/>
  <c r="AG55" i="6" s="1"/>
  <c r="AH55" i="6"/>
  <c r="AG14" i="6"/>
  <c r="AG63" i="6" s="1"/>
  <c r="AH63" i="6"/>
  <c r="AG22" i="6"/>
  <c r="AG71" i="6" s="1"/>
  <c r="AH71" i="6"/>
  <c r="AG30" i="6"/>
  <c r="AH79" i="6"/>
  <c r="AG38" i="6"/>
  <c r="AG87" i="6" s="1"/>
  <c r="AH87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0" i="6"/>
  <c r="AG41" i="6"/>
  <c r="AG90" i="6" s="1"/>
  <c r="AH67" i="6"/>
  <c r="AG18" i="6"/>
  <c r="AG67" i="6" s="1"/>
  <c r="AH91" i="6"/>
  <c r="AG42" i="6"/>
  <c r="AG91" i="6" s="1"/>
  <c r="AG13" i="6"/>
  <c r="AG62" i="6" s="1"/>
  <c r="AH62" i="6"/>
  <c r="AH70" i="6"/>
  <c r="AG21" i="6"/>
  <c r="AG70" i="6" s="1"/>
  <c r="AG5" i="5"/>
  <c r="AG60" i="5" s="1"/>
  <c r="AH60" i="5"/>
  <c r="AG29" i="5"/>
  <c r="AG84" i="5" s="1"/>
  <c r="AH84" i="5"/>
  <c r="L15" i="6"/>
  <c r="AG7" i="6"/>
  <c r="AG56" i="6" s="1"/>
  <c r="AH56" i="6"/>
  <c r="AG15" i="6"/>
  <c r="AH64" i="6"/>
  <c r="AG23" i="6"/>
  <c r="AG72" i="6" s="1"/>
  <c r="AH72" i="6"/>
  <c r="AG31" i="6"/>
  <c r="AG80" i="6" s="1"/>
  <c r="AH80" i="6"/>
  <c r="AG39" i="6"/>
  <c r="AG88" i="6" s="1"/>
  <c r="AH88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A19" i="7"/>
  <c r="A18" i="7"/>
  <c r="A17" i="7"/>
  <c r="A14" i="7"/>
  <c r="A13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M5" i="6" a="1"/>
  <c r="BI20" i="6" a="1"/>
  <c r="BI5" i="6" a="1"/>
  <c r="BM40" i="6" a="1"/>
  <c r="BI40" i="6" a="1"/>
  <c r="BH20" i="6" a="1"/>
  <c r="BM25" i="6" a="1"/>
  <c r="BI25" i="6" a="1"/>
  <c r="BH30" i="6" a="1"/>
  <c r="BH25" i="6" a="1"/>
  <c r="BH40" i="6" a="1"/>
  <c r="BM20" i="6" a="1"/>
  <c r="BH10" i="6" a="1"/>
  <c r="BI15" i="6" a="1"/>
  <c r="BM10" i="6" a="1"/>
  <c r="BI10" i="6" a="1"/>
  <c r="BH15" i="6" a="1"/>
  <c r="BI35" i="6" a="1"/>
  <c r="BM15" i="6" a="1"/>
  <c r="BH35" i="6" a="1"/>
  <c r="BM30" i="6" a="1"/>
  <c r="BH5" i="6" a="1"/>
  <c r="BM35" i="6" a="1"/>
  <c r="BI30" i="6" a="1"/>
  <c r="BM25" i="5" a="1"/>
  <c r="BM10" i="5" a="1"/>
  <c r="BH40" i="5" a="1"/>
  <c r="BM40" i="5" a="1"/>
  <c r="BI25" i="5" a="1"/>
  <c r="BH20" i="5" a="1"/>
  <c r="BI5" i="5" a="1"/>
  <c r="BH25" i="5" a="1"/>
  <c r="BM20" i="5" a="1"/>
  <c r="BH5" i="5" a="1"/>
  <c r="BI35" i="5" a="1"/>
  <c r="BI20" i="5" a="1"/>
  <c r="BM5" i="5" a="1"/>
  <c r="BH35" i="5" a="1"/>
  <c r="BI30" i="5" a="1"/>
  <c r="BI15" i="5" a="1"/>
  <c r="BM35" i="5" a="1"/>
  <c r="BH30" i="5" a="1"/>
  <c r="BH15" i="5" a="1"/>
  <c r="BI10" i="5" a="1"/>
  <c r="BM30" i="5" a="1"/>
  <c r="BM15" i="5" a="1"/>
  <c r="BH10" i="5" a="1"/>
  <c r="BI40" i="5" a="1"/>
  <c r="BI30" i="6" l="1"/>
  <c r="BM35" i="6"/>
  <c r="BH5" i="6"/>
  <c r="BM30" i="6"/>
  <c r="BH35" i="6"/>
  <c r="BM15" i="6"/>
  <c r="BI35" i="6"/>
  <c r="BH15" i="6"/>
  <c r="BI10" i="6"/>
  <c r="BM10" i="6"/>
  <c r="BI15" i="6"/>
  <c r="BH10" i="6"/>
  <c r="BM20" i="6"/>
  <c r="BH40" i="6"/>
  <c r="BH25" i="6"/>
  <c r="BH30" i="6"/>
  <c r="BI25" i="6"/>
  <c r="BM25" i="6"/>
  <c r="BH20" i="6"/>
  <c r="BI40" i="6"/>
  <c r="BM40" i="6"/>
  <c r="BI5" i="6"/>
  <c r="BI20" i="6"/>
  <c r="BM5" i="6"/>
  <c r="BI40" i="5"/>
  <c r="BH10" i="5"/>
  <c r="BH50" i="5" s="1"/>
  <c r="BM15" i="5"/>
  <c r="BM30" i="5"/>
  <c r="BI10" i="5"/>
  <c r="BH15" i="5"/>
  <c r="BH30" i="5"/>
  <c r="BM35" i="5"/>
  <c r="BI15" i="5"/>
  <c r="BI30" i="5"/>
  <c r="BH35" i="5"/>
  <c r="BM5" i="5"/>
  <c r="BI20" i="5"/>
  <c r="BI35" i="5"/>
  <c r="BH5" i="5"/>
  <c r="BM20" i="5"/>
  <c r="BH25" i="5"/>
  <c r="BI5" i="5"/>
  <c r="BH20" i="5"/>
  <c r="BI25" i="5"/>
  <c r="BM40" i="5"/>
  <c r="BH40" i="5"/>
  <c r="BM10" i="5"/>
  <c r="BM25" i="5"/>
  <c r="I15" i="3"/>
  <c r="BQ48" i="6"/>
  <c r="BS54" i="5"/>
  <c r="BQ54" i="5"/>
  <c r="AF48" i="6"/>
  <c r="BR48" i="6"/>
  <c r="BP48" i="6"/>
  <c r="P18" i="3"/>
  <c r="K54" i="5"/>
  <c r="BP54" i="5"/>
  <c r="BR54" i="5"/>
  <c r="AF54" i="5"/>
  <c r="X17" i="3"/>
  <c r="V6" i="3"/>
  <c r="BS48" i="6"/>
  <c r="K48" i="6"/>
  <c r="I18" i="3"/>
  <c r="V8" i="3"/>
  <c r="AG59" i="6"/>
  <c r="AG89" i="6"/>
  <c r="AG54" i="6"/>
  <c r="AG69" i="6"/>
  <c r="V7" i="3"/>
  <c r="AG64" i="6"/>
  <c r="AG79" i="6"/>
  <c r="V12" i="3"/>
  <c r="P15" i="3"/>
  <c r="V15" i="3" s="1"/>
  <c r="C10" i="1" s="1"/>
  <c r="X15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45" i="6"/>
  <c r="BP52" i="5"/>
  <c r="BQ51" i="5"/>
  <c r="BR50" i="5"/>
  <c r="BR52" i="5"/>
  <c r="AF52" i="5"/>
  <c r="BP50" i="5"/>
  <c r="K51" i="5"/>
  <c r="BQ52" i="5"/>
  <c r="AF51" i="5"/>
  <c r="BS52" i="5"/>
  <c r="BP51" i="5"/>
  <c r="K52" i="5"/>
  <c r="AW50" i="6"/>
  <c r="C38" i="1" s="1"/>
  <c r="J18" i="7" s="1"/>
  <c r="AX50" i="6"/>
  <c r="C39" i="1" s="1"/>
  <c r="J19" i="7" s="1"/>
  <c r="BR46" i="6"/>
  <c r="K47" i="6"/>
  <c r="K46" i="6"/>
  <c r="BQ47" i="6"/>
  <c r="BR47" i="6"/>
  <c r="BQ46" i="6"/>
  <c r="BQ45" i="6"/>
  <c r="BR45" i="6"/>
  <c r="BS46" i="6"/>
  <c r="AF47" i="6"/>
  <c r="BP47" i="6"/>
  <c r="AF45" i="6"/>
  <c r="AF46" i="6"/>
  <c r="BS47" i="6"/>
  <c r="BP46" i="6"/>
  <c r="X14" i="3"/>
  <c r="V5" i="3"/>
  <c r="V9" i="3"/>
  <c r="K45" i="6"/>
  <c r="BS45" i="6"/>
  <c r="BQ50" i="5"/>
  <c r="I14" i="3"/>
  <c r="BS50" i="5"/>
  <c r="P14" i="3"/>
  <c r="AZ35" i="6" a="1"/>
  <c r="BA20" i="6" a="1"/>
  <c r="BA40" i="6" a="1"/>
  <c r="BB10" i="6" a="1"/>
  <c r="AZ20" i="6" a="1"/>
  <c r="AZ40" i="6" a="1"/>
  <c r="BE5" i="6" a="1"/>
  <c r="BE35" i="6" a="1"/>
  <c r="BA10" i="6" a="1"/>
  <c r="BF20" i="6" a="1"/>
  <c r="BD5" i="6" a="1"/>
  <c r="BC5" i="6" a="1"/>
  <c r="BA30" i="6" a="1"/>
  <c r="BF5" i="6" a="1"/>
  <c r="BB25" i="6" a="1"/>
  <c r="BA25" i="6" a="1"/>
  <c r="BB5" i="6" a="1"/>
  <c r="BB30" i="6" a="1"/>
  <c r="BB15" i="6" a="1"/>
  <c r="BE10" i="6" a="1"/>
  <c r="BD35" i="6" a="1"/>
  <c r="BA15" i="6" a="1"/>
  <c r="AZ15" i="6" a="1"/>
  <c r="BB35" i="6" a="1"/>
  <c r="BE40" i="6" a="1"/>
  <c r="BD40" i="6" a="1"/>
  <c r="BC35" i="6" a="1"/>
  <c r="BC20" i="6" a="1"/>
  <c r="BF30" i="6" a="1"/>
  <c r="BC40" i="6" a="1"/>
  <c r="BE15" i="6" a="1"/>
  <c r="BD10" i="6" a="1"/>
  <c r="BA5" i="6" a="1"/>
  <c r="BF25" i="6" a="1"/>
  <c r="BA35" i="6" a="1"/>
  <c r="BB20" i="6" a="1"/>
  <c r="BE30" i="6" a="1"/>
  <c r="BB40" i="6" a="1"/>
  <c r="BF15" i="6" a="1"/>
  <c r="BC10" i="6" a="1"/>
  <c r="AZ5" i="6" a="1"/>
  <c r="BD30" i="6" a="1"/>
  <c r="BD15" i="6" a="1"/>
  <c r="BE25" i="6" a="1"/>
  <c r="BF35" i="6" a="1"/>
  <c r="BC30" i="6" a="1"/>
  <c r="BC15" i="6" a="1"/>
  <c r="BD25" i="6" a="1"/>
  <c r="BD20" i="6" a="1"/>
  <c r="BF40" i="6" a="1"/>
  <c r="BC25" i="6" a="1"/>
  <c r="AZ30" i="6" a="1"/>
  <c r="AZ10" i="6" a="1"/>
  <c r="BF10" i="6" a="1"/>
  <c r="BE20" i="6" a="1"/>
  <c r="AZ25" i="6" a="1"/>
  <c r="BC15" i="5" a="1"/>
  <c r="AZ40" i="5" a="1"/>
  <c r="BA20" i="5" a="1"/>
  <c r="BF20" i="5" a="1"/>
  <c r="BB20" i="5" a="1"/>
  <c r="BE30" i="5" a="1"/>
  <c r="BD25" i="5" a="1"/>
  <c r="BC25" i="5" a="1"/>
  <c r="AZ5" i="5" a="1"/>
  <c r="BF40" i="5" a="1"/>
  <c r="BD30" i="5" a="1"/>
  <c r="BD5" i="5" a="1"/>
  <c r="BC35" i="5" a="1"/>
  <c r="BC10" i="5" a="1"/>
  <c r="BD40" i="5" a="1"/>
  <c r="BE20" i="5" a="1"/>
  <c r="BF35" i="5" a="1"/>
  <c r="BE5" i="5" a="1"/>
  <c r="BB5" i="5" a="1"/>
  <c r="BC40" i="5" a="1"/>
  <c r="AZ15" i="5" a="1"/>
  <c r="BE25" i="5" a="1"/>
  <c r="BF10" i="5" a="1"/>
  <c r="BB10" i="5" a="1"/>
  <c r="AZ30" i="5" a="1"/>
  <c r="AZ10" i="5" a="1"/>
  <c r="BB15" i="5" a="1"/>
  <c r="BA40" i="5" a="1"/>
  <c r="BA15" i="5" a="1"/>
  <c r="BA5" i="5" a="1"/>
  <c r="BC30" i="5" a="1"/>
  <c r="BD20" i="5" a="1"/>
  <c r="BF25" i="5" a="1"/>
  <c r="BA25" i="5" a="1"/>
  <c r="BB35" i="5" a="1"/>
  <c r="BA30" i="5" a="1"/>
  <c r="BE15" i="5" a="1"/>
  <c r="BD10" i="5" a="1"/>
  <c r="BE40" i="5" a="1"/>
  <c r="BD15" i="5" a="1"/>
  <c r="BB30" i="5" a="1"/>
  <c r="BE35" i="5" a="1"/>
  <c r="BF30" i="5" a="1"/>
  <c r="BB25" i="5" a="1"/>
  <c r="BA10" i="5" a="1"/>
  <c r="BF15" i="5" a="1"/>
  <c r="BF5" i="5" a="1"/>
  <c r="BC20" i="5" a="1"/>
  <c r="BE10" i="5" a="1"/>
  <c r="AZ20" i="5" a="1"/>
  <c r="BB40" i="5" a="1"/>
  <c r="BD35" i="5" a="1"/>
  <c r="BC5" i="5" a="1"/>
  <c r="AZ35" i="5" a="1"/>
  <c r="BA35" i="5" a="1"/>
  <c r="AZ25" i="5" a="1"/>
  <c r="BI46" i="6" l="1"/>
  <c r="BI52" i="5"/>
  <c r="BH51" i="5"/>
  <c r="BM46" i="6"/>
  <c r="BM52" i="5"/>
  <c r="BI51" i="5"/>
  <c r="BM50" i="5"/>
  <c r="BH46" i="6"/>
  <c r="BM47" i="6"/>
  <c r="BM45" i="6"/>
  <c r="BI47" i="6"/>
  <c r="BH48" i="6"/>
  <c r="BI45" i="6"/>
  <c r="BH47" i="6"/>
  <c r="BI54" i="5"/>
  <c r="BI50" i="5"/>
  <c r="BH52" i="5"/>
  <c r="BM54" i="5"/>
  <c r="BH54" i="5"/>
  <c r="AZ25" i="6"/>
  <c r="J8" i="7" s="1"/>
  <c r="BE20" i="6"/>
  <c r="O7" i="7" s="1"/>
  <c r="BF10" i="6"/>
  <c r="P5" i="7" s="1"/>
  <c r="AZ10" i="6"/>
  <c r="J5" i="7" s="1"/>
  <c r="AZ30" i="6"/>
  <c r="J9" i="7" s="1"/>
  <c r="BC25" i="6"/>
  <c r="M8" i="7" s="1"/>
  <c r="BF40" i="6"/>
  <c r="P11" i="7" s="1"/>
  <c r="BD20" i="6"/>
  <c r="N7" i="7" s="1"/>
  <c r="BD25" i="6"/>
  <c r="N8" i="7" s="1"/>
  <c r="BC15" i="6"/>
  <c r="M6" i="7" s="1"/>
  <c r="BC30" i="6"/>
  <c r="M9" i="7" s="1"/>
  <c r="BF35" i="6"/>
  <c r="P10" i="7" s="1"/>
  <c r="BE25" i="6"/>
  <c r="O8" i="7" s="1"/>
  <c r="BD15" i="6"/>
  <c r="N6" i="7" s="1"/>
  <c r="BD30" i="6"/>
  <c r="N9" i="7" s="1"/>
  <c r="AZ5" i="6"/>
  <c r="BC10" i="6"/>
  <c r="M5" i="7" s="1"/>
  <c r="BF15" i="6"/>
  <c r="P6" i="7" s="1"/>
  <c r="BB40" i="6"/>
  <c r="L11" i="7" s="1"/>
  <c r="BE30" i="6"/>
  <c r="O9" i="7" s="1"/>
  <c r="BB20" i="6"/>
  <c r="L7" i="7" s="1"/>
  <c r="BA35" i="6"/>
  <c r="K10" i="7" s="1"/>
  <c r="BF25" i="6"/>
  <c r="P8" i="7" s="1"/>
  <c r="BA5" i="6"/>
  <c r="BD10" i="6"/>
  <c r="N5" i="7" s="1"/>
  <c r="BE15" i="6"/>
  <c r="O6" i="7" s="1"/>
  <c r="BC40" i="6"/>
  <c r="M11" i="7" s="1"/>
  <c r="BF30" i="6"/>
  <c r="P9" i="7" s="1"/>
  <c r="BC20" i="6"/>
  <c r="M7" i="7" s="1"/>
  <c r="BC35" i="6"/>
  <c r="M10" i="7" s="1"/>
  <c r="BD40" i="6"/>
  <c r="N11" i="7" s="1"/>
  <c r="BE40" i="6"/>
  <c r="O11" i="7" s="1"/>
  <c r="BB35" i="6"/>
  <c r="L10" i="7" s="1"/>
  <c r="AZ15" i="6"/>
  <c r="J6" i="7" s="1"/>
  <c r="BA15" i="6"/>
  <c r="K6" i="7" s="1"/>
  <c r="BD35" i="6"/>
  <c r="N10" i="7" s="1"/>
  <c r="BE10" i="6"/>
  <c r="O5" i="7" s="1"/>
  <c r="BB15" i="6"/>
  <c r="L6" i="7" s="1"/>
  <c r="BB30" i="6"/>
  <c r="L9" i="7" s="1"/>
  <c r="BB5" i="6"/>
  <c r="BA25" i="6"/>
  <c r="K8" i="7" s="1"/>
  <c r="BB25" i="6"/>
  <c r="L8" i="7" s="1"/>
  <c r="BF5" i="6"/>
  <c r="BF45" i="6" s="1"/>
  <c r="I33" i="1" s="1"/>
  <c r="P13" i="7" s="1"/>
  <c r="BA30" i="6"/>
  <c r="K9" i="7" s="1"/>
  <c r="BC5" i="6"/>
  <c r="M4" i="7" s="1"/>
  <c r="BD5" i="6"/>
  <c r="N4" i="7" s="1"/>
  <c r="BF20" i="6"/>
  <c r="P7" i="7" s="1"/>
  <c r="BA10" i="6"/>
  <c r="K5" i="7" s="1"/>
  <c r="BE35" i="6"/>
  <c r="O10" i="7" s="1"/>
  <c r="BE5" i="6"/>
  <c r="AZ40" i="6"/>
  <c r="J11" i="7" s="1"/>
  <c r="AZ20" i="6"/>
  <c r="J7" i="7" s="1"/>
  <c r="BB10" i="6"/>
  <c r="L5" i="7" s="1"/>
  <c r="BA40" i="6"/>
  <c r="K11" i="7" s="1"/>
  <c r="BA20" i="6"/>
  <c r="K7" i="7" s="1"/>
  <c r="AZ35" i="6"/>
  <c r="J10" i="7" s="1"/>
  <c r="BM48" i="6"/>
  <c r="BI48" i="6"/>
  <c r="BH45" i="6"/>
  <c r="AZ25" i="5"/>
  <c r="C8" i="7" s="1"/>
  <c r="BA35" i="5"/>
  <c r="D10" i="7" s="1"/>
  <c r="AZ35" i="5"/>
  <c r="C10" i="7" s="1"/>
  <c r="BC5" i="5"/>
  <c r="BD35" i="5"/>
  <c r="G10" i="7" s="1"/>
  <c r="BB40" i="5"/>
  <c r="E11" i="7" s="1"/>
  <c r="AZ20" i="5"/>
  <c r="C7" i="7" s="1"/>
  <c r="BE10" i="5"/>
  <c r="H5" i="7" s="1"/>
  <c r="BC20" i="5"/>
  <c r="F7" i="7" s="1"/>
  <c r="BF5" i="5"/>
  <c r="I4" i="7" s="1"/>
  <c r="BF15" i="5"/>
  <c r="I6" i="7" s="1"/>
  <c r="BA10" i="5"/>
  <c r="D5" i="7" s="1"/>
  <c r="BB25" i="5"/>
  <c r="E8" i="7" s="1"/>
  <c r="BF30" i="5"/>
  <c r="I9" i="7" s="1"/>
  <c r="BE35" i="5"/>
  <c r="H10" i="7" s="1"/>
  <c r="BB30" i="5"/>
  <c r="E9" i="7" s="1"/>
  <c r="BD15" i="5"/>
  <c r="G6" i="7" s="1"/>
  <c r="BE40" i="5"/>
  <c r="H11" i="7" s="1"/>
  <c r="BD10" i="5"/>
  <c r="G5" i="7" s="1"/>
  <c r="BE15" i="5"/>
  <c r="H6" i="7" s="1"/>
  <c r="BA30" i="5"/>
  <c r="D9" i="7" s="1"/>
  <c r="BB35" i="5"/>
  <c r="E10" i="7" s="1"/>
  <c r="BA25" i="5"/>
  <c r="D8" i="7" s="1"/>
  <c r="BF25" i="5"/>
  <c r="I8" i="7" s="1"/>
  <c r="BD20" i="5"/>
  <c r="G7" i="7" s="1"/>
  <c r="BC30" i="5"/>
  <c r="F9" i="7" s="1"/>
  <c r="BA5" i="5"/>
  <c r="D4" i="7" s="1"/>
  <c r="BA15" i="5"/>
  <c r="D6" i="7" s="1"/>
  <c r="BA40" i="5"/>
  <c r="D11" i="7" s="1"/>
  <c r="BB15" i="5"/>
  <c r="E6" i="7" s="1"/>
  <c r="AZ10" i="5"/>
  <c r="C5" i="7" s="1"/>
  <c r="AZ30" i="5"/>
  <c r="C9" i="7" s="1"/>
  <c r="BB10" i="5"/>
  <c r="E5" i="7" s="1"/>
  <c r="BF10" i="5"/>
  <c r="I5" i="7" s="1"/>
  <c r="BE25" i="5"/>
  <c r="H8" i="7" s="1"/>
  <c r="AZ15" i="5"/>
  <c r="C6" i="7" s="1"/>
  <c r="BC40" i="5"/>
  <c r="F11" i="7" s="1"/>
  <c r="BB5" i="5"/>
  <c r="E4" i="7" s="1"/>
  <c r="BE5" i="5"/>
  <c r="H4" i="7" s="1"/>
  <c r="BF35" i="5"/>
  <c r="I10" i="7" s="1"/>
  <c r="BE20" i="5"/>
  <c r="H7" i="7" s="1"/>
  <c r="BD40" i="5"/>
  <c r="G11" i="7" s="1"/>
  <c r="BC10" i="5"/>
  <c r="F5" i="7" s="1"/>
  <c r="BC35" i="5"/>
  <c r="F10" i="7" s="1"/>
  <c r="BD5" i="5"/>
  <c r="G4" i="7" s="1"/>
  <c r="BD30" i="5"/>
  <c r="G9" i="7" s="1"/>
  <c r="BF40" i="5"/>
  <c r="I11" i="7" s="1"/>
  <c r="AZ5" i="5"/>
  <c r="BC25" i="5"/>
  <c r="F8" i="7" s="1"/>
  <c r="BD25" i="5"/>
  <c r="G8" i="7" s="1"/>
  <c r="BE30" i="5"/>
  <c r="H9" i="7" s="1"/>
  <c r="BB20" i="5"/>
  <c r="E7" i="7" s="1"/>
  <c r="BF20" i="5"/>
  <c r="I7" i="7" s="1"/>
  <c r="BA20" i="5"/>
  <c r="D7" i="7" s="1"/>
  <c r="AZ40" i="5"/>
  <c r="C11" i="7" s="1"/>
  <c r="BC15" i="5"/>
  <c r="F6" i="7" s="1"/>
  <c r="BM51" i="5"/>
  <c r="V18" i="3"/>
  <c r="C13" i="1" s="1"/>
  <c r="V14" i="3"/>
  <c r="C9" i="1" s="1"/>
  <c r="V16" i="3"/>
  <c r="C11" i="1" s="1"/>
  <c r="BD51" i="5" l="1"/>
  <c r="G21" i="1" s="1"/>
  <c r="G14" i="7" s="1"/>
  <c r="BC50" i="5"/>
  <c r="F20" i="1" s="1"/>
  <c r="F13" i="7" s="1"/>
  <c r="BF50" i="5"/>
  <c r="I20" i="1" s="1"/>
  <c r="I13" i="7" s="1"/>
  <c r="AZ50" i="5"/>
  <c r="C20" i="1" s="1"/>
  <c r="C13" i="7" s="1"/>
  <c r="BA47" i="6"/>
  <c r="D35" i="1" s="1"/>
  <c r="K15" i="7" s="1"/>
  <c r="BC47" i="6"/>
  <c r="F35" i="1" s="1"/>
  <c r="M15" i="7" s="1"/>
  <c r="BB47" i="6"/>
  <c r="E35" i="1" s="1"/>
  <c r="L15" i="7" s="1"/>
  <c r="BE48" i="6"/>
  <c r="H37" i="1" s="1"/>
  <c r="O17" i="7" s="1"/>
  <c r="P4" i="7"/>
  <c r="AZ46" i="6"/>
  <c r="C34" i="1" s="1"/>
  <c r="J14" i="7" s="1"/>
  <c r="BB48" i="6"/>
  <c r="E37" i="1" s="1"/>
  <c r="L17" i="7" s="1"/>
  <c r="BA48" i="6"/>
  <c r="D37" i="1" s="1"/>
  <c r="K17" i="7" s="1"/>
  <c r="BA46" i="6"/>
  <c r="D34" i="1" s="1"/>
  <c r="K14" i="7" s="1"/>
  <c r="L4" i="7"/>
  <c r="AZ47" i="6"/>
  <c r="C35" i="1" s="1"/>
  <c r="J15" i="7" s="1"/>
  <c r="BC45" i="6"/>
  <c r="F33" i="1" s="1"/>
  <c r="M13" i="7" s="1"/>
  <c r="BE45" i="6"/>
  <c r="H33" i="1" s="1"/>
  <c r="O13" i="7" s="1"/>
  <c r="BC46" i="6"/>
  <c r="F34" i="1" s="1"/>
  <c r="M14" i="7" s="1"/>
  <c r="BF47" i="6"/>
  <c r="I35" i="1" s="1"/>
  <c r="P15" i="7" s="1"/>
  <c r="BB46" i="6"/>
  <c r="E34" i="1" s="1"/>
  <c r="L14" i="7" s="1"/>
  <c r="BA50" i="5"/>
  <c r="D20" i="1" s="1"/>
  <c r="D13" i="7" s="1"/>
  <c r="BE50" i="5"/>
  <c r="H20" i="1" s="1"/>
  <c r="H13" i="7" s="1"/>
  <c r="BC54" i="5"/>
  <c r="F24" i="1" s="1"/>
  <c r="F17" i="7" s="1"/>
  <c r="AZ52" i="5"/>
  <c r="C22" i="1" s="1"/>
  <c r="C15" i="7" s="1"/>
  <c r="AZ54" i="5"/>
  <c r="C24" i="1" s="1"/>
  <c r="C17" i="7" s="1"/>
  <c r="C4" i="7"/>
  <c r="BE52" i="5"/>
  <c r="H22" i="1" s="1"/>
  <c r="H15" i="7" s="1"/>
  <c r="F4" i="7"/>
  <c r="BE47" i="6"/>
  <c r="H35" i="1" s="1"/>
  <c r="O15" i="7" s="1"/>
  <c r="AZ48" i="6"/>
  <c r="C37" i="1" s="1"/>
  <c r="J17" i="7" s="1"/>
  <c r="BE46" i="6"/>
  <c r="H34" i="1" s="1"/>
  <c r="O14" i="7" s="1"/>
  <c r="BF48" i="6"/>
  <c r="I37" i="1" s="1"/>
  <c r="P17" i="7" s="1"/>
  <c r="BD47" i="6"/>
  <c r="G35" i="1" s="1"/>
  <c r="N15" i="7" s="1"/>
  <c r="BD46" i="6"/>
  <c r="G34" i="1" s="1"/>
  <c r="N14" i="7" s="1"/>
  <c r="BB45" i="6"/>
  <c r="E33" i="1" s="1"/>
  <c r="L13" i="7" s="1"/>
  <c r="O4" i="7"/>
  <c r="BD45" i="6"/>
  <c r="G33" i="1" s="1"/>
  <c r="N13" i="7" s="1"/>
  <c r="BD48" i="6"/>
  <c r="G37" i="1" s="1"/>
  <c r="N17" i="7" s="1"/>
  <c r="BC48" i="6"/>
  <c r="F37" i="1" s="1"/>
  <c r="M17" i="7" s="1"/>
  <c r="BF46" i="6"/>
  <c r="I34" i="1" s="1"/>
  <c r="P14" i="7" s="1"/>
  <c r="BD50" i="5"/>
  <c r="G20" i="1" s="1"/>
  <c r="G13" i="7" s="1"/>
  <c r="BD54" i="5"/>
  <c r="G24" i="1" s="1"/>
  <c r="G17" i="7" s="1"/>
  <c r="BF51" i="5"/>
  <c r="I21" i="1" s="1"/>
  <c r="I14" i="7" s="1"/>
  <c r="BE51" i="5"/>
  <c r="H21" i="1" s="1"/>
  <c r="H14" i="7" s="1"/>
  <c r="BD52" i="5"/>
  <c r="G22" i="1" s="1"/>
  <c r="G15" i="7" s="1"/>
  <c r="BA51" i="5"/>
  <c r="D21" i="1" s="1"/>
  <c r="D14" i="7" s="1"/>
  <c r="BF54" i="5"/>
  <c r="I24" i="1" s="1"/>
  <c r="I17" i="7" s="1"/>
  <c r="BB50" i="5"/>
  <c r="E20" i="1" s="1"/>
  <c r="E13" i="7" s="1"/>
  <c r="BB52" i="5"/>
  <c r="E22" i="1" s="1"/>
  <c r="E15" i="7" s="1"/>
  <c r="BA52" i="5"/>
  <c r="D22" i="1" s="1"/>
  <c r="D15" i="7" s="1"/>
  <c r="BC52" i="5"/>
  <c r="F22" i="1" s="1"/>
  <c r="F15" i="7" s="1"/>
  <c r="BE54" i="5"/>
  <c r="H24" i="1" s="1"/>
  <c r="H17" i="7" s="1"/>
  <c r="BF52" i="5"/>
  <c r="I22" i="1" s="1"/>
  <c r="I15" i="7" s="1"/>
  <c r="BB54" i="5"/>
  <c r="E24" i="1" s="1"/>
  <c r="E17" i="7" s="1"/>
  <c r="BB51" i="5"/>
  <c r="E21" i="1" s="1"/>
  <c r="E14" i="7" s="1"/>
  <c r="AZ51" i="5"/>
  <c r="C21" i="1" s="1"/>
  <c r="C14" i="7" s="1"/>
  <c r="BC51" i="5"/>
  <c r="F21" i="1" s="1"/>
  <c r="F14" i="7" s="1"/>
  <c r="BA54" i="5"/>
  <c r="D24" i="1" s="1"/>
  <c r="D17" i="7" s="1"/>
  <c r="C12" i="1"/>
  <c r="K4" i="7"/>
  <c r="BA45" i="6"/>
  <c r="D33" i="1" s="1"/>
  <c r="K13" i="7" s="1"/>
  <c r="J4" i="7"/>
  <c r="AZ45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<sst xmlns="http://schemas.openxmlformats.org/spreadsheetml/2006/main" count="988" uniqueCount="442">
  <si>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</si>
  <si>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</si>
  <si>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</si>
  <si>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</si>
  <si>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</si>
  <si>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</si>
  <si>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</si>
  <si>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</si>
  <si>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</si>
  <si>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</si>
  <si>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</si>
  <si>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</si>
  <si>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</si>
  <si>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</si>
  <si>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</si>
  <si>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</si>
  <si>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</si>
  <si>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</si>
  <si>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</si>
  <si>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</si>
  <si>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</si>
  <si>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</si>
  <si>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</si>
  <si>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</si>
  <si>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</si>
  <si>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</si>
  <si>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</si>
  <si>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</si>
  <si>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</si>
  <si>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</si>
  <si>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</si>
  <si>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</si>
  <si>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</si>
  <si>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</si>
  <si>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</si>
  <si>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</si>
  <si>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</si>
  <si>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</si>
  <si>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</si>
  <si>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</si>
  <si>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</si>
  <si>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</si>
  <si>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</si>
  <si>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</si>
  <si>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</si>
  <si>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</si>
  <si>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</si>
  <si>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</si>
  <si>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</si>
  <si>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</si>
  <si>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</si>
  <si>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</si>
  <si>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</si>
  <si>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</si>
  <si>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</si>
  <si>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</si>
  <si>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</si>
  <si>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</si>
  <si>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</si>
  <si>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</si>
  <si>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</si>
  <si>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</si>
  <si>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</si>
  <si>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</si>
  <si>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</si>
  <si>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</si>
  <si>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</si>
  <si>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</si>
  <si>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</si>
  <si>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</si>
  <si>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</si>
  <si>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</si>
  <si>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</si>
  <si>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</si>
  <si>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</si>
  <si>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</si>
  <si>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</si>
  <si>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</si>
  <si>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</si>
  <si>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</si>
  <si>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</si>
  <si>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</si>
  <si>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</si>
  <si>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</si>
  <si>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</si>
  <si>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</si>
  <si>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</si>
  <si>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</si>
  <si>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</si>
  <si>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</si>
  <si>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</si>
  <si>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</si>
  <si>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</si>
  <si>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</si>
  <si>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</si>
  <si>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</si>
  <si>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</si>
  <si>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</si>
  <si>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</si>
  <si>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</si>
  <si>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</si>
  <si>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</si>
  <si>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</si>
  <si>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</si>
  <si>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</si>
  <si>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</si>
  <si>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</si>
  <si>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</si>
  <si>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</si>
  <si>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</si>
  <si>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</si>
  <si>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</si>
  <si>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</si>
  <si>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</si>
  <si>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</si>
  <si>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</si>
  <si>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</si>
  <si>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</si>
  <si>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</si>
  <si>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</si>
  <si>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</si>
  <si>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</si>
  <si>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</si>
  <si>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</si>
  <si>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</si>
  <si>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</si>
  <si>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</si>
  <si>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</si>
  <si>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</si>
  <si>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</si>
  <si>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</si>
  <si>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</si>
  <si>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</si>
  <si>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</si>
  <si>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</si>
  <si>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</si>
  <si>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</si>
  <si>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</si>
  <si>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</si>
  <si>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</si>
  <si>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</si>
  <si>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</si>
  <si>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</si>
  <si>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</si>
  <si>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</si>
  <si>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</si>
  <si>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</si>
  <si>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</si>
  <si>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</si>
  <si>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</si>
  <si>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</si>
  <si>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</si>
  <si>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</si>
  <si>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</si>
  <si>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</si>
  <si>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</si>
  <si>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</si>
  <si>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</si>
  <si>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</si>
  <si>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</si>
  <si>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</si>
  <si>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</si>
  <si>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</si>
  <si>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</si>
  <si>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</si>
  <si>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</si>
  <si>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</si>
  <si>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</si>
  <si>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</si>
  <si>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</si>
  <si>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</si>
  <si>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</si>
  <si>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</si>
  <si>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</si>
  <si>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</si>
  <si>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</si>
  <si>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</si>
  <si>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</si>
  <si>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</si>
  <si>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</si>
  <si>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</si>
  <si>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</si>
  <si>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</si>
  <si>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</si>
  <si>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</si>
  <si>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</si>
  <si>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</si>
  <si>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</si>
  <si>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</si>
  <si>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</si>
  <si>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</si>
  <si>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</si>
  <si>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</si>
  <si>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</si>
  <si>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</si>
  <si>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</si>
  <si>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</si>
  <si>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</si>
  <si>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</si>
  <si>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</si>
  <si>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</si>
  <si>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</si>
  <si>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</si>
  <si>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</si>
  <si>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</si>
  <si>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</si>
  <si>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</si>
  <si>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</si>
  <si>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</si>
  <si>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</si>
  <si>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</si>
  <si>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</si>
  <si>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</si>
  <si>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</si>
  <si>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</si>
  <si>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</si>
  <si>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</si>
  <si>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</si>
  <si>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</si>
  <si>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</si>
  <si>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</si>
  <si>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</si>
  <si>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</si>
  <si>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</si>
  <si>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</si>
  <si>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</si>
  <si>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</si>
  <si>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</si>
  <si>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</si>
  <si>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</si>
  <si>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</si>
  <si>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</si>
  <si>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</si>
  <si>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</si>
  <si>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</si>
  <si>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</si>
  <si>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</si>
  <si>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</si>
  <si>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</si>
  <si>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</si>
  <si>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</si>
  <si>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</si>
  <si>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</si>
  <si>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</si>
  <si>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</si>
  <si>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</si>
  <si>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</si>
  <si>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</si>
  <si>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</si>
  <si>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</si>
  <si>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</si>
  <si>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</si>
  <si>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</si>
  <si>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</si>
  <si>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</si>
  <si>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</si>
  <si>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</si>
  <si>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</si>
  <si>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</si>
  <si>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</si>
  <si>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</si>
  <si>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</si>
  <si>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</si>
  <si>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</si>
  <si>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</si>
  <si>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</si>
  <si>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</si>
  <si>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</si>
  <si>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</si>
  <si>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</si>
  <si>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</si>
  <si>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</si>
  <si>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</si>
  <si>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</si>
  <si>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</si>
  <si>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</si>
  <si>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</si>
  <si>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</si>
  <si>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</si>
  <si>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</si>
  <si>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</si>
  <si>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</si>
  <si>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</si>
  <si>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</si>
  <si>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</si>
  <si>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</si>
  <si>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</si>
  <si>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</si>
  <si>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</si>
  <si>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</si>
  <si>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</si>
  <si>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</si>
  <si>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</si>
  <si>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</si>
  <si>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</si>
  <si>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</si>
  <si>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</si>
  <si>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</si>
  <si>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</si>
  <si>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</si>
  <si>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</si>
  <si>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</si>
  <si>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</si>
  <si>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</si>
  <si>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</si>
  <si>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</si>
  <si>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</si>
  <si>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</si>
  <si>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</si>
  <si>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</si>
  <si>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</si>
  <si>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</si>
  <si>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</si>
  <si>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</si>
  <si>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</si>
  <si>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</si>
  <si>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</si>
  <si>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</si>
  <si>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</si>
  <si>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</si>
  <si>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</si>
  <si>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</si>
  <si>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</si>
  <si>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</si>
  <si>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</si>
  <si>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</si>
  <si>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</si>
  <si>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</si>
  <si>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</si>
  <si>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</si>
  <si>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</si>
  <si>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</si>
  <si>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</si>
  <si>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</si>
  <si>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</si>
  <si>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</si>
  <si>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</si>
  <si>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</si>
  <si>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</si>
  <si>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</si>
  <si>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</si>
  <si>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</si>
  <si>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</si>
  <si>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</si>
  <si>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</si>
  <si>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</si>
  <si>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</si>
  <si>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</si>
  <si>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</si>
  <si>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</si>
  <si>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</si>
  <si>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</si>
  <si>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</si>
  <si>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</si>
  <si>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</si>
  <si>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</si>
  <si>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</si>
  <si>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</si>
  <si>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</si>
  <si>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</si>
  <si>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</si>
  <si>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</si>
  <si>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</si>
  <si>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</si>
  <si>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</si>
  <si>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</si>
  <si>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</si>
  <si>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</si>
  <si>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</si>
  <si>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</si>
  <si>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</si>
  <si>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</si>
  <si>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</si>
  <si>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</si>
  <si>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</si>
  <si>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</si>
  <si>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</si>
  <si>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</si>
  <si>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</si>
  <si>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</si>
  <si>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</si>
  <si>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</si>
  <si>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</si>
  <si>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</si>
  <si>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</si>
  <si>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</si>
  <si>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</si>
  <si>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</si>
  <si>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</si>
  <si>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</si>
  <si>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</si>
  <si>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</si>
  <si>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</si>
  <si>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</si>
  <si>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</si>
  <si>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</si>
  <si>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</si>
  <si>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</si>
  <si>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</si>
  <si>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</si>
  <si>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</si>
  <si>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</si>
  <si>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</si>
  <si>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</si>
  <si>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</si>
  <si>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</si>
  <si>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</si>
  <si>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</si>
  <si>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</si>
  <si>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</si>
  <si>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</si>
  <si>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</si>
  <si>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</si>
  <si>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</si>
  <si>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</si>
  <si>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</si>
  <si>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</si>
  <si>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</si>
  <si>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</si>
  <si>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</si>
  <si>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</si>
  <si>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</si>
  <si>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</si>
  <si>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</si>
  <si>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</si>
  <si>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</si>
  <si>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</si>
  <si>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</si>
  <si>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</si>
  <si>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</si>
  <si>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</si>
  <si>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</si>
  <si>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</si>
  <si>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</si>
  <si>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</si>
  <si>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</si>
  <si>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</si>
  <si>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</si>
  <si>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F300_v9.0</t>
    <phoneticPr fontId="2" type="noConversion"/>
  </si>
  <si>
    <t>F300_v9.0</t>
    <phoneticPr fontId="2" type="noConversion"/>
  </si>
  <si>
    <t>F300_v9.0</t>
    <phoneticPr fontId="2" type="noConversion"/>
  </si>
  <si>
    <t>F300_v9.0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</si>
</sst>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9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74.524426899999995</c:v>
                </c:pt>
                <c:pt idx="1">
                  <c:v>75.687530499999994</c:v>
                </c:pt>
                <c:pt idx="2">
                  <c:v>77.288102699999996</c:v>
                </c:pt>
                <c:pt idx="3">
                  <c:v>78.687753099999995</c:v>
                </c:pt>
                <c:pt idx="4">
                  <c:v>80.405805299999997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5098896"/>
        <c:axId val="-1667619712"/>
      </c:scatterChart>
      <c:valAx>
        <c:axId val="-166509889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7619712"/>
        <c:crosses val="autoZero"/>
        <c:crossBetween val="midCat"/>
      </c:valAx>
      <c:valAx>
        <c:axId val="-166761971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50988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77.986673800000005</c:v>
                </c:pt>
                <c:pt idx="2">
                  <c:v>79.929790100000005</c:v>
                </c:pt>
                <c:pt idx="3">
                  <c:v>81.812540100000007</c:v>
                </c:pt>
                <c:pt idx="4">
                  <c:v>84.458735300000001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7033376"/>
        <c:axId val="-1667744416"/>
      </c:scatterChart>
      <c:valAx>
        <c:axId val="-16670333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7744416"/>
        <c:crosses val="autoZero"/>
        <c:crossBetween val="midCat"/>
      </c:valAx>
      <c:valAx>
        <c:axId val="-166774441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7033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54.122185100000003</c:v>
                </c:pt>
                <c:pt idx="1">
                  <c:v>54.831061499999997</c:v>
                </c:pt>
                <c:pt idx="2">
                  <c:v>55.7650285</c:v>
                </c:pt>
                <c:pt idx="3">
                  <c:v>56.752282999999998</c:v>
                </c:pt>
                <c:pt idx="4">
                  <c:v>57.884126000000002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7785376"/>
        <c:axId val="-1661940912"/>
      </c:scatterChart>
      <c:valAx>
        <c:axId val="-16677853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1940912"/>
        <c:crosses val="autoZero"/>
        <c:crossBetween val="midCat"/>
      </c:valAx>
      <c:valAx>
        <c:axId val="-166194091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7785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30.238096599999999</c:v>
                </c:pt>
                <c:pt idx="1">
                  <c:v>31.157793900000001</c:v>
                </c:pt>
                <c:pt idx="2">
                  <c:v>31.751473900000001</c:v>
                </c:pt>
                <c:pt idx="3">
                  <c:v>32.306105199999998</c:v>
                </c:pt>
                <c:pt idx="4">
                  <c:v>33.127863400000003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57232"/>
        <c:axId val="-1661953968"/>
      </c:scatterChart>
      <c:valAx>
        <c:axId val="-166195723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1953968"/>
        <c:crosses val="autoZero"/>
        <c:crossBetween val="midCat"/>
      </c:valAx>
      <c:valAx>
        <c:axId val="-166195396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19572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41.188856000000001</c:v>
                </c:pt>
                <c:pt idx="1">
                  <c:v>42.283162599999997</c:v>
                </c:pt>
                <c:pt idx="2">
                  <c:v>44.319451600000001</c:v>
                </c:pt>
                <c:pt idx="3">
                  <c:v>44.626617199999998</c:v>
                </c:pt>
                <c:pt idx="4">
                  <c:v>45.293516500000003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40368"/>
        <c:axId val="-1661938192"/>
      </c:scatterChart>
      <c:valAx>
        <c:axId val="-166194036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1938192"/>
        <c:crosses val="autoZero"/>
        <c:crossBetween val="midCat"/>
      </c:valAx>
      <c:valAx>
        <c:axId val="-16619381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19403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39.595556700000003</c:v>
                </c:pt>
                <c:pt idx="1">
                  <c:v>40.591721100000001</c:v>
                </c:pt>
                <c:pt idx="2">
                  <c:v>43.1361816</c:v>
                </c:pt>
                <c:pt idx="3">
                  <c:v>43.605740500000003</c:v>
                </c:pt>
                <c:pt idx="4">
                  <c:v>44.381829199999999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53424"/>
        <c:axId val="-1661947984"/>
      </c:scatterChart>
      <c:valAx>
        <c:axId val="-166195342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1947984"/>
        <c:crosses val="autoZero"/>
        <c:crossBetween val="midCat"/>
      </c:valAx>
      <c:valAx>
        <c:axId val="-166194798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1953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4.2307199999999998</c:v>
                </c:pt>
                <c:pt idx="1">
                  <c:v>6.4752000000000001</c:v>
                </c:pt>
                <c:pt idx="2">
                  <c:v>10.710240000000001</c:v>
                </c:pt>
                <c:pt idx="3">
                  <c:v>14.266080000000001</c:v>
                </c:pt>
                <c:pt idx="4">
                  <c:v>22.335360000000001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29.431978399999998</c:v>
                </c:pt>
                <c:pt idx="1">
                  <c:v>29.977537999999999</c:v>
                </c:pt>
                <c:pt idx="2">
                  <c:v>31.127217000000002</c:v>
                </c:pt>
                <c:pt idx="3">
                  <c:v>31.7123879</c:v>
                </c:pt>
                <c:pt idx="4">
                  <c:v>32.596452999999997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44176"/>
        <c:axId val="-1661943632"/>
      </c:scatterChart>
      <c:valAx>
        <c:axId val="-16619441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1661943632"/>
        <c:crosses val="autoZero"/>
        <c:crossBetween val="midCat"/>
      </c:valAx>
      <c:valAx>
        <c:axId val="-166194363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16619441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D3" sqref="D3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21" t="s">
        <v>438</v>
      </c>
      <c r="D1" s="121"/>
      <c r="E1" s="121"/>
    </row>
    <row r="2" spans="2:5" x14ac:dyDescent="0.15">
      <c r="B2" t="s">
        <v>1</v>
      </c>
      <c r="C2" s="122"/>
      <c r="D2" s="122"/>
      <c r="E2" s="122"/>
    </row>
    <row r="4" spans="2:5" s="1" customFormat="1" x14ac:dyDescent="0.15">
      <c r="B4" s="1" t="s">
        <v>2</v>
      </c>
    </row>
    <row r="6" spans="2:5" ht="45" customHeight="1" x14ac:dyDescent="0.15">
      <c r="B6" s="116" t="s">
        <v>3</v>
      </c>
      <c r="C6" s="2" t="s">
        <v>4</v>
      </c>
    </row>
    <row r="7" spans="2:5" x14ac:dyDescent="0.15">
      <c r="B7" s="113"/>
      <c r="C7" s="3" t="s">
        <v>5</v>
      </c>
    </row>
    <row r="8" spans="2:5" x14ac:dyDescent="0.15">
      <c r="B8" s="115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 t="e">
        <f>'C0 lossless AI'!S20</f>
        <v>#DIV/0!</v>
      </c>
    </row>
    <row r="15" spans="2:5" x14ac:dyDescent="0.15">
      <c r="B15" s="9" t="s">
        <v>12</v>
      </c>
      <c r="C15" s="10" t="e">
        <f>'C0 lossless AI'!T20</f>
        <v>#DIV/0!</v>
      </c>
    </row>
    <row r="17" spans="2:9" x14ac:dyDescent="0.15">
      <c r="B17" s="116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3"/>
      <c r="C18" s="119" t="s">
        <v>15</v>
      </c>
      <c r="D18" s="113"/>
      <c r="E18" s="113"/>
      <c r="F18" s="113"/>
      <c r="G18" s="113"/>
      <c r="H18" s="120" t="s">
        <v>16</v>
      </c>
      <c r="I18" s="113"/>
    </row>
    <row r="19" spans="2:9" x14ac:dyDescent="0.15">
      <c r="B19" s="115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12">
        <f>'C1 lossy AI'!AW56</f>
        <v>0</v>
      </c>
      <c r="D25" s="113"/>
      <c r="E25" s="113"/>
      <c r="F25" s="113"/>
      <c r="G25" s="113"/>
      <c r="H25" s="113"/>
      <c r="I25" s="113"/>
    </row>
    <row r="26" spans="2:9" x14ac:dyDescent="0.15">
      <c r="B26" s="9" t="s">
        <v>12</v>
      </c>
      <c r="C26" s="114">
        <f>'C1 lossy AI'!AX56</f>
        <v>0</v>
      </c>
      <c r="D26" s="115"/>
      <c r="E26" s="115"/>
      <c r="F26" s="115"/>
      <c r="G26" s="115"/>
      <c r="H26" s="115"/>
      <c r="I26" s="115"/>
    </row>
    <row r="28" spans="2:9" s="1" customFormat="1" x14ac:dyDescent="0.15">
      <c r="B28" s="1" t="s">
        <v>23</v>
      </c>
    </row>
    <row r="30" spans="2:9" x14ac:dyDescent="0.15">
      <c r="B30" s="116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3"/>
      <c r="C31" s="119" t="s">
        <v>15</v>
      </c>
      <c r="D31" s="113"/>
      <c r="E31" s="113"/>
      <c r="F31" s="113"/>
      <c r="G31" s="113"/>
      <c r="H31" s="120" t="s">
        <v>16</v>
      </c>
      <c r="I31" s="113"/>
    </row>
    <row r="32" spans="2:9" x14ac:dyDescent="0.15">
      <c r="B32" s="115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RA'!$AZ$45:$AZ$45</f>
        <v>#DIV/0!</v>
      </c>
      <c r="D33" s="5" t="e">
        <f>'C2 lossy RA'!$BA$45:$BA$45</f>
        <v>#DIV/0!</v>
      </c>
      <c r="E33" s="5" t="e">
        <f>'C2 lossy RA'!$BB$45:$BB$45</f>
        <v>#DIV/0!</v>
      </c>
      <c r="F33" s="5" t="e">
        <f>'C2 lossy RA'!$BC$45:$BC$45</f>
        <v>#DIV/0!</v>
      </c>
      <c r="G33" s="5" t="e">
        <f>'C2 lossy RA'!$BD$45:$BD$45</f>
        <v>#DIV/0!</v>
      </c>
      <c r="H33" s="5" t="e">
        <f>'C2 lossy RA'!$BE$45:$BE$45</f>
        <v>#DIV/0!</v>
      </c>
      <c r="I33" s="5" t="e">
        <f>'C2 lossy RA'!$BF$45:$BF$45</f>
        <v>#DIV/0!</v>
      </c>
    </row>
    <row r="34" spans="2:9" x14ac:dyDescent="0.15">
      <c r="B34" t="s">
        <v>8</v>
      </c>
      <c r="C34" s="5" t="e">
        <f>'C2 lossy RA'!$AZ$46:$AZ$46</f>
        <v>#DIV/0!</v>
      </c>
      <c r="D34" s="5" t="e">
        <f>'C2 lossy RA'!$BA$46:$BA$46</f>
        <v>#DIV/0!</v>
      </c>
      <c r="E34" s="5" t="e">
        <f>'C2 lossy RA'!$BB$46:$BB$46</f>
        <v>#DIV/0!</v>
      </c>
      <c r="F34" s="5" t="e">
        <f>'C2 lossy RA'!$BC$46:$BC$46</f>
        <v>#DIV/0!</v>
      </c>
      <c r="G34" s="5" t="e">
        <f>'C2 lossy RA'!$BD$46:$BD$46</f>
        <v>#DIV/0!</v>
      </c>
      <c r="H34" s="5" t="e">
        <f>'C2 lossy RA'!$BE$46:$BE$46</f>
        <v>#DIV/0!</v>
      </c>
      <c r="I34" s="5" t="e">
        <f>'C2 lossy RA'!$BF$46:$BF$46</f>
        <v>#DIV/0!</v>
      </c>
    </row>
    <row r="35" spans="2:9" x14ac:dyDescent="0.15">
      <c r="B35" t="s">
        <v>9</v>
      </c>
      <c r="C35" s="5" t="e">
        <f>'C2 lossy RA'!$AZ$47:$AZ$47</f>
        <v>#DIV/0!</v>
      </c>
      <c r="D35" s="5" t="e">
        <f>'C2 lossy RA'!$BA$47:$BA$47</f>
        <v>#DIV/0!</v>
      </c>
      <c r="E35" s="5" t="e">
        <f>'C2 lossy RA'!$BB$47:$BB$47</f>
        <v>#DIV/0!</v>
      </c>
      <c r="F35" s="5" t="e">
        <f>'C2 lossy RA'!$BC$47:$BC$47</f>
        <v>#DIV/0!</v>
      </c>
      <c r="G35" s="5" t="e">
        <f>'C2 lossy RA'!$BD$47:$BD$47</f>
        <v>#DIV/0!</v>
      </c>
      <c r="H35" s="5" t="e">
        <f>'C2 lossy RA'!$BE$47:$BE$47</f>
        <v>#DIV/0!</v>
      </c>
      <c r="I35" s="5" t="e">
        <f>'C2 lossy RA'!$BF$47:$BF$47</f>
        <v>#DIV/0!</v>
      </c>
    </row>
    <row r="36" spans="2:9" x14ac:dyDescent="0.15">
      <c r="B36" t="s">
        <v>429</v>
      </c>
      <c r="C36" s="5" t="e">
        <f>'C2 lossy RA'!#REF!</f>
        <v>#REF!</v>
      </c>
      <c r="D36" s="5" t="e">
        <f>'C2 lossy RA'!#REF!</f>
        <v>#REF!</v>
      </c>
      <c r="E36" s="5" t="e">
        <f>'C2 lossy RA'!#REF!</f>
        <v>#REF!</v>
      </c>
      <c r="F36" s="5" t="e">
        <f>'C2 lossy RA'!#REF!</f>
        <v>#REF!</v>
      </c>
      <c r="G36" s="5" t="e">
        <f>'C2 lossy RA'!#REF!</f>
        <v>#REF!</v>
      </c>
      <c r="H36" s="5" t="e">
        <f>'C2 lossy RA'!#REF!</f>
        <v>#REF!</v>
      </c>
      <c r="I36" s="5" t="e">
        <f>'C2 lossy RA'!#REF!</f>
        <v>#REF!</v>
      </c>
    </row>
    <row r="37" spans="2:9" x14ac:dyDescent="0.15">
      <c r="B37" s="6" t="s">
        <v>10</v>
      </c>
      <c r="C37" s="7" t="e">
        <f>'C2 lossy RA'!$AZ$48:$AZ$48</f>
        <v>#DIV/0!</v>
      </c>
      <c r="D37" s="7" t="e">
        <f>'C2 lossy RA'!$BA$48:$BA$48</f>
        <v>#DIV/0!</v>
      </c>
      <c r="E37" s="7" t="e">
        <f>'C2 lossy RA'!$BB$48:$BB$48</f>
        <v>#DIV/0!</v>
      </c>
      <c r="F37" s="7" t="e">
        <f>'C2 lossy RA'!$BC$48:$BC$48</f>
        <v>#DIV/0!</v>
      </c>
      <c r="G37" s="7" t="e">
        <f>'C2 lossy RA'!$BD$48:$BD$48</f>
        <v>#DIV/0!</v>
      </c>
      <c r="H37" s="7" t="e">
        <f>'C2 lossy RA'!$BE$48:$BE$48</f>
        <v>#DIV/0!</v>
      </c>
      <c r="I37" s="7" t="e">
        <f>'C2 lossy RA'!$BF$48:$BF$48</f>
        <v>#DIV/0!</v>
      </c>
    </row>
    <row r="38" spans="2:9" x14ac:dyDescent="0.15">
      <c r="B38" t="s">
        <v>11</v>
      </c>
      <c r="C38" s="112">
        <f>'C2 lossy RA'!AW50</f>
        <v>0</v>
      </c>
      <c r="D38" s="113"/>
      <c r="E38" s="113"/>
      <c r="F38" s="113"/>
      <c r="G38" s="113"/>
      <c r="H38" s="113"/>
      <c r="I38" s="113"/>
    </row>
    <row r="39" spans="2:9" x14ac:dyDescent="0.15">
      <c r="B39" s="9" t="s">
        <v>12</v>
      </c>
      <c r="C39" s="114">
        <f>'C2 lossy RA'!AX50</f>
        <v>0</v>
      </c>
      <c r="D39" s="115"/>
      <c r="E39" s="115"/>
      <c r="F39" s="115"/>
      <c r="G39" s="115"/>
      <c r="H39" s="115"/>
      <c r="I39" s="115"/>
    </row>
  </sheetData>
  <mergeCells count="15">
    <mergeCell ref="C1:E1"/>
    <mergeCell ref="C2:E2"/>
    <mergeCell ref="B6:B8"/>
    <mergeCell ref="B17:B19"/>
    <mergeCell ref="C17:I17"/>
    <mergeCell ref="C18:G18"/>
    <mergeCell ref="H18:I18"/>
    <mergeCell ref="C38:I38"/>
    <mergeCell ref="C39:I39"/>
    <mergeCell ref="C25:I25"/>
    <mergeCell ref="C26:I26"/>
    <mergeCell ref="B30:B32"/>
    <mergeCell ref="C30:I30"/>
    <mergeCell ref="C31:G31"/>
    <mergeCell ref="H31:I31"/>
  </mergeCells>
  <phoneticPr fontId="2" type="noConversion"/>
  <conditionalFormatting sqref="C20:C24">
    <cfRule type="cellIs" dxfId="188" priority="15" operator="greaterThanOrEqual">
      <formula>0.03</formula>
    </cfRule>
    <cfRule type="cellIs" dxfId="187" priority="16" operator="lessThanOrEqual">
      <formula>-0.03</formula>
    </cfRule>
  </conditionalFormatting>
  <conditionalFormatting sqref="C33:C37">
    <cfRule type="cellIs" dxfId="186" priority="17" operator="greaterThanOrEqual">
      <formula>0.03</formula>
    </cfRule>
    <cfRule type="cellIs" dxfId="185" priority="18" operator="lessThanOrEqual">
      <formula>-0.03</formula>
    </cfRule>
  </conditionalFormatting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D20:D24">
    <cfRule type="cellIs" dxfId="182" priority="11" operator="greaterThanOrEqual">
      <formula>0.03</formula>
    </cfRule>
    <cfRule type="cellIs" dxfId="181" priority="12" operator="lessThanOrEqual">
      <formula>-0.03</formula>
    </cfRule>
  </conditionalFormatting>
  <conditionalFormatting sqref="D33:D37">
    <cfRule type="cellIs" dxfId="180" priority="21" operator="greaterThanOrEqual">
      <formula>0.03</formula>
    </cfRule>
    <cfRule type="cellIs" dxfId="179" priority="22" operator="lessThanOrEqual">
      <formula>-0.03</formula>
    </cfRule>
  </conditionalFormatting>
  <conditionalFormatting sqref="E20:E24">
    <cfRule type="cellIs" dxfId="178" priority="5" operator="greaterThanOrEqual">
      <formula>0.03</formula>
    </cfRule>
    <cfRule type="cellIs" dxfId="177" priority="6" operator="lessThanOrEqual">
      <formula>-0.03</formula>
    </cfRule>
  </conditionalFormatting>
  <conditionalFormatting sqref="E33:E37">
    <cfRule type="cellIs" dxfId="176" priority="25" operator="greaterThanOrEqual">
      <formula>0.03</formula>
    </cfRule>
    <cfRule type="cellIs" dxfId="175" priority="26" operator="lessThanOrEqual">
      <formula>-0.03</formula>
    </cfRule>
  </conditionalFormatting>
  <conditionalFormatting sqref="F20:F24">
    <cfRule type="cellIs" dxfId="174" priority="3" operator="greaterThanOrEqual">
      <formula>0.03</formula>
    </cfRule>
    <cfRule type="cellIs" dxfId="173" priority="4" operator="lessThanOrEqual">
      <formula>-0.03</formula>
    </cfRule>
  </conditionalFormatting>
  <conditionalFormatting sqref="F33:F37">
    <cfRule type="cellIs" dxfId="172" priority="29" operator="greaterThanOrEqual">
      <formula>0.03</formula>
    </cfRule>
    <cfRule type="cellIs" dxfId="171" priority="30" operator="lessThanOrEqual">
      <formula>-0.03</formula>
    </cfRule>
  </conditionalFormatting>
  <conditionalFormatting sqref="G20:G24">
    <cfRule type="cellIs" dxfId="170" priority="13" operator="greaterThanOrEqual">
      <formula>0.03</formula>
    </cfRule>
    <cfRule type="cellIs" dxfId="169" priority="14" operator="lessThanOrEqual">
      <formula>-0.03</formula>
    </cfRule>
  </conditionalFormatting>
  <conditionalFormatting sqref="G33:G37">
    <cfRule type="cellIs" dxfId="168" priority="19" operator="greaterThanOrEqual">
      <formula>0.03</formula>
    </cfRule>
    <cfRule type="cellIs" dxfId="167" priority="20" operator="lessThanOrEqual">
      <formula>-0.03</formula>
    </cfRule>
  </conditionalFormatting>
  <conditionalFormatting sqref="H20:H24">
    <cfRule type="cellIs" dxfId="166" priority="9" operator="greaterThanOrEqual">
      <formula>0.03</formula>
    </cfRule>
    <cfRule type="cellIs" dxfId="165" priority="10" operator="lessThanOrEqual">
      <formula>-0.03</formula>
    </cfRule>
  </conditionalFormatting>
  <conditionalFormatting sqref="H33:H37">
    <cfRule type="cellIs" dxfId="164" priority="23" operator="greaterThanOrEqual">
      <formula>0.03</formula>
    </cfRule>
    <cfRule type="cellIs" dxfId="163" priority="24" operator="lessThanOrEqual">
      <formula>-0.03</formula>
    </cfRule>
  </conditionalFormatting>
  <conditionalFormatting sqref="I20:I24">
    <cfRule type="cellIs" dxfId="162" priority="7" operator="greaterThanOrEqual">
      <formula>0.03</formula>
    </cfRule>
    <cfRule type="cellIs" dxfId="161" priority="8" operator="lessThanOrEqual">
      <formula>-0.03</formula>
    </cfRule>
  </conditionalFormatting>
  <conditionalFormatting sqref="I33:I37">
    <cfRule type="cellIs" dxfId="160" priority="27" operator="greaterThanOrEqual">
      <formula>0.03</formula>
    </cfRule>
    <cfRule type="cellIs" dxfId="159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58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7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27" sqref="K27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5" t="s">
        <v>148</v>
      </c>
      <c r="B1" s="113"/>
      <c r="C1" s="113"/>
      <c r="D1" s="113"/>
      <c r="E1" s="113"/>
      <c r="F1" s="113"/>
      <c r="H1" s="121" t="s">
        <v>439</v>
      </c>
      <c r="I1" s="113"/>
      <c r="J1" s="113"/>
      <c r="K1" s="113"/>
      <c r="L1" s="113"/>
      <c r="M1" s="113"/>
      <c r="O1" s="122">
        <f>Summary!C2</f>
        <v>0</v>
      </c>
      <c r="P1" s="113"/>
      <c r="Q1" s="113"/>
      <c r="R1" s="113"/>
      <c r="S1" s="113"/>
      <c r="T1" s="113"/>
    </row>
    <row r="2" spans="1:24" ht="30" customHeight="1" thickBot="1" x14ac:dyDescent="0.2">
      <c r="A2" s="124" t="s">
        <v>149</v>
      </c>
      <c r="B2" s="123" t="s">
        <v>150</v>
      </c>
      <c r="C2" s="124" t="s">
        <v>151</v>
      </c>
      <c r="D2" s="123" t="s">
        <v>152</v>
      </c>
      <c r="E2" s="124" t="s">
        <v>153</v>
      </c>
      <c r="F2" s="123" t="s">
        <v>154</v>
      </c>
      <c r="H2" s="124" t="s">
        <v>127</v>
      </c>
      <c r="I2" s="123" t="s">
        <v>131</v>
      </c>
      <c r="J2" s="124" t="s">
        <v>120</v>
      </c>
      <c r="K2" s="87" t="s">
        <v>155</v>
      </c>
      <c r="L2" s="123" t="s">
        <v>122</v>
      </c>
      <c r="M2" s="124" t="s">
        <v>102</v>
      </c>
      <c r="O2" s="123" t="s">
        <v>127</v>
      </c>
      <c r="P2" s="124" t="s">
        <v>131</v>
      </c>
      <c r="Q2" s="123" t="s">
        <v>120</v>
      </c>
      <c r="R2" s="87" t="s">
        <v>155</v>
      </c>
      <c r="S2" s="124" t="s">
        <v>122</v>
      </c>
      <c r="T2" s="123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5"/>
      <c r="B3" s="115"/>
      <c r="C3" s="115"/>
      <c r="D3" s="115"/>
      <c r="E3" s="115"/>
      <c r="F3" s="115"/>
      <c r="H3" s="115"/>
      <c r="I3" s="115"/>
      <c r="J3" s="115"/>
      <c r="K3" s="13" t="s">
        <v>424</v>
      </c>
      <c r="L3" s="115"/>
      <c r="M3" s="115"/>
      <c r="O3" s="115"/>
      <c r="P3" s="115"/>
      <c r="Q3" s="115"/>
      <c r="R3" s="13" t="s">
        <v>424</v>
      </c>
      <c r="S3" s="115"/>
      <c r="T3" s="115"/>
      <c r="V3" s="115"/>
      <c r="X3" s="115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300</v>
      </c>
      <c r="F5" s="19">
        <v>30</v>
      </c>
      <c r="H5" s="20">
        <f t="shared" ref="H5:H13" si="0">IF(OR(ISBLANK(J5),ISBLANK(F5)),"·",J5*F5/E5/1000000)</f>
        <v>865.18971520000002</v>
      </c>
      <c r="I5" s="21">
        <f t="shared" ref="I5:I13" si="1">IF(ISBLANK(J5),"·",J5/C5)</f>
        <v>721.14527365838046</v>
      </c>
      <c r="J5" s="22">
        <v>8651897152</v>
      </c>
      <c r="K5" s="22">
        <v>128944768</v>
      </c>
      <c r="L5" s="23"/>
      <c r="M5" s="23"/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300</v>
      </c>
      <c r="F6" s="27">
        <v>30</v>
      </c>
      <c r="H6" s="28">
        <f t="shared" si="0"/>
        <v>626.35531120000007</v>
      </c>
      <c r="I6" s="29">
        <f t="shared" si="1"/>
        <v>695.95034577777778</v>
      </c>
      <c r="J6" s="30">
        <v>6263553112</v>
      </c>
      <c r="K6" s="30">
        <v>136143160</v>
      </c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300</v>
      </c>
      <c r="F7" s="19">
        <v>30</v>
      </c>
      <c r="H7" s="20">
        <f t="shared" si="0"/>
        <v>605.10822800000005</v>
      </c>
      <c r="I7" s="21">
        <f t="shared" si="1"/>
        <v>510.98473720913069</v>
      </c>
      <c r="J7" s="22">
        <v>6051082280</v>
      </c>
      <c r="K7" s="22">
        <v>152850944</v>
      </c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300</v>
      </c>
      <c r="F8" s="27">
        <v>50</v>
      </c>
      <c r="H8" s="28">
        <f t="shared" si="0"/>
        <v>993.63250533333337</v>
      </c>
      <c r="I8" s="29">
        <f t="shared" si="1"/>
        <v>504.71974324611477</v>
      </c>
      <c r="J8" s="30">
        <v>5961795032</v>
      </c>
      <c r="K8" s="30">
        <v>149841128</v>
      </c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300</v>
      </c>
      <c r="F9" s="19">
        <v>30</v>
      </c>
      <c r="H9" s="20">
        <f t="shared" si="0"/>
        <v>2912.6028688000001</v>
      </c>
      <c r="I9" s="21">
        <f t="shared" si="1"/>
        <v>2427.1690573333335</v>
      </c>
      <c r="J9" s="22">
        <v>29126028688</v>
      </c>
      <c r="K9" s="22">
        <v>166093296</v>
      </c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300</v>
      </c>
      <c r="F10" s="35">
        <v>30</v>
      </c>
      <c r="H10" s="36">
        <f t="shared" si="0"/>
        <v>1229.5534048</v>
      </c>
      <c r="I10" s="37">
        <f t="shared" si="1"/>
        <v>2050.0572470502634</v>
      </c>
      <c r="J10" s="38">
        <v>12295534048</v>
      </c>
      <c r="K10" s="38">
        <v>124788616</v>
      </c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300</v>
      </c>
      <c r="F11" s="19">
        <v>30</v>
      </c>
      <c r="H11" s="20">
        <f t="shared" si="0"/>
        <v>3630.6799000000001</v>
      </c>
      <c r="I11" s="21">
        <f t="shared" si="1"/>
        <v>4034.088777777778</v>
      </c>
      <c r="J11" s="22">
        <v>36306799000</v>
      </c>
      <c r="K11" s="22">
        <v>141122856</v>
      </c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300</v>
      </c>
      <c r="F12" s="27">
        <v>30</v>
      </c>
      <c r="H12" s="28">
        <f t="shared" si="0"/>
        <v>2747.4344328000002</v>
      </c>
      <c r="I12" s="29">
        <f t="shared" si="1"/>
        <v>3052.7049253333334</v>
      </c>
      <c r="J12" s="30">
        <v>27474344328</v>
      </c>
      <c r="K12" s="30">
        <v>132944152</v>
      </c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946.35527999999999</v>
      </c>
      <c r="I13" s="109">
        <f t="shared" si="1"/>
        <v>157.73849907992638</v>
      </c>
      <c r="J13" s="110">
        <v>31545176</v>
      </c>
      <c r="K13" s="110">
        <v>2158424</v>
      </c>
      <c r="L13" s="111"/>
      <c r="M13" s="111"/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708.54780971807918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507.8522402276227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2891.005001873677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157.73849907992638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1572.7287340517819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0</v>
      </c>
      <c r="M19" s="43">
        <f>SUM(M5:M6,M7:M8,M9:M12)</f>
        <v>0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 t="e">
        <f>S19/L19</f>
        <v>#DIV/0!</v>
      </c>
      <c r="T20" s="8" t="e">
        <f>T19/M19</f>
        <v>#DIV/0!</v>
      </c>
    </row>
    <row r="22" spans="1:24" x14ac:dyDescent="0.15">
      <c r="Q22" s="98">
        <f>Q5-J5</f>
        <v>-8651897152</v>
      </c>
      <c r="R22" s="98">
        <f>R5-K5</f>
        <v>-128944768</v>
      </c>
    </row>
    <row r="23" spans="1:24" x14ac:dyDescent="0.15">
      <c r="Q23" s="98">
        <f t="shared" ref="Q23:R23" si="6">Q6-J6</f>
        <v>-6263553112</v>
      </c>
      <c r="R23" s="98">
        <f t="shared" si="6"/>
        <v>-136143160</v>
      </c>
    </row>
    <row r="24" spans="1:24" x14ac:dyDescent="0.15">
      <c r="Q24" s="98">
        <f t="shared" ref="Q24:R24" si="7">Q7-J7</f>
        <v>-6051082280</v>
      </c>
      <c r="R24" s="98">
        <f t="shared" si="7"/>
        <v>-152850944</v>
      </c>
    </row>
    <row r="25" spans="1:24" x14ac:dyDescent="0.15">
      <c r="Q25" s="98">
        <f t="shared" ref="Q25:R25" si="8">Q8-J8</f>
        <v>-5961795032</v>
      </c>
      <c r="R25" s="98">
        <f t="shared" si="8"/>
        <v>-149841128</v>
      </c>
    </row>
    <row r="26" spans="1:24" x14ac:dyDescent="0.15">
      <c r="Q26" s="98">
        <f t="shared" ref="Q26:R26" si="9">Q9-J9</f>
        <v>-29126028688</v>
      </c>
      <c r="R26" s="98">
        <f t="shared" si="9"/>
        <v>-166093296</v>
      </c>
    </row>
    <row r="27" spans="1:24" x14ac:dyDescent="0.15">
      <c r="Q27" s="98">
        <f t="shared" ref="Q27:R27" si="10">Q10-J10</f>
        <v>-12295534048</v>
      </c>
      <c r="R27" s="98">
        <f t="shared" si="10"/>
        <v>-124788616</v>
      </c>
    </row>
    <row r="28" spans="1:24" x14ac:dyDescent="0.15">
      <c r="Q28" s="98">
        <f t="shared" ref="Q28:R28" si="11">Q11-J11</f>
        <v>-36306799000</v>
      </c>
      <c r="R28" s="98">
        <f t="shared" si="11"/>
        <v>-141122856</v>
      </c>
    </row>
    <row r="29" spans="1:24" x14ac:dyDescent="0.15">
      <c r="Q29" s="98">
        <f t="shared" ref="Q29:R29" si="12">Q12-J12</f>
        <v>-27474344328</v>
      </c>
      <c r="R29" s="98">
        <f t="shared" si="12"/>
        <v>-132944152</v>
      </c>
    </row>
    <row r="30" spans="1:24" x14ac:dyDescent="0.15">
      <c r="Q30" s="98"/>
      <c r="R30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8">
    <cfRule type="cellIs" dxfId="156" priority="5" operator="greaterThanOrEqual">
      <formula>1.03</formula>
    </cfRule>
    <cfRule type="cellIs" dxfId="155" priority="6" operator="lessThanOrEqual">
      <formula>0.97</formula>
    </cfRule>
  </conditionalFormatting>
  <conditionalFormatting sqref="X5:X13">
    <cfRule type="cellIs" dxfId="154" priority="3" operator="greaterThanOrEqual">
      <formula>0.1%</formula>
    </cfRule>
    <cfRule type="cellIs" dxfId="153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AU17" activePane="bottomRight" state="frozen"/>
      <selection pane="topRight" activeCell="C1" sqref="C1"/>
      <selection pane="bottomLeft" activeCell="A5" sqref="A5"/>
      <selection pane="bottomRight" activeCell="S10" sqref="S10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5" t="s">
        <v>332</v>
      </c>
      <c r="B1" s="113"/>
      <c r="C1" s="113"/>
      <c r="D1" s="113"/>
      <c r="E1" s="113"/>
      <c r="F1" s="113"/>
      <c r="G1" s="113"/>
      <c r="H1" s="113"/>
      <c r="J1" s="121" t="s">
        <v>440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7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413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23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5.1825472000000001</v>
      </c>
      <c r="K5" s="21">
        <f t="shared" ref="K5:K44" si="1">IF(ISBLANK(O5),"·",O5/D5)</f>
        <v>4.3197108716526191</v>
      </c>
      <c r="L5" s="19">
        <f t="shared" ref="L5:L44" si="2">IF(OR(ISBLANK(M5),ISBLANK(S5),ISBLANK(T5)),".",M5+S5+T5)</f>
        <v>51825472</v>
      </c>
      <c r="M5" s="19">
        <f t="shared" ref="M5:M44" si="3">IF(OR(ISBLANK(Q5),ISBLANK(P5),ISBLANK(R5)),".",P5+Q5+R5)</f>
        <v>15495472</v>
      </c>
      <c r="N5" s="44">
        <v>22725696</v>
      </c>
      <c r="O5" s="22">
        <v>51825472</v>
      </c>
      <c r="P5" s="22">
        <v>7887216</v>
      </c>
      <c r="Q5" s="22">
        <v>0</v>
      </c>
      <c r="R5" s="22">
        <v>7608256</v>
      </c>
      <c r="S5" s="22">
        <v>36191936</v>
      </c>
      <c r="T5" s="22">
        <v>138064</v>
      </c>
      <c r="U5" s="45">
        <v>69.925030100000001</v>
      </c>
      <c r="V5" s="45">
        <v>71.158221800000007</v>
      </c>
      <c r="W5" s="45">
        <v>28.8263672</v>
      </c>
      <c r="X5" s="45">
        <v>33.888464399999997</v>
      </c>
      <c r="Y5" s="45">
        <v>33.332082300000003</v>
      </c>
      <c r="Z5" s="45">
        <v>48.876094999999999</v>
      </c>
      <c r="AA5" s="45">
        <v>27.4999681</v>
      </c>
      <c r="AB5" s="23">
        <v>8465.0081410000003</v>
      </c>
      <c r="AC5" s="23">
        <v>70.721806000000001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9</v>
      </c>
      <c r="J6" s="36">
        <f t="shared" si="0"/>
        <v>9.5320528000000007</v>
      </c>
      <c r="K6" s="37">
        <f t="shared" si="1"/>
        <v>7.9450722820868451</v>
      </c>
      <c r="L6" s="35">
        <f t="shared" si="2"/>
        <v>95320528</v>
      </c>
      <c r="M6" s="35">
        <f t="shared" si="3"/>
        <v>17992480</v>
      </c>
      <c r="N6" s="46">
        <v>22725696</v>
      </c>
      <c r="O6" s="38">
        <v>95320528</v>
      </c>
      <c r="P6" s="38">
        <v>8520872</v>
      </c>
      <c r="Q6" s="38">
        <v>0</v>
      </c>
      <c r="R6" s="38">
        <v>9471608</v>
      </c>
      <c r="S6" s="38">
        <v>77191984</v>
      </c>
      <c r="T6" s="38">
        <v>136064</v>
      </c>
      <c r="U6" s="47">
        <v>70.5938041</v>
      </c>
      <c r="V6" s="47">
        <v>71.917406400000004</v>
      </c>
      <c r="W6" s="47">
        <v>31.575235200000002</v>
      </c>
      <c r="X6" s="47">
        <v>35.106202799999998</v>
      </c>
      <c r="Y6" s="47">
        <v>34.661237200000002</v>
      </c>
      <c r="Z6" s="47">
        <v>49.192850200000002</v>
      </c>
      <c r="AA6" s="47">
        <v>29.1133901</v>
      </c>
      <c r="AB6" s="39">
        <v>8819.5869490000005</v>
      </c>
      <c r="AC6" s="39">
        <v>77.035538000000003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12</v>
      </c>
      <c r="J7" s="20">
        <f t="shared" si="0"/>
        <v>12.8435296</v>
      </c>
      <c r="K7" s="21">
        <f t="shared" si="1"/>
        <v>10.705225114691133</v>
      </c>
      <c r="L7" s="19">
        <f t="shared" si="2"/>
        <v>128435296</v>
      </c>
      <c r="M7" s="19">
        <f t="shared" si="3"/>
        <v>19476680</v>
      </c>
      <c r="N7" s="44">
        <v>45556032</v>
      </c>
      <c r="O7" s="22">
        <v>128435296</v>
      </c>
      <c r="P7" s="22">
        <v>12332384</v>
      </c>
      <c r="Q7" s="22">
        <v>0</v>
      </c>
      <c r="R7" s="22">
        <v>7144296</v>
      </c>
      <c r="S7" s="22">
        <v>108821592</v>
      </c>
      <c r="T7" s="22">
        <v>137024</v>
      </c>
      <c r="U7" s="45">
        <v>71.777135700000002</v>
      </c>
      <c r="V7" s="45">
        <v>73.290745299999998</v>
      </c>
      <c r="W7" s="45">
        <v>32.689670100000001</v>
      </c>
      <c r="X7" s="45">
        <v>36.902195200000001</v>
      </c>
      <c r="Y7" s="45">
        <v>36.630856100000003</v>
      </c>
      <c r="Z7" s="45">
        <v>49.979964600000002</v>
      </c>
      <c r="AA7" s="45">
        <v>30.3206591</v>
      </c>
      <c r="AB7" s="23">
        <v>19834.018972000002</v>
      </c>
      <c r="AC7" s="23">
        <v>206.945232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15</v>
      </c>
      <c r="J8" s="36">
        <f t="shared" si="0"/>
        <v>16.067978400000001</v>
      </c>
      <c r="K8" s="37">
        <f t="shared" si="1"/>
        <v>13.392839139016324</v>
      </c>
      <c r="L8" s="35">
        <f t="shared" si="2"/>
        <v>160679784</v>
      </c>
      <c r="M8" s="35">
        <f t="shared" si="3"/>
        <v>26160280</v>
      </c>
      <c r="N8" s="46">
        <v>45556032</v>
      </c>
      <c r="O8" s="38">
        <v>160679784</v>
      </c>
      <c r="P8" s="38">
        <v>13490960</v>
      </c>
      <c r="Q8" s="38">
        <v>0</v>
      </c>
      <c r="R8" s="38">
        <v>12669320</v>
      </c>
      <c r="S8" s="38">
        <v>134377024</v>
      </c>
      <c r="T8" s="38">
        <v>142480</v>
      </c>
      <c r="U8" s="47">
        <v>73.727552599999996</v>
      </c>
      <c r="V8" s="47">
        <v>75.535735399999993</v>
      </c>
      <c r="W8" s="47">
        <v>33.656807899999997</v>
      </c>
      <c r="X8" s="47">
        <v>37.432023800000003</v>
      </c>
      <c r="Y8" s="47">
        <v>37.1589381</v>
      </c>
      <c r="Z8" s="47">
        <v>50.876900200000001</v>
      </c>
      <c r="AA8" s="47">
        <v>31.428720599999998</v>
      </c>
      <c r="AB8" s="39">
        <v>17139.802457000002</v>
      </c>
      <c r="AC8" s="39">
        <v>209.70841300000001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22</v>
      </c>
      <c r="J9" s="51">
        <f t="shared" si="0"/>
        <v>23.252558399999998</v>
      </c>
      <c r="K9" s="52">
        <f t="shared" si="1"/>
        <v>19.381266670222981</v>
      </c>
      <c r="L9" s="49">
        <f t="shared" si="2"/>
        <v>232525584</v>
      </c>
      <c r="M9" s="49">
        <f t="shared" si="3"/>
        <v>43065376</v>
      </c>
      <c r="N9" s="53">
        <v>91604096</v>
      </c>
      <c r="O9" s="54">
        <v>232525584</v>
      </c>
      <c r="P9" s="54">
        <v>20164504</v>
      </c>
      <c r="Q9" s="54">
        <v>0</v>
      </c>
      <c r="R9" s="54">
        <v>22900872</v>
      </c>
      <c r="S9" s="54">
        <v>189314704</v>
      </c>
      <c r="T9" s="54">
        <v>145504</v>
      </c>
      <c r="U9" s="55">
        <v>76.601567500000002</v>
      </c>
      <c r="V9" s="55">
        <v>79.086631800000006</v>
      </c>
      <c r="W9" s="55">
        <v>34.993146899999999</v>
      </c>
      <c r="X9" s="55">
        <v>38.528710599999997</v>
      </c>
      <c r="Y9" s="55">
        <v>38.233246800000003</v>
      </c>
      <c r="Z9" s="55">
        <v>52.5771874</v>
      </c>
      <c r="AA9" s="55">
        <v>33.093998200000001</v>
      </c>
      <c r="AB9" s="56">
        <v>25274.535532000002</v>
      </c>
      <c r="AC9" s="56">
        <v>240.42889700000001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5</v>
      </c>
      <c r="J10" s="36">
        <f t="shared" si="0"/>
        <v>5.0676927999999997</v>
      </c>
      <c r="K10" s="37">
        <f t="shared" si="1"/>
        <v>5.6307697777777781</v>
      </c>
      <c r="L10" s="35">
        <f t="shared" si="2"/>
        <v>50676928</v>
      </c>
      <c r="M10" s="35">
        <f t="shared" si="3"/>
        <v>14499176</v>
      </c>
      <c r="N10" s="46">
        <v>22538688</v>
      </c>
      <c r="O10" s="38">
        <v>50676928</v>
      </c>
      <c r="P10" s="38">
        <v>8319776</v>
      </c>
      <c r="Q10" s="38">
        <v>0</v>
      </c>
      <c r="R10" s="38">
        <v>6179400</v>
      </c>
      <c r="S10" s="38">
        <v>36035440</v>
      </c>
      <c r="T10" s="38">
        <v>142312</v>
      </c>
      <c r="U10" s="47">
        <v>66.038805699999998</v>
      </c>
      <c r="V10" s="47">
        <v>66.818975499999993</v>
      </c>
      <c r="W10" s="47">
        <v>32.276989100000002</v>
      </c>
      <c r="X10" s="47">
        <v>44.9215144</v>
      </c>
      <c r="Y10" s="47">
        <v>45.219603499999998</v>
      </c>
      <c r="Z10" s="47">
        <v>44.733105799999997</v>
      </c>
      <c r="AA10" s="47">
        <v>29.865523799999998</v>
      </c>
      <c r="AB10" s="39">
        <v>19532.016346</v>
      </c>
      <c r="AC10" s="39">
        <v>175.657554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9</v>
      </c>
      <c r="J11" s="20">
        <f t="shared" si="0"/>
        <v>9.0807135999999993</v>
      </c>
      <c r="K11" s="21">
        <f t="shared" si="1"/>
        <v>10.089681777777777</v>
      </c>
      <c r="L11" s="19">
        <f t="shared" si="2"/>
        <v>90807136</v>
      </c>
      <c r="M11" s="19">
        <f t="shared" si="3"/>
        <v>23100096</v>
      </c>
      <c r="N11" s="44">
        <v>45393792</v>
      </c>
      <c r="O11" s="22">
        <v>90807136</v>
      </c>
      <c r="P11" s="22">
        <v>13076384</v>
      </c>
      <c r="Q11" s="22">
        <v>0</v>
      </c>
      <c r="R11" s="22">
        <v>10023712</v>
      </c>
      <c r="S11" s="22">
        <v>67562720</v>
      </c>
      <c r="T11" s="22">
        <v>144320</v>
      </c>
      <c r="U11" s="45">
        <v>70.410790300000002</v>
      </c>
      <c r="V11" s="45">
        <v>71.820904400000003</v>
      </c>
      <c r="W11" s="45">
        <v>34.976656499999997</v>
      </c>
      <c r="X11" s="45">
        <v>45.573652699999997</v>
      </c>
      <c r="Y11" s="45">
        <v>45.956707799999997</v>
      </c>
      <c r="Z11" s="45">
        <v>47.199334499999999</v>
      </c>
      <c r="AA11" s="45">
        <v>32.566121199999998</v>
      </c>
      <c r="AB11" s="23">
        <v>21692.954774999998</v>
      </c>
      <c r="AC11" s="23">
        <v>186.824783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12</v>
      </c>
      <c r="J12" s="36">
        <f t="shared" si="0"/>
        <v>12.03152</v>
      </c>
      <c r="K12" s="37">
        <f t="shared" si="1"/>
        <v>13.368355555555556</v>
      </c>
      <c r="L12" s="35">
        <f t="shared" si="2"/>
        <v>120315200</v>
      </c>
      <c r="M12" s="35">
        <f t="shared" si="3"/>
        <v>34948800</v>
      </c>
      <c r="N12" s="46">
        <v>45393792</v>
      </c>
      <c r="O12" s="38">
        <v>120315200</v>
      </c>
      <c r="P12" s="38">
        <v>13076384</v>
      </c>
      <c r="Q12" s="38">
        <v>0</v>
      </c>
      <c r="R12" s="38">
        <v>21872416</v>
      </c>
      <c r="S12" s="38">
        <v>85230248</v>
      </c>
      <c r="T12" s="38">
        <v>136152</v>
      </c>
      <c r="U12" s="47">
        <v>72.903725600000001</v>
      </c>
      <c r="V12" s="47">
        <v>74.710225800000003</v>
      </c>
      <c r="W12" s="47">
        <v>36.048320799999999</v>
      </c>
      <c r="X12" s="47">
        <v>45.8961933</v>
      </c>
      <c r="Y12" s="47">
        <v>46.318562999999997</v>
      </c>
      <c r="Z12" s="47">
        <v>48.419752899999999</v>
      </c>
      <c r="AA12" s="47">
        <v>33.896996000000001</v>
      </c>
      <c r="AB12" s="39">
        <v>21241.028165</v>
      </c>
      <c r="AC12" s="39">
        <v>217.98730399999999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15</v>
      </c>
      <c r="J13" s="20">
        <f t="shared" si="0"/>
        <v>15.041503199999999</v>
      </c>
      <c r="K13" s="21">
        <f t="shared" si="1"/>
        <v>16.712781333333332</v>
      </c>
      <c r="L13" s="19">
        <f t="shared" si="2"/>
        <v>150415032</v>
      </c>
      <c r="M13" s="19">
        <f t="shared" si="3"/>
        <v>42379096</v>
      </c>
      <c r="N13" s="44">
        <v>91443328</v>
      </c>
      <c r="O13" s="22">
        <v>150415032</v>
      </c>
      <c r="P13" s="22">
        <v>21543912</v>
      </c>
      <c r="Q13" s="22">
        <v>0</v>
      </c>
      <c r="R13" s="22">
        <v>20835184</v>
      </c>
      <c r="S13" s="22">
        <v>107891728</v>
      </c>
      <c r="T13" s="22">
        <v>144208</v>
      </c>
      <c r="U13" s="45">
        <v>74.553950700000001</v>
      </c>
      <c r="V13" s="45">
        <v>76.680432499999995</v>
      </c>
      <c r="W13" s="45">
        <v>37.120989000000002</v>
      </c>
      <c r="X13" s="45">
        <v>46.687601800000003</v>
      </c>
      <c r="Y13" s="45">
        <v>47.226831400000002</v>
      </c>
      <c r="Z13" s="45">
        <v>49.495946099999998</v>
      </c>
      <c r="AA13" s="45">
        <v>35.031046799999999</v>
      </c>
      <c r="AB13" s="23">
        <v>23087.464473</v>
      </c>
      <c r="AC13" s="23">
        <v>237.61782099999999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22</v>
      </c>
      <c r="J14" s="28">
        <f t="shared" si="0"/>
        <v>22.1095416</v>
      </c>
      <c r="K14" s="29">
        <f t="shared" si="1"/>
        <v>24.566157333333333</v>
      </c>
      <c r="L14" s="27">
        <f t="shared" si="2"/>
        <v>221095416</v>
      </c>
      <c r="M14" s="27">
        <f t="shared" si="3"/>
        <v>52449208</v>
      </c>
      <c r="N14" s="58">
        <v>91443328</v>
      </c>
      <c r="O14" s="30">
        <v>221095416</v>
      </c>
      <c r="P14" s="30">
        <v>23773744</v>
      </c>
      <c r="Q14" s="30">
        <v>0</v>
      </c>
      <c r="R14" s="30">
        <v>28675464</v>
      </c>
      <c r="S14" s="30">
        <v>168503848</v>
      </c>
      <c r="T14" s="30">
        <v>142360</v>
      </c>
      <c r="U14" s="59">
        <v>75.585639</v>
      </c>
      <c r="V14" s="59">
        <v>77.978027400000002</v>
      </c>
      <c r="W14" s="59">
        <v>38.809512099999999</v>
      </c>
      <c r="X14" s="59">
        <v>47.744309999999999</v>
      </c>
      <c r="Y14" s="59">
        <v>48.377020999999999</v>
      </c>
      <c r="Z14" s="59">
        <v>50.023421499999998</v>
      </c>
      <c r="AA14" s="59">
        <v>36.307148300000001</v>
      </c>
      <c r="AB14" s="31">
        <v>26876.646732000001</v>
      </c>
      <c r="AC14" s="31">
        <v>228.507777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3.0563792000000003</v>
      </c>
      <c r="K15" s="21">
        <f t="shared" si="1"/>
        <v>2.5809649415698459</v>
      </c>
      <c r="L15" s="19">
        <f t="shared" si="2"/>
        <v>30563792</v>
      </c>
      <c r="M15" s="19">
        <f t="shared" si="3"/>
        <v>11008168</v>
      </c>
      <c r="N15" s="44">
        <v>22706944</v>
      </c>
      <c r="O15" s="22">
        <v>30563792</v>
      </c>
      <c r="P15" s="22">
        <v>6506808</v>
      </c>
      <c r="Q15" s="22">
        <v>0</v>
      </c>
      <c r="R15" s="22">
        <v>4501360</v>
      </c>
      <c r="S15" s="22">
        <v>19412264</v>
      </c>
      <c r="T15" s="22">
        <v>143360</v>
      </c>
      <c r="U15" s="45">
        <v>71.424397999999997</v>
      </c>
      <c r="V15" s="45">
        <v>72.793320300000005</v>
      </c>
      <c r="W15" s="45">
        <v>35.7718767</v>
      </c>
      <c r="X15" s="45">
        <v>43.301866500000003</v>
      </c>
      <c r="Y15" s="45">
        <v>45.175281200000001</v>
      </c>
      <c r="Z15" s="45">
        <v>45.778157899999997</v>
      </c>
      <c r="AA15" s="45">
        <v>32.537465900000001</v>
      </c>
      <c r="AB15" s="23">
        <v>16085.918449999999</v>
      </c>
      <c r="AC15" s="23">
        <v>197.926894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5.1185007999999996</v>
      </c>
      <c r="K16" s="37">
        <f t="shared" si="1"/>
        <v>4.3223272551381093</v>
      </c>
      <c r="L16" s="35">
        <f t="shared" si="2"/>
        <v>51185008</v>
      </c>
      <c r="M16" s="35">
        <f t="shared" si="3"/>
        <v>13883904</v>
      </c>
      <c r="N16" s="46">
        <v>22706944</v>
      </c>
      <c r="O16" s="38">
        <v>51185008</v>
      </c>
      <c r="P16" s="38">
        <v>7086528</v>
      </c>
      <c r="Q16" s="38">
        <v>0</v>
      </c>
      <c r="R16" s="38">
        <v>6797376</v>
      </c>
      <c r="S16" s="38">
        <v>37157304</v>
      </c>
      <c r="T16" s="38">
        <v>143800</v>
      </c>
      <c r="U16" s="47">
        <v>73.136002000000005</v>
      </c>
      <c r="V16" s="47">
        <v>74.705603699999998</v>
      </c>
      <c r="W16" s="47">
        <v>38.571488299999999</v>
      </c>
      <c r="X16" s="47">
        <v>43.936299499999997</v>
      </c>
      <c r="Y16" s="47">
        <v>46.405677500000003</v>
      </c>
      <c r="Z16" s="47">
        <v>46.605209899999998</v>
      </c>
      <c r="AA16" s="47">
        <v>34.221408500000003</v>
      </c>
      <c r="AB16" s="39">
        <v>16658.475046</v>
      </c>
      <c r="AC16" s="39">
        <v>194.86457200000001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9.9578159999999993</v>
      </c>
      <c r="K17" s="21">
        <f t="shared" si="1"/>
        <v>8.4088957255707264</v>
      </c>
      <c r="L17" s="19">
        <f t="shared" si="2"/>
        <v>99578160</v>
      </c>
      <c r="M17" s="19">
        <f t="shared" si="3"/>
        <v>26785304</v>
      </c>
      <c r="N17" s="44">
        <v>45429504</v>
      </c>
      <c r="O17" s="22">
        <v>99578160</v>
      </c>
      <c r="P17" s="22">
        <v>11908040</v>
      </c>
      <c r="Q17" s="22">
        <v>0</v>
      </c>
      <c r="R17" s="22">
        <v>14877264</v>
      </c>
      <c r="S17" s="22">
        <v>72649824</v>
      </c>
      <c r="T17" s="22">
        <v>143032</v>
      </c>
      <c r="U17" s="45">
        <v>77.848685799999998</v>
      </c>
      <c r="V17" s="45">
        <v>80.316428700000003</v>
      </c>
      <c r="W17" s="45">
        <v>41.213871099999999</v>
      </c>
      <c r="X17" s="45">
        <v>44.812050200000002</v>
      </c>
      <c r="Y17" s="45">
        <v>48.042486199999999</v>
      </c>
      <c r="Z17" s="45">
        <v>48.980116600000002</v>
      </c>
      <c r="AA17" s="45">
        <v>37.358794400000001</v>
      </c>
      <c r="AB17" s="23">
        <v>18369.313117999998</v>
      </c>
      <c r="AC17" s="23">
        <v>208.50203999999999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14.219604</v>
      </c>
      <c r="K18" s="37">
        <f t="shared" si="1"/>
        <v>12.007770307757083</v>
      </c>
      <c r="L18" s="35">
        <f t="shared" si="2"/>
        <v>142196040</v>
      </c>
      <c r="M18" s="35">
        <f t="shared" si="3"/>
        <v>36615032</v>
      </c>
      <c r="N18" s="46">
        <v>90872832</v>
      </c>
      <c r="O18" s="38">
        <v>142196040</v>
      </c>
      <c r="P18" s="38">
        <v>20517200</v>
      </c>
      <c r="Q18" s="38">
        <v>0</v>
      </c>
      <c r="R18" s="38">
        <v>16097832</v>
      </c>
      <c r="S18" s="38">
        <v>105437576</v>
      </c>
      <c r="T18" s="38">
        <v>143432</v>
      </c>
      <c r="U18" s="47">
        <v>79.167824600000003</v>
      </c>
      <c r="V18" s="47">
        <v>82.110062400000004</v>
      </c>
      <c r="W18" s="47">
        <v>42.2146349</v>
      </c>
      <c r="X18" s="47">
        <v>45.504964600000001</v>
      </c>
      <c r="Y18" s="47">
        <v>49.193667099999999</v>
      </c>
      <c r="Z18" s="47">
        <v>49.923829900000001</v>
      </c>
      <c r="AA18" s="47">
        <v>38.493111200000001</v>
      </c>
      <c r="AB18" s="39">
        <v>22959.370207</v>
      </c>
      <c r="AC18" s="39">
        <v>269.05195800000001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21.365490399999999</v>
      </c>
      <c r="K19" s="52">
        <f t="shared" si="1"/>
        <v>18.042126998458539</v>
      </c>
      <c r="L19" s="49">
        <f t="shared" si="2"/>
        <v>213654904</v>
      </c>
      <c r="M19" s="49">
        <f t="shared" si="3"/>
        <v>38649176</v>
      </c>
      <c r="N19" s="53">
        <v>90872832</v>
      </c>
      <c r="O19" s="54">
        <v>213654904</v>
      </c>
      <c r="P19" s="54">
        <v>20517200</v>
      </c>
      <c r="Q19" s="54">
        <v>0</v>
      </c>
      <c r="R19" s="54">
        <v>18131976</v>
      </c>
      <c r="S19" s="54">
        <v>174861728</v>
      </c>
      <c r="T19" s="54">
        <v>144000</v>
      </c>
      <c r="U19" s="55">
        <v>79.519995499999993</v>
      </c>
      <c r="V19" s="55">
        <v>82.634190700000005</v>
      </c>
      <c r="W19" s="55">
        <v>43.252623499999999</v>
      </c>
      <c r="X19" s="55">
        <v>46.456497200000001</v>
      </c>
      <c r="Y19" s="55">
        <v>50.485123799999997</v>
      </c>
      <c r="Z19" s="55">
        <v>50.125952599999998</v>
      </c>
      <c r="AA19" s="55">
        <v>39.046145600000003</v>
      </c>
      <c r="AB19" s="56">
        <v>21123.690671</v>
      </c>
      <c r="AC19" s="56">
        <v>236.84764699999999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2.9067152000000003</v>
      </c>
      <c r="K20" s="37">
        <f t="shared" si="1"/>
        <v>2.4607966922026501</v>
      </c>
      <c r="L20" s="35">
        <f t="shared" si="2"/>
        <v>29067152</v>
      </c>
      <c r="M20" s="35">
        <f t="shared" si="3"/>
        <v>10603440</v>
      </c>
      <c r="N20" s="46">
        <v>22662720</v>
      </c>
      <c r="O20" s="38">
        <v>29067152</v>
      </c>
      <c r="P20" s="38">
        <v>6353472</v>
      </c>
      <c r="Q20" s="38">
        <v>0</v>
      </c>
      <c r="R20" s="38">
        <v>4249968</v>
      </c>
      <c r="S20" s="38">
        <v>18321208</v>
      </c>
      <c r="T20" s="38">
        <v>142504</v>
      </c>
      <c r="U20" s="47">
        <v>71.636878199999998</v>
      </c>
      <c r="V20" s="47">
        <v>73.042622600000001</v>
      </c>
      <c r="W20" s="47">
        <v>34.717123000000001</v>
      </c>
      <c r="X20" s="47">
        <v>42.7410961</v>
      </c>
      <c r="Y20" s="47">
        <v>44.124179599999998</v>
      </c>
      <c r="Z20" s="47">
        <v>46.8245127</v>
      </c>
      <c r="AA20" s="47">
        <v>31.7055884</v>
      </c>
      <c r="AB20" s="39">
        <v>7564.1703610000004</v>
      </c>
      <c r="AC20" s="39">
        <v>57.642859000000001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4.9249095999999994</v>
      </c>
      <c r="K21" s="21">
        <f t="shared" si="1"/>
        <v>4.1693803552123292</v>
      </c>
      <c r="L21" s="19">
        <f t="shared" si="2"/>
        <v>49249096</v>
      </c>
      <c r="M21" s="19">
        <f t="shared" si="3"/>
        <v>11099800</v>
      </c>
      <c r="N21" s="44">
        <v>22662720</v>
      </c>
      <c r="O21" s="22">
        <v>49249096</v>
      </c>
      <c r="P21" s="22">
        <v>6353472</v>
      </c>
      <c r="Q21" s="22">
        <v>0</v>
      </c>
      <c r="R21" s="22">
        <v>4746328</v>
      </c>
      <c r="S21" s="22">
        <v>38005288</v>
      </c>
      <c r="T21" s="22">
        <v>144008</v>
      </c>
      <c r="U21" s="45">
        <v>72.093227299999995</v>
      </c>
      <c r="V21" s="45">
        <v>73.554868099999993</v>
      </c>
      <c r="W21" s="45">
        <v>37.528611699999999</v>
      </c>
      <c r="X21" s="45">
        <v>43.942102499999997</v>
      </c>
      <c r="Y21" s="45">
        <v>45.995998100000001</v>
      </c>
      <c r="Z21" s="45">
        <v>47.016984600000001</v>
      </c>
      <c r="AA21" s="45">
        <v>32.972761400000003</v>
      </c>
      <c r="AB21" s="23">
        <v>15427.929458000001</v>
      </c>
      <c r="AC21" s="23">
        <v>192.82354000000001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9.9264223999999999</v>
      </c>
      <c r="K22" s="37">
        <f t="shared" si="1"/>
        <v>8.4036122311970196</v>
      </c>
      <c r="L22" s="35">
        <f t="shared" si="2"/>
        <v>99264224</v>
      </c>
      <c r="M22" s="35">
        <f t="shared" si="3"/>
        <v>24987224</v>
      </c>
      <c r="N22" s="46">
        <v>45333632</v>
      </c>
      <c r="O22" s="38">
        <v>99264224</v>
      </c>
      <c r="P22" s="38">
        <v>10591696</v>
      </c>
      <c r="Q22" s="38">
        <v>0</v>
      </c>
      <c r="R22" s="38">
        <v>14395528</v>
      </c>
      <c r="S22" s="38">
        <v>74133472</v>
      </c>
      <c r="T22" s="38">
        <v>143528</v>
      </c>
      <c r="U22" s="47">
        <v>77.959518700000004</v>
      </c>
      <c r="V22" s="47">
        <v>80.586041800000004</v>
      </c>
      <c r="W22" s="47">
        <v>40.484860500000003</v>
      </c>
      <c r="X22" s="47">
        <v>45.198962399999999</v>
      </c>
      <c r="Y22" s="47">
        <v>48.080576600000001</v>
      </c>
      <c r="Z22" s="47">
        <v>50.015318000000001</v>
      </c>
      <c r="AA22" s="47">
        <v>36.799939600000002</v>
      </c>
      <c r="AB22" s="39">
        <v>14823.136748000001</v>
      </c>
      <c r="AC22" s="39">
        <v>213.06316200000001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14.092004800000002</v>
      </c>
      <c r="K23" s="21">
        <f t="shared" si="1"/>
        <v>11.930153596865585</v>
      </c>
      <c r="L23" s="19">
        <f t="shared" si="2"/>
        <v>140920048</v>
      </c>
      <c r="M23" s="19">
        <f t="shared" si="3"/>
        <v>35399672</v>
      </c>
      <c r="N23" s="44">
        <v>90678336</v>
      </c>
      <c r="O23" s="22">
        <v>140920048</v>
      </c>
      <c r="P23" s="22">
        <v>22375480</v>
      </c>
      <c r="Q23" s="22">
        <v>0</v>
      </c>
      <c r="R23" s="22">
        <v>13024192</v>
      </c>
      <c r="S23" s="22">
        <v>105374712</v>
      </c>
      <c r="T23" s="22">
        <v>145664</v>
      </c>
      <c r="U23" s="45">
        <v>78.858965600000005</v>
      </c>
      <c r="V23" s="45">
        <v>81.8200717</v>
      </c>
      <c r="W23" s="45">
        <v>41.499012200000003</v>
      </c>
      <c r="X23" s="45">
        <v>45.728217600000001</v>
      </c>
      <c r="Y23" s="45">
        <v>48.834078900000002</v>
      </c>
      <c r="Z23" s="45">
        <v>50.796126700000002</v>
      </c>
      <c r="AA23" s="45">
        <v>37.741275399999999</v>
      </c>
      <c r="AB23" s="23">
        <v>20459.531762999999</v>
      </c>
      <c r="AC23" s="23">
        <v>264.46031499999998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21.070301600000001</v>
      </c>
      <c r="K24" s="29">
        <f t="shared" si="1"/>
        <v>17.837911495764086</v>
      </c>
      <c r="L24" s="27">
        <f t="shared" si="2"/>
        <v>210703016</v>
      </c>
      <c r="M24" s="27">
        <f t="shared" si="3"/>
        <v>37380480</v>
      </c>
      <c r="N24" s="58">
        <v>90678336</v>
      </c>
      <c r="O24" s="30">
        <v>210703016</v>
      </c>
      <c r="P24" s="30">
        <v>20179616</v>
      </c>
      <c r="Q24" s="30">
        <v>0</v>
      </c>
      <c r="R24" s="30">
        <v>17200864</v>
      </c>
      <c r="S24" s="30">
        <v>173179712</v>
      </c>
      <c r="T24" s="30">
        <v>142824</v>
      </c>
      <c r="U24" s="59">
        <v>79.551517799999999</v>
      </c>
      <c r="V24" s="59">
        <v>82.882568399999997</v>
      </c>
      <c r="W24" s="59">
        <v>42.4954386</v>
      </c>
      <c r="X24" s="59">
        <v>46.803018899999998</v>
      </c>
      <c r="Y24" s="59">
        <v>50.194191799999999</v>
      </c>
      <c r="Z24" s="59">
        <v>51.181465799999998</v>
      </c>
      <c r="AA24" s="59">
        <v>38.510422400000003</v>
      </c>
      <c r="AB24" s="31">
        <v>22952.706031000002</v>
      </c>
      <c r="AC24" s="31">
        <v>272.949184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4.2101735999999992</v>
      </c>
      <c r="K25" s="21">
        <f t="shared" si="1"/>
        <v>3.5084780000000002</v>
      </c>
      <c r="L25" s="19">
        <f t="shared" si="2"/>
        <v>42101736</v>
      </c>
      <c r="M25" s="19">
        <f t="shared" si="3"/>
        <v>10984576</v>
      </c>
      <c r="N25" s="44">
        <v>23021184</v>
      </c>
      <c r="O25" s="22">
        <v>42101736</v>
      </c>
      <c r="P25" s="22">
        <v>6298328</v>
      </c>
      <c r="Q25" s="22">
        <v>0</v>
      </c>
      <c r="R25" s="22">
        <v>4686248</v>
      </c>
      <c r="S25" s="22">
        <v>30973008</v>
      </c>
      <c r="T25" s="22">
        <v>144152</v>
      </c>
      <c r="U25" s="45">
        <v>74.058275399999999</v>
      </c>
      <c r="V25" s="45">
        <v>75.888761200000005</v>
      </c>
      <c r="W25" s="45">
        <v>31.193319800000001</v>
      </c>
      <c r="X25" s="45">
        <v>39.919392999999999</v>
      </c>
      <c r="Y25" s="45">
        <v>36.623196499999999</v>
      </c>
      <c r="Z25" s="45">
        <v>44.989101400000003</v>
      </c>
      <c r="AA25" s="45">
        <v>28.250093</v>
      </c>
      <c r="AB25" s="23">
        <v>9858.8645780000006</v>
      </c>
      <c r="AC25" s="23">
        <v>74.365133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8.3148736000000003</v>
      </c>
      <c r="K26" s="37">
        <f t="shared" si="1"/>
        <v>6.9290613333333333</v>
      </c>
      <c r="L26" s="35">
        <f t="shared" si="2"/>
        <v>83148736</v>
      </c>
      <c r="M26" s="35">
        <f t="shared" si="3"/>
        <v>17251616</v>
      </c>
      <c r="N26" s="46">
        <v>46064000</v>
      </c>
      <c r="O26" s="38">
        <v>83148736</v>
      </c>
      <c r="P26" s="38">
        <v>10601608</v>
      </c>
      <c r="Q26" s="38">
        <v>0</v>
      </c>
      <c r="R26" s="38">
        <v>6650008</v>
      </c>
      <c r="S26" s="38">
        <v>65748232</v>
      </c>
      <c r="T26" s="38">
        <v>148888</v>
      </c>
      <c r="U26" s="47">
        <v>76.968085200000004</v>
      </c>
      <c r="V26" s="47">
        <v>79.343828999999999</v>
      </c>
      <c r="W26" s="47">
        <v>33.483154300000002</v>
      </c>
      <c r="X26" s="47">
        <v>41.846792800000003</v>
      </c>
      <c r="Y26" s="47">
        <v>39.464857000000002</v>
      </c>
      <c r="Z26" s="47">
        <v>46.565333699999996</v>
      </c>
      <c r="AA26" s="47">
        <v>30.918636100000001</v>
      </c>
      <c r="AB26" s="39">
        <v>19483.679533999999</v>
      </c>
      <c r="AC26" s="39">
        <v>199.04849999999999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12.434348</v>
      </c>
      <c r="K27" s="21">
        <f t="shared" si="1"/>
        <v>10.361956666666666</v>
      </c>
      <c r="L27" s="19">
        <f t="shared" si="2"/>
        <v>124343480</v>
      </c>
      <c r="M27" s="19">
        <f t="shared" si="3"/>
        <v>25902008</v>
      </c>
      <c r="N27" s="44">
        <v>92146368</v>
      </c>
      <c r="O27" s="22">
        <v>124343480</v>
      </c>
      <c r="P27" s="22">
        <v>20128352</v>
      </c>
      <c r="Q27" s="22">
        <v>0</v>
      </c>
      <c r="R27" s="22">
        <v>5773656</v>
      </c>
      <c r="S27" s="22">
        <v>98294760</v>
      </c>
      <c r="T27" s="22">
        <v>146712</v>
      </c>
      <c r="U27" s="45">
        <v>79.029781400000005</v>
      </c>
      <c r="V27" s="45">
        <v>81.913136800000004</v>
      </c>
      <c r="W27" s="45">
        <v>34.554384200000001</v>
      </c>
      <c r="X27" s="45">
        <v>43.2154363</v>
      </c>
      <c r="Y27" s="45">
        <v>41.2796436</v>
      </c>
      <c r="Z27" s="45">
        <v>47.9127972</v>
      </c>
      <c r="AA27" s="45">
        <v>32.266000599999998</v>
      </c>
      <c r="AB27" s="23">
        <v>50488.407758000001</v>
      </c>
      <c r="AC27" s="23">
        <v>610.75694799999997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17.720026399999998</v>
      </c>
      <c r="K28" s="37">
        <f t="shared" si="1"/>
        <v>14.766688666666667</v>
      </c>
      <c r="L28" s="35">
        <f t="shared" si="2"/>
        <v>177200264</v>
      </c>
      <c r="M28" s="35">
        <f t="shared" si="3"/>
        <v>44305144</v>
      </c>
      <c r="N28" s="46">
        <v>184310144</v>
      </c>
      <c r="O28" s="38">
        <v>177200264</v>
      </c>
      <c r="P28" s="38">
        <v>39383496</v>
      </c>
      <c r="Q28" s="38">
        <v>0</v>
      </c>
      <c r="R28" s="38">
        <v>4921648</v>
      </c>
      <c r="S28" s="38">
        <v>132749560</v>
      </c>
      <c r="T28" s="38">
        <v>145560</v>
      </c>
      <c r="U28" s="47">
        <v>80.511204199999995</v>
      </c>
      <c r="V28" s="47">
        <v>84.029137199999994</v>
      </c>
      <c r="W28" s="47">
        <v>35.315130799999999</v>
      </c>
      <c r="X28" s="47">
        <v>43.566855699999998</v>
      </c>
      <c r="Y28" s="47">
        <v>41.762590500000002</v>
      </c>
      <c r="Z28" s="47">
        <v>49.282397899999999</v>
      </c>
      <c r="AA28" s="47">
        <v>33.443242699999999</v>
      </c>
      <c r="AB28" s="39">
        <v>59123.318555999998</v>
      </c>
      <c r="AC28" s="39">
        <v>662.23855400000002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26.133764800000002</v>
      </c>
      <c r="K29" s="52">
        <f t="shared" si="1"/>
        <v>21.778137333333333</v>
      </c>
      <c r="L29" s="49">
        <f t="shared" si="2"/>
        <v>261337648</v>
      </c>
      <c r="M29" s="49">
        <f t="shared" si="3"/>
        <v>70451144</v>
      </c>
      <c r="N29" s="53">
        <v>368630976</v>
      </c>
      <c r="O29" s="54">
        <v>261337648</v>
      </c>
      <c r="P29" s="54">
        <v>69829552</v>
      </c>
      <c r="Q29" s="54">
        <v>0</v>
      </c>
      <c r="R29" s="54">
        <v>621592</v>
      </c>
      <c r="S29" s="54">
        <v>190743112</v>
      </c>
      <c r="T29" s="54">
        <v>143392</v>
      </c>
      <c r="U29" s="55">
        <v>82.361929599999996</v>
      </c>
      <c r="V29" s="55">
        <v>86.597101600000002</v>
      </c>
      <c r="W29" s="55">
        <v>35.969946200000003</v>
      </c>
      <c r="X29" s="55">
        <v>44.186425200000002</v>
      </c>
      <c r="Y29" s="55">
        <v>42.575769999999999</v>
      </c>
      <c r="Z29" s="55">
        <v>50.736334100000001</v>
      </c>
      <c r="AA29" s="55">
        <v>34.488734999999998</v>
      </c>
      <c r="AB29" s="56">
        <v>74972.121209999998</v>
      </c>
      <c r="AC29" s="56">
        <v>969.68400099999997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2.1059223999999999</v>
      </c>
      <c r="K30" s="37">
        <f t="shared" si="1"/>
        <v>3.5112435628997605</v>
      </c>
      <c r="L30" s="35">
        <f t="shared" si="2"/>
        <v>21059224</v>
      </c>
      <c r="M30" s="35">
        <f t="shared" si="3"/>
        <v>6631344</v>
      </c>
      <c r="N30" s="46">
        <v>11261056</v>
      </c>
      <c r="O30" s="38">
        <v>21059224</v>
      </c>
      <c r="P30" s="38">
        <v>3551488</v>
      </c>
      <c r="Q30" s="38">
        <v>0</v>
      </c>
      <c r="R30" s="38">
        <v>3079856</v>
      </c>
      <c r="S30" s="38">
        <v>14356048</v>
      </c>
      <c r="T30" s="38">
        <v>71832</v>
      </c>
      <c r="U30" s="47">
        <v>73.912907200000006</v>
      </c>
      <c r="V30" s="47">
        <v>75.724823900000004</v>
      </c>
      <c r="W30" s="47">
        <v>37.6295024</v>
      </c>
      <c r="X30" s="47">
        <v>44.043655100000002</v>
      </c>
      <c r="Y30" s="47">
        <v>42.6408737</v>
      </c>
      <c r="Z30" s="47">
        <v>48.547445600000003</v>
      </c>
      <c r="AA30" s="47">
        <v>34.619809699999998</v>
      </c>
      <c r="AB30" s="39">
        <v>9210.2131439999994</v>
      </c>
      <c r="AC30" s="39">
        <v>118.47935200000001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4.1723080000000001</v>
      </c>
      <c r="K31" s="21">
        <f t="shared" si="1"/>
        <v>6.9565666842402045</v>
      </c>
      <c r="L31" s="19">
        <f t="shared" si="2"/>
        <v>41723080</v>
      </c>
      <c r="M31" s="19">
        <f t="shared" si="3"/>
        <v>8745504</v>
      </c>
      <c r="N31" s="44">
        <v>11261056</v>
      </c>
      <c r="O31" s="22">
        <v>41723080</v>
      </c>
      <c r="P31" s="22">
        <v>3551488</v>
      </c>
      <c r="Q31" s="22">
        <v>0</v>
      </c>
      <c r="R31" s="22">
        <v>5194016</v>
      </c>
      <c r="S31" s="22">
        <v>32904752</v>
      </c>
      <c r="T31" s="22">
        <v>72824</v>
      </c>
      <c r="U31" s="45">
        <v>75.575875199999999</v>
      </c>
      <c r="V31" s="45">
        <v>77.666668099999995</v>
      </c>
      <c r="W31" s="45">
        <v>39.959415399999997</v>
      </c>
      <c r="X31" s="45">
        <v>45.737257999999997</v>
      </c>
      <c r="Y31" s="45">
        <v>44.5809225</v>
      </c>
      <c r="Z31" s="45">
        <v>49.4237441</v>
      </c>
      <c r="AA31" s="45">
        <v>36.129508100000002</v>
      </c>
      <c r="AB31" s="23">
        <v>6728.7686800000001</v>
      </c>
      <c r="AC31" s="23">
        <v>73.66686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6.3157944000000006</v>
      </c>
      <c r="K32" s="37">
        <f t="shared" si="1"/>
        <v>10.530441402588412</v>
      </c>
      <c r="L32" s="35">
        <f t="shared" si="2"/>
        <v>63157944</v>
      </c>
      <c r="M32" s="35">
        <f t="shared" si="3"/>
        <v>15171064</v>
      </c>
      <c r="N32" s="46">
        <v>11450400</v>
      </c>
      <c r="O32" s="38">
        <v>63157944</v>
      </c>
      <c r="P32" s="38">
        <v>9457280</v>
      </c>
      <c r="Q32" s="38">
        <v>0</v>
      </c>
      <c r="R32" s="38">
        <v>5713784</v>
      </c>
      <c r="S32" s="38">
        <v>47924008</v>
      </c>
      <c r="T32" s="38">
        <v>62872</v>
      </c>
      <c r="U32" s="47">
        <v>78.206238499999998</v>
      </c>
      <c r="V32" s="47">
        <v>80.881154199999997</v>
      </c>
      <c r="W32" s="47">
        <v>41.281582800000002</v>
      </c>
      <c r="X32" s="47">
        <v>46.4662291</v>
      </c>
      <c r="Y32" s="47">
        <v>45.431432999999998</v>
      </c>
      <c r="Z32" s="47">
        <v>51.017535799999997</v>
      </c>
      <c r="AA32" s="47">
        <v>37.746594399999999</v>
      </c>
      <c r="AB32" s="39">
        <v>12588.803046000001</v>
      </c>
      <c r="AC32" s="39">
        <v>72.080325999999999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9.1006423999999999</v>
      </c>
      <c r="K33" s="21">
        <f t="shared" si="1"/>
        <v>15.173670238396546</v>
      </c>
      <c r="L33" s="19">
        <f t="shared" si="2"/>
        <v>91006424</v>
      </c>
      <c r="M33" s="19">
        <f t="shared" si="3"/>
        <v>18770144</v>
      </c>
      <c r="N33" s="44">
        <v>11450400</v>
      </c>
      <c r="O33" s="22">
        <v>91006424</v>
      </c>
      <c r="P33" s="22">
        <v>9457280</v>
      </c>
      <c r="Q33" s="22">
        <v>0</v>
      </c>
      <c r="R33" s="22">
        <v>9312864</v>
      </c>
      <c r="S33" s="22">
        <v>72174160</v>
      </c>
      <c r="T33" s="22">
        <v>62120</v>
      </c>
      <c r="U33" s="45">
        <v>79.485783799999993</v>
      </c>
      <c r="V33" s="45">
        <v>82.676977100000002</v>
      </c>
      <c r="W33" s="45">
        <v>42.226490599999998</v>
      </c>
      <c r="X33" s="45">
        <v>47.608255700000001</v>
      </c>
      <c r="Y33" s="45">
        <v>46.772000300000002</v>
      </c>
      <c r="Z33" s="45">
        <v>51.644053800000002</v>
      </c>
      <c r="AA33" s="45">
        <v>38.847399699999997</v>
      </c>
      <c r="AB33" s="23">
        <v>26917.054892</v>
      </c>
      <c r="AC33" s="23">
        <v>300.597106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13.118216</v>
      </c>
      <c r="K34" s="29">
        <f t="shared" si="1"/>
        <v>21.872245381277413</v>
      </c>
      <c r="L34" s="27">
        <f t="shared" si="2"/>
        <v>131182160</v>
      </c>
      <c r="M34" s="27">
        <f t="shared" si="3"/>
        <v>30187632</v>
      </c>
      <c r="N34" s="58">
        <v>34479248</v>
      </c>
      <c r="O34" s="30">
        <v>131182160</v>
      </c>
      <c r="P34" s="30">
        <v>21663200</v>
      </c>
      <c r="Q34" s="30">
        <v>0</v>
      </c>
      <c r="R34" s="30">
        <v>8524432</v>
      </c>
      <c r="S34" s="30">
        <v>100932520</v>
      </c>
      <c r="T34" s="30">
        <v>62008</v>
      </c>
      <c r="U34" s="59">
        <v>82.214963800000007</v>
      </c>
      <c r="V34" s="59">
        <v>86.809732400000001</v>
      </c>
      <c r="W34" s="59">
        <v>43.211781199999997</v>
      </c>
      <c r="X34" s="59">
        <v>48.346214000000003</v>
      </c>
      <c r="Y34" s="59">
        <v>47.597341800000002</v>
      </c>
      <c r="Z34" s="59">
        <v>54.019654199999998</v>
      </c>
      <c r="AA34" s="59">
        <v>40.9473141</v>
      </c>
      <c r="AB34" s="31">
        <v>35826.455847999998</v>
      </c>
      <c r="AC34" s="31">
        <v>308.28553900000003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4</v>
      </c>
      <c r="J35" s="20">
        <f t="shared" si="0"/>
        <v>3.9005207999999998</v>
      </c>
      <c r="K35" s="21">
        <f t="shared" si="1"/>
        <v>4.3339119999999998</v>
      </c>
      <c r="L35" s="19">
        <f t="shared" si="2"/>
        <v>39005208</v>
      </c>
      <c r="M35" s="19">
        <f t="shared" si="3"/>
        <v>13059056</v>
      </c>
      <c r="N35" s="44">
        <v>17191488</v>
      </c>
      <c r="O35" s="22">
        <v>39005208</v>
      </c>
      <c r="P35" s="22">
        <v>5819720</v>
      </c>
      <c r="Q35" s="22">
        <v>0</v>
      </c>
      <c r="R35" s="22">
        <v>7239336</v>
      </c>
      <c r="S35" s="22">
        <v>25800496</v>
      </c>
      <c r="T35" s="22">
        <v>145656</v>
      </c>
      <c r="U35" s="45">
        <v>71.610853899999995</v>
      </c>
      <c r="V35" s="45">
        <v>73.051043300000003</v>
      </c>
      <c r="W35" s="45">
        <v>29.709333900000001</v>
      </c>
      <c r="X35" s="45">
        <v>38.765835299999999</v>
      </c>
      <c r="Y35" s="45">
        <v>38.434842199999999</v>
      </c>
      <c r="Z35" s="45">
        <v>47.739767200000003</v>
      </c>
      <c r="AA35" s="45">
        <v>28.480529700000002</v>
      </c>
      <c r="AB35" s="23">
        <v>8828.6662849999993</v>
      </c>
      <c r="AC35" s="23">
        <v>71.509065000000007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6</v>
      </c>
      <c r="J36" s="36">
        <f t="shared" si="0"/>
        <v>6.0681855999999996</v>
      </c>
      <c r="K36" s="37">
        <f t="shared" si="1"/>
        <v>6.7424284444444442</v>
      </c>
      <c r="L36" s="35">
        <f t="shared" si="2"/>
        <v>60681856</v>
      </c>
      <c r="M36" s="35">
        <f t="shared" si="3"/>
        <v>16706904</v>
      </c>
      <c r="N36" s="46">
        <v>34432704</v>
      </c>
      <c r="O36" s="38">
        <v>60681856</v>
      </c>
      <c r="P36" s="38">
        <v>8905928</v>
      </c>
      <c r="Q36" s="38">
        <v>0</v>
      </c>
      <c r="R36" s="38">
        <v>7800976</v>
      </c>
      <c r="S36" s="38">
        <v>43830800</v>
      </c>
      <c r="T36" s="38">
        <v>144152</v>
      </c>
      <c r="U36" s="47">
        <v>74.284737100000001</v>
      </c>
      <c r="V36" s="47">
        <v>76.131039799999996</v>
      </c>
      <c r="W36" s="47">
        <v>30.361982900000001</v>
      </c>
      <c r="X36" s="47">
        <v>38.942172499999998</v>
      </c>
      <c r="Y36" s="47">
        <v>38.721780099999997</v>
      </c>
      <c r="Z36" s="47">
        <v>49.119924599999997</v>
      </c>
      <c r="AA36" s="47">
        <v>28.974348299999999</v>
      </c>
      <c r="AB36" s="39">
        <v>10066.673271</v>
      </c>
      <c r="AC36" s="39">
        <v>87.665009999999995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11</v>
      </c>
      <c r="J37" s="20">
        <f t="shared" si="0"/>
        <v>11.0602632</v>
      </c>
      <c r="K37" s="21">
        <f t="shared" si="1"/>
        <v>12.289181333333334</v>
      </c>
      <c r="L37" s="19">
        <f t="shared" si="2"/>
        <v>110602632</v>
      </c>
      <c r="M37" s="19">
        <f t="shared" si="3"/>
        <v>19974128</v>
      </c>
      <c r="N37" s="44">
        <v>68915264</v>
      </c>
      <c r="O37" s="22">
        <v>110602632</v>
      </c>
      <c r="P37" s="22">
        <v>15120776</v>
      </c>
      <c r="Q37" s="22">
        <v>0</v>
      </c>
      <c r="R37" s="22">
        <v>4853352</v>
      </c>
      <c r="S37" s="22">
        <v>90480824</v>
      </c>
      <c r="T37" s="22">
        <v>147680</v>
      </c>
      <c r="U37" s="45">
        <v>75.086979600000006</v>
      </c>
      <c r="V37" s="45">
        <v>77.0162251</v>
      </c>
      <c r="W37" s="45">
        <v>31.290020599999998</v>
      </c>
      <c r="X37" s="45">
        <v>39.172568200000001</v>
      </c>
      <c r="Y37" s="45">
        <v>39.3013987</v>
      </c>
      <c r="Z37" s="45">
        <v>49.6284943</v>
      </c>
      <c r="AA37" s="45">
        <v>30.290074000000001</v>
      </c>
      <c r="AB37" s="23">
        <v>55531.486176999999</v>
      </c>
      <c r="AC37" s="23">
        <v>675.35541499999999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16</v>
      </c>
      <c r="J38" s="36">
        <f t="shared" si="0"/>
        <v>16.221545599999999</v>
      </c>
      <c r="K38" s="37">
        <f t="shared" si="1"/>
        <v>18.023939555555554</v>
      </c>
      <c r="L38" s="35">
        <f t="shared" si="2"/>
        <v>162215456</v>
      </c>
      <c r="M38" s="35">
        <f t="shared" si="3"/>
        <v>26398456</v>
      </c>
      <c r="N38" s="46">
        <v>68915264</v>
      </c>
      <c r="O38" s="38">
        <v>162215456</v>
      </c>
      <c r="P38" s="38">
        <v>16749120</v>
      </c>
      <c r="Q38" s="38">
        <v>0</v>
      </c>
      <c r="R38" s="38">
        <v>9649336</v>
      </c>
      <c r="S38" s="38">
        <v>135667880</v>
      </c>
      <c r="T38" s="38">
        <v>149120</v>
      </c>
      <c r="U38" s="47">
        <v>76.796837100000005</v>
      </c>
      <c r="V38" s="47">
        <v>79.113179900000006</v>
      </c>
      <c r="W38" s="47">
        <v>31.979237099999999</v>
      </c>
      <c r="X38" s="47">
        <v>39.244430399999999</v>
      </c>
      <c r="Y38" s="47">
        <v>39.429664500000001</v>
      </c>
      <c r="Z38" s="47">
        <v>50.571166699999999</v>
      </c>
      <c r="AA38" s="47">
        <v>31.010995999999999</v>
      </c>
      <c r="AB38" s="39">
        <v>54502.280362999998</v>
      </c>
      <c r="AC38" s="39">
        <v>640.85487799999999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24</v>
      </c>
      <c r="J39" s="51">
        <f t="shared" si="0"/>
        <v>24.308245600000003</v>
      </c>
      <c r="K39" s="52">
        <f t="shared" si="1"/>
        <v>27.009161777777777</v>
      </c>
      <c r="L39" s="49">
        <f t="shared" si="2"/>
        <v>243082456</v>
      </c>
      <c r="M39" s="49">
        <f t="shared" si="3"/>
        <v>37167704</v>
      </c>
      <c r="N39" s="53">
        <v>137868480</v>
      </c>
      <c r="O39" s="54">
        <v>243082456</v>
      </c>
      <c r="P39" s="54">
        <v>29395784</v>
      </c>
      <c r="Q39" s="54">
        <v>0</v>
      </c>
      <c r="R39" s="54">
        <v>7771920</v>
      </c>
      <c r="S39" s="54">
        <v>205768768</v>
      </c>
      <c r="T39" s="54">
        <v>145984</v>
      </c>
      <c r="U39" s="55">
        <v>79.011041399999996</v>
      </c>
      <c r="V39" s="55">
        <v>81.883715300000006</v>
      </c>
      <c r="W39" s="55">
        <v>32.781288799999999</v>
      </c>
      <c r="X39" s="55">
        <v>39.328758700000002</v>
      </c>
      <c r="Y39" s="55">
        <v>39.580514899999997</v>
      </c>
      <c r="Z39" s="55">
        <v>51.786278000000003</v>
      </c>
      <c r="AA39" s="55">
        <v>31.861111600000001</v>
      </c>
      <c r="AB39" s="56">
        <v>61839.633553</v>
      </c>
      <c r="AC39" s="56">
        <v>760.28272000000004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4</v>
      </c>
      <c r="J40" s="36">
        <f t="shared" si="0"/>
        <v>3.9969535999999999</v>
      </c>
      <c r="K40" s="37">
        <f t="shared" si="1"/>
        <v>4.4410595555555554</v>
      </c>
      <c r="L40" s="35">
        <f t="shared" si="2"/>
        <v>39969536</v>
      </c>
      <c r="M40" s="35">
        <f t="shared" si="3"/>
        <v>11428312</v>
      </c>
      <c r="N40" s="46">
        <v>17235840</v>
      </c>
      <c r="O40" s="38">
        <v>39969536</v>
      </c>
      <c r="P40" s="38">
        <v>5086080</v>
      </c>
      <c r="Q40" s="38">
        <v>0</v>
      </c>
      <c r="R40" s="38">
        <v>6342232</v>
      </c>
      <c r="S40" s="38">
        <v>28396744</v>
      </c>
      <c r="T40" s="38">
        <v>144480</v>
      </c>
      <c r="U40" s="47">
        <v>72.455786700000004</v>
      </c>
      <c r="V40" s="47">
        <v>73.762802399999998</v>
      </c>
      <c r="W40" s="47">
        <v>32.587914400000003</v>
      </c>
      <c r="X40" s="47">
        <v>42.269735400000002</v>
      </c>
      <c r="Y40" s="47">
        <v>42.522797500000003</v>
      </c>
      <c r="Z40" s="47">
        <v>48.107129999999998</v>
      </c>
      <c r="AA40" s="47">
        <v>31.762613999999999</v>
      </c>
      <c r="AB40" s="39">
        <v>17706.675521000001</v>
      </c>
      <c r="AC40" s="39">
        <v>182.62922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6</v>
      </c>
      <c r="J41" s="20">
        <f t="shared" si="0"/>
        <v>6.0371464000000001</v>
      </c>
      <c r="K41" s="21">
        <f t="shared" si="1"/>
        <v>6.7079404444444446</v>
      </c>
      <c r="L41" s="19">
        <f t="shared" si="2"/>
        <v>60371464</v>
      </c>
      <c r="M41" s="19">
        <f t="shared" si="3"/>
        <v>12346592</v>
      </c>
      <c r="N41" s="44">
        <v>17235840</v>
      </c>
      <c r="O41" s="22">
        <v>60371464</v>
      </c>
      <c r="P41" s="22">
        <v>5510856</v>
      </c>
      <c r="Q41" s="22">
        <v>0</v>
      </c>
      <c r="R41" s="22">
        <v>6835736</v>
      </c>
      <c r="S41" s="22">
        <v>47879880</v>
      </c>
      <c r="T41" s="22">
        <v>144992</v>
      </c>
      <c r="U41" s="45">
        <v>72.683218299999993</v>
      </c>
      <c r="V41" s="45">
        <v>74.019790400000005</v>
      </c>
      <c r="W41" s="45">
        <v>33.238038400000001</v>
      </c>
      <c r="X41" s="45">
        <v>42.519485400000001</v>
      </c>
      <c r="Y41" s="45">
        <v>42.810131499999997</v>
      </c>
      <c r="Z41" s="45">
        <v>48.240197700000003</v>
      </c>
      <c r="AA41" s="45">
        <v>32.1791664</v>
      </c>
      <c r="AB41" s="23">
        <v>46024.684869999997</v>
      </c>
      <c r="AC41" s="23">
        <v>569.89790100000005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11</v>
      </c>
      <c r="J42" s="36">
        <f t="shared" si="0"/>
        <v>10.886376800000001</v>
      </c>
      <c r="K42" s="37">
        <f t="shared" si="1"/>
        <v>12.095974222222223</v>
      </c>
      <c r="L42" s="35">
        <f t="shared" si="2"/>
        <v>108863768</v>
      </c>
      <c r="M42" s="35">
        <f t="shared" si="3"/>
        <v>20991016</v>
      </c>
      <c r="N42" s="46">
        <v>69038976</v>
      </c>
      <c r="O42" s="38">
        <v>108863768</v>
      </c>
      <c r="P42" s="38">
        <v>14623696</v>
      </c>
      <c r="Q42" s="38">
        <v>0</v>
      </c>
      <c r="R42" s="38">
        <v>6367320</v>
      </c>
      <c r="S42" s="38">
        <v>87724496</v>
      </c>
      <c r="T42" s="38">
        <v>148256</v>
      </c>
      <c r="U42" s="47">
        <v>76.339067900000003</v>
      </c>
      <c r="V42" s="47">
        <v>78.199997600000003</v>
      </c>
      <c r="W42" s="47">
        <v>34.191313100000002</v>
      </c>
      <c r="X42" s="47">
        <v>42.860916799999998</v>
      </c>
      <c r="Y42" s="47">
        <v>43.343266100000001</v>
      </c>
      <c r="Z42" s="47">
        <v>50.513347000000003</v>
      </c>
      <c r="AA42" s="47">
        <v>33.359301899999998</v>
      </c>
      <c r="AB42" s="39">
        <v>53896.436998999998</v>
      </c>
      <c r="AC42" s="39">
        <v>640.34140600000001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16</v>
      </c>
      <c r="J43" s="20">
        <f t="shared" si="0"/>
        <v>16.045302400000001</v>
      </c>
      <c r="K43" s="21">
        <f t="shared" si="1"/>
        <v>17.828113777777777</v>
      </c>
      <c r="L43" s="19">
        <f t="shared" si="2"/>
        <v>160453024</v>
      </c>
      <c r="M43" s="19">
        <f t="shared" si="3"/>
        <v>25355112</v>
      </c>
      <c r="N43" s="44">
        <v>69038976</v>
      </c>
      <c r="O43" s="22">
        <v>160453024</v>
      </c>
      <c r="P43" s="22">
        <v>16243648</v>
      </c>
      <c r="Q43" s="22">
        <v>0</v>
      </c>
      <c r="R43" s="22">
        <v>9111464</v>
      </c>
      <c r="S43" s="22">
        <v>134948880</v>
      </c>
      <c r="T43" s="22">
        <v>149032</v>
      </c>
      <c r="U43" s="45">
        <v>77.358937400000002</v>
      </c>
      <c r="V43" s="45">
        <v>79.445987200000005</v>
      </c>
      <c r="W43" s="45">
        <v>34.866913500000003</v>
      </c>
      <c r="X43" s="45">
        <v>42.994676499999997</v>
      </c>
      <c r="Y43" s="45">
        <v>43.5309271</v>
      </c>
      <c r="Z43" s="45">
        <v>51.0219752</v>
      </c>
      <c r="AA43" s="45">
        <v>33.973621600000001</v>
      </c>
      <c r="AB43" s="23">
        <v>50502.839074000003</v>
      </c>
      <c r="AC43" s="23">
        <v>582.75275999999997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24</v>
      </c>
      <c r="J44" s="28">
        <f t="shared" si="0"/>
        <v>24.150256800000001</v>
      </c>
      <c r="K44" s="29">
        <f t="shared" si="1"/>
        <v>26.833618666666666</v>
      </c>
      <c r="L44" s="27">
        <f t="shared" si="2"/>
        <v>241502568</v>
      </c>
      <c r="M44" s="27">
        <f t="shared" si="3"/>
        <v>35317112</v>
      </c>
      <c r="N44" s="58">
        <v>138091776</v>
      </c>
      <c r="O44" s="30">
        <v>241502568</v>
      </c>
      <c r="P44" s="30">
        <v>25416328</v>
      </c>
      <c r="Q44" s="30">
        <v>0</v>
      </c>
      <c r="R44" s="30">
        <v>9900784</v>
      </c>
      <c r="S44" s="30">
        <v>206039064</v>
      </c>
      <c r="T44" s="30">
        <v>146392</v>
      </c>
      <c r="U44" s="59">
        <v>79.691180599999996</v>
      </c>
      <c r="V44" s="59">
        <v>82.374938900000004</v>
      </c>
      <c r="W44" s="59">
        <v>35.703664400000001</v>
      </c>
      <c r="X44" s="59">
        <v>43.123830300000002</v>
      </c>
      <c r="Y44" s="59">
        <v>43.721444599999998</v>
      </c>
      <c r="Z44" s="59">
        <v>52.423546100000003</v>
      </c>
      <c r="AA44" s="59">
        <v>34.928612399999999</v>
      </c>
      <c r="AB44" s="31">
        <v>60721.743656999999</v>
      </c>
      <c r="AC44" s="31">
        <v>707.13346999999999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4.2307199999999998</v>
      </c>
      <c r="K45" s="21">
        <f t="shared" ref="K45:K49" si="13">IF(ISBLANK(O45),"·",O45/D45)</f>
        <v>0.70517641411312904</v>
      </c>
      <c r="L45" s="19">
        <f t="shared" ref="L45:L49" si="14">IF(OR(ISBLANK(M45),ISBLANK(S45),ISBLANK(T45)),".",M45+S45+T45)</f>
        <v>141024</v>
      </c>
      <c r="M45" s="19">
        <f t="shared" ref="M45:M49" si="15">IF(OR(ISBLANK(Q45),ISBLANK(P45),ISBLANK(R45)),".",P45+Q45+R45)</f>
        <v>46112</v>
      </c>
      <c r="N45" s="44">
        <v>76800</v>
      </c>
      <c r="O45" s="22">
        <v>141024</v>
      </c>
      <c r="P45" s="22">
        <v>21336</v>
      </c>
      <c r="Q45" s="22">
        <v>0</v>
      </c>
      <c r="R45" s="22">
        <v>24776</v>
      </c>
      <c r="S45" s="22">
        <v>93312</v>
      </c>
      <c r="T45" s="22">
        <v>1600</v>
      </c>
      <c r="U45" s="45">
        <v>74.524426899999995</v>
      </c>
      <c r="V45" s="45">
        <v>76.5139341</v>
      </c>
      <c r="W45" s="45">
        <v>30.238096599999999</v>
      </c>
      <c r="X45" s="45">
        <v>41.188856000000001</v>
      </c>
      <c r="Y45" s="45">
        <v>39.595556700000003</v>
      </c>
      <c r="Z45" s="45">
        <v>54.122185100000003</v>
      </c>
      <c r="AA45" s="45">
        <v>29.431978399999998</v>
      </c>
      <c r="AB45" s="23">
        <v>64.830330000000004</v>
      </c>
      <c r="AC45" s="23">
        <v>0.29238500000000001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6.4752000000000001</v>
      </c>
      <c r="K46" s="37">
        <f t="shared" si="13"/>
        <v>1.0792863429074326</v>
      </c>
      <c r="L46" s="35">
        <f t="shared" si="14"/>
        <v>215840</v>
      </c>
      <c r="M46" s="35">
        <f t="shared" si="15"/>
        <v>56264</v>
      </c>
      <c r="N46" s="46">
        <v>153600</v>
      </c>
      <c r="O46" s="38">
        <v>215840</v>
      </c>
      <c r="P46" s="38">
        <v>35112</v>
      </c>
      <c r="Q46" s="38">
        <v>0</v>
      </c>
      <c r="R46" s="38">
        <v>21152</v>
      </c>
      <c r="S46" s="38">
        <v>157928</v>
      </c>
      <c r="T46" s="38">
        <v>1648</v>
      </c>
      <c r="U46" s="47">
        <v>75.687530499999994</v>
      </c>
      <c r="V46" s="47">
        <v>77.986673800000005</v>
      </c>
      <c r="W46" s="47">
        <v>31.157793900000001</v>
      </c>
      <c r="X46" s="47">
        <v>42.283162599999997</v>
      </c>
      <c r="Y46" s="47">
        <v>40.591721100000001</v>
      </c>
      <c r="Z46" s="47">
        <v>54.831061499999997</v>
      </c>
      <c r="AA46" s="47">
        <v>29.977537999999999</v>
      </c>
      <c r="AB46" s="39">
        <v>67.135733000000002</v>
      </c>
      <c r="AC46" s="39">
        <v>0.387735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10.710240000000001</v>
      </c>
      <c r="K47" s="21">
        <f t="shared" si="13"/>
        <v>1.78518281462517</v>
      </c>
      <c r="L47" s="19">
        <f t="shared" si="14"/>
        <v>357008</v>
      </c>
      <c r="M47" s="19">
        <f t="shared" si="15"/>
        <v>81576</v>
      </c>
      <c r="N47" s="44">
        <v>307200</v>
      </c>
      <c r="O47" s="22">
        <v>357008</v>
      </c>
      <c r="P47" s="22">
        <v>66632</v>
      </c>
      <c r="Q47" s="22">
        <v>0</v>
      </c>
      <c r="R47" s="22">
        <v>14944</v>
      </c>
      <c r="S47" s="22">
        <v>273784</v>
      </c>
      <c r="T47" s="22">
        <v>1648</v>
      </c>
      <c r="U47" s="45">
        <v>77.288102699999996</v>
      </c>
      <c r="V47" s="45">
        <v>79.929790100000005</v>
      </c>
      <c r="W47" s="45">
        <v>31.751473900000001</v>
      </c>
      <c r="X47" s="45">
        <v>44.319451600000001</v>
      </c>
      <c r="Y47" s="45">
        <v>43.1361816</v>
      </c>
      <c r="Z47" s="45">
        <v>55.7650285</v>
      </c>
      <c r="AA47" s="45">
        <v>31.127217000000002</v>
      </c>
      <c r="AB47" s="23">
        <v>188.11172099999999</v>
      </c>
      <c r="AC47" s="23">
        <v>3.2257829999999998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14.266080000000001</v>
      </c>
      <c r="K48" s="37">
        <f t="shared" si="13"/>
        <v>2.3778702296183694</v>
      </c>
      <c r="L48" s="35">
        <f t="shared" si="14"/>
        <v>475536</v>
      </c>
      <c r="M48" s="35">
        <f t="shared" si="15"/>
        <v>90800</v>
      </c>
      <c r="N48" s="46">
        <v>307200</v>
      </c>
      <c r="O48" s="38">
        <v>475536</v>
      </c>
      <c r="P48" s="38">
        <v>66632</v>
      </c>
      <c r="Q48" s="38">
        <v>0</v>
      </c>
      <c r="R48" s="38">
        <v>24168</v>
      </c>
      <c r="S48" s="38">
        <v>383064</v>
      </c>
      <c r="T48" s="38">
        <v>1672</v>
      </c>
      <c r="U48" s="47">
        <v>78.687753099999995</v>
      </c>
      <c r="V48" s="47">
        <v>81.812540100000007</v>
      </c>
      <c r="W48" s="47">
        <v>32.306105199999998</v>
      </c>
      <c r="X48" s="47">
        <v>44.626617199999998</v>
      </c>
      <c r="Y48" s="47">
        <v>43.605740500000003</v>
      </c>
      <c r="Z48" s="47">
        <v>56.752282999999998</v>
      </c>
      <c r="AA48" s="47">
        <v>31.7123879</v>
      </c>
      <c r="AB48" s="39">
        <v>192.19537500000001</v>
      </c>
      <c r="AC48" s="39">
        <v>2.0739429999999999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22.335360000000001</v>
      </c>
      <c r="K49" s="52">
        <f t="shared" si="13"/>
        <v>3.7228578286262901</v>
      </c>
      <c r="L49" s="49">
        <f t="shared" si="14"/>
        <v>744512</v>
      </c>
      <c r="M49" s="49">
        <f t="shared" si="15"/>
        <v>147464</v>
      </c>
      <c r="N49" s="53">
        <v>614272</v>
      </c>
      <c r="O49" s="54">
        <v>744512</v>
      </c>
      <c r="P49" s="54">
        <v>119000</v>
      </c>
      <c r="Q49" s="54">
        <v>0</v>
      </c>
      <c r="R49" s="54">
        <v>28464</v>
      </c>
      <c r="S49" s="54">
        <v>595352</v>
      </c>
      <c r="T49" s="54">
        <v>1696</v>
      </c>
      <c r="U49" s="55">
        <v>80.405805299999997</v>
      </c>
      <c r="V49" s="55">
        <v>84.458735300000001</v>
      </c>
      <c r="W49" s="55">
        <v>33.127863400000003</v>
      </c>
      <c r="X49" s="55">
        <v>45.293516500000003</v>
      </c>
      <c r="Y49" s="55">
        <v>44.381829199999999</v>
      </c>
      <c r="Z49" s="55">
        <v>57.884126000000002</v>
      </c>
      <c r="AA49" s="55">
        <v>32.596452999999997</v>
      </c>
      <c r="AB49" s="56">
        <v>213.730681</v>
      </c>
      <c r="AC49" s="56">
        <v>2.4729779999999999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12.611185985544768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9.0163939599735965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12.584690952359004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1.9340747259780784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10.614222047383423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1093932.115251</v>
      </c>
      <c r="AC55" s="43">
        <f>SUM(AC5:AC14,AC15:AC24,AC25:AC44,AC45:AC49)</f>
        <v>12275.644284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-22725696</v>
      </c>
      <c r="AJ60" s="88">
        <f t="shared" ref="AJ60:AJ98" si="39">AJ5-O5</f>
        <v>-51825472</v>
      </c>
      <c r="AK60" s="88">
        <f t="shared" ref="AK60:AK98" si="40">AK5-P5</f>
        <v>-7887216</v>
      </c>
      <c r="AL60" s="88">
        <f t="shared" ref="AL60:AL98" si="41">AL5-Q5</f>
        <v>0</v>
      </c>
      <c r="AM60" s="88">
        <f t="shared" ref="AM60:AM98" si="42">AM5-R5</f>
        <v>-7608256</v>
      </c>
      <c r="AN60" s="88">
        <f t="shared" ref="AN60:AN98" si="43">AN5-S5</f>
        <v>-36191936</v>
      </c>
      <c r="AO60" s="88">
        <f t="shared" ref="AO60:AO98" si="44">AO5-T5</f>
        <v>-138064</v>
      </c>
      <c r="AP60" s="88">
        <f t="shared" ref="AP60:AP98" si="45">AP5-U5</f>
        <v>-69.925030100000001</v>
      </c>
      <c r="AQ60" s="89">
        <f t="shared" ref="AQ60:AQ98" si="46">AQ5-V5</f>
        <v>-71.158221800000007</v>
      </c>
      <c r="AR60" s="89">
        <f t="shared" ref="AR60:AR98" si="47">AR5-W5</f>
        <v>-28.8263672</v>
      </c>
      <c r="AS60" s="89">
        <f t="shared" ref="AS60:AS98" si="48">AS5-X5</f>
        <v>-33.888464399999997</v>
      </c>
      <c r="AT60" s="89">
        <f t="shared" ref="AT60:AT98" si="49">AT5-Y5</f>
        <v>-33.332082300000003</v>
      </c>
      <c r="AU60" s="89">
        <f t="shared" ref="AU60:AU98" si="50">AU5-Z5</f>
        <v>-48.876094999999999</v>
      </c>
      <c r="AV60" s="90">
        <f t="shared" ref="AV60:AV98" si="51">AV5-AA5</f>
        <v>-27.4999681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-22725696</v>
      </c>
      <c r="AJ61" s="91">
        <f t="shared" si="39"/>
        <v>-95320528</v>
      </c>
      <c r="AK61" s="91">
        <f t="shared" si="40"/>
        <v>-8520872</v>
      </c>
      <c r="AL61" s="91">
        <f t="shared" si="41"/>
        <v>0</v>
      </c>
      <c r="AM61" s="91">
        <f t="shared" si="42"/>
        <v>-9471608</v>
      </c>
      <c r="AN61" s="91">
        <f t="shared" si="43"/>
        <v>-77191984</v>
      </c>
      <c r="AO61" s="91">
        <f t="shared" si="44"/>
        <v>-136064</v>
      </c>
      <c r="AP61" s="91">
        <f t="shared" si="45"/>
        <v>-70.5938041</v>
      </c>
      <c r="AQ61" s="92">
        <f t="shared" si="46"/>
        <v>-71.917406400000004</v>
      </c>
      <c r="AR61" s="92">
        <f t="shared" si="47"/>
        <v>-31.575235200000002</v>
      </c>
      <c r="AS61" s="92">
        <f t="shared" si="48"/>
        <v>-35.106202799999998</v>
      </c>
      <c r="AT61" s="92">
        <f t="shared" si="49"/>
        <v>-34.661237200000002</v>
      </c>
      <c r="AU61" s="92">
        <f t="shared" si="50"/>
        <v>-49.192850200000002</v>
      </c>
      <c r="AV61" s="93">
        <f t="shared" si="51"/>
        <v>-29.1133901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-45556032</v>
      </c>
      <c r="AJ62" s="91">
        <f t="shared" si="39"/>
        <v>-128435296</v>
      </c>
      <c r="AK62" s="91">
        <f t="shared" si="40"/>
        <v>-12332384</v>
      </c>
      <c r="AL62" s="91">
        <f t="shared" si="41"/>
        <v>0</v>
      </c>
      <c r="AM62" s="91">
        <f t="shared" si="42"/>
        <v>-7144296</v>
      </c>
      <c r="AN62" s="91">
        <f t="shared" si="43"/>
        <v>-108821592</v>
      </c>
      <c r="AO62" s="91">
        <f t="shared" si="44"/>
        <v>-137024</v>
      </c>
      <c r="AP62" s="91">
        <f t="shared" si="45"/>
        <v>-71.777135700000002</v>
      </c>
      <c r="AQ62" s="92">
        <f t="shared" si="46"/>
        <v>-73.290745299999998</v>
      </c>
      <c r="AR62" s="92">
        <f t="shared" si="47"/>
        <v>-32.689670100000001</v>
      </c>
      <c r="AS62" s="92">
        <f t="shared" si="48"/>
        <v>-36.902195200000001</v>
      </c>
      <c r="AT62" s="92">
        <f t="shared" si="49"/>
        <v>-36.630856100000003</v>
      </c>
      <c r="AU62" s="92">
        <f t="shared" si="50"/>
        <v>-49.979964600000002</v>
      </c>
      <c r="AV62" s="93">
        <f t="shared" si="51"/>
        <v>-30.3206591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-45556032</v>
      </c>
      <c r="AJ63" s="91">
        <f t="shared" si="39"/>
        <v>-160679784</v>
      </c>
      <c r="AK63" s="91">
        <f t="shared" si="40"/>
        <v>-13490960</v>
      </c>
      <c r="AL63" s="91">
        <f t="shared" si="41"/>
        <v>0</v>
      </c>
      <c r="AM63" s="91">
        <f t="shared" si="42"/>
        <v>-12669320</v>
      </c>
      <c r="AN63" s="91">
        <f t="shared" si="43"/>
        <v>-134377024</v>
      </c>
      <c r="AO63" s="91">
        <f t="shared" si="44"/>
        <v>-142480</v>
      </c>
      <c r="AP63" s="91">
        <f t="shared" si="45"/>
        <v>-73.727552599999996</v>
      </c>
      <c r="AQ63" s="92">
        <f t="shared" si="46"/>
        <v>-75.535735399999993</v>
      </c>
      <c r="AR63" s="92">
        <f t="shared" si="47"/>
        <v>-33.656807899999997</v>
      </c>
      <c r="AS63" s="92">
        <f t="shared" si="48"/>
        <v>-37.432023800000003</v>
      </c>
      <c r="AT63" s="92">
        <f t="shared" si="49"/>
        <v>-37.1589381</v>
      </c>
      <c r="AU63" s="92">
        <f t="shared" si="50"/>
        <v>-50.876900200000001</v>
      </c>
      <c r="AV63" s="93">
        <f t="shared" si="51"/>
        <v>-31.428720599999998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-91604096</v>
      </c>
      <c r="AJ64" s="91">
        <f t="shared" si="39"/>
        <v>-232525584</v>
      </c>
      <c r="AK64" s="91">
        <f t="shared" si="40"/>
        <v>-20164504</v>
      </c>
      <c r="AL64" s="91">
        <f t="shared" si="41"/>
        <v>0</v>
      </c>
      <c r="AM64" s="91">
        <f t="shared" si="42"/>
        <v>-22900872</v>
      </c>
      <c r="AN64" s="91">
        <f t="shared" si="43"/>
        <v>-189314704</v>
      </c>
      <c r="AO64" s="91">
        <f t="shared" si="44"/>
        <v>-145504</v>
      </c>
      <c r="AP64" s="91">
        <f t="shared" si="45"/>
        <v>-76.601567500000002</v>
      </c>
      <c r="AQ64" s="92">
        <f t="shared" si="46"/>
        <v>-79.086631800000006</v>
      </c>
      <c r="AR64" s="92">
        <f t="shared" si="47"/>
        <v>-34.993146899999999</v>
      </c>
      <c r="AS64" s="92">
        <f t="shared" si="48"/>
        <v>-38.528710599999997</v>
      </c>
      <c r="AT64" s="92">
        <f t="shared" si="49"/>
        <v>-38.233246800000003</v>
      </c>
      <c r="AU64" s="92">
        <f t="shared" si="50"/>
        <v>-52.5771874</v>
      </c>
      <c r="AV64" s="93">
        <f t="shared" si="51"/>
        <v>-33.093998200000001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-22538688</v>
      </c>
      <c r="AJ65" s="91">
        <f t="shared" si="39"/>
        <v>-50676928</v>
      </c>
      <c r="AK65" s="91">
        <f t="shared" si="40"/>
        <v>-8319776</v>
      </c>
      <c r="AL65" s="91">
        <f t="shared" si="41"/>
        <v>0</v>
      </c>
      <c r="AM65" s="91">
        <f t="shared" si="42"/>
        <v>-6179400</v>
      </c>
      <c r="AN65" s="91">
        <f t="shared" si="43"/>
        <v>-36035440</v>
      </c>
      <c r="AO65" s="91">
        <f t="shared" si="44"/>
        <v>-142312</v>
      </c>
      <c r="AP65" s="91">
        <f t="shared" si="45"/>
        <v>-66.038805699999998</v>
      </c>
      <c r="AQ65" s="92">
        <f t="shared" si="46"/>
        <v>-66.818975499999993</v>
      </c>
      <c r="AR65" s="92">
        <f t="shared" si="47"/>
        <v>-32.276989100000002</v>
      </c>
      <c r="AS65" s="92">
        <f t="shared" si="48"/>
        <v>-44.9215144</v>
      </c>
      <c r="AT65" s="92">
        <f t="shared" si="49"/>
        <v>-45.219603499999998</v>
      </c>
      <c r="AU65" s="92">
        <f t="shared" si="50"/>
        <v>-44.733105799999997</v>
      </c>
      <c r="AV65" s="93">
        <f t="shared" si="51"/>
        <v>-29.865523799999998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-45393792</v>
      </c>
      <c r="AJ66" s="91">
        <f t="shared" si="39"/>
        <v>-90807136</v>
      </c>
      <c r="AK66" s="91">
        <f t="shared" si="40"/>
        <v>-13076384</v>
      </c>
      <c r="AL66" s="91">
        <f t="shared" si="41"/>
        <v>0</v>
      </c>
      <c r="AM66" s="91">
        <f t="shared" si="42"/>
        <v>-10023712</v>
      </c>
      <c r="AN66" s="91">
        <f t="shared" si="43"/>
        <v>-67562720</v>
      </c>
      <c r="AO66" s="91">
        <f t="shared" si="44"/>
        <v>-144320</v>
      </c>
      <c r="AP66" s="91">
        <f t="shared" si="45"/>
        <v>-70.410790300000002</v>
      </c>
      <c r="AQ66" s="92">
        <f t="shared" si="46"/>
        <v>-71.820904400000003</v>
      </c>
      <c r="AR66" s="92">
        <f t="shared" si="47"/>
        <v>-34.976656499999997</v>
      </c>
      <c r="AS66" s="92">
        <f t="shared" si="48"/>
        <v>-45.573652699999997</v>
      </c>
      <c r="AT66" s="92">
        <f t="shared" si="49"/>
        <v>-45.956707799999997</v>
      </c>
      <c r="AU66" s="92">
        <f t="shared" si="50"/>
        <v>-47.199334499999999</v>
      </c>
      <c r="AV66" s="93">
        <f t="shared" si="51"/>
        <v>-32.566121199999998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-45393792</v>
      </c>
      <c r="AJ67" s="91">
        <f t="shared" si="39"/>
        <v>-120315200</v>
      </c>
      <c r="AK67" s="91">
        <f t="shared" si="40"/>
        <v>-13076384</v>
      </c>
      <c r="AL67" s="91">
        <f t="shared" si="41"/>
        <v>0</v>
      </c>
      <c r="AM67" s="91">
        <f t="shared" si="42"/>
        <v>-21872416</v>
      </c>
      <c r="AN67" s="91">
        <f t="shared" si="43"/>
        <v>-85230248</v>
      </c>
      <c r="AO67" s="91">
        <f t="shared" si="44"/>
        <v>-136152</v>
      </c>
      <c r="AP67" s="91">
        <f t="shared" si="45"/>
        <v>-72.903725600000001</v>
      </c>
      <c r="AQ67" s="92">
        <f t="shared" si="46"/>
        <v>-74.710225800000003</v>
      </c>
      <c r="AR67" s="92">
        <f t="shared" si="47"/>
        <v>-36.048320799999999</v>
      </c>
      <c r="AS67" s="92">
        <f t="shared" si="48"/>
        <v>-45.8961933</v>
      </c>
      <c r="AT67" s="92">
        <f t="shared" si="49"/>
        <v>-46.318562999999997</v>
      </c>
      <c r="AU67" s="92">
        <f t="shared" si="50"/>
        <v>-48.419752899999999</v>
      </c>
      <c r="AV67" s="93">
        <f t="shared" si="51"/>
        <v>-33.896996000000001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-91443328</v>
      </c>
      <c r="AJ68" s="91">
        <f t="shared" si="39"/>
        <v>-150415032</v>
      </c>
      <c r="AK68" s="91">
        <f t="shared" si="40"/>
        <v>-21543912</v>
      </c>
      <c r="AL68" s="91">
        <f t="shared" si="41"/>
        <v>0</v>
      </c>
      <c r="AM68" s="91">
        <f t="shared" si="42"/>
        <v>-20835184</v>
      </c>
      <c r="AN68" s="91">
        <f t="shared" si="43"/>
        <v>-107891728</v>
      </c>
      <c r="AO68" s="91">
        <f t="shared" si="44"/>
        <v>-144208</v>
      </c>
      <c r="AP68" s="91">
        <f t="shared" si="45"/>
        <v>-74.553950700000001</v>
      </c>
      <c r="AQ68" s="92">
        <f t="shared" si="46"/>
        <v>-76.680432499999995</v>
      </c>
      <c r="AR68" s="92">
        <f t="shared" si="47"/>
        <v>-37.120989000000002</v>
      </c>
      <c r="AS68" s="92">
        <f t="shared" si="48"/>
        <v>-46.687601800000003</v>
      </c>
      <c r="AT68" s="92">
        <f t="shared" si="49"/>
        <v>-47.226831400000002</v>
      </c>
      <c r="AU68" s="92">
        <f t="shared" si="50"/>
        <v>-49.495946099999998</v>
      </c>
      <c r="AV68" s="93">
        <f t="shared" si="51"/>
        <v>-35.031046799999999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-91443328</v>
      </c>
      <c r="AJ69" s="91">
        <f t="shared" si="39"/>
        <v>-221095416</v>
      </c>
      <c r="AK69" s="91">
        <f t="shared" si="40"/>
        <v>-23773744</v>
      </c>
      <c r="AL69" s="91">
        <f t="shared" si="41"/>
        <v>0</v>
      </c>
      <c r="AM69" s="91">
        <f t="shared" si="42"/>
        <v>-28675464</v>
      </c>
      <c r="AN69" s="91">
        <f t="shared" si="43"/>
        <v>-168503848</v>
      </c>
      <c r="AO69" s="91">
        <f t="shared" si="44"/>
        <v>-142360</v>
      </c>
      <c r="AP69" s="91">
        <f t="shared" si="45"/>
        <v>-75.585639</v>
      </c>
      <c r="AQ69" s="92">
        <f t="shared" si="46"/>
        <v>-77.978027400000002</v>
      </c>
      <c r="AR69" s="92">
        <f t="shared" si="47"/>
        <v>-38.809512099999999</v>
      </c>
      <c r="AS69" s="92">
        <f t="shared" si="48"/>
        <v>-47.744309999999999</v>
      </c>
      <c r="AT69" s="92">
        <f t="shared" si="49"/>
        <v>-48.377020999999999</v>
      </c>
      <c r="AU69" s="92">
        <f t="shared" si="50"/>
        <v>-50.023421499999998</v>
      </c>
      <c r="AV69" s="93">
        <f t="shared" si="51"/>
        <v>-36.307148300000001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-22706944</v>
      </c>
      <c r="AJ70" s="91">
        <f t="shared" si="39"/>
        <v>-30563792</v>
      </c>
      <c r="AK70" s="91">
        <f t="shared" si="40"/>
        <v>-6506808</v>
      </c>
      <c r="AL70" s="91">
        <f t="shared" si="41"/>
        <v>0</v>
      </c>
      <c r="AM70" s="91">
        <f t="shared" si="42"/>
        <v>-4501360</v>
      </c>
      <c r="AN70" s="91">
        <f t="shared" si="43"/>
        <v>-19412264</v>
      </c>
      <c r="AO70" s="91">
        <f t="shared" si="44"/>
        <v>-143360</v>
      </c>
      <c r="AP70" s="91">
        <f t="shared" si="45"/>
        <v>-71.424397999999997</v>
      </c>
      <c r="AQ70" s="92">
        <f t="shared" si="46"/>
        <v>-72.793320300000005</v>
      </c>
      <c r="AR70" s="92">
        <f t="shared" si="47"/>
        <v>-35.7718767</v>
      </c>
      <c r="AS70" s="92">
        <f t="shared" si="48"/>
        <v>-43.301866500000003</v>
      </c>
      <c r="AT70" s="92">
        <f t="shared" si="49"/>
        <v>-45.175281200000001</v>
      </c>
      <c r="AU70" s="92">
        <f t="shared" si="50"/>
        <v>-45.778157899999997</v>
      </c>
      <c r="AV70" s="93">
        <f t="shared" si="51"/>
        <v>-32.537465900000001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-22706944</v>
      </c>
      <c r="AJ71" s="91">
        <f t="shared" si="39"/>
        <v>-51185008</v>
      </c>
      <c r="AK71" s="91">
        <f t="shared" si="40"/>
        <v>-7086528</v>
      </c>
      <c r="AL71" s="91">
        <f t="shared" si="41"/>
        <v>0</v>
      </c>
      <c r="AM71" s="91">
        <f t="shared" si="42"/>
        <v>-6797376</v>
      </c>
      <c r="AN71" s="91">
        <f t="shared" si="43"/>
        <v>-37157304</v>
      </c>
      <c r="AO71" s="91">
        <f t="shared" si="44"/>
        <v>-143800</v>
      </c>
      <c r="AP71" s="91">
        <f t="shared" si="45"/>
        <v>-73.136002000000005</v>
      </c>
      <c r="AQ71" s="92">
        <f t="shared" si="46"/>
        <v>-74.705603699999998</v>
      </c>
      <c r="AR71" s="92">
        <f t="shared" si="47"/>
        <v>-38.571488299999999</v>
      </c>
      <c r="AS71" s="92">
        <f t="shared" si="48"/>
        <v>-43.936299499999997</v>
      </c>
      <c r="AT71" s="92">
        <f t="shared" si="49"/>
        <v>-46.405677500000003</v>
      </c>
      <c r="AU71" s="92">
        <f t="shared" si="50"/>
        <v>-46.605209899999998</v>
      </c>
      <c r="AV71" s="93">
        <f t="shared" si="51"/>
        <v>-34.221408500000003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-45429504</v>
      </c>
      <c r="AJ72" s="91">
        <f t="shared" si="39"/>
        <v>-99578160</v>
      </c>
      <c r="AK72" s="91">
        <f t="shared" si="40"/>
        <v>-11908040</v>
      </c>
      <c r="AL72" s="91">
        <f t="shared" si="41"/>
        <v>0</v>
      </c>
      <c r="AM72" s="91">
        <f t="shared" si="42"/>
        <v>-14877264</v>
      </c>
      <c r="AN72" s="91">
        <f t="shared" si="43"/>
        <v>-72649824</v>
      </c>
      <c r="AO72" s="91">
        <f t="shared" si="44"/>
        <v>-143032</v>
      </c>
      <c r="AP72" s="91">
        <f t="shared" si="45"/>
        <v>-77.848685799999998</v>
      </c>
      <c r="AQ72" s="92">
        <f t="shared" si="46"/>
        <v>-80.316428700000003</v>
      </c>
      <c r="AR72" s="92">
        <f t="shared" si="47"/>
        <v>-41.213871099999999</v>
      </c>
      <c r="AS72" s="92">
        <f t="shared" si="48"/>
        <v>-44.812050200000002</v>
      </c>
      <c r="AT72" s="92">
        <f t="shared" si="49"/>
        <v>-48.042486199999999</v>
      </c>
      <c r="AU72" s="92">
        <f t="shared" si="50"/>
        <v>-48.980116600000002</v>
      </c>
      <c r="AV72" s="93">
        <f t="shared" si="51"/>
        <v>-37.358794400000001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-90872832</v>
      </c>
      <c r="AJ73" s="91">
        <f t="shared" si="39"/>
        <v>-142196040</v>
      </c>
      <c r="AK73" s="91">
        <f t="shared" si="40"/>
        <v>-20517200</v>
      </c>
      <c r="AL73" s="91">
        <f t="shared" si="41"/>
        <v>0</v>
      </c>
      <c r="AM73" s="91">
        <f t="shared" si="42"/>
        <v>-16097832</v>
      </c>
      <c r="AN73" s="91">
        <f t="shared" si="43"/>
        <v>-105437576</v>
      </c>
      <c r="AO73" s="91">
        <f t="shared" si="44"/>
        <v>-143432</v>
      </c>
      <c r="AP73" s="91">
        <f t="shared" si="45"/>
        <v>-79.167824600000003</v>
      </c>
      <c r="AQ73" s="92">
        <f t="shared" si="46"/>
        <v>-82.110062400000004</v>
      </c>
      <c r="AR73" s="92">
        <f t="shared" si="47"/>
        <v>-42.2146349</v>
      </c>
      <c r="AS73" s="92">
        <f t="shared" si="48"/>
        <v>-45.504964600000001</v>
      </c>
      <c r="AT73" s="92">
        <f t="shared" si="49"/>
        <v>-49.193667099999999</v>
      </c>
      <c r="AU73" s="92">
        <f t="shared" si="50"/>
        <v>-49.923829900000001</v>
      </c>
      <c r="AV73" s="93">
        <f t="shared" si="51"/>
        <v>-38.493111200000001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-90872832</v>
      </c>
      <c r="AJ74" s="91">
        <f t="shared" si="39"/>
        <v>-213654904</v>
      </c>
      <c r="AK74" s="91">
        <f t="shared" si="40"/>
        <v>-20517200</v>
      </c>
      <c r="AL74" s="91">
        <f t="shared" si="41"/>
        <v>0</v>
      </c>
      <c r="AM74" s="91">
        <f t="shared" si="42"/>
        <v>-18131976</v>
      </c>
      <c r="AN74" s="91">
        <f t="shared" si="43"/>
        <v>-174861728</v>
      </c>
      <c r="AO74" s="91">
        <f t="shared" si="44"/>
        <v>-144000</v>
      </c>
      <c r="AP74" s="91">
        <f t="shared" si="45"/>
        <v>-79.519995499999993</v>
      </c>
      <c r="AQ74" s="92">
        <f t="shared" si="46"/>
        <v>-82.634190700000005</v>
      </c>
      <c r="AR74" s="92">
        <f t="shared" si="47"/>
        <v>-43.252623499999999</v>
      </c>
      <c r="AS74" s="92">
        <f t="shared" si="48"/>
        <v>-46.456497200000001</v>
      </c>
      <c r="AT74" s="92">
        <f t="shared" si="49"/>
        <v>-50.485123799999997</v>
      </c>
      <c r="AU74" s="92">
        <f t="shared" si="50"/>
        <v>-50.125952599999998</v>
      </c>
      <c r="AV74" s="93">
        <f t="shared" si="51"/>
        <v>-39.046145600000003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-22662720</v>
      </c>
      <c r="AJ75" s="91">
        <f t="shared" si="39"/>
        <v>-29067152</v>
      </c>
      <c r="AK75" s="91">
        <f t="shared" si="40"/>
        <v>-6353472</v>
      </c>
      <c r="AL75" s="91">
        <f t="shared" si="41"/>
        <v>0</v>
      </c>
      <c r="AM75" s="91">
        <f t="shared" si="42"/>
        <v>-4249968</v>
      </c>
      <c r="AN75" s="91">
        <f t="shared" si="43"/>
        <v>-18321208</v>
      </c>
      <c r="AO75" s="91">
        <f t="shared" si="44"/>
        <v>-142504</v>
      </c>
      <c r="AP75" s="91">
        <f t="shared" si="45"/>
        <v>-71.636878199999998</v>
      </c>
      <c r="AQ75" s="92">
        <f t="shared" si="46"/>
        <v>-73.042622600000001</v>
      </c>
      <c r="AR75" s="92">
        <f t="shared" si="47"/>
        <v>-34.717123000000001</v>
      </c>
      <c r="AS75" s="92">
        <f t="shared" si="48"/>
        <v>-42.7410961</v>
      </c>
      <c r="AT75" s="92">
        <f t="shared" si="49"/>
        <v>-44.124179599999998</v>
      </c>
      <c r="AU75" s="92">
        <f t="shared" si="50"/>
        <v>-46.8245127</v>
      </c>
      <c r="AV75" s="93">
        <f t="shared" si="51"/>
        <v>-31.7055884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-22662720</v>
      </c>
      <c r="AJ76" s="91">
        <f t="shared" si="39"/>
        <v>-49249096</v>
      </c>
      <c r="AK76" s="91">
        <f t="shared" si="40"/>
        <v>-6353472</v>
      </c>
      <c r="AL76" s="91">
        <f t="shared" si="41"/>
        <v>0</v>
      </c>
      <c r="AM76" s="91">
        <f t="shared" si="42"/>
        <v>-4746328</v>
      </c>
      <c r="AN76" s="91">
        <f t="shared" si="43"/>
        <v>-38005288</v>
      </c>
      <c r="AO76" s="91">
        <f t="shared" si="44"/>
        <v>-144008</v>
      </c>
      <c r="AP76" s="91">
        <f t="shared" si="45"/>
        <v>-72.093227299999995</v>
      </c>
      <c r="AQ76" s="92">
        <f t="shared" si="46"/>
        <v>-73.554868099999993</v>
      </c>
      <c r="AR76" s="92">
        <f t="shared" si="47"/>
        <v>-37.528611699999999</v>
      </c>
      <c r="AS76" s="92">
        <f t="shared" si="48"/>
        <v>-43.942102499999997</v>
      </c>
      <c r="AT76" s="92">
        <f t="shared" si="49"/>
        <v>-45.995998100000001</v>
      </c>
      <c r="AU76" s="92">
        <f t="shared" si="50"/>
        <v>-47.016984600000001</v>
      </c>
      <c r="AV76" s="93">
        <f t="shared" si="51"/>
        <v>-32.972761400000003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-45333632</v>
      </c>
      <c r="AJ77" s="91">
        <f t="shared" si="39"/>
        <v>-99264224</v>
      </c>
      <c r="AK77" s="91">
        <f t="shared" si="40"/>
        <v>-10591696</v>
      </c>
      <c r="AL77" s="91">
        <f t="shared" si="41"/>
        <v>0</v>
      </c>
      <c r="AM77" s="91">
        <f t="shared" si="42"/>
        <v>-14395528</v>
      </c>
      <c r="AN77" s="91">
        <f t="shared" si="43"/>
        <v>-74133472</v>
      </c>
      <c r="AO77" s="91">
        <f t="shared" si="44"/>
        <v>-143528</v>
      </c>
      <c r="AP77" s="91">
        <f t="shared" si="45"/>
        <v>-77.959518700000004</v>
      </c>
      <c r="AQ77" s="92">
        <f t="shared" si="46"/>
        <v>-80.586041800000004</v>
      </c>
      <c r="AR77" s="92">
        <f t="shared" si="47"/>
        <v>-40.484860500000003</v>
      </c>
      <c r="AS77" s="92">
        <f t="shared" si="48"/>
        <v>-45.198962399999999</v>
      </c>
      <c r="AT77" s="92">
        <f t="shared" si="49"/>
        <v>-48.080576600000001</v>
      </c>
      <c r="AU77" s="92">
        <f t="shared" si="50"/>
        <v>-50.015318000000001</v>
      </c>
      <c r="AV77" s="93">
        <f t="shared" si="51"/>
        <v>-36.799939600000002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-90678336</v>
      </c>
      <c r="AJ78" s="91">
        <f t="shared" si="39"/>
        <v>-140920048</v>
      </c>
      <c r="AK78" s="91">
        <f t="shared" si="40"/>
        <v>-22375480</v>
      </c>
      <c r="AL78" s="91">
        <f t="shared" si="41"/>
        <v>0</v>
      </c>
      <c r="AM78" s="91">
        <f t="shared" si="42"/>
        <v>-13024192</v>
      </c>
      <c r="AN78" s="91">
        <f t="shared" si="43"/>
        <v>-105374712</v>
      </c>
      <c r="AO78" s="91">
        <f t="shared" si="44"/>
        <v>-145664</v>
      </c>
      <c r="AP78" s="91">
        <f t="shared" si="45"/>
        <v>-78.858965600000005</v>
      </c>
      <c r="AQ78" s="92">
        <f t="shared" si="46"/>
        <v>-81.8200717</v>
      </c>
      <c r="AR78" s="92">
        <f t="shared" si="47"/>
        <v>-41.499012200000003</v>
      </c>
      <c r="AS78" s="92">
        <f t="shared" si="48"/>
        <v>-45.728217600000001</v>
      </c>
      <c r="AT78" s="92">
        <f t="shared" si="49"/>
        <v>-48.834078900000002</v>
      </c>
      <c r="AU78" s="92">
        <f t="shared" si="50"/>
        <v>-50.796126700000002</v>
      </c>
      <c r="AV78" s="93">
        <f t="shared" si="51"/>
        <v>-37.741275399999999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-90678336</v>
      </c>
      <c r="AJ79" s="91">
        <f t="shared" si="39"/>
        <v>-210703016</v>
      </c>
      <c r="AK79" s="91">
        <f t="shared" si="40"/>
        <v>-20179616</v>
      </c>
      <c r="AL79" s="91">
        <f t="shared" si="41"/>
        <v>0</v>
      </c>
      <c r="AM79" s="91">
        <f t="shared" si="42"/>
        <v>-17200864</v>
      </c>
      <c r="AN79" s="91">
        <f t="shared" si="43"/>
        <v>-173179712</v>
      </c>
      <c r="AO79" s="91">
        <f t="shared" si="44"/>
        <v>-142824</v>
      </c>
      <c r="AP79" s="91">
        <f t="shared" si="45"/>
        <v>-79.551517799999999</v>
      </c>
      <c r="AQ79" s="92">
        <f t="shared" si="46"/>
        <v>-82.882568399999997</v>
      </c>
      <c r="AR79" s="92">
        <f t="shared" si="47"/>
        <v>-42.4954386</v>
      </c>
      <c r="AS79" s="92">
        <f t="shared" si="48"/>
        <v>-46.803018899999998</v>
      </c>
      <c r="AT79" s="92">
        <f t="shared" si="49"/>
        <v>-50.194191799999999</v>
      </c>
      <c r="AU79" s="92">
        <f t="shared" si="50"/>
        <v>-51.181465799999998</v>
      </c>
      <c r="AV79" s="93">
        <f t="shared" si="51"/>
        <v>-38.510422400000003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-23021184</v>
      </c>
      <c r="AJ80" s="91">
        <f t="shared" si="39"/>
        <v>-42101736</v>
      </c>
      <c r="AK80" s="91">
        <f t="shared" si="40"/>
        <v>-6298328</v>
      </c>
      <c r="AL80" s="91">
        <f t="shared" si="41"/>
        <v>0</v>
      </c>
      <c r="AM80" s="91">
        <f t="shared" si="42"/>
        <v>-4686248</v>
      </c>
      <c r="AN80" s="91">
        <f t="shared" si="43"/>
        <v>-30973008</v>
      </c>
      <c r="AO80" s="91">
        <f t="shared" si="44"/>
        <v>-144152</v>
      </c>
      <c r="AP80" s="91">
        <f t="shared" si="45"/>
        <v>-74.058275399999999</v>
      </c>
      <c r="AQ80" s="92">
        <f t="shared" si="46"/>
        <v>-75.888761200000005</v>
      </c>
      <c r="AR80" s="92">
        <f t="shared" si="47"/>
        <v>-31.193319800000001</v>
      </c>
      <c r="AS80" s="92">
        <f t="shared" si="48"/>
        <v>-39.919392999999999</v>
      </c>
      <c r="AT80" s="92">
        <f t="shared" si="49"/>
        <v>-36.623196499999999</v>
      </c>
      <c r="AU80" s="92">
        <f t="shared" si="50"/>
        <v>-44.989101400000003</v>
      </c>
      <c r="AV80" s="93">
        <f t="shared" si="51"/>
        <v>-28.250093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-46064000</v>
      </c>
      <c r="AJ81" s="91">
        <f t="shared" si="39"/>
        <v>-83148736</v>
      </c>
      <c r="AK81" s="91">
        <f t="shared" si="40"/>
        <v>-10601608</v>
      </c>
      <c r="AL81" s="91">
        <f t="shared" si="41"/>
        <v>0</v>
      </c>
      <c r="AM81" s="91">
        <f t="shared" si="42"/>
        <v>-6650008</v>
      </c>
      <c r="AN81" s="91">
        <f t="shared" si="43"/>
        <v>-65748232</v>
      </c>
      <c r="AO81" s="91">
        <f t="shared" si="44"/>
        <v>-148888</v>
      </c>
      <c r="AP81" s="91">
        <f t="shared" si="45"/>
        <v>-76.968085200000004</v>
      </c>
      <c r="AQ81" s="92">
        <f t="shared" si="46"/>
        <v>-79.343828999999999</v>
      </c>
      <c r="AR81" s="92">
        <f t="shared" si="47"/>
        <v>-33.483154300000002</v>
      </c>
      <c r="AS81" s="92">
        <f t="shared" si="48"/>
        <v>-41.846792800000003</v>
      </c>
      <c r="AT81" s="92">
        <f t="shared" si="49"/>
        <v>-39.464857000000002</v>
      </c>
      <c r="AU81" s="92">
        <f t="shared" si="50"/>
        <v>-46.565333699999996</v>
      </c>
      <c r="AV81" s="93">
        <f t="shared" si="51"/>
        <v>-30.918636100000001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-92146368</v>
      </c>
      <c r="AJ82" s="91">
        <f t="shared" si="39"/>
        <v>-124343480</v>
      </c>
      <c r="AK82" s="91">
        <f t="shared" si="40"/>
        <v>-20128352</v>
      </c>
      <c r="AL82" s="91">
        <f t="shared" si="41"/>
        <v>0</v>
      </c>
      <c r="AM82" s="91">
        <f t="shared" si="42"/>
        <v>-5773656</v>
      </c>
      <c r="AN82" s="91">
        <f t="shared" si="43"/>
        <v>-98294760</v>
      </c>
      <c r="AO82" s="91">
        <f t="shared" si="44"/>
        <v>-146712</v>
      </c>
      <c r="AP82" s="91">
        <f t="shared" si="45"/>
        <v>-79.029781400000005</v>
      </c>
      <c r="AQ82" s="92">
        <f t="shared" si="46"/>
        <v>-81.913136800000004</v>
      </c>
      <c r="AR82" s="92">
        <f t="shared" si="47"/>
        <v>-34.554384200000001</v>
      </c>
      <c r="AS82" s="92">
        <f t="shared" si="48"/>
        <v>-43.2154363</v>
      </c>
      <c r="AT82" s="92">
        <f t="shared" si="49"/>
        <v>-41.2796436</v>
      </c>
      <c r="AU82" s="92">
        <f t="shared" si="50"/>
        <v>-47.9127972</v>
      </c>
      <c r="AV82" s="93">
        <f t="shared" si="51"/>
        <v>-32.266000599999998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-184310144</v>
      </c>
      <c r="AJ83" s="91">
        <f t="shared" si="39"/>
        <v>-177200264</v>
      </c>
      <c r="AK83" s="91">
        <f t="shared" si="40"/>
        <v>-39383496</v>
      </c>
      <c r="AL83" s="91">
        <f t="shared" si="41"/>
        <v>0</v>
      </c>
      <c r="AM83" s="91">
        <f t="shared" si="42"/>
        <v>-4921648</v>
      </c>
      <c r="AN83" s="91">
        <f t="shared" si="43"/>
        <v>-132749560</v>
      </c>
      <c r="AO83" s="91">
        <f t="shared" si="44"/>
        <v>-145560</v>
      </c>
      <c r="AP83" s="91">
        <f t="shared" si="45"/>
        <v>-80.511204199999995</v>
      </c>
      <c r="AQ83" s="92">
        <f t="shared" si="46"/>
        <v>-84.029137199999994</v>
      </c>
      <c r="AR83" s="92">
        <f t="shared" si="47"/>
        <v>-35.315130799999999</v>
      </c>
      <c r="AS83" s="92">
        <f t="shared" si="48"/>
        <v>-43.566855699999998</v>
      </c>
      <c r="AT83" s="92">
        <f t="shared" si="49"/>
        <v>-41.762590500000002</v>
      </c>
      <c r="AU83" s="92">
        <f t="shared" si="50"/>
        <v>-49.282397899999999</v>
      </c>
      <c r="AV83" s="93">
        <f t="shared" si="51"/>
        <v>-33.443242699999999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-368630976</v>
      </c>
      <c r="AJ84" s="91">
        <f t="shared" si="39"/>
        <v>-261337648</v>
      </c>
      <c r="AK84" s="91">
        <f t="shared" si="40"/>
        <v>-69829552</v>
      </c>
      <c r="AL84" s="91">
        <f t="shared" si="41"/>
        <v>0</v>
      </c>
      <c r="AM84" s="91">
        <f t="shared" si="42"/>
        <v>-621592</v>
      </c>
      <c r="AN84" s="91">
        <f t="shared" si="43"/>
        <v>-190743112</v>
      </c>
      <c r="AO84" s="91">
        <f t="shared" si="44"/>
        <v>-143392</v>
      </c>
      <c r="AP84" s="91">
        <f t="shared" si="45"/>
        <v>-82.361929599999996</v>
      </c>
      <c r="AQ84" s="92">
        <f t="shared" si="46"/>
        <v>-86.597101600000002</v>
      </c>
      <c r="AR84" s="92">
        <f t="shared" si="47"/>
        <v>-35.969946200000003</v>
      </c>
      <c r="AS84" s="92">
        <f t="shared" si="48"/>
        <v>-44.186425200000002</v>
      </c>
      <c r="AT84" s="92">
        <f t="shared" si="49"/>
        <v>-42.575769999999999</v>
      </c>
      <c r="AU84" s="92">
        <f t="shared" si="50"/>
        <v>-50.736334100000001</v>
      </c>
      <c r="AV84" s="93">
        <f t="shared" si="51"/>
        <v>-34.488734999999998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-11261056</v>
      </c>
      <c r="AJ85" s="91">
        <f t="shared" si="39"/>
        <v>-21059224</v>
      </c>
      <c r="AK85" s="91">
        <f t="shared" si="40"/>
        <v>-3551488</v>
      </c>
      <c r="AL85" s="91">
        <f t="shared" si="41"/>
        <v>0</v>
      </c>
      <c r="AM85" s="91">
        <f t="shared" si="42"/>
        <v>-3079856</v>
      </c>
      <c r="AN85" s="91">
        <f t="shared" si="43"/>
        <v>-14356048</v>
      </c>
      <c r="AO85" s="91">
        <f t="shared" si="44"/>
        <v>-71832</v>
      </c>
      <c r="AP85" s="91">
        <f t="shared" si="45"/>
        <v>-73.912907200000006</v>
      </c>
      <c r="AQ85" s="92">
        <f t="shared" si="46"/>
        <v>-75.724823900000004</v>
      </c>
      <c r="AR85" s="92">
        <f t="shared" si="47"/>
        <v>-37.6295024</v>
      </c>
      <c r="AS85" s="92">
        <f t="shared" si="48"/>
        <v>-44.043655100000002</v>
      </c>
      <c r="AT85" s="92">
        <f t="shared" si="49"/>
        <v>-42.6408737</v>
      </c>
      <c r="AU85" s="92">
        <f t="shared" si="50"/>
        <v>-48.547445600000003</v>
      </c>
      <c r="AV85" s="93">
        <f t="shared" si="51"/>
        <v>-34.619809699999998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-11261056</v>
      </c>
      <c r="AJ86" s="91">
        <f t="shared" si="39"/>
        <v>-41723080</v>
      </c>
      <c r="AK86" s="91">
        <f t="shared" si="40"/>
        <v>-3551488</v>
      </c>
      <c r="AL86" s="91">
        <f t="shared" si="41"/>
        <v>0</v>
      </c>
      <c r="AM86" s="91">
        <f t="shared" si="42"/>
        <v>-5194016</v>
      </c>
      <c r="AN86" s="91">
        <f t="shared" si="43"/>
        <v>-32904752</v>
      </c>
      <c r="AO86" s="91">
        <f t="shared" si="44"/>
        <v>-72824</v>
      </c>
      <c r="AP86" s="91">
        <f t="shared" si="45"/>
        <v>-75.575875199999999</v>
      </c>
      <c r="AQ86" s="92">
        <f t="shared" si="46"/>
        <v>-77.666668099999995</v>
      </c>
      <c r="AR86" s="92">
        <f t="shared" si="47"/>
        <v>-39.959415399999997</v>
      </c>
      <c r="AS86" s="92">
        <f t="shared" si="48"/>
        <v>-45.737257999999997</v>
      </c>
      <c r="AT86" s="92">
        <f t="shared" si="49"/>
        <v>-44.5809225</v>
      </c>
      <c r="AU86" s="92">
        <f t="shared" si="50"/>
        <v>-49.4237441</v>
      </c>
      <c r="AV86" s="93">
        <f t="shared" si="51"/>
        <v>-36.129508100000002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-11450400</v>
      </c>
      <c r="AJ87" s="91">
        <f t="shared" si="39"/>
        <v>-63157944</v>
      </c>
      <c r="AK87" s="91">
        <f t="shared" si="40"/>
        <v>-9457280</v>
      </c>
      <c r="AL87" s="91">
        <f t="shared" si="41"/>
        <v>0</v>
      </c>
      <c r="AM87" s="91">
        <f t="shared" si="42"/>
        <v>-5713784</v>
      </c>
      <c r="AN87" s="91">
        <f t="shared" si="43"/>
        <v>-47924008</v>
      </c>
      <c r="AO87" s="91">
        <f t="shared" si="44"/>
        <v>-62872</v>
      </c>
      <c r="AP87" s="91">
        <f t="shared" si="45"/>
        <v>-78.206238499999998</v>
      </c>
      <c r="AQ87" s="92">
        <f t="shared" si="46"/>
        <v>-80.881154199999997</v>
      </c>
      <c r="AR87" s="92">
        <f t="shared" si="47"/>
        <v>-41.281582800000002</v>
      </c>
      <c r="AS87" s="92">
        <f t="shared" si="48"/>
        <v>-46.4662291</v>
      </c>
      <c r="AT87" s="92">
        <f t="shared" si="49"/>
        <v>-45.431432999999998</v>
      </c>
      <c r="AU87" s="92">
        <f t="shared" si="50"/>
        <v>-51.017535799999997</v>
      </c>
      <c r="AV87" s="93">
        <f t="shared" si="51"/>
        <v>-37.746594399999999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-11450400</v>
      </c>
      <c r="AJ88" s="91">
        <f t="shared" si="39"/>
        <v>-91006424</v>
      </c>
      <c r="AK88" s="91">
        <f t="shared" si="40"/>
        <v>-9457280</v>
      </c>
      <c r="AL88" s="91">
        <f t="shared" si="41"/>
        <v>0</v>
      </c>
      <c r="AM88" s="91">
        <f t="shared" si="42"/>
        <v>-9312864</v>
      </c>
      <c r="AN88" s="91">
        <f t="shared" si="43"/>
        <v>-72174160</v>
      </c>
      <c r="AO88" s="91">
        <f t="shared" si="44"/>
        <v>-62120</v>
      </c>
      <c r="AP88" s="91">
        <f t="shared" si="45"/>
        <v>-79.485783799999993</v>
      </c>
      <c r="AQ88" s="92">
        <f t="shared" si="46"/>
        <v>-82.676977100000002</v>
      </c>
      <c r="AR88" s="92">
        <f t="shared" si="47"/>
        <v>-42.226490599999998</v>
      </c>
      <c r="AS88" s="92">
        <f t="shared" si="48"/>
        <v>-47.608255700000001</v>
      </c>
      <c r="AT88" s="92">
        <f t="shared" si="49"/>
        <v>-46.772000300000002</v>
      </c>
      <c r="AU88" s="92">
        <f t="shared" si="50"/>
        <v>-51.644053800000002</v>
      </c>
      <c r="AV88" s="93">
        <f t="shared" si="51"/>
        <v>-38.847399699999997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-34479248</v>
      </c>
      <c r="AJ89" s="91">
        <f t="shared" si="39"/>
        <v>-131182160</v>
      </c>
      <c r="AK89" s="91">
        <f t="shared" si="40"/>
        <v>-21663200</v>
      </c>
      <c r="AL89" s="91">
        <f t="shared" si="41"/>
        <v>0</v>
      </c>
      <c r="AM89" s="91">
        <f t="shared" si="42"/>
        <v>-8524432</v>
      </c>
      <c r="AN89" s="91">
        <f t="shared" si="43"/>
        <v>-100932520</v>
      </c>
      <c r="AO89" s="91">
        <f t="shared" si="44"/>
        <v>-62008</v>
      </c>
      <c r="AP89" s="91">
        <f t="shared" si="45"/>
        <v>-82.214963800000007</v>
      </c>
      <c r="AQ89" s="92">
        <f t="shared" si="46"/>
        <v>-86.809732400000001</v>
      </c>
      <c r="AR89" s="92">
        <f t="shared" si="47"/>
        <v>-43.211781199999997</v>
      </c>
      <c r="AS89" s="92">
        <f t="shared" si="48"/>
        <v>-48.346214000000003</v>
      </c>
      <c r="AT89" s="92">
        <f t="shared" si="49"/>
        <v>-47.597341800000002</v>
      </c>
      <c r="AU89" s="92">
        <f t="shared" si="50"/>
        <v>-54.019654199999998</v>
      </c>
      <c r="AV89" s="93">
        <f t="shared" si="51"/>
        <v>-40.9473141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-17191488</v>
      </c>
      <c r="AJ90" s="91">
        <f t="shared" si="39"/>
        <v>-39005208</v>
      </c>
      <c r="AK90" s="91">
        <f t="shared" si="40"/>
        <v>-5819720</v>
      </c>
      <c r="AL90" s="91">
        <f t="shared" si="41"/>
        <v>0</v>
      </c>
      <c r="AM90" s="91">
        <f t="shared" si="42"/>
        <v>-7239336</v>
      </c>
      <c r="AN90" s="91">
        <f t="shared" si="43"/>
        <v>-25800496</v>
      </c>
      <c r="AO90" s="91">
        <f t="shared" si="44"/>
        <v>-145656</v>
      </c>
      <c r="AP90" s="91">
        <f t="shared" si="45"/>
        <v>-71.610853899999995</v>
      </c>
      <c r="AQ90" s="92">
        <f t="shared" si="46"/>
        <v>-73.051043300000003</v>
      </c>
      <c r="AR90" s="92">
        <f t="shared" si="47"/>
        <v>-29.709333900000001</v>
      </c>
      <c r="AS90" s="92">
        <f t="shared" si="48"/>
        <v>-38.765835299999999</v>
      </c>
      <c r="AT90" s="92">
        <f t="shared" si="49"/>
        <v>-38.434842199999999</v>
      </c>
      <c r="AU90" s="92">
        <f t="shared" si="50"/>
        <v>-47.739767200000003</v>
      </c>
      <c r="AV90" s="93">
        <f t="shared" si="51"/>
        <v>-28.480529700000002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-34432704</v>
      </c>
      <c r="AJ91" s="91">
        <f t="shared" si="39"/>
        <v>-60681856</v>
      </c>
      <c r="AK91" s="91">
        <f t="shared" si="40"/>
        <v>-8905928</v>
      </c>
      <c r="AL91" s="91">
        <f t="shared" si="41"/>
        <v>0</v>
      </c>
      <c r="AM91" s="91">
        <f t="shared" si="42"/>
        <v>-7800976</v>
      </c>
      <c r="AN91" s="91">
        <f t="shared" si="43"/>
        <v>-43830800</v>
      </c>
      <c r="AO91" s="91">
        <f t="shared" si="44"/>
        <v>-144152</v>
      </c>
      <c r="AP91" s="91">
        <f t="shared" si="45"/>
        <v>-74.284737100000001</v>
      </c>
      <c r="AQ91" s="92">
        <f t="shared" si="46"/>
        <v>-76.131039799999996</v>
      </c>
      <c r="AR91" s="92">
        <f t="shared" si="47"/>
        <v>-30.361982900000001</v>
      </c>
      <c r="AS91" s="92">
        <f t="shared" si="48"/>
        <v>-38.942172499999998</v>
      </c>
      <c r="AT91" s="92">
        <f t="shared" si="49"/>
        <v>-38.721780099999997</v>
      </c>
      <c r="AU91" s="92">
        <f t="shared" si="50"/>
        <v>-49.119924599999997</v>
      </c>
      <c r="AV91" s="93">
        <f t="shared" si="51"/>
        <v>-28.974348299999999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-68915264</v>
      </c>
      <c r="AJ92" s="91">
        <f t="shared" si="39"/>
        <v>-110602632</v>
      </c>
      <c r="AK92" s="91">
        <f t="shared" si="40"/>
        <v>-15120776</v>
      </c>
      <c r="AL92" s="91">
        <f t="shared" si="41"/>
        <v>0</v>
      </c>
      <c r="AM92" s="91">
        <f t="shared" si="42"/>
        <v>-4853352</v>
      </c>
      <c r="AN92" s="91">
        <f t="shared" si="43"/>
        <v>-90480824</v>
      </c>
      <c r="AO92" s="91">
        <f t="shared" si="44"/>
        <v>-147680</v>
      </c>
      <c r="AP92" s="91">
        <f t="shared" si="45"/>
        <v>-75.086979600000006</v>
      </c>
      <c r="AQ92" s="92">
        <f t="shared" si="46"/>
        <v>-77.0162251</v>
      </c>
      <c r="AR92" s="92">
        <f t="shared" si="47"/>
        <v>-31.290020599999998</v>
      </c>
      <c r="AS92" s="92">
        <f t="shared" si="48"/>
        <v>-39.172568200000001</v>
      </c>
      <c r="AT92" s="92">
        <f t="shared" si="49"/>
        <v>-39.3013987</v>
      </c>
      <c r="AU92" s="92">
        <f t="shared" si="50"/>
        <v>-49.6284943</v>
      </c>
      <c r="AV92" s="93">
        <f t="shared" si="51"/>
        <v>-30.290074000000001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-68915264</v>
      </c>
      <c r="AJ93" s="91">
        <f t="shared" si="39"/>
        <v>-162215456</v>
      </c>
      <c r="AK93" s="91">
        <f t="shared" si="40"/>
        <v>-16749120</v>
      </c>
      <c r="AL93" s="91">
        <f t="shared" si="41"/>
        <v>0</v>
      </c>
      <c r="AM93" s="91">
        <f t="shared" si="42"/>
        <v>-9649336</v>
      </c>
      <c r="AN93" s="91">
        <f t="shared" si="43"/>
        <v>-135667880</v>
      </c>
      <c r="AO93" s="91">
        <f t="shared" si="44"/>
        <v>-149120</v>
      </c>
      <c r="AP93" s="91">
        <f t="shared" si="45"/>
        <v>-76.796837100000005</v>
      </c>
      <c r="AQ93" s="92">
        <f t="shared" si="46"/>
        <v>-79.113179900000006</v>
      </c>
      <c r="AR93" s="92">
        <f t="shared" si="47"/>
        <v>-31.979237099999999</v>
      </c>
      <c r="AS93" s="92">
        <f t="shared" si="48"/>
        <v>-39.244430399999999</v>
      </c>
      <c r="AT93" s="92">
        <f t="shared" si="49"/>
        <v>-39.429664500000001</v>
      </c>
      <c r="AU93" s="92">
        <f t="shared" si="50"/>
        <v>-50.571166699999999</v>
      </c>
      <c r="AV93" s="93">
        <f t="shared" si="51"/>
        <v>-31.010995999999999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-137868480</v>
      </c>
      <c r="AJ94" s="91">
        <f t="shared" si="39"/>
        <v>-243082456</v>
      </c>
      <c r="AK94" s="91">
        <f t="shared" si="40"/>
        <v>-29395784</v>
      </c>
      <c r="AL94" s="91">
        <f t="shared" si="41"/>
        <v>0</v>
      </c>
      <c r="AM94" s="91">
        <f t="shared" si="42"/>
        <v>-7771920</v>
      </c>
      <c r="AN94" s="91">
        <f t="shared" si="43"/>
        <v>-205768768</v>
      </c>
      <c r="AO94" s="91">
        <f t="shared" si="44"/>
        <v>-145984</v>
      </c>
      <c r="AP94" s="91">
        <f t="shared" si="45"/>
        <v>-79.011041399999996</v>
      </c>
      <c r="AQ94" s="92">
        <f t="shared" si="46"/>
        <v>-81.883715300000006</v>
      </c>
      <c r="AR94" s="92">
        <f t="shared" si="47"/>
        <v>-32.781288799999999</v>
      </c>
      <c r="AS94" s="92">
        <f t="shared" si="48"/>
        <v>-39.328758700000002</v>
      </c>
      <c r="AT94" s="92">
        <f t="shared" si="49"/>
        <v>-39.580514899999997</v>
      </c>
      <c r="AU94" s="92">
        <f t="shared" si="50"/>
        <v>-51.786278000000003</v>
      </c>
      <c r="AV94" s="93">
        <f t="shared" si="51"/>
        <v>-31.861111600000001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-17235840</v>
      </c>
      <c r="AJ95" s="91">
        <f t="shared" si="39"/>
        <v>-39969536</v>
      </c>
      <c r="AK95" s="91">
        <f t="shared" si="40"/>
        <v>-5086080</v>
      </c>
      <c r="AL95" s="91">
        <f t="shared" si="41"/>
        <v>0</v>
      </c>
      <c r="AM95" s="91">
        <f t="shared" si="42"/>
        <v>-6342232</v>
      </c>
      <c r="AN95" s="91">
        <f t="shared" si="43"/>
        <v>-28396744</v>
      </c>
      <c r="AO95" s="91">
        <f t="shared" si="44"/>
        <v>-144480</v>
      </c>
      <c r="AP95" s="91">
        <f t="shared" si="45"/>
        <v>-72.455786700000004</v>
      </c>
      <c r="AQ95" s="92">
        <f t="shared" si="46"/>
        <v>-73.762802399999998</v>
      </c>
      <c r="AR95" s="92">
        <f t="shared" si="47"/>
        <v>-32.587914400000003</v>
      </c>
      <c r="AS95" s="92">
        <f t="shared" si="48"/>
        <v>-42.269735400000002</v>
      </c>
      <c r="AT95" s="92">
        <f t="shared" si="49"/>
        <v>-42.522797500000003</v>
      </c>
      <c r="AU95" s="92">
        <f t="shared" si="50"/>
        <v>-48.107129999999998</v>
      </c>
      <c r="AV95" s="93">
        <f t="shared" si="51"/>
        <v>-31.762613999999999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-17235840</v>
      </c>
      <c r="AJ96" s="91">
        <f t="shared" si="39"/>
        <v>-60371464</v>
      </c>
      <c r="AK96" s="91">
        <f t="shared" si="40"/>
        <v>-5510856</v>
      </c>
      <c r="AL96" s="91">
        <f t="shared" si="41"/>
        <v>0</v>
      </c>
      <c r="AM96" s="91">
        <f t="shared" si="42"/>
        <v>-6835736</v>
      </c>
      <c r="AN96" s="91">
        <f t="shared" si="43"/>
        <v>-47879880</v>
      </c>
      <c r="AO96" s="91">
        <f t="shared" si="44"/>
        <v>-144992</v>
      </c>
      <c r="AP96" s="91">
        <f t="shared" si="45"/>
        <v>-72.683218299999993</v>
      </c>
      <c r="AQ96" s="92">
        <f t="shared" si="46"/>
        <v>-74.019790400000005</v>
      </c>
      <c r="AR96" s="92">
        <f t="shared" si="47"/>
        <v>-33.238038400000001</v>
      </c>
      <c r="AS96" s="92">
        <f t="shared" si="48"/>
        <v>-42.519485400000001</v>
      </c>
      <c r="AT96" s="92">
        <f t="shared" si="49"/>
        <v>-42.810131499999997</v>
      </c>
      <c r="AU96" s="92">
        <f t="shared" si="50"/>
        <v>-48.240197700000003</v>
      </c>
      <c r="AV96" s="93">
        <f t="shared" si="51"/>
        <v>-32.1791664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-69038976</v>
      </c>
      <c r="AJ97" s="91">
        <f t="shared" si="39"/>
        <v>-108863768</v>
      </c>
      <c r="AK97" s="91">
        <f t="shared" si="40"/>
        <v>-14623696</v>
      </c>
      <c r="AL97" s="91">
        <f t="shared" si="41"/>
        <v>0</v>
      </c>
      <c r="AM97" s="91">
        <f t="shared" si="42"/>
        <v>-6367320</v>
      </c>
      <c r="AN97" s="91">
        <f t="shared" si="43"/>
        <v>-87724496</v>
      </c>
      <c r="AO97" s="91">
        <f t="shared" si="44"/>
        <v>-148256</v>
      </c>
      <c r="AP97" s="91">
        <f t="shared" si="45"/>
        <v>-76.339067900000003</v>
      </c>
      <c r="AQ97" s="92">
        <f t="shared" si="46"/>
        <v>-78.199997600000003</v>
      </c>
      <c r="AR97" s="92">
        <f t="shared" si="47"/>
        <v>-34.191313100000002</v>
      </c>
      <c r="AS97" s="92">
        <f t="shared" si="48"/>
        <v>-42.860916799999998</v>
      </c>
      <c r="AT97" s="92">
        <f t="shared" si="49"/>
        <v>-43.343266100000001</v>
      </c>
      <c r="AU97" s="92">
        <f t="shared" si="50"/>
        <v>-50.513347000000003</v>
      </c>
      <c r="AV97" s="93">
        <f t="shared" si="51"/>
        <v>-33.359301899999998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-69038976</v>
      </c>
      <c r="AJ98" s="91">
        <f t="shared" si="39"/>
        <v>-160453024</v>
      </c>
      <c r="AK98" s="91">
        <f t="shared" si="40"/>
        <v>-16243648</v>
      </c>
      <c r="AL98" s="91">
        <f t="shared" si="41"/>
        <v>0</v>
      </c>
      <c r="AM98" s="91">
        <f t="shared" si="42"/>
        <v>-9111464</v>
      </c>
      <c r="AN98" s="91">
        <f t="shared" si="43"/>
        <v>-134948880</v>
      </c>
      <c r="AO98" s="91">
        <f t="shared" si="44"/>
        <v>-149032</v>
      </c>
      <c r="AP98" s="91">
        <f t="shared" si="45"/>
        <v>-77.358937400000002</v>
      </c>
      <c r="AQ98" s="92">
        <f t="shared" si="46"/>
        <v>-79.445987200000005</v>
      </c>
      <c r="AR98" s="92">
        <f t="shared" si="47"/>
        <v>-34.866913500000003</v>
      </c>
      <c r="AS98" s="92">
        <f t="shared" si="48"/>
        <v>-42.994676499999997</v>
      </c>
      <c r="AT98" s="92">
        <f t="shared" si="49"/>
        <v>-43.5309271</v>
      </c>
      <c r="AU98" s="92">
        <f t="shared" si="50"/>
        <v>-51.0219752</v>
      </c>
      <c r="AV98" s="93">
        <f t="shared" si="51"/>
        <v>-33.973621600000001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-138091776</v>
      </c>
      <c r="AJ99" s="94">
        <f t="shared" ref="AJ99" si="55">AJ44-O44</f>
        <v>-241502568</v>
      </c>
      <c r="AK99" s="94">
        <f t="shared" ref="AK99" si="56">AK44-P44</f>
        <v>-25416328</v>
      </c>
      <c r="AL99" s="94">
        <f t="shared" ref="AL99" si="57">AL44-Q44</f>
        <v>0</v>
      </c>
      <c r="AM99" s="94">
        <f t="shared" ref="AM99" si="58">AM44-R44</f>
        <v>-9900784</v>
      </c>
      <c r="AN99" s="94">
        <f t="shared" ref="AN99" si="59">AN44-S44</f>
        <v>-206039064</v>
      </c>
      <c r="AO99" s="94">
        <f t="shared" ref="AO99" si="60">AO44-T44</f>
        <v>-146392</v>
      </c>
      <c r="AP99" s="94">
        <f t="shared" ref="AP99" si="61">AP44-U44</f>
        <v>-79.691180599999996</v>
      </c>
      <c r="AQ99" s="95">
        <f t="shared" ref="AQ99" si="62">AQ44-V44</f>
        <v>-82.374938900000004</v>
      </c>
      <c r="AR99" s="95">
        <f t="shared" ref="AR99" si="63">AR44-W44</f>
        <v>-35.703664400000001</v>
      </c>
      <c r="AS99" s="95">
        <f t="shared" ref="AS99" si="64">AS44-X44</f>
        <v>-43.123830300000002</v>
      </c>
      <c r="AT99" s="95">
        <f t="shared" ref="AT99" si="65">AT44-Y44</f>
        <v>-43.721444599999998</v>
      </c>
      <c r="AU99" s="95">
        <f t="shared" ref="AU99" si="66">AU44-Z44</f>
        <v>-52.423546100000003</v>
      </c>
      <c r="AV99" s="96">
        <f t="shared" ref="AV99" si="67">AV44-AA44</f>
        <v>-34.928612399999999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-76800</v>
      </c>
      <c r="AJ100" s="91">
        <f t="shared" si="68"/>
        <v>-141024</v>
      </c>
      <c r="AK100" s="91">
        <f t="shared" si="68"/>
        <v>-21336</v>
      </c>
      <c r="AL100" s="91">
        <f t="shared" si="68"/>
        <v>0</v>
      </c>
      <c r="AM100" s="91">
        <f t="shared" si="68"/>
        <v>-24776</v>
      </c>
      <c r="AN100" s="91">
        <f t="shared" si="68"/>
        <v>-93312</v>
      </c>
      <c r="AO100" s="91">
        <f t="shared" si="68"/>
        <v>-1600</v>
      </c>
      <c r="AP100" s="91">
        <f t="shared" si="68"/>
        <v>-74.524426899999995</v>
      </c>
      <c r="AQ100" s="92">
        <f t="shared" si="68"/>
        <v>-76.5139341</v>
      </c>
      <c r="AR100" s="92">
        <f t="shared" si="68"/>
        <v>-30.238096599999999</v>
      </c>
      <c r="AS100" s="92">
        <f t="shared" si="68"/>
        <v>-41.188856000000001</v>
      </c>
      <c r="AT100" s="92">
        <f t="shared" si="68"/>
        <v>-39.595556700000003</v>
      </c>
      <c r="AU100" s="92">
        <f t="shared" si="68"/>
        <v>-54.122185100000003</v>
      </c>
      <c r="AV100" s="93">
        <f t="shared" si="68"/>
        <v>-29.431978399999998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-153600</v>
      </c>
      <c r="AJ101" s="91">
        <f t="shared" si="68"/>
        <v>-215840</v>
      </c>
      <c r="AK101" s="91">
        <f t="shared" si="68"/>
        <v>-35112</v>
      </c>
      <c r="AL101" s="91">
        <f t="shared" si="68"/>
        <v>0</v>
      </c>
      <c r="AM101" s="91">
        <f t="shared" si="68"/>
        <v>-21152</v>
      </c>
      <c r="AN101" s="91">
        <f t="shared" si="68"/>
        <v>-157928</v>
      </c>
      <c r="AO101" s="91">
        <f t="shared" si="68"/>
        <v>-1648</v>
      </c>
      <c r="AP101" s="91">
        <f t="shared" si="68"/>
        <v>-75.687530499999994</v>
      </c>
      <c r="AQ101" s="92">
        <f t="shared" si="68"/>
        <v>-77.986673800000005</v>
      </c>
      <c r="AR101" s="92">
        <f t="shared" si="68"/>
        <v>-31.157793900000001</v>
      </c>
      <c r="AS101" s="92">
        <f t="shared" si="68"/>
        <v>-42.283162599999997</v>
      </c>
      <c r="AT101" s="92">
        <f t="shared" si="68"/>
        <v>-40.591721100000001</v>
      </c>
      <c r="AU101" s="92">
        <f t="shared" si="68"/>
        <v>-54.831061499999997</v>
      </c>
      <c r="AV101" s="93">
        <f t="shared" si="68"/>
        <v>-29.977537999999999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-307200</v>
      </c>
      <c r="AJ102" s="91">
        <f t="shared" si="68"/>
        <v>-357008</v>
      </c>
      <c r="AK102" s="91">
        <f t="shared" si="68"/>
        <v>-66632</v>
      </c>
      <c r="AL102" s="91">
        <f t="shared" si="68"/>
        <v>0</v>
      </c>
      <c r="AM102" s="91">
        <f t="shared" si="68"/>
        <v>-14944</v>
      </c>
      <c r="AN102" s="91">
        <f t="shared" si="68"/>
        <v>-273784</v>
      </c>
      <c r="AO102" s="91">
        <f t="shared" si="68"/>
        <v>-1648</v>
      </c>
      <c r="AP102" s="91">
        <f t="shared" si="68"/>
        <v>-77.288102699999996</v>
      </c>
      <c r="AQ102" s="92">
        <f t="shared" si="68"/>
        <v>-79.929790100000005</v>
      </c>
      <c r="AR102" s="92">
        <f t="shared" si="68"/>
        <v>-31.751473900000001</v>
      </c>
      <c r="AS102" s="92">
        <f t="shared" si="68"/>
        <v>-44.319451600000001</v>
      </c>
      <c r="AT102" s="92">
        <f t="shared" si="68"/>
        <v>-43.1361816</v>
      </c>
      <c r="AU102" s="92">
        <f t="shared" si="68"/>
        <v>-55.7650285</v>
      </c>
      <c r="AV102" s="93">
        <f t="shared" si="68"/>
        <v>-31.127217000000002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-307200</v>
      </c>
      <c r="AJ103" s="91">
        <f t="shared" si="68"/>
        <v>-475536</v>
      </c>
      <c r="AK103" s="91">
        <f t="shared" si="68"/>
        <v>-66632</v>
      </c>
      <c r="AL103" s="91">
        <f t="shared" si="68"/>
        <v>0</v>
      </c>
      <c r="AM103" s="91">
        <f t="shared" si="68"/>
        <v>-24168</v>
      </c>
      <c r="AN103" s="91">
        <f t="shared" si="68"/>
        <v>-383064</v>
      </c>
      <c r="AO103" s="91">
        <f t="shared" si="68"/>
        <v>-1672</v>
      </c>
      <c r="AP103" s="91">
        <f t="shared" si="68"/>
        <v>-78.687753099999995</v>
      </c>
      <c r="AQ103" s="92">
        <f t="shared" si="68"/>
        <v>-81.812540100000007</v>
      </c>
      <c r="AR103" s="92">
        <f t="shared" si="68"/>
        <v>-32.306105199999998</v>
      </c>
      <c r="AS103" s="92">
        <f t="shared" si="68"/>
        <v>-44.626617199999998</v>
      </c>
      <c r="AT103" s="92">
        <f t="shared" si="68"/>
        <v>-43.605740500000003</v>
      </c>
      <c r="AU103" s="92">
        <f t="shared" si="68"/>
        <v>-56.752282999999998</v>
      </c>
      <c r="AV103" s="93">
        <f t="shared" si="68"/>
        <v>-31.7123879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-614272</v>
      </c>
      <c r="AJ104" s="94">
        <f t="shared" ref="AJ104" si="72">AJ49-O49</f>
        <v>-744512</v>
      </c>
      <c r="AK104" s="94">
        <f t="shared" ref="AK104" si="73">AK49-P49</f>
        <v>-119000</v>
      </c>
      <c r="AL104" s="94">
        <f t="shared" ref="AL104" si="74">AL49-Q49</f>
        <v>0</v>
      </c>
      <c r="AM104" s="94">
        <f t="shared" ref="AM104" si="75">AM49-R49</f>
        <v>-28464</v>
      </c>
      <c r="AN104" s="94">
        <f t="shared" ref="AN104" si="76">AN49-S49</f>
        <v>-595352</v>
      </c>
      <c r="AO104" s="94">
        <f t="shared" ref="AO104" si="77">AO49-T49</f>
        <v>-1696</v>
      </c>
      <c r="AP104" s="94">
        <f t="shared" ref="AP104" si="78">AP49-U49</f>
        <v>-80.405805299999997</v>
      </c>
      <c r="AQ104" s="95">
        <f t="shared" ref="AQ104" si="79">AQ49-V49</f>
        <v>-84.458735300000001</v>
      </c>
      <c r="AR104" s="95">
        <f t="shared" ref="AR104" si="80">AR49-W49</f>
        <v>-33.127863400000003</v>
      </c>
      <c r="AS104" s="95">
        <f t="shared" ref="AS104" si="81">AS49-X49</f>
        <v>-45.293516500000003</v>
      </c>
      <c r="AT104" s="95">
        <f t="shared" ref="AT104" si="82">AT49-Y49</f>
        <v>-44.381829199999999</v>
      </c>
      <c r="AU104" s="95">
        <f t="shared" ref="AU104" si="83">AU49-Z49</f>
        <v>-57.884126000000002</v>
      </c>
      <c r="AV104" s="96">
        <f t="shared" ref="AV104" si="84">AV49-AA49</f>
        <v>-32.596452999999997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54 BA53:BN53">
    <cfRule type="cellIs" dxfId="152" priority="37" operator="greaterThanOrEqual">
      <formula>0.03</formula>
    </cfRule>
    <cfRule type="cellIs" dxfId="151" priority="38" operator="lessThanOrEqual">
      <formula>-0.03</formula>
    </cfRule>
  </conditionalFormatting>
  <conditionalFormatting sqref="BA5:BA52 BA54">
    <cfRule type="cellIs" dxfId="150" priority="39" operator="greaterThanOrEqual">
      <formula>0.03</formula>
    </cfRule>
    <cfRule type="cellIs" dxfId="149" priority="40" operator="lessThanOrEqual">
      <formula>-0.03</formula>
    </cfRule>
  </conditionalFormatting>
  <conditionalFormatting sqref="BB5:BB52 BB54">
    <cfRule type="cellIs" dxfId="148" priority="47" operator="greaterThanOrEqual">
      <formula>0.03</formula>
    </cfRule>
    <cfRule type="cellIs" dxfId="147" priority="48" operator="lessThanOrEqual">
      <formula>-0.03</formula>
    </cfRule>
  </conditionalFormatting>
  <conditionalFormatting sqref="BC5:BC52 BC54">
    <cfRule type="cellIs" dxfId="146" priority="49" operator="greaterThanOrEqual">
      <formula>0.03</formula>
    </cfRule>
    <cfRule type="cellIs" dxfId="145" priority="50" operator="lessThanOrEqual">
      <formula>-0.03</formula>
    </cfRule>
  </conditionalFormatting>
  <conditionalFormatting sqref="BD5:BD52 BD54">
    <cfRule type="cellIs" dxfId="144" priority="41" operator="greaterThanOrEqual">
      <formula>0.03</formula>
    </cfRule>
    <cfRule type="cellIs" dxfId="143" priority="42" operator="lessThanOrEqual">
      <formula>-0.03</formula>
    </cfRule>
  </conditionalFormatting>
  <conditionalFormatting sqref="BE5:BE52 BE54">
    <cfRule type="cellIs" dxfId="142" priority="43" operator="greaterThanOrEqual">
      <formula>0.03</formula>
    </cfRule>
    <cfRule type="cellIs" dxfId="141" priority="44" operator="lessThanOrEqual">
      <formula>-0.03</formula>
    </cfRule>
  </conditionalFormatting>
  <conditionalFormatting sqref="BF5:BF52 BF54">
    <cfRule type="cellIs" dxfId="140" priority="45" operator="greaterThanOrEqual">
      <formula>0.03</formula>
    </cfRule>
    <cfRule type="cellIs" dxfId="139" priority="46" operator="lessThanOrEqual">
      <formula>-0.03</formula>
    </cfRule>
  </conditionalFormatting>
  <conditionalFormatting sqref="J5:J50">
    <cfRule type="expression" dxfId="138" priority="36">
      <formula>OR(J5 &lt; H5 * 0.9, J5 &gt; H5)</formula>
    </cfRule>
  </conditionalFormatting>
  <conditionalFormatting sqref="AE5:AE50">
    <cfRule type="expression" dxfId="137" priority="35">
      <formula>OR(AE5 &lt; H5 * 0.9, AE5 &gt; H5)</formula>
    </cfRule>
  </conditionalFormatting>
  <conditionalFormatting sqref="BP5:BP54 BQ53:BT54">
    <cfRule type="cellIs" dxfId="136" priority="33" operator="greaterThanOrEqual">
      <formula>0.001</formula>
    </cfRule>
    <cfRule type="cellIs" dxfId="135" priority="34" operator="lessThanOrEqual">
      <formula>-0.001</formula>
    </cfRule>
  </conditionalFormatting>
  <conditionalFormatting sqref="BQ5:BQ52">
    <cfRule type="cellIs" dxfId="134" priority="31" operator="greaterThanOrEqual">
      <formula>0.001</formula>
    </cfRule>
    <cfRule type="cellIs" dxfId="133" priority="32" operator="lessThanOrEqual">
      <formula>-0.001</formula>
    </cfRule>
  </conditionalFormatting>
  <conditionalFormatting sqref="BR5:BR52">
    <cfRule type="cellIs" dxfId="132" priority="29" operator="greaterThanOrEqual">
      <formula>0.001</formula>
    </cfRule>
    <cfRule type="cellIs" dxfId="131" priority="30" operator="lessThanOrEqual">
      <formula>-0.001</formula>
    </cfRule>
  </conditionalFormatting>
  <conditionalFormatting sqref="BS5:BS52">
    <cfRule type="cellIs" dxfId="130" priority="27" operator="greaterThanOrEqual">
      <formula>0.001</formula>
    </cfRule>
    <cfRule type="cellIs" dxfId="129" priority="28" operator="lessThanOrEqual">
      <formula>-0.001</formula>
    </cfRule>
  </conditionalFormatting>
  <conditionalFormatting sqref="AG60:AQ99">
    <cfRule type="cellIs" dxfId="128" priority="25" operator="lessThan">
      <formula>0</formula>
    </cfRule>
    <cfRule type="cellIs" dxfId="127" priority="26" operator="greaterThan">
      <formula>0</formula>
    </cfRule>
  </conditionalFormatting>
  <conditionalFormatting sqref="AR60:AV99">
    <cfRule type="cellIs" dxfId="126" priority="23" operator="lessThan">
      <formula>0</formula>
    </cfRule>
    <cfRule type="cellIs" dxfId="125" priority="24" operator="greaterThan">
      <formula>0</formula>
    </cfRule>
  </conditionalFormatting>
  <conditionalFormatting sqref="L5:L49">
    <cfRule type="expression" dxfId="124" priority="22">
      <formula>NOT(L5=O5)</formula>
    </cfRule>
  </conditionalFormatting>
  <conditionalFormatting sqref="AG5:AG49">
    <cfRule type="expression" dxfId="123" priority="21">
      <formula>NOT(AG5=AJ5)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T5:BT52">
    <cfRule type="cellIs" dxfId="108" priority="5" operator="greaterThanOrEqual">
      <formula>0.001</formula>
    </cfRule>
    <cfRule type="cellIs" dxfId="107" priority="6" operator="lessThanOrEqual">
      <formula>-0.001</formula>
    </cfRule>
  </conditionalFormatting>
  <conditionalFormatting sqref="AG100:AQ104">
    <cfRule type="cellIs" dxfId="106" priority="3" operator="lessThan">
      <formula>0</formula>
    </cfRule>
    <cfRule type="cellIs" dxfId="105" priority="4" operator="greaterThan">
      <formula>0</formula>
    </cfRule>
  </conditionalFormatting>
  <conditionalFormatting sqref="AR100:AV104">
    <cfRule type="cellIs" dxfId="104" priority="1" operator="lessThan">
      <formula>0</formula>
    </cfRule>
    <cfRule type="cellIs" dxfId="103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8"/>
  <sheetViews>
    <sheetView zoomScale="80" zoomScaleNormal="80" workbookViewId="0">
      <pane xSplit="2" ySplit="4" topLeftCell="AU17" activePane="bottomRight" state="frozen"/>
      <selection pane="topRight" activeCell="C1" sqref="C1"/>
      <selection pane="bottomLeft" activeCell="A5" sqref="A5"/>
      <selection pane="bottomRight" activeCell="AX28" sqref="AX28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5" t="s">
        <v>367</v>
      </c>
      <c r="B1" s="113"/>
      <c r="C1" s="113"/>
      <c r="D1" s="113"/>
      <c r="E1" s="113"/>
      <c r="F1" s="113"/>
      <c r="G1" s="113"/>
      <c r="H1" s="113"/>
      <c r="J1" s="121" t="s">
        <v>441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3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411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15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300</v>
      </c>
      <c r="G5" s="19">
        <v>30</v>
      </c>
      <c r="H5" s="19">
        <v>4</v>
      </c>
      <c r="J5" s="20">
        <f t="shared" ref="J5:J44" si="0">IF(OR(ISBLANK(O5),ISBLANK(G5)),"·",O5*G5/F5/1000000)</f>
        <v>4.1132327999999996</v>
      </c>
      <c r="K5" s="21">
        <f t="shared" ref="K5:K44" si="1">IF(ISBLANK(O5),"·",O5/D5)</f>
        <v>3.428425397418116</v>
      </c>
      <c r="L5" s="19">
        <f t="shared" ref="L5:L44" si="2">IF(OR(ISBLANK(M5),ISBLANK(S5),ISBLANK(T5)),".",M5+S5+T5)</f>
        <v>41132328</v>
      </c>
      <c r="M5" s="19">
        <f t="shared" ref="M5:M44" si="3">IF(OR(ISBLANK(Q5),ISBLANK(P5),ISBLANK(R5)),".",P5+Q5+R5)</f>
        <v>13301296</v>
      </c>
      <c r="N5" s="44">
        <v>22725696</v>
      </c>
      <c r="O5" s="22">
        <v>41132328</v>
      </c>
      <c r="P5" s="22">
        <v>7887216</v>
      </c>
      <c r="Q5" s="22">
        <v>0</v>
      </c>
      <c r="R5" s="22">
        <v>5414080</v>
      </c>
      <c r="S5" s="22">
        <v>27688856</v>
      </c>
      <c r="T5" s="22">
        <v>142176</v>
      </c>
      <c r="U5" s="45">
        <v>68.837489599999998</v>
      </c>
      <c r="V5" s="45">
        <v>69.928643899999997</v>
      </c>
      <c r="W5" s="45">
        <v>27.869963500000001</v>
      </c>
      <c r="X5" s="45">
        <v>33.495045699999999</v>
      </c>
      <c r="Y5" s="45">
        <v>32.8806388</v>
      </c>
      <c r="Z5" s="45">
        <v>48.349528800000002</v>
      </c>
      <c r="AA5" s="45">
        <v>26.7105906</v>
      </c>
      <c r="AB5" s="23">
        <v>13397.253484000001</v>
      </c>
      <c r="AC5" s="23">
        <v>54.355822000000003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300</v>
      </c>
      <c r="G6" s="35">
        <v>30</v>
      </c>
      <c r="H6" s="35">
        <v>8</v>
      </c>
      <c r="J6" s="36">
        <f t="shared" si="0"/>
        <v>8.3806784000000007</v>
      </c>
      <c r="K6" s="37">
        <f t="shared" si="1"/>
        <v>6.9853888829616988</v>
      </c>
      <c r="L6" s="35">
        <f t="shared" si="2"/>
        <v>83806784</v>
      </c>
      <c r="M6" s="35">
        <f t="shared" si="3"/>
        <v>17350824</v>
      </c>
      <c r="N6" s="46">
        <v>22725696</v>
      </c>
      <c r="O6" s="38">
        <v>83806784</v>
      </c>
      <c r="P6" s="38">
        <v>7887216</v>
      </c>
      <c r="Q6" s="38">
        <v>0</v>
      </c>
      <c r="R6" s="38">
        <v>9463608</v>
      </c>
      <c r="S6" s="38">
        <v>66319672</v>
      </c>
      <c r="T6" s="38">
        <v>136288</v>
      </c>
      <c r="U6" s="47">
        <v>70.589491899999999</v>
      </c>
      <c r="V6" s="47">
        <v>71.912136399999994</v>
      </c>
      <c r="W6" s="47">
        <v>31.13719</v>
      </c>
      <c r="X6" s="47">
        <v>34.693232100000003</v>
      </c>
      <c r="Y6" s="47">
        <v>34.208843600000002</v>
      </c>
      <c r="Z6" s="47">
        <v>49.186510699999999</v>
      </c>
      <c r="AA6" s="47">
        <v>28.916855200000001</v>
      </c>
      <c r="AB6" s="39">
        <v>14500.825639000001</v>
      </c>
      <c r="AC6" s="39">
        <v>64.811824000000001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300</v>
      </c>
      <c r="G7" s="19">
        <v>30</v>
      </c>
      <c r="H7" s="19">
        <v>11</v>
      </c>
      <c r="J7" s="20">
        <f t="shared" si="0"/>
        <v>11.5622176</v>
      </c>
      <c r="K7" s="21">
        <f t="shared" si="1"/>
        <v>9.6372372772858217</v>
      </c>
      <c r="L7" s="19">
        <f t="shared" si="2"/>
        <v>115622176</v>
      </c>
      <c r="M7" s="19">
        <f t="shared" si="3"/>
        <v>21411192</v>
      </c>
      <c r="N7" s="44">
        <v>45556032</v>
      </c>
      <c r="O7" s="22">
        <v>115622176</v>
      </c>
      <c r="P7" s="22">
        <v>12332384</v>
      </c>
      <c r="Q7" s="22">
        <v>0</v>
      </c>
      <c r="R7" s="22">
        <v>9078808</v>
      </c>
      <c r="S7" s="22">
        <v>94071296</v>
      </c>
      <c r="T7" s="22">
        <v>139688</v>
      </c>
      <c r="U7" s="45">
        <v>72.6160651</v>
      </c>
      <c r="V7" s="45">
        <v>74.245658199999994</v>
      </c>
      <c r="W7" s="45">
        <v>32.317605200000003</v>
      </c>
      <c r="X7" s="45">
        <v>36.416674800000003</v>
      </c>
      <c r="Y7" s="45">
        <v>36.153123800000003</v>
      </c>
      <c r="Z7" s="45">
        <v>50.372402999999998</v>
      </c>
      <c r="AA7" s="45">
        <v>30.3648794</v>
      </c>
      <c r="AB7" s="23">
        <v>36191.804874000001</v>
      </c>
      <c r="AC7" s="23">
        <v>171.91565299999999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300</v>
      </c>
      <c r="G8" s="35">
        <v>30</v>
      </c>
      <c r="H8" s="35">
        <v>14</v>
      </c>
      <c r="J8" s="36">
        <f t="shared" si="0"/>
        <v>14.608096</v>
      </c>
      <c r="K8" s="37">
        <f t="shared" si="1"/>
        <v>12.176010882321561</v>
      </c>
      <c r="L8" s="35">
        <f t="shared" si="2"/>
        <v>146080960</v>
      </c>
      <c r="M8" s="35">
        <f t="shared" si="3"/>
        <v>27766848</v>
      </c>
      <c r="N8" s="46">
        <v>91604096</v>
      </c>
      <c r="O8" s="38">
        <v>146080960</v>
      </c>
      <c r="P8" s="38">
        <v>20164504</v>
      </c>
      <c r="Q8" s="38">
        <v>0</v>
      </c>
      <c r="R8" s="38">
        <v>7602344</v>
      </c>
      <c r="S8" s="38">
        <v>118171320</v>
      </c>
      <c r="T8" s="38">
        <v>142792</v>
      </c>
      <c r="U8" s="47">
        <v>73.479297700000004</v>
      </c>
      <c r="V8" s="47">
        <v>75.239234699999997</v>
      </c>
      <c r="W8" s="47">
        <v>33.277265</v>
      </c>
      <c r="X8" s="47">
        <v>36.961361400000001</v>
      </c>
      <c r="Y8" s="47">
        <v>36.694246900000003</v>
      </c>
      <c r="Z8" s="47">
        <v>51.016121099999999</v>
      </c>
      <c r="AA8" s="47">
        <v>31.141213700000002</v>
      </c>
      <c r="AB8" s="39">
        <v>40708.063245999998</v>
      </c>
      <c r="AC8" s="39">
        <v>233.504356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300</v>
      </c>
      <c r="G9" s="49">
        <v>30</v>
      </c>
      <c r="H9" s="49">
        <v>21</v>
      </c>
      <c r="J9" s="51">
        <f t="shared" si="0"/>
        <v>22.053192800000001</v>
      </c>
      <c r="K9" s="52">
        <f t="shared" si="1"/>
        <v>18.38158207084178</v>
      </c>
      <c r="L9" s="49">
        <f t="shared" si="2"/>
        <v>220531928</v>
      </c>
      <c r="M9" s="49">
        <f t="shared" si="3"/>
        <v>34253856</v>
      </c>
      <c r="N9" s="53">
        <v>91604096</v>
      </c>
      <c r="O9" s="54">
        <v>220531928</v>
      </c>
      <c r="P9" s="54">
        <v>20164504</v>
      </c>
      <c r="Q9" s="54">
        <v>0</v>
      </c>
      <c r="R9" s="54">
        <v>14089352</v>
      </c>
      <c r="S9" s="54">
        <v>186142840</v>
      </c>
      <c r="T9" s="54">
        <v>135232</v>
      </c>
      <c r="U9" s="55">
        <v>75.110726600000007</v>
      </c>
      <c r="V9" s="55">
        <v>77.184274700000003</v>
      </c>
      <c r="W9" s="55">
        <v>34.910738899999998</v>
      </c>
      <c r="X9" s="55">
        <v>38.518934100000003</v>
      </c>
      <c r="Y9" s="55">
        <v>38.216910800000001</v>
      </c>
      <c r="Z9" s="55">
        <v>51.849437199999997</v>
      </c>
      <c r="AA9" s="55">
        <v>32.510126399999997</v>
      </c>
      <c r="AB9" s="56">
        <v>43624.063765999999</v>
      </c>
      <c r="AC9" s="56">
        <v>225.46336400000001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300</v>
      </c>
      <c r="G10" s="35">
        <v>30</v>
      </c>
      <c r="H10" s="35">
        <v>4</v>
      </c>
      <c r="J10" s="36">
        <f t="shared" si="0"/>
        <v>5.0404655999999992</v>
      </c>
      <c r="K10" s="37">
        <f t="shared" si="1"/>
        <v>5.6005173333333333</v>
      </c>
      <c r="L10" s="35">
        <f t="shared" si="2"/>
        <v>50404656</v>
      </c>
      <c r="M10" s="35">
        <f t="shared" si="3"/>
        <v>16108568</v>
      </c>
      <c r="N10" s="46">
        <v>9611840</v>
      </c>
      <c r="O10" s="38">
        <v>50404656</v>
      </c>
      <c r="P10" s="38">
        <v>2171920</v>
      </c>
      <c r="Q10" s="38">
        <v>1606056</v>
      </c>
      <c r="R10" s="38">
        <v>12330592</v>
      </c>
      <c r="S10" s="38">
        <v>34180328</v>
      </c>
      <c r="T10" s="38">
        <v>115760</v>
      </c>
      <c r="U10" s="47">
        <v>68.460925099999997</v>
      </c>
      <c r="V10" s="47">
        <v>69.578531100000006</v>
      </c>
      <c r="W10" s="47">
        <v>36.053066100000002</v>
      </c>
      <c r="X10" s="47">
        <v>46.4530843</v>
      </c>
      <c r="Y10" s="47">
        <v>46.947026299999997</v>
      </c>
      <c r="Z10" s="47">
        <v>45.984213099999998</v>
      </c>
      <c r="AA10" s="47">
        <v>32.434580699999998</v>
      </c>
      <c r="AB10" s="39">
        <v>36916.240066999999</v>
      </c>
      <c r="AC10" s="39">
        <v>137.684023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300</v>
      </c>
      <c r="G11" s="19">
        <v>30</v>
      </c>
      <c r="H11" s="19">
        <v>8</v>
      </c>
      <c r="J11" s="20">
        <f t="shared" si="0"/>
        <v>9.5068768000000006</v>
      </c>
      <c r="K11" s="21">
        <f t="shared" si="1"/>
        <v>10.563196444444445</v>
      </c>
      <c r="L11" s="19">
        <f t="shared" si="2"/>
        <v>95068768</v>
      </c>
      <c r="M11" s="19">
        <f t="shared" si="3"/>
        <v>32727600</v>
      </c>
      <c r="N11" s="44">
        <v>19011856</v>
      </c>
      <c r="O11" s="22">
        <v>95068768</v>
      </c>
      <c r="P11" s="22">
        <v>7483456</v>
      </c>
      <c r="Q11" s="22">
        <v>2115688</v>
      </c>
      <c r="R11" s="22">
        <v>23128456</v>
      </c>
      <c r="S11" s="22">
        <v>62223896</v>
      </c>
      <c r="T11" s="22">
        <v>117272</v>
      </c>
      <c r="U11" s="45">
        <v>72.464145200000004</v>
      </c>
      <c r="V11" s="45">
        <v>74.102945700000006</v>
      </c>
      <c r="W11" s="45">
        <v>37.370115599999998</v>
      </c>
      <c r="X11" s="45">
        <v>47.192486700000003</v>
      </c>
      <c r="Y11" s="45">
        <v>47.781539600000002</v>
      </c>
      <c r="Z11" s="45">
        <v>48.3154021</v>
      </c>
      <c r="AA11" s="45">
        <v>34.6438591</v>
      </c>
      <c r="AB11" s="23">
        <v>46690.038876999999</v>
      </c>
      <c r="AC11" s="23">
        <v>145.36894000000001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300</v>
      </c>
      <c r="G12" s="35">
        <v>30</v>
      </c>
      <c r="H12" s="35">
        <v>11</v>
      </c>
      <c r="J12" s="36">
        <f t="shared" si="0"/>
        <v>12.260512</v>
      </c>
      <c r="K12" s="37">
        <f t="shared" si="1"/>
        <v>13.622791111111111</v>
      </c>
      <c r="L12" s="35">
        <f t="shared" si="2"/>
        <v>122605120</v>
      </c>
      <c r="M12" s="35">
        <f t="shared" si="3"/>
        <v>37409192</v>
      </c>
      <c r="N12" s="46">
        <v>20935328</v>
      </c>
      <c r="O12" s="38">
        <v>122605120</v>
      </c>
      <c r="P12" s="38">
        <v>8541288</v>
      </c>
      <c r="Q12" s="38">
        <v>2201648</v>
      </c>
      <c r="R12" s="38">
        <v>26666256</v>
      </c>
      <c r="S12" s="38">
        <v>85078336</v>
      </c>
      <c r="T12" s="38">
        <v>117592</v>
      </c>
      <c r="U12" s="47">
        <v>73.030745600000003</v>
      </c>
      <c r="V12" s="47">
        <v>74.766434500000003</v>
      </c>
      <c r="W12" s="47">
        <v>38.2139126</v>
      </c>
      <c r="X12" s="47">
        <v>47.512784500000002</v>
      </c>
      <c r="Y12" s="47">
        <v>48.119196000000002</v>
      </c>
      <c r="Z12" s="47">
        <v>48.648945699999999</v>
      </c>
      <c r="AA12" s="47">
        <v>35.269265500000003</v>
      </c>
      <c r="AB12" s="39">
        <v>46274.476973999997</v>
      </c>
      <c r="AC12" s="39">
        <v>138.91835399999999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300</v>
      </c>
      <c r="G13" s="19">
        <v>30</v>
      </c>
      <c r="H13" s="19">
        <v>14</v>
      </c>
      <c r="J13" s="20">
        <f t="shared" si="0"/>
        <v>15.801172800000002</v>
      </c>
      <c r="K13" s="21">
        <f t="shared" si="1"/>
        <v>17.556858666666667</v>
      </c>
      <c r="L13" s="19">
        <f t="shared" si="2"/>
        <v>158011728</v>
      </c>
      <c r="M13" s="19">
        <f t="shared" si="3"/>
        <v>40579736</v>
      </c>
      <c r="N13" s="44">
        <v>22847344</v>
      </c>
      <c r="O13" s="22">
        <v>158011728</v>
      </c>
      <c r="P13" s="22">
        <v>9750512</v>
      </c>
      <c r="Q13" s="22">
        <v>2297400</v>
      </c>
      <c r="R13" s="22">
        <v>28531824</v>
      </c>
      <c r="S13" s="22">
        <v>117314072</v>
      </c>
      <c r="T13" s="22">
        <v>117920</v>
      </c>
      <c r="U13" s="45">
        <v>73.494123900000005</v>
      </c>
      <c r="V13" s="45">
        <v>75.321760600000005</v>
      </c>
      <c r="W13" s="45">
        <v>38.966573799999999</v>
      </c>
      <c r="X13" s="45">
        <v>48.220530799999999</v>
      </c>
      <c r="Y13" s="45">
        <v>48.883390400000003</v>
      </c>
      <c r="Z13" s="45">
        <v>48.9204662</v>
      </c>
      <c r="AA13" s="45">
        <v>35.780417399999997</v>
      </c>
      <c r="AB13" s="23">
        <v>52252.945156000002</v>
      </c>
      <c r="AC13" s="23">
        <v>157.24714700000001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300</v>
      </c>
      <c r="G14" s="27">
        <v>30</v>
      </c>
      <c r="H14" s="27">
        <v>21</v>
      </c>
      <c r="J14" s="28">
        <f t="shared" si="0"/>
        <v>21.648384800000002</v>
      </c>
      <c r="K14" s="29">
        <f t="shared" si="1"/>
        <v>24.053760888888888</v>
      </c>
      <c r="L14" s="27">
        <f t="shared" si="2"/>
        <v>216483848</v>
      </c>
      <c r="M14" s="27">
        <f t="shared" si="3"/>
        <v>60433688</v>
      </c>
      <c r="N14" s="58">
        <v>35325296</v>
      </c>
      <c r="O14" s="30">
        <v>216483848</v>
      </c>
      <c r="P14" s="30">
        <v>19777800</v>
      </c>
      <c r="Q14" s="30">
        <v>2433592</v>
      </c>
      <c r="R14" s="30">
        <v>38222296</v>
      </c>
      <c r="S14" s="30">
        <v>155930008</v>
      </c>
      <c r="T14" s="30">
        <v>120152</v>
      </c>
      <c r="U14" s="59">
        <v>75.505944700000001</v>
      </c>
      <c r="V14" s="59">
        <v>77.798444799999999</v>
      </c>
      <c r="W14" s="59">
        <v>39.514186500000001</v>
      </c>
      <c r="X14" s="59">
        <v>48.591760800000003</v>
      </c>
      <c r="Y14" s="59">
        <v>49.2598299</v>
      </c>
      <c r="Z14" s="59">
        <v>50.195006100000001</v>
      </c>
      <c r="AA14" s="59">
        <v>36.822648200000003</v>
      </c>
      <c r="AB14" s="31">
        <v>60635.999495999997</v>
      </c>
      <c r="AC14" s="31">
        <v>138.75306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300</v>
      </c>
      <c r="G15" s="19">
        <v>30</v>
      </c>
      <c r="H15" s="19">
        <v>3</v>
      </c>
      <c r="J15" s="20">
        <f t="shared" si="0"/>
        <v>3.0046847999999997</v>
      </c>
      <c r="K15" s="21">
        <f t="shared" si="1"/>
        <v>2.5373115120230514</v>
      </c>
      <c r="L15" s="19">
        <f t="shared" si="2"/>
        <v>30046848</v>
      </c>
      <c r="M15" s="19">
        <f t="shared" si="3"/>
        <v>10967960</v>
      </c>
      <c r="N15" s="44">
        <v>22706944</v>
      </c>
      <c r="O15" s="22">
        <v>30046848</v>
      </c>
      <c r="P15" s="22">
        <v>6506808</v>
      </c>
      <c r="Q15" s="22">
        <v>0</v>
      </c>
      <c r="R15" s="22">
        <v>4461152</v>
      </c>
      <c r="S15" s="22">
        <v>18935528</v>
      </c>
      <c r="T15" s="22">
        <v>143360</v>
      </c>
      <c r="U15" s="45">
        <v>71.424397999999997</v>
      </c>
      <c r="V15" s="45">
        <v>72.793320300000005</v>
      </c>
      <c r="W15" s="45">
        <v>35.751393200000003</v>
      </c>
      <c r="X15" s="45">
        <v>43.318218299999998</v>
      </c>
      <c r="Y15" s="45">
        <v>45.112926100000003</v>
      </c>
      <c r="Z15" s="45">
        <v>45.778157899999997</v>
      </c>
      <c r="AA15" s="45">
        <v>32.528530099999998</v>
      </c>
      <c r="AB15" s="23">
        <v>29566.380407000001</v>
      </c>
      <c r="AC15" s="23">
        <v>145.49803299999999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300</v>
      </c>
      <c r="G16" s="35">
        <v>30</v>
      </c>
      <c r="H16" s="35">
        <v>5</v>
      </c>
      <c r="J16" s="36">
        <f t="shared" si="0"/>
        <v>4.9845759999999997</v>
      </c>
      <c r="K16" s="37">
        <f t="shared" si="1"/>
        <v>4.2092342156334714</v>
      </c>
      <c r="L16" s="35">
        <f t="shared" si="2"/>
        <v>49845760</v>
      </c>
      <c r="M16" s="35">
        <f t="shared" si="3"/>
        <v>13843128</v>
      </c>
      <c r="N16" s="46">
        <v>22706944</v>
      </c>
      <c r="O16" s="38">
        <v>49845760</v>
      </c>
      <c r="P16" s="38">
        <v>7086528</v>
      </c>
      <c r="Q16" s="38">
        <v>0</v>
      </c>
      <c r="R16" s="38">
        <v>6756600</v>
      </c>
      <c r="S16" s="38">
        <v>35858832</v>
      </c>
      <c r="T16" s="38">
        <v>143800</v>
      </c>
      <c r="U16" s="47">
        <v>73.136002000000005</v>
      </c>
      <c r="V16" s="47">
        <v>74.705603699999998</v>
      </c>
      <c r="W16" s="47">
        <v>38.559833300000001</v>
      </c>
      <c r="X16" s="47">
        <v>43.945832799999998</v>
      </c>
      <c r="Y16" s="47">
        <v>46.380665899999997</v>
      </c>
      <c r="Z16" s="47">
        <v>46.605209899999998</v>
      </c>
      <c r="AA16" s="47">
        <v>34.218029000000001</v>
      </c>
      <c r="AB16" s="39">
        <v>29957.352987999999</v>
      </c>
      <c r="AC16" s="39">
        <v>152.35894300000001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300</v>
      </c>
      <c r="G17" s="19">
        <v>30</v>
      </c>
      <c r="H17" s="19">
        <v>10</v>
      </c>
      <c r="J17" s="20">
        <f t="shared" si="0"/>
        <v>9.6642592</v>
      </c>
      <c r="K17" s="21">
        <f t="shared" si="1"/>
        <v>8.1610011550411823</v>
      </c>
      <c r="L17" s="19">
        <f t="shared" si="2"/>
        <v>96642592</v>
      </c>
      <c r="M17" s="19">
        <f t="shared" si="3"/>
        <v>26730128</v>
      </c>
      <c r="N17" s="44">
        <v>45429504</v>
      </c>
      <c r="O17" s="22">
        <v>96642592</v>
      </c>
      <c r="P17" s="22">
        <v>11908040</v>
      </c>
      <c r="Q17" s="22">
        <v>0</v>
      </c>
      <c r="R17" s="22">
        <v>14822088</v>
      </c>
      <c r="S17" s="22">
        <v>69769432</v>
      </c>
      <c r="T17" s="22">
        <v>143032</v>
      </c>
      <c r="U17" s="45">
        <v>77.848685799999998</v>
      </c>
      <c r="V17" s="45">
        <v>80.316428700000003</v>
      </c>
      <c r="W17" s="45">
        <v>41.210902300000001</v>
      </c>
      <c r="X17" s="45">
        <v>44.8143709</v>
      </c>
      <c r="Y17" s="45">
        <v>48.0547325</v>
      </c>
      <c r="Z17" s="45">
        <v>48.980116600000002</v>
      </c>
      <c r="AA17" s="45">
        <v>37.358002599999999</v>
      </c>
      <c r="AB17" s="23">
        <v>30587.544481000001</v>
      </c>
      <c r="AC17" s="23">
        <v>196.911374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300</v>
      </c>
      <c r="G18" s="35">
        <v>30</v>
      </c>
      <c r="H18" s="35">
        <v>14</v>
      </c>
      <c r="J18" s="36">
        <f t="shared" si="0"/>
        <v>13.791862400000001</v>
      </c>
      <c r="K18" s="37">
        <f t="shared" si="1"/>
        <v>11.646563140252805</v>
      </c>
      <c r="L18" s="35">
        <f t="shared" si="2"/>
        <v>137918624</v>
      </c>
      <c r="M18" s="35">
        <f t="shared" si="3"/>
        <v>36543272</v>
      </c>
      <c r="N18" s="46">
        <v>90872832</v>
      </c>
      <c r="O18" s="38">
        <v>137918624</v>
      </c>
      <c r="P18" s="38">
        <v>20517200</v>
      </c>
      <c r="Q18" s="38">
        <v>0</v>
      </c>
      <c r="R18" s="38">
        <v>16026072</v>
      </c>
      <c r="S18" s="38">
        <v>101231920</v>
      </c>
      <c r="T18" s="38">
        <v>143432</v>
      </c>
      <c r="U18" s="47">
        <v>79.167824600000003</v>
      </c>
      <c r="V18" s="47">
        <v>82.110062400000004</v>
      </c>
      <c r="W18" s="47">
        <v>42.215022599999998</v>
      </c>
      <c r="X18" s="47">
        <v>45.5069418</v>
      </c>
      <c r="Y18" s="47">
        <v>49.199115800000001</v>
      </c>
      <c r="Z18" s="47">
        <v>49.923829900000001</v>
      </c>
      <c r="AA18" s="47">
        <v>38.493481099999997</v>
      </c>
      <c r="AB18" s="39">
        <v>39182.771847999997</v>
      </c>
      <c r="AC18" s="39">
        <v>222.14898400000001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300</v>
      </c>
      <c r="G19" s="49">
        <v>30</v>
      </c>
      <c r="H19" s="49">
        <v>21</v>
      </c>
      <c r="J19" s="51">
        <f t="shared" si="0"/>
        <v>20.6474376</v>
      </c>
      <c r="K19" s="52">
        <f t="shared" si="1"/>
        <v>17.435766013212969</v>
      </c>
      <c r="L19" s="49">
        <f t="shared" si="2"/>
        <v>206474376</v>
      </c>
      <c r="M19" s="49">
        <f t="shared" si="3"/>
        <v>38578744</v>
      </c>
      <c r="N19" s="53">
        <v>90872832</v>
      </c>
      <c r="O19" s="54">
        <v>206474376</v>
      </c>
      <c r="P19" s="54">
        <v>20517200</v>
      </c>
      <c r="Q19" s="54">
        <v>0</v>
      </c>
      <c r="R19" s="54">
        <v>18061544</v>
      </c>
      <c r="S19" s="54">
        <v>167751632</v>
      </c>
      <c r="T19" s="54">
        <v>144000</v>
      </c>
      <c r="U19" s="55">
        <v>79.519995499999993</v>
      </c>
      <c r="V19" s="55">
        <v>82.634190700000005</v>
      </c>
      <c r="W19" s="55">
        <v>43.254571900000002</v>
      </c>
      <c r="X19" s="55">
        <v>46.457227199999998</v>
      </c>
      <c r="Y19" s="55">
        <v>50.482542199999997</v>
      </c>
      <c r="Z19" s="55">
        <v>50.125952599999998</v>
      </c>
      <c r="AA19" s="55">
        <v>39.046840799999998</v>
      </c>
      <c r="AB19" s="56">
        <v>41244.233067000001</v>
      </c>
      <c r="AC19" s="56">
        <v>240.39486600000001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300</v>
      </c>
      <c r="G20" s="35">
        <v>30</v>
      </c>
      <c r="H20" s="35">
        <v>3</v>
      </c>
      <c r="J20" s="36">
        <f t="shared" si="0"/>
        <v>2.8761527999999998</v>
      </c>
      <c r="K20" s="37">
        <f t="shared" si="1"/>
        <v>2.4349228629311157</v>
      </c>
      <c r="L20" s="35">
        <f t="shared" si="2"/>
        <v>28761528</v>
      </c>
      <c r="M20" s="35">
        <f t="shared" si="3"/>
        <v>10563256</v>
      </c>
      <c r="N20" s="46">
        <v>22662720</v>
      </c>
      <c r="O20" s="38">
        <v>28761528</v>
      </c>
      <c r="P20" s="38">
        <v>6353472</v>
      </c>
      <c r="Q20" s="38">
        <v>0</v>
      </c>
      <c r="R20" s="38">
        <v>4209784</v>
      </c>
      <c r="S20" s="38">
        <v>18055768</v>
      </c>
      <c r="T20" s="38">
        <v>142504</v>
      </c>
      <c r="U20" s="47">
        <v>71.636878199999998</v>
      </c>
      <c r="V20" s="47">
        <v>73.042622600000001</v>
      </c>
      <c r="W20" s="47">
        <v>34.683039899999997</v>
      </c>
      <c r="X20" s="47">
        <v>42.802687200000001</v>
      </c>
      <c r="Y20" s="47">
        <v>44.158034700000002</v>
      </c>
      <c r="Z20" s="47">
        <v>46.8245127</v>
      </c>
      <c r="AA20" s="47">
        <v>31.692454699999999</v>
      </c>
      <c r="AB20" s="39">
        <v>9106.1622520000001</v>
      </c>
      <c r="AC20" s="39">
        <v>61.974086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300</v>
      </c>
      <c r="G21" s="19">
        <v>30</v>
      </c>
      <c r="H21" s="19">
        <v>5</v>
      </c>
      <c r="J21" s="20">
        <f t="shared" si="0"/>
        <v>4.8636615999999995</v>
      </c>
      <c r="K21" s="21">
        <f t="shared" si="1"/>
        <v>4.1175283967528182</v>
      </c>
      <c r="L21" s="19">
        <f t="shared" si="2"/>
        <v>48636616</v>
      </c>
      <c r="M21" s="19">
        <f t="shared" si="3"/>
        <v>11586320</v>
      </c>
      <c r="N21" s="44">
        <v>22662720</v>
      </c>
      <c r="O21" s="22">
        <v>48636616</v>
      </c>
      <c r="P21" s="22">
        <v>6923272</v>
      </c>
      <c r="Q21" s="22">
        <v>0</v>
      </c>
      <c r="R21" s="22">
        <v>4663048</v>
      </c>
      <c r="S21" s="22">
        <v>36904928</v>
      </c>
      <c r="T21" s="22">
        <v>145368</v>
      </c>
      <c r="U21" s="45">
        <v>72.100601800000007</v>
      </c>
      <c r="V21" s="45">
        <v>73.563827900000007</v>
      </c>
      <c r="W21" s="45">
        <v>37.5225236</v>
      </c>
      <c r="X21" s="45">
        <v>43.965902499999999</v>
      </c>
      <c r="Y21" s="45">
        <v>46.031019100000002</v>
      </c>
      <c r="Z21" s="45">
        <v>47.041870899999999</v>
      </c>
      <c r="AA21" s="45">
        <v>32.979161300000001</v>
      </c>
      <c r="AB21" s="23">
        <v>30191.051696999999</v>
      </c>
      <c r="AC21" s="23">
        <v>156.33776700000001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300</v>
      </c>
      <c r="G22" s="35">
        <v>30</v>
      </c>
      <c r="H22" s="35">
        <v>10</v>
      </c>
      <c r="J22" s="36">
        <f t="shared" si="0"/>
        <v>9.6649144000000007</v>
      </c>
      <c r="K22" s="37">
        <f t="shared" si="1"/>
        <v>8.1822221131061479</v>
      </c>
      <c r="L22" s="35">
        <f t="shared" si="2"/>
        <v>96649144</v>
      </c>
      <c r="M22" s="35">
        <f t="shared" si="3"/>
        <v>24934880</v>
      </c>
      <c r="N22" s="46">
        <v>45333632</v>
      </c>
      <c r="O22" s="38">
        <v>96649144</v>
      </c>
      <c r="P22" s="38">
        <v>10591696</v>
      </c>
      <c r="Q22" s="38">
        <v>0</v>
      </c>
      <c r="R22" s="38">
        <v>14343184</v>
      </c>
      <c r="S22" s="38">
        <v>71570736</v>
      </c>
      <c r="T22" s="38">
        <v>143528</v>
      </c>
      <c r="U22" s="47">
        <v>77.959518700000004</v>
      </c>
      <c r="V22" s="47">
        <v>80.586041899999998</v>
      </c>
      <c r="W22" s="47">
        <v>40.480890799999997</v>
      </c>
      <c r="X22" s="47">
        <v>45.205960699999999</v>
      </c>
      <c r="Y22" s="47">
        <v>48.092723700000001</v>
      </c>
      <c r="Z22" s="47">
        <v>50.015318000000001</v>
      </c>
      <c r="AA22" s="47">
        <v>36.799207000000003</v>
      </c>
      <c r="AB22" s="39">
        <v>31776.297136000001</v>
      </c>
      <c r="AC22" s="39">
        <v>181.81856400000001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300</v>
      </c>
      <c r="G23" s="19">
        <v>30</v>
      </c>
      <c r="H23" s="19">
        <v>14</v>
      </c>
      <c r="J23" s="20">
        <f t="shared" si="0"/>
        <v>13.720657599999999</v>
      </c>
      <c r="K23" s="21">
        <f t="shared" si="1"/>
        <v>11.615774685089599</v>
      </c>
      <c r="L23" s="19">
        <f t="shared" si="2"/>
        <v>137206576</v>
      </c>
      <c r="M23" s="19">
        <f t="shared" si="3"/>
        <v>35319832</v>
      </c>
      <c r="N23" s="44">
        <v>90678336</v>
      </c>
      <c r="O23" s="22">
        <v>137206576</v>
      </c>
      <c r="P23" s="22">
        <v>22375480</v>
      </c>
      <c r="Q23" s="22">
        <v>0</v>
      </c>
      <c r="R23" s="22">
        <v>12944352</v>
      </c>
      <c r="S23" s="22">
        <v>101741080</v>
      </c>
      <c r="T23" s="22">
        <v>145664</v>
      </c>
      <c r="U23" s="45">
        <v>78.858965600000005</v>
      </c>
      <c r="V23" s="45">
        <v>81.8200717</v>
      </c>
      <c r="W23" s="45">
        <v>41.498674200000004</v>
      </c>
      <c r="X23" s="45">
        <v>45.731285800000002</v>
      </c>
      <c r="Y23" s="45">
        <v>48.841761400000003</v>
      </c>
      <c r="Z23" s="45">
        <v>50.796126700000002</v>
      </c>
      <c r="AA23" s="45">
        <v>37.741530300000001</v>
      </c>
      <c r="AB23" s="23">
        <v>38473.531782999999</v>
      </c>
      <c r="AC23" s="23">
        <v>232.04885200000001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300</v>
      </c>
      <c r="G24" s="27">
        <v>30</v>
      </c>
      <c r="H24" s="27">
        <v>21</v>
      </c>
      <c r="J24" s="28">
        <f t="shared" si="0"/>
        <v>20.436928000000002</v>
      </c>
      <c r="K24" s="29">
        <f t="shared" si="1"/>
        <v>17.301703593521552</v>
      </c>
      <c r="L24" s="27">
        <f t="shared" si="2"/>
        <v>204369280</v>
      </c>
      <c r="M24" s="27">
        <f t="shared" si="3"/>
        <v>37310448</v>
      </c>
      <c r="N24" s="58">
        <v>90678336</v>
      </c>
      <c r="O24" s="30">
        <v>204369280</v>
      </c>
      <c r="P24" s="30">
        <v>20179616</v>
      </c>
      <c r="Q24" s="30">
        <v>0</v>
      </c>
      <c r="R24" s="30">
        <v>17130832</v>
      </c>
      <c r="S24" s="30">
        <v>166916008</v>
      </c>
      <c r="T24" s="30">
        <v>142824</v>
      </c>
      <c r="U24" s="59">
        <v>79.551517799999999</v>
      </c>
      <c r="V24" s="59">
        <v>82.882568399999997</v>
      </c>
      <c r="W24" s="59">
        <v>42.497988900000003</v>
      </c>
      <c r="X24" s="59">
        <v>46.8028592</v>
      </c>
      <c r="Y24" s="59">
        <v>50.193542100000002</v>
      </c>
      <c r="Z24" s="59">
        <v>51.181465799999998</v>
      </c>
      <c r="AA24" s="59">
        <v>38.511490999999999</v>
      </c>
      <c r="AB24" s="31">
        <v>39337.151156</v>
      </c>
      <c r="AC24" s="31">
        <v>229.30637899999999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300</v>
      </c>
      <c r="G25" s="19">
        <v>30</v>
      </c>
      <c r="H25" s="19">
        <v>4</v>
      </c>
      <c r="J25" s="20">
        <f t="shared" si="0"/>
        <v>4.1968192000000002</v>
      </c>
      <c r="K25" s="21">
        <f t="shared" si="1"/>
        <v>3.4973493333333332</v>
      </c>
      <c r="L25" s="19">
        <f t="shared" si="2"/>
        <v>41968192</v>
      </c>
      <c r="M25" s="19">
        <f t="shared" si="3"/>
        <v>11282536</v>
      </c>
      <c r="N25" s="44">
        <v>23021184</v>
      </c>
      <c r="O25" s="22">
        <v>41968192</v>
      </c>
      <c r="P25" s="22">
        <v>6298328</v>
      </c>
      <c r="Q25" s="22">
        <v>0</v>
      </c>
      <c r="R25" s="22">
        <v>4984208</v>
      </c>
      <c r="S25" s="22">
        <v>30540928</v>
      </c>
      <c r="T25" s="22">
        <v>144728</v>
      </c>
      <c r="U25" s="45">
        <v>74.368697400000002</v>
      </c>
      <c r="V25" s="45">
        <v>76.2503624</v>
      </c>
      <c r="W25" s="45">
        <v>31.1854999</v>
      </c>
      <c r="X25" s="45">
        <v>39.928209299999999</v>
      </c>
      <c r="Y25" s="45">
        <v>36.621850700000003</v>
      </c>
      <c r="Z25" s="45">
        <v>45.087156999999998</v>
      </c>
      <c r="AA25" s="45">
        <v>28.3240479</v>
      </c>
      <c r="AB25" s="23">
        <v>14278.232443999999</v>
      </c>
      <c r="AC25" s="23">
        <v>59.913406999999999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300</v>
      </c>
      <c r="G26" s="35">
        <v>30</v>
      </c>
      <c r="H26" s="35">
        <v>8</v>
      </c>
      <c r="J26" s="36">
        <f t="shared" si="0"/>
        <v>8.1978120000000008</v>
      </c>
      <c r="K26" s="37">
        <f t="shared" si="1"/>
        <v>6.8315099999999997</v>
      </c>
      <c r="L26" s="35">
        <f t="shared" si="2"/>
        <v>81978120</v>
      </c>
      <c r="M26" s="35">
        <f t="shared" si="3"/>
        <v>17879960</v>
      </c>
      <c r="N26" s="46">
        <v>46064000</v>
      </c>
      <c r="O26" s="38">
        <v>81978120</v>
      </c>
      <c r="P26" s="38">
        <v>10601608</v>
      </c>
      <c r="Q26" s="38">
        <v>0</v>
      </c>
      <c r="R26" s="38">
        <v>7278352</v>
      </c>
      <c r="S26" s="38">
        <v>63949744</v>
      </c>
      <c r="T26" s="38">
        <v>148416</v>
      </c>
      <c r="U26" s="47">
        <v>77.302933199999998</v>
      </c>
      <c r="V26" s="47">
        <v>79.771672300000006</v>
      </c>
      <c r="W26" s="47">
        <v>33.5074045</v>
      </c>
      <c r="X26" s="47">
        <v>41.841794399999998</v>
      </c>
      <c r="Y26" s="47">
        <v>39.468124799999998</v>
      </c>
      <c r="Z26" s="47">
        <v>46.679141199999997</v>
      </c>
      <c r="AA26" s="47">
        <v>31.064094499999999</v>
      </c>
      <c r="AB26" s="39">
        <v>34460.427580000003</v>
      </c>
      <c r="AC26" s="39">
        <v>159.92763199999999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300</v>
      </c>
      <c r="G27" s="19">
        <v>30</v>
      </c>
      <c r="H27" s="19">
        <v>12</v>
      </c>
      <c r="J27" s="20">
        <f t="shared" si="0"/>
        <v>12.011088000000001</v>
      </c>
      <c r="K27" s="21">
        <f t="shared" si="1"/>
        <v>10.00924</v>
      </c>
      <c r="L27" s="19">
        <f t="shared" si="2"/>
        <v>120110880</v>
      </c>
      <c r="M27" s="19">
        <f t="shared" si="3"/>
        <v>26209608</v>
      </c>
      <c r="N27" s="44">
        <v>92146368</v>
      </c>
      <c r="O27" s="22">
        <v>120110880</v>
      </c>
      <c r="P27" s="22">
        <v>20128352</v>
      </c>
      <c r="Q27" s="22">
        <v>0</v>
      </c>
      <c r="R27" s="22">
        <v>6081256</v>
      </c>
      <c r="S27" s="22">
        <v>93755744</v>
      </c>
      <c r="T27" s="22">
        <v>145528</v>
      </c>
      <c r="U27" s="45">
        <v>79.125771</v>
      </c>
      <c r="V27" s="45">
        <v>82.080617700000005</v>
      </c>
      <c r="W27" s="45">
        <v>34.570872700000002</v>
      </c>
      <c r="X27" s="45">
        <v>43.2034296</v>
      </c>
      <c r="Y27" s="45">
        <v>41.276925400000003</v>
      </c>
      <c r="Z27" s="45">
        <v>47.973884200000001</v>
      </c>
      <c r="AA27" s="45">
        <v>32.319043100000002</v>
      </c>
      <c r="AB27" s="23">
        <v>96126.805666</v>
      </c>
      <c r="AC27" s="23">
        <v>525.68190700000002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300</v>
      </c>
      <c r="G28" s="35">
        <v>30</v>
      </c>
      <c r="H28" s="35">
        <v>17</v>
      </c>
      <c r="J28" s="36">
        <f t="shared" si="0"/>
        <v>17.1693496</v>
      </c>
      <c r="K28" s="37">
        <f t="shared" si="1"/>
        <v>14.307791333333334</v>
      </c>
      <c r="L28" s="35">
        <f t="shared" si="2"/>
        <v>171693496</v>
      </c>
      <c r="M28" s="35">
        <f t="shared" si="3"/>
        <v>45038000</v>
      </c>
      <c r="N28" s="46">
        <v>184310144</v>
      </c>
      <c r="O28" s="38">
        <v>171693496</v>
      </c>
      <c r="P28" s="38">
        <v>39383496</v>
      </c>
      <c r="Q28" s="38">
        <v>0</v>
      </c>
      <c r="R28" s="38">
        <v>5654504</v>
      </c>
      <c r="S28" s="38">
        <v>126511448</v>
      </c>
      <c r="T28" s="38">
        <v>144048</v>
      </c>
      <c r="U28" s="47">
        <v>80.757331600000001</v>
      </c>
      <c r="V28" s="47">
        <v>84.443107100000006</v>
      </c>
      <c r="W28" s="47">
        <v>35.3395869</v>
      </c>
      <c r="X28" s="47">
        <v>43.550638599999999</v>
      </c>
      <c r="Y28" s="47">
        <v>41.759977599999999</v>
      </c>
      <c r="Z28" s="47">
        <v>49.369634400000002</v>
      </c>
      <c r="AA28" s="47">
        <v>33.544548300000002</v>
      </c>
      <c r="AB28" s="39">
        <v>105810.163033</v>
      </c>
      <c r="AC28" s="39">
        <v>626.58680200000003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300</v>
      </c>
      <c r="G29" s="49">
        <v>30</v>
      </c>
      <c r="H29" s="49">
        <v>25</v>
      </c>
      <c r="J29" s="51">
        <f t="shared" si="0"/>
        <v>25.492660799999999</v>
      </c>
      <c r="K29" s="52">
        <f t="shared" si="1"/>
        <v>21.243884000000001</v>
      </c>
      <c r="L29" s="49">
        <f t="shared" si="2"/>
        <v>254926608</v>
      </c>
      <c r="M29" s="49">
        <f t="shared" si="3"/>
        <v>93387784</v>
      </c>
      <c r="N29" s="53">
        <v>138237904</v>
      </c>
      <c r="O29" s="54">
        <v>254926608</v>
      </c>
      <c r="P29" s="54">
        <v>85212040</v>
      </c>
      <c r="Q29" s="54">
        <v>0</v>
      </c>
      <c r="R29" s="54">
        <v>8175744</v>
      </c>
      <c r="S29" s="54">
        <v>161416168</v>
      </c>
      <c r="T29" s="54">
        <v>122656</v>
      </c>
      <c r="U29" s="55">
        <v>85.154512999999994</v>
      </c>
      <c r="V29" s="55">
        <v>90.947569400000006</v>
      </c>
      <c r="W29" s="55">
        <v>36.055818600000002</v>
      </c>
      <c r="X29" s="55">
        <v>43.8810821</v>
      </c>
      <c r="Y29" s="55">
        <v>42.2233412</v>
      </c>
      <c r="Z29" s="55">
        <v>53.372001099999999</v>
      </c>
      <c r="AA29" s="55">
        <v>35.275324300000001</v>
      </c>
      <c r="AB29" s="56">
        <v>131470.159377</v>
      </c>
      <c r="AC29" s="56">
        <v>511.123064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300</v>
      </c>
      <c r="G30" s="35">
        <v>30</v>
      </c>
      <c r="H30" s="35">
        <v>4</v>
      </c>
      <c r="J30" s="36">
        <f t="shared" si="0"/>
        <v>2.0043696</v>
      </c>
      <c r="K30" s="37">
        <f t="shared" si="1"/>
        <v>3.3419226917724831</v>
      </c>
      <c r="L30" s="35">
        <f t="shared" si="2"/>
        <v>20043696</v>
      </c>
      <c r="M30" s="35">
        <f t="shared" si="3"/>
        <v>5253552</v>
      </c>
      <c r="N30" s="46">
        <v>11249408</v>
      </c>
      <c r="O30" s="38">
        <v>20043696</v>
      </c>
      <c r="P30" s="38">
        <v>2261112</v>
      </c>
      <c r="Q30" s="38">
        <v>245032</v>
      </c>
      <c r="R30" s="38">
        <v>2747408</v>
      </c>
      <c r="S30" s="38">
        <v>14718072</v>
      </c>
      <c r="T30" s="38">
        <v>72072</v>
      </c>
      <c r="U30" s="47">
        <v>73.581462400000007</v>
      </c>
      <c r="V30" s="47">
        <v>75.312872299999995</v>
      </c>
      <c r="W30" s="47">
        <v>38.219682200000001</v>
      </c>
      <c r="X30" s="47">
        <v>44.377951899999999</v>
      </c>
      <c r="Y30" s="47">
        <v>43.022206699999998</v>
      </c>
      <c r="Z30" s="47">
        <v>48.455338099999999</v>
      </c>
      <c r="AA30" s="47">
        <v>34.748073499999997</v>
      </c>
      <c r="AB30" s="39">
        <v>13796.543194</v>
      </c>
      <c r="AC30" s="39">
        <v>72.608706999999995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300</v>
      </c>
      <c r="G31" s="19">
        <v>30</v>
      </c>
      <c r="H31" s="19">
        <v>8</v>
      </c>
      <c r="J31" s="20">
        <f t="shared" si="0"/>
        <v>4.0821927999999996</v>
      </c>
      <c r="K31" s="21">
        <f t="shared" si="1"/>
        <v>6.8063159361977199</v>
      </c>
      <c r="L31" s="19">
        <f t="shared" si="2"/>
        <v>40821928</v>
      </c>
      <c r="M31" s="19">
        <f t="shared" si="3"/>
        <v>8828360</v>
      </c>
      <c r="N31" s="44">
        <v>5692320</v>
      </c>
      <c r="O31" s="22">
        <v>40821928</v>
      </c>
      <c r="P31" s="22">
        <v>3947656</v>
      </c>
      <c r="Q31" s="22">
        <v>340520</v>
      </c>
      <c r="R31" s="22">
        <v>4540184</v>
      </c>
      <c r="S31" s="22">
        <v>31931216</v>
      </c>
      <c r="T31" s="22">
        <v>62352</v>
      </c>
      <c r="U31" s="45">
        <v>76.266844500000005</v>
      </c>
      <c r="V31" s="45">
        <v>78.432237200000003</v>
      </c>
      <c r="W31" s="45">
        <v>40.4759344</v>
      </c>
      <c r="X31" s="45">
        <v>45.779858900000001</v>
      </c>
      <c r="Y31" s="45">
        <v>44.618261099999998</v>
      </c>
      <c r="Z31" s="45">
        <v>49.514924600000001</v>
      </c>
      <c r="AA31" s="45">
        <v>36.427079399999997</v>
      </c>
      <c r="AB31" s="23">
        <v>15785.902303999999</v>
      </c>
      <c r="AC31" s="23">
        <v>89.591166999999999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300</v>
      </c>
      <c r="G32" s="35">
        <v>30</v>
      </c>
      <c r="H32" s="35">
        <v>12</v>
      </c>
      <c r="J32" s="36">
        <f t="shared" si="0"/>
        <v>6.0537655999999993</v>
      </c>
      <c r="K32" s="37">
        <f t="shared" si="1"/>
        <v>10.093555913695589</v>
      </c>
      <c r="L32" s="35">
        <f t="shared" si="2"/>
        <v>60537656</v>
      </c>
      <c r="M32" s="35">
        <f t="shared" si="3"/>
        <v>16830280</v>
      </c>
      <c r="N32" s="46">
        <v>22964192</v>
      </c>
      <c r="O32" s="38">
        <v>60537656</v>
      </c>
      <c r="P32" s="38">
        <v>11506568</v>
      </c>
      <c r="Q32" s="38">
        <v>886064</v>
      </c>
      <c r="R32" s="38">
        <v>4437648</v>
      </c>
      <c r="S32" s="38">
        <v>43645896</v>
      </c>
      <c r="T32" s="38">
        <v>61480</v>
      </c>
      <c r="U32" s="47">
        <v>79.726949700000006</v>
      </c>
      <c r="V32" s="47">
        <v>82.881465300000002</v>
      </c>
      <c r="W32" s="47">
        <v>41.571718599999997</v>
      </c>
      <c r="X32" s="47">
        <v>46.554951099999997</v>
      </c>
      <c r="Y32" s="47">
        <v>45.584949199999997</v>
      </c>
      <c r="Z32" s="47">
        <v>52.067650899999997</v>
      </c>
      <c r="AA32" s="47">
        <v>38.772779800000002</v>
      </c>
      <c r="AB32" s="39">
        <v>54901.428807999997</v>
      </c>
      <c r="AC32" s="39">
        <v>289.13753200000002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300</v>
      </c>
      <c r="G33" s="19">
        <v>30</v>
      </c>
      <c r="H33" s="19">
        <v>17</v>
      </c>
      <c r="J33" s="20">
        <f t="shared" si="0"/>
        <v>8.4421248000000002</v>
      </c>
      <c r="K33" s="21">
        <f t="shared" si="1"/>
        <v>14.075711603236865</v>
      </c>
      <c r="L33" s="19">
        <f t="shared" si="2"/>
        <v>84421248</v>
      </c>
      <c r="M33" s="19">
        <f t="shared" si="3"/>
        <v>21773824</v>
      </c>
      <c r="N33" s="44">
        <v>22964192</v>
      </c>
      <c r="O33" s="22">
        <v>84421248</v>
      </c>
      <c r="P33" s="22">
        <v>11506568</v>
      </c>
      <c r="Q33" s="22">
        <v>886064</v>
      </c>
      <c r="R33" s="22">
        <v>9381192</v>
      </c>
      <c r="S33" s="22">
        <v>62584904</v>
      </c>
      <c r="T33" s="22">
        <v>62520</v>
      </c>
      <c r="U33" s="45">
        <v>81.052799500000006</v>
      </c>
      <c r="V33" s="45">
        <v>85.107596099999995</v>
      </c>
      <c r="W33" s="45">
        <v>42.445377399999998</v>
      </c>
      <c r="X33" s="45">
        <v>47.631218799999999</v>
      </c>
      <c r="Y33" s="45">
        <v>46.786614</v>
      </c>
      <c r="Z33" s="45">
        <v>53.037253200000002</v>
      </c>
      <c r="AA33" s="45">
        <v>39.929595200000001</v>
      </c>
      <c r="AB33" s="23">
        <v>56955.832928999997</v>
      </c>
      <c r="AC33" s="23">
        <v>311.67631799999998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300</v>
      </c>
      <c r="G34" s="27">
        <v>30</v>
      </c>
      <c r="H34" s="27">
        <v>25</v>
      </c>
      <c r="J34" s="28">
        <f t="shared" si="0"/>
        <v>11.762096</v>
      </c>
      <c r="K34" s="29">
        <f t="shared" si="1"/>
        <v>19.611161297400617</v>
      </c>
      <c r="L34" s="27">
        <f t="shared" si="2"/>
        <v>117620960</v>
      </c>
      <c r="M34" s="27">
        <f t="shared" si="3"/>
        <v>32488000</v>
      </c>
      <c r="N34" s="58">
        <v>57516368</v>
      </c>
      <c r="O34" s="30">
        <v>117620960</v>
      </c>
      <c r="P34" s="30">
        <v>26560328</v>
      </c>
      <c r="Q34" s="30">
        <v>4259272</v>
      </c>
      <c r="R34" s="30">
        <v>1668400</v>
      </c>
      <c r="S34" s="30">
        <v>85072648</v>
      </c>
      <c r="T34" s="30">
        <v>60312</v>
      </c>
      <c r="U34" s="59">
        <v>83.999662700000002</v>
      </c>
      <c r="V34" s="59">
        <v>88.717829499999993</v>
      </c>
      <c r="W34" s="59">
        <v>43.402023800000002</v>
      </c>
      <c r="X34" s="59">
        <v>48.336372799999999</v>
      </c>
      <c r="Y34" s="59">
        <v>47.594773400000001</v>
      </c>
      <c r="Z34" s="59">
        <v>55.666921799999997</v>
      </c>
      <c r="AA34" s="59">
        <v>41.984713900000003</v>
      </c>
      <c r="AB34" s="31">
        <v>67114.426607000001</v>
      </c>
      <c r="AC34" s="31">
        <v>253.843255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300</v>
      </c>
      <c r="G35" s="19">
        <v>30</v>
      </c>
      <c r="H35" s="19">
        <v>3</v>
      </c>
      <c r="J35" s="20">
        <f t="shared" si="0"/>
        <v>2.6586607999999998</v>
      </c>
      <c r="K35" s="21">
        <f t="shared" si="1"/>
        <v>2.9540675555555556</v>
      </c>
      <c r="L35" s="19">
        <f t="shared" si="2"/>
        <v>26586608</v>
      </c>
      <c r="M35" s="19">
        <f t="shared" si="3"/>
        <v>6896352</v>
      </c>
      <c r="N35" s="44">
        <v>34433600</v>
      </c>
      <c r="O35" s="22">
        <v>26586608</v>
      </c>
      <c r="P35" s="22">
        <v>3407776</v>
      </c>
      <c r="Q35" s="22">
        <v>813168</v>
      </c>
      <c r="R35" s="22">
        <v>2675408</v>
      </c>
      <c r="S35" s="22">
        <v>19544816</v>
      </c>
      <c r="T35" s="22">
        <v>145440</v>
      </c>
      <c r="U35" s="45">
        <v>73.418928899999997</v>
      </c>
      <c r="V35" s="45">
        <v>75.162782100000001</v>
      </c>
      <c r="W35" s="45">
        <v>30.227975399999998</v>
      </c>
      <c r="X35" s="45">
        <v>38.966627799999998</v>
      </c>
      <c r="Y35" s="45">
        <v>39.003960999999997</v>
      </c>
      <c r="Z35" s="45">
        <v>48.655524200000002</v>
      </c>
      <c r="AA35" s="45">
        <v>29.391496100000001</v>
      </c>
      <c r="AB35" s="23">
        <v>70885.374429000003</v>
      </c>
      <c r="AC35" s="23">
        <v>524.68342299999995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300</v>
      </c>
      <c r="G36" s="35">
        <v>30</v>
      </c>
      <c r="H36" s="35">
        <v>4</v>
      </c>
      <c r="J36" s="36">
        <f t="shared" si="0"/>
        <v>3.7358296000000002</v>
      </c>
      <c r="K36" s="37">
        <f t="shared" si="1"/>
        <v>4.1509217777777776</v>
      </c>
      <c r="L36" s="35">
        <f t="shared" si="2"/>
        <v>37358296</v>
      </c>
      <c r="M36" s="35">
        <f t="shared" si="3"/>
        <v>8319128</v>
      </c>
      <c r="N36" s="46">
        <v>68916608</v>
      </c>
      <c r="O36" s="38">
        <v>37358296</v>
      </c>
      <c r="P36" s="38">
        <v>5695784</v>
      </c>
      <c r="Q36" s="38">
        <v>1439160</v>
      </c>
      <c r="R36" s="38">
        <v>1184184</v>
      </c>
      <c r="S36" s="38">
        <v>28892496</v>
      </c>
      <c r="T36" s="38">
        <v>146672</v>
      </c>
      <c r="U36" s="47">
        <v>73.763179100000002</v>
      </c>
      <c r="V36" s="47">
        <v>75.521231999999998</v>
      </c>
      <c r="W36" s="47">
        <v>30.706671799999999</v>
      </c>
      <c r="X36" s="47">
        <v>39.088313900000003</v>
      </c>
      <c r="Y36" s="47">
        <v>39.177387400000001</v>
      </c>
      <c r="Z36" s="47">
        <v>48.930627700000002</v>
      </c>
      <c r="AA36" s="47">
        <v>29.734453999999999</v>
      </c>
      <c r="AB36" s="39">
        <v>77248.990181999994</v>
      </c>
      <c r="AC36" s="39">
        <v>499.86772999999999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300</v>
      </c>
      <c r="G37" s="19">
        <v>30</v>
      </c>
      <c r="H37" s="19">
        <v>6</v>
      </c>
      <c r="J37" s="20">
        <f t="shared" si="0"/>
        <v>5.5510400000000004</v>
      </c>
      <c r="K37" s="21">
        <f t="shared" si="1"/>
        <v>6.1678222222222221</v>
      </c>
      <c r="L37" s="19">
        <f t="shared" si="2"/>
        <v>55510400</v>
      </c>
      <c r="M37" s="19">
        <f t="shared" si="3"/>
        <v>11330280</v>
      </c>
      <c r="N37" s="44">
        <v>68916608</v>
      </c>
      <c r="O37" s="22">
        <v>55510400</v>
      </c>
      <c r="P37" s="22">
        <v>5695784</v>
      </c>
      <c r="Q37" s="22">
        <v>1439160</v>
      </c>
      <c r="R37" s="22">
        <v>4195336</v>
      </c>
      <c r="S37" s="22">
        <v>44032064</v>
      </c>
      <c r="T37" s="22">
        <v>148056</v>
      </c>
      <c r="U37" s="45">
        <v>76.526669900000002</v>
      </c>
      <c r="V37" s="45">
        <v>78.788144599999995</v>
      </c>
      <c r="W37" s="45">
        <v>31.340484700000001</v>
      </c>
      <c r="X37" s="45">
        <v>39.175326800000001</v>
      </c>
      <c r="Y37" s="45">
        <v>39.320866600000002</v>
      </c>
      <c r="Z37" s="45">
        <v>50.4086888</v>
      </c>
      <c r="AA37" s="45">
        <v>30.5254698</v>
      </c>
      <c r="AB37" s="23">
        <v>78520.768291</v>
      </c>
      <c r="AC37" s="23">
        <v>553.73068699999999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300</v>
      </c>
      <c r="G38" s="35">
        <v>30</v>
      </c>
      <c r="H38" s="35">
        <v>8</v>
      </c>
      <c r="J38" s="36">
        <f t="shared" si="0"/>
        <v>7.4366479999999999</v>
      </c>
      <c r="K38" s="37">
        <f t="shared" si="1"/>
        <v>8.2629422222222217</v>
      </c>
      <c r="L38" s="35">
        <f t="shared" si="2"/>
        <v>74366480</v>
      </c>
      <c r="M38" s="35">
        <f t="shared" si="3"/>
        <v>18258168</v>
      </c>
      <c r="N38" s="46">
        <v>137868096</v>
      </c>
      <c r="O38" s="38">
        <v>74366480</v>
      </c>
      <c r="P38" s="38">
        <v>11011288</v>
      </c>
      <c r="Q38" s="38">
        <v>3482088</v>
      </c>
      <c r="R38" s="38">
        <v>3764792</v>
      </c>
      <c r="S38" s="38">
        <v>55963992</v>
      </c>
      <c r="T38" s="38">
        <v>144320</v>
      </c>
      <c r="U38" s="47">
        <v>78.951662600000006</v>
      </c>
      <c r="V38" s="47">
        <v>81.842615199999997</v>
      </c>
      <c r="W38" s="47">
        <v>31.773388700000002</v>
      </c>
      <c r="X38" s="47">
        <v>39.267807699999999</v>
      </c>
      <c r="Y38" s="47">
        <v>39.4827248</v>
      </c>
      <c r="Z38" s="47">
        <v>51.775119199999999</v>
      </c>
      <c r="AA38" s="47">
        <v>31.108462299999999</v>
      </c>
      <c r="AB38" s="39">
        <v>85983.200664000004</v>
      </c>
      <c r="AC38" s="39">
        <v>536.58419200000003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300</v>
      </c>
      <c r="G39" s="49">
        <v>30</v>
      </c>
      <c r="H39" s="49">
        <v>12</v>
      </c>
      <c r="J39" s="51">
        <f t="shared" si="0"/>
        <v>11.386374400000001</v>
      </c>
      <c r="K39" s="52">
        <f t="shared" si="1"/>
        <v>12.651527111111111</v>
      </c>
      <c r="L39" s="49">
        <f t="shared" si="2"/>
        <v>113863744</v>
      </c>
      <c r="M39" s="49">
        <f t="shared" si="3"/>
        <v>24754752</v>
      </c>
      <c r="N39" s="53">
        <v>206806912</v>
      </c>
      <c r="O39" s="54">
        <v>113863744</v>
      </c>
      <c r="P39" s="54">
        <v>16719424</v>
      </c>
      <c r="Q39" s="54">
        <v>4694056</v>
      </c>
      <c r="R39" s="54">
        <v>3341272</v>
      </c>
      <c r="S39" s="54">
        <v>88966256</v>
      </c>
      <c r="T39" s="54">
        <v>142736</v>
      </c>
      <c r="U39" s="55">
        <v>80.372256699999994</v>
      </c>
      <c r="V39" s="55">
        <v>83.760363799999993</v>
      </c>
      <c r="W39" s="55">
        <v>32.487023000000001</v>
      </c>
      <c r="X39" s="55">
        <v>39.3433414</v>
      </c>
      <c r="Y39" s="55">
        <v>39.611556200000003</v>
      </c>
      <c r="Z39" s="55">
        <v>52.6374712</v>
      </c>
      <c r="AA39" s="55">
        <v>31.828937</v>
      </c>
      <c r="AB39" s="56">
        <v>95536.846846</v>
      </c>
      <c r="AC39" s="56">
        <v>649.30291699999998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300</v>
      </c>
      <c r="G40" s="35">
        <v>30</v>
      </c>
      <c r="H40" s="35">
        <v>3</v>
      </c>
      <c r="J40" s="36">
        <f t="shared" si="0"/>
        <v>2.9566896000000003</v>
      </c>
      <c r="K40" s="37">
        <f t="shared" si="1"/>
        <v>3.2852106666666665</v>
      </c>
      <c r="L40" s="35">
        <f t="shared" si="2"/>
        <v>29566896</v>
      </c>
      <c r="M40" s="35">
        <f t="shared" si="3"/>
        <v>6298064</v>
      </c>
      <c r="N40" s="46">
        <v>34506112</v>
      </c>
      <c r="O40" s="38">
        <v>29566896</v>
      </c>
      <c r="P40" s="38">
        <v>3190296</v>
      </c>
      <c r="Q40" s="38">
        <v>276192</v>
      </c>
      <c r="R40" s="38">
        <v>2831576</v>
      </c>
      <c r="S40" s="38">
        <v>23121248</v>
      </c>
      <c r="T40" s="38">
        <v>147584</v>
      </c>
      <c r="U40" s="47">
        <v>74.656253599999999</v>
      </c>
      <c r="V40" s="47">
        <v>76.279879399999999</v>
      </c>
      <c r="W40" s="47">
        <v>33.3440224</v>
      </c>
      <c r="X40" s="47">
        <v>42.564776999999999</v>
      </c>
      <c r="Y40" s="47">
        <v>42.8876548</v>
      </c>
      <c r="Z40" s="47">
        <v>49.396476</v>
      </c>
      <c r="AA40" s="47">
        <v>32.544513199999997</v>
      </c>
      <c r="AB40" s="39">
        <v>69074.364201000004</v>
      </c>
      <c r="AC40" s="39">
        <v>438.81647800000002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300</v>
      </c>
      <c r="G41" s="19">
        <v>30</v>
      </c>
      <c r="H41" s="19">
        <v>4</v>
      </c>
      <c r="J41" s="20">
        <f t="shared" si="0"/>
        <v>3.8689087999999998</v>
      </c>
      <c r="K41" s="21">
        <f t="shared" si="1"/>
        <v>4.2987875555555553</v>
      </c>
      <c r="L41" s="19">
        <f t="shared" si="2"/>
        <v>38689088</v>
      </c>
      <c r="M41" s="19">
        <f t="shared" si="3"/>
        <v>9990712</v>
      </c>
      <c r="N41" s="44">
        <v>69038912</v>
      </c>
      <c r="O41" s="22">
        <v>38689088</v>
      </c>
      <c r="P41" s="22">
        <v>6092232</v>
      </c>
      <c r="Q41" s="22">
        <v>990016</v>
      </c>
      <c r="R41" s="22">
        <v>2908464</v>
      </c>
      <c r="S41" s="22">
        <v>28551104</v>
      </c>
      <c r="T41" s="22">
        <v>147272</v>
      </c>
      <c r="U41" s="45">
        <v>76.6132013</v>
      </c>
      <c r="V41" s="45">
        <v>78.538687100000004</v>
      </c>
      <c r="W41" s="45">
        <v>33.667908199999999</v>
      </c>
      <c r="X41" s="45">
        <v>42.739406099999997</v>
      </c>
      <c r="Y41" s="45">
        <v>43.170478299999999</v>
      </c>
      <c r="Z41" s="45">
        <v>50.657764700000001</v>
      </c>
      <c r="AA41" s="45">
        <v>33.029257200000004</v>
      </c>
      <c r="AB41" s="23">
        <v>69588.70048</v>
      </c>
      <c r="AC41" s="23">
        <v>501.51217000000003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300</v>
      </c>
      <c r="G42" s="35">
        <v>30</v>
      </c>
      <c r="H42" s="35">
        <v>6</v>
      </c>
      <c r="J42" s="36">
        <f t="shared" si="0"/>
        <v>6.02318</v>
      </c>
      <c r="K42" s="37">
        <f t="shared" si="1"/>
        <v>6.6924222222222225</v>
      </c>
      <c r="L42" s="35">
        <f t="shared" si="2"/>
        <v>60231800</v>
      </c>
      <c r="M42" s="35">
        <f t="shared" si="3"/>
        <v>14851192</v>
      </c>
      <c r="N42" s="46">
        <v>138089728</v>
      </c>
      <c r="O42" s="38">
        <v>60231800</v>
      </c>
      <c r="P42" s="38">
        <v>10923920</v>
      </c>
      <c r="Q42" s="38">
        <v>1794216</v>
      </c>
      <c r="R42" s="38">
        <v>2133056</v>
      </c>
      <c r="S42" s="38">
        <v>45236064</v>
      </c>
      <c r="T42" s="38">
        <v>144544</v>
      </c>
      <c r="U42" s="47">
        <v>78.428330200000005</v>
      </c>
      <c r="V42" s="47">
        <v>80.692389000000006</v>
      </c>
      <c r="W42" s="47">
        <v>34.2944046</v>
      </c>
      <c r="X42" s="47">
        <v>42.892760899999999</v>
      </c>
      <c r="Y42" s="47">
        <v>43.4028165</v>
      </c>
      <c r="Z42" s="47">
        <v>51.753066799999999</v>
      </c>
      <c r="AA42" s="47">
        <v>33.689629500000002</v>
      </c>
      <c r="AB42" s="39">
        <v>78284.264053999999</v>
      </c>
      <c r="AC42" s="39">
        <v>622.72109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300</v>
      </c>
      <c r="G43" s="19">
        <v>30</v>
      </c>
      <c r="H43" s="19">
        <v>8</v>
      </c>
      <c r="J43" s="20">
        <f t="shared" si="0"/>
        <v>7.8142304000000005</v>
      </c>
      <c r="K43" s="21">
        <f t="shared" si="1"/>
        <v>8.6824782222222225</v>
      </c>
      <c r="L43" s="19">
        <f t="shared" si="2"/>
        <v>78142304</v>
      </c>
      <c r="M43" s="19">
        <f t="shared" si="3"/>
        <v>17549552</v>
      </c>
      <c r="N43" s="44">
        <v>138089728</v>
      </c>
      <c r="O43" s="22">
        <v>78142304</v>
      </c>
      <c r="P43" s="22">
        <v>10923920</v>
      </c>
      <c r="Q43" s="22">
        <v>1794216</v>
      </c>
      <c r="R43" s="22">
        <v>4831416</v>
      </c>
      <c r="S43" s="22">
        <v>60447240</v>
      </c>
      <c r="T43" s="22">
        <v>145512</v>
      </c>
      <c r="U43" s="45">
        <v>79.735194399999997</v>
      </c>
      <c r="V43" s="45">
        <v>82.476128500000002</v>
      </c>
      <c r="W43" s="45">
        <v>34.346918899999999</v>
      </c>
      <c r="X43" s="45">
        <v>43.025330599999997</v>
      </c>
      <c r="Y43" s="45">
        <v>43.5684757</v>
      </c>
      <c r="Z43" s="45">
        <v>52.462474999999998</v>
      </c>
      <c r="AA43" s="45">
        <v>33.837023799999997</v>
      </c>
      <c r="AB43" s="23">
        <v>41192.125419000004</v>
      </c>
      <c r="AC43" s="23">
        <v>287.49968899999999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300</v>
      </c>
      <c r="G44" s="27">
        <v>30</v>
      </c>
      <c r="H44" s="27">
        <v>12</v>
      </c>
      <c r="J44" s="28">
        <f t="shared" si="0"/>
        <v>11.9613648</v>
      </c>
      <c r="K44" s="29">
        <f t="shared" si="1"/>
        <v>13.290405333333334</v>
      </c>
      <c r="L44" s="27">
        <f t="shared" si="2"/>
        <v>119613648</v>
      </c>
      <c r="M44" s="27">
        <f t="shared" si="3"/>
        <v>22820376</v>
      </c>
      <c r="N44" s="58">
        <v>207140672</v>
      </c>
      <c r="O44" s="30">
        <v>119613648</v>
      </c>
      <c r="P44" s="30">
        <v>15556456</v>
      </c>
      <c r="Q44" s="30">
        <v>2553648</v>
      </c>
      <c r="R44" s="30">
        <v>4710272</v>
      </c>
      <c r="S44" s="30">
        <v>96650048</v>
      </c>
      <c r="T44" s="30">
        <v>143224</v>
      </c>
      <c r="U44" s="59">
        <v>81.119369699999993</v>
      </c>
      <c r="V44" s="59">
        <v>84.357862699999998</v>
      </c>
      <c r="W44" s="59">
        <v>34.916817100000003</v>
      </c>
      <c r="X44" s="59">
        <v>43.1290567</v>
      </c>
      <c r="Y44" s="59">
        <v>43.726384799999998</v>
      </c>
      <c r="Z44" s="59">
        <v>53.253805</v>
      </c>
      <c r="AA44" s="59">
        <v>34.421246400000001</v>
      </c>
      <c r="AB44" s="31">
        <v>51320.572329000002</v>
      </c>
      <c r="AC44" s="31">
        <v>386.27552500000002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12.200576895527345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>AVERAGE(AZ5:AZ14)</f>
        <v>#DIV/0!</v>
      </c>
      <c r="BA45" s="5" t="e">
        <f>AVERAGE(BA5:BA14)</f>
        <v>#DIV/0!</v>
      </c>
      <c r="BB45" s="5" t="e">
        <f>AVERAGE(BB5:BB14)</f>
        <v>#DIV/0!</v>
      </c>
      <c r="BC45" s="5" t="e">
        <f>AVERAGE(BC5:BC14)</f>
        <v>#DIV/0!</v>
      </c>
      <c r="BD45" s="5" t="e">
        <f>AVERAGE(BD5:BD14)</f>
        <v>#DIV/0!</v>
      </c>
      <c r="BE45" s="5" t="e">
        <f>AVERAGE(BE5:BE14)</f>
        <v>#DIV/0!</v>
      </c>
      <c r="BF45" s="5" t="e">
        <f>AVERAGE(BF5:BF14)</f>
        <v>#DIV/0!</v>
      </c>
      <c r="BH45" s="5" t="e">
        <f>AVERAGE(BH5:BH14)</f>
        <v>#DIV/0!</v>
      </c>
      <c r="BI45" s="5" t="e">
        <f>AVERAGE(BI5:BI14)</f>
        <v>#DIV/0!</v>
      </c>
      <c r="BJ45" s="5" t="e">
        <f>AVERAGE(BJ5:BJ14)</f>
        <v>#DIV/0!</v>
      </c>
      <c r="BK45" s="5" t="e">
        <f>AVERAGE(BK5:BK14)</f>
        <v>#DIV/0!</v>
      </c>
      <c r="BL45" s="5" t="e">
        <f>AVERAGE(BL5:BL14)</f>
        <v>#DIV/0!</v>
      </c>
      <c r="BM45" s="5" t="e">
        <f>AVERAGE(BM5:BM14)</f>
        <v>#DIV/0!</v>
      </c>
      <c r="BN45" s="5" t="e">
        <f>AVERAGE(BN5:BN14)</f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8.7642027687564728</v>
      </c>
      <c r="L46" s="42"/>
      <c r="M46" s="42"/>
      <c r="AF46" s="42" t="e">
        <f>AVERAGE(AF15:AF24)</f>
        <v>#DIV/0!</v>
      </c>
      <c r="AG46" s="42"/>
      <c r="AH46" s="42"/>
      <c r="AZ46" s="5" t="e">
        <f>AVERAGE(AZ15:AZ24)</f>
        <v>#DIV/0!</v>
      </c>
      <c r="BA46" s="5" t="e">
        <f>AVERAGE(BA15:BA24)</f>
        <v>#DIV/0!</v>
      </c>
      <c r="BB46" s="5" t="e">
        <f>AVERAGE(BB15:BB24)</f>
        <v>#DIV/0!</v>
      </c>
      <c r="BC46" s="5" t="e">
        <f>AVERAGE(BC15:BC24)</f>
        <v>#DIV/0!</v>
      </c>
      <c r="BD46" s="5" t="e">
        <f>AVERAGE(BD15:BD24)</f>
        <v>#DIV/0!</v>
      </c>
      <c r="BE46" s="5" t="e">
        <f>AVERAGE(BE15:BE24)</f>
        <v>#DIV/0!</v>
      </c>
      <c r="BF46" s="5" t="e">
        <f>AVERAGE(BF15:BF24)</f>
        <v>#DIV/0!</v>
      </c>
      <c r="BH46" s="5" t="e">
        <f>AVERAGE(BH15:BH24)</f>
        <v>#DIV/0!</v>
      </c>
      <c r="BI46" s="5" t="e">
        <f>AVERAGE(BI15:BI24)</f>
        <v>#DIV/0!</v>
      </c>
      <c r="BJ46" s="5" t="e">
        <f>AVERAGE(BJ15:BJ24)</f>
        <v>#DIV/0!</v>
      </c>
      <c r="BK46" s="5" t="e">
        <f>AVERAGE(BK15:BK24)</f>
        <v>#DIV/0!</v>
      </c>
      <c r="BL46" s="5" t="e">
        <f>AVERAGE(BL15:BL24)</f>
        <v>#DIV/0!</v>
      </c>
      <c r="BM46" s="5" t="e">
        <f>AVERAGE(BM15:BM24)</f>
        <v>#DIV/0!</v>
      </c>
      <c r="BN46" s="5" t="e">
        <f>AVERAGE(BN15:BN24)</f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9.012751349892941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>AVERAGE(AZ25:AZ44)</f>
        <v>#DIV/0!</v>
      </c>
      <c r="BA47" s="5" t="e">
        <f>AVERAGE(BA25:BA44)</f>
        <v>#DIV/0!</v>
      </c>
      <c r="BB47" s="5" t="e">
        <f>AVERAGE(BB25:BB44)</f>
        <v>#DIV/0!</v>
      </c>
      <c r="BC47" s="5" t="e">
        <f>AVERAGE(BC25:BC44)</f>
        <v>#DIV/0!</v>
      </c>
      <c r="BD47" s="5" t="e">
        <f>AVERAGE(BD25:BD44)</f>
        <v>#DIV/0!</v>
      </c>
      <c r="BE47" s="5" t="e">
        <f>AVERAGE(BE25:BE44)</f>
        <v>#DIV/0!</v>
      </c>
      <c r="BF47" s="5" t="e">
        <f>AVERAGE(BF25:BF44)</f>
        <v>#DIV/0!</v>
      </c>
      <c r="BH47" s="5" t="e">
        <f>AVERAGE(BH25:BH44)</f>
        <v>#DIV/0!</v>
      </c>
      <c r="BI47" s="5" t="e">
        <f>AVERAGE(BI25:BI44)</f>
        <v>#DIV/0!</v>
      </c>
      <c r="BJ47" s="5" t="e">
        <f>AVERAGE(BJ25:BJ44)</f>
        <v>#DIV/0!</v>
      </c>
      <c r="BK47" s="5" t="e">
        <f>AVERAGE(BK25:BK44)</f>
        <v>#DIV/0!</v>
      </c>
      <c r="BL47" s="5" t="e">
        <f>AVERAGE(BL25:BL44)</f>
        <v>#DIV/0!</v>
      </c>
      <c r="BM47" s="5" t="e">
        <f>AVERAGE(BM25:BM44)</f>
        <v>#DIV/0!</v>
      </c>
      <c r="BN47" s="5" t="e">
        <f>AVERAGE(BN25:BN44)</f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9.7475705910174266</v>
      </c>
      <c r="L48" s="42"/>
      <c r="M48" s="42"/>
      <c r="AF48" s="42" t="e">
        <f>AVERAGE(AF5:AF44)</f>
        <v>#DIV/0!</v>
      </c>
      <c r="AG48" s="42"/>
      <c r="AH48" s="42"/>
      <c r="AZ48" s="5" t="e">
        <f>AVERAGE(AZ5:AZ44)</f>
        <v>#DIV/0!</v>
      </c>
      <c r="BA48" s="5" t="e">
        <f>AVERAGE(BA5:BA44)</f>
        <v>#DIV/0!</v>
      </c>
      <c r="BB48" s="5" t="e">
        <f>AVERAGE(BB5:BB44)</f>
        <v>#DIV/0!</v>
      </c>
      <c r="BC48" s="5" t="e">
        <f>AVERAGE(BC5:BC44)</f>
        <v>#DIV/0!</v>
      </c>
      <c r="BD48" s="5" t="e">
        <f>AVERAGE(BD5:BD44)</f>
        <v>#DIV/0!</v>
      </c>
      <c r="BE48" s="5" t="e">
        <f>AVERAGE(BE5:BE44)</f>
        <v>#DIV/0!</v>
      </c>
      <c r="BF48" s="5" t="e">
        <f>AVERAGE(BF5:BF44)</f>
        <v>#DIV/0!</v>
      </c>
      <c r="BH48" s="5" t="e">
        <f>AVERAGE(BH5:BH44)</f>
        <v>#DIV/0!</v>
      </c>
      <c r="BI48" s="5" t="e">
        <f>AVERAGE(BI5:BI44)</f>
        <v>#DIV/0!</v>
      </c>
      <c r="BJ48" s="5" t="e">
        <f>AVERAGE(BJ5:BJ44)</f>
        <v>#DIV/0!</v>
      </c>
      <c r="BK48" s="5" t="e">
        <f>AVERAGE(BK5:BK44)</f>
        <v>#DIV/0!</v>
      </c>
      <c r="BL48" s="5" t="e">
        <f>AVERAGE(BL5:BL44)</f>
        <v>#DIV/0!</v>
      </c>
      <c r="BM48" s="5" t="e">
        <f>AVERAGE(BM5:BM44)</f>
        <v>#DIV/0!</v>
      </c>
      <c r="BN48" s="5" t="e">
        <f>AVERAGE(BN5:BN44)</f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2018949.3172309997</v>
      </c>
      <c r="AC49" s="43">
        <f>SUM(AC5:AC14,AC15:AC24,AC25:AC44)</f>
        <v>11187.904083000001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>AG5-L5</f>
        <v>#VALUE!</v>
      </c>
      <c r="AH54" s="88" t="e">
        <f>AH5-M5</f>
        <v>#VALUE!</v>
      </c>
      <c r="AI54" s="88">
        <f>AI5-N5</f>
        <v>-22725696</v>
      </c>
      <c r="AJ54" s="88">
        <f>AJ5-O5</f>
        <v>-41132328</v>
      </c>
      <c r="AK54" s="88">
        <f>AK5-P5</f>
        <v>-7887216</v>
      </c>
      <c r="AL54" s="88">
        <f>AL5-Q5</f>
        <v>0</v>
      </c>
      <c r="AM54" s="88">
        <f>AM5-R5</f>
        <v>-5414080</v>
      </c>
      <c r="AN54" s="88">
        <f>AN5-S5</f>
        <v>-27688856</v>
      </c>
      <c r="AO54" s="88">
        <f>AO5-T5</f>
        <v>-142176</v>
      </c>
      <c r="AP54" s="88">
        <f>AP5-U5</f>
        <v>-68.837489599999998</v>
      </c>
      <c r="AQ54" s="89">
        <f>AQ5-V5</f>
        <v>-69.928643899999997</v>
      </c>
      <c r="AR54" s="89">
        <f>AR5-W5</f>
        <v>-27.869963500000001</v>
      </c>
      <c r="AS54" s="89">
        <f>AS5-X5</f>
        <v>-33.495045699999999</v>
      </c>
      <c r="AT54" s="89">
        <f>AT5-Y5</f>
        <v>-32.8806388</v>
      </c>
      <c r="AU54" s="89">
        <f>AU5-Z5</f>
        <v>-48.349528800000002</v>
      </c>
      <c r="AV54" s="90">
        <f>AV5-AA5</f>
        <v>-26.7105906</v>
      </c>
    </row>
    <row r="55" spans="1:50" x14ac:dyDescent="0.15">
      <c r="AG55" s="91" t="e">
        <f>AG6-L6</f>
        <v>#VALUE!</v>
      </c>
      <c r="AH55" s="91" t="e">
        <f>AH6-M6</f>
        <v>#VALUE!</v>
      </c>
      <c r="AI55" s="91">
        <f>AI6-N6</f>
        <v>-22725696</v>
      </c>
      <c r="AJ55" s="91">
        <f>AJ6-O6</f>
        <v>-83806784</v>
      </c>
      <c r="AK55" s="91">
        <f>AK6-P6</f>
        <v>-7887216</v>
      </c>
      <c r="AL55" s="91">
        <f>AL6-Q6</f>
        <v>0</v>
      </c>
      <c r="AM55" s="91">
        <f>AM6-R6</f>
        <v>-9463608</v>
      </c>
      <c r="AN55" s="91">
        <f>AN6-S6</f>
        <v>-66319672</v>
      </c>
      <c r="AO55" s="91">
        <f>AO6-T6</f>
        <v>-136288</v>
      </c>
      <c r="AP55" s="91">
        <f>AP6-U6</f>
        <v>-70.589491899999999</v>
      </c>
      <c r="AQ55" s="92">
        <f>AQ6-V6</f>
        <v>-71.912136399999994</v>
      </c>
      <c r="AR55" s="92">
        <f>AR6-W6</f>
        <v>-31.13719</v>
      </c>
      <c r="AS55" s="92">
        <f>AS6-X6</f>
        <v>-34.693232100000003</v>
      </c>
      <c r="AT55" s="92">
        <f>AT6-Y6</f>
        <v>-34.208843600000002</v>
      </c>
      <c r="AU55" s="92">
        <f>AU6-Z6</f>
        <v>-49.186510699999999</v>
      </c>
      <c r="AV55" s="93">
        <f>AV6-AA6</f>
        <v>-28.916855200000001</v>
      </c>
    </row>
    <row r="56" spans="1:50" x14ac:dyDescent="0.15">
      <c r="AG56" s="91" t="e">
        <f>AG7-L7</f>
        <v>#VALUE!</v>
      </c>
      <c r="AH56" s="91" t="e">
        <f>AH7-M7</f>
        <v>#VALUE!</v>
      </c>
      <c r="AI56" s="91">
        <f>AI7-N7</f>
        <v>-45556032</v>
      </c>
      <c r="AJ56" s="91">
        <f>AJ7-O7</f>
        <v>-115622176</v>
      </c>
      <c r="AK56" s="91">
        <f>AK7-P7</f>
        <v>-12332384</v>
      </c>
      <c r="AL56" s="91">
        <f>AL7-Q7</f>
        <v>0</v>
      </c>
      <c r="AM56" s="91">
        <f>AM7-R7</f>
        <v>-9078808</v>
      </c>
      <c r="AN56" s="91">
        <f>AN7-S7</f>
        <v>-94071296</v>
      </c>
      <c r="AO56" s="91">
        <f>AO7-T7</f>
        <v>-139688</v>
      </c>
      <c r="AP56" s="91">
        <f>AP7-U7</f>
        <v>-72.6160651</v>
      </c>
      <c r="AQ56" s="92">
        <f>AQ7-V7</f>
        <v>-74.245658199999994</v>
      </c>
      <c r="AR56" s="92">
        <f>AR7-W7</f>
        <v>-32.317605200000003</v>
      </c>
      <c r="AS56" s="92">
        <f>AS7-X7</f>
        <v>-36.416674800000003</v>
      </c>
      <c r="AT56" s="92">
        <f>AT7-Y7</f>
        <v>-36.153123800000003</v>
      </c>
      <c r="AU56" s="92">
        <f>AU7-Z7</f>
        <v>-50.372402999999998</v>
      </c>
      <c r="AV56" s="93">
        <f>AV7-AA7</f>
        <v>-30.3648794</v>
      </c>
    </row>
    <row r="57" spans="1:50" x14ac:dyDescent="0.15">
      <c r="AG57" s="91" t="e">
        <f>AG8-L8</f>
        <v>#VALUE!</v>
      </c>
      <c r="AH57" s="91" t="e">
        <f>AH8-M8</f>
        <v>#VALUE!</v>
      </c>
      <c r="AI57" s="91">
        <f>AI8-N8</f>
        <v>-91604096</v>
      </c>
      <c r="AJ57" s="91">
        <f>AJ8-O8</f>
        <v>-146080960</v>
      </c>
      <c r="AK57" s="91">
        <f>AK8-P8</f>
        <v>-20164504</v>
      </c>
      <c r="AL57" s="91">
        <f>AL8-Q8</f>
        <v>0</v>
      </c>
      <c r="AM57" s="91">
        <f>AM8-R8</f>
        <v>-7602344</v>
      </c>
      <c r="AN57" s="91">
        <f>AN8-S8</f>
        <v>-118171320</v>
      </c>
      <c r="AO57" s="91">
        <f>AO8-T8</f>
        <v>-142792</v>
      </c>
      <c r="AP57" s="91">
        <f>AP8-U8</f>
        <v>-73.479297700000004</v>
      </c>
      <c r="AQ57" s="92">
        <f>AQ8-V8</f>
        <v>-75.239234699999997</v>
      </c>
      <c r="AR57" s="92">
        <f>AR8-W8</f>
        <v>-33.277265</v>
      </c>
      <c r="AS57" s="92">
        <f>AS8-X8</f>
        <v>-36.961361400000001</v>
      </c>
      <c r="AT57" s="92">
        <f>AT8-Y8</f>
        <v>-36.694246900000003</v>
      </c>
      <c r="AU57" s="92">
        <f>AU8-Z8</f>
        <v>-51.016121099999999</v>
      </c>
      <c r="AV57" s="93">
        <f>AV8-AA8</f>
        <v>-31.141213700000002</v>
      </c>
    </row>
    <row r="58" spans="1:50" x14ac:dyDescent="0.15">
      <c r="AG58" s="91" t="e">
        <f>AG9-L9</f>
        <v>#VALUE!</v>
      </c>
      <c r="AH58" s="91" t="e">
        <f>AH9-M9</f>
        <v>#VALUE!</v>
      </c>
      <c r="AI58" s="91">
        <f>AI9-N9</f>
        <v>-91604096</v>
      </c>
      <c r="AJ58" s="91">
        <f>AJ9-O9</f>
        <v>-220531928</v>
      </c>
      <c r="AK58" s="91">
        <f>AK9-P9</f>
        <v>-20164504</v>
      </c>
      <c r="AL58" s="91">
        <f>AL9-Q9</f>
        <v>0</v>
      </c>
      <c r="AM58" s="91">
        <f>AM9-R9</f>
        <v>-14089352</v>
      </c>
      <c r="AN58" s="91">
        <f>AN9-S9</f>
        <v>-186142840</v>
      </c>
      <c r="AO58" s="91">
        <f>AO9-T9</f>
        <v>-135232</v>
      </c>
      <c r="AP58" s="91">
        <f>AP9-U9</f>
        <v>-75.110726600000007</v>
      </c>
      <c r="AQ58" s="92">
        <f>AQ9-V9</f>
        <v>-77.184274700000003</v>
      </c>
      <c r="AR58" s="92">
        <f>AR9-W9</f>
        <v>-34.910738899999998</v>
      </c>
      <c r="AS58" s="92">
        <f>AS9-X9</f>
        <v>-38.518934100000003</v>
      </c>
      <c r="AT58" s="92">
        <f>AT9-Y9</f>
        <v>-38.216910800000001</v>
      </c>
      <c r="AU58" s="92">
        <f>AU9-Z9</f>
        <v>-51.849437199999997</v>
      </c>
      <c r="AV58" s="93">
        <f>AV9-AA9</f>
        <v>-32.510126399999997</v>
      </c>
    </row>
    <row r="59" spans="1:50" x14ac:dyDescent="0.15">
      <c r="AG59" s="91" t="e">
        <f>AG10-L10</f>
        <v>#VALUE!</v>
      </c>
      <c r="AH59" s="91" t="e">
        <f>AH10-M10</f>
        <v>#VALUE!</v>
      </c>
      <c r="AI59" s="91">
        <f>AI10-N10</f>
        <v>-9611840</v>
      </c>
      <c r="AJ59" s="91">
        <f>AJ10-O10</f>
        <v>-50404656</v>
      </c>
      <c r="AK59" s="91">
        <f>AK10-P10</f>
        <v>-2171920</v>
      </c>
      <c r="AL59" s="91">
        <f>AL10-Q10</f>
        <v>-1606056</v>
      </c>
      <c r="AM59" s="91">
        <f>AM10-R10</f>
        <v>-12330592</v>
      </c>
      <c r="AN59" s="91">
        <f>AN10-S10</f>
        <v>-34180328</v>
      </c>
      <c r="AO59" s="91">
        <f>AO10-T10</f>
        <v>-115760</v>
      </c>
      <c r="AP59" s="91">
        <f>AP10-U10</f>
        <v>-68.460925099999997</v>
      </c>
      <c r="AQ59" s="92">
        <f>AQ10-V10</f>
        <v>-69.578531100000006</v>
      </c>
      <c r="AR59" s="92">
        <f>AR10-W10</f>
        <v>-36.053066100000002</v>
      </c>
      <c r="AS59" s="92">
        <f>AS10-X10</f>
        <v>-46.4530843</v>
      </c>
      <c r="AT59" s="92">
        <f>AT10-Y10</f>
        <v>-46.947026299999997</v>
      </c>
      <c r="AU59" s="92">
        <f>AU10-Z10</f>
        <v>-45.984213099999998</v>
      </c>
      <c r="AV59" s="93">
        <f>AV10-AA10</f>
        <v>-32.434580699999998</v>
      </c>
    </row>
    <row r="60" spans="1:50" x14ac:dyDescent="0.15">
      <c r="AG60" s="91" t="e">
        <f>AG11-L11</f>
        <v>#VALUE!</v>
      </c>
      <c r="AH60" s="91" t="e">
        <f>AH11-M11</f>
        <v>#VALUE!</v>
      </c>
      <c r="AI60" s="91">
        <f>AI11-N11</f>
        <v>-19011856</v>
      </c>
      <c r="AJ60" s="91">
        <f>AJ11-O11</f>
        <v>-95068768</v>
      </c>
      <c r="AK60" s="91">
        <f>AK11-P11</f>
        <v>-7483456</v>
      </c>
      <c r="AL60" s="91">
        <f>AL11-Q11</f>
        <v>-2115688</v>
      </c>
      <c r="AM60" s="91">
        <f>AM11-R11</f>
        <v>-23128456</v>
      </c>
      <c r="AN60" s="91">
        <f>AN11-S11</f>
        <v>-62223896</v>
      </c>
      <c r="AO60" s="91">
        <f>AO11-T11</f>
        <v>-117272</v>
      </c>
      <c r="AP60" s="91">
        <f>AP11-U11</f>
        <v>-72.464145200000004</v>
      </c>
      <c r="AQ60" s="92">
        <f>AQ11-V11</f>
        <v>-74.102945700000006</v>
      </c>
      <c r="AR60" s="92">
        <f>AR11-W11</f>
        <v>-37.370115599999998</v>
      </c>
      <c r="AS60" s="92">
        <f>AS11-X11</f>
        <v>-47.192486700000003</v>
      </c>
      <c r="AT60" s="92">
        <f>AT11-Y11</f>
        <v>-47.781539600000002</v>
      </c>
      <c r="AU60" s="92">
        <f>AU11-Z11</f>
        <v>-48.3154021</v>
      </c>
      <c r="AV60" s="93">
        <f>AV11-AA11</f>
        <v>-34.6438591</v>
      </c>
    </row>
    <row r="61" spans="1:50" x14ac:dyDescent="0.15">
      <c r="AG61" s="91" t="e">
        <f>AG12-L12</f>
        <v>#VALUE!</v>
      </c>
      <c r="AH61" s="91" t="e">
        <f>AH12-M12</f>
        <v>#VALUE!</v>
      </c>
      <c r="AI61" s="91">
        <f>AI12-N12</f>
        <v>-20935328</v>
      </c>
      <c r="AJ61" s="91">
        <f>AJ12-O12</f>
        <v>-122605120</v>
      </c>
      <c r="AK61" s="91">
        <f>AK12-P12</f>
        <v>-8541288</v>
      </c>
      <c r="AL61" s="91">
        <f>AL12-Q12</f>
        <v>-2201648</v>
      </c>
      <c r="AM61" s="91">
        <f>AM12-R12</f>
        <v>-26666256</v>
      </c>
      <c r="AN61" s="91">
        <f>AN12-S12</f>
        <v>-85078336</v>
      </c>
      <c r="AO61" s="91">
        <f>AO12-T12</f>
        <v>-117592</v>
      </c>
      <c r="AP61" s="91">
        <f>AP12-U12</f>
        <v>-73.030745600000003</v>
      </c>
      <c r="AQ61" s="92">
        <f>AQ12-V12</f>
        <v>-74.766434500000003</v>
      </c>
      <c r="AR61" s="92">
        <f>AR12-W12</f>
        <v>-38.2139126</v>
      </c>
      <c r="AS61" s="92">
        <f>AS12-X12</f>
        <v>-47.512784500000002</v>
      </c>
      <c r="AT61" s="92">
        <f>AT12-Y12</f>
        <v>-48.119196000000002</v>
      </c>
      <c r="AU61" s="92">
        <f>AU12-Z12</f>
        <v>-48.648945699999999</v>
      </c>
      <c r="AV61" s="93">
        <f>AV12-AA12</f>
        <v>-35.269265500000003</v>
      </c>
    </row>
    <row r="62" spans="1:50" x14ac:dyDescent="0.15">
      <c r="AG62" s="91" t="e">
        <f>AG13-L13</f>
        <v>#VALUE!</v>
      </c>
      <c r="AH62" s="91" t="e">
        <f>AH13-M13</f>
        <v>#VALUE!</v>
      </c>
      <c r="AI62" s="91">
        <f>AI13-N13</f>
        <v>-22847344</v>
      </c>
      <c r="AJ62" s="91">
        <f>AJ13-O13</f>
        <v>-158011728</v>
      </c>
      <c r="AK62" s="91">
        <f>AK13-P13</f>
        <v>-9750512</v>
      </c>
      <c r="AL62" s="91">
        <f>AL13-Q13</f>
        <v>-2297400</v>
      </c>
      <c r="AM62" s="91">
        <f>AM13-R13</f>
        <v>-28531824</v>
      </c>
      <c r="AN62" s="91">
        <f>AN13-S13</f>
        <v>-117314072</v>
      </c>
      <c r="AO62" s="91">
        <f>AO13-T13</f>
        <v>-117920</v>
      </c>
      <c r="AP62" s="91">
        <f>AP13-U13</f>
        <v>-73.494123900000005</v>
      </c>
      <c r="AQ62" s="92">
        <f>AQ13-V13</f>
        <v>-75.321760600000005</v>
      </c>
      <c r="AR62" s="92">
        <f>AR13-W13</f>
        <v>-38.966573799999999</v>
      </c>
      <c r="AS62" s="92">
        <f>AS13-X13</f>
        <v>-48.220530799999999</v>
      </c>
      <c r="AT62" s="92">
        <f>AT13-Y13</f>
        <v>-48.883390400000003</v>
      </c>
      <c r="AU62" s="92">
        <f>AU13-Z13</f>
        <v>-48.9204662</v>
      </c>
      <c r="AV62" s="93">
        <f>AV13-AA13</f>
        <v>-35.780417399999997</v>
      </c>
    </row>
    <row r="63" spans="1:50" x14ac:dyDescent="0.15">
      <c r="AG63" s="91" t="e">
        <f>AG14-L14</f>
        <v>#VALUE!</v>
      </c>
      <c r="AH63" s="91" t="e">
        <f>AH14-M14</f>
        <v>#VALUE!</v>
      </c>
      <c r="AI63" s="91">
        <f>AI14-N14</f>
        <v>-35325296</v>
      </c>
      <c r="AJ63" s="91">
        <f>AJ14-O14</f>
        <v>-216483848</v>
      </c>
      <c r="AK63" s="91">
        <f>AK14-P14</f>
        <v>-19777800</v>
      </c>
      <c r="AL63" s="91">
        <f>AL14-Q14</f>
        <v>-2433592</v>
      </c>
      <c r="AM63" s="91">
        <f>AM14-R14</f>
        <v>-38222296</v>
      </c>
      <c r="AN63" s="91">
        <f>AN14-S14</f>
        <v>-155930008</v>
      </c>
      <c r="AO63" s="91">
        <f>AO14-T14</f>
        <v>-120152</v>
      </c>
      <c r="AP63" s="91">
        <f>AP14-U14</f>
        <v>-75.505944700000001</v>
      </c>
      <c r="AQ63" s="92">
        <f>AQ14-V14</f>
        <v>-77.798444799999999</v>
      </c>
      <c r="AR63" s="92">
        <f>AR14-W14</f>
        <v>-39.514186500000001</v>
      </c>
      <c r="AS63" s="92">
        <f>AS14-X14</f>
        <v>-48.591760800000003</v>
      </c>
      <c r="AT63" s="92">
        <f>AT14-Y14</f>
        <v>-49.2598299</v>
      </c>
      <c r="AU63" s="92">
        <f>AU14-Z14</f>
        <v>-50.195006100000001</v>
      </c>
      <c r="AV63" s="93">
        <f>AV14-AA14</f>
        <v>-36.822648200000003</v>
      </c>
    </row>
    <row r="64" spans="1:50" x14ac:dyDescent="0.15">
      <c r="AG64" s="91" t="e">
        <f>AG15-L15</f>
        <v>#VALUE!</v>
      </c>
      <c r="AH64" s="91" t="e">
        <f>AH15-M15</f>
        <v>#VALUE!</v>
      </c>
      <c r="AI64" s="91">
        <f>AI15-N15</f>
        <v>-22706944</v>
      </c>
      <c r="AJ64" s="91">
        <f>AJ15-O15</f>
        <v>-30046848</v>
      </c>
      <c r="AK64" s="91">
        <f>AK15-P15</f>
        <v>-6506808</v>
      </c>
      <c r="AL64" s="91">
        <f>AL15-Q15</f>
        <v>0</v>
      </c>
      <c r="AM64" s="91">
        <f>AM15-R15</f>
        <v>-4461152</v>
      </c>
      <c r="AN64" s="91">
        <f>AN15-S15</f>
        <v>-18935528</v>
      </c>
      <c r="AO64" s="91">
        <f>AO15-T15</f>
        <v>-143360</v>
      </c>
      <c r="AP64" s="91">
        <f>AP15-U15</f>
        <v>-71.424397999999997</v>
      </c>
      <c r="AQ64" s="92">
        <f>AQ15-V15</f>
        <v>-72.793320300000005</v>
      </c>
      <c r="AR64" s="92">
        <f>AR15-W15</f>
        <v>-35.751393200000003</v>
      </c>
      <c r="AS64" s="92">
        <f>AS15-X15</f>
        <v>-43.318218299999998</v>
      </c>
      <c r="AT64" s="92">
        <f>AT15-Y15</f>
        <v>-45.112926100000003</v>
      </c>
      <c r="AU64" s="92">
        <f>AU15-Z15</f>
        <v>-45.778157899999997</v>
      </c>
      <c r="AV64" s="93">
        <f>AV15-AA15</f>
        <v>-32.528530099999998</v>
      </c>
    </row>
    <row r="65" spans="33:48" x14ac:dyDescent="0.15">
      <c r="AG65" s="91" t="e">
        <f>AG16-L16</f>
        <v>#VALUE!</v>
      </c>
      <c r="AH65" s="91" t="e">
        <f>AH16-M16</f>
        <v>#VALUE!</v>
      </c>
      <c r="AI65" s="91">
        <f>AI16-N16</f>
        <v>-22706944</v>
      </c>
      <c r="AJ65" s="91">
        <f>AJ16-O16</f>
        <v>-49845760</v>
      </c>
      <c r="AK65" s="91">
        <f>AK16-P16</f>
        <v>-7086528</v>
      </c>
      <c r="AL65" s="91">
        <f>AL16-Q16</f>
        <v>0</v>
      </c>
      <c r="AM65" s="91">
        <f>AM16-R16</f>
        <v>-6756600</v>
      </c>
      <c r="AN65" s="91">
        <f>AN16-S16</f>
        <v>-35858832</v>
      </c>
      <c r="AO65" s="91">
        <f>AO16-T16</f>
        <v>-143800</v>
      </c>
      <c r="AP65" s="91">
        <f>AP16-U16</f>
        <v>-73.136002000000005</v>
      </c>
      <c r="AQ65" s="92">
        <f>AQ16-V16</f>
        <v>-74.705603699999998</v>
      </c>
      <c r="AR65" s="92">
        <f>AR16-W16</f>
        <v>-38.559833300000001</v>
      </c>
      <c r="AS65" s="92">
        <f>AS16-X16</f>
        <v>-43.945832799999998</v>
      </c>
      <c r="AT65" s="92">
        <f>AT16-Y16</f>
        <v>-46.380665899999997</v>
      </c>
      <c r="AU65" s="92">
        <f>AU16-Z16</f>
        <v>-46.605209899999998</v>
      </c>
      <c r="AV65" s="93">
        <f>AV16-AA16</f>
        <v>-34.218029000000001</v>
      </c>
    </row>
    <row r="66" spans="33:48" x14ac:dyDescent="0.15">
      <c r="AG66" s="91" t="e">
        <f>AG17-L17</f>
        <v>#VALUE!</v>
      </c>
      <c r="AH66" s="91" t="e">
        <f>AH17-M17</f>
        <v>#VALUE!</v>
      </c>
      <c r="AI66" s="91">
        <f>AI17-N17</f>
        <v>-45429504</v>
      </c>
      <c r="AJ66" s="91">
        <f>AJ17-O17</f>
        <v>-96642592</v>
      </c>
      <c r="AK66" s="91">
        <f>AK17-P17</f>
        <v>-11908040</v>
      </c>
      <c r="AL66" s="91">
        <f>AL17-Q17</f>
        <v>0</v>
      </c>
      <c r="AM66" s="91">
        <f>AM17-R17</f>
        <v>-14822088</v>
      </c>
      <c r="AN66" s="91">
        <f>AN17-S17</f>
        <v>-69769432</v>
      </c>
      <c r="AO66" s="91">
        <f>AO17-T17</f>
        <v>-143032</v>
      </c>
      <c r="AP66" s="91">
        <f>AP17-U17</f>
        <v>-77.848685799999998</v>
      </c>
      <c r="AQ66" s="92">
        <f>AQ17-V17</f>
        <v>-80.316428700000003</v>
      </c>
      <c r="AR66" s="92">
        <f>AR17-W17</f>
        <v>-41.210902300000001</v>
      </c>
      <c r="AS66" s="92">
        <f>AS17-X17</f>
        <v>-44.8143709</v>
      </c>
      <c r="AT66" s="92">
        <f>AT17-Y17</f>
        <v>-48.0547325</v>
      </c>
      <c r="AU66" s="92">
        <f>AU17-Z17</f>
        <v>-48.980116600000002</v>
      </c>
      <c r="AV66" s="93">
        <f>AV17-AA17</f>
        <v>-37.358002599999999</v>
      </c>
    </row>
    <row r="67" spans="33:48" x14ac:dyDescent="0.15">
      <c r="AG67" s="91" t="e">
        <f>AG18-L18</f>
        <v>#VALUE!</v>
      </c>
      <c r="AH67" s="91" t="e">
        <f>AH18-M18</f>
        <v>#VALUE!</v>
      </c>
      <c r="AI67" s="91">
        <f>AI18-N18</f>
        <v>-90872832</v>
      </c>
      <c r="AJ67" s="91">
        <f>AJ18-O18</f>
        <v>-137918624</v>
      </c>
      <c r="AK67" s="91">
        <f>AK18-P18</f>
        <v>-20517200</v>
      </c>
      <c r="AL67" s="91">
        <f>AL18-Q18</f>
        <v>0</v>
      </c>
      <c r="AM67" s="91">
        <f>AM18-R18</f>
        <v>-16026072</v>
      </c>
      <c r="AN67" s="91">
        <f>AN18-S18</f>
        <v>-101231920</v>
      </c>
      <c r="AO67" s="91">
        <f>AO18-T18</f>
        <v>-143432</v>
      </c>
      <c r="AP67" s="91">
        <f>AP18-U18</f>
        <v>-79.167824600000003</v>
      </c>
      <c r="AQ67" s="92">
        <f>AQ18-V18</f>
        <v>-82.110062400000004</v>
      </c>
      <c r="AR67" s="92">
        <f>AR18-W18</f>
        <v>-42.215022599999998</v>
      </c>
      <c r="AS67" s="92">
        <f>AS18-X18</f>
        <v>-45.5069418</v>
      </c>
      <c r="AT67" s="92">
        <f>AT18-Y18</f>
        <v>-49.199115800000001</v>
      </c>
      <c r="AU67" s="92">
        <f>AU18-Z18</f>
        <v>-49.923829900000001</v>
      </c>
      <c r="AV67" s="93">
        <f>AV18-AA18</f>
        <v>-38.493481099999997</v>
      </c>
    </row>
    <row r="68" spans="33:48" x14ac:dyDescent="0.15">
      <c r="AG68" s="91" t="e">
        <f>AG19-L19</f>
        <v>#VALUE!</v>
      </c>
      <c r="AH68" s="91" t="e">
        <f>AH19-M19</f>
        <v>#VALUE!</v>
      </c>
      <c r="AI68" s="91">
        <f>AI19-N19</f>
        <v>-90872832</v>
      </c>
      <c r="AJ68" s="91">
        <f>AJ19-O19</f>
        <v>-206474376</v>
      </c>
      <c r="AK68" s="91">
        <f>AK19-P19</f>
        <v>-20517200</v>
      </c>
      <c r="AL68" s="91">
        <f>AL19-Q19</f>
        <v>0</v>
      </c>
      <c r="AM68" s="91">
        <f>AM19-R19</f>
        <v>-18061544</v>
      </c>
      <c r="AN68" s="91">
        <f>AN19-S19</f>
        <v>-167751632</v>
      </c>
      <c r="AO68" s="91">
        <f>AO19-T19</f>
        <v>-144000</v>
      </c>
      <c r="AP68" s="91">
        <f>AP19-U19</f>
        <v>-79.519995499999993</v>
      </c>
      <c r="AQ68" s="92">
        <f>AQ19-V19</f>
        <v>-82.634190700000005</v>
      </c>
      <c r="AR68" s="92">
        <f>AR19-W19</f>
        <v>-43.254571900000002</v>
      </c>
      <c r="AS68" s="92">
        <f>AS19-X19</f>
        <v>-46.457227199999998</v>
      </c>
      <c r="AT68" s="92">
        <f>AT19-Y19</f>
        <v>-50.482542199999997</v>
      </c>
      <c r="AU68" s="92">
        <f>AU19-Z19</f>
        <v>-50.125952599999998</v>
      </c>
      <c r="AV68" s="93">
        <f>AV19-AA19</f>
        <v>-39.046840799999998</v>
      </c>
    </row>
    <row r="69" spans="33:48" x14ac:dyDescent="0.15">
      <c r="AG69" s="91" t="e">
        <f>AG20-L20</f>
        <v>#VALUE!</v>
      </c>
      <c r="AH69" s="91" t="e">
        <f>AH20-M20</f>
        <v>#VALUE!</v>
      </c>
      <c r="AI69" s="91">
        <f>AI20-N20</f>
        <v>-22662720</v>
      </c>
      <c r="AJ69" s="91">
        <f>AJ20-O20</f>
        <v>-28761528</v>
      </c>
      <c r="AK69" s="91">
        <f>AK20-P20</f>
        <v>-6353472</v>
      </c>
      <c r="AL69" s="91">
        <f>AL20-Q20</f>
        <v>0</v>
      </c>
      <c r="AM69" s="91">
        <f>AM20-R20</f>
        <v>-4209784</v>
      </c>
      <c r="AN69" s="91">
        <f>AN20-S20</f>
        <v>-18055768</v>
      </c>
      <c r="AO69" s="91">
        <f>AO20-T20</f>
        <v>-142504</v>
      </c>
      <c r="AP69" s="91">
        <f>AP20-U20</f>
        <v>-71.636878199999998</v>
      </c>
      <c r="AQ69" s="92">
        <f>AQ20-V20</f>
        <v>-73.042622600000001</v>
      </c>
      <c r="AR69" s="92">
        <f>AR20-W20</f>
        <v>-34.683039899999997</v>
      </c>
      <c r="AS69" s="92">
        <f>AS20-X20</f>
        <v>-42.802687200000001</v>
      </c>
      <c r="AT69" s="92">
        <f>AT20-Y20</f>
        <v>-44.158034700000002</v>
      </c>
      <c r="AU69" s="92">
        <f>AU20-Z20</f>
        <v>-46.8245127</v>
      </c>
      <c r="AV69" s="93">
        <f>AV20-AA20</f>
        <v>-31.692454699999999</v>
      </c>
    </row>
    <row r="70" spans="33:48" x14ac:dyDescent="0.15">
      <c r="AG70" s="91" t="e">
        <f>AG21-L21</f>
        <v>#VALUE!</v>
      </c>
      <c r="AH70" s="91" t="e">
        <f>AH21-M21</f>
        <v>#VALUE!</v>
      </c>
      <c r="AI70" s="91">
        <f>AI21-N21</f>
        <v>-22662720</v>
      </c>
      <c r="AJ70" s="91">
        <f>AJ21-O21</f>
        <v>-48636616</v>
      </c>
      <c r="AK70" s="91">
        <f>AK21-P21</f>
        <v>-6923272</v>
      </c>
      <c r="AL70" s="91">
        <f>AL21-Q21</f>
        <v>0</v>
      </c>
      <c r="AM70" s="91">
        <f>AM21-R21</f>
        <v>-4663048</v>
      </c>
      <c r="AN70" s="91">
        <f>AN21-S21</f>
        <v>-36904928</v>
      </c>
      <c r="AO70" s="91">
        <f>AO21-T21</f>
        <v>-145368</v>
      </c>
      <c r="AP70" s="91">
        <f>AP21-U21</f>
        <v>-72.100601800000007</v>
      </c>
      <c r="AQ70" s="92">
        <f>AQ21-V21</f>
        <v>-73.563827900000007</v>
      </c>
      <c r="AR70" s="92">
        <f>AR21-W21</f>
        <v>-37.5225236</v>
      </c>
      <c r="AS70" s="92">
        <f>AS21-X21</f>
        <v>-43.965902499999999</v>
      </c>
      <c r="AT70" s="92">
        <f>AT21-Y21</f>
        <v>-46.031019100000002</v>
      </c>
      <c r="AU70" s="92">
        <f>AU21-Z21</f>
        <v>-47.041870899999999</v>
      </c>
      <c r="AV70" s="93">
        <f>AV21-AA21</f>
        <v>-32.979161300000001</v>
      </c>
    </row>
    <row r="71" spans="33:48" x14ac:dyDescent="0.15">
      <c r="AG71" s="91" t="e">
        <f>AG22-L22</f>
        <v>#VALUE!</v>
      </c>
      <c r="AH71" s="91" t="e">
        <f>AH22-M22</f>
        <v>#VALUE!</v>
      </c>
      <c r="AI71" s="91">
        <f>AI22-N22</f>
        <v>-45333632</v>
      </c>
      <c r="AJ71" s="91">
        <f>AJ22-O22</f>
        <v>-96649144</v>
      </c>
      <c r="AK71" s="91">
        <f>AK22-P22</f>
        <v>-10591696</v>
      </c>
      <c r="AL71" s="91">
        <f>AL22-Q22</f>
        <v>0</v>
      </c>
      <c r="AM71" s="91">
        <f>AM22-R22</f>
        <v>-14343184</v>
      </c>
      <c r="AN71" s="91">
        <f>AN22-S22</f>
        <v>-71570736</v>
      </c>
      <c r="AO71" s="91">
        <f>AO22-T22</f>
        <v>-143528</v>
      </c>
      <c r="AP71" s="91">
        <f>AP22-U22</f>
        <v>-77.959518700000004</v>
      </c>
      <c r="AQ71" s="92">
        <f>AQ22-V22</f>
        <v>-80.586041899999998</v>
      </c>
      <c r="AR71" s="92">
        <f>AR22-W22</f>
        <v>-40.480890799999997</v>
      </c>
      <c r="AS71" s="92">
        <f>AS22-X22</f>
        <v>-45.205960699999999</v>
      </c>
      <c r="AT71" s="92">
        <f>AT22-Y22</f>
        <v>-48.092723700000001</v>
      </c>
      <c r="AU71" s="92">
        <f>AU22-Z22</f>
        <v>-50.015318000000001</v>
      </c>
      <c r="AV71" s="93">
        <f>AV22-AA22</f>
        <v>-36.799207000000003</v>
      </c>
    </row>
    <row r="72" spans="33:48" x14ac:dyDescent="0.15">
      <c r="AG72" s="91" t="e">
        <f>AG23-L23</f>
        <v>#VALUE!</v>
      </c>
      <c r="AH72" s="91" t="e">
        <f>AH23-M23</f>
        <v>#VALUE!</v>
      </c>
      <c r="AI72" s="91">
        <f>AI23-N23</f>
        <v>-90678336</v>
      </c>
      <c r="AJ72" s="91">
        <f>AJ23-O23</f>
        <v>-137206576</v>
      </c>
      <c r="AK72" s="91">
        <f>AK23-P23</f>
        <v>-22375480</v>
      </c>
      <c r="AL72" s="91">
        <f>AL23-Q23</f>
        <v>0</v>
      </c>
      <c r="AM72" s="91">
        <f>AM23-R23</f>
        <v>-12944352</v>
      </c>
      <c r="AN72" s="91">
        <f>AN23-S23</f>
        <v>-101741080</v>
      </c>
      <c r="AO72" s="91">
        <f>AO23-T23</f>
        <v>-145664</v>
      </c>
      <c r="AP72" s="91">
        <f>AP23-U23</f>
        <v>-78.858965600000005</v>
      </c>
      <c r="AQ72" s="92">
        <f>AQ23-V23</f>
        <v>-81.8200717</v>
      </c>
      <c r="AR72" s="92">
        <f>AR23-W23</f>
        <v>-41.498674200000004</v>
      </c>
      <c r="AS72" s="92">
        <f>AS23-X23</f>
        <v>-45.731285800000002</v>
      </c>
      <c r="AT72" s="92">
        <f>AT23-Y23</f>
        <v>-48.841761400000003</v>
      </c>
      <c r="AU72" s="92">
        <f>AU23-Z23</f>
        <v>-50.796126700000002</v>
      </c>
      <c r="AV72" s="93">
        <f>AV23-AA23</f>
        <v>-37.741530300000001</v>
      </c>
    </row>
    <row r="73" spans="33:48" x14ac:dyDescent="0.15">
      <c r="AG73" s="91" t="e">
        <f>AG24-L24</f>
        <v>#VALUE!</v>
      </c>
      <c r="AH73" s="91" t="e">
        <f>AH24-M24</f>
        <v>#VALUE!</v>
      </c>
      <c r="AI73" s="91">
        <f>AI24-N24</f>
        <v>-90678336</v>
      </c>
      <c r="AJ73" s="91">
        <f>AJ24-O24</f>
        <v>-204369280</v>
      </c>
      <c r="AK73" s="91">
        <f>AK24-P24</f>
        <v>-20179616</v>
      </c>
      <c r="AL73" s="91">
        <f>AL24-Q24</f>
        <v>0</v>
      </c>
      <c r="AM73" s="91">
        <f>AM24-R24</f>
        <v>-17130832</v>
      </c>
      <c r="AN73" s="91">
        <f>AN24-S24</f>
        <v>-166916008</v>
      </c>
      <c r="AO73" s="91">
        <f>AO24-T24</f>
        <v>-142824</v>
      </c>
      <c r="AP73" s="91">
        <f>AP24-U24</f>
        <v>-79.551517799999999</v>
      </c>
      <c r="AQ73" s="92">
        <f>AQ24-V24</f>
        <v>-82.882568399999997</v>
      </c>
      <c r="AR73" s="92">
        <f>AR24-W24</f>
        <v>-42.497988900000003</v>
      </c>
      <c r="AS73" s="92">
        <f>AS24-X24</f>
        <v>-46.8028592</v>
      </c>
      <c r="AT73" s="92">
        <f>AT24-Y24</f>
        <v>-50.193542100000002</v>
      </c>
      <c r="AU73" s="92">
        <f>AU24-Z24</f>
        <v>-51.181465799999998</v>
      </c>
      <c r="AV73" s="93">
        <f>AV24-AA24</f>
        <v>-38.511490999999999</v>
      </c>
    </row>
    <row r="74" spans="33:48" x14ac:dyDescent="0.15">
      <c r="AG74" s="91" t="e">
        <f>AG25-L25</f>
        <v>#VALUE!</v>
      </c>
      <c r="AH74" s="91" t="e">
        <f>AH25-M25</f>
        <v>#VALUE!</v>
      </c>
      <c r="AI74" s="91">
        <f>AI25-N25</f>
        <v>-23021184</v>
      </c>
      <c r="AJ74" s="91">
        <f>AJ25-O25</f>
        <v>-41968192</v>
      </c>
      <c r="AK74" s="91">
        <f>AK25-P25</f>
        <v>-6298328</v>
      </c>
      <c r="AL74" s="91">
        <f>AL25-Q25</f>
        <v>0</v>
      </c>
      <c r="AM74" s="91">
        <f>AM25-R25</f>
        <v>-4984208</v>
      </c>
      <c r="AN74" s="91">
        <f>AN25-S25</f>
        <v>-30540928</v>
      </c>
      <c r="AO74" s="91">
        <f>AO25-T25</f>
        <v>-144728</v>
      </c>
      <c r="AP74" s="91">
        <f>AP25-U25</f>
        <v>-74.368697400000002</v>
      </c>
      <c r="AQ74" s="92">
        <f>AQ25-V25</f>
        <v>-76.2503624</v>
      </c>
      <c r="AR74" s="92">
        <f>AR25-W25</f>
        <v>-31.1854999</v>
      </c>
      <c r="AS74" s="92">
        <f>AS25-X25</f>
        <v>-39.928209299999999</v>
      </c>
      <c r="AT74" s="92">
        <f>AT25-Y25</f>
        <v>-36.621850700000003</v>
      </c>
      <c r="AU74" s="92">
        <f>AU25-Z25</f>
        <v>-45.087156999999998</v>
      </c>
      <c r="AV74" s="93">
        <f>AV25-AA25</f>
        <v>-28.3240479</v>
      </c>
    </row>
    <row r="75" spans="33:48" x14ac:dyDescent="0.15">
      <c r="AG75" s="91" t="e">
        <f>AG26-L26</f>
        <v>#VALUE!</v>
      </c>
      <c r="AH75" s="91" t="e">
        <f>AH26-M26</f>
        <v>#VALUE!</v>
      </c>
      <c r="AI75" s="91">
        <f>AI26-N26</f>
        <v>-46064000</v>
      </c>
      <c r="AJ75" s="91">
        <f>AJ26-O26</f>
        <v>-81978120</v>
      </c>
      <c r="AK75" s="91">
        <f>AK26-P26</f>
        <v>-10601608</v>
      </c>
      <c r="AL75" s="91">
        <f>AL26-Q26</f>
        <v>0</v>
      </c>
      <c r="AM75" s="91">
        <f>AM26-R26</f>
        <v>-7278352</v>
      </c>
      <c r="AN75" s="91">
        <f>AN26-S26</f>
        <v>-63949744</v>
      </c>
      <c r="AO75" s="91">
        <f>AO26-T26</f>
        <v>-148416</v>
      </c>
      <c r="AP75" s="91">
        <f>AP26-U26</f>
        <v>-77.302933199999998</v>
      </c>
      <c r="AQ75" s="92">
        <f>AQ26-V26</f>
        <v>-79.771672300000006</v>
      </c>
      <c r="AR75" s="92">
        <f>AR26-W26</f>
        <v>-33.5074045</v>
      </c>
      <c r="AS75" s="92">
        <f>AS26-X26</f>
        <v>-41.841794399999998</v>
      </c>
      <c r="AT75" s="92">
        <f>AT26-Y26</f>
        <v>-39.468124799999998</v>
      </c>
      <c r="AU75" s="92">
        <f>AU26-Z26</f>
        <v>-46.679141199999997</v>
      </c>
      <c r="AV75" s="93">
        <f>AV26-AA26</f>
        <v>-31.064094499999999</v>
      </c>
    </row>
    <row r="76" spans="33:48" x14ac:dyDescent="0.15">
      <c r="AG76" s="91" t="e">
        <f>AG27-L27</f>
        <v>#VALUE!</v>
      </c>
      <c r="AH76" s="91" t="e">
        <f>AH27-M27</f>
        <v>#VALUE!</v>
      </c>
      <c r="AI76" s="91">
        <f>AI27-N27</f>
        <v>-92146368</v>
      </c>
      <c r="AJ76" s="91">
        <f>AJ27-O27</f>
        <v>-120110880</v>
      </c>
      <c r="AK76" s="91">
        <f>AK27-P27</f>
        <v>-20128352</v>
      </c>
      <c r="AL76" s="91">
        <f>AL27-Q27</f>
        <v>0</v>
      </c>
      <c r="AM76" s="91">
        <f>AM27-R27</f>
        <v>-6081256</v>
      </c>
      <c r="AN76" s="91">
        <f>AN27-S27</f>
        <v>-93755744</v>
      </c>
      <c r="AO76" s="91">
        <f>AO27-T27</f>
        <v>-145528</v>
      </c>
      <c r="AP76" s="91">
        <f>AP27-U27</f>
        <v>-79.125771</v>
      </c>
      <c r="AQ76" s="92">
        <f>AQ27-V27</f>
        <v>-82.080617700000005</v>
      </c>
      <c r="AR76" s="92">
        <f>AR27-W27</f>
        <v>-34.570872700000002</v>
      </c>
      <c r="AS76" s="92">
        <f>AS27-X27</f>
        <v>-43.2034296</v>
      </c>
      <c r="AT76" s="92">
        <f>AT27-Y27</f>
        <v>-41.276925400000003</v>
      </c>
      <c r="AU76" s="92">
        <f>AU27-Z27</f>
        <v>-47.973884200000001</v>
      </c>
      <c r="AV76" s="93">
        <f>AV27-AA27</f>
        <v>-32.319043100000002</v>
      </c>
    </row>
    <row r="77" spans="33:48" x14ac:dyDescent="0.15">
      <c r="AG77" s="91" t="e">
        <f>AG28-L28</f>
        <v>#VALUE!</v>
      </c>
      <c r="AH77" s="91" t="e">
        <f>AH28-M28</f>
        <v>#VALUE!</v>
      </c>
      <c r="AI77" s="91">
        <f>AI28-N28</f>
        <v>-184310144</v>
      </c>
      <c r="AJ77" s="91">
        <f>AJ28-O28</f>
        <v>-171693496</v>
      </c>
      <c r="AK77" s="91">
        <f>AK28-P28</f>
        <v>-39383496</v>
      </c>
      <c r="AL77" s="91">
        <f>AL28-Q28</f>
        <v>0</v>
      </c>
      <c r="AM77" s="91">
        <f>AM28-R28</f>
        <v>-5654504</v>
      </c>
      <c r="AN77" s="91">
        <f>AN28-S28</f>
        <v>-126511448</v>
      </c>
      <c r="AO77" s="91">
        <f>AO28-T28</f>
        <v>-144048</v>
      </c>
      <c r="AP77" s="91">
        <f>AP28-U28</f>
        <v>-80.757331600000001</v>
      </c>
      <c r="AQ77" s="92">
        <f>AQ28-V28</f>
        <v>-84.443107100000006</v>
      </c>
      <c r="AR77" s="92">
        <f>AR28-W28</f>
        <v>-35.3395869</v>
      </c>
      <c r="AS77" s="92">
        <f>AS28-X28</f>
        <v>-43.550638599999999</v>
      </c>
      <c r="AT77" s="92">
        <f>AT28-Y28</f>
        <v>-41.759977599999999</v>
      </c>
      <c r="AU77" s="92">
        <f>AU28-Z28</f>
        <v>-49.369634400000002</v>
      </c>
      <c r="AV77" s="93">
        <f>AV28-AA28</f>
        <v>-33.544548300000002</v>
      </c>
    </row>
    <row r="78" spans="33:48" x14ac:dyDescent="0.15">
      <c r="AG78" s="91" t="e">
        <f>AG29-L29</f>
        <v>#VALUE!</v>
      </c>
      <c r="AH78" s="91" t="e">
        <f>AH29-M29</f>
        <v>#VALUE!</v>
      </c>
      <c r="AI78" s="91">
        <f>AI29-N29</f>
        <v>-138237904</v>
      </c>
      <c r="AJ78" s="91">
        <f>AJ29-O29</f>
        <v>-254926608</v>
      </c>
      <c r="AK78" s="91">
        <f>AK29-P29</f>
        <v>-85212040</v>
      </c>
      <c r="AL78" s="91">
        <f>AL29-Q29</f>
        <v>0</v>
      </c>
      <c r="AM78" s="91">
        <f>AM29-R29</f>
        <v>-8175744</v>
      </c>
      <c r="AN78" s="91">
        <f>AN29-S29</f>
        <v>-161416168</v>
      </c>
      <c r="AO78" s="91">
        <f>AO29-T29</f>
        <v>-122656</v>
      </c>
      <c r="AP78" s="91">
        <f>AP29-U29</f>
        <v>-85.154512999999994</v>
      </c>
      <c r="AQ78" s="92">
        <f>AQ29-V29</f>
        <v>-90.947569400000006</v>
      </c>
      <c r="AR78" s="92">
        <f>AR29-W29</f>
        <v>-36.055818600000002</v>
      </c>
      <c r="AS78" s="92">
        <f>AS29-X29</f>
        <v>-43.8810821</v>
      </c>
      <c r="AT78" s="92">
        <f>AT29-Y29</f>
        <v>-42.2233412</v>
      </c>
      <c r="AU78" s="92">
        <f>AU29-Z29</f>
        <v>-53.372001099999999</v>
      </c>
      <c r="AV78" s="93">
        <f>AV29-AA29</f>
        <v>-35.275324300000001</v>
      </c>
    </row>
    <row r="79" spans="33:48" x14ac:dyDescent="0.15">
      <c r="AG79" s="91" t="e">
        <f>AG30-L30</f>
        <v>#VALUE!</v>
      </c>
      <c r="AH79" s="91" t="e">
        <f>AH30-M30</f>
        <v>#VALUE!</v>
      </c>
      <c r="AI79" s="91">
        <f>AI30-N30</f>
        <v>-11249408</v>
      </c>
      <c r="AJ79" s="91">
        <f>AJ30-O30</f>
        <v>-20043696</v>
      </c>
      <c r="AK79" s="91">
        <f>AK30-P30</f>
        <v>-2261112</v>
      </c>
      <c r="AL79" s="91">
        <f>AL30-Q30</f>
        <v>-245032</v>
      </c>
      <c r="AM79" s="91">
        <f>AM30-R30</f>
        <v>-2747408</v>
      </c>
      <c r="AN79" s="91">
        <f>AN30-S30</f>
        <v>-14718072</v>
      </c>
      <c r="AO79" s="91">
        <f>AO30-T30</f>
        <v>-72072</v>
      </c>
      <c r="AP79" s="91">
        <f>AP30-U30</f>
        <v>-73.581462400000007</v>
      </c>
      <c r="AQ79" s="92">
        <f>AQ30-V30</f>
        <v>-75.312872299999995</v>
      </c>
      <c r="AR79" s="92">
        <f>AR30-W30</f>
        <v>-38.219682200000001</v>
      </c>
      <c r="AS79" s="92">
        <f>AS30-X30</f>
        <v>-44.377951899999999</v>
      </c>
      <c r="AT79" s="92">
        <f>AT30-Y30</f>
        <v>-43.022206699999998</v>
      </c>
      <c r="AU79" s="92">
        <f>AU30-Z30</f>
        <v>-48.455338099999999</v>
      </c>
      <c r="AV79" s="93">
        <f>AV30-AA30</f>
        <v>-34.748073499999997</v>
      </c>
    </row>
    <row r="80" spans="33:48" x14ac:dyDescent="0.15">
      <c r="AG80" s="91" t="e">
        <f>AG31-L31</f>
        <v>#VALUE!</v>
      </c>
      <c r="AH80" s="91" t="e">
        <f>AH31-M31</f>
        <v>#VALUE!</v>
      </c>
      <c r="AI80" s="91">
        <f>AI31-N31</f>
        <v>-5692320</v>
      </c>
      <c r="AJ80" s="91">
        <f>AJ31-O31</f>
        <v>-40821928</v>
      </c>
      <c r="AK80" s="91">
        <f>AK31-P31</f>
        <v>-3947656</v>
      </c>
      <c r="AL80" s="91">
        <f>AL31-Q31</f>
        <v>-340520</v>
      </c>
      <c r="AM80" s="91">
        <f>AM31-R31</f>
        <v>-4540184</v>
      </c>
      <c r="AN80" s="91">
        <f>AN31-S31</f>
        <v>-31931216</v>
      </c>
      <c r="AO80" s="91">
        <f>AO31-T31</f>
        <v>-62352</v>
      </c>
      <c r="AP80" s="91">
        <f>AP31-U31</f>
        <v>-76.266844500000005</v>
      </c>
      <c r="AQ80" s="92">
        <f>AQ31-V31</f>
        <v>-78.432237200000003</v>
      </c>
      <c r="AR80" s="92">
        <f>AR31-W31</f>
        <v>-40.4759344</v>
      </c>
      <c r="AS80" s="92">
        <f>AS31-X31</f>
        <v>-45.779858900000001</v>
      </c>
      <c r="AT80" s="92">
        <f>AT31-Y31</f>
        <v>-44.618261099999998</v>
      </c>
      <c r="AU80" s="92">
        <f>AU31-Z31</f>
        <v>-49.514924600000001</v>
      </c>
      <c r="AV80" s="93">
        <f>AV31-AA31</f>
        <v>-36.427079399999997</v>
      </c>
    </row>
    <row r="81" spans="33:48" x14ac:dyDescent="0.15">
      <c r="AG81" s="91" t="e">
        <f>AG32-L32</f>
        <v>#VALUE!</v>
      </c>
      <c r="AH81" s="91" t="e">
        <f>AH32-M32</f>
        <v>#VALUE!</v>
      </c>
      <c r="AI81" s="91">
        <f>AI32-N32</f>
        <v>-22964192</v>
      </c>
      <c r="AJ81" s="91">
        <f>AJ32-O32</f>
        <v>-60537656</v>
      </c>
      <c r="AK81" s="91">
        <f>AK32-P32</f>
        <v>-11506568</v>
      </c>
      <c r="AL81" s="91">
        <f>AL32-Q32</f>
        <v>-886064</v>
      </c>
      <c r="AM81" s="91">
        <f>AM32-R32</f>
        <v>-4437648</v>
      </c>
      <c r="AN81" s="91">
        <f>AN32-S32</f>
        <v>-43645896</v>
      </c>
      <c r="AO81" s="91">
        <f>AO32-T32</f>
        <v>-61480</v>
      </c>
      <c r="AP81" s="91">
        <f>AP32-U32</f>
        <v>-79.726949700000006</v>
      </c>
      <c r="AQ81" s="92">
        <f>AQ32-V32</f>
        <v>-82.881465300000002</v>
      </c>
      <c r="AR81" s="92">
        <f>AR32-W32</f>
        <v>-41.571718599999997</v>
      </c>
      <c r="AS81" s="92">
        <f>AS32-X32</f>
        <v>-46.554951099999997</v>
      </c>
      <c r="AT81" s="92">
        <f>AT32-Y32</f>
        <v>-45.584949199999997</v>
      </c>
      <c r="AU81" s="92">
        <f>AU32-Z32</f>
        <v>-52.067650899999997</v>
      </c>
      <c r="AV81" s="93">
        <f>AV32-AA32</f>
        <v>-38.772779800000002</v>
      </c>
    </row>
    <row r="82" spans="33:48" x14ac:dyDescent="0.15">
      <c r="AG82" s="91" t="e">
        <f>AG33-L33</f>
        <v>#VALUE!</v>
      </c>
      <c r="AH82" s="91" t="e">
        <f>AH33-M33</f>
        <v>#VALUE!</v>
      </c>
      <c r="AI82" s="91">
        <f>AI33-N33</f>
        <v>-22964192</v>
      </c>
      <c r="AJ82" s="91">
        <f>AJ33-O33</f>
        <v>-84421248</v>
      </c>
      <c r="AK82" s="91">
        <f>AK33-P33</f>
        <v>-11506568</v>
      </c>
      <c r="AL82" s="91">
        <f>AL33-Q33</f>
        <v>-886064</v>
      </c>
      <c r="AM82" s="91">
        <f>AM33-R33</f>
        <v>-9381192</v>
      </c>
      <c r="AN82" s="91">
        <f>AN33-S33</f>
        <v>-62584904</v>
      </c>
      <c r="AO82" s="91">
        <f>AO33-T33</f>
        <v>-62520</v>
      </c>
      <c r="AP82" s="91">
        <f>AP33-U33</f>
        <v>-81.052799500000006</v>
      </c>
      <c r="AQ82" s="92">
        <f>AQ33-V33</f>
        <v>-85.107596099999995</v>
      </c>
      <c r="AR82" s="92">
        <f>AR33-W33</f>
        <v>-42.445377399999998</v>
      </c>
      <c r="AS82" s="92">
        <f>AS33-X33</f>
        <v>-47.631218799999999</v>
      </c>
      <c r="AT82" s="92">
        <f>AT33-Y33</f>
        <v>-46.786614</v>
      </c>
      <c r="AU82" s="92">
        <f>AU33-Z33</f>
        <v>-53.037253200000002</v>
      </c>
      <c r="AV82" s="93">
        <f>AV33-AA33</f>
        <v>-39.929595200000001</v>
      </c>
    </row>
    <row r="83" spans="33:48" x14ac:dyDescent="0.15">
      <c r="AG83" s="91" t="e">
        <f>AG34-L34</f>
        <v>#VALUE!</v>
      </c>
      <c r="AH83" s="91" t="e">
        <f>AH34-M34</f>
        <v>#VALUE!</v>
      </c>
      <c r="AI83" s="91">
        <f>AI34-N34</f>
        <v>-57516368</v>
      </c>
      <c r="AJ83" s="91">
        <f>AJ34-O34</f>
        <v>-117620960</v>
      </c>
      <c r="AK83" s="91">
        <f>AK34-P34</f>
        <v>-26560328</v>
      </c>
      <c r="AL83" s="91">
        <f>AL34-Q34</f>
        <v>-4259272</v>
      </c>
      <c r="AM83" s="91">
        <f>AM34-R34</f>
        <v>-1668400</v>
      </c>
      <c r="AN83" s="91">
        <f>AN34-S34</f>
        <v>-85072648</v>
      </c>
      <c r="AO83" s="91">
        <f>AO34-T34</f>
        <v>-60312</v>
      </c>
      <c r="AP83" s="91">
        <f>AP34-U34</f>
        <v>-83.999662700000002</v>
      </c>
      <c r="AQ83" s="92">
        <f>AQ34-V34</f>
        <v>-88.717829499999993</v>
      </c>
      <c r="AR83" s="92">
        <f>AR34-W34</f>
        <v>-43.402023800000002</v>
      </c>
      <c r="AS83" s="92">
        <f>AS34-X34</f>
        <v>-48.336372799999999</v>
      </c>
      <c r="AT83" s="92">
        <f>AT34-Y34</f>
        <v>-47.594773400000001</v>
      </c>
      <c r="AU83" s="92">
        <f>AU34-Z34</f>
        <v>-55.666921799999997</v>
      </c>
      <c r="AV83" s="93">
        <f>AV34-AA34</f>
        <v>-41.984713900000003</v>
      </c>
    </row>
    <row r="84" spans="33:48" x14ac:dyDescent="0.15">
      <c r="AG84" s="91" t="e">
        <f>AG35-L35</f>
        <v>#VALUE!</v>
      </c>
      <c r="AH84" s="91" t="e">
        <f>AH35-M35</f>
        <v>#VALUE!</v>
      </c>
      <c r="AI84" s="91">
        <f>AI35-N35</f>
        <v>-34433600</v>
      </c>
      <c r="AJ84" s="91">
        <f>AJ35-O35</f>
        <v>-26586608</v>
      </c>
      <c r="AK84" s="91">
        <f>AK35-P35</f>
        <v>-3407776</v>
      </c>
      <c r="AL84" s="91">
        <f>AL35-Q35</f>
        <v>-813168</v>
      </c>
      <c r="AM84" s="91">
        <f>AM35-R35</f>
        <v>-2675408</v>
      </c>
      <c r="AN84" s="91">
        <f>AN35-S35</f>
        <v>-19544816</v>
      </c>
      <c r="AO84" s="91">
        <f>AO35-T35</f>
        <v>-145440</v>
      </c>
      <c r="AP84" s="91">
        <f>AP35-U35</f>
        <v>-73.418928899999997</v>
      </c>
      <c r="AQ84" s="92">
        <f>AQ35-V35</f>
        <v>-75.162782100000001</v>
      </c>
      <c r="AR84" s="92">
        <f>AR35-W35</f>
        <v>-30.227975399999998</v>
      </c>
      <c r="AS84" s="92">
        <f>AS35-X35</f>
        <v>-38.966627799999998</v>
      </c>
      <c r="AT84" s="92">
        <f>AT35-Y35</f>
        <v>-39.003960999999997</v>
      </c>
      <c r="AU84" s="92">
        <f>AU35-Z35</f>
        <v>-48.655524200000002</v>
      </c>
      <c r="AV84" s="93">
        <f>AV35-AA35</f>
        <v>-29.391496100000001</v>
      </c>
    </row>
    <row r="85" spans="33:48" x14ac:dyDescent="0.15">
      <c r="AG85" s="91" t="e">
        <f>AG36-L36</f>
        <v>#VALUE!</v>
      </c>
      <c r="AH85" s="91" t="e">
        <f>AH36-M36</f>
        <v>#VALUE!</v>
      </c>
      <c r="AI85" s="91">
        <f>AI36-N36</f>
        <v>-68916608</v>
      </c>
      <c r="AJ85" s="91">
        <f>AJ36-O36</f>
        <v>-37358296</v>
      </c>
      <c r="AK85" s="91">
        <f>AK36-P36</f>
        <v>-5695784</v>
      </c>
      <c r="AL85" s="91">
        <f>AL36-Q36</f>
        <v>-1439160</v>
      </c>
      <c r="AM85" s="91">
        <f>AM36-R36</f>
        <v>-1184184</v>
      </c>
      <c r="AN85" s="91">
        <f>AN36-S36</f>
        <v>-28892496</v>
      </c>
      <c r="AO85" s="91">
        <f>AO36-T36</f>
        <v>-146672</v>
      </c>
      <c r="AP85" s="91">
        <f>AP36-U36</f>
        <v>-73.763179100000002</v>
      </c>
      <c r="AQ85" s="92">
        <f>AQ36-V36</f>
        <v>-75.521231999999998</v>
      </c>
      <c r="AR85" s="92">
        <f>AR36-W36</f>
        <v>-30.706671799999999</v>
      </c>
      <c r="AS85" s="92">
        <f>AS36-X36</f>
        <v>-39.088313900000003</v>
      </c>
      <c r="AT85" s="92">
        <f>AT36-Y36</f>
        <v>-39.177387400000001</v>
      </c>
      <c r="AU85" s="92">
        <f>AU36-Z36</f>
        <v>-48.930627700000002</v>
      </c>
      <c r="AV85" s="93">
        <f>AV36-AA36</f>
        <v>-29.734453999999999</v>
      </c>
    </row>
    <row r="86" spans="33:48" x14ac:dyDescent="0.15">
      <c r="AG86" s="91" t="e">
        <f>AG37-L37</f>
        <v>#VALUE!</v>
      </c>
      <c r="AH86" s="91" t="e">
        <f>AH37-M37</f>
        <v>#VALUE!</v>
      </c>
      <c r="AI86" s="91">
        <f>AI37-N37</f>
        <v>-68916608</v>
      </c>
      <c r="AJ86" s="91">
        <f>AJ37-O37</f>
        <v>-55510400</v>
      </c>
      <c r="AK86" s="91">
        <f>AK37-P37</f>
        <v>-5695784</v>
      </c>
      <c r="AL86" s="91">
        <f>AL37-Q37</f>
        <v>-1439160</v>
      </c>
      <c r="AM86" s="91">
        <f>AM37-R37</f>
        <v>-4195336</v>
      </c>
      <c r="AN86" s="91">
        <f>AN37-S37</f>
        <v>-44032064</v>
      </c>
      <c r="AO86" s="91">
        <f>AO37-T37</f>
        <v>-148056</v>
      </c>
      <c r="AP86" s="91">
        <f>AP37-U37</f>
        <v>-76.526669900000002</v>
      </c>
      <c r="AQ86" s="92">
        <f>AQ37-V37</f>
        <v>-78.788144599999995</v>
      </c>
      <c r="AR86" s="92">
        <f>AR37-W37</f>
        <v>-31.340484700000001</v>
      </c>
      <c r="AS86" s="92">
        <f>AS37-X37</f>
        <v>-39.175326800000001</v>
      </c>
      <c r="AT86" s="92">
        <f>AT37-Y37</f>
        <v>-39.320866600000002</v>
      </c>
      <c r="AU86" s="92">
        <f>AU37-Z37</f>
        <v>-50.4086888</v>
      </c>
      <c r="AV86" s="93">
        <f>AV37-AA37</f>
        <v>-30.5254698</v>
      </c>
    </row>
    <row r="87" spans="33:48" x14ac:dyDescent="0.15">
      <c r="AG87" s="91" t="e">
        <f>AG38-L38</f>
        <v>#VALUE!</v>
      </c>
      <c r="AH87" s="91" t="e">
        <f>AH38-M38</f>
        <v>#VALUE!</v>
      </c>
      <c r="AI87" s="91">
        <f>AI38-N38</f>
        <v>-137868096</v>
      </c>
      <c r="AJ87" s="91">
        <f>AJ38-O38</f>
        <v>-74366480</v>
      </c>
      <c r="AK87" s="91">
        <f>AK38-P38</f>
        <v>-11011288</v>
      </c>
      <c r="AL87" s="91">
        <f>AL38-Q38</f>
        <v>-3482088</v>
      </c>
      <c r="AM87" s="91">
        <f>AM38-R38</f>
        <v>-3764792</v>
      </c>
      <c r="AN87" s="91">
        <f>AN38-S38</f>
        <v>-55963992</v>
      </c>
      <c r="AO87" s="91">
        <f>AO38-T38</f>
        <v>-144320</v>
      </c>
      <c r="AP87" s="91">
        <f>AP38-U38</f>
        <v>-78.951662600000006</v>
      </c>
      <c r="AQ87" s="92">
        <f>AQ38-V38</f>
        <v>-81.842615199999997</v>
      </c>
      <c r="AR87" s="92">
        <f>AR38-W38</f>
        <v>-31.773388700000002</v>
      </c>
      <c r="AS87" s="92">
        <f>AS38-X38</f>
        <v>-39.267807699999999</v>
      </c>
      <c r="AT87" s="92">
        <f>AT38-Y38</f>
        <v>-39.4827248</v>
      </c>
      <c r="AU87" s="92">
        <f>AU38-Z38</f>
        <v>-51.775119199999999</v>
      </c>
      <c r="AV87" s="93">
        <f>AV38-AA38</f>
        <v>-31.108462299999999</v>
      </c>
    </row>
    <row r="88" spans="33:48" x14ac:dyDescent="0.15">
      <c r="AG88" s="91" t="e">
        <f>AG39-L39</f>
        <v>#VALUE!</v>
      </c>
      <c r="AH88" s="91" t="e">
        <f>AH39-M39</f>
        <v>#VALUE!</v>
      </c>
      <c r="AI88" s="91">
        <f>AI39-N39</f>
        <v>-206806912</v>
      </c>
      <c r="AJ88" s="91">
        <f>AJ39-O39</f>
        <v>-113863744</v>
      </c>
      <c r="AK88" s="91">
        <f>AK39-P39</f>
        <v>-16719424</v>
      </c>
      <c r="AL88" s="91">
        <f>AL39-Q39</f>
        <v>-4694056</v>
      </c>
      <c r="AM88" s="91">
        <f>AM39-R39</f>
        <v>-3341272</v>
      </c>
      <c r="AN88" s="91">
        <f>AN39-S39</f>
        <v>-88966256</v>
      </c>
      <c r="AO88" s="91">
        <f>AO39-T39</f>
        <v>-142736</v>
      </c>
      <c r="AP88" s="91">
        <f>AP39-U39</f>
        <v>-80.372256699999994</v>
      </c>
      <c r="AQ88" s="92">
        <f>AQ39-V39</f>
        <v>-83.760363799999993</v>
      </c>
      <c r="AR88" s="92">
        <f>AR39-W39</f>
        <v>-32.487023000000001</v>
      </c>
      <c r="AS88" s="92">
        <f>AS39-X39</f>
        <v>-39.3433414</v>
      </c>
      <c r="AT88" s="92">
        <f>AT39-Y39</f>
        <v>-39.611556200000003</v>
      </c>
      <c r="AU88" s="92">
        <f>AU39-Z39</f>
        <v>-52.6374712</v>
      </c>
      <c r="AV88" s="93">
        <f>AV39-AA39</f>
        <v>-31.828937</v>
      </c>
    </row>
    <row r="89" spans="33:48" x14ac:dyDescent="0.15">
      <c r="AG89" s="91" t="e">
        <f>AG40-L40</f>
        <v>#VALUE!</v>
      </c>
      <c r="AH89" s="91" t="e">
        <f>AH40-M40</f>
        <v>#VALUE!</v>
      </c>
      <c r="AI89" s="91">
        <f>AI40-N40</f>
        <v>-34506112</v>
      </c>
      <c r="AJ89" s="91">
        <f>AJ40-O40</f>
        <v>-29566896</v>
      </c>
      <c r="AK89" s="91">
        <f>AK40-P40</f>
        <v>-3190296</v>
      </c>
      <c r="AL89" s="91">
        <f>AL40-Q40</f>
        <v>-276192</v>
      </c>
      <c r="AM89" s="91">
        <f>AM40-R40</f>
        <v>-2831576</v>
      </c>
      <c r="AN89" s="91">
        <f>AN40-S40</f>
        <v>-23121248</v>
      </c>
      <c r="AO89" s="91">
        <f>AO40-T40</f>
        <v>-147584</v>
      </c>
      <c r="AP89" s="91">
        <f>AP40-U40</f>
        <v>-74.656253599999999</v>
      </c>
      <c r="AQ89" s="92">
        <f>AQ40-V40</f>
        <v>-76.279879399999999</v>
      </c>
      <c r="AR89" s="92">
        <f>AR40-W40</f>
        <v>-33.3440224</v>
      </c>
      <c r="AS89" s="92">
        <f>AS40-X40</f>
        <v>-42.564776999999999</v>
      </c>
      <c r="AT89" s="92">
        <f>AT40-Y40</f>
        <v>-42.8876548</v>
      </c>
      <c r="AU89" s="92">
        <f>AU40-Z40</f>
        <v>-49.396476</v>
      </c>
      <c r="AV89" s="93">
        <f>AV40-AA40</f>
        <v>-32.544513199999997</v>
      </c>
    </row>
    <row r="90" spans="33:48" x14ac:dyDescent="0.15">
      <c r="AG90" s="91" t="e">
        <f>AG41-L41</f>
        <v>#VALUE!</v>
      </c>
      <c r="AH90" s="91" t="e">
        <f>AH41-M41</f>
        <v>#VALUE!</v>
      </c>
      <c r="AI90" s="91">
        <f>AI41-N41</f>
        <v>-69038912</v>
      </c>
      <c r="AJ90" s="91">
        <f>AJ41-O41</f>
        <v>-38689088</v>
      </c>
      <c r="AK90" s="91">
        <f>AK41-P41</f>
        <v>-6092232</v>
      </c>
      <c r="AL90" s="91">
        <f>AL41-Q41</f>
        <v>-990016</v>
      </c>
      <c r="AM90" s="91">
        <f>AM41-R41</f>
        <v>-2908464</v>
      </c>
      <c r="AN90" s="91">
        <f>AN41-S41</f>
        <v>-28551104</v>
      </c>
      <c r="AO90" s="91">
        <f>AO41-T41</f>
        <v>-147272</v>
      </c>
      <c r="AP90" s="91">
        <f>AP41-U41</f>
        <v>-76.6132013</v>
      </c>
      <c r="AQ90" s="92">
        <f>AQ41-V41</f>
        <v>-78.538687100000004</v>
      </c>
      <c r="AR90" s="92">
        <f>AR41-W41</f>
        <v>-33.667908199999999</v>
      </c>
      <c r="AS90" s="92">
        <f>AS41-X41</f>
        <v>-42.739406099999997</v>
      </c>
      <c r="AT90" s="92">
        <f>AT41-Y41</f>
        <v>-43.170478299999999</v>
      </c>
      <c r="AU90" s="92">
        <f>AU41-Z41</f>
        <v>-50.657764700000001</v>
      </c>
      <c r="AV90" s="93">
        <f>AV41-AA41</f>
        <v>-33.029257200000004</v>
      </c>
    </row>
    <row r="91" spans="33:48" x14ac:dyDescent="0.15">
      <c r="AG91" s="91" t="e">
        <f>AG42-L42</f>
        <v>#VALUE!</v>
      </c>
      <c r="AH91" s="91" t="e">
        <f>AH42-M42</f>
        <v>#VALUE!</v>
      </c>
      <c r="AI91" s="91">
        <f>AI42-N42</f>
        <v>-138089728</v>
      </c>
      <c r="AJ91" s="91">
        <f>AJ42-O42</f>
        <v>-60231800</v>
      </c>
      <c r="AK91" s="91">
        <f>AK42-P42</f>
        <v>-10923920</v>
      </c>
      <c r="AL91" s="91">
        <f>AL42-Q42</f>
        <v>-1794216</v>
      </c>
      <c r="AM91" s="91">
        <f>AM42-R42</f>
        <v>-2133056</v>
      </c>
      <c r="AN91" s="91">
        <f>AN42-S42</f>
        <v>-45236064</v>
      </c>
      <c r="AO91" s="91">
        <f>AO42-T42</f>
        <v>-144544</v>
      </c>
      <c r="AP91" s="91">
        <f>AP42-U42</f>
        <v>-78.428330200000005</v>
      </c>
      <c r="AQ91" s="92">
        <f>AQ42-V42</f>
        <v>-80.692389000000006</v>
      </c>
      <c r="AR91" s="92">
        <f>AR42-W42</f>
        <v>-34.2944046</v>
      </c>
      <c r="AS91" s="92">
        <f>AS42-X42</f>
        <v>-42.892760899999999</v>
      </c>
      <c r="AT91" s="92">
        <f>AT42-Y42</f>
        <v>-43.4028165</v>
      </c>
      <c r="AU91" s="92">
        <f>AU42-Z42</f>
        <v>-51.753066799999999</v>
      </c>
      <c r="AV91" s="93">
        <f>AV42-AA42</f>
        <v>-33.689629500000002</v>
      </c>
    </row>
    <row r="92" spans="33:48" x14ac:dyDescent="0.15">
      <c r="AG92" s="91" t="e">
        <f>AG43-L43</f>
        <v>#VALUE!</v>
      </c>
      <c r="AH92" s="91" t="e">
        <f>AH43-M43</f>
        <v>#VALUE!</v>
      </c>
      <c r="AI92" s="91">
        <f>AI43-N43</f>
        <v>-138089728</v>
      </c>
      <c r="AJ92" s="91">
        <f>AJ43-O43</f>
        <v>-78142304</v>
      </c>
      <c r="AK92" s="91">
        <f>AK43-P43</f>
        <v>-10923920</v>
      </c>
      <c r="AL92" s="91">
        <f>AL43-Q43</f>
        <v>-1794216</v>
      </c>
      <c r="AM92" s="91">
        <f>AM43-R43</f>
        <v>-4831416</v>
      </c>
      <c r="AN92" s="91">
        <f>AN43-S43</f>
        <v>-60447240</v>
      </c>
      <c r="AO92" s="91">
        <f>AO43-T43</f>
        <v>-145512</v>
      </c>
      <c r="AP92" s="91">
        <f>AP43-U43</f>
        <v>-79.735194399999997</v>
      </c>
      <c r="AQ92" s="92">
        <f>AQ43-V43</f>
        <v>-82.476128500000002</v>
      </c>
      <c r="AR92" s="92">
        <f>AR43-W43</f>
        <v>-34.346918899999999</v>
      </c>
      <c r="AS92" s="92">
        <f>AS43-X43</f>
        <v>-43.025330599999997</v>
      </c>
      <c r="AT92" s="92">
        <f>AT43-Y43</f>
        <v>-43.5684757</v>
      </c>
      <c r="AU92" s="92">
        <f>AU43-Z43</f>
        <v>-52.462474999999998</v>
      </c>
      <c r="AV92" s="93">
        <f>AV43-AA43</f>
        <v>-33.837023799999997</v>
      </c>
    </row>
    <row r="93" spans="33:48" ht="15.75" customHeight="1" thickBot="1" x14ac:dyDescent="0.2">
      <c r="AG93" s="94" t="e">
        <f>AG44-L44</f>
        <v>#VALUE!</v>
      </c>
      <c r="AH93" s="94" t="e">
        <f>AH44-M44</f>
        <v>#VALUE!</v>
      </c>
      <c r="AI93" s="94">
        <f>AI44-N44</f>
        <v>-207140672</v>
      </c>
      <c r="AJ93" s="94">
        <f>AJ44-O44</f>
        <v>-119613648</v>
      </c>
      <c r="AK93" s="94">
        <f>AK44-P44</f>
        <v>-15556456</v>
      </c>
      <c r="AL93" s="94">
        <f>AL44-Q44</f>
        <v>-2553648</v>
      </c>
      <c r="AM93" s="94">
        <f>AM44-R44</f>
        <v>-4710272</v>
      </c>
      <c r="AN93" s="94">
        <f>AN44-S44</f>
        <v>-96650048</v>
      </c>
      <c r="AO93" s="94">
        <f>AO44-T44</f>
        <v>-143224</v>
      </c>
      <c r="AP93" s="94">
        <f>AP44-U44</f>
        <v>-81.119369699999993</v>
      </c>
      <c r="AQ93" s="95">
        <f>AQ44-V44</f>
        <v>-84.357862699999998</v>
      </c>
      <c r="AR93" s="95">
        <f>AR44-W44</f>
        <v>-34.916817100000003</v>
      </c>
      <c r="AS93" s="95">
        <f>AS44-X44</f>
        <v>-43.1290567</v>
      </c>
      <c r="AT93" s="95">
        <f>AT44-Y44</f>
        <v>-43.726384799999998</v>
      </c>
      <c r="AU93" s="95">
        <f>AU44-Z44</f>
        <v>-53.253805</v>
      </c>
      <c r="AV93" s="96">
        <f>AV44-AA44</f>
        <v>-34.421246400000001</v>
      </c>
    </row>
    <row r="94" spans="33:48" x14ac:dyDescent="0.15">
      <c r="AG94" s="91" t="e">
        <f>#REF!-#REF!</f>
        <v>#REF!</v>
      </c>
      <c r="AH94" s="91" t="e">
        <f>#REF!-#REF!</f>
        <v>#REF!</v>
      </c>
      <c r="AI94" s="91" t="e">
        <f>#REF!-#REF!</f>
        <v>#REF!</v>
      </c>
      <c r="AJ94" s="91" t="e">
        <f>#REF!-#REF!</f>
        <v>#REF!</v>
      </c>
      <c r="AK94" s="91" t="e">
        <f>#REF!-#REF!</f>
        <v>#REF!</v>
      </c>
      <c r="AL94" s="91" t="e">
        <f>#REF!-#REF!</f>
        <v>#REF!</v>
      </c>
      <c r="AM94" s="91" t="e">
        <f>#REF!-#REF!</f>
        <v>#REF!</v>
      </c>
      <c r="AN94" s="91" t="e">
        <f>#REF!-#REF!</f>
        <v>#REF!</v>
      </c>
      <c r="AO94" s="91" t="e">
        <f>#REF!-#REF!</f>
        <v>#REF!</v>
      </c>
      <c r="AP94" s="91" t="e">
        <f>#REF!-#REF!</f>
        <v>#REF!</v>
      </c>
      <c r="AQ94" s="92" t="e">
        <f>#REF!-#REF!</f>
        <v>#REF!</v>
      </c>
      <c r="AR94" s="92" t="e">
        <f>#REF!-#REF!</f>
        <v>#REF!</v>
      </c>
      <c r="AS94" s="92" t="e">
        <f>#REF!-#REF!</f>
        <v>#REF!</v>
      </c>
      <c r="AT94" s="92" t="e">
        <f>#REF!-#REF!</f>
        <v>#REF!</v>
      </c>
      <c r="AU94" s="92" t="e">
        <f>#REF!-#REF!</f>
        <v>#REF!</v>
      </c>
      <c r="AV94" s="93" t="e">
        <f>#REF!-#REF!</f>
        <v>#REF!</v>
      </c>
    </row>
    <row r="95" spans="33:48" x14ac:dyDescent="0.15">
      <c r="AG95" s="91" t="e">
        <f>#REF!-#REF!</f>
        <v>#REF!</v>
      </c>
      <c r="AH95" s="91" t="e">
        <f>#REF!-#REF!</f>
        <v>#REF!</v>
      </c>
      <c r="AI95" s="91" t="e">
        <f>#REF!-#REF!</f>
        <v>#REF!</v>
      </c>
      <c r="AJ95" s="91" t="e">
        <f>#REF!-#REF!</f>
        <v>#REF!</v>
      </c>
      <c r="AK95" s="91" t="e">
        <f>#REF!-#REF!</f>
        <v>#REF!</v>
      </c>
      <c r="AL95" s="91" t="e">
        <f>#REF!-#REF!</f>
        <v>#REF!</v>
      </c>
      <c r="AM95" s="91" t="e">
        <f>#REF!-#REF!</f>
        <v>#REF!</v>
      </c>
      <c r="AN95" s="91" t="e">
        <f>#REF!-#REF!</f>
        <v>#REF!</v>
      </c>
      <c r="AO95" s="91" t="e">
        <f>#REF!-#REF!</f>
        <v>#REF!</v>
      </c>
      <c r="AP95" s="91" t="e">
        <f>#REF!-#REF!</f>
        <v>#REF!</v>
      </c>
      <c r="AQ95" s="92" t="e">
        <f>#REF!-#REF!</f>
        <v>#REF!</v>
      </c>
      <c r="AR95" s="92" t="e">
        <f>#REF!-#REF!</f>
        <v>#REF!</v>
      </c>
      <c r="AS95" s="92" t="e">
        <f>#REF!-#REF!</f>
        <v>#REF!</v>
      </c>
      <c r="AT95" s="92" t="e">
        <f>#REF!-#REF!</f>
        <v>#REF!</v>
      </c>
      <c r="AU95" s="92" t="e">
        <f>#REF!-#REF!</f>
        <v>#REF!</v>
      </c>
      <c r="AV95" s="93" t="e">
        <f>#REF!-#REF!</f>
        <v>#REF!</v>
      </c>
    </row>
    <row r="96" spans="33:48" x14ac:dyDescent="0.15">
      <c r="AG96" s="91" t="e">
        <f>#REF!-#REF!</f>
        <v>#REF!</v>
      </c>
      <c r="AH96" s="91" t="e">
        <f>#REF!-#REF!</f>
        <v>#REF!</v>
      </c>
      <c r="AI96" s="91" t="e">
        <f>#REF!-#REF!</f>
        <v>#REF!</v>
      </c>
      <c r="AJ96" s="91" t="e">
        <f>#REF!-#REF!</f>
        <v>#REF!</v>
      </c>
      <c r="AK96" s="91" t="e">
        <f>#REF!-#REF!</f>
        <v>#REF!</v>
      </c>
      <c r="AL96" s="91" t="e">
        <f>#REF!-#REF!</f>
        <v>#REF!</v>
      </c>
      <c r="AM96" s="91" t="e">
        <f>#REF!-#REF!</f>
        <v>#REF!</v>
      </c>
      <c r="AN96" s="91" t="e">
        <f>#REF!-#REF!</f>
        <v>#REF!</v>
      </c>
      <c r="AO96" s="91" t="e">
        <f>#REF!-#REF!</f>
        <v>#REF!</v>
      </c>
      <c r="AP96" s="91" t="e">
        <f>#REF!-#REF!</f>
        <v>#REF!</v>
      </c>
      <c r="AQ96" s="92" t="e">
        <f>#REF!-#REF!</f>
        <v>#REF!</v>
      </c>
      <c r="AR96" s="92" t="e">
        <f>#REF!-#REF!</f>
        <v>#REF!</v>
      </c>
      <c r="AS96" s="92" t="e">
        <f>#REF!-#REF!</f>
        <v>#REF!</v>
      </c>
      <c r="AT96" s="92" t="e">
        <f>#REF!-#REF!</f>
        <v>#REF!</v>
      </c>
      <c r="AU96" s="92" t="e">
        <f>#REF!-#REF!</f>
        <v>#REF!</v>
      </c>
      <c r="AV96" s="93" t="e">
        <f>#REF!-#REF!</f>
        <v>#REF!</v>
      </c>
    </row>
    <row r="97" spans="33:48" x14ac:dyDescent="0.15">
      <c r="AG97" s="91" t="e">
        <f>#REF!-#REF!</f>
        <v>#REF!</v>
      </c>
      <c r="AH97" s="91" t="e">
        <f>#REF!-#REF!</f>
        <v>#REF!</v>
      </c>
      <c r="AI97" s="91" t="e">
        <f>#REF!-#REF!</f>
        <v>#REF!</v>
      </c>
      <c r="AJ97" s="91" t="e">
        <f>#REF!-#REF!</f>
        <v>#REF!</v>
      </c>
      <c r="AK97" s="91" t="e">
        <f>#REF!-#REF!</f>
        <v>#REF!</v>
      </c>
      <c r="AL97" s="91" t="e">
        <f>#REF!-#REF!</f>
        <v>#REF!</v>
      </c>
      <c r="AM97" s="91" t="e">
        <f>#REF!-#REF!</f>
        <v>#REF!</v>
      </c>
      <c r="AN97" s="91" t="e">
        <f>#REF!-#REF!</f>
        <v>#REF!</v>
      </c>
      <c r="AO97" s="91" t="e">
        <f>#REF!-#REF!</f>
        <v>#REF!</v>
      </c>
      <c r="AP97" s="91" t="e">
        <f>#REF!-#REF!</f>
        <v>#REF!</v>
      </c>
      <c r="AQ97" s="92" t="e">
        <f>#REF!-#REF!</f>
        <v>#REF!</v>
      </c>
      <c r="AR97" s="92" t="e">
        <f>#REF!-#REF!</f>
        <v>#REF!</v>
      </c>
      <c r="AS97" s="92" t="e">
        <f>#REF!-#REF!</f>
        <v>#REF!</v>
      </c>
      <c r="AT97" s="92" t="e">
        <f>#REF!-#REF!</f>
        <v>#REF!</v>
      </c>
      <c r="AU97" s="92" t="e">
        <f>#REF!-#REF!</f>
        <v>#REF!</v>
      </c>
      <c r="AV97" s="93" t="e">
        <f>#REF!-#REF!</f>
        <v>#REF!</v>
      </c>
    </row>
    <row r="98" spans="33:48" ht="14.25" thickBot="1" x14ac:dyDescent="0.2">
      <c r="AG98" s="94" t="e">
        <f>#REF!-#REF!</f>
        <v>#REF!</v>
      </c>
      <c r="AH98" s="94" t="e">
        <f>#REF!-#REF!</f>
        <v>#REF!</v>
      </c>
      <c r="AI98" s="94" t="e">
        <f>#REF!-#REF!</f>
        <v>#REF!</v>
      </c>
      <c r="AJ98" s="94" t="e">
        <f>#REF!-#REF!</f>
        <v>#REF!</v>
      </c>
      <c r="AK98" s="94" t="e">
        <f>#REF!-#REF!</f>
        <v>#REF!</v>
      </c>
      <c r="AL98" s="94" t="e">
        <f>#REF!-#REF!</f>
        <v>#REF!</v>
      </c>
      <c r="AM98" s="94" t="e">
        <f>#REF!-#REF!</f>
        <v>#REF!</v>
      </c>
      <c r="AN98" s="94" t="e">
        <f>#REF!-#REF!</f>
        <v>#REF!</v>
      </c>
      <c r="AO98" s="94" t="e">
        <f>#REF!-#REF!</f>
        <v>#REF!</v>
      </c>
      <c r="AP98" s="94" t="e">
        <f>#REF!-#REF!</f>
        <v>#REF!</v>
      </c>
      <c r="AQ98" s="95" t="e">
        <f>#REF!-#REF!</f>
        <v>#REF!</v>
      </c>
      <c r="AR98" s="95" t="e">
        <f>#REF!-#REF!</f>
        <v>#REF!</v>
      </c>
      <c r="AS98" s="95" t="e">
        <f>#REF!-#REF!</f>
        <v>#REF!</v>
      </c>
      <c r="AT98" s="95" t="e">
        <f>#REF!-#REF!</f>
        <v>#REF!</v>
      </c>
      <c r="AU98" s="95" t="e">
        <f>#REF!-#REF!</f>
        <v>#REF!</v>
      </c>
      <c r="AV98" s="96" t="e">
        <f>#REF!-#REF!</f>
        <v>#REF!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45:AZ47 AZ48:BF48">
    <cfRule type="cellIs" dxfId="102" priority="75" operator="greaterThanOrEqual">
      <formula>0.03</formula>
    </cfRule>
    <cfRule type="cellIs" dxfId="101" priority="76" operator="lessThanOrEqual">
      <formula>-0.03</formula>
    </cfRule>
  </conditionalFormatting>
  <conditionalFormatting sqref="BA45:BA47">
    <cfRule type="cellIs" dxfId="100" priority="71" operator="greaterThanOrEqual">
      <formula>0.03</formula>
    </cfRule>
    <cfRule type="cellIs" dxfId="99" priority="72" operator="lessThanOrEqual">
      <formula>-0.03</formula>
    </cfRule>
  </conditionalFormatting>
  <conditionalFormatting sqref="BB45:BB47">
    <cfRule type="cellIs" dxfId="98" priority="79" operator="greaterThanOrEqual">
      <formula>0.03</formula>
    </cfRule>
    <cfRule type="cellIs" dxfId="97" priority="80" operator="lessThanOrEqual">
      <formula>-0.03</formula>
    </cfRule>
  </conditionalFormatting>
  <conditionalFormatting sqref="BC45:BC47">
    <cfRule type="cellIs" dxfId="96" priority="81" operator="greaterThanOrEqual">
      <formula>0.03</formula>
    </cfRule>
    <cfRule type="cellIs" dxfId="95" priority="82" operator="lessThanOrEqual">
      <formula>-0.03</formula>
    </cfRule>
  </conditionalFormatting>
  <conditionalFormatting sqref="BD45:BD47">
    <cfRule type="cellIs" dxfId="94" priority="73" operator="greaterThanOrEqual">
      <formula>0.03</formula>
    </cfRule>
    <cfRule type="cellIs" dxfId="93" priority="74" operator="lessThanOrEqual">
      <formula>-0.03</formula>
    </cfRule>
  </conditionalFormatting>
  <conditionalFormatting sqref="BE45:BE47">
    <cfRule type="cellIs" dxfId="92" priority="83" operator="greaterThanOrEqual">
      <formula>0.03</formula>
    </cfRule>
    <cfRule type="cellIs" dxfId="91" priority="84" operator="lessThanOrEqual">
      <formula>-0.03</formula>
    </cfRule>
  </conditionalFormatting>
  <conditionalFormatting sqref="BF45:BF47">
    <cfRule type="cellIs" dxfId="90" priority="77" operator="greaterThanOrEqual">
      <formula>0.03</formula>
    </cfRule>
    <cfRule type="cellIs" dxfId="89" priority="78" operator="lessThanOrEqual">
      <formula>-0.03</formula>
    </cfRule>
  </conditionalFormatting>
  <conditionalFormatting sqref="J5:J45">
    <cfRule type="expression" dxfId="88" priority="70">
      <formula>OR(J5 &lt; H5 * 0.9, J5 &gt; H5)</formula>
    </cfRule>
  </conditionalFormatting>
  <conditionalFormatting sqref="AE5:AE45">
    <cfRule type="expression" dxfId="87" priority="69">
      <formula>OR(AE5 &lt; H5 * 0.9, AE5 &gt; H5)</formula>
    </cfRule>
  </conditionalFormatting>
  <conditionalFormatting sqref="BP5:BT48">
    <cfRule type="cellIs" dxfId="86" priority="67" operator="greaterThanOrEqual">
      <formula>0.001</formula>
    </cfRule>
    <cfRule type="cellIs" dxfId="85" priority="68" operator="lessThanOrEqual">
      <formula>-0.001</formula>
    </cfRule>
  </conditionalFormatting>
  <conditionalFormatting sqref="AG54:AQ93">
    <cfRule type="cellIs" dxfId="84" priority="59" operator="lessThan">
      <formula>0</formula>
    </cfRule>
    <cfRule type="cellIs" dxfId="83" priority="60" operator="greaterThan">
      <formula>0</formula>
    </cfRule>
  </conditionalFormatting>
  <conditionalFormatting sqref="AR54:AV93">
    <cfRule type="cellIs" dxfId="82" priority="57" operator="lessThan">
      <formula>0</formula>
    </cfRule>
    <cfRule type="cellIs" dxfId="81" priority="58" operator="greaterThan">
      <formula>0</formula>
    </cfRule>
  </conditionalFormatting>
  <conditionalFormatting sqref="L5:L44 AG5:AG44">
    <cfRule type="expression" dxfId="80" priority="54">
      <formula>NOT(L5=O5)</formula>
    </cfRule>
  </conditionalFormatting>
  <conditionalFormatting sqref="BH45:BH47 BH48:BN48">
    <cfRule type="cellIs" dxfId="79" priority="43" operator="greaterThanOrEqual">
      <formula>0.03</formula>
    </cfRule>
    <cfRule type="cellIs" dxfId="78" priority="44" operator="lessThanOrEqual">
      <formula>-0.03</formula>
    </cfRule>
  </conditionalFormatting>
  <conditionalFormatting sqref="BI45:BI47">
    <cfRule type="cellIs" dxfId="77" priority="39" operator="greaterThanOrEqual">
      <formula>0.03</formula>
    </cfRule>
    <cfRule type="cellIs" dxfId="76" priority="40" operator="lessThanOrEqual">
      <formula>-0.03</formula>
    </cfRule>
  </conditionalFormatting>
  <conditionalFormatting sqref="BJ45:BJ47">
    <cfRule type="cellIs" dxfId="75" priority="47" operator="greaterThanOrEqual">
      <formula>0.03</formula>
    </cfRule>
    <cfRule type="cellIs" dxfId="74" priority="48" operator="lessThanOrEqual">
      <formula>-0.03</formula>
    </cfRule>
  </conditionalFormatting>
  <conditionalFormatting sqref="BK45:BK47">
    <cfRule type="cellIs" dxfId="73" priority="49" operator="greaterThanOrEqual">
      <formula>0.03</formula>
    </cfRule>
    <cfRule type="cellIs" dxfId="72" priority="50" operator="lessThanOrEqual">
      <formula>-0.03</formula>
    </cfRule>
  </conditionalFormatting>
  <conditionalFormatting sqref="BL45:BL47">
    <cfRule type="cellIs" dxfId="71" priority="41" operator="greaterThanOrEqual">
      <formula>0.03</formula>
    </cfRule>
    <cfRule type="cellIs" dxfId="70" priority="42" operator="lessThanOrEqual">
      <formula>-0.03</formula>
    </cfRule>
  </conditionalFormatting>
  <conditionalFormatting sqref="BM45:BM47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BN45:BN47">
    <cfRule type="cellIs" dxfId="67" priority="45" operator="greaterThanOrEqual">
      <formula>0.03</formula>
    </cfRule>
    <cfRule type="cellIs" dxfId="66" priority="46" operator="lessThanOrEqual">
      <formula>-0.03</formula>
    </cfRule>
  </conditionalFormatting>
  <conditionalFormatting sqref="AZ5:AZ44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BA5:BA44">
    <cfRule type="cellIs" dxfId="63" priority="25" operator="greaterThanOrEqual">
      <formula>0.03</formula>
    </cfRule>
    <cfRule type="cellIs" dxfId="62" priority="26" operator="lessThanOrEqual">
      <formula>-0.03</formula>
    </cfRule>
  </conditionalFormatting>
  <conditionalFormatting sqref="BB5:BB44">
    <cfRule type="cellIs" dxfId="61" priority="33" operator="greaterThanOrEqual">
      <formula>0.03</formula>
    </cfRule>
    <cfRule type="cellIs" dxfId="60" priority="34" operator="lessThanOrEqual">
      <formula>-0.03</formula>
    </cfRule>
  </conditionalFormatting>
  <conditionalFormatting sqref="BC5:BC44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BD5:BD44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BE5:BE44">
    <cfRule type="cellIs" dxfId="55" priority="29" operator="greaterThanOrEqual">
      <formula>0.03</formula>
    </cfRule>
    <cfRule type="cellIs" dxfId="54" priority="30" operator="lessThanOrEqual">
      <formula>-0.03</formula>
    </cfRule>
  </conditionalFormatting>
  <conditionalFormatting sqref="BF5:BF44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H5:BH44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I5:BI44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conditionalFormatting sqref="BJ5:BJ44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K5:BK44">
    <cfRule type="cellIs" dxfId="45" priority="19" operator="greaterThanOrEqual">
      <formula>0.03</formula>
    </cfRule>
    <cfRule type="cellIs" dxfId="44" priority="20" operator="lessThanOrEqual">
      <formula>-0.03</formula>
    </cfRule>
  </conditionalFormatting>
  <conditionalFormatting sqref="BL5:BL44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BM5:BM44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N5:BN44">
    <cfRule type="cellIs" dxfId="39" priority="15" operator="greaterThanOrEqual">
      <formula>0.03</formula>
    </cfRule>
    <cfRule type="cellIs" dxfId="38" priority="16" operator="lessThanOrEqual">
      <formula>-0.03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tabSelected="1" workbookViewId="0">
      <selection activeCell="N25" sqref="N25"/>
    </sheetView>
  </sheetViews>
  <sheetFormatPr defaultColWidth="8.875" defaultRowHeight="13.5" x14ac:dyDescent="0.15"/>
  <sheetData>
    <row r="1" spans="1:16" ht="15.75" customHeight="1" thickBot="1" x14ac:dyDescent="0.2">
      <c r="C1" s="131" t="s">
        <v>332</v>
      </c>
      <c r="D1" s="132"/>
      <c r="E1" s="132"/>
      <c r="F1" s="132"/>
      <c r="G1" s="132"/>
      <c r="H1" s="132"/>
      <c r="I1" s="133"/>
      <c r="J1" s="131" t="s">
        <v>367</v>
      </c>
      <c r="K1" s="132"/>
      <c r="L1" s="132"/>
      <c r="M1" s="132"/>
      <c r="N1" s="132"/>
      <c r="O1" s="132"/>
      <c r="P1" s="133"/>
    </row>
    <row r="2" spans="1:16" ht="15.75" customHeight="1" thickBot="1" x14ac:dyDescent="0.2">
      <c r="A2" s="134" t="s">
        <v>149</v>
      </c>
      <c r="B2" s="136" t="s">
        <v>150</v>
      </c>
      <c r="C2" s="138" t="s">
        <v>15</v>
      </c>
      <c r="D2" s="139"/>
      <c r="E2" s="139"/>
      <c r="F2" s="139"/>
      <c r="G2" s="139"/>
      <c r="H2" s="140" t="s">
        <v>16</v>
      </c>
      <c r="I2" s="141"/>
      <c r="J2" s="138" t="s">
        <v>15</v>
      </c>
      <c r="K2" s="139"/>
      <c r="L2" s="139"/>
      <c r="M2" s="139"/>
      <c r="N2" s="139"/>
      <c r="O2" s="140" t="s">
        <v>16</v>
      </c>
      <c r="P2" s="141"/>
    </row>
    <row r="3" spans="1:16" ht="30.75" customHeight="1" thickBot="1" x14ac:dyDescent="0.2">
      <c r="A3" s="135"/>
      <c r="B3" s="137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/>
      <c r="K12" s="32"/>
      <c r="L12" s="32"/>
      <c r="M12" s="32"/>
      <c r="N12" s="32"/>
      <c r="O12" s="32"/>
      <c r="P12" s="74"/>
    </row>
    <row r="13" spans="1:16" x14ac:dyDescent="0.15">
      <c r="A13" s="146" t="str">
        <f>Summary!B20</f>
        <v>Cat1-A average</v>
      </c>
      <c r="B13" s="14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47" t="str">
        <f>Summary!B21</f>
        <v>Cat1-B average</v>
      </c>
      <c r="B14" s="148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9" t="str">
        <f>Summary!B22</f>
        <v>Cat1-C average</v>
      </c>
      <c r="B15" s="148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9" t="str">
        <f>Summary!B23</f>
        <v>Cat1-D average</v>
      </c>
      <c r="B16" s="148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/>
      <c r="K16" s="75"/>
      <c r="L16" s="75"/>
      <c r="M16" s="75"/>
      <c r="N16" s="75"/>
      <c r="O16" s="75"/>
      <c r="P16" s="83"/>
    </row>
    <row r="17" spans="1:16" ht="15.75" customHeight="1" thickBot="1" x14ac:dyDescent="0.2">
      <c r="A17" s="150" t="str">
        <f>Summary!B24</f>
        <v>Overall average</v>
      </c>
      <c r="B17" s="133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9" t="str">
        <f>Summary!B25</f>
        <v>Avg. Enc Time [%]</v>
      </c>
      <c r="B18" s="148"/>
      <c r="C18" s="142">
        <f>Summary!C25</f>
        <v>0</v>
      </c>
      <c r="D18" s="139"/>
      <c r="E18" s="139"/>
      <c r="F18" s="139"/>
      <c r="G18" s="139"/>
      <c r="H18" s="139"/>
      <c r="I18" s="143"/>
      <c r="J18" s="142">
        <f>Summary!C38</f>
        <v>0</v>
      </c>
      <c r="K18" s="139"/>
      <c r="L18" s="139"/>
      <c r="M18" s="139"/>
      <c r="N18" s="139"/>
      <c r="O18" s="139"/>
      <c r="P18" s="143"/>
    </row>
    <row r="19" spans="1:16" ht="15.75" customHeight="1" thickBot="1" x14ac:dyDescent="0.2">
      <c r="A19" s="144" t="str">
        <f>Summary!B26</f>
        <v>Avg. Dec Time [%]</v>
      </c>
      <c r="B19" s="137"/>
      <c r="C19" s="145">
        <f>Summary!C26</f>
        <v>0</v>
      </c>
      <c r="D19" s="115"/>
      <c r="E19" s="115"/>
      <c r="F19" s="115"/>
      <c r="G19" s="115"/>
      <c r="H19" s="115"/>
      <c r="I19" s="137"/>
      <c r="J19" s="145">
        <f>Summary!C39</f>
        <v>0</v>
      </c>
      <c r="K19" s="115"/>
      <c r="L19" s="115"/>
      <c r="M19" s="115"/>
      <c r="N19" s="115"/>
      <c r="O19" s="115"/>
      <c r="P19" s="137"/>
    </row>
  </sheetData>
  <mergeCells count="19"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2024-09-20T08:16:42Z</dcterms:modified>
</cp:coreProperties>
</file>