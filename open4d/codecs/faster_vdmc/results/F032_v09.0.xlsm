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F:\hxh\code\V8.0_integration_test\results\"/>
    </mc:Choice>
  </mc:AlternateContent>
  <bookViews>
    <workbookView xWindow="0" yWindow="0" windowWidth="28800" windowHeight="13905" activeTab="6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8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49" i="6" l="1"/>
  <c r="AW49" i="6"/>
  <c r="AC49" i="6"/>
  <c r="AB49" i="6"/>
  <c r="AX55" i="5" l="1"/>
  <c r="AB55" i="5"/>
  <c r="AC55" i="5"/>
  <c r="AW55" i="5"/>
  <c r="A16" i="7"/>
  <c r="A15" i="7"/>
  <c r="P13" i="3"/>
  <c r="P17" i="3" s="1"/>
  <c r="X13" i="3"/>
  <c r="I13" i="3"/>
  <c r="I17" i="3" s="1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BT49" i="5"/>
  <c r="BS49" i="5"/>
  <c r="BR49" i="5"/>
  <c r="BQ49" i="5"/>
  <c r="BP49" i="5"/>
  <c r="AH49" i="5"/>
  <c r="AG49" i="5" s="1"/>
  <c r="AF49" i="5"/>
  <c r="AE49" i="5"/>
  <c r="M49" i="5"/>
  <c r="L49" i="5" s="1"/>
  <c r="K49" i="5"/>
  <c r="J49" i="5"/>
  <c r="BT48" i="5"/>
  <c r="BS48" i="5"/>
  <c r="BR48" i="5"/>
  <c r="BQ48" i="5"/>
  <c r="BP48" i="5"/>
  <c r="AH48" i="5"/>
  <c r="AG48" i="5" s="1"/>
  <c r="AF48" i="5"/>
  <c r="AE48" i="5"/>
  <c r="M48" i="5"/>
  <c r="K48" i="5"/>
  <c r="J48" i="5"/>
  <c r="BT47" i="5"/>
  <c r="BS47" i="5"/>
  <c r="BR47" i="5"/>
  <c r="BQ47" i="5"/>
  <c r="BP47" i="5"/>
  <c r="AH47" i="5"/>
  <c r="AG47" i="5" s="1"/>
  <c r="AF47" i="5"/>
  <c r="AE47" i="5"/>
  <c r="M47" i="5"/>
  <c r="L47" i="5" s="1"/>
  <c r="K47" i="5"/>
  <c r="J47" i="5"/>
  <c r="BT46" i="5"/>
  <c r="BS46" i="5"/>
  <c r="BR46" i="5"/>
  <c r="BQ46" i="5"/>
  <c r="BP46" i="5"/>
  <c r="AH46" i="5"/>
  <c r="AG46" i="5" s="1"/>
  <c r="AF46" i="5"/>
  <c r="AE46" i="5"/>
  <c r="M46" i="5"/>
  <c r="L46" i="5" s="1"/>
  <c r="K46" i="5"/>
  <c r="J46" i="5"/>
  <c r="BT45" i="5"/>
  <c r="BS45" i="5"/>
  <c r="BR45" i="5"/>
  <c r="BQ45" i="5"/>
  <c r="BP45" i="5"/>
  <c r="AH45" i="5"/>
  <c r="AG45" i="5" s="1"/>
  <c r="AF45" i="5"/>
  <c r="AE45" i="5"/>
  <c r="M45" i="5"/>
  <c r="K45" i="5"/>
  <c r="J45" i="5"/>
  <c r="H13" i="3"/>
  <c r="O13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R22" i="3"/>
  <c r="Q22" i="3"/>
  <c r="O1" i="3"/>
  <c r="AE1" i="5"/>
  <c r="AI54" i="6"/>
  <c r="AJ54" i="6"/>
  <c r="AK54" i="6"/>
  <c r="AL54" i="6"/>
  <c r="AM54" i="6"/>
  <c r="AN54" i="6"/>
  <c r="AO54" i="6"/>
  <c r="AI55" i="6"/>
  <c r="AJ55" i="6"/>
  <c r="AK55" i="6"/>
  <c r="AL55" i="6"/>
  <c r="AM55" i="6"/>
  <c r="AN55" i="6"/>
  <c r="AO55" i="6"/>
  <c r="AI56" i="6"/>
  <c r="AJ56" i="6"/>
  <c r="AK56" i="6"/>
  <c r="AL56" i="6"/>
  <c r="AM56" i="6"/>
  <c r="AN56" i="6"/>
  <c r="AO56" i="6"/>
  <c r="AI57" i="6"/>
  <c r="AJ57" i="6"/>
  <c r="AK57" i="6"/>
  <c r="AL57" i="6"/>
  <c r="AM57" i="6"/>
  <c r="AN57" i="6"/>
  <c r="AO57" i="6"/>
  <c r="AI58" i="6"/>
  <c r="AJ58" i="6"/>
  <c r="AK58" i="6"/>
  <c r="AL58" i="6"/>
  <c r="AM58" i="6"/>
  <c r="AN58" i="6"/>
  <c r="AO58" i="6"/>
  <c r="AI59" i="6"/>
  <c r="AJ59" i="6"/>
  <c r="AK59" i="6"/>
  <c r="AL59" i="6"/>
  <c r="AM59" i="6"/>
  <c r="AN59" i="6"/>
  <c r="AO59" i="6"/>
  <c r="AI60" i="6"/>
  <c r="AJ60" i="6"/>
  <c r="AK60" i="6"/>
  <c r="AL60" i="6"/>
  <c r="AM60" i="6"/>
  <c r="AN60" i="6"/>
  <c r="AO60" i="6"/>
  <c r="AI61" i="6"/>
  <c r="AJ61" i="6"/>
  <c r="AK61" i="6"/>
  <c r="AL61" i="6"/>
  <c r="AM61" i="6"/>
  <c r="AN61" i="6"/>
  <c r="AO61" i="6"/>
  <c r="AI62" i="6"/>
  <c r="AJ62" i="6"/>
  <c r="AK62" i="6"/>
  <c r="AL62" i="6"/>
  <c r="AM62" i="6"/>
  <c r="AN62" i="6"/>
  <c r="AO62" i="6"/>
  <c r="AI63" i="6"/>
  <c r="AJ63" i="6"/>
  <c r="AK63" i="6"/>
  <c r="AL63" i="6"/>
  <c r="AM63" i="6"/>
  <c r="AN63" i="6"/>
  <c r="AO63" i="6"/>
  <c r="AI64" i="6"/>
  <c r="AJ64" i="6"/>
  <c r="AK64" i="6"/>
  <c r="AL64" i="6"/>
  <c r="AM64" i="6"/>
  <c r="AN64" i="6"/>
  <c r="AO64" i="6"/>
  <c r="AI65" i="6"/>
  <c r="AJ65" i="6"/>
  <c r="AK65" i="6"/>
  <c r="AL65" i="6"/>
  <c r="AM65" i="6"/>
  <c r="AN65" i="6"/>
  <c r="AO65" i="6"/>
  <c r="AI66" i="6"/>
  <c r="AJ66" i="6"/>
  <c r="AK66" i="6"/>
  <c r="AL66" i="6"/>
  <c r="AM66" i="6"/>
  <c r="AN66" i="6"/>
  <c r="AO66" i="6"/>
  <c r="AI67" i="6"/>
  <c r="AJ67" i="6"/>
  <c r="AK67" i="6"/>
  <c r="AL67" i="6"/>
  <c r="AM67" i="6"/>
  <c r="AN67" i="6"/>
  <c r="AO67" i="6"/>
  <c r="AI68" i="6"/>
  <c r="AJ68" i="6"/>
  <c r="AK68" i="6"/>
  <c r="AL68" i="6"/>
  <c r="AM68" i="6"/>
  <c r="AN68" i="6"/>
  <c r="AO68" i="6"/>
  <c r="AI69" i="6"/>
  <c r="AJ69" i="6"/>
  <c r="AK69" i="6"/>
  <c r="AL69" i="6"/>
  <c r="AM69" i="6"/>
  <c r="AN69" i="6"/>
  <c r="AO69" i="6"/>
  <c r="AI70" i="6"/>
  <c r="AJ70" i="6"/>
  <c r="AK70" i="6"/>
  <c r="AL70" i="6"/>
  <c r="AM70" i="6"/>
  <c r="AN70" i="6"/>
  <c r="AO70" i="6"/>
  <c r="AI71" i="6"/>
  <c r="AJ71" i="6"/>
  <c r="AK71" i="6"/>
  <c r="AL71" i="6"/>
  <c r="AM71" i="6"/>
  <c r="AN71" i="6"/>
  <c r="AO71" i="6"/>
  <c r="AI72" i="6"/>
  <c r="AJ72" i="6"/>
  <c r="AK72" i="6"/>
  <c r="AL72" i="6"/>
  <c r="AM72" i="6"/>
  <c r="AN72" i="6"/>
  <c r="AO72" i="6"/>
  <c r="AI73" i="6"/>
  <c r="AJ73" i="6"/>
  <c r="AK73" i="6"/>
  <c r="AL73" i="6"/>
  <c r="AM73" i="6"/>
  <c r="AN73" i="6"/>
  <c r="AO73" i="6"/>
  <c r="AI74" i="6"/>
  <c r="AJ74" i="6"/>
  <c r="AK74" i="6"/>
  <c r="AL74" i="6"/>
  <c r="AM74" i="6"/>
  <c r="AN74" i="6"/>
  <c r="AO74" i="6"/>
  <c r="AI75" i="6"/>
  <c r="AJ75" i="6"/>
  <c r="AK75" i="6"/>
  <c r="AL75" i="6"/>
  <c r="AM75" i="6"/>
  <c r="AN75" i="6"/>
  <c r="AO75" i="6"/>
  <c r="AI76" i="6"/>
  <c r="AJ76" i="6"/>
  <c r="AK76" i="6"/>
  <c r="AL76" i="6"/>
  <c r="AM76" i="6"/>
  <c r="AN76" i="6"/>
  <c r="AO76" i="6"/>
  <c r="AI77" i="6"/>
  <c r="AJ77" i="6"/>
  <c r="AK77" i="6"/>
  <c r="AL77" i="6"/>
  <c r="AM77" i="6"/>
  <c r="AN77" i="6"/>
  <c r="AO77" i="6"/>
  <c r="AI78" i="6"/>
  <c r="AJ78" i="6"/>
  <c r="AK78" i="6"/>
  <c r="AL78" i="6"/>
  <c r="AM78" i="6"/>
  <c r="AN78" i="6"/>
  <c r="AO78" i="6"/>
  <c r="AI79" i="6"/>
  <c r="AJ79" i="6"/>
  <c r="AK79" i="6"/>
  <c r="AL79" i="6"/>
  <c r="AM79" i="6"/>
  <c r="AN79" i="6"/>
  <c r="AO79" i="6"/>
  <c r="AI80" i="6"/>
  <c r="AJ80" i="6"/>
  <c r="AK80" i="6"/>
  <c r="AL80" i="6"/>
  <c r="AM80" i="6"/>
  <c r="AN80" i="6"/>
  <c r="AO80" i="6"/>
  <c r="AI81" i="6"/>
  <c r="AJ81" i="6"/>
  <c r="AK81" i="6"/>
  <c r="AL81" i="6"/>
  <c r="AM81" i="6"/>
  <c r="AN81" i="6"/>
  <c r="AO81" i="6"/>
  <c r="AI82" i="6"/>
  <c r="AJ82" i="6"/>
  <c r="AK82" i="6"/>
  <c r="AL82" i="6"/>
  <c r="AM82" i="6"/>
  <c r="AN82" i="6"/>
  <c r="AO82" i="6"/>
  <c r="AI83" i="6"/>
  <c r="AJ83" i="6"/>
  <c r="AK83" i="6"/>
  <c r="AL83" i="6"/>
  <c r="AM83" i="6"/>
  <c r="AN83" i="6"/>
  <c r="AO83" i="6"/>
  <c r="AI84" i="6"/>
  <c r="AJ84" i="6"/>
  <c r="AK84" i="6"/>
  <c r="AL84" i="6"/>
  <c r="AM84" i="6"/>
  <c r="AN84" i="6"/>
  <c r="AO84" i="6"/>
  <c r="AI85" i="6"/>
  <c r="AJ85" i="6"/>
  <c r="AK85" i="6"/>
  <c r="AL85" i="6"/>
  <c r="AM85" i="6"/>
  <c r="AN85" i="6"/>
  <c r="AO85" i="6"/>
  <c r="AI86" i="6"/>
  <c r="AJ86" i="6"/>
  <c r="AK86" i="6"/>
  <c r="AL86" i="6"/>
  <c r="AM86" i="6"/>
  <c r="AN86" i="6"/>
  <c r="AO86" i="6"/>
  <c r="AI87" i="6"/>
  <c r="AJ87" i="6"/>
  <c r="AK87" i="6"/>
  <c r="AL87" i="6"/>
  <c r="AM87" i="6"/>
  <c r="AN87" i="6"/>
  <c r="AO87" i="6"/>
  <c r="AI88" i="6"/>
  <c r="AJ88" i="6"/>
  <c r="AK88" i="6"/>
  <c r="AL88" i="6"/>
  <c r="AM88" i="6"/>
  <c r="AN88" i="6"/>
  <c r="AO88" i="6"/>
  <c r="AI89" i="6"/>
  <c r="AJ89" i="6"/>
  <c r="AK89" i="6"/>
  <c r="AL89" i="6"/>
  <c r="AM89" i="6"/>
  <c r="AN89" i="6"/>
  <c r="AO89" i="6"/>
  <c r="AI90" i="6"/>
  <c r="AJ90" i="6"/>
  <c r="AK90" i="6"/>
  <c r="AL90" i="6"/>
  <c r="AM90" i="6"/>
  <c r="AN90" i="6"/>
  <c r="AO90" i="6"/>
  <c r="AI91" i="6"/>
  <c r="AJ91" i="6"/>
  <c r="AK91" i="6"/>
  <c r="AL91" i="6"/>
  <c r="AM91" i="6"/>
  <c r="AN91" i="6"/>
  <c r="AO91" i="6"/>
  <c r="AI92" i="6"/>
  <c r="AJ92" i="6"/>
  <c r="AK92" i="6"/>
  <c r="AL92" i="6"/>
  <c r="AM92" i="6"/>
  <c r="AN92" i="6"/>
  <c r="AO92" i="6"/>
  <c r="AI93" i="6"/>
  <c r="AJ93" i="6"/>
  <c r="AK93" i="6"/>
  <c r="AL93" i="6"/>
  <c r="AM93" i="6"/>
  <c r="AN93" i="6"/>
  <c r="AO93" i="6"/>
  <c r="AI60" i="5"/>
  <c r="AJ60" i="5"/>
  <c r="AK60" i="5"/>
  <c r="AL60" i="5"/>
  <c r="AM60" i="5"/>
  <c r="AN60" i="5"/>
  <c r="AO60" i="5"/>
  <c r="AI61" i="5"/>
  <c r="AJ61" i="5"/>
  <c r="AK61" i="5"/>
  <c r="AL61" i="5"/>
  <c r="AM61" i="5"/>
  <c r="AN61" i="5"/>
  <c r="AO61" i="5"/>
  <c r="AI62" i="5"/>
  <c r="AJ62" i="5"/>
  <c r="AK62" i="5"/>
  <c r="AL62" i="5"/>
  <c r="AM62" i="5"/>
  <c r="AN62" i="5"/>
  <c r="AO62" i="5"/>
  <c r="AI63" i="5"/>
  <c r="AJ63" i="5"/>
  <c r="AK63" i="5"/>
  <c r="AL63" i="5"/>
  <c r="AM63" i="5"/>
  <c r="AN63" i="5"/>
  <c r="AO63" i="5"/>
  <c r="AI64" i="5"/>
  <c r="AJ64" i="5"/>
  <c r="AK64" i="5"/>
  <c r="AL64" i="5"/>
  <c r="AM64" i="5"/>
  <c r="AN64" i="5"/>
  <c r="AO64" i="5"/>
  <c r="AI65" i="5"/>
  <c r="AJ65" i="5"/>
  <c r="AK65" i="5"/>
  <c r="AL65" i="5"/>
  <c r="AM65" i="5"/>
  <c r="AN65" i="5"/>
  <c r="AO65" i="5"/>
  <c r="AI66" i="5"/>
  <c r="AJ66" i="5"/>
  <c r="AK66" i="5"/>
  <c r="AL66" i="5"/>
  <c r="AM66" i="5"/>
  <c r="AN66" i="5"/>
  <c r="AO66" i="5"/>
  <c r="AI67" i="5"/>
  <c r="AJ67" i="5"/>
  <c r="AK67" i="5"/>
  <c r="AL67" i="5"/>
  <c r="AM67" i="5"/>
  <c r="AN67" i="5"/>
  <c r="AO67" i="5"/>
  <c r="AI68" i="5"/>
  <c r="AJ68" i="5"/>
  <c r="AK68" i="5"/>
  <c r="AL68" i="5"/>
  <c r="AM68" i="5"/>
  <c r="AN68" i="5"/>
  <c r="AO68" i="5"/>
  <c r="AI69" i="5"/>
  <c r="AJ69" i="5"/>
  <c r="AK69" i="5"/>
  <c r="AL69" i="5"/>
  <c r="AM69" i="5"/>
  <c r="AN69" i="5"/>
  <c r="AO69" i="5"/>
  <c r="AI70" i="5"/>
  <c r="AJ70" i="5"/>
  <c r="AK70" i="5"/>
  <c r="AL70" i="5"/>
  <c r="AM70" i="5"/>
  <c r="AN70" i="5"/>
  <c r="AO70" i="5"/>
  <c r="AI71" i="5"/>
  <c r="AJ71" i="5"/>
  <c r="AK71" i="5"/>
  <c r="AL71" i="5"/>
  <c r="AM71" i="5"/>
  <c r="AN71" i="5"/>
  <c r="AO71" i="5"/>
  <c r="AI72" i="5"/>
  <c r="AJ72" i="5"/>
  <c r="AK72" i="5"/>
  <c r="AL72" i="5"/>
  <c r="AM72" i="5"/>
  <c r="AN72" i="5"/>
  <c r="AO72" i="5"/>
  <c r="AI73" i="5"/>
  <c r="AJ73" i="5"/>
  <c r="AK73" i="5"/>
  <c r="AL73" i="5"/>
  <c r="AM73" i="5"/>
  <c r="AN73" i="5"/>
  <c r="AO73" i="5"/>
  <c r="AI74" i="5"/>
  <c r="AJ74" i="5"/>
  <c r="AK74" i="5"/>
  <c r="AL74" i="5"/>
  <c r="AM74" i="5"/>
  <c r="AN74" i="5"/>
  <c r="AO74" i="5"/>
  <c r="AI75" i="5"/>
  <c r="AJ75" i="5"/>
  <c r="AK75" i="5"/>
  <c r="AL75" i="5"/>
  <c r="AM75" i="5"/>
  <c r="AN75" i="5"/>
  <c r="AO75" i="5"/>
  <c r="AI76" i="5"/>
  <c r="AJ76" i="5"/>
  <c r="AK76" i="5"/>
  <c r="AL76" i="5"/>
  <c r="AM76" i="5"/>
  <c r="AN76" i="5"/>
  <c r="AO76" i="5"/>
  <c r="AI77" i="5"/>
  <c r="AJ77" i="5"/>
  <c r="AK77" i="5"/>
  <c r="AL77" i="5"/>
  <c r="AM77" i="5"/>
  <c r="AN77" i="5"/>
  <c r="AO77" i="5"/>
  <c r="AI78" i="5"/>
  <c r="AJ78" i="5"/>
  <c r="AK78" i="5"/>
  <c r="AL78" i="5"/>
  <c r="AM78" i="5"/>
  <c r="AN78" i="5"/>
  <c r="AO78" i="5"/>
  <c r="AI79" i="5"/>
  <c r="AJ79" i="5"/>
  <c r="AK79" i="5"/>
  <c r="AL79" i="5"/>
  <c r="AM79" i="5"/>
  <c r="AN79" i="5"/>
  <c r="AO79" i="5"/>
  <c r="AI80" i="5"/>
  <c r="AJ80" i="5"/>
  <c r="AK80" i="5"/>
  <c r="AL80" i="5"/>
  <c r="AM80" i="5"/>
  <c r="AN80" i="5"/>
  <c r="AO80" i="5"/>
  <c r="AI81" i="5"/>
  <c r="AJ81" i="5"/>
  <c r="AK81" i="5"/>
  <c r="AL81" i="5"/>
  <c r="AM81" i="5"/>
  <c r="AN81" i="5"/>
  <c r="AO81" i="5"/>
  <c r="AI82" i="5"/>
  <c r="AJ82" i="5"/>
  <c r="AK82" i="5"/>
  <c r="AL82" i="5"/>
  <c r="AM82" i="5"/>
  <c r="AN82" i="5"/>
  <c r="AO82" i="5"/>
  <c r="AI83" i="5"/>
  <c r="AJ83" i="5"/>
  <c r="AK83" i="5"/>
  <c r="AL83" i="5"/>
  <c r="AM83" i="5"/>
  <c r="AN83" i="5"/>
  <c r="AO83" i="5"/>
  <c r="AI84" i="5"/>
  <c r="AJ84" i="5"/>
  <c r="AK84" i="5"/>
  <c r="AL84" i="5"/>
  <c r="AM84" i="5"/>
  <c r="AN84" i="5"/>
  <c r="AO84" i="5"/>
  <c r="AI85" i="5"/>
  <c r="AJ85" i="5"/>
  <c r="AK85" i="5"/>
  <c r="AL85" i="5"/>
  <c r="AM85" i="5"/>
  <c r="AN85" i="5"/>
  <c r="AO85" i="5"/>
  <c r="AI86" i="5"/>
  <c r="AJ86" i="5"/>
  <c r="AK86" i="5"/>
  <c r="AL86" i="5"/>
  <c r="AM86" i="5"/>
  <c r="AN86" i="5"/>
  <c r="AO86" i="5"/>
  <c r="AI87" i="5"/>
  <c r="AJ87" i="5"/>
  <c r="AK87" i="5"/>
  <c r="AL87" i="5"/>
  <c r="AM87" i="5"/>
  <c r="AN87" i="5"/>
  <c r="AO87" i="5"/>
  <c r="AI88" i="5"/>
  <c r="AJ88" i="5"/>
  <c r="AK88" i="5"/>
  <c r="AL88" i="5"/>
  <c r="AM88" i="5"/>
  <c r="AN88" i="5"/>
  <c r="AO88" i="5"/>
  <c r="AI89" i="5"/>
  <c r="AJ89" i="5"/>
  <c r="AK89" i="5"/>
  <c r="AL89" i="5"/>
  <c r="AM89" i="5"/>
  <c r="AN89" i="5"/>
  <c r="AO89" i="5"/>
  <c r="AI90" i="5"/>
  <c r="AJ90" i="5"/>
  <c r="AK90" i="5"/>
  <c r="AL90" i="5"/>
  <c r="AM90" i="5"/>
  <c r="AN90" i="5"/>
  <c r="AO90" i="5"/>
  <c r="AI91" i="5"/>
  <c r="AJ91" i="5"/>
  <c r="AK91" i="5"/>
  <c r="AL91" i="5"/>
  <c r="AM91" i="5"/>
  <c r="AN91" i="5"/>
  <c r="AO91" i="5"/>
  <c r="AI92" i="5"/>
  <c r="AJ92" i="5"/>
  <c r="AK92" i="5"/>
  <c r="AL92" i="5"/>
  <c r="AM92" i="5"/>
  <c r="AN92" i="5"/>
  <c r="AO92" i="5"/>
  <c r="AI93" i="5"/>
  <c r="AJ93" i="5"/>
  <c r="AK93" i="5"/>
  <c r="AL93" i="5"/>
  <c r="AM93" i="5"/>
  <c r="AN93" i="5"/>
  <c r="AO93" i="5"/>
  <c r="AI94" i="5"/>
  <c r="AJ94" i="5"/>
  <c r="AK94" i="5"/>
  <c r="AL94" i="5"/>
  <c r="AM94" i="5"/>
  <c r="AN94" i="5"/>
  <c r="AO94" i="5"/>
  <c r="AI95" i="5"/>
  <c r="AJ95" i="5"/>
  <c r="AK95" i="5"/>
  <c r="AL95" i="5"/>
  <c r="AM95" i="5"/>
  <c r="AN95" i="5"/>
  <c r="AO95" i="5"/>
  <c r="AI96" i="5"/>
  <c r="AJ96" i="5"/>
  <c r="AK96" i="5"/>
  <c r="AL96" i="5"/>
  <c r="AM96" i="5"/>
  <c r="AN96" i="5"/>
  <c r="AO96" i="5"/>
  <c r="AI97" i="5"/>
  <c r="AJ97" i="5"/>
  <c r="AK97" i="5"/>
  <c r="AL97" i="5"/>
  <c r="AM97" i="5"/>
  <c r="AN97" i="5"/>
  <c r="AO97" i="5"/>
  <c r="AI98" i="5"/>
  <c r="AJ98" i="5"/>
  <c r="AK98" i="5"/>
  <c r="AL98" i="5"/>
  <c r="AM98" i="5"/>
  <c r="AN98" i="5"/>
  <c r="AO98" i="5"/>
  <c r="AI99" i="5"/>
  <c r="AJ99" i="5"/>
  <c r="AK99" i="5"/>
  <c r="AL99" i="5"/>
  <c r="AM99" i="5"/>
  <c r="AN99" i="5"/>
  <c r="AO99" i="5"/>
  <c r="BN45" i="5" a="1"/>
  <c r="BL45" i="5" a="1"/>
  <c r="BK45" i="5" a="1"/>
  <c r="BJ45" i="5" a="1"/>
  <c r="BJ45" i="5" l="1"/>
  <c r="BJ53" i="5" s="1"/>
  <c r="BK45" i="5"/>
  <c r="BK53" i="5" s="1"/>
  <c r="BL45" i="5"/>
  <c r="BL53" i="5" s="1"/>
  <c r="BN45" i="5"/>
  <c r="BN53" i="5" s="1"/>
  <c r="AG95" i="6"/>
  <c r="AF53" i="5"/>
  <c r="AH103" i="5"/>
  <c r="AG97" i="6"/>
  <c r="AG94" i="6"/>
  <c r="AG98" i="6"/>
  <c r="AG101" i="5"/>
  <c r="AG102" i="5"/>
  <c r="K53" i="5"/>
  <c r="AG104" i="5"/>
  <c r="AG96" i="6"/>
  <c r="V13" i="3"/>
  <c r="AH94" i="6"/>
  <c r="AH95" i="6"/>
  <c r="AH96" i="6"/>
  <c r="AH97" i="6"/>
  <c r="AH98" i="6"/>
  <c r="BQ53" i="5"/>
  <c r="V17" i="3"/>
  <c r="L45" i="5"/>
  <c r="AG100" i="5" s="1"/>
  <c r="BS53" i="5"/>
  <c r="BP53" i="5"/>
  <c r="BT53" i="5"/>
  <c r="BR53" i="5"/>
  <c r="AH100" i="5"/>
  <c r="AH101" i="5"/>
  <c r="AH102" i="5"/>
  <c r="AH104" i="5"/>
  <c r="L48" i="5"/>
  <c r="BI45" i="5" a="1"/>
  <c r="BH45" i="5" a="1"/>
  <c r="BM45" i="5" a="1"/>
  <c r="BE45" i="5" a="1"/>
  <c r="BK15" i="6" a="1"/>
  <c r="BK5" i="6" a="1"/>
  <c r="BN35" i="6" a="1"/>
  <c r="BL25" i="6" a="1"/>
  <c r="BK30" i="6" a="1"/>
  <c r="BL5" i="6" a="1"/>
  <c r="BL15" i="6" a="1"/>
  <c r="BJ25" i="6" a="1"/>
  <c r="BK20" i="6" a="1"/>
  <c r="BN10" i="6" a="1"/>
  <c r="BK10" i="6" a="1"/>
  <c r="BN15" i="6" a="1"/>
  <c r="BJ5" i="6" a="1"/>
  <c r="BL40" i="6" a="1"/>
  <c r="BJ40" i="6" a="1"/>
  <c r="BK35" i="6" a="1"/>
  <c r="BN30" i="6" a="1"/>
  <c r="BL30" i="6" a="1"/>
  <c r="BJ30" i="6" a="1"/>
  <c r="BK25" i="6" a="1"/>
  <c r="BN20" i="6" a="1"/>
  <c r="BN25" i="6" a="1"/>
  <c r="BJ20" i="6" a="1"/>
  <c r="BL20" i="6" a="1"/>
  <c r="BL10" i="6" a="1"/>
  <c r="BJ10" i="6" a="1"/>
  <c r="BN5" i="6" a="1"/>
  <c r="BK40" i="6" a="1"/>
  <c r="BJ35" i="6" a="1"/>
  <c r="BL35" i="6" a="1"/>
  <c r="BN40" i="6" a="1"/>
  <c r="BJ15" i="6" a="1"/>
  <c r="BE45" i="5" l="1"/>
  <c r="BE53" i="5" s="1"/>
  <c r="H23" i="1" s="1"/>
  <c r="H16" i="7" s="1"/>
  <c r="BM45" i="5"/>
  <c r="BM53" i="5" s="1"/>
  <c r="BH45" i="5"/>
  <c r="BH53" i="5" s="1"/>
  <c r="BI45" i="5"/>
  <c r="BI53" i="5" s="1"/>
  <c r="D36" i="1"/>
  <c r="E36" i="1"/>
  <c r="C36" i="1"/>
  <c r="BL5" i="6"/>
  <c r="BL25" i="6"/>
  <c r="BN5" i="6"/>
  <c r="BL20" i="6"/>
  <c r="BN20" i="6"/>
  <c r="BN30" i="6"/>
  <c r="BJ5" i="6"/>
  <c r="BJ15" i="6"/>
  <c r="BJ25" i="6"/>
  <c r="BJ35" i="6"/>
  <c r="BK5" i="6"/>
  <c r="BK15" i="6"/>
  <c r="BK25" i="6"/>
  <c r="BK35" i="6"/>
  <c r="BN15" i="6"/>
  <c r="BL15" i="6"/>
  <c r="BL35" i="6"/>
  <c r="BN35" i="6"/>
  <c r="BJ10" i="6"/>
  <c r="BJ20" i="6"/>
  <c r="BJ30" i="6"/>
  <c r="BJ40" i="6"/>
  <c r="BK10" i="6"/>
  <c r="BK20" i="6"/>
  <c r="BK30" i="6"/>
  <c r="BK40" i="6"/>
  <c r="BL10" i="6"/>
  <c r="BN25" i="6"/>
  <c r="BL30" i="6"/>
  <c r="BL40" i="6"/>
  <c r="BN10" i="6"/>
  <c r="BN40" i="6"/>
  <c r="G36" i="1"/>
  <c r="AG103" i="5"/>
  <c r="BT44" i="5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25" i="5"/>
  <c r="BT24" i="5"/>
  <c r="BT23" i="5"/>
  <c r="BT22" i="5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T7" i="5"/>
  <c r="BT6" i="5"/>
  <c r="BT5" i="5"/>
  <c r="BT44" i="6"/>
  <c r="BT43" i="6"/>
  <c r="BT42" i="6"/>
  <c r="BT41" i="6"/>
  <c r="BT40" i="6"/>
  <c r="BT39" i="6"/>
  <c r="BT38" i="6"/>
  <c r="BT37" i="6"/>
  <c r="BT36" i="6"/>
  <c r="BT35" i="6"/>
  <c r="BT34" i="6"/>
  <c r="BT33" i="6"/>
  <c r="BT32" i="6"/>
  <c r="BT31" i="6"/>
  <c r="BT30" i="6"/>
  <c r="BT29" i="6"/>
  <c r="BT28" i="6"/>
  <c r="BT27" i="6"/>
  <c r="BT26" i="6"/>
  <c r="BT25" i="6"/>
  <c r="BT24" i="6"/>
  <c r="BT23" i="6"/>
  <c r="BT22" i="6"/>
  <c r="BT21" i="6"/>
  <c r="BT20" i="6"/>
  <c r="BT19" i="6"/>
  <c r="BT18" i="6"/>
  <c r="BT17" i="6"/>
  <c r="BT16" i="6"/>
  <c r="BT15" i="6"/>
  <c r="BT14" i="6"/>
  <c r="BT13" i="6"/>
  <c r="BT12" i="6"/>
  <c r="BT11" i="6"/>
  <c r="BT10" i="6"/>
  <c r="BT9" i="6"/>
  <c r="BT8" i="6"/>
  <c r="BT7" i="6"/>
  <c r="BT6" i="6"/>
  <c r="BT5" i="6"/>
  <c r="BA45" i="5" a="1"/>
  <c r="BC45" i="5" a="1"/>
  <c r="BD45" i="5" a="1"/>
  <c r="BF45" i="5" a="1"/>
  <c r="BB45" i="5" a="1"/>
  <c r="AZ45" i="5" a="1"/>
  <c r="BK5" i="5" a="1"/>
  <c r="BJ5" i="5" a="1"/>
  <c r="BL10" i="5" a="1"/>
  <c r="BN35" i="5" a="1"/>
  <c r="BL20" i="5" a="1"/>
  <c r="BL30" i="5" a="1"/>
  <c r="BN25" i="5" a="1"/>
  <c r="BL25" i="5" a="1"/>
  <c r="BK10" i="5" a="1"/>
  <c r="BN5" i="5" a="1"/>
  <c r="BK20" i="5" a="1"/>
  <c r="BL15" i="5" a="1"/>
  <c r="BL5" i="5" a="1"/>
  <c r="BL35" i="5" a="1"/>
  <c r="BJ40" i="5" a="1"/>
  <c r="BK35" i="5" a="1"/>
  <c r="BJ35" i="5" a="1"/>
  <c r="BN20" i="5" a="1"/>
  <c r="BJ30" i="5" a="1"/>
  <c r="BK25" i="5" a="1"/>
  <c r="BJ25" i="5" a="1"/>
  <c r="BN10" i="5" a="1"/>
  <c r="BJ20" i="5" a="1"/>
  <c r="BK15" i="5" a="1"/>
  <c r="BJ15" i="5" a="1"/>
  <c r="BL40" i="5" a="1"/>
  <c r="BJ10" i="5" a="1"/>
  <c r="BK40" i="5" a="1"/>
  <c r="BK30" i="5" a="1"/>
  <c r="BN15" i="5" a="1"/>
  <c r="BN40" i="5" a="1"/>
  <c r="BN30" i="5" a="1"/>
  <c r="BK46" i="6" l="1"/>
  <c r="BL46" i="6"/>
  <c r="H36" i="1"/>
  <c r="BJ46" i="6"/>
  <c r="AZ45" i="5"/>
  <c r="AZ53" i="5" s="1"/>
  <c r="C23" i="1" s="1"/>
  <c r="C16" i="7" s="1"/>
  <c r="BB45" i="5"/>
  <c r="BB53" i="5" s="1"/>
  <c r="E23" i="1" s="1"/>
  <c r="E16" i="7" s="1"/>
  <c r="BF45" i="5"/>
  <c r="BD45" i="5"/>
  <c r="G12" i="7" s="1"/>
  <c r="BC45" i="5"/>
  <c r="BC53" i="5" s="1"/>
  <c r="F23" i="1" s="1"/>
  <c r="F16" i="7" s="1"/>
  <c r="BA45" i="5"/>
  <c r="H12" i="7"/>
  <c r="BN47" i="6"/>
  <c r="BN48" i="6"/>
  <c r="BL48" i="6"/>
  <c r="BJ48" i="6"/>
  <c r="BK48" i="6"/>
  <c r="F36" i="1"/>
  <c r="I36" i="1"/>
  <c r="BN5" i="5"/>
  <c r="BN15" i="5"/>
  <c r="BN51" i="5" s="1"/>
  <c r="BN25" i="5"/>
  <c r="BN35" i="5"/>
  <c r="BJ10" i="5"/>
  <c r="BJ20" i="5"/>
  <c r="BJ30" i="5"/>
  <c r="BJ40" i="5"/>
  <c r="BL15" i="5"/>
  <c r="BL51" i="5" s="1"/>
  <c r="BK20" i="5"/>
  <c r="BK40" i="5"/>
  <c r="BL10" i="5"/>
  <c r="BL40" i="5"/>
  <c r="BN10" i="5"/>
  <c r="BN20" i="5"/>
  <c r="BN30" i="5"/>
  <c r="BN40" i="5"/>
  <c r="BL25" i="5"/>
  <c r="BL30" i="5"/>
  <c r="BJ5" i="5"/>
  <c r="BJ15" i="5"/>
  <c r="BJ25" i="5"/>
  <c r="BJ35" i="5"/>
  <c r="BL35" i="5"/>
  <c r="BK10" i="5"/>
  <c r="BK30" i="5"/>
  <c r="BL20" i="5"/>
  <c r="BK5" i="5"/>
  <c r="BK15" i="5"/>
  <c r="BK25" i="5"/>
  <c r="BK35" i="5"/>
  <c r="BL5" i="5"/>
  <c r="BT48" i="6"/>
  <c r="BT54" i="5"/>
  <c r="BF53" i="5"/>
  <c r="I23" i="1" s="1"/>
  <c r="I16" i="7" s="1"/>
  <c r="I12" i="7"/>
  <c r="BA53" i="5"/>
  <c r="D23" i="1" s="1"/>
  <c r="D16" i="7" s="1"/>
  <c r="D12" i="7"/>
  <c r="E12" i="7"/>
  <c r="BT51" i="5"/>
  <c r="BT46" i="6"/>
  <c r="BT47" i="6"/>
  <c r="BT52" i="5"/>
  <c r="BT50" i="5"/>
  <c r="BT45" i="6"/>
  <c r="BN46" i="6"/>
  <c r="BN45" i="6"/>
  <c r="BJ45" i="6"/>
  <c r="BL45" i="6"/>
  <c r="BK47" i="6"/>
  <c r="BK45" i="6"/>
  <c r="BJ47" i="6"/>
  <c r="BL47" i="6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M44" i="5"/>
  <c r="L44" i="5" s="1"/>
  <c r="M43" i="5"/>
  <c r="L43" i="5" s="1"/>
  <c r="M42" i="5"/>
  <c r="L42" i="5" s="1"/>
  <c r="M41" i="5"/>
  <c r="L41" i="5" s="1"/>
  <c r="M40" i="5"/>
  <c r="L40" i="5" s="1"/>
  <c r="M39" i="5"/>
  <c r="L39" i="5" s="1"/>
  <c r="M38" i="5"/>
  <c r="L38" i="5" s="1"/>
  <c r="M37" i="5"/>
  <c r="L37" i="5" s="1"/>
  <c r="M36" i="5"/>
  <c r="L36" i="5" s="1"/>
  <c r="M35" i="5"/>
  <c r="L35" i="5" s="1"/>
  <c r="M34" i="5"/>
  <c r="L34" i="5" s="1"/>
  <c r="M33" i="5"/>
  <c r="L33" i="5" s="1"/>
  <c r="M32" i="5"/>
  <c r="L32" i="5" s="1"/>
  <c r="M31" i="5"/>
  <c r="L31" i="5" s="1"/>
  <c r="M30" i="5"/>
  <c r="L30" i="5" s="1"/>
  <c r="M29" i="5"/>
  <c r="L29" i="5" s="1"/>
  <c r="M28" i="5"/>
  <c r="L28" i="5" s="1"/>
  <c r="M27" i="5"/>
  <c r="L27" i="5" s="1"/>
  <c r="M26" i="5"/>
  <c r="L26" i="5" s="1"/>
  <c r="M25" i="5"/>
  <c r="L25" i="5" s="1"/>
  <c r="M24" i="5"/>
  <c r="L24" i="5" s="1"/>
  <c r="M23" i="5"/>
  <c r="L23" i="5" s="1"/>
  <c r="M22" i="5"/>
  <c r="L22" i="5" s="1"/>
  <c r="M21" i="5"/>
  <c r="L21" i="5" s="1"/>
  <c r="M20" i="5"/>
  <c r="L20" i="5" s="1"/>
  <c r="M19" i="5"/>
  <c r="L19" i="5" s="1"/>
  <c r="M18" i="5"/>
  <c r="L18" i="5" s="1"/>
  <c r="M17" i="5"/>
  <c r="L17" i="5" s="1"/>
  <c r="M16" i="5"/>
  <c r="L16" i="5" s="1"/>
  <c r="M15" i="5"/>
  <c r="L15" i="5" s="1"/>
  <c r="M14" i="5"/>
  <c r="L14" i="5" s="1"/>
  <c r="M13" i="5"/>
  <c r="L13" i="5" s="1"/>
  <c r="M12" i="5"/>
  <c r="L12" i="5" s="1"/>
  <c r="M11" i="5"/>
  <c r="L11" i="5" s="1"/>
  <c r="M10" i="5"/>
  <c r="L10" i="5" s="1"/>
  <c r="M9" i="5"/>
  <c r="L9" i="5" s="1"/>
  <c r="M8" i="5"/>
  <c r="L8" i="5" s="1"/>
  <c r="M7" i="5"/>
  <c r="L7" i="5" s="1"/>
  <c r="M6" i="5"/>
  <c r="L6" i="5" s="1"/>
  <c r="M5" i="5"/>
  <c r="L5" i="5" s="1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AH8" i="6"/>
  <c r="AH7" i="6"/>
  <c r="AH6" i="6"/>
  <c r="AH5" i="6"/>
  <c r="M44" i="6"/>
  <c r="L44" i="6" s="1"/>
  <c r="M43" i="6"/>
  <c r="L43" i="6" s="1"/>
  <c r="M42" i="6"/>
  <c r="L42" i="6" s="1"/>
  <c r="M41" i="6"/>
  <c r="L41" i="6" s="1"/>
  <c r="M40" i="6"/>
  <c r="M39" i="6"/>
  <c r="L39" i="6" s="1"/>
  <c r="M38" i="6"/>
  <c r="L38" i="6" s="1"/>
  <c r="M37" i="6"/>
  <c r="L37" i="6" s="1"/>
  <c r="M36" i="6"/>
  <c r="L36" i="6" s="1"/>
  <c r="M35" i="6"/>
  <c r="M34" i="6"/>
  <c r="L34" i="6" s="1"/>
  <c r="M33" i="6"/>
  <c r="L33" i="6" s="1"/>
  <c r="M32" i="6"/>
  <c r="L32" i="6" s="1"/>
  <c r="M31" i="6"/>
  <c r="L31" i="6" s="1"/>
  <c r="M30" i="6"/>
  <c r="M29" i="6"/>
  <c r="L29" i="6" s="1"/>
  <c r="M28" i="6"/>
  <c r="L28" i="6" s="1"/>
  <c r="M27" i="6"/>
  <c r="L27" i="6" s="1"/>
  <c r="M26" i="6"/>
  <c r="L26" i="6" s="1"/>
  <c r="M25" i="6"/>
  <c r="M24" i="6"/>
  <c r="L24" i="6" s="1"/>
  <c r="M23" i="6"/>
  <c r="L23" i="6" s="1"/>
  <c r="M22" i="6"/>
  <c r="L22" i="6" s="1"/>
  <c r="M21" i="6"/>
  <c r="L21" i="6" s="1"/>
  <c r="M20" i="6"/>
  <c r="M19" i="6"/>
  <c r="L19" i="6" s="1"/>
  <c r="M18" i="6"/>
  <c r="L18" i="6" s="1"/>
  <c r="M17" i="6"/>
  <c r="L17" i="6" s="1"/>
  <c r="M16" i="6"/>
  <c r="L16" i="6" s="1"/>
  <c r="M15" i="6"/>
  <c r="M14" i="6"/>
  <c r="L14" i="6" s="1"/>
  <c r="M13" i="6"/>
  <c r="L13" i="6" s="1"/>
  <c r="M12" i="6"/>
  <c r="L12" i="6" s="1"/>
  <c r="M11" i="6"/>
  <c r="L11" i="6" s="1"/>
  <c r="M10" i="6"/>
  <c r="M9" i="6"/>
  <c r="L9" i="6" s="1"/>
  <c r="M8" i="6"/>
  <c r="L8" i="6" s="1"/>
  <c r="M7" i="6"/>
  <c r="L7" i="6" s="1"/>
  <c r="M6" i="6"/>
  <c r="L6" i="6" s="1"/>
  <c r="M5" i="6"/>
  <c r="C12" i="7" l="1"/>
  <c r="BL52" i="5"/>
  <c r="BD53" i="5"/>
  <c r="G23" i="1" s="1"/>
  <c r="G16" i="7" s="1"/>
  <c r="BN50" i="5"/>
  <c r="F12" i="7"/>
  <c r="BL54" i="5"/>
  <c r="BJ51" i="5"/>
  <c r="BK52" i="5"/>
  <c r="BJ52" i="5"/>
  <c r="BN54" i="5"/>
  <c r="BK54" i="5"/>
  <c r="BK50" i="5"/>
  <c r="BJ50" i="5"/>
  <c r="BL50" i="5"/>
  <c r="BN52" i="5"/>
  <c r="BK51" i="5"/>
  <c r="BJ54" i="5"/>
  <c r="L25" i="6"/>
  <c r="AH58" i="6"/>
  <c r="AG9" i="6"/>
  <c r="AG58" i="6" s="1"/>
  <c r="AH82" i="6"/>
  <c r="AG33" i="6"/>
  <c r="AG82" i="6" s="1"/>
  <c r="AH96" i="5"/>
  <c r="AG41" i="5"/>
  <c r="AG96" i="5" s="1"/>
  <c r="AH83" i="6"/>
  <c r="AG34" i="6"/>
  <c r="AG83" i="6" s="1"/>
  <c r="L5" i="6"/>
  <c r="AG5" i="6"/>
  <c r="AH54" i="6"/>
  <c r="AG29" i="6"/>
  <c r="AG78" i="6" s="1"/>
  <c r="AH78" i="6"/>
  <c r="AG21" i="5"/>
  <c r="AG76" i="5" s="1"/>
  <c r="AH76" i="5"/>
  <c r="L40" i="6"/>
  <c r="AH57" i="6"/>
  <c r="AG8" i="6"/>
  <c r="AG57" i="6" s="1"/>
  <c r="AH65" i="6"/>
  <c r="AG16" i="6"/>
  <c r="AG65" i="6" s="1"/>
  <c r="AH73" i="6"/>
  <c r="AG24" i="6"/>
  <c r="AG73" i="6" s="1"/>
  <c r="AH81" i="6"/>
  <c r="AG32" i="6"/>
  <c r="AG81" i="6" s="1"/>
  <c r="AH89" i="6"/>
  <c r="AG40" i="6"/>
  <c r="AH63" i="5"/>
  <c r="AG8" i="5"/>
  <c r="AG63" i="5" s="1"/>
  <c r="AH71" i="5"/>
  <c r="AG16" i="5"/>
  <c r="AG71" i="5" s="1"/>
  <c r="AH79" i="5"/>
  <c r="AG24" i="5"/>
  <c r="AG79" i="5" s="1"/>
  <c r="AH87" i="5"/>
  <c r="AG32" i="5"/>
  <c r="AG87" i="5" s="1"/>
  <c r="AH95" i="5"/>
  <c r="AG40" i="5"/>
  <c r="AG95" i="5" s="1"/>
  <c r="AH64" i="5"/>
  <c r="AG9" i="5"/>
  <c r="AG64" i="5" s="1"/>
  <c r="AH80" i="5"/>
  <c r="AG25" i="5"/>
  <c r="AG80" i="5" s="1"/>
  <c r="AH59" i="6"/>
  <c r="AG10" i="6"/>
  <c r="AH65" i="5"/>
  <c r="AG10" i="5"/>
  <c r="AG65" i="5" s="1"/>
  <c r="AH81" i="5"/>
  <c r="AG26" i="5"/>
  <c r="AG81" i="5" s="1"/>
  <c r="AH97" i="5"/>
  <c r="AG42" i="5"/>
  <c r="AG97" i="5" s="1"/>
  <c r="L35" i="6"/>
  <c r="AH60" i="6"/>
  <c r="AG11" i="6"/>
  <c r="AG60" i="6" s="1"/>
  <c r="AH68" i="6"/>
  <c r="AG19" i="6"/>
  <c r="AG68" i="6" s="1"/>
  <c r="AH76" i="6"/>
  <c r="AG27" i="6"/>
  <c r="AG76" i="6" s="1"/>
  <c r="AH84" i="6"/>
  <c r="AG35" i="6"/>
  <c r="AG84" i="6" s="1"/>
  <c r="AH92" i="6"/>
  <c r="AG43" i="6"/>
  <c r="AG92" i="6" s="1"/>
  <c r="AH66" i="5"/>
  <c r="AG11" i="5"/>
  <c r="AG66" i="5" s="1"/>
  <c r="AH74" i="5"/>
  <c r="AG19" i="5"/>
  <c r="AG74" i="5" s="1"/>
  <c r="AH82" i="5"/>
  <c r="AG27" i="5"/>
  <c r="AG82" i="5" s="1"/>
  <c r="AH90" i="5"/>
  <c r="AG35" i="5"/>
  <c r="AG90" i="5" s="1"/>
  <c r="AH98" i="5"/>
  <c r="AG43" i="5"/>
  <c r="AG98" i="5" s="1"/>
  <c r="AH66" i="6"/>
  <c r="AG17" i="6"/>
  <c r="AG66" i="6" s="1"/>
  <c r="AH72" i="5"/>
  <c r="AG17" i="5"/>
  <c r="AG72" i="5" s="1"/>
  <c r="AH88" i="5"/>
  <c r="AG33" i="5"/>
  <c r="AG88" i="5" s="1"/>
  <c r="AH75" i="6"/>
  <c r="AG26" i="6"/>
  <c r="AG75" i="6" s="1"/>
  <c r="AH73" i="5"/>
  <c r="AG18" i="5"/>
  <c r="AG73" i="5" s="1"/>
  <c r="AH89" i="5"/>
  <c r="AG34" i="5"/>
  <c r="AG89" i="5" s="1"/>
  <c r="L20" i="6"/>
  <c r="AH61" i="6"/>
  <c r="AG12" i="6"/>
  <c r="AG61" i="6" s="1"/>
  <c r="AH69" i="6"/>
  <c r="AG20" i="6"/>
  <c r="AH77" i="6"/>
  <c r="AG28" i="6"/>
  <c r="AG77" i="6" s="1"/>
  <c r="AH85" i="6"/>
  <c r="AG36" i="6"/>
  <c r="AG85" i="6" s="1"/>
  <c r="AH93" i="6"/>
  <c r="AG44" i="6"/>
  <c r="AG93" i="6" s="1"/>
  <c r="AH67" i="5"/>
  <c r="AG12" i="5"/>
  <c r="AG67" i="5" s="1"/>
  <c r="AH75" i="5"/>
  <c r="AG20" i="5"/>
  <c r="AG75" i="5" s="1"/>
  <c r="AH83" i="5"/>
  <c r="AG28" i="5"/>
  <c r="AG83" i="5" s="1"/>
  <c r="AH91" i="5"/>
  <c r="AG36" i="5"/>
  <c r="AG91" i="5" s="1"/>
  <c r="AH99" i="5"/>
  <c r="AG44" i="5"/>
  <c r="AG99" i="5" s="1"/>
  <c r="AH74" i="6"/>
  <c r="AG25" i="6"/>
  <c r="AG74" i="6" s="1"/>
  <c r="L10" i="6"/>
  <c r="AG37" i="6"/>
  <c r="AG86" i="6" s="1"/>
  <c r="AH86" i="6"/>
  <c r="AG13" i="5"/>
  <c r="AG68" i="5" s="1"/>
  <c r="AH68" i="5"/>
  <c r="AG37" i="5"/>
  <c r="AG92" i="5" s="1"/>
  <c r="AH92" i="5"/>
  <c r="L30" i="6"/>
  <c r="AG6" i="6"/>
  <c r="AG55" i="6" s="1"/>
  <c r="AH55" i="6"/>
  <c r="AG14" i="6"/>
  <c r="AG63" i="6" s="1"/>
  <c r="AH63" i="6"/>
  <c r="AG22" i="6"/>
  <c r="AG71" i="6" s="1"/>
  <c r="AH71" i="6"/>
  <c r="AG30" i="6"/>
  <c r="AH79" i="6"/>
  <c r="AG38" i="6"/>
  <c r="AG87" i="6" s="1"/>
  <c r="AH87" i="6"/>
  <c r="AG6" i="5"/>
  <c r="AG61" i="5" s="1"/>
  <c r="AH61" i="5"/>
  <c r="AG14" i="5"/>
  <c r="AG69" i="5" s="1"/>
  <c r="AH69" i="5"/>
  <c r="AG22" i="5"/>
  <c r="AG77" i="5" s="1"/>
  <c r="AH77" i="5"/>
  <c r="AG30" i="5"/>
  <c r="AG85" i="5" s="1"/>
  <c r="AH85" i="5"/>
  <c r="AG38" i="5"/>
  <c r="AG93" i="5" s="1"/>
  <c r="AH93" i="5"/>
  <c r="AH90" i="6"/>
  <c r="AG41" i="6"/>
  <c r="AG90" i="6" s="1"/>
  <c r="AH67" i="6"/>
  <c r="AG18" i="6"/>
  <c r="AG67" i="6" s="1"/>
  <c r="AH91" i="6"/>
  <c r="AG42" i="6"/>
  <c r="AG91" i="6" s="1"/>
  <c r="AG13" i="6"/>
  <c r="AG62" i="6" s="1"/>
  <c r="AH62" i="6"/>
  <c r="AH70" i="6"/>
  <c r="AG21" i="6"/>
  <c r="AG70" i="6" s="1"/>
  <c r="AG5" i="5"/>
  <c r="AG60" i="5" s="1"/>
  <c r="AH60" i="5"/>
  <c r="AG29" i="5"/>
  <c r="AG84" i="5" s="1"/>
  <c r="AH84" i="5"/>
  <c r="L15" i="6"/>
  <c r="AG7" i="6"/>
  <c r="AG56" i="6" s="1"/>
  <c r="AH56" i="6"/>
  <c r="AG15" i="6"/>
  <c r="AH64" i="6"/>
  <c r="AG23" i="6"/>
  <c r="AG72" i="6" s="1"/>
  <c r="AH72" i="6"/>
  <c r="AG31" i="6"/>
  <c r="AG80" i="6" s="1"/>
  <c r="AH80" i="6"/>
  <c r="AG39" i="6"/>
  <c r="AG88" i="6" s="1"/>
  <c r="AH88" i="6"/>
  <c r="AG7" i="5"/>
  <c r="AG62" i="5" s="1"/>
  <c r="AH62" i="5"/>
  <c r="AG15" i="5"/>
  <c r="AG70" i="5" s="1"/>
  <c r="AH70" i="5"/>
  <c r="AG23" i="5"/>
  <c r="AG78" i="5" s="1"/>
  <c r="AH78" i="5"/>
  <c r="AG31" i="5"/>
  <c r="AG86" i="5" s="1"/>
  <c r="AH86" i="5"/>
  <c r="AG39" i="5"/>
  <c r="AG94" i="5" s="1"/>
  <c r="AH94" i="5"/>
  <c r="A19" i="7"/>
  <c r="A18" i="7"/>
  <c r="A17" i="7"/>
  <c r="A14" i="7"/>
  <c r="A13" i="7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AV59" i="6"/>
  <c r="AU59" i="6"/>
  <c r="AT59" i="6"/>
  <c r="AS59" i="6"/>
  <c r="AR59" i="6"/>
  <c r="AQ59" i="6"/>
  <c r="AP59" i="6"/>
  <c r="AV58" i="6"/>
  <c r="AU58" i="6"/>
  <c r="AT58" i="6"/>
  <c r="AS58" i="6"/>
  <c r="AR58" i="6"/>
  <c r="AQ58" i="6"/>
  <c r="AP58" i="6"/>
  <c r="AV57" i="6"/>
  <c r="AU57" i="6"/>
  <c r="AT57" i="6"/>
  <c r="AS57" i="6"/>
  <c r="AR57" i="6"/>
  <c r="AQ57" i="6"/>
  <c r="AP57" i="6"/>
  <c r="AV56" i="6"/>
  <c r="AU56" i="6"/>
  <c r="AT56" i="6"/>
  <c r="AS56" i="6"/>
  <c r="AR56" i="6"/>
  <c r="AQ56" i="6"/>
  <c r="AP56" i="6"/>
  <c r="AV55" i="6"/>
  <c r="AU55" i="6"/>
  <c r="AT55" i="6"/>
  <c r="AS55" i="6"/>
  <c r="AR55" i="6"/>
  <c r="AQ55" i="6"/>
  <c r="AP55" i="6"/>
  <c r="AV54" i="6"/>
  <c r="AU54" i="6"/>
  <c r="AT54" i="6"/>
  <c r="AS54" i="6"/>
  <c r="AR54" i="6"/>
  <c r="AQ54" i="6"/>
  <c r="AP54" i="6"/>
  <c r="BS44" i="6"/>
  <c r="BR44" i="6"/>
  <c r="BQ44" i="6"/>
  <c r="BP44" i="6"/>
  <c r="AF44" i="6"/>
  <c r="AE44" i="6"/>
  <c r="K44" i="6"/>
  <c r="J44" i="6"/>
  <c r="BS43" i="6"/>
  <c r="BR43" i="6"/>
  <c r="BQ43" i="6"/>
  <c r="BP43" i="6"/>
  <c r="AF43" i="6"/>
  <c r="AE43" i="6"/>
  <c r="K43" i="6"/>
  <c r="J43" i="6"/>
  <c r="BS42" i="6"/>
  <c r="BR42" i="6"/>
  <c r="BQ42" i="6"/>
  <c r="BP42" i="6"/>
  <c r="AF42" i="6"/>
  <c r="AE42" i="6"/>
  <c r="K42" i="6"/>
  <c r="J42" i="6"/>
  <c r="BS41" i="6"/>
  <c r="BR41" i="6"/>
  <c r="BQ41" i="6"/>
  <c r="BP41" i="6"/>
  <c r="AF41" i="6"/>
  <c r="AE41" i="6"/>
  <c r="K41" i="6"/>
  <c r="J41" i="6"/>
  <c r="BS40" i="6"/>
  <c r="BR40" i="6"/>
  <c r="BQ40" i="6"/>
  <c r="BP40" i="6"/>
  <c r="AF40" i="6"/>
  <c r="AE40" i="6"/>
  <c r="K40" i="6"/>
  <c r="J40" i="6"/>
  <c r="BS39" i="6"/>
  <c r="BR39" i="6"/>
  <c r="BQ39" i="6"/>
  <c r="BP39" i="6"/>
  <c r="AF39" i="6"/>
  <c r="AE39" i="6"/>
  <c r="K39" i="6"/>
  <c r="J39" i="6"/>
  <c r="BS38" i="6"/>
  <c r="BR38" i="6"/>
  <c r="BQ38" i="6"/>
  <c r="BP38" i="6"/>
  <c r="AF38" i="6"/>
  <c r="AE38" i="6"/>
  <c r="K38" i="6"/>
  <c r="J38" i="6"/>
  <c r="BS37" i="6"/>
  <c r="BR37" i="6"/>
  <c r="BQ37" i="6"/>
  <c r="BP37" i="6"/>
  <c r="AF37" i="6"/>
  <c r="AE37" i="6"/>
  <c r="K37" i="6"/>
  <c r="J37" i="6"/>
  <c r="BS36" i="6"/>
  <c r="BR36" i="6"/>
  <c r="BQ36" i="6"/>
  <c r="BP36" i="6"/>
  <c r="AF36" i="6"/>
  <c r="AE36" i="6"/>
  <c r="K36" i="6"/>
  <c r="J36" i="6"/>
  <c r="BS35" i="6"/>
  <c r="BR35" i="6"/>
  <c r="BQ35" i="6"/>
  <c r="BP35" i="6"/>
  <c r="AF35" i="6"/>
  <c r="AE35" i="6"/>
  <c r="K35" i="6"/>
  <c r="J35" i="6"/>
  <c r="BS34" i="6"/>
  <c r="BR34" i="6"/>
  <c r="BQ34" i="6"/>
  <c r="BP34" i="6"/>
  <c r="AF34" i="6"/>
  <c r="AE34" i="6"/>
  <c r="K34" i="6"/>
  <c r="J34" i="6"/>
  <c r="BS33" i="6"/>
  <c r="BR33" i="6"/>
  <c r="BQ33" i="6"/>
  <c r="BP33" i="6"/>
  <c r="AF33" i="6"/>
  <c r="AE33" i="6"/>
  <c r="K33" i="6"/>
  <c r="J33" i="6"/>
  <c r="BS32" i="6"/>
  <c r="BR32" i="6"/>
  <c r="BQ32" i="6"/>
  <c r="BP32" i="6"/>
  <c r="AF32" i="6"/>
  <c r="AE32" i="6"/>
  <c r="K32" i="6"/>
  <c r="J32" i="6"/>
  <c r="BS31" i="6"/>
  <c r="BR31" i="6"/>
  <c r="BQ31" i="6"/>
  <c r="BP31" i="6"/>
  <c r="AF31" i="6"/>
  <c r="AE31" i="6"/>
  <c r="K31" i="6"/>
  <c r="J31" i="6"/>
  <c r="BS30" i="6"/>
  <c r="BR30" i="6"/>
  <c r="BQ30" i="6"/>
  <c r="BP30" i="6"/>
  <c r="AF30" i="6"/>
  <c r="AE30" i="6"/>
  <c r="K30" i="6"/>
  <c r="J30" i="6"/>
  <c r="BS29" i="6"/>
  <c r="BR29" i="6"/>
  <c r="BQ29" i="6"/>
  <c r="BP29" i="6"/>
  <c r="AF29" i="6"/>
  <c r="AE29" i="6"/>
  <c r="K29" i="6"/>
  <c r="J29" i="6"/>
  <c r="BS28" i="6"/>
  <c r="BR28" i="6"/>
  <c r="BQ28" i="6"/>
  <c r="BP28" i="6"/>
  <c r="AF28" i="6"/>
  <c r="AE28" i="6"/>
  <c r="K28" i="6"/>
  <c r="J28" i="6"/>
  <c r="BS27" i="6"/>
  <c r="BR27" i="6"/>
  <c r="BQ27" i="6"/>
  <c r="BP27" i="6"/>
  <c r="AF27" i="6"/>
  <c r="AE27" i="6"/>
  <c r="K27" i="6"/>
  <c r="J27" i="6"/>
  <c r="BS26" i="6"/>
  <c r="BR26" i="6"/>
  <c r="BQ26" i="6"/>
  <c r="BP26" i="6"/>
  <c r="AF26" i="6"/>
  <c r="AE26" i="6"/>
  <c r="K26" i="6"/>
  <c r="J26" i="6"/>
  <c r="BS25" i="6"/>
  <c r="BR25" i="6"/>
  <c r="BQ25" i="6"/>
  <c r="BP25" i="6"/>
  <c r="AF25" i="6"/>
  <c r="AE25" i="6"/>
  <c r="K25" i="6"/>
  <c r="J25" i="6"/>
  <c r="BS24" i="6"/>
  <c r="BR24" i="6"/>
  <c r="BQ24" i="6"/>
  <c r="BP24" i="6"/>
  <c r="AF24" i="6"/>
  <c r="AE24" i="6"/>
  <c r="K24" i="6"/>
  <c r="J24" i="6"/>
  <c r="BS23" i="6"/>
  <c r="BR23" i="6"/>
  <c r="BQ23" i="6"/>
  <c r="BP23" i="6"/>
  <c r="AF23" i="6"/>
  <c r="AE23" i="6"/>
  <c r="K23" i="6"/>
  <c r="J23" i="6"/>
  <c r="BS22" i="6"/>
  <c r="BR22" i="6"/>
  <c r="BQ22" i="6"/>
  <c r="BP22" i="6"/>
  <c r="AF22" i="6"/>
  <c r="AE22" i="6"/>
  <c r="K22" i="6"/>
  <c r="J22" i="6"/>
  <c r="BS21" i="6"/>
  <c r="BR21" i="6"/>
  <c r="BQ21" i="6"/>
  <c r="BP21" i="6"/>
  <c r="AF21" i="6"/>
  <c r="AE21" i="6"/>
  <c r="K21" i="6"/>
  <c r="J21" i="6"/>
  <c r="BS20" i="6"/>
  <c r="BR20" i="6"/>
  <c r="BQ20" i="6"/>
  <c r="BP20" i="6"/>
  <c r="AF20" i="6"/>
  <c r="AE20" i="6"/>
  <c r="K20" i="6"/>
  <c r="J20" i="6"/>
  <c r="BS19" i="6"/>
  <c r="BR19" i="6"/>
  <c r="BQ19" i="6"/>
  <c r="BP19" i="6"/>
  <c r="AF19" i="6"/>
  <c r="AE19" i="6"/>
  <c r="K19" i="6"/>
  <c r="J19" i="6"/>
  <c r="BS18" i="6"/>
  <c r="BR18" i="6"/>
  <c r="BQ18" i="6"/>
  <c r="BP18" i="6"/>
  <c r="AF18" i="6"/>
  <c r="AE18" i="6"/>
  <c r="K18" i="6"/>
  <c r="J18" i="6"/>
  <c r="BS17" i="6"/>
  <c r="BR17" i="6"/>
  <c r="BQ17" i="6"/>
  <c r="BP17" i="6"/>
  <c r="AF17" i="6"/>
  <c r="AE17" i="6"/>
  <c r="K17" i="6"/>
  <c r="J17" i="6"/>
  <c r="BS16" i="6"/>
  <c r="BR16" i="6"/>
  <c r="BQ16" i="6"/>
  <c r="BP16" i="6"/>
  <c r="AF16" i="6"/>
  <c r="AE16" i="6"/>
  <c r="K16" i="6"/>
  <c r="J16" i="6"/>
  <c r="BS15" i="6"/>
  <c r="BR15" i="6"/>
  <c r="BQ15" i="6"/>
  <c r="BP15" i="6"/>
  <c r="AF15" i="6"/>
  <c r="AE15" i="6"/>
  <c r="K15" i="6"/>
  <c r="J15" i="6"/>
  <c r="BS14" i="6"/>
  <c r="BR14" i="6"/>
  <c r="BQ14" i="6"/>
  <c r="BP14" i="6"/>
  <c r="AF14" i="6"/>
  <c r="AE14" i="6"/>
  <c r="K14" i="6"/>
  <c r="J14" i="6"/>
  <c r="BS13" i="6"/>
  <c r="BR13" i="6"/>
  <c r="BQ13" i="6"/>
  <c r="BP13" i="6"/>
  <c r="AF13" i="6"/>
  <c r="AE13" i="6"/>
  <c r="K13" i="6"/>
  <c r="J13" i="6"/>
  <c r="BS12" i="6"/>
  <c r="BR12" i="6"/>
  <c r="BQ12" i="6"/>
  <c r="BP12" i="6"/>
  <c r="AF12" i="6"/>
  <c r="AE12" i="6"/>
  <c r="K12" i="6"/>
  <c r="J12" i="6"/>
  <c r="BS11" i="6"/>
  <c r="BR11" i="6"/>
  <c r="BQ11" i="6"/>
  <c r="BP11" i="6"/>
  <c r="AF11" i="6"/>
  <c r="AE11" i="6"/>
  <c r="K11" i="6"/>
  <c r="J11" i="6"/>
  <c r="BS10" i="6"/>
  <c r="BR10" i="6"/>
  <c r="BQ10" i="6"/>
  <c r="BP10" i="6"/>
  <c r="AF10" i="6"/>
  <c r="AE10" i="6"/>
  <c r="K10" i="6"/>
  <c r="J10" i="6"/>
  <c r="BS9" i="6"/>
  <c r="BR9" i="6"/>
  <c r="BQ9" i="6"/>
  <c r="BP9" i="6"/>
  <c r="AF9" i="6"/>
  <c r="AE9" i="6"/>
  <c r="K9" i="6"/>
  <c r="J9" i="6"/>
  <c r="BS8" i="6"/>
  <c r="BR8" i="6"/>
  <c r="BQ8" i="6"/>
  <c r="BP8" i="6"/>
  <c r="AF8" i="6"/>
  <c r="AE8" i="6"/>
  <c r="K8" i="6"/>
  <c r="J8" i="6"/>
  <c r="BS7" i="6"/>
  <c r="BR7" i="6"/>
  <c r="BQ7" i="6"/>
  <c r="BP7" i="6"/>
  <c r="AF7" i="6"/>
  <c r="AE7" i="6"/>
  <c r="K7" i="6"/>
  <c r="J7" i="6"/>
  <c r="BS6" i="6"/>
  <c r="BR6" i="6"/>
  <c r="BQ6" i="6"/>
  <c r="BP6" i="6"/>
  <c r="AF6" i="6"/>
  <c r="AE6" i="6"/>
  <c r="K6" i="6"/>
  <c r="J6" i="6"/>
  <c r="BS5" i="6"/>
  <c r="BR5" i="6"/>
  <c r="BQ5" i="6"/>
  <c r="BP5" i="6"/>
  <c r="AF5" i="6"/>
  <c r="AE5" i="6"/>
  <c r="K5" i="6"/>
  <c r="J5" i="6"/>
  <c r="AE1" i="6"/>
  <c r="AV99" i="5"/>
  <c r="AU99" i="5"/>
  <c r="AT99" i="5"/>
  <c r="AS99" i="5"/>
  <c r="AR99" i="5"/>
  <c r="AQ99" i="5"/>
  <c r="AP99" i="5"/>
  <c r="AV98" i="5"/>
  <c r="AU98" i="5"/>
  <c r="AT98" i="5"/>
  <c r="AS98" i="5"/>
  <c r="AR98" i="5"/>
  <c r="AQ98" i="5"/>
  <c r="AP98" i="5"/>
  <c r="AV97" i="5"/>
  <c r="AU97" i="5"/>
  <c r="AT97" i="5"/>
  <c r="AS97" i="5"/>
  <c r="AR97" i="5"/>
  <c r="AQ97" i="5"/>
  <c r="AP97" i="5"/>
  <c r="AV96" i="5"/>
  <c r="AU96" i="5"/>
  <c r="AT96" i="5"/>
  <c r="AS96" i="5"/>
  <c r="AR96" i="5"/>
  <c r="AQ96" i="5"/>
  <c r="AP96" i="5"/>
  <c r="AV95" i="5"/>
  <c r="AU95" i="5"/>
  <c r="AT95" i="5"/>
  <c r="AS95" i="5"/>
  <c r="AR95" i="5"/>
  <c r="AQ95" i="5"/>
  <c r="AP95" i="5"/>
  <c r="AV94" i="5"/>
  <c r="AU94" i="5"/>
  <c r="AT94" i="5"/>
  <c r="AS94" i="5"/>
  <c r="AR94" i="5"/>
  <c r="AQ94" i="5"/>
  <c r="AP94" i="5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BS44" i="5"/>
  <c r="BR44" i="5"/>
  <c r="BQ44" i="5"/>
  <c r="BP44" i="5"/>
  <c r="AF44" i="5"/>
  <c r="AE44" i="5"/>
  <c r="K44" i="5"/>
  <c r="J44" i="5"/>
  <c r="BS43" i="5"/>
  <c r="BR43" i="5"/>
  <c r="BQ43" i="5"/>
  <c r="BP43" i="5"/>
  <c r="AF43" i="5"/>
  <c r="AE43" i="5"/>
  <c r="K43" i="5"/>
  <c r="J43" i="5"/>
  <c r="BS42" i="5"/>
  <c r="BR42" i="5"/>
  <c r="BQ42" i="5"/>
  <c r="BP42" i="5"/>
  <c r="AF42" i="5"/>
  <c r="AE42" i="5"/>
  <c r="K42" i="5"/>
  <c r="J42" i="5"/>
  <c r="BS41" i="5"/>
  <c r="BR41" i="5"/>
  <c r="BQ41" i="5"/>
  <c r="BP41" i="5"/>
  <c r="AF41" i="5"/>
  <c r="AE41" i="5"/>
  <c r="K41" i="5"/>
  <c r="J41" i="5"/>
  <c r="BS40" i="5"/>
  <c r="BR40" i="5"/>
  <c r="BQ40" i="5"/>
  <c r="BP40" i="5"/>
  <c r="AF40" i="5"/>
  <c r="AE40" i="5"/>
  <c r="K40" i="5"/>
  <c r="J40" i="5"/>
  <c r="BS39" i="5"/>
  <c r="BR39" i="5"/>
  <c r="BQ39" i="5"/>
  <c r="BP39" i="5"/>
  <c r="AF39" i="5"/>
  <c r="AE39" i="5"/>
  <c r="K39" i="5"/>
  <c r="J39" i="5"/>
  <c r="BS38" i="5"/>
  <c r="BR38" i="5"/>
  <c r="BQ38" i="5"/>
  <c r="BP38" i="5"/>
  <c r="AF38" i="5"/>
  <c r="AE38" i="5"/>
  <c r="K38" i="5"/>
  <c r="J38" i="5"/>
  <c r="BS37" i="5"/>
  <c r="BR37" i="5"/>
  <c r="BQ37" i="5"/>
  <c r="BP37" i="5"/>
  <c r="AF37" i="5"/>
  <c r="AE37" i="5"/>
  <c r="K37" i="5"/>
  <c r="J37" i="5"/>
  <c r="BS36" i="5"/>
  <c r="BR36" i="5"/>
  <c r="BQ36" i="5"/>
  <c r="BP36" i="5"/>
  <c r="AF36" i="5"/>
  <c r="AE36" i="5"/>
  <c r="K36" i="5"/>
  <c r="J36" i="5"/>
  <c r="BS35" i="5"/>
  <c r="BR35" i="5"/>
  <c r="BQ35" i="5"/>
  <c r="BP35" i="5"/>
  <c r="AF35" i="5"/>
  <c r="AE35" i="5"/>
  <c r="K35" i="5"/>
  <c r="J35" i="5"/>
  <c r="BS34" i="5"/>
  <c r="BR34" i="5"/>
  <c r="BQ34" i="5"/>
  <c r="BP34" i="5"/>
  <c r="AF34" i="5"/>
  <c r="AE34" i="5"/>
  <c r="K34" i="5"/>
  <c r="J34" i="5"/>
  <c r="BS33" i="5"/>
  <c r="BR33" i="5"/>
  <c r="BQ33" i="5"/>
  <c r="BP33" i="5"/>
  <c r="AF33" i="5"/>
  <c r="AE33" i="5"/>
  <c r="K33" i="5"/>
  <c r="J33" i="5"/>
  <c r="BS32" i="5"/>
  <c r="BR32" i="5"/>
  <c r="BQ32" i="5"/>
  <c r="BP32" i="5"/>
  <c r="AF32" i="5"/>
  <c r="AE32" i="5"/>
  <c r="K32" i="5"/>
  <c r="J32" i="5"/>
  <c r="BS31" i="5"/>
  <c r="BR31" i="5"/>
  <c r="BQ31" i="5"/>
  <c r="BP31" i="5"/>
  <c r="AF31" i="5"/>
  <c r="AE31" i="5"/>
  <c r="K31" i="5"/>
  <c r="J31" i="5"/>
  <c r="BS30" i="5"/>
  <c r="BR30" i="5"/>
  <c r="BQ30" i="5"/>
  <c r="BP30" i="5"/>
  <c r="AF30" i="5"/>
  <c r="AE30" i="5"/>
  <c r="K30" i="5"/>
  <c r="J30" i="5"/>
  <c r="BS29" i="5"/>
  <c r="BR29" i="5"/>
  <c r="BQ29" i="5"/>
  <c r="BP29" i="5"/>
  <c r="AF29" i="5"/>
  <c r="AE29" i="5"/>
  <c r="K29" i="5"/>
  <c r="J29" i="5"/>
  <c r="BS28" i="5"/>
  <c r="BR28" i="5"/>
  <c r="BQ28" i="5"/>
  <c r="BP28" i="5"/>
  <c r="AF28" i="5"/>
  <c r="AE28" i="5"/>
  <c r="K28" i="5"/>
  <c r="J28" i="5"/>
  <c r="BS27" i="5"/>
  <c r="BR27" i="5"/>
  <c r="BQ27" i="5"/>
  <c r="BP27" i="5"/>
  <c r="AF27" i="5"/>
  <c r="AE27" i="5"/>
  <c r="K27" i="5"/>
  <c r="J27" i="5"/>
  <c r="BS26" i="5"/>
  <c r="BR26" i="5"/>
  <c r="BQ26" i="5"/>
  <c r="BP26" i="5"/>
  <c r="AF26" i="5"/>
  <c r="AE26" i="5"/>
  <c r="K26" i="5"/>
  <c r="J26" i="5"/>
  <c r="BS25" i="5"/>
  <c r="BR25" i="5"/>
  <c r="BQ25" i="5"/>
  <c r="BP25" i="5"/>
  <c r="AF25" i="5"/>
  <c r="AE25" i="5"/>
  <c r="K25" i="5"/>
  <c r="J25" i="5"/>
  <c r="BS24" i="5"/>
  <c r="BR24" i="5"/>
  <c r="BQ24" i="5"/>
  <c r="BP24" i="5"/>
  <c r="AF24" i="5"/>
  <c r="AE24" i="5"/>
  <c r="K24" i="5"/>
  <c r="J24" i="5"/>
  <c r="BS23" i="5"/>
  <c r="BR23" i="5"/>
  <c r="BQ23" i="5"/>
  <c r="BP23" i="5"/>
  <c r="AF23" i="5"/>
  <c r="AE23" i="5"/>
  <c r="K23" i="5"/>
  <c r="J23" i="5"/>
  <c r="BS22" i="5"/>
  <c r="BR22" i="5"/>
  <c r="BQ22" i="5"/>
  <c r="BP22" i="5"/>
  <c r="AF22" i="5"/>
  <c r="AE22" i="5"/>
  <c r="K22" i="5"/>
  <c r="J22" i="5"/>
  <c r="BS21" i="5"/>
  <c r="BR21" i="5"/>
  <c r="BQ21" i="5"/>
  <c r="BP21" i="5"/>
  <c r="AF21" i="5"/>
  <c r="AE21" i="5"/>
  <c r="K21" i="5"/>
  <c r="J21" i="5"/>
  <c r="BS20" i="5"/>
  <c r="BR20" i="5"/>
  <c r="BQ20" i="5"/>
  <c r="BP20" i="5"/>
  <c r="AF20" i="5"/>
  <c r="AE20" i="5"/>
  <c r="K20" i="5"/>
  <c r="J20" i="5"/>
  <c r="BS19" i="5"/>
  <c r="BR19" i="5"/>
  <c r="BQ19" i="5"/>
  <c r="BP19" i="5"/>
  <c r="AF19" i="5"/>
  <c r="AE19" i="5"/>
  <c r="K19" i="5"/>
  <c r="J19" i="5"/>
  <c r="BS18" i="5"/>
  <c r="BR18" i="5"/>
  <c r="BQ18" i="5"/>
  <c r="BP18" i="5"/>
  <c r="AF18" i="5"/>
  <c r="AE18" i="5"/>
  <c r="K18" i="5"/>
  <c r="J18" i="5"/>
  <c r="BS17" i="5"/>
  <c r="BR17" i="5"/>
  <c r="BQ17" i="5"/>
  <c r="BP17" i="5"/>
  <c r="AF17" i="5"/>
  <c r="AE17" i="5"/>
  <c r="K17" i="5"/>
  <c r="J17" i="5"/>
  <c r="BS16" i="5"/>
  <c r="BR16" i="5"/>
  <c r="BQ16" i="5"/>
  <c r="BP16" i="5"/>
  <c r="AF16" i="5"/>
  <c r="AE16" i="5"/>
  <c r="K16" i="5"/>
  <c r="J16" i="5"/>
  <c r="BS15" i="5"/>
  <c r="BR15" i="5"/>
  <c r="BQ15" i="5"/>
  <c r="BP15" i="5"/>
  <c r="AF15" i="5"/>
  <c r="AE15" i="5"/>
  <c r="K15" i="5"/>
  <c r="J15" i="5"/>
  <c r="BS14" i="5"/>
  <c r="BR14" i="5"/>
  <c r="BQ14" i="5"/>
  <c r="BP14" i="5"/>
  <c r="AF14" i="5"/>
  <c r="AE14" i="5"/>
  <c r="K14" i="5"/>
  <c r="J14" i="5"/>
  <c r="BS13" i="5"/>
  <c r="BR13" i="5"/>
  <c r="BQ13" i="5"/>
  <c r="BP13" i="5"/>
  <c r="AF13" i="5"/>
  <c r="AE13" i="5"/>
  <c r="K13" i="5"/>
  <c r="J13" i="5"/>
  <c r="BS12" i="5"/>
  <c r="BR12" i="5"/>
  <c r="BQ12" i="5"/>
  <c r="BP12" i="5"/>
  <c r="AF12" i="5"/>
  <c r="AE12" i="5"/>
  <c r="K12" i="5"/>
  <c r="J12" i="5"/>
  <c r="BS11" i="5"/>
  <c r="BR11" i="5"/>
  <c r="BQ11" i="5"/>
  <c r="BP11" i="5"/>
  <c r="AF11" i="5"/>
  <c r="AE11" i="5"/>
  <c r="K11" i="5"/>
  <c r="J11" i="5"/>
  <c r="BS10" i="5"/>
  <c r="BR10" i="5"/>
  <c r="BQ10" i="5"/>
  <c r="BP10" i="5"/>
  <c r="AF10" i="5"/>
  <c r="AE10" i="5"/>
  <c r="K10" i="5"/>
  <c r="J10" i="5"/>
  <c r="BS9" i="5"/>
  <c r="BR9" i="5"/>
  <c r="BQ9" i="5"/>
  <c r="BP9" i="5"/>
  <c r="AF9" i="5"/>
  <c r="AE9" i="5"/>
  <c r="K9" i="5"/>
  <c r="J9" i="5"/>
  <c r="BS8" i="5"/>
  <c r="BR8" i="5"/>
  <c r="BQ8" i="5"/>
  <c r="BP8" i="5"/>
  <c r="AF8" i="5"/>
  <c r="AE8" i="5"/>
  <c r="K8" i="5"/>
  <c r="J8" i="5"/>
  <c r="BS7" i="5"/>
  <c r="BR7" i="5"/>
  <c r="BQ7" i="5"/>
  <c r="BP7" i="5"/>
  <c r="AF7" i="5"/>
  <c r="AE7" i="5"/>
  <c r="K7" i="5"/>
  <c r="J7" i="5"/>
  <c r="BS6" i="5"/>
  <c r="BR6" i="5"/>
  <c r="BQ6" i="5"/>
  <c r="BP6" i="5"/>
  <c r="AF6" i="5"/>
  <c r="AE6" i="5"/>
  <c r="K6" i="5"/>
  <c r="J6" i="5"/>
  <c r="BS5" i="5"/>
  <c r="BR5" i="5"/>
  <c r="BQ5" i="5"/>
  <c r="BP5" i="5"/>
  <c r="AF5" i="5"/>
  <c r="AE5" i="5"/>
  <c r="K5" i="5"/>
  <c r="J5" i="5"/>
  <c r="T19" i="3"/>
  <c r="S19" i="3"/>
  <c r="M19" i="3"/>
  <c r="L19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H7" i="3"/>
  <c r="X6" i="3"/>
  <c r="P6" i="3"/>
  <c r="O6" i="3"/>
  <c r="I6" i="3"/>
  <c r="H6" i="3"/>
  <c r="X5" i="3"/>
  <c r="P5" i="3"/>
  <c r="O5" i="3"/>
  <c r="I5" i="3"/>
  <c r="H5" i="3"/>
  <c r="BI25" i="5" a="1"/>
  <c r="BH20" i="5" a="1"/>
  <c r="BI5" i="5" a="1"/>
  <c r="BI30" i="5" a="1"/>
  <c r="BH10" i="5" a="1"/>
  <c r="BH25" i="5" a="1"/>
  <c r="BI15" i="5" a="1"/>
  <c r="BI40" i="5" a="1"/>
  <c r="BM35" i="5" a="1"/>
  <c r="BM10" i="5" a="1"/>
  <c r="BH5" i="5" a="1"/>
  <c r="BH30" i="5" a="1"/>
  <c r="BI20" i="5" a="1"/>
  <c r="BM5" i="5" a="1"/>
  <c r="BH35" i="5" a="1"/>
  <c r="BM20" i="5" a="1"/>
  <c r="BH40" i="5" a="1"/>
  <c r="BI35" i="5" a="1"/>
  <c r="BH15" i="5" a="1"/>
  <c r="BM40" i="5" a="1"/>
  <c r="BI10" i="5" a="1"/>
  <c r="BM30" i="5" a="1"/>
  <c r="BM15" i="5" a="1"/>
  <c r="BM25" i="5" a="1"/>
  <c r="BI40" i="6" a="1"/>
  <c r="BH10" i="6" a="1"/>
  <c r="BM30" i="6" a="1"/>
  <c r="BM25" i="6" a="1"/>
  <c r="BI10" i="6" a="1"/>
  <c r="BM20" i="6" a="1"/>
  <c r="BH20" i="6" a="1"/>
  <c r="BI15" i="6" a="1"/>
  <c r="BH5" i="6" a="1"/>
  <c r="BM10" i="6" a="1"/>
  <c r="BI30" i="6" a="1"/>
  <c r="BM40" i="6" a="1"/>
  <c r="BM35" i="6" a="1"/>
  <c r="BI25" i="6" a="1"/>
  <c r="BH35" i="6" a="1"/>
  <c r="BM5" i="6" a="1"/>
  <c r="BH30" i="6" a="1"/>
  <c r="BH15" i="6" a="1"/>
  <c r="BI35" i="6" a="1"/>
  <c r="BH40" i="6" a="1"/>
  <c r="BI20" i="6" a="1"/>
  <c r="BH25" i="6" a="1"/>
  <c r="BI5" i="6" a="1"/>
  <c r="BM15" i="6" a="1"/>
  <c r="BI30" i="6" l="1"/>
  <c r="BM35" i="6"/>
  <c r="BH5" i="6"/>
  <c r="BM30" i="6"/>
  <c r="BH35" i="6"/>
  <c r="BM15" i="6"/>
  <c r="BI35" i="6"/>
  <c r="BH15" i="6"/>
  <c r="BI10" i="6"/>
  <c r="BM10" i="6"/>
  <c r="BI15" i="6"/>
  <c r="BH10" i="6"/>
  <c r="BM20" i="6"/>
  <c r="BH40" i="6"/>
  <c r="BH25" i="6"/>
  <c r="BH30" i="6"/>
  <c r="BI25" i="6"/>
  <c r="BM25" i="6"/>
  <c r="BH20" i="6"/>
  <c r="BI40" i="6"/>
  <c r="BM40" i="6"/>
  <c r="BI5" i="6"/>
  <c r="BI20" i="6"/>
  <c r="BM5" i="6"/>
  <c r="BI40" i="5"/>
  <c r="BH10" i="5"/>
  <c r="BM15" i="5"/>
  <c r="BM30" i="5"/>
  <c r="BI10" i="5"/>
  <c r="BH15" i="5"/>
  <c r="BH51" i="5" s="1"/>
  <c r="BH30" i="5"/>
  <c r="BM35" i="5"/>
  <c r="BI15" i="5"/>
  <c r="BI30" i="5"/>
  <c r="BH35" i="5"/>
  <c r="BM5" i="5"/>
  <c r="BI20" i="5"/>
  <c r="BI51" i="5" s="1"/>
  <c r="BI35" i="5"/>
  <c r="BH5" i="5"/>
  <c r="BM20" i="5"/>
  <c r="BH25" i="5"/>
  <c r="BI5" i="5"/>
  <c r="BH20" i="5"/>
  <c r="BI25" i="5"/>
  <c r="BM40" i="5"/>
  <c r="BH40" i="5"/>
  <c r="BM10" i="5"/>
  <c r="BM25" i="5"/>
  <c r="I15" i="3"/>
  <c r="BQ48" i="6"/>
  <c r="BS54" i="5"/>
  <c r="BQ54" i="5"/>
  <c r="AF48" i="6"/>
  <c r="BR48" i="6"/>
  <c r="BP48" i="6"/>
  <c r="P18" i="3"/>
  <c r="K54" i="5"/>
  <c r="BP54" i="5"/>
  <c r="BR54" i="5"/>
  <c r="AF54" i="5"/>
  <c r="X17" i="3"/>
  <c r="V6" i="3"/>
  <c r="BS48" i="6"/>
  <c r="K48" i="6"/>
  <c r="I18" i="3"/>
  <c r="V8" i="3"/>
  <c r="AG59" i="6"/>
  <c r="AG89" i="6"/>
  <c r="AG54" i="6"/>
  <c r="AG69" i="6"/>
  <c r="V7" i="3"/>
  <c r="AG64" i="6"/>
  <c r="AG79" i="6"/>
  <c r="V12" i="3"/>
  <c r="P15" i="3"/>
  <c r="V15" i="3" s="1"/>
  <c r="C10" i="1" s="1"/>
  <c r="X15" i="3"/>
  <c r="T20" i="3"/>
  <c r="C15" i="1" s="1"/>
  <c r="P16" i="3"/>
  <c r="X16" i="3"/>
  <c r="X18" i="3"/>
  <c r="V10" i="3"/>
  <c r="S20" i="3"/>
  <c r="C14" i="1" s="1"/>
  <c r="I16" i="3"/>
  <c r="V11" i="3"/>
  <c r="BR51" i="5"/>
  <c r="K50" i="5"/>
  <c r="BS51" i="5"/>
  <c r="AF50" i="5"/>
  <c r="AX56" i="5"/>
  <c r="C26" i="1" s="1"/>
  <c r="C19" i="7" s="1"/>
  <c r="AW56" i="5"/>
  <c r="C25" i="1" s="1"/>
  <c r="C18" i="7" s="1"/>
  <c r="BP45" i="6"/>
  <c r="BP52" i="5"/>
  <c r="BQ51" i="5"/>
  <c r="BR50" i="5"/>
  <c r="BR52" i="5"/>
  <c r="AF52" i="5"/>
  <c r="BP50" i="5"/>
  <c r="K51" i="5"/>
  <c r="BQ52" i="5"/>
  <c r="AF51" i="5"/>
  <c r="BS52" i="5"/>
  <c r="BP51" i="5"/>
  <c r="K52" i="5"/>
  <c r="AW50" i="6"/>
  <c r="C38" i="1" s="1"/>
  <c r="J18" i="7" s="1"/>
  <c r="AX50" i="6"/>
  <c r="C39" i="1" s="1"/>
  <c r="J19" i="7" s="1"/>
  <c r="BR46" i="6"/>
  <c r="K47" i="6"/>
  <c r="K46" i="6"/>
  <c r="BQ47" i="6"/>
  <c r="BR47" i="6"/>
  <c r="BQ46" i="6"/>
  <c r="BQ45" i="6"/>
  <c r="BR45" i="6"/>
  <c r="BS46" i="6"/>
  <c r="AF47" i="6"/>
  <c r="BP47" i="6"/>
  <c r="AF45" i="6"/>
  <c r="AF46" i="6"/>
  <c r="BS47" i="6"/>
  <c r="BP46" i="6"/>
  <c r="X14" i="3"/>
  <c r="V5" i="3"/>
  <c r="V9" i="3"/>
  <c r="K45" i="6"/>
  <c r="BS45" i="6"/>
  <c r="BQ50" i="5"/>
  <c r="I14" i="3"/>
  <c r="BS50" i="5"/>
  <c r="P14" i="3"/>
  <c r="AZ40" i="5" a="1"/>
  <c r="BF40" i="5" a="1"/>
  <c r="BE5" i="5" a="1"/>
  <c r="AZ10" i="5" a="1"/>
  <c r="BA25" i="5" a="1"/>
  <c r="BE35" i="5" a="1"/>
  <c r="AZ20" i="5" a="1"/>
  <c r="BA20" i="5" a="1"/>
  <c r="BD30" i="5" a="1"/>
  <c r="BB5" i="5" a="1"/>
  <c r="BB35" i="5" a="1"/>
  <c r="BA10" i="5" a="1"/>
  <c r="BC10" i="5" a="1"/>
  <c r="BD10" i="5" a="1"/>
  <c r="BF30" i="5" a="1"/>
  <c r="BF20" i="5" a="1"/>
  <c r="BD5" i="5" a="1"/>
  <c r="BC40" i="5" a="1"/>
  <c r="BA40" i="5" a="1"/>
  <c r="BA30" i="5" a="1"/>
  <c r="BB25" i="5" a="1"/>
  <c r="BD35" i="5" a="1"/>
  <c r="BB20" i="5" a="1"/>
  <c r="BC35" i="5" a="1"/>
  <c r="AZ15" i="5" a="1"/>
  <c r="BA15" i="5" a="1"/>
  <c r="BC5" i="5" a="1"/>
  <c r="BA5" i="5" a="1"/>
  <c r="BD25" i="5" a="1"/>
  <c r="BD40" i="5" a="1"/>
  <c r="BF10" i="5" a="1"/>
  <c r="BC30" i="5" a="1"/>
  <c r="BE40" i="5" a="1"/>
  <c r="BF5" i="5" a="1"/>
  <c r="BA35" i="5" a="1"/>
  <c r="AZ5" i="5" a="1"/>
  <c r="BF35" i="5" a="1"/>
  <c r="BF25" i="5" a="1"/>
  <c r="BE10" i="5" a="1"/>
  <c r="BB40" i="5" a="1"/>
  <c r="BE30" i="5" a="1"/>
  <c r="BF15" i="5" a="1"/>
  <c r="BC25" i="5" a="1"/>
  <c r="BE20" i="5" a="1"/>
  <c r="BB10" i="5" a="1"/>
  <c r="BD20" i="5" a="1"/>
  <c r="BD15" i="5" a="1"/>
  <c r="BC20" i="5" a="1"/>
  <c r="AZ25" i="5" a="1"/>
  <c r="BC15" i="5" a="1"/>
  <c r="AZ30" i="5" a="1"/>
  <c r="BB30" i="5" a="1"/>
  <c r="BB15" i="5" a="1"/>
  <c r="BE15" i="5" a="1"/>
  <c r="BE25" i="5" a="1"/>
  <c r="AZ35" i="5" a="1"/>
  <c r="BE5" i="6" a="1"/>
  <c r="BB25" i="6" a="1"/>
  <c r="AZ15" i="6" a="1"/>
  <c r="BE15" i="6" a="1"/>
  <c r="BF15" i="6" a="1"/>
  <c r="BC15" i="6" a="1"/>
  <c r="BE20" i="6" a="1"/>
  <c r="BA10" i="6" a="1"/>
  <c r="BE40" i="6" a="1"/>
  <c r="AZ5" i="6" a="1"/>
  <c r="BD5" i="6" a="1"/>
  <c r="BA35" i="6" a="1"/>
  <c r="BB40" i="6" a="1"/>
  <c r="BE35" i="6" a="1"/>
  <c r="BA25" i="6" a="1"/>
  <c r="BB35" i="6" a="1"/>
  <c r="BD10" i="6" a="1"/>
  <c r="BC10" i="6" a="1"/>
  <c r="BD25" i="6" a="1"/>
  <c r="AZ25" i="6" a="1"/>
  <c r="AZ35" i="6" a="1"/>
  <c r="BB5" i="6" a="1"/>
  <c r="BA5" i="6" a="1"/>
  <c r="BD20" i="6" a="1"/>
  <c r="BC35" i="6" a="1"/>
  <c r="BC25" i="6" a="1"/>
  <c r="BD15" i="6" a="1"/>
  <c r="BA20" i="6" a="1"/>
  <c r="BF20" i="6" a="1"/>
  <c r="BB30" i="6" a="1"/>
  <c r="BD40" i="6" a="1"/>
  <c r="BF25" i="6" a="1"/>
  <c r="BD30" i="6" a="1"/>
  <c r="BF40" i="6" a="1"/>
  <c r="BA40" i="6" a="1"/>
  <c r="BB15" i="6" a="1"/>
  <c r="BF10" i="6" a="1"/>
  <c r="BB10" i="6" a="1"/>
  <c r="BC5" i="6" a="1"/>
  <c r="BE10" i="6" a="1"/>
  <c r="BC20" i="6" a="1"/>
  <c r="BB20" i="6" a="1"/>
  <c r="BE25" i="6" a="1"/>
  <c r="AZ30" i="6" a="1"/>
  <c r="BF30" i="6" a="1"/>
  <c r="BF35" i="6" a="1"/>
  <c r="AZ40" i="6" a="1"/>
  <c r="BA15" i="6" a="1"/>
  <c r="BC30" i="6" a="1"/>
  <c r="AZ20" i="6" a="1"/>
  <c r="BA30" i="6" a="1"/>
  <c r="BD35" i="6" a="1"/>
  <c r="BE30" i="6" a="1"/>
  <c r="AZ10" i="6" a="1"/>
  <c r="BF5" i="6" a="1"/>
  <c r="BC40" i="6" a="1"/>
  <c r="BM52" i="5" l="1"/>
  <c r="BH47" i="6"/>
  <c r="BM47" i="6"/>
  <c r="BH46" i="6"/>
  <c r="BI45" i="6"/>
  <c r="BM50" i="5"/>
  <c r="BH50" i="5"/>
  <c r="BI54" i="5"/>
  <c r="BI50" i="5"/>
  <c r="BH54" i="5"/>
  <c r="BM45" i="6"/>
  <c r="BI52" i="5"/>
  <c r="BM46" i="6"/>
  <c r="BH52" i="5"/>
  <c r="BM54" i="5"/>
  <c r="BI46" i="6"/>
  <c r="BH48" i="6"/>
  <c r="BI47" i="6"/>
  <c r="AZ25" i="6"/>
  <c r="J8" i="7" s="1"/>
  <c r="BE20" i="6"/>
  <c r="O7" i="7" s="1"/>
  <c r="BF10" i="6"/>
  <c r="P5" i="7" s="1"/>
  <c r="AZ10" i="6"/>
  <c r="J5" i="7" s="1"/>
  <c r="AZ30" i="6"/>
  <c r="J9" i="7" s="1"/>
  <c r="BC25" i="6"/>
  <c r="M8" i="7" s="1"/>
  <c r="BF40" i="6"/>
  <c r="P11" i="7" s="1"/>
  <c r="BD20" i="6"/>
  <c r="N7" i="7" s="1"/>
  <c r="BD25" i="6"/>
  <c r="N8" i="7" s="1"/>
  <c r="BC15" i="6"/>
  <c r="BC30" i="6"/>
  <c r="M9" i="7" s="1"/>
  <c r="BF35" i="6"/>
  <c r="P10" i="7" s="1"/>
  <c r="BE25" i="6"/>
  <c r="O8" i="7" s="1"/>
  <c r="BD15" i="6"/>
  <c r="N6" i="7" s="1"/>
  <c r="BD30" i="6"/>
  <c r="N9" i="7" s="1"/>
  <c r="AZ5" i="6"/>
  <c r="BC10" i="6"/>
  <c r="M5" i="7" s="1"/>
  <c r="BF15" i="6"/>
  <c r="P6" i="7" s="1"/>
  <c r="BB40" i="6"/>
  <c r="L11" i="7" s="1"/>
  <c r="BE30" i="6"/>
  <c r="O9" i="7" s="1"/>
  <c r="BB20" i="6"/>
  <c r="L7" i="7" s="1"/>
  <c r="BA35" i="6"/>
  <c r="K10" i="7" s="1"/>
  <c r="BF25" i="6"/>
  <c r="P8" i="7" s="1"/>
  <c r="BA5" i="6"/>
  <c r="BD10" i="6"/>
  <c r="N5" i="7" s="1"/>
  <c r="BE15" i="6"/>
  <c r="O6" i="7" s="1"/>
  <c r="BC40" i="6"/>
  <c r="M11" i="7" s="1"/>
  <c r="BF30" i="6"/>
  <c r="P9" i="7" s="1"/>
  <c r="BC20" i="6"/>
  <c r="M7" i="7" s="1"/>
  <c r="BC35" i="6"/>
  <c r="M10" i="7" s="1"/>
  <c r="BD40" i="6"/>
  <c r="N11" i="7" s="1"/>
  <c r="BE40" i="6"/>
  <c r="O11" i="7" s="1"/>
  <c r="BB35" i="6"/>
  <c r="L10" i="7" s="1"/>
  <c r="AZ15" i="6"/>
  <c r="J6" i="7" s="1"/>
  <c r="BA15" i="6"/>
  <c r="K6" i="7" s="1"/>
  <c r="BD35" i="6"/>
  <c r="N10" i="7" s="1"/>
  <c r="BE10" i="6"/>
  <c r="O5" i="7" s="1"/>
  <c r="BB15" i="6"/>
  <c r="L6" i="7" s="1"/>
  <c r="BB30" i="6"/>
  <c r="L9" i="7" s="1"/>
  <c r="BB5" i="6"/>
  <c r="BA25" i="6"/>
  <c r="K8" i="7" s="1"/>
  <c r="BB25" i="6"/>
  <c r="L8" i="7" s="1"/>
  <c r="BF5" i="6"/>
  <c r="P4" i="7" s="1"/>
  <c r="BA30" i="6"/>
  <c r="K9" i="7" s="1"/>
  <c r="BC5" i="6"/>
  <c r="M4" i="7" s="1"/>
  <c r="BD5" i="6"/>
  <c r="N4" i="7" s="1"/>
  <c r="BF20" i="6"/>
  <c r="P7" i="7" s="1"/>
  <c r="BA10" i="6"/>
  <c r="K5" i="7" s="1"/>
  <c r="BE35" i="6"/>
  <c r="O10" i="7" s="1"/>
  <c r="BE5" i="6"/>
  <c r="BE45" i="6" s="1"/>
  <c r="H33" i="1" s="1"/>
  <c r="O13" i="7" s="1"/>
  <c r="AZ40" i="6"/>
  <c r="J11" i="7" s="1"/>
  <c r="AZ20" i="6"/>
  <c r="J7" i="7" s="1"/>
  <c r="BB10" i="6"/>
  <c r="L5" i="7" s="1"/>
  <c r="BA40" i="6"/>
  <c r="K11" i="7" s="1"/>
  <c r="BA20" i="6"/>
  <c r="K7" i="7" s="1"/>
  <c r="AZ35" i="6"/>
  <c r="J10" i="7" s="1"/>
  <c r="BM48" i="6"/>
  <c r="BI48" i="6"/>
  <c r="BH45" i="6"/>
  <c r="AZ25" i="5"/>
  <c r="C8" i="7" s="1"/>
  <c r="BA35" i="5"/>
  <c r="D10" i="7" s="1"/>
  <c r="AZ35" i="5"/>
  <c r="C10" i="7" s="1"/>
  <c r="BC5" i="5"/>
  <c r="BD35" i="5"/>
  <c r="G10" i="7" s="1"/>
  <c r="BB40" i="5"/>
  <c r="E11" i="7" s="1"/>
  <c r="AZ20" i="5"/>
  <c r="C7" i="7" s="1"/>
  <c r="BE10" i="5"/>
  <c r="H5" i="7" s="1"/>
  <c r="BC20" i="5"/>
  <c r="F7" i="7" s="1"/>
  <c r="BF5" i="5"/>
  <c r="BF15" i="5"/>
  <c r="I6" i="7" s="1"/>
  <c r="BA10" i="5"/>
  <c r="D5" i="7" s="1"/>
  <c r="BB25" i="5"/>
  <c r="E8" i="7" s="1"/>
  <c r="BF30" i="5"/>
  <c r="I9" i="7" s="1"/>
  <c r="BE35" i="5"/>
  <c r="H10" i="7" s="1"/>
  <c r="BB30" i="5"/>
  <c r="E9" i="7" s="1"/>
  <c r="BD15" i="5"/>
  <c r="G6" i="7" s="1"/>
  <c r="BE40" i="5"/>
  <c r="H11" i="7" s="1"/>
  <c r="BD10" i="5"/>
  <c r="G5" i="7" s="1"/>
  <c r="BE15" i="5"/>
  <c r="H6" i="7" s="1"/>
  <c r="BA30" i="5"/>
  <c r="D9" i="7" s="1"/>
  <c r="BB35" i="5"/>
  <c r="E10" i="7" s="1"/>
  <c r="BA25" i="5"/>
  <c r="D8" i="7" s="1"/>
  <c r="BF25" i="5"/>
  <c r="I8" i="7" s="1"/>
  <c r="BD20" i="5"/>
  <c r="G7" i="7" s="1"/>
  <c r="BC30" i="5"/>
  <c r="F9" i="7" s="1"/>
  <c r="BA5" i="5"/>
  <c r="D4" i="7" s="1"/>
  <c r="BA15" i="5"/>
  <c r="D6" i="7" s="1"/>
  <c r="BA40" i="5"/>
  <c r="D11" i="7" s="1"/>
  <c r="BB15" i="5"/>
  <c r="E6" i="7" s="1"/>
  <c r="AZ10" i="5"/>
  <c r="C5" i="7" s="1"/>
  <c r="AZ30" i="5"/>
  <c r="C9" i="7" s="1"/>
  <c r="BB10" i="5"/>
  <c r="E5" i="7" s="1"/>
  <c r="BF10" i="5"/>
  <c r="I5" i="7" s="1"/>
  <c r="BE25" i="5"/>
  <c r="H8" i="7" s="1"/>
  <c r="AZ15" i="5"/>
  <c r="C6" i="7" s="1"/>
  <c r="BC40" i="5"/>
  <c r="F11" i="7" s="1"/>
  <c r="BB5" i="5"/>
  <c r="E4" i="7" s="1"/>
  <c r="BE5" i="5"/>
  <c r="H4" i="7" s="1"/>
  <c r="BF35" i="5"/>
  <c r="I10" i="7" s="1"/>
  <c r="BE20" i="5"/>
  <c r="H7" i="7" s="1"/>
  <c r="BD40" i="5"/>
  <c r="G11" i="7" s="1"/>
  <c r="BC10" i="5"/>
  <c r="F5" i="7" s="1"/>
  <c r="BC35" i="5"/>
  <c r="F10" i="7" s="1"/>
  <c r="BD5" i="5"/>
  <c r="G4" i="7" s="1"/>
  <c r="BD30" i="5"/>
  <c r="G9" i="7" s="1"/>
  <c r="BF40" i="5"/>
  <c r="I11" i="7" s="1"/>
  <c r="AZ5" i="5"/>
  <c r="C4" i="7" s="1"/>
  <c r="BC25" i="5"/>
  <c r="F8" i="7" s="1"/>
  <c r="BD25" i="5"/>
  <c r="G8" i="7" s="1"/>
  <c r="BE30" i="5"/>
  <c r="H9" i="7" s="1"/>
  <c r="BB20" i="5"/>
  <c r="E7" i="7" s="1"/>
  <c r="BF20" i="5"/>
  <c r="I7" i="7" s="1"/>
  <c r="BA20" i="5"/>
  <c r="D7" i="7" s="1"/>
  <c r="AZ40" i="5"/>
  <c r="C11" i="7" s="1"/>
  <c r="BC15" i="5"/>
  <c r="F6" i="7" s="1"/>
  <c r="BM51" i="5"/>
  <c r="V18" i="3"/>
  <c r="C13" i="1" s="1"/>
  <c r="I4" i="7"/>
  <c r="F4" i="7"/>
  <c r="V14" i="3"/>
  <c r="C9" i="1" s="1"/>
  <c r="V16" i="3"/>
  <c r="C11" i="1" s="1"/>
  <c r="L4" i="7"/>
  <c r="BF50" i="5"/>
  <c r="I20" i="1" s="1"/>
  <c r="I13" i="7" s="1"/>
  <c r="BC50" i="5" l="1"/>
  <c r="F20" i="1" s="1"/>
  <c r="F13" i="7" s="1"/>
  <c r="BC46" i="6"/>
  <c r="F34" i="1" s="1"/>
  <c r="BB46" i="6"/>
  <c r="E34" i="1" s="1"/>
  <c r="BC45" i="6"/>
  <c r="F33" i="1" s="1"/>
  <c r="M13" i="7" s="1"/>
  <c r="BF47" i="6"/>
  <c r="I35" i="1" s="1"/>
  <c r="P15" i="7" s="1"/>
  <c r="BE50" i="5"/>
  <c r="H20" i="1" s="1"/>
  <c r="H13" i="7" s="1"/>
  <c r="BE52" i="5"/>
  <c r="H22" i="1" s="1"/>
  <c r="H15" i="7" s="1"/>
  <c r="BD51" i="5"/>
  <c r="G21" i="1" s="1"/>
  <c r="G14" i="7" s="1"/>
  <c r="BA46" i="6"/>
  <c r="D34" i="1" s="1"/>
  <c r="BF45" i="6"/>
  <c r="I33" i="1" s="1"/>
  <c r="P13" i="7" s="1"/>
  <c r="BC47" i="6"/>
  <c r="F35" i="1" s="1"/>
  <c r="M15" i="7" s="1"/>
  <c r="AZ54" i="5"/>
  <c r="C24" i="1" s="1"/>
  <c r="C17" i="7" s="1"/>
  <c r="AZ52" i="5"/>
  <c r="C22" i="1" s="1"/>
  <c r="C15" i="7" s="1"/>
  <c r="AZ47" i="6"/>
  <c r="C35" i="1" s="1"/>
  <c r="J15" i="7" s="1"/>
  <c r="AZ50" i="5"/>
  <c r="C20" i="1" s="1"/>
  <c r="C13" i="7" s="1"/>
  <c r="BB48" i="6"/>
  <c r="E37" i="1" s="1"/>
  <c r="L17" i="7" s="1"/>
  <c r="BA48" i="6"/>
  <c r="D37" i="1" s="1"/>
  <c r="K17" i="7" s="1"/>
  <c r="BA47" i="6"/>
  <c r="D35" i="1" s="1"/>
  <c r="K15" i="7" s="1"/>
  <c r="BA50" i="5"/>
  <c r="D20" i="1" s="1"/>
  <c r="D13" i="7" s="1"/>
  <c r="BC54" i="5"/>
  <c r="F24" i="1" s="1"/>
  <c r="F17" i="7" s="1"/>
  <c r="M6" i="7"/>
  <c r="BE48" i="6"/>
  <c r="H37" i="1" s="1"/>
  <c r="O17" i="7" s="1"/>
  <c r="AZ46" i="6"/>
  <c r="C34" i="1" s="1"/>
  <c r="BB47" i="6"/>
  <c r="E35" i="1" s="1"/>
  <c r="L15" i="7" s="1"/>
  <c r="BE47" i="6"/>
  <c r="H35" i="1" s="1"/>
  <c r="O15" i="7" s="1"/>
  <c r="AZ48" i="6"/>
  <c r="C37" i="1" s="1"/>
  <c r="J17" i="7" s="1"/>
  <c r="BE46" i="6"/>
  <c r="H34" i="1" s="1"/>
  <c r="O14" i="7" s="1"/>
  <c r="BF48" i="6"/>
  <c r="I37" i="1" s="1"/>
  <c r="P17" i="7" s="1"/>
  <c r="BD47" i="6"/>
  <c r="G35" i="1" s="1"/>
  <c r="N15" i="7" s="1"/>
  <c r="BD46" i="6"/>
  <c r="G34" i="1" s="1"/>
  <c r="N14" i="7" s="1"/>
  <c r="BB45" i="6"/>
  <c r="E33" i="1" s="1"/>
  <c r="L13" i="7" s="1"/>
  <c r="O4" i="7"/>
  <c r="BD45" i="6"/>
  <c r="G33" i="1" s="1"/>
  <c r="N13" i="7" s="1"/>
  <c r="BD48" i="6"/>
  <c r="G37" i="1" s="1"/>
  <c r="N17" i="7" s="1"/>
  <c r="BC48" i="6"/>
  <c r="F37" i="1" s="1"/>
  <c r="M17" i="7" s="1"/>
  <c r="BF46" i="6"/>
  <c r="I34" i="1" s="1"/>
  <c r="P14" i="7" s="1"/>
  <c r="BD50" i="5"/>
  <c r="G20" i="1" s="1"/>
  <c r="G13" i="7" s="1"/>
  <c r="BD54" i="5"/>
  <c r="G24" i="1" s="1"/>
  <c r="G17" i="7" s="1"/>
  <c r="BF51" i="5"/>
  <c r="I21" i="1" s="1"/>
  <c r="I14" i="7" s="1"/>
  <c r="BE51" i="5"/>
  <c r="H21" i="1" s="1"/>
  <c r="H14" i="7" s="1"/>
  <c r="BD52" i="5"/>
  <c r="G22" i="1" s="1"/>
  <c r="G15" i="7" s="1"/>
  <c r="BA51" i="5"/>
  <c r="D21" i="1" s="1"/>
  <c r="D14" i="7" s="1"/>
  <c r="BF54" i="5"/>
  <c r="I24" i="1" s="1"/>
  <c r="I17" i="7" s="1"/>
  <c r="BB50" i="5"/>
  <c r="E20" i="1" s="1"/>
  <c r="E13" i="7" s="1"/>
  <c r="BB52" i="5"/>
  <c r="E22" i="1" s="1"/>
  <c r="E15" i="7" s="1"/>
  <c r="BA52" i="5"/>
  <c r="D22" i="1" s="1"/>
  <c r="D15" i="7" s="1"/>
  <c r="BC52" i="5"/>
  <c r="F22" i="1" s="1"/>
  <c r="F15" i="7" s="1"/>
  <c r="BE54" i="5"/>
  <c r="H24" i="1" s="1"/>
  <c r="H17" i="7" s="1"/>
  <c r="BF52" i="5"/>
  <c r="I22" i="1" s="1"/>
  <c r="I15" i="7" s="1"/>
  <c r="BB54" i="5"/>
  <c r="E24" i="1" s="1"/>
  <c r="E17" i="7" s="1"/>
  <c r="BB51" i="5"/>
  <c r="E21" i="1" s="1"/>
  <c r="E14" i="7" s="1"/>
  <c r="AZ51" i="5"/>
  <c r="C21" i="1" s="1"/>
  <c r="C14" i="7" s="1"/>
  <c r="BC51" i="5"/>
  <c r="F21" i="1" s="1"/>
  <c r="F14" i="7" s="1"/>
  <c r="BA54" i="5"/>
  <c r="D24" i="1" s="1"/>
  <c r="D17" i="7" s="1"/>
  <c r="C12" i="1"/>
  <c r="J14" i="7"/>
  <c r="K14" i="7"/>
  <c r="M14" i="7"/>
  <c r="L14" i="7"/>
  <c r="K4" i="7"/>
  <c r="BA45" i="6"/>
  <c r="D33" i="1" s="1"/>
  <c r="K13" i="7" s="1"/>
  <c r="J4" i="7"/>
  <c r="AZ45" i="6"/>
  <c r="C33" i="1" s="1"/>
  <c r="J13" i="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<sst xmlns="http://schemas.openxmlformats.org/spreadsheetml/2006/main" count="988" uniqueCount="442">
  <si>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</si>
  <si>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</si>
  <si>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</si>
  <si>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</si>
  <si>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</si>
  <si>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</si>
  <si>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</si>
  <si>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</si>
  <si>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</si>
  <si>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</si>
  <si>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</si>
  <si>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</si>
  <si>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</si>
  <si>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</si>
  <si>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</si>
  <si>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</si>
  <si>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</si>
  <si>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</si>
  <si>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</si>
  <si>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</si>
  <si>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</si>
  <si>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</si>
  <si>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</si>
  <si>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</si>
  <si>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</si>
  <si>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</si>
  <si>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</si>
  <si>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← Select this …</t>
  </si>
  <si>
    <t>Columns</t>
  </si>
  <si>
    <t>C1 lossy AI</t>
  </si>
  <si>
    <t>C2 lossy RA</t>
  </si>
  <si>
    <t>Sequence:</t>
  </si>
  <si>
    <t>mitch_voxelised</t>
  </si>
  <si>
    <t>← … then this</t>
  </si>
  <si>
    <t>dec.cb-hpsnr</t>
  </si>
  <si>
    <t>Chroma Cb EtE Hausdorff PSNR [dB]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</si>
  <si>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</si>
  <si>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</si>
  <si>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</si>
  <si>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</si>
  <si>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</si>
  <si>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</si>
  <si>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</si>
  <si>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</si>
  <si>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</si>
  <si>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</si>
  <si>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</si>
  <si>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</si>
  <si>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</si>
  <si>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</si>
  <si>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</si>
  <si>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</si>
  <si>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</si>
  <si>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</si>
  <si>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</si>
  <si>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</si>
  <si>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</si>
  <si>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</si>
  <si>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</si>
  <si>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</si>
  <si>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</si>
  <si>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</si>
  <si>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</si>
  <si>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</si>
  <si>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</si>
  <si>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</si>
  <si>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</si>
  <si>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</si>
  <si>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</si>
  <si>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</si>
  <si>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</si>
  <si>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</si>
  <si>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</si>
  <si>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</si>
  <si>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</si>
  <si>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</si>
  <si>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</si>
  <si>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</si>
  <si>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</si>
  <si>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</si>
  <si>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</si>
  <si>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</si>
  <si>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</si>
  <si>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</si>
  <si>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</si>
  <si>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</si>
  <si>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</si>
  <si>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</si>
  <si>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</si>
  <si>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</si>
  <si>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</si>
  <si>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</si>
  <si>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</si>
  <si>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</si>
  <si>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</si>
  <si>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</si>
  <si>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</si>
  <si>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</si>
  <si>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</si>
  <si>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</si>
  <si>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</si>
  <si>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</si>
  <si>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</si>
  <si>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</si>
  <si>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</si>
  <si>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</si>
  <si>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</si>
  <si>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</si>
  <si>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</si>
  <si>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</si>
  <si>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</si>
  <si>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</si>
  <si>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</si>
  <si>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</si>
  <si>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</si>
  <si>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</si>
  <si>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</si>
  <si>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</si>
  <si>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</si>
  <si>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</si>
  <si>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</si>
  <si>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</si>
  <si>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</si>
  <si>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</si>
  <si>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</si>
  <si>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</si>
  <si>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</si>
  <si>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</si>
  <si>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</si>
  <si>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</si>
  <si>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</si>
  <si>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</si>
  <si>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</si>
  <si>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</si>
  <si>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</si>
  <si>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</si>
  <si>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</si>
  <si>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</si>
  <si>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</si>
  <si>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</si>
  <si>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</si>
  <si>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</si>
  <si>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</si>
  <si>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</si>
  <si>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</si>
  <si>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</si>
  <si>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</si>
  <si>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</si>
  <si>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</si>
  <si>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</si>
  <si>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</si>
  <si>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</si>
  <si>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</si>
  <si>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</si>
  <si>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</si>
  <si>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</si>
  <si>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</si>
  <si>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</si>
  <si>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</si>
  <si>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</si>
  <si>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</si>
  <si>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</si>
  <si>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</si>
  <si>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</si>
  <si>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</si>
  <si>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</si>
  <si>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</si>
  <si>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</si>
  <si>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</si>
  <si>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</si>
  <si>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</si>
  <si>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</si>
  <si>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</si>
  <si>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</si>
  <si>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</si>
  <si>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</si>
  <si>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</si>
  <si>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</si>
  <si>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</si>
  <si>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</si>
  <si>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</si>
  <si>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</si>
  <si>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</si>
  <si>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</si>
  <si>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</si>
  <si>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</si>
  <si>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</si>
  <si>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</si>
  <si>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</si>
  <si>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</si>
  <si>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</si>
  <si>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</si>
  <si>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</si>
  <si>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</si>
  <si>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</si>
  <si>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</si>
  <si>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</si>
  <si>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</si>
  <si>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</si>
  <si>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</si>
  <si>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</si>
  <si>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</si>
  <si>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</si>
  <si>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</si>
  <si>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</si>
  <si>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</si>
  <si>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</si>
  <si>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</si>
  <si>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</si>
  <si>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</si>
  <si>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</si>
  <si>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</si>
  <si>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</si>
  <si>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</si>
  <si>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</si>
  <si>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</si>
  <si>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</si>
  <si>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</si>
  <si>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</si>
  <si>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</si>
  <si>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</si>
  <si>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</si>
  <si>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</si>
  <si>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</si>
  <si>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</si>
  <si>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</si>
  <si>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</si>
  <si>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</si>
  <si>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AI.A.dec.numfaces</t>
  </si>
  <si>
    <t>col.C1 lossy AI.A.enc.ext.bits</t>
  </si>
  <si>
    <t>col.C1 lossy AI.A.enc.disp.bytes</t>
  </si>
  <si>
    <t>col.C1 lossy AI.A.enc.texture.bytes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</si>
  <si>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</si>
  <si>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</si>
  <si>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</si>
  <si>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</si>
  <si>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</si>
  <si>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</si>
  <si>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</si>
  <si>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</si>
  <si>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</si>
  <si>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</si>
  <si>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</si>
  <si>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AI.B.dec.numfaces</t>
  </si>
  <si>
    <t>col.C1 lossy AI.B.enc.ext.bits</t>
  </si>
  <si>
    <t>col.C1 lossy AI.B.enc.disp.bytes</t>
  </si>
  <si>
    <t>col.C1 lossy AI.B.enc.texture.bytes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</si>
  <si>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</si>
  <si>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</si>
  <si>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</si>
  <si>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</si>
  <si>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</si>
  <si>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</si>
  <si>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</si>
  <si>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</si>
  <si>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</si>
  <si>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</si>
  <si>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</si>
  <si>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</si>
  <si>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</si>
  <si>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</si>
  <si>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</si>
  <si>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</si>
  <si>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</si>
  <si>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</si>
  <si>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</si>
  <si>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range.C1 lossy AI.longdress_voxelised</t>
  </si>
  <si>
    <t>range.C1 lossy AI.soldier_voxelised</t>
  </si>
  <si>
    <t>range.C1 lossy AI.basketball_player_voxelised</t>
  </si>
  <si>
    <t>range.C1 lossy AI.dancer_voxelised</t>
  </si>
  <si>
    <t>range.C1 lossy AI.football_voxelised</t>
  </si>
  <si>
    <t>range.C1 lossy AI.levi_voxelised</t>
  </si>
  <si>
    <t>range.C1 lossy AI.mitch_voxelised</t>
  </si>
  <si>
    <t>range.C1 lossy AI.thomas_voxelised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</si>
  <si>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</si>
  <si>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</si>
  <si>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</si>
  <si>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</si>
  <si>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</si>
  <si>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</si>
  <si>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</si>
  <si>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</si>
  <si>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</si>
  <si>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</si>
  <si>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</si>
  <si>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RA.A.dec.numfaces</t>
  </si>
  <si>
    <t>col.C2 lossy RA.A.enc.ext.bits</t>
  </si>
  <si>
    <t>col.C2 lossy RA.A.enc.disp.bytes</t>
  </si>
  <si>
    <t>col.C2 lossy RA.A.enc.texture.bytes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</si>
  <si>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</si>
  <si>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</si>
  <si>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</si>
  <si>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</si>
  <si>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</si>
  <si>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</si>
  <si>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</si>
  <si>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</si>
  <si>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</si>
  <si>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</si>
  <si>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</si>
  <si>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RA.B.dec.numfaces</t>
  </si>
  <si>
    <t>col.C2 lossy RA.B.enc.ext.bits</t>
  </si>
  <si>
    <t>col.C2 lossy RA.B.enc.disp.bytes</t>
  </si>
  <si>
    <t>col.C2 lossy RA.B.enc.texture.bytes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</si>
  <si>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</si>
  <si>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</si>
  <si>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</si>
  <si>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</si>
  <si>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</si>
  <si>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</si>
  <si>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</si>
  <si>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</si>
  <si>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</si>
  <si>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</si>
  <si>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</si>
  <si>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</si>
  <si>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</si>
  <si>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</si>
  <si>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</si>
  <si>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</si>
  <si>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</si>
  <si>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</si>
  <si>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</si>
  <si>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range.C2 lossy RA.longdress_voxelised</t>
  </si>
  <si>
    <t>range.C2 lossy RA.soldier_voxelised</t>
  </si>
  <si>
    <t>range.C2 lossy RA.basketball_player_voxelised</t>
  </si>
  <si>
    <t>range.C2 lossy RA.dancer_voxelised</t>
  </si>
  <si>
    <t>range.C2 lossy RA.football_voxelised</t>
  </si>
  <si>
    <t>range.C2 lossy RA.levi_voxelised</t>
  </si>
  <si>
    <t>range.C2 lossy RA.mitch_voxelised</t>
  </si>
  <si>
    <t>range.C2 lossy RA.thomas_voxelised</t>
  </si>
  <si>
    <t>cols.C2 lossy RA</t>
  </si>
  <si>
    <t>C1_ai — lossy geometry, lossy attributes [all intra]</t>
  </si>
  <si>
    <t>Variant</t>
  </si>
  <si>
    <t>Target rate [Mbps]</t>
  </si>
  <si>
    <t>Pointcloud-based PSNR [dB]</t>
  </si>
  <si>
    <t>Image-based PSNR [dB]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</si>
  <si>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</si>
  <si>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</si>
  <si>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</si>
  <si>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</si>
  <si>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</si>
  <si>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</si>
  <si>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</si>
  <si>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</si>
  <si>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</si>
  <si>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</si>
  <si>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</si>
  <si>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</si>
  <si>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</si>
  <si>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</si>
  <si>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</si>
  <si>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</si>
  <si>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</si>
  <si>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</si>
  <si>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</si>
  <si>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</si>
  <si>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</si>
  <si>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</si>
  <si>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</si>
  <si>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</si>
  <si>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</si>
  <si>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</si>
  <si>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</si>
  <si>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</si>
  <si>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</si>
  <si>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</si>
  <si>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</si>
  <si>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Total Geo Bitstream [bits]</t>
  </si>
  <si>
    <t>col.C2 lossy RA.A.enc.meta.bits</t>
  </si>
  <si>
    <t>col.C2 lossy RA.B.enc.meta.bits</t>
  </si>
  <si>
    <t>enc.meta.bits</t>
  </si>
  <si>
    <t>'C1 lossy AI'!$A$30:$BD$34</t>
  </si>
  <si>
    <t>col.C2 lossy AI.A.enc.meta.bits</t>
  </si>
  <si>
    <t>'C2 lossy RA'!$A$5:$BD$9</t>
  </si>
  <si>
    <t>'C2 lossy RA'!$A$10:$BD$14</t>
  </si>
  <si>
    <t>'C2 lossy RA'!$A$15:$BD$19</t>
  </si>
  <si>
    <t>'C2 lossy RA'!$A$20:$BD$24</t>
  </si>
  <si>
    <t>'C2 lossy RA'!$A$25:$BD$29</t>
  </si>
  <si>
    <t>'C2 lossy RA'!$A$30:$BD$34</t>
  </si>
  <si>
    <t>'C2 lossy RA'!$A$35:$BD$39</t>
  </si>
  <si>
    <t>'C2 lossy RA'!$A$40:$BD$44</t>
  </si>
  <si>
    <t>'C1 lossy AI'!$A$5:$BD$9</t>
  </si>
  <si>
    <t>'C1 lossy AI'!$A$10:$BD$14</t>
  </si>
  <si>
    <t>'C1 lossy AI'!$A$15:$BD$19</t>
  </si>
  <si>
    <t>'C1 lossy AI'!$A$20:$BD$24</t>
  </si>
  <si>
    <t>'C1 lossy AI'!$A$25:$BD$29</t>
  </si>
  <si>
    <t>'C1 lossy AI'!$A$35:$BD$39</t>
  </si>
  <si>
    <t>'C1 lossy AI'!$A$40:$BD$44</t>
  </si>
  <si>
    <t>BaseMesh Static Bitstream [bytes]</t>
  </si>
  <si>
    <t>BaseMesh Motion Bitstream [bytes]</t>
  </si>
  <si>
    <t>Meta Bitstream [bytes]</t>
  </si>
  <si>
    <t>Total Geometry Bistream [bits]</t>
  </si>
  <si>
    <t>enc.bmesh.intra.bytes</t>
  </si>
  <si>
    <t>enc.bmesh.inter.bytes</t>
  </si>
  <si>
    <t>eqn.geo.bits</t>
  </si>
  <si>
    <t>col.C2 lossy RA.A.eqn.geo.bits</t>
  </si>
  <si>
    <t>col.C2 lossy RA.A.enc.bmesh.intra.bytes</t>
  </si>
  <si>
    <t>col.C2 lossy RA.A.enc.bmesh.inter.bytes</t>
  </si>
  <si>
    <t>col.C2 lossy RA.B.eqn.geo.bits</t>
  </si>
  <si>
    <t>col.C2 lossy RA.B.enc.bmesh.intra.bytes</t>
  </si>
  <si>
    <t>col.C2 lossy RA.B.enc.bmesh.inter.bytes</t>
  </si>
  <si>
    <t>col.C1 lossy AI.B.eqn.geo.bits</t>
  </si>
  <si>
    <t>col.C1 lossy AI.B.enc.bmesh.intra.bytes</t>
  </si>
  <si>
    <t>col.C1 lossy AI.B.enc.bmesh.inter.bytes</t>
  </si>
  <si>
    <t>col.C1 lossy AI.B.enc.meta.bits</t>
  </si>
  <si>
    <t>col.C1 lossy AI.A.enc.bmesh.inter.bytes</t>
  </si>
  <si>
    <t>col.C1 lossy AI.A.enc.bmesh.intra.bytes</t>
  </si>
  <si>
    <t>col.C1 lossy AI.A.eqn.geo.bits</t>
  </si>
  <si>
    <t>Pointcloud-based BD‑TotGeoRate [%]</t>
  </si>
  <si>
    <t>Pointcloud-based BD‑AttrRate [%]</t>
  </si>
  <si>
    <t>Geom Image-based BD‑TotGemRate [%]</t>
  </si>
  <si>
    <t>Luma Image-based BD‑AttrRate [%]</t>
  </si>
  <si>
    <t>Geom Image-based BD‑TotGeoRate [%]</t>
  </si>
  <si>
    <t>Bmesh intra ratio [%]</t>
  </si>
  <si>
    <t>Bmesh inter ratio [%]</t>
  </si>
  <si>
    <t>Texture ratio
[%]</t>
  </si>
  <si>
    <t>Disp ratio
[%]</t>
  </si>
  <si>
    <t>Meta ratio
[%]</t>
  </si>
  <si>
    <t>Bmesh
Intra
[bits]</t>
  </si>
  <si>
    <t>Bmesh
Inter
[bits]</t>
  </si>
  <si>
    <t>Disp
[bits]</t>
  </si>
  <si>
    <t>Texture
[bits]</t>
  </si>
  <si>
    <t>MetaData
[bits]</t>
  </si>
  <si>
    <t>[bits]</t>
  </si>
  <si>
    <t>'C1 lossy AI'!$AE$1</t>
  </si>
  <si>
    <t>'C2 lossy RA'!$AE$1</t>
  </si>
  <si>
    <t>cat1-D</t>
  </si>
  <si>
    <t>rwtt422_voxelised</t>
  </si>
  <si>
    <t>Cat1-D average</t>
  </si>
  <si>
    <t>range.C1 lossy AI.rwtt422_voxelised</t>
  </si>
  <si>
    <t>'C1 lossy AI'!$A$45:$BD$49</t>
  </si>
  <si>
    <t>range.C0 lossless AI.rwtt422_voxelised</t>
  </si>
  <si>
    <t>C0 lossless AI'!$A$13:$T$13</t>
  </si>
  <si>
    <t>range.C2 lossy RA.rwtt422_voxelised</t>
  </si>
  <si>
    <t>'C2 lossy RA'!$A$45:$BD$49</t>
  </si>
  <si>
    <t>names!$B$93:$S$93</t>
  </si>
  <si>
    <t>names!$B$158:$S$158</t>
  </si>
  <si>
    <t>F032_v9.0</t>
    <phoneticPr fontId="2" type="noConversion"/>
  </si>
  <si>
    <t>F032_v9.0</t>
    <phoneticPr fontId="2" type="noConversion"/>
  </si>
  <si>
    <t>F032_v9.0</t>
    <phoneticPr fontId="2" type="noConversion"/>
  </si>
  <si>
    <t>F032_v9.0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</si>
</sst>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51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0" fontId="1" fillId="5" borderId="0" xfId="0" applyFont="1" applyFill="1" applyAlignment="1">
      <alignment horizontal="center" wrapText="1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0" fontId="0" fillId="10" borderId="18" xfId="0" applyFill="1" applyBorder="1"/>
    <xf numFmtId="1" fontId="0" fillId="10" borderId="18" xfId="0" applyNumberFormat="1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177" fontId="0" fillId="10" borderId="18" xfId="0" applyNumberFormat="1" applyFill="1" applyBorder="1" applyAlignment="1">
      <alignment horizontal="center"/>
    </xf>
    <xf numFmtId="2" fontId="0" fillId="10" borderId="18" xfId="0" applyNumberFormat="1" applyFill="1" applyBorder="1" applyAlignment="1">
      <alignment horizontal="center"/>
    </xf>
    <xf numFmtId="1" fontId="0" fillId="11" borderId="18" xfId="0" applyNumberFormat="1" applyFill="1" applyBorder="1" applyAlignment="1">
      <alignment horizontal="center"/>
    </xf>
    <xf numFmtId="178" fontId="0" fillId="11" borderId="18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/>
    <xf numFmtId="9" fontId="0" fillId="0" borderId="3" xfId="0" applyNumberFormat="1" applyBorder="1" applyAlignment="1">
      <alignment horizontal="center"/>
    </xf>
    <xf numFmtId="0" fontId="0" fillId="0" borderId="3" xfId="0" applyBorder="1"/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0" fillId="12" borderId="3" xfId="0" applyFill="1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0" fillId="0" borderId="6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0" fillId="0" borderId="10" xfId="0" applyBorder="1"/>
    <xf numFmtId="0" fontId="1" fillId="13" borderId="7" xfId="0" applyFont="1" applyFill="1" applyBorder="1" applyAlignment="1">
      <alignment horizontal="center" wrapText="1"/>
    </xf>
    <xf numFmtId="0" fontId="0" fillId="0" borderId="14" xfId="0" applyBorder="1"/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  <xf numFmtId="9" fontId="0" fillId="14" borderId="13" xfId="0" applyNumberFormat="1" applyFill="1" applyBorder="1" applyAlignment="1">
      <alignment horizontal="center"/>
    </xf>
    <xf numFmtId="0" fontId="0" fillId="0" borderId="8" xfId="0" applyBorder="1"/>
    <xf numFmtId="0" fontId="0" fillId="15" borderId="15" xfId="0" applyFill="1" applyBorder="1" applyAlignment="1">
      <alignment horizontal="left"/>
    </xf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</cellXfs>
  <cellStyles count="1">
    <cellStyle name="常规" xfId="0" builtinId="0"/>
  </cellStyles>
  <dxfs count="189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74.524426899999995</c:v>
                </c:pt>
                <c:pt idx="1">
                  <c:v>75.687530499999994</c:v>
                </c:pt>
                <c:pt idx="2">
                  <c:v>77.288102699999996</c:v>
                </c:pt>
                <c:pt idx="3">
                  <c:v>78.687753099999995</c:v>
                </c:pt>
                <c:pt idx="4">
                  <c:v>80.405805299999997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A4-4563-A6B1-00CE872CBA2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A4-4563-A6B1-00CE872C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57201488"/>
        <c:axId val="-1757197680"/>
      </c:scatterChart>
      <c:valAx>
        <c:axId val="-175720148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757197680"/>
        <c:crosses val="autoZero"/>
        <c:crossBetween val="midCat"/>
      </c:valAx>
      <c:valAx>
        <c:axId val="-1757197680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7572014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76.5139341</c:v>
                </c:pt>
                <c:pt idx="1">
                  <c:v>77.986673800000005</c:v>
                </c:pt>
                <c:pt idx="2">
                  <c:v>79.929790100000005</c:v>
                </c:pt>
                <c:pt idx="3">
                  <c:v>81.812540100000007</c:v>
                </c:pt>
                <c:pt idx="4">
                  <c:v>84.458735300000001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0-49CE-A418-6051E4ACB2D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0-49CE-A418-6051E4AC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57210192"/>
        <c:axId val="-1757196048"/>
      </c:scatterChart>
      <c:valAx>
        <c:axId val="-1757210192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757196048"/>
        <c:crosses val="autoZero"/>
        <c:crossBetween val="midCat"/>
      </c:valAx>
      <c:valAx>
        <c:axId val="-1757196048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7572101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54.122185100000003</c:v>
                </c:pt>
                <c:pt idx="1">
                  <c:v>54.831061499999997</c:v>
                </c:pt>
                <c:pt idx="2">
                  <c:v>55.7650285</c:v>
                </c:pt>
                <c:pt idx="3">
                  <c:v>56.752282999999998</c:v>
                </c:pt>
                <c:pt idx="4">
                  <c:v>57.884126000000002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202-47B9-B5D3-1F7AC2198085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202-47B9-B5D3-1F7AC219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57209648"/>
        <c:axId val="-1757218352"/>
      </c:scatterChart>
      <c:valAx>
        <c:axId val="-175720964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757218352"/>
        <c:crosses val="autoZero"/>
        <c:crossBetween val="midCat"/>
      </c:valAx>
      <c:valAx>
        <c:axId val="-175721835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7572096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30.238096599999999</c:v>
                </c:pt>
                <c:pt idx="1">
                  <c:v>31.157793900000001</c:v>
                </c:pt>
                <c:pt idx="2">
                  <c:v>31.751473900000001</c:v>
                </c:pt>
                <c:pt idx="3">
                  <c:v>32.306105199999998</c:v>
                </c:pt>
                <c:pt idx="4">
                  <c:v>33.127863400000003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7E1-49B9-BA19-36B35F94A52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E1-49B9-BA19-36B35F94A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57212912"/>
        <c:axId val="-1757212368"/>
      </c:scatterChart>
      <c:valAx>
        <c:axId val="-1757212912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757212368"/>
        <c:crosses val="autoZero"/>
        <c:crossBetween val="midCat"/>
      </c:valAx>
      <c:valAx>
        <c:axId val="-1757212368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7572129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41.188856000000001</c:v>
                </c:pt>
                <c:pt idx="1">
                  <c:v>42.283162599999997</c:v>
                </c:pt>
                <c:pt idx="2">
                  <c:v>44.319451600000001</c:v>
                </c:pt>
                <c:pt idx="3">
                  <c:v>44.626617199999998</c:v>
                </c:pt>
                <c:pt idx="4">
                  <c:v>45.293516500000003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3B4-4C5C-81CF-85702FD1D55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B4-4C5C-81CF-85702FD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57188976"/>
        <c:axId val="-1757194960"/>
      </c:scatterChart>
      <c:valAx>
        <c:axId val="-175718897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757194960"/>
        <c:crosses val="autoZero"/>
        <c:crossBetween val="midCat"/>
      </c:valAx>
      <c:valAx>
        <c:axId val="-1757194960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7571889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39.595556700000003</c:v>
                </c:pt>
                <c:pt idx="1">
                  <c:v>40.591721100000001</c:v>
                </c:pt>
                <c:pt idx="2">
                  <c:v>43.1361816</c:v>
                </c:pt>
                <c:pt idx="3">
                  <c:v>43.605740500000003</c:v>
                </c:pt>
                <c:pt idx="4">
                  <c:v>44.381829199999999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4-46A5-A8DA-93E3187DD3A7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4-46A5-A8DA-93E3187DD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57194416"/>
        <c:axId val="-1757208560"/>
      </c:scatterChart>
      <c:valAx>
        <c:axId val="-175719441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757208560"/>
        <c:crosses val="autoZero"/>
        <c:crossBetween val="midCat"/>
      </c:valAx>
      <c:valAx>
        <c:axId val="-1757208560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7571944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29.431978399999998</c:v>
                </c:pt>
                <c:pt idx="1">
                  <c:v>29.977537999999999</c:v>
                </c:pt>
                <c:pt idx="2">
                  <c:v>31.127217000000002</c:v>
                </c:pt>
                <c:pt idx="3">
                  <c:v>31.7123879</c:v>
                </c:pt>
                <c:pt idx="4">
                  <c:v>32.596452999999997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75-4EF2-B4EB-C0C674BE98BD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75-4EF2-B4EB-C0C674BE9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57193872"/>
        <c:axId val="-1757191152"/>
      </c:scatterChart>
      <c:valAx>
        <c:axId val="-1757193872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757191152"/>
        <c:crosses val="autoZero"/>
        <c:crossBetween val="midCat"/>
      </c:valAx>
      <c:valAx>
        <c:axId val="-175719115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7571938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9"/>
  <sheetViews>
    <sheetView zoomScale="90" zoomScaleNormal="90" workbookViewId="0">
      <selection activeCell="E6" sqref="E6"/>
    </sheetView>
  </sheetViews>
  <sheetFormatPr defaultColWidth="9.125" defaultRowHeight="13.5" x14ac:dyDescent="0.15"/>
  <cols>
    <col min="2" max="2" width="16.625" customWidth="1"/>
    <col min="3" max="9" width="24.625" customWidth="1"/>
  </cols>
  <sheetData>
    <row r="1" spans="2:5" x14ac:dyDescent="0.15">
      <c r="B1" t="s">
        <v>0</v>
      </c>
      <c r="C1" s="121" t="s">
        <v>438</v>
      </c>
      <c r="D1" s="121"/>
      <c r="E1" s="121"/>
    </row>
    <row r="2" spans="2:5" x14ac:dyDescent="0.15">
      <c r="B2" t="s">
        <v>1</v>
      </c>
      <c r="C2" s="122"/>
      <c r="D2" s="122"/>
      <c r="E2" s="122"/>
    </row>
    <row r="4" spans="2:5" s="1" customFormat="1" x14ac:dyDescent="0.15">
      <c r="B4" s="1" t="s">
        <v>2</v>
      </c>
    </row>
    <row r="6" spans="2:5" ht="45" customHeight="1" x14ac:dyDescent="0.15">
      <c r="B6" s="116" t="s">
        <v>3</v>
      </c>
      <c r="C6" s="2" t="s">
        <v>4</v>
      </c>
    </row>
    <row r="7" spans="2:5" x14ac:dyDescent="0.15">
      <c r="B7" s="113"/>
      <c r="C7" s="3" t="s">
        <v>5</v>
      </c>
    </row>
    <row r="8" spans="2:5" x14ac:dyDescent="0.15">
      <c r="B8" s="115"/>
      <c r="C8" s="4" t="s">
        <v>6</v>
      </c>
    </row>
    <row r="9" spans="2:5" x14ac:dyDescent="0.15">
      <c r="B9" t="s">
        <v>7</v>
      </c>
      <c r="C9" s="5" t="e">
        <f>'C0 lossless AI'!V14</f>
        <v>#DIV/0!</v>
      </c>
    </row>
    <row r="10" spans="2:5" x14ac:dyDescent="0.15">
      <c r="B10" t="s">
        <v>8</v>
      </c>
      <c r="C10" s="5" t="e">
        <f>'C0 lossless AI'!V15</f>
        <v>#DIV/0!</v>
      </c>
    </row>
    <row r="11" spans="2:5" x14ac:dyDescent="0.15">
      <c r="B11" t="s">
        <v>9</v>
      </c>
      <c r="C11" s="5" t="e">
        <f>'C0 lossless AI'!V16</f>
        <v>#DIV/0!</v>
      </c>
    </row>
    <row r="12" spans="2:5" x14ac:dyDescent="0.15">
      <c r="B12" t="s">
        <v>429</v>
      </c>
      <c r="C12" s="5" t="e">
        <f>'C0 lossless AI'!V18</f>
        <v>#DIV/0!</v>
      </c>
    </row>
    <row r="13" spans="2:5" x14ac:dyDescent="0.15">
      <c r="B13" s="6" t="s">
        <v>10</v>
      </c>
      <c r="C13" s="7" t="e">
        <f>'C0 lossless AI'!V18</f>
        <v>#DIV/0!</v>
      </c>
    </row>
    <row r="14" spans="2:5" x14ac:dyDescent="0.15">
      <c r="B14" t="s">
        <v>11</v>
      </c>
      <c r="C14" s="8" t="e">
        <f>'C0 lossless AI'!S20</f>
        <v>#DIV/0!</v>
      </c>
    </row>
    <row r="15" spans="2:5" x14ac:dyDescent="0.15">
      <c r="B15" s="9" t="s">
        <v>12</v>
      </c>
      <c r="C15" s="10" t="e">
        <f>'C0 lossless AI'!T20</f>
        <v>#DIV/0!</v>
      </c>
    </row>
    <row r="17" spans="2:9" x14ac:dyDescent="0.15">
      <c r="B17" s="116" t="s">
        <v>13</v>
      </c>
      <c r="C17" s="117" t="s">
        <v>14</v>
      </c>
      <c r="D17" s="118"/>
      <c r="E17" s="118"/>
      <c r="F17" s="118"/>
      <c r="G17" s="118"/>
      <c r="H17" s="118"/>
      <c r="I17" s="118"/>
    </row>
    <row r="18" spans="2:9" x14ac:dyDescent="0.15">
      <c r="B18" s="113"/>
      <c r="C18" s="119" t="s">
        <v>15</v>
      </c>
      <c r="D18" s="113"/>
      <c r="E18" s="113"/>
      <c r="F18" s="113"/>
      <c r="G18" s="113"/>
      <c r="H18" s="120" t="s">
        <v>16</v>
      </c>
      <c r="I18" s="113"/>
    </row>
    <row r="19" spans="2:9" x14ac:dyDescent="0.15">
      <c r="B19" s="115"/>
      <c r="C19" s="4" t="s">
        <v>17</v>
      </c>
      <c r="D19" s="4" t="s">
        <v>18</v>
      </c>
      <c r="E19" s="4" t="s">
        <v>19</v>
      </c>
      <c r="F19" s="4" t="s">
        <v>20</v>
      </c>
      <c r="G19" s="4" t="s">
        <v>21</v>
      </c>
      <c r="H19" s="11" t="s">
        <v>22</v>
      </c>
      <c r="I19" s="11" t="s">
        <v>19</v>
      </c>
    </row>
    <row r="20" spans="2:9" x14ac:dyDescent="0.15">
      <c r="B20" t="s">
        <v>7</v>
      </c>
      <c r="C20" s="5" t="e">
        <f>'C1 lossy AI'!$AZ$50:$AZ$50</f>
        <v>#DIV/0!</v>
      </c>
      <c r="D20" s="5" t="e">
        <f>'C1 lossy AI'!$BA$50:$BA$50</f>
        <v>#DIV/0!</v>
      </c>
      <c r="E20" s="5" t="e">
        <f>'C1 lossy AI'!$BB$50:$BB$50</f>
        <v>#DIV/0!</v>
      </c>
      <c r="F20" s="5" t="e">
        <f>'C1 lossy AI'!$BC$50:$BC$50</f>
        <v>#DIV/0!</v>
      </c>
      <c r="G20" s="5" t="e">
        <f>'C1 lossy AI'!$BD$50:$BD$50</f>
        <v>#DIV/0!</v>
      </c>
      <c r="H20" s="5" t="e">
        <f>'C1 lossy AI'!$BE$50:$BE$50</f>
        <v>#DIV/0!</v>
      </c>
      <c r="I20" s="5" t="e">
        <f>'C1 lossy AI'!$BF$50:$BF$50</f>
        <v>#DIV/0!</v>
      </c>
    </row>
    <row r="21" spans="2:9" x14ac:dyDescent="0.15">
      <c r="B21" t="s">
        <v>8</v>
      </c>
      <c r="C21" s="5" t="e">
        <f>'C1 lossy AI'!$AZ$51:$AZ$51</f>
        <v>#DIV/0!</v>
      </c>
      <c r="D21" s="5" t="e">
        <f>'C1 lossy AI'!$BA$51:$BA$51</f>
        <v>#DIV/0!</v>
      </c>
      <c r="E21" s="5" t="e">
        <f>'C1 lossy AI'!$BB$51:$BB$51</f>
        <v>#DIV/0!</v>
      </c>
      <c r="F21" s="5" t="e">
        <f>'C1 lossy AI'!$BC$51:$BC$51</f>
        <v>#DIV/0!</v>
      </c>
      <c r="G21" s="5" t="e">
        <f>'C1 lossy AI'!$BD$51:$BD$51</f>
        <v>#DIV/0!</v>
      </c>
      <c r="H21" s="5" t="e">
        <f>'C1 lossy AI'!$BE$51:$BE$51</f>
        <v>#DIV/0!</v>
      </c>
      <c r="I21" s="5" t="e">
        <f>'C1 lossy AI'!$BF$51:$BF$51</f>
        <v>#DIV/0!</v>
      </c>
    </row>
    <row r="22" spans="2:9" x14ac:dyDescent="0.15">
      <c r="B22" t="s">
        <v>9</v>
      </c>
      <c r="C22" s="5" t="e">
        <f>'C1 lossy AI'!$AZ$52:$AZ$52</f>
        <v>#DIV/0!</v>
      </c>
      <c r="D22" s="5" t="e">
        <f>'C1 lossy AI'!$BA$52:$BA$52</f>
        <v>#DIV/0!</v>
      </c>
      <c r="E22" s="5" t="e">
        <f>'C1 lossy AI'!$BB$52:$BB$52</f>
        <v>#DIV/0!</v>
      </c>
      <c r="F22" s="5" t="e">
        <f>'C1 lossy AI'!$BC$52:$BC$52</f>
        <v>#DIV/0!</v>
      </c>
      <c r="G22" s="5" t="e">
        <f>'C1 lossy AI'!$BD$52:$BD$52</f>
        <v>#DIV/0!</v>
      </c>
      <c r="H22" s="5" t="e">
        <f>'C1 lossy AI'!$BE$52:$BE$52</f>
        <v>#DIV/0!</v>
      </c>
      <c r="I22" s="5" t="e">
        <f>'C1 lossy AI'!$BF$52:$BF$52</f>
        <v>#DIV/0!</v>
      </c>
    </row>
    <row r="23" spans="2:9" x14ac:dyDescent="0.15">
      <c r="B23" t="s">
        <v>429</v>
      </c>
      <c r="C23" s="5" t="e">
        <f>'C1 lossy AI'!$AZ$53:$AZ$53</f>
        <v>#DIV/0!</v>
      </c>
      <c r="D23" s="5" t="e">
        <f>'C1 lossy AI'!$BA$53:$BA$53</f>
        <v>#DIV/0!</v>
      </c>
      <c r="E23" s="5" t="e">
        <f>'C1 lossy AI'!$BB$53:$BB$53</f>
        <v>#DIV/0!</v>
      </c>
      <c r="F23" s="5" t="e">
        <f>'C1 lossy AI'!$BC$53:$BC$53</f>
        <v>#DIV/0!</v>
      </c>
      <c r="G23" s="5" t="e">
        <f>'C1 lossy AI'!$BD$53:$BD$53</f>
        <v>#DIV/0!</v>
      </c>
      <c r="H23" s="5" t="e">
        <f>'C1 lossy AI'!$BE$53:$BE$53</f>
        <v>#DIV/0!</v>
      </c>
      <c r="I23" s="5" t="e">
        <f>'C1 lossy AI'!$BF$53:$BF$53</f>
        <v>#DIV/0!</v>
      </c>
    </row>
    <row r="24" spans="2:9" x14ac:dyDescent="0.15">
      <c r="B24" s="6" t="s">
        <v>10</v>
      </c>
      <c r="C24" s="7" t="e">
        <f>'C1 lossy AI'!$AZ$54:$AZ$54</f>
        <v>#DIV/0!</v>
      </c>
      <c r="D24" s="7" t="e">
        <f>'C1 lossy AI'!$BA$54:$BA$54</f>
        <v>#DIV/0!</v>
      </c>
      <c r="E24" s="7" t="e">
        <f>'C1 lossy AI'!$BB$54:$BB$54</f>
        <v>#DIV/0!</v>
      </c>
      <c r="F24" s="7" t="e">
        <f>'C1 lossy AI'!$BC$54:$BC$54</f>
        <v>#DIV/0!</v>
      </c>
      <c r="G24" s="7" t="e">
        <f>'C1 lossy AI'!$BD$54:$BD$54</f>
        <v>#DIV/0!</v>
      </c>
      <c r="H24" s="7" t="e">
        <f>'C1 lossy AI'!$BE$54:$BE$54</f>
        <v>#DIV/0!</v>
      </c>
      <c r="I24" s="7" t="e">
        <f>'C1 lossy AI'!$BF$54:$BF$54</f>
        <v>#DIV/0!</v>
      </c>
    </row>
    <row r="25" spans="2:9" x14ac:dyDescent="0.15">
      <c r="B25" t="s">
        <v>11</v>
      </c>
      <c r="C25" s="112">
        <f>'C1 lossy AI'!AW56</f>
        <v>0</v>
      </c>
      <c r="D25" s="113"/>
      <c r="E25" s="113"/>
      <c r="F25" s="113"/>
      <c r="G25" s="113"/>
      <c r="H25" s="113"/>
      <c r="I25" s="113"/>
    </row>
    <row r="26" spans="2:9" x14ac:dyDescent="0.15">
      <c r="B26" s="9" t="s">
        <v>12</v>
      </c>
      <c r="C26" s="114">
        <f>'C1 lossy AI'!AX56</f>
        <v>0</v>
      </c>
      <c r="D26" s="115"/>
      <c r="E26" s="115"/>
      <c r="F26" s="115"/>
      <c r="G26" s="115"/>
      <c r="H26" s="115"/>
      <c r="I26" s="115"/>
    </row>
    <row r="28" spans="2:9" s="1" customFormat="1" x14ac:dyDescent="0.15">
      <c r="B28" s="1" t="s">
        <v>23</v>
      </c>
    </row>
    <row r="30" spans="2:9" x14ac:dyDescent="0.15">
      <c r="B30" s="116" t="s">
        <v>24</v>
      </c>
      <c r="C30" s="117" t="s">
        <v>25</v>
      </c>
      <c r="D30" s="118"/>
      <c r="E30" s="118"/>
      <c r="F30" s="118"/>
      <c r="G30" s="118"/>
      <c r="H30" s="118"/>
      <c r="I30" s="118"/>
    </row>
    <row r="31" spans="2:9" x14ac:dyDescent="0.15">
      <c r="B31" s="113"/>
      <c r="C31" s="119" t="s">
        <v>15</v>
      </c>
      <c r="D31" s="113"/>
      <c r="E31" s="113"/>
      <c r="F31" s="113"/>
      <c r="G31" s="113"/>
      <c r="H31" s="120" t="s">
        <v>16</v>
      </c>
      <c r="I31" s="113"/>
    </row>
    <row r="32" spans="2:9" x14ac:dyDescent="0.15">
      <c r="B32" s="115"/>
      <c r="C32" s="4" t="s">
        <v>17</v>
      </c>
      <c r="D32" s="4" t="s">
        <v>18</v>
      </c>
      <c r="E32" s="4" t="s">
        <v>19</v>
      </c>
      <c r="F32" s="4" t="s">
        <v>20</v>
      </c>
      <c r="G32" s="4" t="s">
        <v>21</v>
      </c>
      <c r="H32" s="11" t="s">
        <v>22</v>
      </c>
      <c r="I32" s="11" t="s">
        <v>19</v>
      </c>
    </row>
    <row r="33" spans="2:9" x14ac:dyDescent="0.15">
      <c r="B33" t="s">
        <v>7</v>
      </c>
      <c r="C33" s="5" t="e">
        <f>'C2 lossy RA'!$AZ$45:$AZ$45</f>
        <v>#DIV/0!</v>
      </c>
      <c r="D33" s="5" t="e">
        <f>'C2 lossy RA'!$BA$45:$BA$45</f>
        <v>#DIV/0!</v>
      </c>
      <c r="E33" s="5" t="e">
        <f>'C2 lossy RA'!$BB$45:$BB$45</f>
        <v>#DIV/0!</v>
      </c>
      <c r="F33" s="5" t="e">
        <f>'C2 lossy RA'!$BC$45:$BC$45</f>
        <v>#DIV/0!</v>
      </c>
      <c r="G33" s="5" t="e">
        <f>'C2 lossy RA'!$BD$45:$BD$45</f>
        <v>#DIV/0!</v>
      </c>
      <c r="H33" s="5" t="e">
        <f>'C2 lossy RA'!$BE$45:$BE$45</f>
        <v>#DIV/0!</v>
      </c>
      <c r="I33" s="5" t="e">
        <f>'C2 lossy RA'!$BF$45:$BF$45</f>
        <v>#DIV/0!</v>
      </c>
    </row>
    <row r="34" spans="2:9" x14ac:dyDescent="0.15">
      <c r="B34" t="s">
        <v>8</v>
      </c>
      <c r="C34" s="5" t="e">
        <f>'C2 lossy RA'!$AZ$46:$AZ$46</f>
        <v>#DIV/0!</v>
      </c>
      <c r="D34" s="5" t="e">
        <f>'C2 lossy RA'!$BA$46:$BA$46</f>
        <v>#DIV/0!</v>
      </c>
      <c r="E34" s="5" t="e">
        <f>'C2 lossy RA'!$BB$46:$BB$46</f>
        <v>#DIV/0!</v>
      </c>
      <c r="F34" s="5" t="e">
        <f>'C2 lossy RA'!$BC$46:$BC$46</f>
        <v>#DIV/0!</v>
      </c>
      <c r="G34" s="5" t="e">
        <f>'C2 lossy RA'!$BD$46:$BD$46</f>
        <v>#DIV/0!</v>
      </c>
      <c r="H34" s="5" t="e">
        <f>'C2 lossy RA'!$BE$46:$BE$46</f>
        <v>#DIV/0!</v>
      </c>
      <c r="I34" s="5" t="e">
        <f>'C2 lossy RA'!$BF$46:$BF$46</f>
        <v>#DIV/0!</v>
      </c>
    </row>
    <row r="35" spans="2:9" x14ac:dyDescent="0.15">
      <c r="B35" t="s">
        <v>9</v>
      </c>
      <c r="C35" s="5" t="e">
        <f>'C2 lossy RA'!$AZ$47:$AZ$47</f>
        <v>#DIV/0!</v>
      </c>
      <c r="D35" s="5" t="e">
        <f>'C2 lossy RA'!$BA$47:$BA$47</f>
        <v>#DIV/0!</v>
      </c>
      <c r="E35" s="5" t="e">
        <f>'C2 lossy RA'!$BB$47:$BB$47</f>
        <v>#DIV/0!</v>
      </c>
      <c r="F35" s="5" t="e">
        <f>'C2 lossy RA'!$BC$47:$BC$47</f>
        <v>#DIV/0!</v>
      </c>
      <c r="G35" s="5" t="e">
        <f>'C2 lossy RA'!$BD$47:$BD$47</f>
        <v>#DIV/0!</v>
      </c>
      <c r="H35" s="5" t="e">
        <f>'C2 lossy RA'!$BE$47:$BE$47</f>
        <v>#DIV/0!</v>
      </c>
      <c r="I35" s="5" t="e">
        <f>'C2 lossy RA'!$BF$47:$BF$47</f>
        <v>#DIV/0!</v>
      </c>
    </row>
    <row r="36" spans="2:9" x14ac:dyDescent="0.15">
      <c r="B36" t="s">
        <v>429</v>
      </c>
      <c r="C36" s="5" t="e">
        <f>'C2 lossy RA'!#REF!</f>
        <v>#REF!</v>
      </c>
      <c r="D36" s="5" t="e">
        <f>'C2 lossy RA'!#REF!</f>
        <v>#REF!</v>
      </c>
      <c r="E36" s="5" t="e">
        <f>'C2 lossy RA'!#REF!</f>
        <v>#REF!</v>
      </c>
      <c r="F36" s="5" t="e">
        <f>'C2 lossy RA'!#REF!</f>
        <v>#REF!</v>
      </c>
      <c r="G36" s="5" t="e">
        <f>'C2 lossy RA'!#REF!</f>
        <v>#REF!</v>
      </c>
      <c r="H36" s="5" t="e">
        <f>'C2 lossy RA'!#REF!</f>
        <v>#REF!</v>
      </c>
      <c r="I36" s="5" t="e">
        <f>'C2 lossy RA'!#REF!</f>
        <v>#REF!</v>
      </c>
    </row>
    <row r="37" spans="2:9" x14ac:dyDescent="0.15">
      <c r="B37" s="6" t="s">
        <v>10</v>
      </c>
      <c r="C37" s="7" t="e">
        <f>'C2 lossy RA'!$AZ$48:$AZ$48</f>
        <v>#DIV/0!</v>
      </c>
      <c r="D37" s="7" t="e">
        <f>'C2 lossy RA'!$BA$48:$BA$48</f>
        <v>#DIV/0!</v>
      </c>
      <c r="E37" s="7" t="e">
        <f>'C2 lossy RA'!$BB$48:$BB$48</f>
        <v>#DIV/0!</v>
      </c>
      <c r="F37" s="7" t="e">
        <f>'C2 lossy RA'!$BC$48:$BC$48</f>
        <v>#DIV/0!</v>
      </c>
      <c r="G37" s="7" t="e">
        <f>'C2 lossy RA'!$BD$48:$BD$48</f>
        <v>#DIV/0!</v>
      </c>
      <c r="H37" s="7" t="e">
        <f>'C2 lossy RA'!$BE$48:$BE$48</f>
        <v>#DIV/0!</v>
      </c>
      <c r="I37" s="7" t="e">
        <f>'C2 lossy RA'!$BF$48:$BF$48</f>
        <v>#DIV/0!</v>
      </c>
    </row>
    <row r="38" spans="2:9" x14ac:dyDescent="0.15">
      <c r="B38" t="s">
        <v>11</v>
      </c>
      <c r="C38" s="112">
        <f>'C2 lossy RA'!AW50</f>
        <v>0</v>
      </c>
      <c r="D38" s="113"/>
      <c r="E38" s="113"/>
      <c r="F38" s="113"/>
      <c r="G38" s="113"/>
      <c r="H38" s="113"/>
      <c r="I38" s="113"/>
    </row>
    <row r="39" spans="2:9" x14ac:dyDescent="0.15">
      <c r="B39" s="9" t="s">
        <v>12</v>
      </c>
      <c r="C39" s="114">
        <f>'C2 lossy RA'!AX50</f>
        <v>0</v>
      </c>
      <c r="D39" s="115"/>
      <c r="E39" s="115"/>
      <c r="F39" s="115"/>
      <c r="G39" s="115"/>
      <c r="H39" s="115"/>
      <c r="I39" s="115"/>
    </row>
  </sheetData>
  <mergeCells count="15">
    <mergeCell ref="C1:E1"/>
    <mergeCell ref="C2:E2"/>
    <mergeCell ref="B6:B8"/>
    <mergeCell ref="B17:B19"/>
    <mergeCell ref="C17:I17"/>
    <mergeCell ref="C18:G18"/>
    <mergeCell ref="H18:I18"/>
    <mergeCell ref="C38:I38"/>
    <mergeCell ref="C39:I39"/>
    <mergeCell ref="C25:I25"/>
    <mergeCell ref="C26:I26"/>
    <mergeCell ref="B30:B32"/>
    <mergeCell ref="C30:I30"/>
    <mergeCell ref="C31:G31"/>
    <mergeCell ref="H31:I31"/>
  </mergeCells>
  <phoneticPr fontId="2" type="noConversion"/>
  <conditionalFormatting sqref="C20:C24">
    <cfRule type="cellIs" dxfId="188" priority="15" operator="greaterThanOrEqual">
      <formula>0.03</formula>
    </cfRule>
    <cfRule type="cellIs" dxfId="187" priority="16" operator="lessThanOrEqual">
      <formula>-0.03</formula>
    </cfRule>
  </conditionalFormatting>
  <conditionalFormatting sqref="C33:C37">
    <cfRule type="cellIs" dxfId="186" priority="17" operator="greaterThanOrEqual">
      <formula>0.03</formula>
    </cfRule>
    <cfRule type="cellIs" dxfId="185" priority="18" operator="lessThanOrEqual">
      <formula>-0.03</formula>
    </cfRule>
  </conditionalFormatting>
  <conditionalFormatting sqref="C9:C13">
    <cfRule type="cellIs" dxfId="184" priority="1" operator="greaterThanOrEqual">
      <formula>1.03</formula>
    </cfRule>
    <cfRule type="cellIs" dxfId="183" priority="2" operator="lessThanOrEqual">
      <formula>0.97</formula>
    </cfRule>
  </conditionalFormatting>
  <conditionalFormatting sqref="D20:D24">
    <cfRule type="cellIs" dxfId="182" priority="11" operator="greaterThanOrEqual">
      <formula>0.03</formula>
    </cfRule>
    <cfRule type="cellIs" dxfId="181" priority="12" operator="lessThanOrEqual">
      <formula>-0.03</formula>
    </cfRule>
  </conditionalFormatting>
  <conditionalFormatting sqref="D33:D37">
    <cfRule type="cellIs" dxfId="180" priority="21" operator="greaterThanOrEqual">
      <formula>0.03</formula>
    </cfRule>
    <cfRule type="cellIs" dxfId="179" priority="22" operator="lessThanOrEqual">
      <formula>-0.03</formula>
    </cfRule>
  </conditionalFormatting>
  <conditionalFormatting sqref="E20:E24">
    <cfRule type="cellIs" dxfId="178" priority="5" operator="greaterThanOrEqual">
      <formula>0.03</formula>
    </cfRule>
    <cfRule type="cellIs" dxfId="177" priority="6" operator="lessThanOrEqual">
      <formula>-0.03</formula>
    </cfRule>
  </conditionalFormatting>
  <conditionalFormatting sqref="E33:E37">
    <cfRule type="cellIs" dxfId="176" priority="25" operator="greaterThanOrEqual">
      <formula>0.03</formula>
    </cfRule>
    <cfRule type="cellIs" dxfId="175" priority="26" operator="lessThanOrEqual">
      <formula>-0.03</formula>
    </cfRule>
  </conditionalFormatting>
  <conditionalFormatting sqref="F20:F24">
    <cfRule type="cellIs" dxfId="174" priority="3" operator="greaterThanOrEqual">
      <formula>0.03</formula>
    </cfRule>
    <cfRule type="cellIs" dxfId="173" priority="4" operator="lessThanOrEqual">
      <formula>-0.03</formula>
    </cfRule>
  </conditionalFormatting>
  <conditionalFormatting sqref="F33:F37">
    <cfRule type="cellIs" dxfId="172" priority="29" operator="greaterThanOrEqual">
      <formula>0.03</formula>
    </cfRule>
    <cfRule type="cellIs" dxfId="171" priority="30" operator="lessThanOrEqual">
      <formula>-0.03</formula>
    </cfRule>
  </conditionalFormatting>
  <conditionalFormatting sqref="G20:G24">
    <cfRule type="cellIs" dxfId="170" priority="13" operator="greaterThanOrEqual">
      <formula>0.03</formula>
    </cfRule>
    <cfRule type="cellIs" dxfId="169" priority="14" operator="lessThanOrEqual">
      <formula>-0.03</formula>
    </cfRule>
  </conditionalFormatting>
  <conditionalFormatting sqref="G33:G37">
    <cfRule type="cellIs" dxfId="168" priority="19" operator="greaterThanOrEqual">
      <formula>0.03</formula>
    </cfRule>
    <cfRule type="cellIs" dxfId="167" priority="20" operator="lessThanOrEqual">
      <formula>-0.03</formula>
    </cfRule>
  </conditionalFormatting>
  <conditionalFormatting sqref="H20:H24">
    <cfRule type="cellIs" dxfId="166" priority="9" operator="greaterThanOrEqual">
      <formula>0.03</formula>
    </cfRule>
    <cfRule type="cellIs" dxfId="165" priority="10" operator="lessThanOrEqual">
      <formula>-0.03</formula>
    </cfRule>
  </conditionalFormatting>
  <conditionalFormatting sqref="H33:H37">
    <cfRule type="cellIs" dxfId="164" priority="23" operator="greaterThanOrEqual">
      <formula>0.03</formula>
    </cfRule>
    <cfRule type="cellIs" dxfId="163" priority="24" operator="lessThanOrEqual">
      <formula>-0.03</formula>
    </cfRule>
  </conditionalFormatting>
  <conditionalFormatting sqref="I20:I24">
    <cfRule type="cellIs" dxfId="162" priority="7" operator="greaterThanOrEqual">
      <formula>0.03</formula>
    </cfRule>
    <cfRule type="cellIs" dxfId="161" priority="8" operator="lessThanOrEqual">
      <formula>-0.03</formula>
    </cfRule>
  </conditionalFormatting>
  <conditionalFormatting sqref="I33:I37">
    <cfRule type="cellIs" dxfId="160" priority="27" operator="greaterThanOrEqual">
      <formula>0.03</formula>
    </cfRule>
    <cfRule type="cellIs" dxfId="159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4"/>
  <sheetViews>
    <sheetView zoomScale="70" zoomScaleNormal="70" workbookViewId="0">
      <selection activeCell="B2" sqref="B2"/>
    </sheetView>
  </sheetViews>
  <sheetFormatPr defaultColWidth="9.125"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4" x14ac:dyDescent="0.15">
      <c r="A1" t="s">
        <v>26</v>
      </c>
      <c r="B1" s="12" t="s">
        <v>29</v>
      </c>
      <c r="C1" t="s">
        <v>27</v>
      </c>
      <c r="I1" t="s">
        <v>28</v>
      </c>
      <c r="M1" t="s">
        <v>29</v>
      </c>
      <c r="N1" t="s">
        <v>30</v>
      </c>
    </row>
    <row r="2" spans="1:14" x14ac:dyDescent="0.15">
      <c r="A2" t="s">
        <v>31</v>
      </c>
      <c r="B2" s="12" t="s">
        <v>428</v>
      </c>
      <c r="C2" t="s">
        <v>33</v>
      </c>
      <c r="I2" t="s">
        <v>34</v>
      </c>
      <c r="J2" t="s">
        <v>35</v>
      </c>
      <c r="M2" t="s">
        <v>436</v>
      </c>
      <c r="N2" t="s">
        <v>437</v>
      </c>
    </row>
    <row r="3" spans="1:14" x14ac:dyDescent="0.15">
      <c r="I3" t="s">
        <v>36</v>
      </c>
      <c r="J3" t="s">
        <v>37</v>
      </c>
      <c r="M3" t="s">
        <v>38</v>
      </c>
      <c r="N3" t="s">
        <v>38</v>
      </c>
    </row>
    <row r="4" spans="1:14" x14ac:dyDescent="0.15">
      <c r="A4" t="s">
        <v>39</v>
      </c>
      <c r="B4" s="12" t="s">
        <v>40</v>
      </c>
      <c r="C4" t="s">
        <v>41</v>
      </c>
      <c r="D4" s="12" t="s">
        <v>42</v>
      </c>
      <c r="E4" t="s">
        <v>43</v>
      </c>
      <c r="I4" t="s">
        <v>44</v>
      </c>
      <c r="J4" t="s">
        <v>45</v>
      </c>
      <c r="M4" t="s">
        <v>46</v>
      </c>
      <c r="N4" t="s">
        <v>46</v>
      </c>
    </row>
    <row r="5" spans="1:14" x14ac:dyDescent="0.15">
      <c r="A5" t="s">
        <v>39</v>
      </c>
      <c r="B5" s="12" t="s">
        <v>40</v>
      </c>
      <c r="C5" t="s">
        <v>41</v>
      </c>
      <c r="D5" s="12" t="s">
        <v>47</v>
      </c>
      <c r="E5" t="s">
        <v>48</v>
      </c>
      <c r="I5" t="s">
        <v>49</v>
      </c>
      <c r="J5" t="s">
        <v>50</v>
      </c>
      <c r="M5" t="s">
        <v>51</v>
      </c>
      <c r="N5" t="s">
        <v>51</v>
      </c>
    </row>
    <row r="6" spans="1:14" x14ac:dyDescent="0.15">
      <c r="A6" t="s">
        <v>39</v>
      </c>
      <c r="B6" s="12" t="s">
        <v>40</v>
      </c>
      <c r="C6" t="s">
        <v>41</v>
      </c>
      <c r="D6" s="12" t="s">
        <v>52</v>
      </c>
      <c r="E6" t="s">
        <v>53</v>
      </c>
      <c r="I6" t="s">
        <v>54</v>
      </c>
      <c r="J6" t="s">
        <v>55</v>
      </c>
      <c r="M6" t="s">
        <v>56</v>
      </c>
      <c r="N6" t="s">
        <v>56</v>
      </c>
    </row>
    <row r="7" spans="1:14" x14ac:dyDescent="0.15">
      <c r="A7" t="s">
        <v>39</v>
      </c>
      <c r="B7" s="12" t="s">
        <v>40</v>
      </c>
      <c r="C7" t="s">
        <v>41</v>
      </c>
      <c r="D7" s="12" t="s">
        <v>57</v>
      </c>
      <c r="E7" t="s">
        <v>58</v>
      </c>
      <c r="I7" t="s">
        <v>59</v>
      </c>
      <c r="J7" t="s">
        <v>60</v>
      </c>
      <c r="M7" t="s">
        <v>61</v>
      </c>
      <c r="N7" t="s">
        <v>61</v>
      </c>
    </row>
    <row r="8" spans="1:14" x14ac:dyDescent="0.15">
      <c r="A8" t="s">
        <v>39</v>
      </c>
      <c r="B8" s="12" t="s">
        <v>40</v>
      </c>
      <c r="C8" t="s">
        <v>41</v>
      </c>
      <c r="D8" s="12" t="s">
        <v>62</v>
      </c>
      <c r="E8" t="s">
        <v>63</v>
      </c>
      <c r="I8" t="s">
        <v>64</v>
      </c>
      <c r="J8" t="s">
        <v>65</v>
      </c>
      <c r="M8" t="s">
        <v>66</v>
      </c>
      <c r="N8" t="s">
        <v>66</v>
      </c>
    </row>
    <row r="9" spans="1:14" x14ac:dyDescent="0.15">
      <c r="A9" t="s">
        <v>39</v>
      </c>
      <c r="B9" s="12" t="s">
        <v>40</v>
      </c>
      <c r="C9" t="s">
        <v>41</v>
      </c>
      <c r="D9" s="12" t="s">
        <v>67</v>
      </c>
      <c r="E9" t="s">
        <v>68</v>
      </c>
      <c r="I9" t="s">
        <v>69</v>
      </c>
      <c r="J9" t="s">
        <v>70</v>
      </c>
      <c r="M9" t="s">
        <v>32</v>
      </c>
      <c r="N9" t="s">
        <v>32</v>
      </c>
    </row>
    <row r="10" spans="1:14" x14ac:dyDescent="0.15">
      <c r="A10" t="s">
        <v>39</v>
      </c>
      <c r="B10" s="12" t="s">
        <v>40</v>
      </c>
      <c r="C10" t="s">
        <v>41</v>
      </c>
      <c r="D10" s="12" t="s">
        <v>71</v>
      </c>
      <c r="E10" t="s">
        <v>72</v>
      </c>
      <c r="I10" t="s">
        <v>73</v>
      </c>
      <c r="J10" t="s">
        <v>74</v>
      </c>
      <c r="M10" t="s">
        <v>75</v>
      </c>
      <c r="N10" t="s">
        <v>75</v>
      </c>
    </row>
    <row r="11" spans="1:14" x14ac:dyDescent="0.15">
      <c r="I11" t="s">
        <v>52</v>
      </c>
      <c r="J11" t="s">
        <v>76</v>
      </c>
      <c r="M11" t="s">
        <v>428</v>
      </c>
      <c r="N11" t="s">
        <v>428</v>
      </c>
    </row>
    <row r="12" spans="1:14" x14ac:dyDescent="0.15">
      <c r="I12" t="s">
        <v>71</v>
      </c>
      <c r="J12" t="s">
        <v>77</v>
      </c>
    </row>
    <row r="13" spans="1:14" x14ac:dyDescent="0.15">
      <c r="I13" t="s">
        <v>78</v>
      </c>
      <c r="J13" t="s">
        <v>79</v>
      </c>
    </row>
    <row r="14" spans="1:14" x14ac:dyDescent="0.15">
      <c r="I14" t="s">
        <v>80</v>
      </c>
      <c r="J14" t="s">
        <v>81</v>
      </c>
    </row>
    <row r="15" spans="1:14" x14ac:dyDescent="0.15">
      <c r="I15" t="s">
        <v>82</v>
      </c>
      <c r="J15" t="s">
        <v>83</v>
      </c>
    </row>
    <row r="16" spans="1:14" x14ac:dyDescent="0.15">
      <c r="I16" t="s">
        <v>84</v>
      </c>
      <c r="J16" t="s">
        <v>85</v>
      </c>
    </row>
    <row r="17" spans="9:10" x14ac:dyDescent="0.15">
      <c r="I17" t="s">
        <v>62</v>
      </c>
      <c r="J17" t="s">
        <v>86</v>
      </c>
    </row>
    <row r="18" spans="9:10" x14ac:dyDescent="0.15">
      <c r="I18" t="s">
        <v>67</v>
      </c>
      <c r="J18" t="s">
        <v>87</v>
      </c>
    </row>
    <row r="19" spans="9:10" x14ac:dyDescent="0.15">
      <c r="I19" t="s">
        <v>42</v>
      </c>
      <c r="J19" t="s">
        <v>88</v>
      </c>
    </row>
    <row r="20" spans="9:10" x14ac:dyDescent="0.15">
      <c r="I20" t="s">
        <v>47</v>
      </c>
      <c r="J20" t="s">
        <v>89</v>
      </c>
    </row>
    <row r="21" spans="9:10" x14ac:dyDescent="0.15">
      <c r="I21" t="s">
        <v>57</v>
      </c>
      <c r="J21" t="s">
        <v>90</v>
      </c>
    </row>
    <row r="22" spans="9:10" x14ac:dyDescent="0.15">
      <c r="I22" t="s">
        <v>91</v>
      </c>
      <c r="J22" t="s">
        <v>92</v>
      </c>
    </row>
    <row r="23" spans="9:10" x14ac:dyDescent="0.15">
      <c r="I23" t="s">
        <v>93</v>
      </c>
      <c r="J23" t="s">
        <v>94</v>
      </c>
    </row>
    <row r="24" spans="9:10" x14ac:dyDescent="0.15">
      <c r="I24" t="s">
        <v>95</v>
      </c>
      <c r="J24" t="s">
        <v>96</v>
      </c>
    </row>
    <row r="25" spans="9:10" x14ac:dyDescent="0.15">
      <c r="I25" t="s">
        <v>97</v>
      </c>
      <c r="J25" t="s">
        <v>98</v>
      </c>
    </row>
    <row r="26" spans="9:10" x14ac:dyDescent="0.15">
      <c r="I26" t="s">
        <v>99</v>
      </c>
      <c r="J26" t="s">
        <v>100</v>
      </c>
    </row>
    <row r="27" spans="9:10" x14ac:dyDescent="0.15">
      <c r="I27" t="s">
        <v>101</v>
      </c>
      <c r="J27" t="s">
        <v>102</v>
      </c>
    </row>
    <row r="28" spans="9:10" x14ac:dyDescent="0.15">
      <c r="I28" t="s">
        <v>103</v>
      </c>
      <c r="J28" t="s">
        <v>104</v>
      </c>
    </row>
    <row r="29" spans="9:10" x14ac:dyDescent="0.15">
      <c r="I29" t="s">
        <v>105</v>
      </c>
      <c r="J29" t="s">
        <v>106</v>
      </c>
    </row>
    <row r="30" spans="9:10" x14ac:dyDescent="0.15">
      <c r="I30" t="s">
        <v>107</v>
      </c>
      <c r="J30" t="s">
        <v>108</v>
      </c>
    </row>
    <row r="31" spans="9:10" x14ac:dyDescent="0.15">
      <c r="I31" t="s">
        <v>109</v>
      </c>
      <c r="J31" t="s">
        <v>110</v>
      </c>
    </row>
    <row r="32" spans="9:10" x14ac:dyDescent="0.15">
      <c r="I32" t="s">
        <v>111</v>
      </c>
      <c r="J32" t="s">
        <v>112</v>
      </c>
    </row>
    <row r="33" spans="9:10" x14ac:dyDescent="0.15">
      <c r="I33" t="s">
        <v>113</v>
      </c>
      <c r="J33" t="s">
        <v>114</v>
      </c>
    </row>
    <row r="34" spans="9:10" x14ac:dyDescent="0.15">
      <c r="I34" t="s">
        <v>115</v>
      </c>
      <c r="J34" t="s">
        <v>116</v>
      </c>
    </row>
    <row r="35" spans="9:10" x14ac:dyDescent="0.15">
      <c r="I35" t="s">
        <v>117</v>
      </c>
      <c r="J35" t="s">
        <v>118</v>
      </c>
    </row>
    <row r="36" spans="9:10" x14ac:dyDescent="0.15">
      <c r="I36" t="s">
        <v>119</v>
      </c>
      <c r="J36" t="s">
        <v>120</v>
      </c>
    </row>
    <row r="37" spans="9:10" x14ac:dyDescent="0.15">
      <c r="I37" t="s">
        <v>121</v>
      </c>
      <c r="J37" t="s">
        <v>122</v>
      </c>
    </row>
    <row r="38" spans="9:10" x14ac:dyDescent="0.15">
      <c r="I38" t="s">
        <v>123</v>
      </c>
      <c r="J38" t="s">
        <v>124</v>
      </c>
    </row>
    <row r="39" spans="9:10" x14ac:dyDescent="0.15">
      <c r="I39" t="s">
        <v>125</v>
      </c>
      <c r="J39" t="s">
        <v>126</v>
      </c>
    </row>
    <row r="40" spans="9:10" x14ac:dyDescent="0.15">
      <c r="I40" t="s">
        <v>40</v>
      </c>
      <c r="J40" t="s">
        <v>127</v>
      </c>
    </row>
    <row r="41" spans="9:10" x14ac:dyDescent="0.15">
      <c r="I41" t="s">
        <v>128</v>
      </c>
      <c r="J41" t="s">
        <v>129</v>
      </c>
    </row>
    <row r="42" spans="9:10" x14ac:dyDescent="0.15">
      <c r="I42" t="s">
        <v>130</v>
      </c>
      <c r="J42" t="s">
        <v>131</v>
      </c>
    </row>
    <row r="43" spans="9:10" x14ac:dyDescent="0.15">
      <c r="I43" t="s">
        <v>132</v>
      </c>
      <c r="J43" t="s">
        <v>133</v>
      </c>
    </row>
    <row r="44" spans="9:10" x14ac:dyDescent="0.15">
      <c r="I44" t="s">
        <v>134</v>
      </c>
      <c r="J44" t="s">
        <v>135</v>
      </c>
    </row>
    <row r="45" spans="9:10" x14ac:dyDescent="0.15">
      <c r="I45" t="s">
        <v>136</v>
      </c>
      <c r="J45" t="s">
        <v>137</v>
      </c>
    </row>
    <row r="46" spans="9:10" x14ac:dyDescent="0.15">
      <c r="I46" t="s">
        <v>138</v>
      </c>
      <c r="J46" t="s">
        <v>139</v>
      </c>
    </row>
    <row r="47" spans="9:10" x14ac:dyDescent="0.15">
      <c r="I47" t="s">
        <v>140</v>
      </c>
      <c r="J47" t="s">
        <v>141</v>
      </c>
    </row>
    <row r="48" spans="9:10" x14ac:dyDescent="0.15">
      <c r="I48" t="s">
        <v>142</v>
      </c>
      <c r="J48" t="s">
        <v>143</v>
      </c>
    </row>
    <row r="49" spans="9:10" x14ac:dyDescent="0.15">
      <c r="I49" t="s">
        <v>144</v>
      </c>
      <c r="J49" t="s">
        <v>145</v>
      </c>
    </row>
    <row r="50" spans="9:10" x14ac:dyDescent="0.15">
      <c r="I50" t="s">
        <v>146</v>
      </c>
      <c r="J50" t="s">
        <v>147</v>
      </c>
    </row>
    <row r="51" spans="9:10" x14ac:dyDescent="0.15">
      <c r="I51" t="s">
        <v>393</v>
      </c>
      <c r="J51" t="s">
        <v>389</v>
      </c>
    </row>
    <row r="52" spans="9:10" x14ac:dyDescent="0.15">
      <c r="I52" t="s">
        <v>394</v>
      </c>
      <c r="J52" t="s">
        <v>390</v>
      </c>
    </row>
    <row r="53" spans="9:10" x14ac:dyDescent="0.15">
      <c r="I53" t="s">
        <v>371</v>
      </c>
      <c r="J53" t="s">
        <v>391</v>
      </c>
    </row>
    <row r="54" spans="9:10" x14ac:dyDescent="0.15">
      <c r="I54" t="s">
        <v>395</v>
      </c>
      <c r="J54" t="s">
        <v>392</v>
      </c>
    </row>
  </sheetData>
  <phoneticPr fontId="2" type="noConversion"/>
  <conditionalFormatting sqref="B2">
    <cfRule type="expression" dxfId="158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7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10 D4:D10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X30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J24" sqref="J24"/>
    </sheetView>
  </sheetViews>
  <sheetFormatPr defaultColWidth="9.125" defaultRowHeight="13.5" x14ac:dyDescent="0.15"/>
  <cols>
    <col min="2" max="2" width="24.625" customWidth="1"/>
    <col min="3" max="4" width="10.625" customWidth="1"/>
    <col min="7" max="7" width="1.625" customWidth="1"/>
    <col min="9" max="9" width="10.625" customWidth="1"/>
    <col min="10" max="11" width="12.625" customWidth="1"/>
    <col min="14" max="14" width="1.625" customWidth="1"/>
    <col min="16" max="16" width="10.625" customWidth="1"/>
    <col min="17" max="18" width="12.625" customWidth="1"/>
    <col min="21" max="21" width="1.625" customWidth="1"/>
    <col min="23" max="23" width="1.625" customWidth="1"/>
  </cols>
  <sheetData>
    <row r="1" spans="1:24" x14ac:dyDescent="0.15">
      <c r="A1" s="125" t="s">
        <v>148</v>
      </c>
      <c r="B1" s="113"/>
      <c r="C1" s="113"/>
      <c r="D1" s="113"/>
      <c r="E1" s="113"/>
      <c r="F1" s="113"/>
      <c r="H1" s="121" t="s">
        <v>439</v>
      </c>
      <c r="I1" s="113"/>
      <c r="J1" s="113"/>
      <c r="K1" s="113"/>
      <c r="L1" s="113"/>
      <c r="M1" s="113"/>
      <c r="O1" s="122">
        <f>Summary!C2</f>
        <v>0</v>
      </c>
      <c r="P1" s="113"/>
      <c r="Q1" s="113"/>
      <c r="R1" s="113"/>
      <c r="S1" s="113"/>
      <c r="T1" s="113"/>
    </row>
    <row r="2" spans="1:24" ht="30" customHeight="1" thickBot="1" x14ac:dyDescent="0.2">
      <c r="A2" s="124" t="s">
        <v>149</v>
      </c>
      <c r="B2" s="123" t="s">
        <v>150</v>
      </c>
      <c r="C2" s="124" t="s">
        <v>151</v>
      </c>
      <c r="D2" s="123" t="s">
        <v>152</v>
      </c>
      <c r="E2" s="124" t="s">
        <v>153</v>
      </c>
      <c r="F2" s="123" t="s">
        <v>154</v>
      </c>
      <c r="H2" s="124" t="s">
        <v>127</v>
      </c>
      <c r="I2" s="123" t="s">
        <v>131</v>
      </c>
      <c r="J2" s="124" t="s">
        <v>120</v>
      </c>
      <c r="K2" s="87" t="s">
        <v>155</v>
      </c>
      <c r="L2" s="123" t="s">
        <v>122</v>
      </c>
      <c r="M2" s="124" t="s">
        <v>102</v>
      </c>
      <c r="O2" s="123" t="s">
        <v>127</v>
      </c>
      <c r="P2" s="124" t="s">
        <v>131</v>
      </c>
      <c r="Q2" s="123" t="s">
        <v>120</v>
      </c>
      <c r="R2" s="87" t="s">
        <v>155</v>
      </c>
      <c r="S2" s="124" t="s">
        <v>122</v>
      </c>
      <c r="T2" s="123" t="s">
        <v>102</v>
      </c>
      <c r="V2" s="124" t="s">
        <v>156</v>
      </c>
      <c r="X2" s="124" t="s">
        <v>157</v>
      </c>
    </row>
    <row r="3" spans="1:24" ht="15.75" customHeight="1" thickBot="1" x14ac:dyDescent="0.2">
      <c r="A3" s="115"/>
      <c r="B3" s="115"/>
      <c r="C3" s="115"/>
      <c r="D3" s="115"/>
      <c r="E3" s="115"/>
      <c r="F3" s="115"/>
      <c r="H3" s="115"/>
      <c r="I3" s="115"/>
      <c r="J3" s="115"/>
      <c r="K3" s="13" t="s">
        <v>424</v>
      </c>
      <c r="L3" s="115"/>
      <c r="M3" s="115"/>
      <c r="O3" s="115"/>
      <c r="P3" s="115"/>
      <c r="Q3" s="115"/>
      <c r="R3" s="13" t="s">
        <v>424</v>
      </c>
      <c r="S3" s="115"/>
      <c r="T3" s="115"/>
      <c r="V3" s="115"/>
      <c r="X3" s="115"/>
    </row>
    <row r="4" spans="1:24" ht="48.75" hidden="1" customHeight="1" thickBot="1" x14ac:dyDescent="0.2">
      <c r="A4" s="15" t="s">
        <v>158</v>
      </c>
      <c r="B4" s="16" t="s">
        <v>159</v>
      </c>
      <c r="C4" s="15" t="s">
        <v>160</v>
      </c>
      <c r="D4" s="16" t="s">
        <v>161</v>
      </c>
      <c r="E4" s="15" t="s">
        <v>162</v>
      </c>
      <c r="F4" s="16" t="s">
        <v>163</v>
      </c>
      <c r="H4" s="15" t="s">
        <v>164</v>
      </c>
      <c r="I4" s="16" t="s">
        <v>165</v>
      </c>
      <c r="J4" s="15" t="s">
        <v>166</v>
      </c>
      <c r="K4" s="15"/>
      <c r="L4" s="16" t="s">
        <v>167</v>
      </c>
      <c r="M4" s="15" t="s">
        <v>168</v>
      </c>
      <c r="O4" s="16" t="s">
        <v>169</v>
      </c>
      <c r="P4" s="15" t="s">
        <v>170</v>
      </c>
      <c r="Q4" s="16" t="s">
        <v>171</v>
      </c>
      <c r="R4" s="16"/>
      <c r="S4" s="15" t="s">
        <v>172</v>
      </c>
      <c r="T4" s="16" t="s">
        <v>173</v>
      </c>
      <c r="V4" s="15" t="s">
        <v>174</v>
      </c>
    </row>
    <row r="5" spans="1:24" collapsed="1" x14ac:dyDescent="0.15">
      <c r="A5" s="17" t="s">
        <v>175</v>
      </c>
      <c r="B5" s="17" t="s">
        <v>38</v>
      </c>
      <c r="C5" s="17">
        <v>11997440</v>
      </c>
      <c r="D5" s="18">
        <v>10</v>
      </c>
      <c r="E5" s="19">
        <v>32</v>
      </c>
      <c r="F5" s="19">
        <v>30</v>
      </c>
      <c r="H5" s="20">
        <f t="shared" ref="H5:H13" si="0">IF(OR(ISBLANK(J5),ISBLANK(F5)),"·",J5*F5/E5/1000000)</f>
        <v>852.69409499999995</v>
      </c>
      <c r="I5" s="21">
        <f t="shared" ref="I5:I13" si="1">IF(ISBLANK(J5),"·",J5/C5)</f>
        <v>75.811203723461006</v>
      </c>
      <c r="J5" s="22">
        <v>909540368</v>
      </c>
      <c r="K5" s="22">
        <v>13582720</v>
      </c>
      <c r="L5" s="23"/>
      <c r="M5" s="23"/>
      <c r="O5" s="20" t="str">
        <f t="shared" ref="O5:O13" si="2">IF(OR(ISBLANK(Q5),ISBLANK(F5)),"·",Q5*F5/E5/1000000)</f>
        <v>·</v>
      </c>
      <c r="P5" s="21" t="str">
        <f t="shared" ref="P5:P13" si="3">IF(ISBLANK(Q5),"·",Q5/C5)</f>
        <v>·</v>
      </c>
      <c r="Q5" s="22"/>
      <c r="R5" s="22"/>
      <c r="S5" s="23"/>
      <c r="T5" s="23"/>
      <c r="V5" s="24" t="e">
        <f t="shared" ref="V5:V18" si="4">P5/I5</f>
        <v>#VALUE!</v>
      </c>
      <c r="X5" s="24" t="str">
        <f t="shared" ref="X5:X13" si="5">IF(OR(ISBLANK(R5),ISBLANK(K5)),".",R5/K5-1)</f>
        <v>.</v>
      </c>
    </row>
    <row r="6" spans="1:24" ht="15.75" customHeight="1" collapsed="1" thickBot="1" x14ac:dyDescent="0.2">
      <c r="A6" s="25"/>
      <c r="B6" s="25" t="s">
        <v>46</v>
      </c>
      <c r="C6" s="25">
        <v>9000000</v>
      </c>
      <c r="D6" s="26">
        <v>10</v>
      </c>
      <c r="E6" s="27">
        <v>32</v>
      </c>
      <c r="F6" s="27">
        <v>30</v>
      </c>
      <c r="H6" s="28">
        <f t="shared" si="0"/>
        <v>630.70408499999996</v>
      </c>
      <c r="I6" s="29">
        <f t="shared" si="1"/>
        <v>74.750113777777784</v>
      </c>
      <c r="J6" s="30">
        <v>672751024</v>
      </c>
      <c r="K6" s="30">
        <v>14382896</v>
      </c>
      <c r="L6" s="31"/>
      <c r="M6" s="31"/>
      <c r="O6" s="28" t="str">
        <f t="shared" si="2"/>
        <v>·</v>
      </c>
      <c r="P6" s="29" t="str">
        <f t="shared" si="3"/>
        <v>·</v>
      </c>
      <c r="Q6" s="30"/>
      <c r="R6" s="30"/>
      <c r="S6" s="31"/>
      <c r="T6" s="31"/>
      <c r="V6" s="32" t="e">
        <f t="shared" si="4"/>
        <v>#VALUE!</v>
      </c>
      <c r="X6" s="32" t="str">
        <f t="shared" si="5"/>
        <v>.</v>
      </c>
    </row>
    <row r="7" spans="1:24" collapsed="1" x14ac:dyDescent="0.15">
      <c r="A7" s="17" t="s">
        <v>176</v>
      </c>
      <c r="B7" s="17" t="s">
        <v>51</v>
      </c>
      <c r="C7" s="17">
        <v>11842002</v>
      </c>
      <c r="D7" s="18">
        <v>12</v>
      </c>
      <c r="E7" s="19">
        <v>32</v>
      </c>
      <c r="F7" s="19">
        <v>30</v>
      </c>
      <c r="H7" s="20">
        <f t="shared" si="0"/>
        <v>597.33922500000006</v>
      </c>
      <c r="I7" s="21">
        <f t="shared" si="1"/>
        <v>53.80524678175194</v>
      </c>
      <c r="J7" s="22">
        <v>637161840</v>
      </c>
      <c r="K7" s="22">
        <v>16140216</v>
      </c>
      <c r="L7" s="23"/>
      <c r="M7" s="23"/>
      <c r="O7" s="20" t="str">
        <f t="shared" si="2"/>
        <v>·</v>
      </c>
      <c r="P7" s="21" t="str">
        <f t="shared" si="3"/>
        <v>·</v>
      </c>
      <c r="Q7" s="22"/>
      <c r="R7" s="22"/>
      <c r="S7" s="23"/>
      <c r="T7" s="23"/>
      <c r="V7" s="24" t="e">
        <f t="shared" si="4"/>
        <v>#VALUE!</v>
      </c>
      <c r="X7" s="24" t="str">
        <f t="shared" si="5"/>
        <v>.</v>
      </c>
    </row>
    <row r="8" spans="1:24" ht="15.75" customHeight="1" collapsed="1" thickBot="1" x14ac:dyDescent="0.2">
      <c r="A8" s="25"/>
      <c r="B8" s="25" t="s">
        <v>56</v>
      </c>
      <c r="C8" s="25">
        <v>11812090</v>
      </c>
      <c r="D8" s="26">
        <v>12</v>
      </c>
      <c r="E8" s="27">
        <v>32</v>
      </c>
      <c r="F8" s="27">
        <v>50</v>
      </c>
      <c r="H8" s="28">
        <f t="shared" si="0"/>
        <v>972.61386249999998</v>
      </c>
      <c r="I8" s="29">
        <f t="shared" si="1"/>
        <v>52.697945240850686</v>
      </c>
      <c r="J8" s="30">
        <v>622472872</v>
      </c>
      <c r="K8" s="30">
        <v>15944776</v>
      </c>
      <c r="L8" s="31"/>
      <c r="M8" s="31"/>
      <c r="O8" s="28" t="str">
        <f t="shared" si="2"/>
        <v>·</v>
      </c>
      <c r="P8" s="29" t="str">
        <f t="shared" si="3"/>
        <v>·</v>
      </c>
      <c r="Q8" s="30"/>
      <c r="R8" s="30"/>
      <c r="S8" s="31"/>
      <c r="T8" s="31"/>
      <c r="V8" s="32" t="e">
        <f t="shared" si="4"/>
        <v>#VALUE!</v>
      </c>
      <c r="X8" s="32" t="str">
        <f t="shared" si="5"/>
        <v>.</v>
      </c>
    </row>
    <row r="9" spans="1:24" collapsed="1" x14ac:dyDescent="0.15">
      <c r="A9" s="17" t="s">
        <v>177</v>
      </c>
      <c r="B9" s="17" t="s">
        <v>61</v>
      </c>
      <c r="C9" s="17">
        <v>12000000</v>
      </c>
      <c r="D9" s="18">
        <v>12</v>
      </c>
      <c r="E9" s="19">
        <v>32</v>
      </c>
      <c r="F9" s="19">
        <v>30</v>
      </c>
      <c r="H9" s="20">
        <f t="shared" si="0"/>
        <v>2868.3063000000002</v>
      </c>
      <c r="I9" s="21">
        <f t="shared" si="1"/>
        <v>254.96055999999999</v>
      </c>
      <c r="J9" s="22">
        <v>3059526720</v>
      </c>
      <c r="K9" s="22">
        <v>17823088</v>
      </c>
      <c r="L9" s="23"/>
      <c r="M9" s="23"/>
      <c r="O9" s="20" t="str">
        <f t="shared" si="2"/>
        <v>·</v>
      </c>
      <c r="P9" s="21" t="str">
        <f t="shared" si="3"/>
        <v>·</v>
      </c>
      <c r="Q9" s="22"/>
      <c r="R9" s="22"/>
      <c r="S9" s="23"/>
      <c r="T9" s="23"/>
      <c r="V9" s="24" t="e">
        <f t="shared" si="4"/>
        <v>#VALUE!</v>
      </c>
      <c r="X9" s="24" t="str">
        <f t="shared" si="5"/>
        <v>.</v>
      </c>
    </row>
    <row r="10" spans="1:24" collapsed="1" x14ac:dyDescent="0.15">
      <c r="A10" s="33"/>
      <c r="B10" s="33" t="s">
        <v>66</v>
      </c>
      <c r="C10" s="33">
        <v>5997654</v>
      </c>
      <c r="D10" s="34">
        <v>12</v>
      </c>
      <c r="E10" s="35">
        <v>32</v>
      </c>
      <c r="F10" s="35">
        <v>30</v>
      </c>
      <c r="H10" s="36">
        <f t="shared" si="0"/>
        <v>2416.7296124999998</v>
      </c>
      <c r="I10" s="37">
        <f t="shared" si="1"/>
        <v>429.80887527023066</v>
      </c>
      <c r="J10" s="38">
        <v>2577844920</v>
      </c>
      <c r="K10" s="38">
        <v>25888504</v>
      </c>
      <c r="L10" s="39"/>
      <c r="M10" s="39"/>
      <c r="O10" s="36" t="str">
        <f t="shared" si="2"/>
        <v>·</v>
      </c>
      <c r="P10" s="37" t="str">
        <f t="shared" si="3"/>
        <v>·</v>
      </c>
      <c r="Q10" s="38"/>
      <c r="R10" s="38"/>
      <c r="S10" s="39"/>
      <c r="T10" s="39"/>
      <c r="V10" s="40" t="e">
        <f t="shared" si="4"/>
        <v>#VALUE!</v>
      </c>
      <c r="X10" s="40" t="str">
        <f t="shared" si="5"/>
        <v>.</v>
      </c>
    </row>
    <row r="11" spans="1:24" collapsed="1" x14ac:dyDescent="0.15">
      <c r="A11" s="17"/>
      <c r="B11" s="17" t="s">
        <v>32</v>
      </c>
      <c r="C11" s="17">
        <v>9000000</v>
      </c>
      <c r="D11" s="18">
        <v>12</v>
      </c>
      <c r="E11" s="19">
        <v>32</v>
      </c>
      <c r="F11" s="19">
        <v>30</v>
      </c>
      <c r="H11" s="20">
        <f t="shared" si="0"/>
        <v>3549.9082800000001</v>
      </c>
      <c r="I11" s="21">
        <f t="shared" si="1"/>
        <v>420.72987022222225</v>
      </c>
      <c r="J11" s="22">
        <v>3786568832</v>
      </c>
      <c r="K11" s="22">
        <v>14484440</v>
      </c>
      <c r="L11" s="23"/>
      <c r="M11" s="23"/>
      <c r="O11" s="20" t="str">
        <f t="shared" si="2"/>
        <v>·</v>
      </c>
      <c r="P11" s="21" t="str">
        <f t="shared" si="3"/>
        <v>·</v>
      </c>
      <c r="Q11" s="22"/>
      <c r="R11" s="22"/>
      <c r="S11" s="23"/>
      <c r="T11" s="23"/>
      <c r="V11" s="24" t="e">
        <f t="shared" si="4"/>
        <v>#VALUE!</v>
      </c>
      <c r="X11" s="24" t="str">
        <f t="shared" si="5"/>
        <v>.</v>
      </c>
    </row>
    <row r="12" spans="1:24" ht="15.75" customHeight="1" collapsed="1" thickBot="1" x14ac:dyDescent="0.2">
      <c r="A12" s="25"/>
      <c r="B12" s="25" t="s">
        <v>75</v>
      </c>
      <c r="C12" s="25">
        <v>9000000</v>
      </c>
      <c r="D12" s="26">
        <v>12</v>
      </c>
      <c r="E12" s="27">
        <v>32</v>
      </c>
      <c r="F12" s="27">
        <v>30</v>
      </c>
      <c r="H12" s="28">
        <f t="shared" si="0"/>
        <v>2569.3881375000001</v>
      </c>
      <c r="I12" s="29">
        <f t="shared" si="1"/>
        <v>304.52007555555554</v>
      </c>
      <c r="J12" s="30">
        <v>2740680680</v>
      </c>
      <c r="K12" s="30">
        <v>13920568</v>
      </c>
      <c r="L12" s="31"/>
      <c r="M12" s="31"/>
      <c r="O12" s="28" t="str">
        <f t="shared" si="2"/>
        <v>·</v>
      </c>
      <c r="P12" s="29" t="str">
        <f t="shared" si="3"/>
        <v>·</v>
      </c>
      <c r="Q12" s="30"/>
      <c r="R12" s="30"/>
      <c r="S12" s="31"/>
      <c r="T12" s="31"/>
      <c r="V12" s="32" t="e">
        <f t="shared" si="4"/>
        <v>#VALUE!</v>
      </c>
      <c r="X12" s="32" t="str">
        <f t="shared" si="5"/>
        <v>.</v>
      </c>
    </row>
    <row r="13" spans="1:24" ht="15.75" customHeight="1" thickBot="1" x14ac:dyDescent="0.2">
      <c r="A13" s="105" t="s">
        <v>427</v>
      </c>
      <c r="B13" s="105" t="s">
        <v>428</v>
      </c>
      <c r="C13" s="105">
        <v>199984</v>
      </c>
      <c r="D13" s="106">
        <v>10</v>
      </c>
      <c r="E13" s="107">
        <v>1</v>
      </c>
      <c r="F13" s="107">
        <v>30</v>
      </c>
      <c r="H13" s="108">
        <f t="shared" si="0"/>
        <v>946.35527999999999</v>
      </c>
      <c r="I13" s="109">
        <f t="shared" si="1"/>
        <v>157.73849907992638</v>
      </c>
      <c r="J13" s="110">
        <v>31545176</v>
      </c>
      <c r="K13" s="110">
        <v>2158424</v>
      </c>
      <c r="L13" s="111"/>
      <c r="M13" s="111"/>
      <c r="O13" s="108" t="str">
        <f t="shared" si="2"/>
        <v>·</v>
      </c>
      <c r="P13" s="29" t="str">
        <f t="shared" si="3"/>
        <v>·</v>
      </c>
      <c r="Q13" s="110"/>
      <c r="R13" s="110"/>
      <c r="S13" s="111"/>
      <c r="T13" s="111"/>
      <c r="V13" s="32" t="e">
        <f t="shared" si="4"/>
        <v>#VALUE!</v>
      </c>
      <c r="X13" s="32" t="str">
        <f t="shared" si="5"/>
        <v>.</v>
      </c>
    </row>
    <row r="14" spans="1:24" x14ac:dyDescent="0.15">
      <c r="B14" s="41" t="s">
        <v>7</v>
      </c>
      <c r="I14" s="42">
        <f>AVERAGE(I5:I6)</f>
        <v>75.280658750619395</v>
      </c>
      <c r="P14" s="42" t="e">
        <f>AVERAGE(P5:P6)</f>
        <v>#DIV/0!</v>
      </c>
      <c r="V14" s="5" t="e">
        <f t="shared" si="4"/>
        <v>#DIV/0!</v>
      </c>
      <c r="X14" s="42" t="e">
        <f>AVERAGE(X5:X6)</f>
        <v>#DIV/0!</v>
      </c>
    </row>
    <row r="15" spans="1:24" x14ac:dyDescent="0.15">
      <c r="B15" s="41" t="s">
        <v>8</v>
      </c>
      <c r="I15" s="42">
        <f>AVERAGE(I7:I8)</f>
        <v>53.251596011301316</v>
      </c>
      <c r="P15" s="42" t="e">
        <f>AVERAGE(P7:P8)</f>
        <v>#DIV/0!</v>
      </c>
      <c r="V15" s="5" t="e">
        <f t="shared" si="4"/>
        <v>#DIV/0!</v>
      </c>
      <c r="X15" s="42" t="e">
        <f>AVERAGE(X7:X8)</f>
        <v>#DIV/0!</v>
      </c>
    </row>
    <row r="16" spans="1:24" x14ac:dyDescent="0.15">
      <c r="B16" s="41" t="s">
        <v>9</v>
      </c>
      <c r="I16" s="42">
        <f>AVERAGE(I9:I12)</f>
        <v>352.50484526200205</v>
      </c>
      <c r="P16" s="42" t="e">
        <f>AVERAGE(P9:P12)</f>
        <v>#DIV/0!</v>
      </c>
      <c r="V16" s="5" t="e">
        <f t="shared" si="4"/>
        <v>#DIV/0!</v>
      </c>
      <c r="X16" s="42" t="e">
        <f>AVERAGE(X9:X12)</f>
        <v>#DIV/0!</v>
      </c>
    </row>
    <row r="17" spans="1:24" x14ac:dyDescent="0.15">
      <c r="B17" s="41" t="s">
        <v>429</v>
      </c>
      <c r="I17" s="42">
        <f>AVERAGE(I13)</f>
        <v>157.73849907992638</v>
      </c>
      <c r="P17" s="42" t="e">
        <f>AVERAGE(P13)</f>
        <v>#DIV/0!</v>
      </c>
      <c r="V17" s="5" t="e">
        <f>P17/I17</f>
        <v>#DIV/0!</v>
      </c>
      <c r="X17" s="42" t="e">
        <f>AVERAGE(X10:X13)</f>
        <v>#DIV/0!</v>
      </c>
    </row>
    <row r="18" spans="1:24" x14ac:dyDescent="0.15">
      <c r="B18" s="41" t="s">
        <v>10</v>
      </c>
      <c r="I18" s="42">
        <f>AVERAGE(I5:I13)</f>
        <v>202.75804329464179</v>
      </c>
      <c r="P18" s="42" t="e">
        <f>AVERAGE(P5:P13)</f>
        <v>#DIV/0!</v>
      </c>
      <c r="V18" s="5" t="e">
        <f t="shared" si="4"/>
        <v>#DIV/0!</v>
      </c>
      <c r="X18" s="42" t="e">
        <f>AVERAGE(X5:X12)</f>
        <v>#DIV/0!</v>
      </c>
    </row>
    <row r="19" spans="1:24" x14ac:dyDescent="0.15">
      <c r="A19" s="41" t="s">
        <v>178</v>
      </c>
      <c r="B19" s="41" t="s">
        <v>179</v>
      </c>
      <c r="L19" s="43">
        <f>SUM(L5:L6,L7:L8,L9:L12)</f>
        <v>0</v>
      </c>
      <c r="M19" s="43">
        <f>SUM(M5:M6,M7:M8,M9:M12)</f>
        <v>0</v>
      </c>
      <c r="S19" s="43">
        <f>SUM(S5:S6,S7:S8,S9:S12)</f>
        <v>0</v>
      </c>
      <c r="T19" s="43">
        <f>SUM(T5:T6,T7:T8,T9:T12)</f>
        <v>0</v>
      </c>
    </row>
    <row r="20" spans="1:24" x14ac:dyDescent="0.15">
      <c r="B20" s="41" t="s">
        <v>180</v>
      </c>
      <c r="S20" s="8" t="e">
        <f>S19/L19</f>
        <v>#DIV/0!</v>
      </c>
      <c r="T20" s="8" t="e">
        <f>T19/M19</f>
        <v>#DIV/0!</v>
      </c>
    </row>
    <row r="22" spans="1:24" x14ac:dyDescent="0.15">
      <c r="Q22" s="98">
        <f>Q5-J5</f>
        <v>-909540368</v>
      </c>
      <c r="R22" s="98">
        <f>R5-K5</f>
        <v>-13582720</v>
      </c>
    </row>
    <row r="23" spans="1:24" x14ac:dyDescent="0.15">
      <c r="Q23" s="98">
        <f t="shared" ref="Q23:R23" si="6">Q6-J6</f>
        <v>-672751024</v>
      </c>
      <c r="R23" s="98">
        <f t="shared" si="6"/>
        <v>-14382896</v>
      </c>
    </row>
    <row r="24" spans="1:24" x14ac:dyDescent="0.15">
      <c r="Q24" s="98">
        <f t="shared" ref="Q24:R24" si="7">Q7-J7</f>
        <v>-637161840</v>
      </c>
      <c r="R24" s="98">
        <f t="shared" si="7"/>
        <v>-16140216</v>
      </c>
    </row>
    <row r="25" spans="1:24" x14ac:dyDescent="0.15">
      <c r="Q25" s="98">
        <f t="shared" ref="Q25:R25" si="8">Q8-J8</f>
        <v>-622472872</v>
      </c>
      <c r="R25" s="98">
        <f t="shared" si="8"/>
        <v>-15944776</v>
      </c>
    </row>
    <row r="26" spans="1:24" x14ac:dyDescent="0.15">
      <c r="Q26" s="98">
        <f t="shared" ref="Q26:R26" si="9">Q9-J9</f>
        <v>-3059526720</v>
      </c>
      <c r="R26" s="98">
        <f t="shared" si="9"/>
        <v>-17823088</v>
      </c>
    </row>
    <row r="27" spans="1:24" x14ac:dyDescent="0.15">
      <c r="Q27" s="98">
        <f t="shared" ref="Q27:R27" si="10">Q10-J10</f>
        <v>-2577844920</v>
      </c>
      <c r="R27" s="98">
        <f t="shared" si="10"/>
        <v>-25888504</v>
      </c>
    </row>
    <row r="28" spans="1:24" x14ac:dyDescent="0.15">
      <c r="Q28" s="98">
        <f t="shared" ref="Q28:R28" si="11">Q11-J11</f>
        <v>-3786568832</v>
      </c>
      <c r="R28" s="98">
        <f t="shared" si="11"/>
        <v>-14484440</v>
      </c>
    </row>
    <row r="29" spans="1:24" x14ac:dyDescent="0.15">
      <c r="Q29" s="98">
        <f t="shared" ref="Q29:R29" si="12">Q12-J12</f>
        <v>-2740680680</v>
      </c>
      <c r="R29" s="98">
        <f t="shared" si="12"/>
        <v>-13920568</v>
      </c>
    </row>
    <row r="30" spans="1:24" x14ac:dyDescent="0.15">
      <c r="Q30" s="98"/>
      <c r="R30" s="98"/>
    </row>
  </sheetData>
  <mergeCells count="21"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  <mergeCell ref="D2:D3"/>
    <mergeCell ref="E2:E3"/>
    <mergeCell ref="T2:T3"/>
    <mergeCell ref="X2:X3"/>
    <mergeCell ref="V2:V3"/>
  </mergeCells>
  <phoneticPr fontId="2" type="noConversion"/>
  <conditionalFormatting sqref="V5:V18">
    <cfRule type="cellIs" dxfId="156" priority="5" operator="greaterThanOrEqual">
      <formula>1.03</formula>
    </cfRule>
    <cfRule type="cellIs" dxfId="155" priority="6" operator="lessThanOrEqual">
      <formula>0.97</formula>
    </cfRule>
  </conditionalFormatting>
  <conditionalFormatting sqref="X5:X13">
    <cfRule type="cellIs" dxfId="154" priority="3" operator="greaterThanOrEqual">
      <formula>0.1%</formula>
    </cfRule>
    <cfRule type="cellIs" dxfId="153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8"/>
  <sheetViews>
    <sheetView topLeftCell="A130" workbookViewId="0">
      <selection activeCell="A155" sqref="A155"/>
    </sheetView>
  </sheetViews>
  <sheetFormatPr defaultColWidth="9.125" defaultRowHeight="13.5" x14ac:dyDescent="0.15"/>
  <cols>
    <col min="1" max="1" width="41.625" bestFit="1" customWidth="1"/>
  </cols>
  <sheetData>
    <row r="1" spans="1:2" x14ac:dyDescent="0.15">
      <c r="A1" t="s">
        <v>181</v>
      </c>
      <c r="B1">
        <v>1</v>
      </c>
    </row>
    <row r="2" spans="1:2" x14ac:dyDescent="0.15">
      <c r="A2" t="s">
        <v>182</v>
      </c>
      <c r="B2">
        <v>2</v>
      </c>
    </row>
    <row r="3" spans="1:2" x14ac:dyDescent="0.15">
      <c r="A3" t="s">
        <v>183</v>
      </c>
      <c r="B3">
        <v>3</v>
      </c>
    </row>
    <row r="4" spans="1:2" x14ac:dyDescent="0.15">
      <c r="A4" t="s">
        <v>184</v>
      </c>
      <c r="B4">
        <v>4</v>
      </c>
    </row>
    <row r="5" spans="1:2" x14ac:dyDescent="0.15">
      <c r="A5" t="s">
        <v>185</v>
      </c>
      <c r="B5">
        <v>5</v>
      </c>
    </row>
    <row r="6" spans="1:2" x14ac:dyDescent="0.15">
      <c r="A6" t="s">
        <v>186</v>
      </c>
      <c r="B6">
        <v>6</v>
      </c>
    </row>
    <row r="7" spans="1:2" x14ac:dyDescent="0.15">
      <c r="A7" t="s">
        <v>187</v>
      </c>
      <c r="B7">
        <v>8</v>
      </c>
    </row>
    <row r="8" spans="1:2" x14ac:dyDescent="0.15">
      <c r="A8" t="s">
        <v>188</v>
      </c>
      <c r="B8">
        <v>9</v>
      </c>
    </row>
    <row r="9" spans="1:2" x14ac:dyDescent="0.15">
      <c r="A9" t="s">
        <v>189</v>
      </c>
      <c r="B9">
        <v>10</v>
      </c>
    </row>
    <row r="10" spans="1:2" x14ac:dyDescent="0.15">
      <c r="A10" t="s">
        <v>190</v>
      </c>
      <c r="B10">
        <v>11</v>
      </c>
    </row>
    <row r="11" spans="1:2" x14ac:dyDescent="0.15">
      <c r="A11" t="s">
        <v>191</v>
      </c>
      <c r="B11">
        <v>12</v>
      </c>
    </row>
    <row r="12" spans="1:2" x14ac:dyDescent="0.15">
      <c r="A12" t="s">
        <v>192</v>
      </c>
      <c r="B12">
        <v>14</v>
      </c>
    </row>
    <row r="13" spans="1:2" x14ac:dyDescent="0.15">
      <c r="A13" t="s">
        <v>193</v>
      </c>
      <c r="B13">
        <v>15</v>
      </c>
    </row>
    <row r="14" spans="1:2" x14ac:dyDescent="0.15">
      <c r="A14" t="s">
        <v>194</v>
      </c>
      <c r="B14">
        <v>16</v>
      </c>
    </row>
    <row r="15" spans="1:2" x14ac:dyDescent="0.15">
      <c r="A15" t="s">
        <v>195</v>
      </c>
      <c r="B15">
        <v>17</v>
      </c>
    </row>
    <row r="16" spans="1:2" x14ac:dyDescent="0.15">
      <c r="A16" t="s">
        <v>196</v>
      </c>
      <c r="B16">
        <v>18</v>
      </c>
    </row>
    <row r="17" spans="1:2" x14ac:dyDescent="0.15">
      <c r="A17" t="s">
        <v>197</v>
      </c>
      <c r="B17">
        <v>20</v>
      </c>
    </row>
    <row r="18" spans="1:2" x14ac:dyDescent="0.15">
      <c r="A18" t="s">
        <v>198</v>
      </c>
      <c r="B18" t="s">
        <v>199</v>
      </c>
    </row>
    <row r="19" spans="1:2" x14ac:dyDescent="0.15">
      <c r="A19" t="s">
        <v>200</v>
      </c>
      <c r="B19" t="s">
        <v>201</v>
      </c>
    </row>
    <row r="20" spans="1:2" x14ac:dyDescent="0.15">
      <c r="A20" t="s">
        <v>202</v>
      </c>
      <c r="B20" t="s">
        <v>203</v>
      </c>
    </row>
    <row r="21" spans="1:2" x14ac:dyDescent="0.15">
      <c r="A21" t="s">
        <v>204</v>
      </c>
      <c r="B21" t="s">
        <v>205</v>
      </c>
    </row>
    <row r="22" spans="1:2" x14ac:dyDescent="0.15">
      <c r="A22" t="s">
        <v>206</v>
      </c>
      <c r="B22" t="s">
        <v>207</v>
      </c>
    </row>
    <row r="23" spans="1:2" x14ac:dyDescent="0.15">
      <c r="A23" t="s">
        <v>208</v>
      </c>
      <c r="B23" t="s">
        <v>209</v>
      </c>
    </row>
    <row r="24" spans="1:2" x14ac:dyDescent="0.15">
      <c r="A24" t="s">
        <v>210</v>
      </c>
      <c r="B24" t="s">
        <v>211</v>
      </c>
    </row>
    <row r="25" spans="1:2" x14ac:dyDescent="0.15">
      <c r="A25" t="s">
        <v>212</v>
      </c>
      <c r="B25" t="s">
        <v>213</v>
      </c>
    </row>
    <row r="26" spans="1:2" x14ac:dyDescent="0.15">
      <c r="A26" t="s">
        <v>214</v>
      </c>
      <c r="B26" t="s">
        <v>215</v>
      </c>
    </row>
    <row r="27" spans="1:2" x14ac:dyDescent="0.15">
      <c r="A27" t="s">
        <v>216</v>
      </c>
      <c r="B27" t="s">
        <v>217</v>
      </c>
    </row>
    <row r="28" spans="1:2" x14ac:dyDescent="0.15">
      <c r="A28" t="s">
        <v>432</v>
      </c>
      <c r="B28" s="97" t="s">
        <v>433</v>
      </c>
    </row>
    <row r="29" spans="1:2" x14ac:dyDescent="0.15">
      <c r="A29" t="s">
        <v>218</v>
      </c>
      <c r="B29">
        <v>1</v>
      </c>
    </row>
    <row r="30" spans="1:2" x14ac:dyDescent="0.15">
      <c r="A30" t="s">
        <v>219</v>
      </c>
      <c r="B30">
        <v>2</v>
      </c>
    </row>
    <row r="31" spans="1:2" x14ac:dyDescent="0.15">
      <c r="A31" t="s">
        <v>220</v>
      </c>
      <c r="B31">
        <v>3</v>
      </c>
    </row>
    <row r="32" spans="1:2" x14ac:dyDescent="0.15">
      <c r="A32" t="s">
        <v>221</v>
      </c>
      <c r="B32">
        <v>4</v>
      </c>
    </row>
    <row r="33" spans="1:2" x14ac:dyDescent="0.15">
      <c r="A33" t="s">
        <v>222</v>
      </c>
      <c r="B33">
        <v>5</v>
      </c>
    </row>
    <row r="34" spans="1:2" x14ac:dyDescent="0.15">
      <c r="A34" t="s">
        <v>223</v>
      </c>
      <c r="B34">
        <v>6</v>
      </c>
    </row>
    <row r="35" spans="1:2" x14ac:dyDescent="0.15">
      <c r="A35" t="s">
        <v>224</v>
      </c>
      <c r="B35">
        <v>7</v>
      </c>
    </row>
    <row r="36" spans="1:2" x14ac:dyDescent="0.15">
      <c r="A36" t="s">
        <v>225</v>
      </c>
      <c r="B36">
        <v>8</v>
      </c>
    </row>
    <row r="37" spans="1:2" x14ac:dyDescent="0.15">
      <c r="A37" t="s">
        <v>226</v>
      </c>
      <c r="B37">
        <v>10</v>
      </c>
    </row>
    <row r="38" spans="1:2" x14ac:dyDescent="0.15">
      <c r="A38" t="s">
        <v>227</v>
      </c>
      <c r="B38">
        <v>11</v>
      </c>
    </row>
    <row r="39" spans="1:2" x14ac:dyDescent="0.15">
      <c r="A39" t="s">
        <v>408</v>
      </c>
      <c r="B39">
        <v>13</v>
      </c>
    </row>
    <row r="40" spans="1:2" x14ac:dyDescent="0.15">
      <c r="A40" t="s">
        <v>228</v>
      </c>
      <c r="B40">
        <v>14</v>
      </c>
    </row>
    <row r="41" spans="1:2" x14ac:dyDescent="0.15">
      <c r="A41" t="s">
        <v>229</v>
      </c>
      <c r="B41">
        <v>15</v>
      </c>
    </row>
    <row r="42" spans="1:2" x14ac:dyDescent="0.15">
      <c r="A42" t="s">
        <v>407</v>
      </c>
      <c r="B42">
        <v>16</v>
      </c>
    </row>
    <row r="43" spans="1:2" x14ac:dyDescent="0.15">
      <c r="A43" t="s">
        <v>406</v>
      </c>
      <c r="B43">
        <v>17</v>
      </c>
    </row>
    <row r="44" spans="1:2" x14ac:dyDescent="0.15">
      <c r="A44" t="s">
        <v>230</v>
      </c>
      <c r="B44">
        <v>18</v>
      </c>
    </row>
    <row r="45" spans="1:2" x14ac:dyDescent="0.15">
      <c r="A45" t="s">
        <v>231</v>
      </c>
      <c r="B45">
        <v>19</v>
      </c>
    </row>
    <row r="46" spans="1:2" x14ac:dyDescent="0.15">
      <c r="A46" t="s">
        <v>373</v>
      </c>
      <c r="B46">
        <v>20</v>
      </c>
    </row>
    <row r="47" spans="1:2" x14ac:dyDescent="0.15">
      <c r="A47" t="s">
        <v>232</v>
      </c>
      <c r="B47">
        <v>21</v>
      </c>
    </row>
    <row r="48" spans="1:2" x14ac:dyDescent="0.15">
      <c r="A48" t="s">
        <v>233</v>
      </c>
      <c r="B48">
        <v>22</v>
      </c>
    </row>
    <row r="49" spans="1:2" x14ac:dyDescent="0.15">
      <c r="A49" t="s">
        <v>234</v>
      </c>
      <c r="B49">
        <v>23</v>
      </c>
    </row>
    <row r="50" spans="1:2" x14ac:dyDescent="0.15">
      <c r="A50" t="s">
        <v>235</v>
      </c>
      <c r="B50">
        <v>24</v>
      </c>
    </row>
    <row r="51" spans="1:2" x14ac:dyDescent="0.15">
      <c r="A51" t="s">
        <v>236</v>
      </c>
      <c r="B51">
        <v>25</v>
      </c>
    </row>
    <row r="52" spans="1:2" x14ac:dyDescent="0.15">
      <c r="A52" t="s">
        <v>237</v>
      </c>
      <c r="B52">
        <v>26</v>
      </c>
    </row>
    <row r="53" spans="1:2" x14ac:dyDescent="0.15">
      <c r="A53" t="s">
        <v>238</v>
      </c>
      <c r="B53">
        <v>27</v>
      </c>
    </row>
    <row r="54" spans="1:2" x14ac:dyDescent="0.15">
      <c r="A54" t="s">
        <v>239</v>
      </c>
      <c r="B54">
        <v>28</v>
      </c>
    </row>
    <row r="55" spans="1:2" x14ac:dyDescent="0.15">
      <c r="A55" t="s">
        <v>240</v>
      </c>
      <c r="B55">
        <v>29</v>
      </c>
    </row>
    <row r="56" spans="1:2" x14ac:dyDescent="0.15">
      <c r="A56" t="s">
        <v>241</v>
      </c>
      <c r="B56">
        <v>31</v>
      </c>
    </row>
    <row r="57" spans="1:2" x14ac:dyDescent="0.15">
      <c r="A57" t="s">
        <v>242</v>
      </c>
      <c r="B57">
        <v>32</v>
      </c>
    </row>
    <row r="58" spans="1:2" x14ac:dyDescent="0.15">
      <c r="A58" t="s">
        <v>402</v>
      </c>
      <c r="B58">
        <v>34</v>
      </c>
    </row>
    <row r="59" spans="1:2" x14ac:dyDescent="0.15">
      <c r="A59" t="s">
        <v>243</v>
      </c>
      <c r="B59">
        <v>35</v>
      </c>
    </row>
    <row r="60" spans="1:2" x14ac:dyDescent="0.15">
      <c r="A60" t="s">
        <v>244</v>
      </c>
      <c r="B60">
        <v>36</v>
      </c>
    </row>
    <row r="61" spans="1:2" x14ac:dyDescent="0.15">
      <c r="A61" t="s">
        <v>403</v>
      </c>
      <c r="B61">
        <v>37</v>
      </c>
    </row>
    <row r="62" spans="1:2" x14ac:dyDescent="0.15">
      <c r="A62" t="s">
        <v>404</v>
      </c>
      <c r="B62">
        <v>38</v>
      </c>
    </row>
    <row r="63" spans="1:2" x14ac:dyDescent="0.15">
      <c r="A63" t="s">
        <v>245</v>
      </c>
      <c r="B63">
        <v>39</v>
      </c>
    </row>
    <row r="64" spans="1:2" x14ac:dyDescent="0.15">
      <c r="A64" t="s">
        <v>246</v>
      </c>
      <c r="B64">
        <v>40</v>
      </c>
    </row>
    <row r="65" spans="1:2" x14ac:dyDescent="0.15">
      <c r="A65" t="s">
        <v>405</v>
      </c>
      <c r="B65">
        <v>41</v>
      </c>
    </row>
    <row r="66" spans="1:2" x14ac:dyDescent="0.15">
      <c r="A66" t="s">
        <v>247</v>
      </c>
      <c r="B66">
        <v>42</v>
      </c>
    </row>
    <row r="67" spans="1:2" x14ac:dyDescent="0.15">
      <c r="A67" t="s">
        <v>248</v>
      </c>
      <c r="B67">
        <v>43</v>
      </c>
    </row>
    <row r="68" spans="1:2" x14ac:dyDescent="0.15">
      <c r="A68" t="s">
        <v>249</v>
      </c>
      <c r="B68">
        <v>44</v>
      </c>
    </row>
    <row r="69" spans="1:2" x14ac:dyDescent="0.15">
      <c r="A69" t="s">
        <v>250</v>
      </c>
      <c r="B69">
        <v>45</v>
      </c>
    </row>
    <row r="70" spans="1:2" x14ac:dyDescent="0.15">
      <c r="A70" t="s">
        <v>251</v>
      </c>
      <c r="B70">
        <v>46</v>
      </c>
    </row>
    <row r="71" spans="1:2" x14ac:dyDescent="0.15">
      <c r="A71" t="s">
        <v>252</v>
      </c>
      <c r="B71">
        <v>47</v>
      </c>
    </row>
    <row r="72" spans="1:2" x14ac:dyDescent="0.15">
      <c r="A72" t="s">
        <v>253</v>
      </c>
      <c r="B72">
        <v>48</v>
      </c>
    </row>
    <row r="73" spans="1:2" x14ac:dyDescent="0.15">
      <c r="A73" t="s">
        <v>254</v>
      </c>
      <c r="B73">
        <v>49</v>
      </c>
    </row>
    <row r="74" spans="1:2" x14ac:dyDescent="0.15">
      <c r="A74" t="s">
        <v>255</v>
      </c>
      <c r="B74">
        <v>50</v>
      </c>
    </row>
    <row r="75" spans="1:2" x14ac:dyDescent="0.15">
      <c r="A75" t="s">
        <v>256</v>
      </c>
      <c r="B75">
        <v>52</v>
      </c>
    </row>
    <row r="76" spans="1:2" x14ac:dyDescent="0.15">
      <c r="A76" t="s">
        <v>257</v>
      </c>
      <c r="B76">
        <v>53</v>
      </c>
    </row>
    <row r="77" spans="1:2" x14ac:dyDescent="0.15">
      <c r="A77" t="s">
        <v>258</v>
      </c>
      <c r="B77">
        <v>54</v>
      </c>
    </row>
    <row r="78" spans="1:2" x14ac:dyDescent="0.15">
      <c r="A78" t="s">
        <v>259</v>
      </c>
      <c r="B78">
        <v>55</v>
      </c>
    </row>
    <row r="79" spans="1:2" x14ac:dyDescent="0.15">
      <c r="A79" t="s">
        <v>260</v>
      </c>
      <c r="B79">
        <v>56</v>
      </c>
    </row>
    <row r="80" spans="1:2" x14ac:dyDescent="0.15">
      <c r="A80" t="s">
        <v>261</v>
      </c>
      <c r="B80">
        <v>57</v>
      </c>
    </row>
    <row r="81" spans="1:19" x14ac:dyDescent="0.15">
      <c r="A81" t="s">
        <v>262</v>
      </c>
      <c r="B81">
        <v>58</v>
      </c>
    </row>
    <row r="82" spans="1:19" x14ac:dyDescent="0.15">
      <c r="A82" t="s">
        <v>263</v>
      </c>
      <c r="B82" t="s">
        <v>264</v>
      </c>
    </row>
    <row r="83" spans="1:19" x14ac:dyDescent="0.15">
      <c r="A83" t="s">
        <v>265</v>
      </c>
      <c r="B83" s="97" t="s">
        <v>425</v>
      </c>
    </row>
    <row r="84" spans="1:19" x14ac:dyDescent="0.15">
      <c r="A84" t="s">
        <v>266</v>
      </c>
      <c r="B84" s="97" t="s">
        <v>382</v>
      </c>
    </row>
    <row r="85" spans="1:19" x14ac:dyDescent="0.15">
      <c r="A85" t="s">
        <v>267</v>
      </c>
      <c r="B85" s="97" t="s">
        <v>383</v>
      </c>
    </row>
    <row r="86" spans="1:19" x14ac:dyDescent="0.15">
      <c r="A86" t="s">
        <v>268</v>
      </c>
      <c r="B86" s="97" t="s">
        <v>384</v>
      </c>
    </row>
    <row r="87" spans="1:19" x14ac:dyDescent="0.15">
      <c r="A87" t="s">
        <v>269</v>
      </c>
      <c r="B87" s="97" t="s">
        <v>385</v>
      </c>
    </row>
    <row r="88" spans="1:19" x14ac:dyDescent="0.15">
      <c r="A88" t="s">
        <v>270</v>
      </c>
      <c r="B88" s="97" t="s">
        <v>386</v>
      </c>
    </row>
    <row r="89" spans="1:19" x14ac:dyDescent="0.15">
      <c r="A89" t="s">
        <v>271</v>
      </c>
      <c r="B89" s="97" t="s">
        <v>372</v>
      </c>
    </row>
    <row r="90" spans="1:19" x14ac:dyDescent="0.15">
      <c r="A90" t="s">
        <v>272</v>
      </c>
      <c r="B90" s="97" t="s">
        <v>387</v>
      </c>
    </row>
    <row r="91" spans="1:19" x14ac:dyDescent="0.15">
      <c r="A91" t="s">
        <v>273</v>
      </c>
      <c r="B91" s="97" t="s">
        <v>388</v>
      </c>
    </row>
    <row r="92" spans="1:19" x14ac:dyDescent="0.15">
      <c r="A92" t="s">
        <v>430</v>
      </c>
      <c r="B92" s="97" t="s">
        <v>431</v>
      </c>
    </row>
    <row r="93" spans="1:19" x14ac:dyDescent="0.15">
      <c r="A93" t="s">
        <v>274</v>
      </c>
      <c r="B93" t="s">
        <v>57</v>
      </c>
      <c r="C93" t="s">
        <v>101</v>
      </c>
      <c r="D93" t="s">
        <v>52</v>
      </c>
      <c r="E93" t="s">
        <v>130</v>
      </c>
      <c r="F93" t="s">
        <v>42</v>
      </c>
      <c r="G93" t="s">
        <v>47</v>
      </c>
      <c r="H93" t="s">
        <v>71</v>
      </c>
      <c r="I93" t="s">
        <v>40</v>
      </c>
      <c r="J93" t="s">
        <v>67</v>
      </c>
      <c r="K93" t="s">
        <v>119</v>
      </c>
      <c r="L93" t="s">
        <v>62</v>
      </c>
      <c r="M93" t="s">
        <v>80</v>
      </c>
      <c r="N93" t="s">
        <v>121</v>
      </c>
      <c r="O93" t="s">
        <v>146</v>
      </c>
      <c r="P93" t="s">
        <v>393</v>
      </c>
      <c r="Q93" t="s">
        <v>394</v>
      </c>
      <c r="R93" t="s">
        <v>371</v>
      </c>
      <c r="S93" t="s">
        <v>395</v>
      </c>
    </row>
    <row r="94" spans="1:19" x14ac:dyDescent="0.15">
      <c r="A94" t="s">
        <v>275</v>
      </c>
      <c r="B94">
        <v>1</v>
      </c>
    </row>
    <row r="95" spans="1:19" x14ac:dyDescent="0.15">
      <c r="A95" t="s">
        <v>276</v>
      </c>
      <c r="B95">
        <v>2</v>
      </c>
    </row>
    <row r="96" spans="1:19" x14ac:dyDescent="0.15">
      <c r="A96" t="s">
        <v>277</v>
      </c>
      <c r="B96">
        <v>3</v>
      </c>
    </row>
    <row r="97" spans="1:2" x14ac:dyDescent="0.15">
      <c r="A97" t="s">
        <v>278</v>
      </c>
      <c r="B97">
        <v>4</v>
      </c>
    </row>
    <row r="98" spans="1:2" x14ac:dyDescent="0.15">
      <c r="A98" t="s">
        <v>279</v>
      </c>
      <c r="B98">
        <v>5</v>
      </c>
    </row>
    <row r="99" spans="1:2" x14ac:dyDescent="0.15">
      <c r="A99" t="s">
        <v>280</v>
      </c>
      <c r="B99">
        <v>6</v>
      </c>
    </row>
    <row r="100" spans="1:2" x14ac:dyDescent="0.15">
      <c r="A100" t="s">
        <v>281</v>
      </c>
      <c r="B100">
        <v>7</v>
      </c>
    </row>
    <row r="101" spans="1:2" x14ac:dyDescent="0.15">
      <c r="A101" t="s">
        <v>282</v>
      </c>
      <c r="B101">
        <v>8</v>
      </c>
    </row>
    <row r="102" spans="1:2" x14ac:dyDescent="0.15">
      <c r="A102" t="s">
        <v>283</v>
      </c>
      <c r="B102">
        <v>10</v>
      </c>
    </row>
    <row r="103" spans="1:2" x14ac:dyDescent="0.15">
      <c r="A103" t="s">
        <v>284</v>
      </c>
      <c r="B103">
        <v>11</v>
      </c>
    </row>
    <row r="104" spans="1:2" x14ac:dyDescent="0.15">
      <c r="A104" t="s">
        <v>396</v>
      </c>
      <c r="B104">
        <v>13</v>
      </c>
    </row>
    <row r="105" spans="1:2" x14ac:dyDescent="0.15">
      <c r="A105" t="s">
        <v>285</v>
      </c>
      <c r="B105">
        <v>14</v>
      </c>
    </row>
    <row r="106" spans="1:2" x14ac:dyDescent="0.15">
      <c r="A106" t="s">
        <v>286</v>
      </c>
      <c r="B106">
        <v>15</v>
      </c>
    </row>
    <row r="107" spans="1:2" x14ac:dyDescent="0.15">
      <c r="A107" t="s">
        <v>397</v>
      </c>
      <c r="B107">
        <v>16</v>
      </c>
    </row>
    <row r="108" spans="1:2" x14ac:dyDescent="0.15">
      <c r="A108" t="s">
        <v>398</v>
      </c>
      <c r="B108">
        <v>17</v>
      </c>
    </row>
    <row r="109" spans="1:2" x14ac:dyDescent="0.15">
      <c r="A109" t="s">
        <v>287</v>
      </c>
      <c r="B109">
        <v>18</v>
      </c>
    </row>
    <row r="110" spans="1:2" x14ac:dyDescent="0.15">
      <c r="A110" t="s">
        <v>288</v>
      </c>
      <c r="B110">
        <v>19</v>
      </c>
    </row>
    <row r="111" spans="1:2" x14ac:dyDescent="0.15">
      <c r="A111" t="s">
        <v>369</v>
      </c>
      <c r="B111">
        <v>20</v>
      </c>
    </row>
    <row r="112" spans="1:2" x14ac:dyDescent="0.15">
      <c r="A112" t="s">
        <v>289</v>
      </c>
      <c r="B112">
        <v>21</v>
      </c>
    </row>
    <row r="113" spans="1:2" x14ac:dyDescent="0.15">
      <c r="A113" t="s">
        <v>290</v>
      </c>
      <c r="B113">
        <v>22</v>
      </c>
    </row>
    <row r="114" spans="1:2" x14ac:dyDescent="0.15">
      <c r="A114" t="s">
        <v>291</v>
      </c>
      <c r="B114">
        <v>23</v>
      </c>
    </row>
    <row r="115" spans="1:2" x14ac:dyDescent="0.15">
      <c r="A115" t="s">
        <v>292</v>
      </c>
      <c r="B115">
        <v>24</v>
      </c>
    </row>
    <row r="116" spans="1:2" x14ac:dyDescent="0.15">
      <c r="A116" t="s">
        <v>293</v>
      </c>
      <c r="B116">
        <v>25</v>
      </c>
    </row>
    <row r="117" spans="1:2" x14ac:dyDescent="0.15">
      <c r="A117" t="s">
        <v>294</v>
      </c>
      <c r="B117">
        <v>26</v>
      </c>
    </row>
    <row r="118" spans="1:2" x14ac:dyDescent="0.15">
      <c r="A118" t="s">
        <v>295</v>
      </c>
      <c r="B118">
        <v>27</v>
      </c>
    </row>
    <row r="119" spans="1:2" x14ac:dyDescent="0.15">
      <c r="A119" t="s">
        <v>296</v>
      </c>
      <c r="B119">
        <v>28</v>
      </c>
    </row>
    <row r="120" spans="1:2" x14ac:dyDescent="0.15">
      <c r="A120" t="s">
        <v>297</v>
      </c>
      <c r="B120">
        <v>29</v>
      </c>
    </row>
    <row r="121" spans="1:2" x14ac:dyDescent="0.15">
      <c r="A121" t="s">
        <v>298</v>
      </c>
      <c r="B121">
        <v>31</v>
      </c>
    </row>
    <row r="122" spans="1:2" x14ac:dyDescent="0.15">
      <c r="A122" t="s">
        <v>299</v>
      </c>
      <c r="B122">
        <v>32</v>
      </c>
    </row>
    <row r="123" spans="1:2" x14ac:dyDescent="0.15">
      <c r="A123" t="s">
        <v>399</v>
      </c>
      <c r="B123">
        <v>34</v>
      </c>
    </row>
    <row r="124" spans="1:2" x14ac:dyDescent="0.15">
      <c r="A124" t="s">
        <v>300</v>
      </c>
      <c r="B124">
        <v>35</v>
      </c>
    </row>
    <row r="125" spans="1:2" x14ac:dyDescent="0.15">
      <c r="A125" t="s">
        <v>301</v>
      </c>
      <c r="B125">
        <v>36</v>
      </c>
    </row>
    <row r="126" spans="1:2" x14ac:dyDescent="0.15">
      <c r="A126" t="s">
        <v>400</v>
      </c>
      <c r="B126">
        <v>37</v>
      </c>
    </row>
    <row r="127" spans="1:2" x14ac:dyDescent="0.15">
      <c r="A127" t="s">
        <v>401</v>
      </c>
      <c r="B127">
        <v>38</v>
      </c>
    </row>
    <row r="128" spans="1:2" x14ac:dyDescent="0.15">
      <c r="A128" t="s">
        <v>302</v>
      </c>
      <c r="B128">
        <v>39</v>
      </c>
    </row>
    <row r="129" spans="1:2" x14ac:dyDescent="0.15">
      <c r="A129" t="s">
        <v>303</v>
      </c>
      <c r="B129">
        <v>40</v>
      </c>
    </row>
    <row r="130" spans="1:2" x14ac:dyDescent="0.15">
      <c r="A130" t="s">
        <v>370</v>
      </c>
      <c r="B130">
        <v>41</v>
      </c>
    </row>
    <row r="131" spans="1:2" x14ac:dyDescent="0.15">
      <c r="A131" t="s">
        <v>304</v>
      </c>
      <c r="B131">
        <v>42</v>
      </c>
    </row>
    <row r="132" spans="1:2" x14ac:dyDescent="0.15">
      <c r="A132" t="s">
        <v>305</v>
      </c>
      <c r="B132">
        <v>43</v>
      </c>
    </row>
    <row r="133" spans="1:2" x14ac:dyDescent="0.15">
      <c r="A133" t="s">
        <v>306</v>
      </c>
      <c r="B133">
        <v>44</v>
      </c>
    </row>
    <row r="134" spans="1:2" x14ac:dyDescent="0.15">
      <c r="A134" t="s">
        <v>307</v>
      </c>
      <c r="B134">
        <v>45</v>
      </c>
    </row>
    <row r="135" spans="1:2" x14ac:dyDescent="0.15">
      <c r="A135" t="s">
        <v>308</v>
      </c>
      <c r="B135">
        <v>46</v>
      </c>
    </row>
    <row r="136" spans="1:2" x14ac:dyDescent="0.15">
      <c r="A136" t="s">
        <v>309</v>
      </c>
      <c r="B136">
        <v>47</v>
      </c>
    </row>
    <row r="137" spans="1:2" x14ac:dyDescent="0.15">
      <c r="A137" t="s">
        <v>310</v>
      </c>
      <c r="B137">
        <v>48</v>
      </c>
    </row>
    <row r="138" spans="1:2" x14ac:dyDescent="0.15">
      <c r="A138" t="s">
        <v>311</v>
      </c>
      <c r="B138">
        <v>49</v>
      </c>
    </row>
    <row r="139" spans="1:2" x14ac:dyDescent="0.15">
      <c r="A139" t="s">
        <v>312</v>
      </c>
      <c r="B139">
        <v>50</v>
      </c>
    </row>
    <row r="140" spans="1:2" x14ac:dyDescent="0.15">
      <c r="A140" t="s">
        <v>313</v>
      </c>
      <c r="B140">
        <v>52</v>
      </c>
    </row>
    <row r="141" spans="1:2" x14ac:dyDescent="0.15">
      <c r="A141" t="s">
        <v>314</v>
      </c>
      <c r="B141">
        <v>53</v>
      </c>
    </row>
    <row r="142" spans="1:2" x14ac:dyDescent="0.15">
      <c r="A142" t="s">
        <v>315</v>
      </c>
      <c r="B142">
        <v>54</v>
      </c>
    </row>
    <row r="143" spans="1:2" x14ac:dyDescent="0.15">
      <c r="A143" t="s">
        <v>316</v>
      </c>
      <c r="B143">
        <v>55</v>
      </c>
    </row>
    <row r="144" spans="1:2" x14ac:dyDescent="0.15">
      <c r="A144" t="s">
        <v>317</v>
      </c>
      <c r="B144">
        <v>56</v>
      </c>
    </row>
    <row r="145" spans="1:19" x14ac:dyDescent="0.15">
      <c r="A145" t="s">
        <v>318</v>
      </c>
      <c r="B145">
        <v>57</v>
      </c>
    </row>
    <row r="146" spans="1:19" x14ac:dyDescent="0.15">
      <c r="A146" t="s">
        <v>319</v>
      </c>
      <c r="B146">
        <v>58</v>
      </c>
    </row>
    <row r="147" spans="1:19" x14ac:dyDescent="0.15">
      <c r="A147" t="s">
        <v>320</v>
      </c>
      <c r="B147" t="s">
        <v>321</v>
      </c>
    </row>
    <row r="148" spans="1:19" x14ac:dyDescent="0.15">
      <c r="A148" t="s">
        <v>322</v>
      </c>
      <c r="B148" s="97" t="s">
        <v>426</v>
      </c>
    </row>
    <row r="149" spans="1:19" x14ac:dyDescent="0.15">
      <c r="A149" t="s">
        <v>323</v>
      </c>
      <c r="B149" s="97" t="s">
        <v>374</v>
      </c>
    </row>
    <row r="150" spans="1:19" x14ac:dyDescent="0.15">
      <c r="A150" t="s">
        <v>324</v>
      </c>
      <c r="B150" s="97" t="s">
        <v>375</v>
      </c>
    </row>
    <row r="151" spans="1:19" x14ac:dyDescent="0.15">
      <c r="A151" t="s">
        <v>325</v>
      </c>
      <c r="B151" s="97" t="s">
        <v>376</v>
      </c>
    </row>
    <row r="152" spans="1:19" x14ac:dyDescent="0.15">
      <c r="A152" t="s">
        <v>326</v>
      </c>
      <c r="B152" s="97" t="s">
        <v>377</v>
      </c>
    </row>
    <row r="153" spans="1:19" x14ac:dyDescent="0.15">
      <c r="A153" t="s">
        <v>327</v>
      </c>
      <c r="B153" s="97" t="s">
        <v>378</v>
      </c>
    </row>
    <row r="154" spans="1:19" x14ac:dyDescent="0.15">
      <c r="A154" t="s">
        <v>328</v>
      </c>
      <c r="B154" s="97" t="s">
        <v>379</v>
      </c>
    </row>
    <row r="155" spans="1:19" x14ac:dyDescent="0.15">
      <c r="A155" t="s">
        <v>329</v>
      </c>
      <c r="B155" s="97" t="s">
        <v>380</v>
      </c>
    </row>
    <row r="156" spans="1:19" x14ac:dyDescent="0.15">
      <c r="A156" t="s">
        <v>330</v>
      </c>
      <c r="B156" s="97" t="s">
        <v>381</v>
      </c>
    </row>
    <row r="157" spans="1:19" x14ac:dyDescent="0.15">
      <c r="A157" t="s">
        <v>434</v>
      </c>
      <c r="B157" s="97" t="s">
        <v>435</v>
      </c>
    </row>
    <row r="158" spans="1:19" x14ac:dyDescent="0.15">
      <c r="A158" t="s">
        <v>331</v>
      </c>
      <c r="B158" t="s">
        <v>57</v>
      </c>
      <c r="C158" t="s">
        <v>101</v>
      </c>
      <c r="D158" t="s">
        <v>52</v>
      </c>
      <c r="E158" t="s">
        <v>130</v>
      </c>
      <c r="F158" t="s">
        <v>42</v>
      </c>
      <c r="G158" t="s">
        <v>47</v>
      </c>
      <c r="H158" t="s">
        <v>71</v>
      </c>
      <c r="I158" t="s">
        <v>40</v>
      </c>
      <c r="J158" t="s">
        <v>67</v>
      </c>
      <c r="K158" t="s">
        <v>119</v>
      </c>
      <c r="L158" t="s">
        <v>62</v>
      </c>
      <c r="M158" t="s">
        <v>80</v>
      </c>
      <c r="N158" t="s">
        <v>121</v>
      </c>
      <c r="O158" t="s">
        <v>146</v>
      </c>
      <c r="P158" t="s">
        <v>393</v>
      </c>
      <c r="Q158" t="s">
        <v>394</v>
      </c>
      <c r="R158" t="s">
        <v>371</v>
      </c>
      <c r="S158" t="s">
        <v>395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104"/>
  <sheetViews>
    <sheetView zoomScale="80" zoomScaleNormal="80" workbookViewId="0">
      <pane xSplit="2" ySplit="4" topLeftCell="AU5" activePane="bottomRight" state="frozen"/>
      <selection pane="topRight" activeCell="C1" sqref="C1"/>
      <selection pane="bottomLeft" activeCell="A5" sqref="A5"/>
      <selection pane="bottomRight" activeCell="T2" sqref="T2:T3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5" t="s">
        <v>332</v>
      </c>
      <c r="B1" s="113"/>
      <c r="C1" s="113"/>
      <c r="D1" s="113"/>
      <c r="E1" s="113"/>
      <c r="F1" s="113"/>
      <c r="G1" s="113"/>
      <c r="H1" s="113"/>
      <c r="J1" s="121" t="s">
        <v>440</v>
      </c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E1" s="122">
        <f>Summary!C2</f>
        <v>0</v>
      </c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</row>
    <row r="2" spans="1:72" ht="33" customHeight="1" thickBot="1" x14ac:dyDescent="0.2">
      <c r="A2" s="124" t="s">
        <v>149</v>
      </c>
      <c r="B2" s="123" t="s">
        <v>150</v>
      </c>
      <c r="C2" s="124" t="s">
        <v>333</v>
      </c>
      <c r="D2" s="123" t="s">
        <v>151</v>
      </c>
      <c r="E2" s="124" t="s">
        <v>152</v>
      </c>
      <c r="F2" s="123" t="s">
        <v>153</v>
      </c>
      <c r="G2" s="124" t="s">
        <v>154</v>
      </c>
      <c r="H2" s="123" t="s">
        <v>334</v>
      </c>
      <c r="J2" s="124" t="s">
        <v>127</v>
      </c>
      <c r="K2" s="123" t="s">
        <v>131</v>
      </c>
      <c r="L2" s="129" t="s">
        <v>120</v>
      </c>
      <c r="M2" s="123" t="s">
        <v>368</v>
      </c>
      <c r="N2" s="124" t="s">
        <v>81</v>
      </c>
      <c r="O2" s="127" t="s">
        <v>120</v>
      </c>
      <c r="P2" s="127" t="s">
        <v>419</v>
      </c>
      <c r="Q2" s="127" t="s">
        <v>420</v>
      </c>
      <c r="R2" s="127" t="s">
        <v>421</v>
      </c>
      <c r="S2" s="127" t="s">
        <v>422</v>
      </c>
      <c r="T2" s="127" t="s">
        <v>423</v>
      </c>
      <c r="U2" s="126" t="s">
        <v>335</v>
      </c>
      <c r="V2" s="113"/>
      <c r="W2" s="113"/>
      <c r="X2" s="113"/>
      <c r="Y2" s="113"/>
      <c r="Z2" s="127" t="s">
        <v>336</v>
      </c>
      <c r="AA2" s="113"/>
      <c r="AB2" s="124" t="s">
        <v>122</v>
      </c>
      <c r="AC2" s="123" t="s">
        <v>102</v>
      </c>
      <c r="AE2" s="124" t="s">
        <v>127</v>
      </c>
      <c r="AF2" s="123" t="s">
        <v>131</v>
      </c>
      <c r="AG2" s="129" t="s">
        <v>120</v>
      </c>
      <c r="AH2" s="123" t="s">
        <v>368</v>
      </c>
      <c r="AI2" s="124" t="s">
        <v>81</v>
      </c>
      <c r="AJ2" s="123" t="s">
        <v>120</v>
      </c>
      <c r="AK2" s="127" t="s">
        <v>419</v>
      </c>
      <c r="AL2" s="127" t="s">
        <v>420</v>
      </c>
      <c r="AM2" s="127" t="s">
        <v>421</v>
      </c>
      <c r="AN2" s="127" t="s">
        <v>422</v>
      </c>
      <c r="AO2" s="127" t="s">
        <v>423</v>
      </c>
      <c r="AP2" s="126" t="s">
        <v>335</v>
      </c>
      <c r="AQ2" s="113"/>
      <c r="AR2" s="113"/>
      <c r="AS2" s="113"/>
      <c r="AT2" s="113"/>
      <c r="AU2" s="127" t="s">
        <v>336</v>
      </c>
      <c r="AV2" s="113"/>
      <c r="AW2" s="124" t="s">
        <v>122</v>
      </c>
      <c r="AX2" s="123" t="s">
        <v>102</v>
      </c>
      <c r="AZ2" s="126" t="s">
        <v>15</v>
      </c>
      <c r="BA2" s="113"/>
      <c r="BB2" s="113"/>
      <c r="BC2" s="113"/>
      <c r="BD2" s="113"/>
      <c r="BE2" s="127" t="s">
        <v>16</v>
      </c>
      <c r="BF2" s="113"/>
      <c r="BH2" s="126" t="s">
        <v>409</v>
      </c>
      <c r="BI2" s="126"/>
      <c r="BJ2" s="128" t="s">
        <v>410</v>
      </c>
      <c r="BK2" s="128"/>
      <c r="BL2" s="128"/>
      <c r="BM2" s="124" t="s">
        <v>413</v>
      </c>
      <c r="BN2" s="123" t="s">
        <v>412</v>
      </c>
      <c r="BP2" s="124" t="s">
        <v>414</v>
      </c>
      <c r="BQ2" s="124" t="s">
        <v>415</v>
      </c>
      <c r="BR2" s="124" t="s">
        <v>417</v>
      </c>
      <c r="BS2" s="124" t="s">
        <v>416</v>
      </c>
      <c r="BT2" s="124" t="s">
        <v>418</v>
      </c>
    </row>
    <row r="3" spans="1:72" ht="33" customHeight="1" thickBot="1" x14ac:dyDescent="0.2">
      <c r="A3" s="115"/>
      <c r="B3" s="115"/>
      <c r="C3" s="115"/>
      <c r="D3" s="115"/>
      <c r="E3" s="115"/>
      <c r="F3" s="115"/>
      <c r="G3" s="115"/>
      <c r="H3" s="115"/>
      <c r="J3" s="115"/>
      <c r="K3" s="115"/>
      <c r="L3" s="130"/>
      <c r="M3" s="115"/>
      <c r="N3" s="115"/>
      <c r="O3" s="123"/>
      <c r="P3" s="123"/>
      <c r="Q3" s="123"/>
      <c r="R3" s="123"/>
      <c r="S3" s="123"/>
      <c r="T3" s="123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5"/>
      <c r="AC3" s="115"/>
      <c r="AE3" s="115"/>
      <c r="AF3" s="115"/>
      <c r="AG3" s="130"/>
      <c r="AH3" s="115"/>
      <c r="AI3" s="115"/>
      <c r="AJ3" s="115"/>
      <c r="AK3" s="123"/>
      <c r="AL3" s="123"/>
      <c r="AM3" s="123"/>
      <c r="AN3" s="123"/>
      <c r="AO3" s="123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5"/>
      <c r="AX3" s="115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3"/>
      <c r="BP3" s="115"/>
      <c r="BQ3" s="115"/>
      <c r="BR3" s="115"/>
      <c r="BS3" s="115"/>
      <c r="BT3" s="115"/>
    </row>
    <row r="4" spans="1:72" ht="1.5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32</v>
      </c>
      <c r="G5" s="19">
        <v>30</v>
      </c>
      <c r="H5" s="19">
        <v>4</v>
      </c>
      <c r="J5" s="20">
        <f t="shared" ref="J5:J44" si="0">IF(OR(ISBLANK(O5),ISBLANK(G5)),"·",O5*G5/F5/1000000)</f>
        <v>4.9812450000000004</v>
      </c>
      <c r="K5" s="21">
        <f t="shared" ref="K5:K44" si="1">IF(ISBLANK(O5),"·",O5/D5)</f>
        <v>0.44287181265336606</v>
      </c>
      <c r="L5" s="19">
        <f t="shared" ref="L5:L44" si="2">IF(OR(ISBLANK(M5),ISBLANK(S5),ISBLANK(T5)),".",M5+S5+T5)</f>
        <v>5313328</v>
      </c>
      <c r="M5" s="19">
        <f t="shared" ref="M5:M44" si="3">IF(OR(ISBLANK(Q5),ISBLANK(P5),ISBLANK(R5)),".",P5+Q5+R5)</f>
        <v>1593128</v>
      </c>
      <c r="N5" s="44">
        <v>2415872</v>
      </c>
      <c r="O5" s="22">
        <v>5313328</v>
      </c>
      <c r="P5" s="22">
        <v>801768</v>
      </c>
      <c r="Q5" s="22">
        <v>0</v>
      </c>
      <c r="R5" s="22">
        <v>791360</v>
      </c>
      <c r="S5" s="22">
        <v>3705528</v>
      </c>
      <c r="T5" s="22">
        <v>14672</v>
      </c>
      <c r="U5" s="45">
        <v>70.227694299999996</v>
      </c>
      <c r="V5" s="45">
        <v>71.497861700000001</v>
      </c>
      <c r="W5" s="45">
        <v>28.886966000000001</v>
      </c>
      <c r="X5" s="45">
        <v>33.984265100000002</v>
      </c>
      <c r="Y5" s="45">
        <v>33.448338</v>
      </c>
      <c r="Z5" s="45">
        <v>50.071269200000003</v>
      </c>
      <c r="AA5" s="45">
        <v>27.697968299999999</v>
      </c>
      <c r="AB5" s="23">
        <v>738.18977199999995</v>
      </c>
      <c r="AC5" s="23">
        <v>5.5503400000000003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32</v>
      </c>
      <c r="G6" s="35">
        <v>30</v>
      </c>
      <c r="H6" s="35">
        <v>9</v>
      </c>
      <c r="J6" s="36">
        <f t="shared" si="0"/>
        <v>9.1684049999999999</v>
      </c>
      <c r="K6" s="37">
        <f t="shared" si="1"/>
        <v>0.81514323055585192</v>
      </c>
      <c r="L6" s="35">
        <f t="shared" si="2"/>
        <v>9779632</v>
      </c>
      <c r="M6" s="35">
        <f t="shared" si="3"/>
        <v>1852720</v>
      </c>
      <c r="N6" s="46">
        <v>2415872</v>
      </c>
      <c r="O6" s="38">
        <v>9779632</v>
      </c>
      <c r="P6" s="38">
        <v>867112</v>
      </c>
      <c r="Q6" s="38">
        <v>0</v>
      </c>
      <c r="R6" s="38">
        <v>985608</v>
      </c>
      <c r="S6" s="38">
        <v>7912512</v>
      </c>
      <c r="T6" s="38">
        <v>14400</v>
      </c>
      <c r="U6" s="47">
        <v>70.907611900000006</v>
      </c>
      <c r="V6" s="47">
        <v>72.270471099999995</v>
      </c>
      <c r="W6" s="47">
        <v>31.662897600000001</v>
      </c>
      <c r="X6" s="47">
        <v>35.209678099999998</v>
      </c>
      <c r="Y6" s="47">
        <v>34.771355100000001</v>
      </c>
      <c r="Z6" s="47">
        <v>50.384180399999998</v>
      </c>
      <c r="AA6" s="47">
        <v>29.370492299999999</v>
      </c>
      <c r="AB6" s="39">
        <v>741.03662199999997</v>
      </c>
      <c r="AC6" s="39">
        <v>5.8052739999999998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32</v>
      </c>
      <c r="G7" s="19">
        <v>30</v>
      </c>
      <c r="H7" s="19">
        <v>12</v>
      </c>
      <c r="J7" s="20">
        <f t="shared" si="0"/>
        <v>12.267637499999999</v>
      </c>
      <c r="K7" s="21">
        <f t="shared" si="1"/>
        <v>1.0906893470607062</v>
      </c>
      <c r="L7" s="19">
        <f t="shared" si="2"/>
        <v>13085480</v>
      </c>
      <c r="M7" s="19">
        <f t="shared" si="3"/>
        <v>2022264</v>
      </c>
      <c r="N7" s="44">
        <v>4871680</v>
      </c>
      <c r="O7" s="22">
        <v>13085480</v>
      </c>
      <c r="P7" s="22">
        <v>1272288</v>
      </c>
      <c r="Q7" s="22">
        <v>0</v>
      </c>
      <c r="R7" s="22">
        <v>749976</v>
      </c>
      <c r="S7" s="22">
        <v>11048640</v>
      </c>
      <c r="T7" s="22">
        <v>14576</v>
      </c>
      <c r="U7" s="45">
        <v>71.826047900000006</v>
      </c>
      <c r="V7" s="45">
        <v>73.339456299999995</v>
      </c>
      <c r="W7" s="45">
        <v>32.723744699999997</v>
      </c>
      <c r="X7" s="45">
        <v>36.932207300000002</v>
      </c>
      <c r="Y7" s="45">
        <v>36.668305799999999</v>
      </c>
      <c r="Z7" s="45">
        <v>51.114103700000001</v>
      </c>
      <c r="AA7" s="45">
        <v>30.4898107</v>
      </c>
      <c r="AB7" s="23">
        <v>2018.453608</v>
      </c>
      <c r="AC7" s="23">
        <v>22.106968999999999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32</v>
      </c>
      <c r="G8" s="35">
        <v>30</v>
      </c>
      <c r="H8" s="35">
        <v>15</v>
      </c>
      <c r="J8" s="36">
        <f t="shared" si="0"/>
        <v>15.352387500000001</v>
      </c>
      <c r="K8" s="37">
        <f t="shared" si="1"/>
        <v>1.3649478555425156</v>
      </c>
      <c r="L8" s="35">
        <f t="shared" si="2"/>
        <v>16375880</v>
      </c>
      <c r="M8" s="35">
        <f t="shared" si="3"/>
        <v>2725248</v>
      </c>
      <c r="N8" s="46">
        <v>4871680</v>
      </c>
      <c r="O8" s="38">
        <v>16375880</v>
      </c>
      <c r="P8" s="38">
        <v>1394504</v>
      </c>
      <c r="Q8" s="38">
        <v>0</v>
      </c>
      <c r="R8" s="38">
        <v>1330744</v>
      </c>
      <c r="S8" s="38">
        <v>13635368</v>
      </c>
      <c r="T8" s="38">
        <v>15264</v>
      </c>
      <c r="U8" s="47">
        <v>73.825176099999993</v>
      </c>
      <c r="V8" s="47">
        <v>75.637891600000003</v>
      </c>
      <c r="W8" s="47">
        <v>33.690634099999997</v>
      </c>
      <c r="X8" s="47">
        <v>37.453765699999998</v>
      </c>
      <c r="Y8" s="47">
        <v>37.195208399999999</v>
      </c>
      <c r="Z8" s="47">
        <v>52.036012599999999</v>
      </c>
      <c r="AA8" s="47">
        <v>31.605468299999998</v>
      </c>
      <c r="AB8" s="39">
        <v>2009.7076340000001</v>
      </c>
      <c r="AC8" s="39">
        <v>26.946836999999999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32</v>
      </c>
      <c r="G9" s="49">
        <v>30</v>
      </c>
      <c r="H9" s="49">
        <v>22</v>
      </c>
      <c r="J9" s="51">
        <f t="shared" si="0"/>
        <v>22.4888175</v>
      </c>
      <c r="K9" s="52">
        <f t="shared" si="1"/>
        <v>1.9994325456097302</v>
      </c>
      <c r="L9" s="49">
        <f t="shared" si="2"/>
        <v>23988072</v>
      </c>
      <c r="M9" s="49">
        <f t="shared" si="3"/>
        <v>4506696</v>
      </c>
      <c r="N9" s="53">
        <v>9785664</v>
      </c>
      <c r="O9" s="54">
        <v>23988072</v>
      </c>
      <c r="P9" s="54">
        <v>2103056</v>
      </c>
      <c r="Q9" s="54">
        <v>0</v>
      </c>
      <c r="R9" s="54">
        <v>2403640</v>
      </c>
      <c r="S9" s="54">
        <v>19465856</v>
      </c>
      <c r="T9" s="54">
        <v>15520</v>
      </c>
      <c r="U9" s="55">
        <v>76.663121799999999</v>
      </c>
      <c r="V9" s="55">
        <v>79.154731299999995</v>
      </c>
      <c r="W9" s="55">
        <v>35.068816900000002</v>
      </c>
      <c r="X9" s="55">
        <v>38.601624000000001</v>
      </c>
      <c r="Y9" s="55">
        <v>38.322405699999997</v>
      </c>
      <c r="Z9" s="55">
        <v>53.751700300000003</v>
      </c>
      <c r="AA9" s="55">
        <v>33.2676254</v>
      </c>
      <c r="AB9" s="56">
        <v>2729.051442</v>
      </c>
      <c r="AC9" s="56">
        <v>25.688461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32</v>
      </c>
      <c r="G10" s="35">
        <v>30</v>
      </c>
      <c r="H10" s="35">
        <v>5</v>
      </c>
      <c r="J10" s="36">
        <f t="shared" si="0"/>
        <v>5.0602274999999999</v>
      </c>
      <c r="K10" s="37">
        <f t="shared" si="1"/>
        <v>0.59973066666666663</v>
      </c>
      <c r="L10" s="35">
        <f t="shared" si="2"/>
        <v>5397576</v>
      </c>
      <c r="M10" s="35">
        <f t="shared" si="3"/>
        <v>1516120</v>
      </c>
      <c r="N10" s="46">
        <v>2393664</v>
      </c>
      <c r="O10" s="38">
        <v>5397576</v>
      </c>
      <c r="P10" s="38">
        <v>865936</v>
      </c>
      <c r="Q10" s="38">
        <v>0</v>
      </c>
      <c r="R10" s="38">
        <v>650184</v>
      </c>
      <c r="S10" s="38">
        <v>3866384</v>
      </c>
      <c r="T10" s="38">
        <v>15072</v>
      </c>
      <c r="U10" s="47">
        <v>66.2633036</v>
      </c>
      <c r="V10" s="47">
        <v>67.0622422</v>
      </c>
      <c r="W10" s="47">
        <v>32.179841000000003</v>
      </c>
      <c r="X10" s="47">
        <v>44.8006873</v>
      </c>
      <c r="Y10" s="47">
        <v>45.117893899999999</v>
      </c>
      <c r="Z10" s="47">
        <v>44.831187399999997</v>
      </c>
      <c r="AA10" s="47">
        <v>29.8241464</v>
      </c>
      <c r="AB10" s="39">
        <v>1907.0970769999999</v>
      </c>
      <c r="AC10" s="39">
        <v>23.954740000000001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32</v>
      </c>
      <c r="G11" s="19">
        <v>30</v>
      </c>
      <c r="H11" s="19">
        <v>9</v>
      </c>
      <c r="J11" s="20">
        <f t="shared" si="0"/>
        <v>9.1373025000000005</v>
      </c>
      <c r="K11" s="21">
        <f t="shared" si="1"/>
        <v>1.0829395555555557</v>
      </c>
      <c r="L11" s="19">
        <f t="shared" si="2"/>
        <v>9746456</v>
      </c>
      <c r="M11" s="19">
        <f t="shared" si="3"/>
        <v>2434784</v>
      </c>
      <c r="N11" s="44">
        <v>4847680</v>
      </c>
      <c r="O11" s="22">
        <v>9746456</v>
      </c>
      <c r="P11" s="22">
        <v>1378904</v>
      </c>
      <c r="Q11" s="22">
        <v>0</v>
      </c>
      <c r="R11" s="22">
        <v>1055880</v>
      </c>
      <c r="S11" s="22">
        <v>7296344</v>
      </c>
      <c r="T11" s="22">
        <v>15328</v>
      </c>
      <c r="U11" s="45">
        <v>70.5200155</v>
      </c>
      <c r="V11" s="45">
        <v>71.922868100000002</v>
      </c>
      <c r="W11" s="45">
        <v>34.877478600000003</v>
      </c>
      <c r="X11" s="45">
        <v>45.453768400000001</v>
      </c>
      <c r="Y11" s="45">
        <v>45.8806619</v>
      </c>
      <c r="Z11" s="45">
        <v>47.235641899999997</v>
      </c>
      <c r="AA11" s="45">
        <v>32.488820599999997</v>
      </c>
      <c r="AB11" s="23">
        <v>2239.2174890000001</v>
      </c>
      <c r="AC11" s="23">
        <v>24.900012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32</v>
      </c>
      <c r="G12" s="35">
        <v>30</v>
      </c>
      <c r="H12" s="35">
        <v>12</v>
      </c>
      <c r="J12" s="36">
        <f t="shared" si="0"/>
        <v>12.095167500000001</v>
      </c>
      <c r="K12" s="37">
        <f t="shared" si="1"/>
        <v>1.4335013333333333</v>
      </c>
      <c r="L12" s="35">
        <f t="shared" si="2"/>
        <v>12901512</v>
      </c>
      <c r="M12" s="35">
        <f t="shared" si="3"/>
        <v>3674920</v>
      </c>
      <c r="N12" s="46">
        <v>4847680</v>
      </c>
      <c r="O12" s="38">
        <v>12901512</v>
      </c>
      <c r="P12" s="38">
        <v>1378904</v>
      </c>
      <c r="Q12" s="38">
        <v>0</v>
      </c>
      <c r="R12" s="38">
        <v>2296016</v>
      </c>
      <c r="S12" s="38">
        <v>9212160</v>
      </c>
      <c r="T12" s="38">
        <v>14432</v>
      </c>
      <c r="U12" s="47">
        <v>73.025662600000004</v>
      </c>
      <c r="V12" s="47">
        <v>74.823964899999993</v>
      </c>
      <c r="W12" s="47">
        <v>35.946379999999998</v>
      </c>
      <c r="X12" s="47">
        <v>45.769863700000002</v>
      </c>
      <c r="Y12" s="47">
        <v>46.216681899999998</v>
      </c>
      <c r="Z12" s="47">
        <v>48.453992399999997</v>
      </c>
      <c r="AA12" s="47">
        <v>33.813625299999998</v>
      </c>
      <c r="AB12" s="39">
        <v>2231.1967509999999</v>
      </c>
      <c r="AC12" s="39">
        <v>25.476962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32</v>
      </c>
      <c r="G13" s="19">
        <v>30</v>
      </c>
      <c r="H13" s="19">
        <v>15</v>
      </c>
      <c r="J13" s="20">
        <f t="shared" si="0"/>
        <v>15.1406925</v>
      </c>
      <c r="K13" s="21">
        <f t="shared" si="1"/>
        <v>1.7944524444444445</v>
      </c>
      <c r="L13" s="19">
        <f t="shared" si="2"/>
        <v>16150072</v>
      </c>
      <c r="M13" s="19">
        <f t="shared" si="3"/>
        <v>4466296</v>
      </c>
      <c r="N13" s="44">
        <v>9761152</v>
      </c>
      <c r="O13" s="22">
        <v>16150072</v>
      </c>
      <c r="P13" s="22">
        <v>2273440</v>
      </c>
      <c r="Q13" s="22">
        <v>0</v>
      </c>
      <c r="R13" s="22">
        <v>2192856</v>
      </c>
      <c r="S13" s="22">
        <v>11668544</v>
      </c>
      <c r="T13" s="22">
        <v>15232</v>
      </c>
      <c r="U13" s="45">
        <v>74.662188900000004</v>
      </c>
      <c r="V13" s="45">
        <v>76.772622100000007</v>
      </c>
      <c r="W13" s="45">
        <v>37.017287400000001</v>
      </c>
      <c r="X13" s="45">
        <v>46.527483799999999</v>
      </c>
      <c r="Y13" s="45">
        <v>47.1072791</v>
      </c>
      <c r="Z13" s="45">
        <v>49.471889900000001</v>
      </c>
      <c r="AA13" s="45">
        <v>34.932098699999997</v>
      </c>
      <c r="AB13" s="23">
        <v>2905.231702</v>
      </c>
      <c r="AC13" s="23">
        <v>34.289316999999997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32</v>
      </c>
      <c r="G14" s="27">
        <v>30</v>
      </c>
      <c r="H14" s="27">
        <v>22</v>
      </c>
      <c r="J14" s="28">
        <f t="shared" si="0"/>
        <v>22.317599999999999</v>
      </c>
      <c r="K14" s="29">
        <f t="shared" si="1"/>
        <v>2.6450488888888888</v>
      </c>
      <c r="L14" s="27">
        <f t="shared" si="2"/>
        <v>23805440</v>
      </c>
      <c r="M14" s="27">
        <f t="shared" si="3"/>
        <v>5522216</v>
      </c>
      <c r="N14" s="58">
        <v>9761152</v>
      </c>
      <c r="O14" s="30">
        <v>23805440</v>
      </c>
      <c r="P14" s="30">
        <v>2510960</v>
      </c>
      <c r="Q14" s="30">
        <v>0</v>
      </c>
      <c r="R14" s="30">
        <v>3011256</v>
      </c>
      <c r="S14" s="30">
        <v>18268040</v>
      </c>
      <c r="T14" s="30">
        <v>15184</v>
      </c>
      <c r="U14" s="59">
        <v>75.699365900000004</v>
      </c>
      <c r="V14" s="59">
        <v>78.080826000000002</v>
      </c>
      <c r="W14" s="59">
        <v>38.700170900000003</v>
      </c>
      <c r="X14" s="59">
        <v>47.576073899999997</v>
      </c>
      <c r="Y14" s="59">
        <v>48.237028199999997</v>
      </c>
      <c r="Z14" s="59">
        <v>49.950397799999998</v>
      </c>
      <c r="AA14" s="59">
        <v>36.2050239</v>
      </c>
      <c r="AB14" s="31">
        <v>2927.8787130000001</v>
      </c>
      <c r="AC14" s="31">
        <v>35.168089000000002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32</v>
      </c>
      <c r="G15" s="19">
        <v>30</v>
      </c>
      <c r="H15" s="19">
        <v>3</v>
      </c>
      <c r="J15" s="20">
        <f t="shared" si="0"/>
        <v>2.9501400000000002</v>
      </c>
      <c r="K15" s="21">
        <f t="shared" si="1"/>
        <v>0.26573344608453875</v>
      </c>
      <c r="L15" s="19">
        <f t="shared" si="2"/>
        <v>3146816</v>
      </c>
      <c r="M15" s="19">
        <f t="shared" si="3"/>
        <v>1143224</v>
      </c>
      <c r="N15" s="44">
        <v>2419456</v>
      </c>
      <c r="O15" s="22">
        <v>3146816</v>
      </c>
      <c r="P15" s="22">
        <v>685264</v>
      </c>
      <c r="Q15" s="22">
        <v>0</v>
      </c>
      <c r="R15" s="22">
        <v>457960</v>
      </c>
      <c r="S15" s="22">
        <v>1988496</v>
      </c>
      <c r="T15" s="22">
        <v>15096</v>
      </c>
      <c r="U15" s="45">
        <v>71.784670500000004</v>
      </c>
      <c r="V15" s="45">
        <v>73.073559700000004</v>
      </c>
      <c r="W15" s="45">
        <v>35.631403900000002</v>
      </c>
      <c r="X15" s="45">
        <v>43.3868054</v>
      </c>
      <c r="Y15" s="45">
        <v>45.0143007</v>
      </c>
      <c r="Z15" s="45">
        <v>45.695622800000002</v>
      </c>
      <c r="AA15" s="45">
        <v>32.427937999999997</v>
      </c>
      <c r="AB15" s="23">
        <v>1535.8884640000001</v>
      </c>
      <c r="AC15" s="23">
        <v>15.474129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32</v>
      </c>
      <c r="G16" s="35">
        <v>30</v>
      </c>
      <c r="H16" s="35">
        <v>5</v>
      </c>
      <c r="J16" s="36">
        <f t="shared" si="0"/>
        <v>4.9582949999999997</v>
      </c>
      <c r="K16" s="37">
        <f t="shared" si="1"/>
        <v>0.44661772561767848</v>
      </c>
      <c r="L16" s="35">
        <f t="shared" si="2"/>
        <v>5288848</v>
      </c>
      <c r="M16" s="35">
        <f t="shared" si="3"/>
        <v>1438504</v>
      </c>
      <c r="N16" s="46">
        <v>2419456</v>
      </c>
      <c r="O16" s="38">
        <v>5288848</v>
      </c>
      <c r="P16" s="38">
        <v>746872</v>
      </c>
      <c r="Q16" s="38">
        <v>0</v>
      </c>
      <c r="R16" s="38">
        <v>691632</v>
      </c>
      <c r="S16" s="38">
        <v>3834952</v>
      </c>
      <c r="T16" s="38">
        <v>15392</v>
      </c>
      <c r="U16" s="47">
        <v>73.557611600000001</v>
      </c>
      <c r="V16" s="47">
        <v>75.037586099999999</v>
      </c>
      <c r="W16" s="47">
        <v>38.401719700000001</v>
      </c>
      <c r="X16" s="47">
        <v>44.046152399999997</v>
      </c>
      <c r="Y16" s="47">
        <v>46.278184400000001</v>
      </c>
      <c r="Z16" s="47">
        <v>46.4383658</v>
      </c>
      <c r="AA16" s="47">
        <v>34.084742200000001</v>
      </c>
      <c r="AB16" s="39">
        <v>1545.238869</v>
      </c>
      <c r="AC16" s="39">
        <v>15.700315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32</v>
      </c>
      <c r="G17" s="19">
        <v>30</v>
      </c>
      <c r="H17" s="19">
        <v>10</v>
      </c>
      <c r="J17" s="20">
        <f t="shared" si="0"/>
        <v>9.8696850000000005</v>
      </c>
      <c r="K17" s="21">
        <f t="shared" si="1"/>
        <v>0.88901048994925014</v>
      </c>
      <c r="L17" s="19">
        <f t="shared" si="2"/>
        <v>10527664</v>
      </c>
      <c r="M17" s="19">
        <f t="shared" si="3"/>
        <v>2770968</v>
      </c>
      <c r="N17" s="44">
        <v>4841472</v>
      </c>
      <c r="O17" s="22">
        <v>10527664</v>
      </c>
      <c r="P17" s="22">
        <v>1251016</v>
      </c>
      <c r="Q17" s="22">
        <v>0</v>
      </c>
      <c r="R17" s="22">
        <v>1519952</v>
      </c>
      <c r="S17" s="22">
        <v>7741432</v>
      </c>
      <c r="T17" s="22">
        <v>15264</v>
      </c>
      <c r="U17" s="45">
        <v>78.264783899999998</v>
      </c>
      <c r="V17" s="45">
        <v>80.584249700000001</v>
      </c>
      <c r="W17" s="45">
        <v>41.036051</v>
      </c>
      <c r="X17" s="45">
        <v>44.961104200000001</v>
      </c>
      <c r="Y17" s="45">
        <v>48.003155300000003</v>
      </c>
      <c r="Z17" s="45">
        <v>48.813600000000001</v>
      </c>
      <c r="AA17" s="45">
        <v>37.275151999999999</v>
      </c>
      <c r="AB17" s="23">
        <v>1786.507355</v>
      </c>
      <c r="AC17" s="23">
        <v>29.47092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32</v>
      </c>
      <c r="G18" s="35">
        <v>30</v>
      </c>
      <c r="H18" s="35">
        <v>14</v>
      </c>
      <c r="J18" s="36">
        <f t="shared" si="0"/>
        <v>14.111527499999999</v>
      </c>
      <c r="K18" s="37">
        <f t="shared" si="1"/>
        <v>1.2710938572717687</v>
      </c>
      <c r="L18" s="35">
        <f t="shared" si="2"/>
        <v>15052296</v>
      </c>
      <c r="M18" s="35">
        <f t="shared" si="3"/>
        <v>3799672</v>
      </c>
      <c r="N18" s="46">
        <v>9684544</v>
      </c>
      <c r="O18" s="38">
        <v>15052296</v>
      </c>
      <c r="P18" s="38">
        <v>2165032</v>
      </c>
      <c r="Q18" s="38">
        <v>0</v>
      </c>
      <c r="R18" s="38">
        <v>1634640</v>
      </c>
      <c r="S18" s="38">
        <v>11237488</v>
      </c>
      <c r="T18" s="38">
        <v>15136</v>
      </c>
      <c r="U18" s="47">
        <v>79.558201800000006</v>
      </c>
      <c r="V18" s="47">
        <v>82.306608900000001</v>
      </c>
      <c r="W18" s="47">
        <v>41.957297599999997</v>
      </c>
      <c r="X18" s="47">
        <v>45.652393400000001</v>
      </c>
      <c r="Y18" s="47">
        <v>49.2024355</v>
      </c>
      <c r="Z18" s="47">
        <v>49.7686615</v>
      </c>
      <c r="AA18" s="47">
        <v>38.358427300000002</v>
      </c>
      <c r="AB18" s="39">
        <v>1996.5532929999999</v>
      </c>
      <c r="AC18" s="39">
        <v>35.417704000000001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32</v>
      </c>
      <c r="G19" s="49">
        <v>30</v>
      </c>
      <c r="H19" s="49">
        <v>21</v>
      </c>
      <c r="J19" s="51">
        <f t="shared" si="0"/>
        <v>21.290242500000002</v>
      </c>
      <c r="K19" s="52">
        <f t="shared" si="1"/>
        <v>1.9177156024800537</v>
      </c>
      <c r="L19" s="49">
        <f t="shared" si="2"/>
        <v>22709592</v>
      </c>
      <c r="M19" s="49">
        <f t="shared" si="3"/>
        <v>4011568</v>
      </c>
      <c r="N19" s="53">
        <v>9684544</v>
      </c>
      <c r="O19" s="54">
        <v>22709592</v>
      </c>
      <c r="P19" s="54">
        <v>2165032</v>
      </c>
      <c r="Q19" s="54">
        <v>0</v>
      </c>
      <c r="R19" s="54">
        <v>1846536</v>
      </c>
      <c r="S19" s="54">
        <v>18682808</v>
      </c>
      <c r="T19" s="54">
        <v>15216</v>
      </c>
      <c r="U19" s="55">
        <v>79.920927300000002</v>
      </c>
      <c r="V19" s="55">
        <v>82.837632400000004</v>
      </c>
      <c r="W19" s="55">
        <v>42.951791399999998</v>
      </c>
      <c r="X19" s="55">
        <v>46.588687999999998</v>
      </c>
      <c r="Y19" s="55">
        <v>50.540732300000002</v>
      </c>
      <c r="Z19" s="55">
        <v>49.938614399999999</v>
      </c>
      <c r="AA19" s="55">
        <v>38.911935300000003</v>
      </c>
      <c r="AB19" s="56">
        <v>2446.9900400000001</v>
      </c>
      <c r="AC19" s="56">
        <v>34.850656999999998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32</v>
      </c>
      <c r="G20" s="35">
        <v>30</v>
      </c>
      <c r="H20" s="35">
        <v>3</v>
      </c>
      <c r="J20" s="36">
        <f t="shared" si="0"/>
        <v>2.9267474999999998</v>
      </c>
      <c r="K20" s="37">
        <f t="shared" si="1"/>
        <v>0.26429395644631898</v>
      </c>
      <c r="L20" s="35">
        <f t="shared" si="2"/>
        <v>3121864</v>
      </c>
      <c r="M20" s="35">
        <f t="shared" si="3"/>
        <v>1114608</v>
      </c>
      <c r="N20" s="46">
        <v>2417984</v>
      </c>
      <c r="O20" s="38">
        <v>3121864</v>
      </c>
      <c r="P20" s="38">
        <v>661536</v>
      </c>
      <c r="Q20" s="38">
        <v>0</v>
      </c>
      <c r="R20" s="38">
        <v>453072</v>
      </c>
      <c r="S20" s="38">
        <v>1992208</v>
      </c>
      <c r="T20" s="38">
        <v>15048</v>
      </c>
      <c r="U20" s="47">
        <v>71.753850200000002</v>
      </c>
      <c r="V20" s="47">
        <v>73.096716599999993</v>
      </c>
      <c r="W20" s="47">
        <v>34.607950600000002</v>
      </c>
      <c r="X20" s="47">
        <v>42.802276800000001</v>
      </c>
      <c r="Y20" s="47">
        <v>44.060676000000001</v>
      </c>
      <c r="Z20" s="47">
        <v>48.614354900000002</v>
      </c>
      <c r="AA20" s="47">
        <v>31.538924900000001</v>
      </c>
      <c r="AB20" s="39">
        <v>591.12228500000003</v>
      </c>
      <c r="AC20" s="39">
        <v>5.3485740000000002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32</v>
      </c>
      <c r="G21" s="19">
        <v>30</v>
      </c>
      <c r="H21" s="19">
        <v>5</v>
      </c>
      <c r="J21" s="20">
        <f t="shared" si="0"/>
        <v>4.9750275000000004</v>
      </c>
      <c r="K21" s="21">
        <f t="shared" si="1"/>
        <v>0.44925969917262737</v>
      </c>
      <c r="L21" s="19">
        <f t="shared" si="2"/>
        <v>5306696</v>
      </c>
      <c r="M21" s="19">
        <f t="shared" si="3"/>
        <v>1167488</v>
      </c>
      <c r="N21" s="44">
        <v>2417984</v>
      </c>
      <c r="O21" s="22">
        <v>5306696</v>
      </c>
      <c r="P21" s="22">
        <v>661536</v>
      </c>
      <c r="Q21" s="22">
        <v>0</v>
      </c>
      <c r="R21" s="22">
        <v>505952</v>
      </c>
      <c r="S21" s="22">
        <v>4123896</v>
      </c>
      <c r="T21" s="22">
        <v>15312</v>
      </c>
      <c r="U21" s="45">
        <v>72.202910299999999</v>
      </c>
      <c r="V21" s="45">
        <v>73.598292099999995</v>
      </c>
      <c r="W21" s="45">
        <v>37.499279600000001</v>
      </c>
      <c r="X21" s="45">
        <v>44.009877500000002</v>
      </c>
      <c r="Y21" s="45">
        <v>45.960662499999998</v>
      </c>
      <c r="Z21" s="45">
        <v>48.815713500000001</v>
      </c>
      <c r="AA21" s="45">
        <v>32.763874600000001</v>
      </c>
      <c r="AB21" s="23">
        <v>1304.3267499999999</v>
      </c>
      <c r="AC21" s="23">
        <v>15.537755000000001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32</v>
      </c>
      <c r="G22" s="35">
        <v>30</v>
      </c>
      <c r="H22" s="35">
        <v>10</v>
      </c>
      <c r="J22" s="36">
        <f t="shared" si="0"/>
        <v>9.9742350000000002</v>
      </c>
      <c r="K22" s="37">
        <f t="shared" si="1"/>
        <v>0.90070292386868034</v>
      </c>
      <c r="L22" s="35">
        <f t="shared" si="2"/>
        <v>10639184</v>
      </c>
      <c r="M22" s="35">
        <f t="shared" si="3"/>
        <v>2647768</v>
      </c>
      <c r="N22" s="46">
        <v>4836096</v>
      </c>
      <c r="O22" s="38">
        <v>10639184</v>
      </c>
      <c r="P22" s="38">
        <v>1106136</v>
      </c>
      <c r="Q22" s="38">
        <v>0</v>
      </c>
      <c r="R22" s="38">
        <v>1541632</v>
      </c>
      <c r="S22" s="38">
        <v>7976136</v>
      </c>
      <c r="T22" s="38">
        <v>15280</v>
      </c>
      <c r="U22" s="47">
        <v>78.043440200000006</v>
      </c>
      <c r="V22" s="47">
        <v>80.556524400000001</v>
      </c>
      <c r="W22" s="47">
        <v>40.468558600000001</v>
      </c>
      <c r="X22" s="47">
        <v>45.305330699999999</v>
      </c>
      <c r="Y22" s="47">
        <v>48.011191799999999</v>
      </c>
      <c r="Z22" s="47">
        <v>51.847111200000001</v>
      </c>
      <c r="AA22" s="47">
        <v>36.722354299999999</v>
      </c>
      <c r="AB22" s="39">
        <v>1705.9806590000001</v>
      </c>
      <c r="AC22" s="39">
        <v>20.701799999999999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32</v>
      </c>
      <c r="G23" s="19">
        <v>30</v>
      </c>
      <c r="H23" s="19">
        <v>14</v>
      </c>
      <c r="J23" s="20">
        <f t="shared" si="0"/>
        <v>13.968165000000001</v>
      </c>
      <c r="K23" s="21">
        <f t="shared" si="1"/>
        <v>1.2613666167460627</v>
      </c>
      <c r="L23" s="19">
        <f t="shared" si="2"/>
        <v>14899376</v>
      </c>
      <c r="M23" s="19">
        <f t="shared" si="3"/>
        <v>3746184</v>
      </c>
      <c r="N23" s="44">
        <v>9673280</v>
      </c>
      <c r="O23" s="22">
        <v>14899376</v>
      </c>
      <c r="P23" s="22">
        <v>2348776</v>
      </c>
      <c r="Q23" s="22">
        <v>0</v>
      </c>
      <c r="R23" s="22">
        <v>1397408</v>
      </c>
      <c r="S23" s="22">
        <v>11137664</v>
      </c>
      <c r="T23" s="22">
        <v>15528</v>
      </c>
      <c r="U23" s="45">
        <v>78.929751999999993</v>
      </c>
      <c r="V23" s="45">
        <v>81.765398399999995</v>
      </c>
      <c r="W23" s="45">
        <v>41.4649006</v>
      </c>
      <c r="X23" s="45">
        <v>45.807873299999997</v>
      </c>
      <c r="Y23" s="45">
        <v>48.746878299999999</v>
      </c>
      <c r="Z23" s="45">
        <v>52.626201799999997</v>
      </c>
      <c r="AA23" s="45">
        <v>37.639244499999997</v>
      </c>
      <c r="AB23" s="23">
        <v>1903.277051</v>
      </c>
      <c r="AC23" s="23">
        <v>30.363918000000002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32</v>
      </c>
      <c r="G24" s="27">
        <v>30</v>
      </c>
      <c r="H24" s="27">
        <v>21</v>
      </c>
      <c r="J24" s="28">
        <f t="shared" si="0"/>
        <v>20.839582499999999</v>
      </c>
      <c r="K24" s="29">
        <f t="shared" si="1"/>
        <v>1.8818759423607507</v>
      </c>
      <c r="L24" s="27">
        <f t="shared" si="2"/>
        <v>22228888</v>
      </c>
      <c r="M24" s="27">
        <f t="shared" si="3"/>
        <v>3958928</v>
      </c>
      <c r="N24" s="58">
        <v>9673280</v>
      </c>
      <c r="O24" s="30">
        <v>22228888</v>
      </c>
      <c r="P24" s="30">
        <v>2114064</v>
      </c>
      <c r="Q24" s="30">
        <v>0</v>
      </c>
      <c r="R24" s="30">
        <v>1844864</v>
      </c>
      <c r="S24" s="30">
        <v>18254832</v>
      </c>
      <c r="T24" s="30">
        <v>15128</v>
      </c>
      <c r="U24" s="59">
        <v>79.640889000000001</v>
      </c>
      <c r="V24" s="59">
        <v>82.838024599999997</v>
      </c>
      <c r="W24" s="59">
        <v>42.456949700000003</v>
      </c>
      <c r="X24" s="59">
        <v>46.903302600000004</v>
      </c>
      <c r="Y24" s="59">
        <v>50.098424399999999</v>
      </c>
      <c r="Z24" s="59">
        <v>53.019047899999997</v>
      </c>
      <c r="AA24" s="59">
        <v>38.402386100000001</v>
      </c>
      <c r="AB24" s="31">
        <v>2343.0294730000001</v>
      </c>
      <c r="AC24" s="31">
        <v>27.874672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32</v>
      </c>
      <c r="G25" s="19">
        <v>30</v>
      </c>
      <c r="H25" s="19">
        <v>4</v>
      </c>
      <c r="J25" s="20">
        <f t="shared" si="0"/>
        <v>4.0537425000000002</v>
      </c>
      <c r="K25" s="21">
        <f t="shared" si="1"/>
        <v>0.36033266666666669</v>
      </c>
      <c r="L25" s="19">
        <f t="shared" si="2"/>
        <v>4323992</v>
      </c>
      <c r="M25" s="19">
        <f t="shared" si="3"/>
        <v>1209536</v>
      </c>
      <c r="N25" s="44">
        <v>2455232</v>
      </c>
      <c r="O25" s="22">
        <v>4323992</v>
      </c>
      <c r="P25" s="22">
        <v>678416</v>
      </c>
      <c r="Q25" s="22">
        <v>0</v>
      </c>
      <c r="R25" s="22">
        <v>531120</v>
      </c>
      <c r="S25" s="22">
        <v>3099240</v>
      </c>
      <c r="T25" s="22">
        <v>15216</v>
      </c>
      <c r="U25" s="45">
        <v>73.898573299999995</v>
      </c>
      <c r="V25" s="45">
        <v>75.771066700000006</v>
      </c>
      <c r="W25" s="45">
        <v>31.582356099999998</v>
      </c>
      <c r="X25" s="45">
        <v>40.593673099999997</v>
      </c>
      <c r="Y25" s="45">
        <v>36.943115200000001</v>
      </c>
      <c r="Z25" s="45">
        <v>44.566979199999999</v>
      </c>
      <c r="AA25" s="45">
        <v>28.779684899999999</v>
      </c>
      <c r="AB25" s="23">
        <v>860.825917</v>
      </c>
      <c r="AC25" s="23">
        <v>5.9911859999999999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32</v>
      </c>
      <c r="G26" s="35">
        <v>30</v>
      </c>
      <c r="H26" s="35">
        <v>8</v>
      </c>
      <c r="J26" s="36">
        <f t="shared" si="0"/>
        <v>8.0385299999999997</v>
      </c>
      <c r="K26" s="37">
        <f t="shared" si="1"/>
        <v>0.71453599999999995</v>
      </c>
      <c r="L26" s="35">
        <f t="shared" si="2"/>
        <v>8574432</v>
      </c>
      <c r="M26" s="35">
        <f t="shared" si="3"/>
        <v>1917272</v>
      </c>
      <c r="N26" s="46">
        <v>4912768</v>
      </c>
      <c r="O26" s="38">
        <v>8574432</v>
      </c>
      <c r="P26" s="38">
        <v>1143168</v>
      </c>
      <c r="Q26" s="38">
        <v>0</v>
      </c>
      <c r="R26" s="38">
        <v>774104</v>
      </c>
      <c r="S26" s="38">
        <v>6641376</v>
      </c>
      <c r="T26" s="38">
        <v>15784</v>
      </c>
      <c r="U26" s="47">
        <v>76.864404899999997</v>
      </c>
      <c r="V26" s="47">
        <v>79.277265</v>
      </c>
      <c r="W26" s="47">
        <v>33.990145300000002</v>
      </c>
      <c r="X26" s="47">
        <v>42.468919</v>
      </c>
      <c r="Y26" s="47">
        <v>39.831507100000003</v>
      </c>
      <c r="Z26" s="47">
        <v>46.179769200000003</v>
      </c>
      <c r="AA26" s="47">
        <v>31.416871</v>
      </c>
      <c r="AB26" s="39">
        <v>1745.8458619999999</v>
      </c>
      <c r="AC26" s="39">
        <v>26.856269000000001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32</v>
      </c>
      <c r="G27" s="19">
        <v>30</v>
      </c>
      <c r="H27" s="19">
        <v>12</v>
      </c>
      <c r="J27" s="20">
        <f t="shared" si="0"/>
        <v>12.0692775</v>
      </c>
      <c r="K27" s="21">
        <f t="shared" si="1"/>
        <v>1.0728246666666668</v>
      </c>
      <c r="L27" s="19">
        <f t="shared" si="2"/>
        <v>12873896</v>
      </c>
      <c r="M27" s="19">
        <f t="shared" si="3"/>
        <v>2802704</v>
      </c>
      <c r="N27" s="44">
        <v>9827968</v>
      </c>
      <c r="O27" s="22">
        <v>12873896</v>
      </c>
      <c r="P27" s="22">
        <v>2167600</v>
      </c>
      <c r="Q27" s="22">
        <v>0</v>
      </c>
      <c r="R27" s="22">
        <v>635104</v>
      </c>
      <c r="S27" s="22">
        <v>10055768</v>
      </c>
      <c r="T27" s="22">
        <v>15424</v>
      </c>
      <c r="U27" s="45">
        <v>78.784982900000003</v>
      </c>
      <c r="V27" s="45">
        <v>81.686792499999996</v>
      </c>
      <c r="W27" s="45">
        <v>34.918585299999997</v>
      </c>
      <c r="X27" s="45">
        <v>43.691951199999998</v>
      </c>
      <c r="Y27" s="45">
        <v>41.618832500000003</v>
      </c>
      <c r="Z27" s="45">
        <v>47.529597000000003</v>
      </c>
      <c r="AA27" s="45">
        <v>32.638185</v>
      </c>
      <c r="AB27" s="23">
        <v>5726.153558</v>
      </c>
      <c r="AC27" s="23">
        <v>66.137225999999998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32</v>
      </c>
      <c r="G28" s="35">
        <v>30</v>
      </c>
      <c r="H28" s="35">
        <v>17</v>
      </c>
      <c r="J28" s="36">
        <f t="shared" si="0"/>
        <v>17.114654999999999</v>
      </c>
      <c r="K28" s="37">
        <f t="shared" si="1"/>
        <v>1.5213026666666667</v>
      </c>
      <c r="L28" s="35">
        <f t="shared" si="2"/>
        <v>18255632</v>
      </c>
      <c r="M28" s="35">
        <f t="shared" si="3"/>
        <v>4809528</v>
      </c>
      <c r="N28" s="46">
        <v>19659392</v>
      </c>
      <c r="O28" s="38">
        <v>18255632</v>
      </c>
      <c r="P28" s="38">
        <v>4237048</v>
      </c>
      <c r="Q28" s="38">
        <v>0</v>
      </c>
      <c r="R28" s="38">
        <v>572480</v>
      </c>
      <c r="S28" s="38">
        <v>13430688</v>
      </c>
      <c r="T28" s="38">
        <v>15416</v>
      </c>
      <c r="U28" s="47">
        <v>80.4181241</v>
      </c>
      <c r="V28" s="47">
        <v>84.0372591</v>
      </c>
      <c r="W28" s="47">
        <v>35.6423883</v>
      </c>
      <c r="X28" s="47">
        <v>44.007247</v>
      </c>
      <c r="Y28" s="47">
        <v>42.0953278</v>
      </c>
      <c r="Z28" s="47">
        <v>48.963469099999998</v>
      </c>
      <c r="AA28" s="47">
        <v>33.803992100000002</v>
      </c>
      <c r="AB28" s="39">
        <v>6957.1881119999998</v>
      </c>
      <c r="AC28" s="39">
        <v>120.149677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32</v>
      </c>
      <c r="G29" s="49">
        <v>30</v>
      </c>
      <c r="H29" s="49">
        <v>25</v>
      </c>
      <c r="J29" s="51">
        <f t="shared" si="0"/>
        <v>25.096274999999999</v>
      </c>
      <c r="K29" s="52">
        <f t="shared" si="1"/>
        <v>2.2307800000000002</v>
      </c>
      <c r="L29" s="49">
        <f t="shared" si="2"/>
        <v>26769360</v>
      </c>
      <c r="M29" s="49">
        <f t="shared" si="3"/>
        <v>7591832</v>
      </c>
      <c r="N29" s="53">
        <v>39320512</v>
      </c>
      <c r="O29" s="54">
        <v>26769360</v>
      </c>
      <c r="P29" s="54">
        <v>7502232</v>
      </c>
      <c r="Q29" s="54">
        <v>0</v>
      </c>
      <c r="R29" s="54">
        <v>89600</v>
      </c>
      <c r="S29" s="54">
        <v>19162168</v>
      </c>
      <c r="T29" s="54">
        <v>15360</v>
      </c>
      <c r="U29" s="55">
        <v>82.249131399999996</v>
      </c>
      <c r="V29" s="55">
        <v>86.660172900000006</v>
      </c>
      <c r="W29" s="55">
        <v>36.313466599999998</v>
      </c>
      <c r="X29" s="55">
        <v>44.606495799999998</v>
      </c>
      <c r="Y29" s="55">
        <v>42.925024800000003</v>
      </c>
      <c r="Z29" s="55">
        <v>50.400794400000002</v>
      </c>
      <c r="AA29" s="55">
        <v>34.827948900000003</v>
      </c>
      <c r="AB29" s="56">
        <v>9668.2842820000005</v>
      </c>
      <c r="AC29" s="56">
        <v>148.32791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32</v>
      </c>
      <c r="G30" s="35">
        <v>30</v>
      </c>
      <c r="H30" s="35">
        <v>4</v>
      </c>
      <c r="J30" s="36">
        <f t="shared" si="0"/>
        <v>3.951765</v>
      </c>
      <c r="K30" s="37">
        <f t="shared" si="1"/>
        <v>0.70281079902241772</v>
      </c>
      <c r="L30" s="35">
        <f t="shared" si="2"/>
        <v>4215216</v>
      </c>
      <c r="M30" s="35">
        <f t="shared" si="3"/>
        <v>1339016</v>
      </c>
      <c r="N30" s="46">
        <v>2427520</v>
      </c>
      <c r="O30" s="38">
        <v>4215216</v>
      </c>
      <c r="P30" s="38">
        <v>714032</v>
      </c>
      <c r="Q30" s="38">
        <v>0</v>
      </c>
      <c r="R30" s="38">
        <v>624984</v>
      </c>
      <c r="S30" s="38">
        <v>2860952</v>
      </c>
      <c r="T30" s="38">
        <v>15248</v>
      </c>
      <c r="U30" s="47">
        <v>74.799510799999993</v>
      </c>
      <c r="V30" s="47">
        <v>76.636315600000003</v>
      </c>
      <c r="W30" s="47">
        <v>38.126989100000003</v>
      </c>
      <c r="X30" s="47">
        <v>44.241334899999998</v>
      </c>
      <c r="Y30" s="47">
        <v>42.8089783</v>
      </c>
      <c r="Z30" s="47">
        <v>47.555307999999997</v>
      </c>
      <c r="AA30" s="47">
        <v>35.127667199999998</v>
      </c>
      <c r="AB30" s="39">
        <v>1875.933115</v>
      </c>
      <c r="AC30" s="39">
        <v>19.968624999999999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32</v>
      </c>
      <c r="G31" s="19">
        <v>30</v>
      </c>
      <c r="H31" s="19">
        <v>8</v>
      </c>
      <c r="J31" s="20">
        <f t="shared" si="0"/>
        <v>7.8792524999999998</v>
      </c>
      <c r="K31" s="21">
        <f t="shared" si="1"/>
        <v>1.401303909828743</v>
      </c>
      <c r="L31" s="19">
        <f t="shared" si="2"/>
        <v>8404536</v>
      </c>
      <c r="M31" s="19">
        <f t="shared" si="3"/>
        <v>1717768</v>
      </c>
      <c r="N31" s="44">
        <v>2427520</v>
      </c>
      <c r="O31" s="22">
        <v>8404536</v>
      </c>
      <c r="P31" s="22">
        <v>714032</v>
      </c>
      <c r="Q31" s="22">
        <v>0</v>
      </c>
      <c r="R31" s="22">
        <v>1003736</v>
      </c>
      <c r="S31" s="22">
        <v>6671320</v>
      </c>
      <c r="T31" s="22">
        <v>15448</v>
      </c>
      <c r="U31" s="45">
        <v>76.467549399999996</v>
      </c>
      <c r="V31" s="45">
        <v>78.586014700000007</v>
      </c>
      <c r="W31" s="45">
        <v>40.637423800000001</v>
      </c>
      <c r="X31" s="45">
        <v>45.881740600000001</v>
      </c>
      <c r="Y31" s="45">
        <v>44.738081700000002</v>
      </c>
      <c r="Z31" s="45">
        <v>48.410163799999999</v>
      </c>
      <c r="AA31" s="45">
        <v>36.705227399999998</v>
      </c>
      <c r="AB31" s="23">
        <v>1488.143783</v>
      </c>
      <c r="AC31" s="23">
        <v>19.517676999999999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32</v>
      </c>
      <c r="G32" s="35">
        <v>30</v>
      </c>
      <c r="H32" s="35">
        <v>12</v>
      </c>
      <c r="J32" s="36">
        <f t="shared" si="0"/>
        <v>12.047902499999999</v>
      </c>
      <c r="K32" s="37">
        <f t="shared" si="1"/>
        <v>2.142687123998817</v>
      </c>
      <c r="L32" s="35">
        <f t="shared" si="2"/>
        <v>12851096</v>
      </c>
      <c r="M32" s="35">
        <f t="shared" si="3"/>
        <v>3048336</v>
      </c>
      <c r="N32" s="46">
        <v>2450608</v>
      </c>
      <c r="O32" s="38">
        <v>12851096</v>
      </c>
      <c r="P32" s="38">
        <v>1971840</v>
      </c>
      <c r="Q32" s="38">
        <v>0</v>
      </c>
      <c r="R32" s="38">
        <v>1076496</v>
      </c>
      <c r="S32" s="38">
        <v>9789376</v>
      </c>
      <c r="T32" s="38">
        <v>13384</v>
      </c>
      <c r="U32" s="47">
        <v>78.518202299999999</v>
      </c>
      <c r="V32" s="47">
        <v>81.100135699999996</v>
      </c>
      <c r="W32" s="47">
        <v>41.910744399999999</v>
      </c>
      <c r="X32" s="47">
        <v>46.562951599999998</v>
      </c>
      <c r="Y32" s="47">
        <v>45.545783</v>
      </c>
      <c r="Z32" s="47">
        <v>49.7060526</v>
      </c>
      <c r="AA32" s="47">
        <v>38.092818399999999</v>
      </c>
      <c r="AB32" s="39">
        <v>2536.076728</v>
      </c>
      <c r="AC32" s="39">
        <v>15.428101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32</v>
      </c>
      <c r="G33" s="19">
        <v>30</v>
      </c>
      <c r="H33" s="19">
        <v>17</v>
      </c>
      <c r="J33" s="20">
        <f t="shared" si="0"/>
        <v>17.422094999999999</v>
      </c>
      <c r="K33" s="21">
        <f t="shared" si="1"/>
        <v>3.0984728362122924</v>
      </c>
      <c r="L33" s="19">
        <f t="shared" si="2"/>
        <v>18583568</v>
      </c>
      <c r="M33" s="19">
        <f t="shared" si="3"/>
        <v>3811792</v>
      </c>
      <c r="N33" s="44">
        <v>2450608</v>
      </c>
      <c r="O33" s="22">
        <v>18583568</v>
      </c>
      <c r="P33" s="22">
        <v>1971840</v>
      </c>
      <c r="Q33" s="22">
        <v>0</v>
      </c>
      <c r="R33" s="22">
        <v>1839952</v>
      </c>
      <c r="S33" s="22">
        <v>14758544</v>
      </c>
      <c r="T33" s="22">
        <v>13232</v>
      </c>
      <c r="U33" s="45">
        <v>79.802465799999993</v>
      </c>
      <c r="V33" s="45">
        <v>82.892045800000005</v>
      </c>
      <c r="W33" s="45">
        <v>43.053551200000001</v>
      </c>
      <c r="X33" s="45">
        <v>47.682410400000002</v>
      </c>
      <c r="Y33" s="45">
        <v>46.881355499999998</v>
      </c>
      <c r="Z33" s="45">
        <v>50.387085800000001</v>
      </c>
      <c r="AA33" s="45">
        <v>39.276667600000003</v>
      </c>
      <c r="AB33" s="23">
        <v>5975.842353</v>
      </c>
      <c r="AC33" s="23">
        <v>88.265923999999998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32</v>
      </c>
      <c r="G34" s="27">
        <v>30</v>
      </c>
      <c r="H34" s="27">
        <v>25</v>
      </c>
      <c r="J34" s="28">
        <f t="shared" si="0"/>
        <v>25.5193425</v>
      </c>
      <c r="K34" s="29">
        <f t="shared" si="1"/>
        <v>4.5385465717095386</v>
      </c>
      <c r="L34" s="27">
        <f t="shared" si="2"/>
        <v>27220632</v>
      </c>
      <c r="M34" s="27">
        <f t="shared" si="3"/>
        <v>6289544</v>
      </c>
      <c r="N34" s="58">
        <v>7367488</v>
      </c>
      <c r="O34" s="30">
        <v>27220632</v>
      </c>
      <c r="P34" s="30">
        <v>4555776</v>
      </c>
      <c r="Q34" s="30">
        <v>0</v>
      </c>
      <c r="R34" s="30">
        <v>1733768</v>
      </c>
      <c r="S34" s="30">
        <v>20917880</v>
      </c>
      <c r="T34" s="30">
        <v>13208</v>
      </c>
      <c r="U34" s="59">
        <v>82.639127999999999</v>
      </c>
      <c r="V34" s="59">
        <v>87.151792099999994</v>
      </c>
      <c r="W34" s="59">
        <v>44.100829400000002</v>
      </c>
      <c r="X34" s="59">
        <v>48.394750899999998</v>
      </c>
      <c r="Y34" s="59">
        <v>47.702540900000002</v>
      </c>
      <c r="Z34" s="59">
        <v>52.790810499999999</v>
      </c>
      <c r="AA34" s="59">
        <v>41.405950799999999</v>
      </c>
      <c r="AB34" s="31">
        <v>6696.9645790000004</v>
      </c>
      <c r="AC34" s="31">
        <v>70.594133999999997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32</v>
      </c>
      <c r="G35" s="19">
        <v>30</v>
      </c>
      <c r="H35" s="19">
        <v>4</v>
      </c>
      <c r="J35" s="20">
        <f t="shared" si="0"/>
        <v>3.8852324999999999</v>
      </c>
      <c r="K35" s="21">
        <f t="shared" si="1"/>
        <v>0.46047199999999999</v>
      </c>
      <c r="L35" s="19">
        <f t="shared" si="2"/>
        <v>4144248</v>
      </c>
      <c r="M35" s="19">
        <f t="shared" si="3"/>
        <v>1367984</v>
      </c>
      <c r="N35" s="44">
        <v>1840960</v>
      </c>
      <c r="O35" s="22">
        <v>4144248</v>
      </c>
      <c r="P35" s="22">
        <v>614352</v>
      </c>
      <c r="Q35" s="22">
        <v>0</v>
      </c>
      <c r="R35" s="22">
        <v>753632</v>
      </c>
      <c r="S35" s="22">
        <v>2760776</v>
      </c>
      <c r="T35" s="22">
        <v>15488</v>
      </c>
      <c r="U35" s="45">
        <v>72.162271899999993</v>
      </c>
      <c r="V35" s="45">
        <v>73.593104299999993</v>
      </c>
      <c r="W35" s="45">
        <v>29.6203979</v>
      </c>
      <c r="X35" s="45">
        <v>38.623048099999998</v>
      </c>
      <c r="Y35" s="45">
        <v>38.356783200000002</v>
      </c>
      <c r="Z35" s="45">
        <v>48.114539399999998</v>
      </c>
      <c r="AA35" s="45">
        <v>28.4122545</v>
      </c>
      <c r="AB35" s="23">
        <v>758.78756199999998</v>
      </c>
      <c r="AC35" s="23">
        <v>5.770473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32</v>
      </c>
      <c r="G36" s="35">
        <v>30</v>
      </c>
      <c r="H36" s="35">
        <v>6</v>
      </c>
      <c r="J36" s="36">
        <f t="shared" si="0"/>
        <v>6.0803250000000002</v>
      </c>
      <c r="K36" s="37">
        <f t="shared" si="1"/>
        <v>0.72063111111111111</v>
      </c>
      <c r="L36" s="35">
        <f t="shared" si="2"/>
        <v>6485680</v>
      </c>
      <c r="M36" s="35">
        <f t="shared" si="3"/>
        <v>1751328</v>
      </c>
      <c r="N36" s="46">
        <v>3680768</v>
      </c>
      <c r="O36" s="38">
        <v>6485680</v>
      </c>
      <c r="P36" s="38">
        <v>942040</v>
      </c>
      <c r="Q36" s="38">
        <v>0</v>
      </c>
      <c r="R36" s="38">
        <v>809288</v>
      </c>
      <c r="S36" s="38">
        <v>4719064</v>
      </c>
      <c r="T36" s="38">
        <v>15288</v>
      </c>
      <c r="U36" s="47">
        <v>74.7209979</v>
      </c>
      <c r="V36" s="47">
        <v>76.553031399999995</v>
      </c>
      <c r="W36" s="47">
        <v>30.268107000000001</v>
      </c>
      <c r="X36" s="47">
        <v>38.805418000000003</v>
      </c>
      <c r="Y36" s="47">
        <v>38.650394400000003</v>
      </c>
      <c r="Z36" s="47">
        <v>49.327142899999998</v>
      </c>
      <c r="AA36" s="47">
        <v>28.892660500000002</v>
      </c>
      <c r="AB36" s="39">
        <v>918.24117100000001</v>
      </c>
      <c r="AC36" s="39">
        <v>7.6888909999999999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32</v>
      </c>
      <c r="G37" s="19">
        <v>30</v>
      </c>
      <c r="H37" s="19">
        <v>11</v>
      </c>
      <c r="J37" s="20">
        <f t="shared" si="0"/>
        <v>11.1514425</v>
      </c>
      <c r="K37" s="21">
        <f t="shared" si="1"/>
        <v>1.3216524444444444</v>
      </c>
      <c r="L37" s="19">
        <f t="shared" si="2"/>
        <v>11894872</v>
      </c>
      <c r="M37" s="19">
        <f t="shared" si="3"/>
        <v>2106200</v>
      </c>
      <c r="N37" s="44">
        <v>7365760</v>
      </c>
      <c r="O37" s="22">
        <v>11894872</v>
      </c>
      <c r="P37" s="22">
        <v>1602384</v>
      </c>
      <c r="Q37" s="22">
        <v>0</v>
      </c>
      <c r="R37" s="22">
        <v>503816</v>
      </c>
      <c r="S37" s="22">
        <v>9772912</v>
      </c>
      <c r="T37" s="22">
        <v>15760</v>
      </c>
      <c r="U37" s="45">
        <v>75.559263400000006</v>
      </c>
      <c r="V37" s="45">
        <v>77.475161900000003</v>
      </c>
      <c r="W37" s="45">
        <v>31.223854800000002</v>
      </c>
      <c r="X37" s="45">
        <v>39.0256063</v>
      </c>
      <c r="Y37" s="45">
        <v>39.201862900000002</v>
      </c>
      <c r="Z37" s="45">
        <v>49.915145000000003</v>
      </c>
      <c r="AA37" s="45">
        <v>30.247434699999999</v>
      </c>
      <c r="AB37" s="23">
        <v>6554.3110980000001</v>
      </c>
      <c r="AC37" s="23">
        <v>89.114208000000005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32</v>
      </c>
      <c r="G38" s="35">
        <v>30</v>
      </c>
      <c r="H38" s="35">
        <v>16</v>
      </c>
      <c r="J38" s="36">
        <f t="shared" si="0"/>
        <v>16.320345</v>
      </c>
      <c r="K38" s="37">
        <f t="shared" si="1"/>
        <v>1.934263111111111</v>
      </c>
      <c r="L38" s="35">
        <f t="shared" si="2"/>
        <v>17408368</v>
      </c>
      <c r="M38" s="35">
        <f t="shared" si="3"/>
        <v>2717640</v>
      </c>
      <c r="N38" s="46">
        <v>7365760</v>
      </c>
      <c r="O38" s="38">
        <v>17408368</v>
      </c>
      <c r="P38" s="38">
        <v>1776280</v>
      </c>
      <c r="Q38" s="38">
        <v>0</v>
      </c>
      <c r="R38" s="38">
        <v>941360</v>
      </c>
      <c r="S38" s="38">
        <v>14674792</v>
      </c>
      <c r="T38" s="38">
        <v>15936</v>
      </c>
      <c r="U38" s="47">
        <v>77.117440999999999</v>
      </c>
      <c r="V38" s="47">
        <v>79.363987600000002</v>
      </c>
      <c r="W38" s="47">
        <v>31.9113404</v>
      </c>
      <c r="X38" s="47">
        <v>39.090066999999998</v>
      </c>
      <c r="Y38" s="47">
        <v>39.328097200000002</v>
      </c>
      <c r="Z38" s="47">
        <v>50.839984399999999</v>
      </c>
      <c r="AA38" s="47">
        <v>30.942427800000001</v>
      </c>
      <c r="AB38" s="39">
        <v>6620.3143810000001</v>
      </c>
      <c r="AC38" s="39">
        <v>86.011690000000002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32</v>
      </c>
      <c r="G39" s="49">
        <v>30</v>
      </c>
      <c r="H39" s="49">
        <v>24</v>
      </c>
      <c r="J39" s="51">
        <f t="shared" si="0"/>
        <v>24.630052500000001</v>
      </c>
      <c r="K39" s="52">
        <f t="shared" si="1"/>
        <v>2.9191173333333333</v>
      </c>
      <c r="L39" s="49">
        <f t="shared" si="2"/>
        <v>26272056</v>
      </c>
      <c r="M39" s="49">
        <f t="shared" si="3"/>
        <v>3928584</v>
      </c>
      <c r="N39" s="53">
        <v>14733824</v>
      </c>
      <c r="O39" s="54">
        <v>26272056</v>
      </c>
      <c r="P39" s="54">
        <v>3116232</v>
      </c>
      <c r="Q39" s="54">
        <v>0</v>
      </c>
      <c r="R39" s="54">
        <v>812352</v>
      </c>
      <c r="S39" s="54">
        <v>22327944</v>
      </c>
      <c r="T39" s="54">
        <v>15528</v>
      </c>
      <c r="U39" s="55">
        <v>79.474362400000004</v>
      </c>
      <c r="V39" s="55">
        <v>82.299347900000001</v>
      </c>
      <c r="W39" s="55">
        <v>32.729931700000002</v>
      </c>
      <c r="X39" s="55">
        <v>39.175255100000001</v>
      </c>
      <c r="Y39" s="55">
        <v>39.471324799999998</v>
      </c>
      <c r="Z39" s="55">
        <v>52.0455714</v>
      </c>
      <c r="AA39" s="55">
        <v>31.819745099999999</v>
      </c>
      <c r="AB39" s="56">
        <v>7488.971004</v>
      </c>
      <c r="AC39" s="56">
        <v>97.720506999999998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32</v>
      </c>
      <c r="G40" s="35">
        <v>30</v>
      </c>
      <c r="H40" s="35">
        <v>4</v>
      </c>
      <c r="J40" s="36">
        <f t="shared" si="0"/>
        <v>3.9854324999999999</v>
      </c>
      <c r="K40" s="37">
        <f t="shared" si="1"/>
        <v>0.47234755555555558</v>
      </c>
      <c r="L40" s="35">
        <f t="shared" si="2"/>
        <v>4251128</v>
      </c>
      <c r="M40" s="35">
        <f t="shared" si="3"/>
        <v>1205040</v>
      </c>
      <c r="N40" s="46">
        <v>1839040</v>
      </c>
      <c r="O40" s="38">
        <v>4251128</v>
      </c>
      <c r="P40" s="38">
        <v>532640</v>
      </c>
      <c r="Q40" s="38">
        <v>0</v>
      </c>
      <c r="R40" s="38">
        <v>672400</v>
      </c>
      <c r="S40" s="38">
        <v>3030696</v>
      </c>
      <c r="T40" s="38">
        <v>15392</v>
      </c>
      <c r="U40" s="47">
        <v>72.654934900000001</v>
      </c>
      <c r="V40" s="47">
        <v>73.968622100000005</v>
      </c>
      <c r="W40" s="47">
        <v>32.543196899999998</v>
      </c>
      <c r="X40" s="47">
        <v>42.241251400000003</v>
      </c>
      <c r="Y40" s="47">
        <v>42.574108099999997</v>
      </c>
      <c r="Z40" s="47">
        <v>48.127142200000002</v>
      </c>
      <c r="AA40" s="47">
        <v>31.655290900000001</v>
      </c>
      <c r="AB40" s="39">
        <v>1782.2571949999999</v>
      </c>
      <c r="AC40" s="39">
        <v>22.630474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32</v>
      </c>
      <c r="G41" s="19">
        <v>30</v>
      </c>
      <c r="H41" s="19">
        <v>6</v>
      </c>
      <c r="J41" s="20">
        <f t="shared" si="0"/>
        <v>6.0530400000000002</v>
      </c>
      <c r="K41" s="21">
        <f t="shared" si="1"/>
        <v>0.71739733333333333</v>
      </c>
      <c r="L41" s="19">
        <f t="shared" si="2"/>
        <v>6456576</v>
      </c>
      <c r="M41" s="19">
        <f t="shared" si="3"/>
        <v>1304200</v>
      </c>
      <c r="N41" s="44">
        <v>1839040</v>
      </c>
      <c r="O41" s="22">
        <v>6456576</v>
      </c>
      <c r="P41" s="22">
        <v>578280</v>
      </c>
      <c r="Q41" s="22">
        <v>0</v>
      </c>
      <c r="R41" s="22">
        <v>725920</v>
      </c>
      <c r="S41" s="22">
        <v>5136896</v>
      </c>
      <c r="T41" s="22">
        <v>15480</v>
      </c>
      <c r="U41" s="45">
        <v>72.886944600000007</v>
      </c>
      <c r="V41" s="45">
        <v>74.229794299999995</v>
      </c>
      <c r="W41" s="45">
        <v>33.194537400000002</v>
      </c>
      <c r="X41" s="45">
        <v>42.505837100000001</v>
      </c>
      <c r="Y41" s="45">
        <v>42.860357</v>
      </c>
      <c r="Z41" s="45">
        <v>48.303001399999999</v>
      </c>
      <c r="AA41" s="45">
        <v>32.079288699999999</v>
      </c>
      <c r="AB41" s="23">
        <v>5670.4223160000001</v>
      </c>
      <c r="AC41" s="23">
        <v>97.577112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32</v>
      </c>
      <c r="G42" s="35">
        <v>30</v>
      </c>
      <c r="H42" s="35">
        <v>11</v>
      </c>
      <c r="J42" s="36">
        <f t="shared" si="0"/>
        <v>11.1150225</v>
      </c>
      <c r="K42" s="37">
        <f t="shared" si="1"/>
        <v>1.3173360000000001</v>
      </c>
      <c r="L42" s="35">
        <f t="shared" si="2"/>
        <v>11856024</v>
      </c>
      <c r="M42" s="35">
        <f t="shared" si="3"/>
        <v>2200976</v>
      </c>
      <c r="N42" s="46">
        <v>7368320</v>
      </c>
      <c r="O42" s="38">
        <v>11856024</v>
      </c>
      <c r="P42" s="38">
        <v>1558208</v>
      </c>
      <c r="Q42" s="38">
        <v>0</v>
      </c>
      <c r="R42" s="38">
        <v>642768</v>
      </c>
      <c r="S42" s="38">
        <v>9639368</v>
      </c>
      <c r="T42" s="38">
        <v>15680</v>
      </c>
      <c r="U42" s="47">
        <v>76.481802000000002</v>
      </c>
      <c r="V42" s="47">
        <v>78.359643800000001</v>
      </c>
      <c r="W42" s="47">
        <v>34.202283100000002</v>
      </c>
      <c r="X42" s="47">
        <v>42.831829599999999</v>
      </c>
      <c r="Y42" s="47">
        <v>43.3615219</v>
      </c>
      <c r="Z42" s="47">
        <v>50.796456599999999</v>
      </c>
      <c r="AA42" s="47">
        <v>33.346292699999999</v>
      </c>
      <c r="AB42" s="39">
        <v>5039.124648</v>
      </c>
      <c r="AC42" s="39">
        <v>90.404611000000003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32</v>
      </c>
      <c r="G43" s="19">
        <v>30</v>
      </c>
      <c r="H43" s="19">
        <v>16</v>
      </c>
      <c r="J43" s="20">
        <f t="shared" si="0"/>
        <v>16.393380000000001</v>
      </c>
      <c r="K43" s="21">
        <f t="shared" si="1"/>
        <v>1.942919111111111</v>
      </c>
      <c r="L43" s="19">
        <f t="shared" si="2"/>
        <v>17486272</v>
      </c>
      <c r="M43" s="19">
        <f t="shared" si="3"/>
        <v>2648312</v>
      </c>
      <c r="N43" s="44">
        <v>7368320</v>
      </c>
      <c r="O43" s="22">
        <v>17486272</v>
      </c>
      <c r="P43" s="22">
        <v>1731368</v>
      </c>
      <c r="Q43" s="22">
        <v>0</v>
      </c>
      <c r="R43" s="22">
        <v>916944</v>
      </c>
      <c r="S43" s="22">
        <v>14822136</v>
      </c>
      <c r="T43" s="22">
        <v>15824</v>
      </c>
      <c r="U43" s="45">
        <v>77.449883</v>
      </c>
      <c r="V43" s="45">
        <v>79.537702699999997</v>
      </c>
      <c r="W43" s="45">
        <v>34.9009353</v>
      </c>
      <c r="X43" s="45">
        <v>42.973362799999997</v>
      </c>
      <c r="Y43" s="45">
        <v>43.556047399999997</v>
      </c>
      <c r="Z43" s="45">
        <v>51.238388800000003</v>
      </c>
      <c r="AA43" s="45">
        <v>33.975731500000002</v>
      </c>
      <c r="AB43" s="23">
        <v>5067.3538319999998</v>
      </c>
      <c r="AC43" s="23">
        <v>73.757609000000002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32</v>
      </c>
      <c r="G44" s="27">
        <v>30</v>
      </c>
      <c r="H44" s="27">
        <v>24</v>
      </c>
      <c r="J44" s="28">
        <f t="shared" si="0"/>
        <v>24.690427499999998</v>
      </c>
      <c r="K44" s="29">
        <f t="shared" si="1"/>
        <v>2.9262728888888887</v>
      </c>
      <c r="L44" s="27">
        <f t="shared" si="2"/>
        <v>26336456</v>
      </c>
      <c r="M44" s="27">
        <f t="shared" si="3"/>
        <v>3693496</v>
      </c>
      <c r="N44" s="58">
        <v>14739328</v>
      </c>
      <c r="O44" s="30">
        <v>26336456</v>
      </c>
      <c r="P44" s="30">
        <v>2693928</v>
      </c>
      <c r="Q44" s="30">
        <v>0</v>
      </c>
      <c r="R44" s="30">
        <v>999568</v>
      </c>
      <c r="S44" s="30">
        <v>22627392</v>
      </c>
      <c r="T44" s="30">
        <v>15568</v>
      </c>
      <c r="U44" s="59">
        <v>79.915023399999995</v>
      </c>
      <c r="V44" s="59">
        <v>82.625612099999998</v>
      </c>
      <c r="W44" s="59">
        <v>35.7708011</v>
      </c>
      <c r="X44" s="59">
        <v>43.106379500000003</v>
      </c>
      <c r="Y44" s="59">
        <v>43.766516799999998</v>
      </c>
      <c r="Z44" s="59">
        <v>52.809967999999998</v>
      </c>
      <c r="AA44" s="59">
        <v>34.9738726</v>
      </c>
      <c r="AB44" s="31">
        <v>7073.320377</v>
      </c>
      <c r="AC44" s="31">
        <v>96.030112000000003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ht="15" customHeight="1" x14ac:dyDescent="0.15">
      <c r="A45" s="17" t="s">
        <v>427</v>
      </c>
      <c r="B45" s="17" t="s">
        <v>428</v>
      </c>
      <c r="C45" s="19" t="s">
        <v>362</v>
      </c>
      <c r="D45" s="17">
        <v>199984</v>
      </c>
      <c r="E45" s="18">
        <v>10</v>
      </c>
      <c r="F45" s="19">
        <v>1</v>
      </c>
      <c r="G45" s="19">
        <v>30</v>
      </c>
      <c r="H45" s="19">
        <v>4</v>
      </c>
      <c r="J45" s="20">
        <f t="shared" ref="J45:J49" si="12">IF(OR(ISBLANK(O45),ISBLANK(G45)),"·",O45*G45/F45/1000000)</f>
        <v>4.2307199999999998</v>
      </c>
      <c r="K45" s="21">
        <f t="shared" ref="K45:K49" si="13">IF(ISBLANK(O45),"·",O45/D45)</f>
        <v>0.70517641411312904</v>
      </c>
      <c r="L45" s="19">
        <f t="shared" ref="L45:L49" si="14">IF(OR(ISBLANK(M45),ISBLANK(S45),ISBLANK(T45)),".",M45+S45+T45)</f>
        <v>141024</v>
      </c>
      <c r="M45" s="19">
        <f t="shared" ref="M45:M49" si="15">IF(OR(ISBLANK(Q45),ISBLANK(P45),ISBLANK(R45)),".",P45+Q45+R45)</f>
        <v>46112</v>
      </c>
      <c r="N45" s="44">
        <v>76800</v>
      </c>
      <c r="O45" s="22">
        <v>141024</v>
      </c>
      <c r="P45" s="22">
        <v>21336</v>
      </c>
      <c r="Q45" s="22">
        <v>0</v>
      </c>
      <c r="R45" s="22">
        <v>24776</v>
      </c>
      <c r="S45" s="22">
        <v>93312</v>
      </c>
      <c r="T45" s="22">
        <v>1600</v>
      </c>
      <c r="U45" s="45">
        <v>74.524426899999995</v>
      </c>
      <c r="V45" s="45">
        <v>76.5139341</v>
      </c>
      <c r="W45" s="45">
        <v>30.238096599999999</v>
      </c>
      <c r="X45" s="45">
        <v>41.188856000000001</v>
      </c>
      <c r="Y45" s="45">
        <v>39.595556700000003</v>
      </c>
      <c r="Z45" s="45">
        <v>54.122185100000003</v>
      </c>
      <c r="AA45" s="45">
        <v>29.431978399999998</v>
      </c>
      <c r="AB45" s="23">
        <v>52.073283000000004</v>
      </c>
      <c r="AC45" s="23">
        <v>0.28548400000000002</v>
      </c>
      <c r="AE45" s="20" t="str">
        <f t="shared" ref="AE45:AE49" si="16">IF(OR(ISBLANK(AJ45),ISBLANK(G45)),"·",AJ45*G45/F45/1000000)</f>
        <v>·</v>
      </c>
      <c r="AF45" s="21" t="str">
        <f t="shared" ref="AF45:AF49" si="17">IF(ISBLANK(AJ45),"·",AJ45/D45)</f>
        <v>·</v>
      </c>
      <c r="AG45" s="19" t="str">
        <f t="shared" ref="AG45:AG49" si="18">IF(OR(ISBLANK(AH45),ISBLANK(AN45),ISBLANK(AO45)),".",AH45+AN45+AO45)</f>
        <v>.</v>
      </c>
      <c r="AH45" s="19" t="str">
        <f t="shared" ref="AH45:AH49" si="19">IF(OR(ISBLANK(AL45),ISBLANK(AK45),ISBLANK(AM45)),".",AK45+AL45+AM45)</f>
        <v>.</v>
      </c>
      <c r="AI45" s="44"/>
      <c r="AJ45" s="22"/>
      <c r="AK45" s="22"/>
      <c r="AL45" s="22"/>
      <c r="AM45" s="22"/>
      <c r="AN45" s="22"/>
      <c r="AO45" s="22"/>
      <c r="AP45" s="45"/>
      <c r="AQ45" s="45"/>
      <c r="AR45" s="45"/>
      <c r="AS45" s="45"/>
      <c r="AT45" s="45"/>
      <c r="AU45" s="45"/>
      <c r="AV45" s="45"/>
      <c r="AW45" s="23"/>
      <c r="AX45" s="23"/>
      <c r="AZ45" s="24" t="str">
        <f t="array" ref="AZ45">IF( OR(AND(ISBLANK(L45:L49)),AND(ISBLANK(AG45:AG49)), AND(ISBLANK(U45:U49)),AND(ISBLANK(AP45:AP49))), "·", bdRateExtend( L45:L49,U45:U49, AG45:AG49,AP45:AP49))</f>
        <v>·</v>
      </c>
      <c r="BA45" s="24" t="str">
        <f t="array" ref="BA45">IF( OR(AND(ISBLANK(L45:L49)),AND(ISBLANK(AG45:AG49)), AND(ISBLANK(V45:V49)),AND(ISBLANK(AQ45:AQ49))), "·", bdRateExtend( L45:L49,V45:V49, AG45:AG49,AQ45:AQ49))</f>
        <v>·</v>
      </c>
      <c r="BB45" s="24" t="str" cm="1">
        <f t="array" ref="BB45">IF( OR(AND(ISBLANK(L45:L49)),AND(ISBLANK(AG45:AG49)), AND(ISBLANK(W45:W49)),AND(ISBLANK(AR45:AR49))), "·", bdRateExtend( L45:L49,W45:W49, AG45:AG49,AR45:AR49))</f>
        <v>·</v>
      </c>
      <c r="BC45" s="24" t="str" cm="1">
        <f t="array" ref="BC45">IF( OR(AND(ISBLANK(L45:L49)),AND(ISBLANK(AG45:AG49)), AND(ISBLANK(X45:X49)),AND(ISBLANK(AS45:AS49))), "·", bdRateExtend( L45:L49,X45:X49, AG45:AG49,AS45:AS49))</f>
        <v>·</v>
      </c>
      <c r="BD45" s="24" t="str" cm="1">
        <f t="array" ref="BD45">IF( OR(AND(ISBLANK(L45:L49)),AND(ISBLANK(AG45:AG49)), AND(ISBLANK(Y45:Y49)),AND(ISBLANK(AT45:AT49))), "·", bdRateExtend( L45:L49,Y45:Y49, AG45:AG49,AT45:AT49))</f>
        <v>·</v>
      </c>
      <c r="BE45" s="24" t="str" cm="1">
        <f t="array" ref="BE45">IF( OR(AND(ISBLANK(L45:L49)),AND(ISBLANK(AG45:AG49)), AND(ISBLANK(Z45:Z49)),AND(ISBLANK(AU45:AU49))), "·", bdRateExtend( L45:L49,Z45:Z49, AG45:AG49,AU45:AU49))</f>
        <v>·</v>
      </c>
      <c r="BF45" s="24" t="str" cm="1">
        <f t="array" ref="BF45">IF( OR(AND(ISBLANK(L45:L49)),AND(ISBLANK(AG45:AG49)), AND(ISBLANK(AA45:AA49)),AND(ISBLANK(AV45:AV49))), "·", bdRateExtend( L45:L49,AA45:AA49, AG45:AG49,AV45:AV49))</f>
        <v>·</v>
      </c>
      <c r="BH45" s="24" t="str" cm="1">
        <f t="array" ref="BH45">IF( OR(AND(ISBLANK(M45:M49)),AND(ISBLANK(AH45:AH49)), AND(ISBLANK(U45:U49)),AND(ISBLANK(AP45:AP49))), "·", bdRateExtend( M45:M49,U45:U49, AH45:AH49,AP45:AP49))</f>
        <v>·</v>
      </c>
      <c r="BI45" s="24" t="str" cm="1">
        <f t="array" ref="BI45">IF( OR(AND(ISBLANK(M45:M49)),AND(ISBLANK(AH45:AH49)), AND(ISBLANK(V45:V49)),AND(ISBLANK(AQ45:AQ49))), "·", bdRateExtend( M45:M49,V45:V49, AH45:AH49,AQ45:AQ49))</f>
        <v>·</v>
      </c>
      <c r="BJ45" s="24" t="str" cm="1">
        <f t="array" ref="BJ45">IF( OR(AND(ISBLANK(S45:S49)),AND(ISBLANK(AN45:AN49)), AND(ISBLANK(W45:W49)),AND(ISBLANK(AR45:AR49))), "·", bdRateExtend( S45:S49,W45:W49, AN45:AN49,AR45:AR49))</f>
        <v>·</v>
      </c>
      <c r="BK45" s="24" t="str" cm="1">
        <f t="array" ref="BK45">IF( OR(AND(ISBLANK(S45:S49)),AND(ISBLANK(AN45:AN49)), AND(ISBLANK(X45:X49)),AND(ISBLANK(AS45:AS49))), "·", bdRateExtend( S45:S49,X45:X49, AN45:AN49,AS45:AS49))</f>
        <v>·</v>
      </c>
      <c r="BL45" s="24" t="str" cm="1">
        <f t="array" ref="BL45">IF( OR(AND(ISBLANK(S45:S49)),AND(ISBLANK(AN45:AN49)), AND(ISBLANK(Y45:Y49)),AND(ISBLANK(AT45:AT49))), "·", bdRateExtend( S45:S49,Y45:Y49, AN45:AN49,AT45:AT49))</f>
        <v>·</v>
      </c>
      <c r="BM45" s="24" t="str" cm="1">
        <f t="array" ref="BM45">IF( OR(AND(ISBLANK(M45:M49)),AND(ISBLANK(AH45:AH49)), AND(ISBLANK(Z45:Z49)),AND(ISBLANK(AU45:AU49))), "·", bdRateExtend( M45:M49,Z45:Z49, AH45:AH49,AU45:AU49))</f>
        <v>·</v>
      </c>
      <c r="BN45" s="24" t="str" cm="1">
        <f t="array" ref="BN45">IF( OR(AND(ISBLANK(S45:S49)),AND(ISBLANK(AN45:AN49)), AND(ISBLANK(AA45:AA49)),AND(ISBLANK(AV45:AV49))), "·", bdRateExtend( S45:S49,AA45:AA49, AN45:AN49,AV45:AV49))</f>
        <v>·</v>
      </c>
      <c r="BP45" s="24">
        <f t="shared" ref="BP45:BP49" si="20">IF(AND(AK45=0,AK45=0),0,AK45/P45-1)</f>
        <v>0</v>
      </c>
      <c r="BQ45" s="24">
        <f t="shared" ref="BQ45:BQ49" si="21">IF(AND(AL45=0,AL45=0),0,AL45/Q45-1)</f>
        <v>0</v>
      </c>
      <c r="BR45" s="24">
        <f t="shared" ref="BR45:BR49" si="22">IF(AND(AM45=0,AM45=0),0,AM45/R45-1)</f>
        <v>0</v>
      </c>
      <c r="BS45" s="24">
        <f t="shared" ref="BS45:BS49" si="23">IF(AND(AN45=0,AN45=0),0,AN45/S45-1)</f>
        <v>0</v>
      </c>
      <c r="BT45" s="24">
        <f t="shared" ref="BT45:BT49" si="24">IF(AND(AO45=0,AO45=0),0,AO45/T45-1)</f>
        <v>0</v>
      </c>
    </row>
    <row r="46" spans="1:72" ht="15" customHeight="1" outlineLevel="1" x14ac:dyDescent="0.15">
      <c r="A46" s="33"/>
      <c r="B46" s="33" t="s">
        <v>428</v>
      </c>
      <c r="C46" s="35" t="s">
        <v>363</v>
      </c>
      <c r="D46" s="33">
        <v>199984</v>
      </c>
      <c r="E46" s="34">
        <v>10</v>
      </c>
      <c r="F46" s="35">
        <v>1</v>
      </c>
      <c r="G46" s="35">
        <v>30</v>
      </c>
      <c r="H46" s="35">
        <v>9</v>
      </c>
      <c r="J46" s="36">
        <f t="shared" si="12"/>
        <v>6.4752000000000001</v>
      </c>
      <c r="K46" s="37">
        <f t="shared" si="13"/>
        <v>1.0792863429074326</v>
      </c>
      <c r="L46" s="35">
        <f t="shared" si="14"/>
        <v>215840</v>
      </c>
      <c r="M46" s="35">
        <f t="shared" si="15"/>
        <v>56264</v>
      </c>
      <c r="N46" s="46">
        <v>153600</v>
      </c>
      <c r="O46" s="38">
        <v>215840</v>
      </c>
      <c r="P46" s="38">
        <v>35112</v>
      </c>
      <c r="Q46" s="38">
        <v>0</v>
      </c>
      <c r="R46" s="38">
        <v>21152</v>
      </c>
      <c r="S46" s="38">
        <v>157928</v>
      </c>
      <c r="T46" s="38">
        <v>1648</v>
      </c>
      <c r="U46" s="47">
        <v>75.687530499999994</v>
      </c>
      <c r="V46" s="47">
        <v>77.986673800000005</v>
      </c>
      <c r="W46" s="47">
        <v>31.157793900000001</v>
      </c>
      <c r="X46" s="47">
        <v>42.283162599999997</v>
      </c>
      <c r="Y46" s="47">
        <v>40.591721100000001</v>
      </c>
      <c r="Z46" s="47">
        <v>54.831061499999997</v>
      </c>
      <c r="AA46" s="47">
        <v>29.977537999999999</v>
      </c>
      <c r="AB46" s="39">
        <v>76.820853</v>
      </c>
      <c r="AC46" s="39">
        <v>0.23869299999999999</v>
      </c>
      <c r="AE46" s="36" t="str">
        <f t="shared" si="16"/>
        <v>·</v>
      </c>
      <c r="AF46" s="37" t="str">
        <f t="shared" si="17"/>
        <v>·</v>
      </c>
      <c r="AG46" s="35" t="str">
        <f t="shared" si="18"/>
        <v>.</v>
      </c>
      <c r="AH46" s="35" t="str">
        <f t="shared" si="19"/>
        <v>.</v>
      </c>
      <c r="AI46" s="46"/>
      <c r="AJ46" s="38"/>
      <c r="AK46" s="38"/>
      <c r="AL46" s="38"/>
      <c r="AM46" s="38"/>
      <c r="AN46" s="38"/>
      <c r="AO46" s="38"/>
      <c r="AP46" s="47"/>
      <c r="AQ46" s="47"/>
      <c r="AR46" s="47"/>
      <c r="AS46" s="47"/>
      <c r="AT46" s="47"/>
      <c r="AU46" s="47"/>
      <c r="AV46" s="47"/>
      <c r="AW46" s="39"/>
      <c r="AX46" s="39"/>
      <c r="AZ46" s="40"/>
      <c r="BA46" s="40"/>
      <c r="BB46" s="40"/>
      <c r="BC46" s="40"/>
      <c r="BD46" s="40"/>
      <c r="BE46" s="40"/>
      <c r="BF46" s="40"/>
      <c r="BH46" s="101"/>
      <c r="BI46" s="101"/>
      <c r="BJ46" s="101"/>
      <c r="BK46" s="101"/>
      <c r="BL46" s="101"/>
      <c r="BM46" s="101"/>
      <c r="BN46" s="101"/>
      <c r="BP46" s="40">
        <f t="shared" si="20"/>
        <v>0</v>
      </c>
      <c r="BQ46" s="40">
        <f t="shared" si="21"/>
        <v>0</v>
      </c>
      <c r="BR46" s="40">
        <f t="shared" si="22"/>
        <v>0</v>
      </c>
      <c r="BS46" s="40">
        <f t="shared" si="23"/>
        <v>0</v>
      </c>
      <c r="BT46" s="40">
        <f t="shared" si="24"/>
        <v>0</v>
      </c>
    </row>
    <row r="47" spans="1:72" ht="15" customHeight="1" outlineLevel="1" x14ac:dyDescent="0.15">
      <c r="A47" s="17"/>
      <c r="B47" s="17" t="s">
        <v>428</v>
      </c>
      <c r="C47" s="19" t="s">
        <v>364</v>
      </c>
      <c r="D47" s="17">
        <v>199984</v>
      </c>
      <c r="E47" s="18">
        <v>10</v>
      </c>
      <c r="F47" s="19">
        <v>1</v>
      </c>
      <c r="G47" s="19">
        <v>30</v>
      </c>
      <c r="H47" s="19">
        <v>12</v>
      </c>
      <c r="J47" s="20">
        <f t="shared" si="12"/>
        <v>10.710240000000001</v>
      </c>
      <c r="K47" s="21">
        <f t="shared" si="13"/>
        <v>1.78518281462517</v>
      </c>
      <c r="L47" s="19">
        <f t="shared" si="14"/>
        <v>357008</v>
      </c>
      <c r="M47" s="19">
        <f t="shared" si="15"/>
        <v>81576</v>
      </c>
      <c r="N47" s="44">
        <v>307200</v>
      </c>
      <c r="O47" s="22">
        <v>357008</v>
      </c>
      <c r="P47" s="22">
        <v>66632</v>
      </c>
      <c r="Q47" s="22">
        <v>0</v>
      </c>
      <c r="R47" s="22">
        <v>14944</v>
      </c>
      <c r="S47" s="22">
        <v>273784</v>
      </c>
      <c r="T47" s="22">
        <v>1648</v>
      </c>
      <c r="U47" s="45">
        <v>77.288102699999996</v>
      </c>
      <c r="V47" s="45">
        <v>79.929790100000005</v>
      </c>
      <c r="W47" s="45">
        <v>31.751473900000001</v>
      </c>
      <c r="X47" s="45">
        <v>44.319451600000001</v>
      </c>
      <c r="Y47" s="45">
        <v>43.1361816</v>
      </c>
      <c r="Z47" s="45">
        <v>55.7650285</v>
      </c>
      <c r="AA47" s="45">
        <v>31.127217000000002</v>
      </c>
      <c r="AB47" s="23">
        <v>282.40957900000001</v>
      </c>
      <c r="AC47" s="23">
        <v>2.9237289999999998</v>
      </c>
      <c r="AE47" s="20" t="str">
        <f t="shared" si="16"/>
        <v>·</v>
      </c>
      <c r="AF47" s="21" t="str">
        <f t="shared" si="17"/>
        <v>·</v>
      </c>
      <c r="AG47" s="19" t="str">
        <f t="shared" si="18"/>
        <v>.</v>
      </c>
      <c r="AH47" s="19" t="str">
        <f t="shared" si="19"/>
        <v>.</v>
      </c>
      <c r="AI47" s="44"/>
      <c r="AJ47" s="22"/>
      <c r="AK47" s="22"/>
      <c r="AL47" s="22"/>
      <c r="AM47" s="22"/>
      <c r="AN47" s="22"/>
      <c r="AO47" s="22"/>
      <c r="AP47" s="45"/>
      <c r="AQ47" s="45"/>
      <c r="AR47" s="45"/>
      <c r="AS47" s="45"/>
      <c r="AT47" s="45"/>
      <c r="AU47" s="45"/>
      <c r="AV47" s="45"/>
      <c r="AW47" s="23"/>
      <c r="AX47" s="23"/>
      <c r="AZ47" s="24"/>
      <c r="BA47" s="24"/>
      <c r="BB47" s="24"/>
      <c r="BC47" s="24"/>
      <c r="BD47" s="24"/>
      <c r="BE47" s="24"/>
      <c r="BF47" s="24"/>
      <c r="BH47" s="100"/>
      <c r="BI47" s="100"/>
      <c r="BJ47" s="100"/>
      <c r="BK47" s="100"/>
      <c r="BL47" s="100"/>
      <c r="BM47" s="100"/>
      <c r="BN47" s="100"/>
      <c r="BP47" s="24">
        <f t="shared" si="20"/>
        <v>0</v>
      </c>
      <c r="BQ47" s="24">
        <f t="shared" si="21"/>
        <v>0</v>
      </c>
      <c r="BR47" s="24">
        <f t="shared" si="22"/>
        <v>0</v>
      </c>
      <c r="BS47" s="24">
        <f t="shared" si="23"/>
        <v>0</v>
      </c>
      <c r="BT47" s="24">
        <f t="shared" si="24"/>
        <v>0</v>
      </c>
    </row>
    <row r="48" spans="1:72" ht="15" customHeight="1" outlineLevel="1" x14ac:dyDescent="0.15">
      <c r="A48" s="33"/>
      <c r="B48" s="33" t="s">
        <v>428</v>
      </c>
      <c r="C48" s="35" t="s">
        <v>365</v>
      </c>
      <c r="D48" s="33">
        <v>199984</v>
      </c>
      <c r="E48" s="34">
        <v>10</v>
      </c>
      <c r="F48" s="35">
        <v>1</v>
      </c>
      <c r="G48" s="35">
        <v>30</v>
      </c>
      <c r="H48" s="35">
        <v>15</v>
      </c>
      <c r="J48" s="36">
        <f t="shared" si="12"/>
        <v>14.266080000000001</v>
      </c>
      <c r="K48" s="37">
        <f t="shared" si="13"/>
        <v>2.3778702296183694</v>
      </c>
      <c r="L48" s="35">
        <f t="shared" si="14"/>
        <v>475536</v>
      </c>
      <c r="M48" s="35">
        <f t="shared" si="15"/>
        <v>90800</v>
      </c>
      <c r="N48" s="46">
        <v>307200</v>
      </c>
      <c r="O48" s="38">
        <v>475536</v>
      </c>
      <c r="P48" s="38">
        <v>66632</v>
      </c>
      <c r="Q48" s="38">
        <v>0</v>
      </c>
      <c r="R48" s="38">
        <v>24168</v>
      </c>
      <c r="S48" s="38">
        <v>383064</v>
      </c>
      <c r="T48" s="38">
        <v>1672</v>
      </c>
      <c r="U48" s="47">
        <v>78.687753099999995</v>
      </c>
      <c r="V48" s="47">
        <v>81.812540100000007</v>
      </c>
      <c r="W48" s="47">
        <v>32.306105199999998</v>
      </c>
      <c r="X48" s="47">
        <v>44.626617199999998</v>
      </c>
      <c r="Y48" s="47">
        <v>43.605740500000003</v>
      </c>
      <c r="Z48" s="47">
        <v>56.752282999999998</v>
      </c>
      <c r="AA48" s="47">
        <v>31.7123879</v>
      </c>
      <c r="AB48" s="39">
        <v>212.712805</v>
      </c>
      <c r="AC48" s="39">
        <v>2.2306539999999999</v>
      </c>
      <c r="AE48" s="36" t="str">
        <f t="shared" si="16"/>
        <v>·</v>
      </c>
      <c r="AF48" s="37" t="str">
        <f t="shared" si="17"/>
        <v>·</v>
      </c>
      <c r="AG48" s="35" t="str">
        <f t="shared" si="18"/>
        <v>.</v>
      </c>
      <c r="AH48" s="35" t="str">
        <f t="shared" si="19"/>
        <v>.</v>
      </c>
      <c r="AI48" s="46"/>
      <c r="AJ48" s="38"/>
      <c r="AK48" s="38"/>
      <c r="AL48" s="38"/>
      <c r="AM48" s="38"/>
      <c r="AN48" s="38"/>
      <c r="AO48" s="38"/>
      <c r="AP48" s="47"/>
      <c r="AQ48" s="47"/>
      <c r="AR48" s="47"/>
      <c r="AS48" s="47"/>
      <c r="AT48" s="47"/>
      <c r="AU48" s="47"/>
      <c r="AV48" s="47"/>
      <c r="AW48" s="39"/>
      <c r="AX48" s="39"/>
      <c r="AZ48" s="40"/>
      <c r="BA48" s="40"/>
      <c r="BB48" s="40"/>
      <c r="BC48" s="40"/>
      <c r="BD48" s="40"/>
      <c r="BE48" s="40"/>
      <c r="BF48" s="40"/>
      <c r="BH48" s="101"/>
      <c r="BI48" s="101"/>
      <c r="BJ48" s="101"/>
      <c r="BK48" s="101"/>
      <c r="BL48" s="101"/>
      <c r="BM48" s="101"/>
      <c r="BN48" s="101"/>
      <c r="BP48" s="40">
        <f t="shared" si="20"/>
        <v>0</v>
      </c>
      <c r="BQ48" s="40">
        <f t="shared" si="21"/>
        <v>0</v>
      </c>
      <c r="BR48" s="40">
        <f t="shared" si="22"/>
        <v>0</v>
      </c>
      <c r="BS48" s="40">
        <f t="shared" si="23"/>
        <v>0</v>
      </c>
      <c r="BT48" s="40">
        <f t="shared" si="24"/>
        <v>0</v>
      </c>
    </row>
    <row r="49" spans="1:72" ht="15.75" customHeight="1" outlineLevel="1" thickBot="1" x14ac:dyDescent="0.2">
      <c r="A49" s="48"/>
      <c r="B49" s="48" t="s">
        <v>428</v>
      </c>
      <c r="C49" s="49" t="s">
        <v>366</v>
      </c>
      <c r="D49" s="48">
        <v>199984</v>
      </c>
      <c r="E49" s="50">
        <v>10</v>
      </c>
      <c r="F49" s="49">
        <v>1</v>
      </c>
      <c r="G49" s="49">
        <v>30</v>
      </c>
      <c r="H49" s="49">
        <v>22</v>
      </c>
      <c r="J49" s="51">
        <f t="shared" si="12"/>
        <v>22.335360000000001</v>
      </c>
      <c r="K49" s="52">
        <f t="shared" si="13"/>
        <v>3.7228578286262901</v>
      </c>
      <c r="L49" s="49">
        <f t="shared" si="14"/>
        <v>744512</v>
      </c>
      <c r="M49" s="49">
        <f t="shared" si="15"/>
        <v>147464</v>
      </c>
      <c r="N49" s="53">
        <v>614272</v>
      </c>
      <c r="O49" s="54">
        <v>744512</v>
      </c>
      <c r="P49" s="54">
        <v>119000</v>
      </c>
      <c r="Q49" s="54">
        <v>0</v>
      </c>
      <c r="R49" s="54">
        <v>28464</v>
      </c>
      <c r="S49" s="54">
        <v>595352</v>
      </c>
      <c r="T49" s="54">
        <v>1696</v>
      </c>
      <c r="U49" s="55">
        <v>80.405805299999997</v>
      </c>
      <c r="V49" s="55">
        <v>84.458735300000001</v>
      </c>
      <c r="W49" s="55">
        <v>33.127863400000003</v>
      </c>
      <c r="X49" s="55">
        <v>45.293516500000003</v>
      </c>
      <c r="Y49" s="55">
        <v>44.381829199999999</v>
      </c>
      <c r="Z49" s="55">
        <v>57.884126000000002</v>
      </c>
      <c r="AA49" s="55">
        <v>32.596452999999997</v>
      </c>
      <c r="AB49" s="56">
        <v>316.62659200000002</v>
      </c>
      <c r="AC49" s="56">
        <v>3.2530230000000002</v>
      </c>
      <c r="AE49" s="51" t="str">
        <f t="shared" si="16"/>
        <v>·</v>
      </c>
      <c r="AF49" s="52" t="str">
        <f t="shared" si="17"/>
        <v>·</v>
      </c>
      <c r="AG49" s="49" t="str">
        <f t="shared" si="18"/>
        <v>.</v>
      </c>
      <c r="AH49" s="49" t="str">
        <f t="shared" si="19"/>
        <v>.</v>
      </c>
      <c r="AI49" s="53"/>
      <c r="AJ49" s="54"/>
      <c r="AK49" s="54"/>
      <c r="AL49" s="54"/>
      <c r="AM49" s="54"/>
      <c r="AN49" s="54"/>
      <c r="AO49" s="54"/>
      <c r="AP49" s="55"/>
      <c r="AQ49" s="55"/>
      <c r="AR49" s="55"/>
      <c r="AS49" s="55"/>
      <c r="AT49" s="55"/>
      <c r="AU49" s="55"/>
      <c r="AV49" s="55"/>
      <c r="AW49" s="56"/>
      <c r="AX49" s="56"/>
      <c r="AZ49" s="57"/>
      <c r="BA49" s="57"/>
      <c r="BB49" s="57"/>
      <c r="BC49" s="57"/>
      <c r="BD49" s="57"/>
      <c r="BE49" s="57"/>
      <c r="BF49" s="57"/>
      <c r="BH49" s="102"/>
      <c r="BI49" s="102"/>
      <c r="BJ49" s="102"/>
      <c r="BK49" s="102"/>
      <c r="BL49" s="102"/>
      <c r="BM49" s="102"/>
      <c r="BN49" s="102"/>
      <c r="BP49" s="57">
        <f t="shared" si="20"/>
        <v>0</v>
      </c>
      <c r="BQ49" s="57">
        <f t="shared" si="21"/>
        <v>0</v>
      </c>
      <c r="BR49" s="57">
        <f t="shared" si="22"/>
        <v>0</v>
      </c>
      <c r="BS49" s="57">
        <f t="shared" si="23"/>
        <v>0</v>
      </c>
      <c r="BT49" s="57">
        <f t="shared" si="24"/>
        <v>0</v>
      </c>
    </row>
    <row r="50" spans="1:72" x14ac:dyDescent="0.15">
      <c r="B50" s="41" t="s">
        <v>7</v>
      </c>
      <c r="K50" s="42">
        <f>AVERAGE(K5:K14)</f>
        <v>1.3268757680311061</v>
      </c>
      <c r="L50" s="42"/>
      <c r="M50" s="42"/>
      <c r="AF50" s="42" t="e">
        <f>AVERAGE(AF5:AF14)</f>
        <v>#DIV/0!</v>
      </c>
      <c r="AG50" s="42"/>
      <c r="AH50" s="42"/>
      <c r="AZ50" s="5" t="e">
        <f t="shared" ref="AZ50:BF50" si="25">AVERAGE(AZ5:AZ14)</f>
        <v>#DIV/0!</v>
      </c>
      <c r="BA50" s="5" t="e">
        <f t="shared" si="25"/>
        <v>#DIV/0!</v>
      </c>
      <c r="BB50" s="5" t="e">
        <f t="shared" si="25"/>
        <v>#DIV/0!</v>
      </c>
      <c r="BC50" s="5" t="e">
        <f t="shared" si="25"/>
        <v>#DIV/0!</v>
      </c>
      <c r="BD50" s="5" t="e">
        <f t="shared" si="25"/>
        <v>#DIV/0!</v>
      </c>
      <c r="BE50" s="5" t="e">
        <f t="shared" si="25"/>
        <v>#DIV/0!</v>
      </c>
      <c r="BF50" s="5" t="e">
        <f t="shared" si="25"/>
        <v>#DIV/0!</v>
      </c>
      <c r="BH50" s="5" t="e">
        <f t="shared" ref="BH50:BN50" si="26">AVERAGE(BH5:BH14)</f>
        <v>#DIV/0!</v>
      </c>
      <c r="BI50" s="5" t="e">
        <f t="shared" si="26"/>
        <v>#DIV/0!</v>
      </c>
      <c r="BJ50" s="5" t="e">
        <f t="shared" si="26"/>
        <v>#DIV/0!</v>
      </c>
      <c r="BK50" s="5" t="e">
        <f t="shared" si="26"/>
        <v>#DIV/0!</v>
      </c>
      <c r="BL50" s="5" t="e">
        <f t="shared" si="26"/>
        <v>#DIV/0!</v>
      </c>
      <c r="BM50" s="5" t="e">
        <f t="shared" si="26"/>
        <v>#DIV/0!</v>
      </c>
      <c r="BN50" s="5" t="e">
        <f t="shared" si="26"/>
        <v>#DIV/0!</v>
      </c>
      <c r="BP50" s="5">
        <f>AVERAGE(BP5:BP14)</f>
        <v>0</v>
      </c>
      <c r="BQ50" s="5">
        <f>AVERAGE(BQ5:BQ14)</f>
        <v>0</v>
      </c>
      <c r="BR50" s="5">
        <f>AVERAGE(BR5:BR14)</f>
        <v>0</v>
      </c>
      <c r="BS50" s="5">
        <f>AVERAGE(BS5:BS14)</f>
        <v>0</v>
      </c>
      <c r="BT50" s="5">
        <f>AVERAGE(BT5:BT14)</f>
        <v>0</v>
      </c>
    </row>
    <row r="51" spans="1:72" x14ac:dyDescent="0.15">
      <c r="B51" s="41" t="s">
        <v>8</v>
      </c>
      <c r="K51" s="42">
        <f>AVERAGE(K15:K24)</f>
        <v>0.95476702599977303</v>
      </c>
      <c r="L51" s="42"/>
      <c r="M51" s="42"/>
      <c r="AF51" s="42" t="e">
        <f>AVERAGE(AF15:AF24)</f>
        <v>#DIV/0!</v>
      </c>
      <c r="AG51" s="42"/>
      <c r="AH51" s="42"/>
      <c r="AZ51" s="5" t="e">
        <f t="shared" ref="AZ51:BF51" si="27">AVERAGE(AZ15:AZ24)</f>
        <v>#DIV/0!</v>
      </c>
      <c r="BA51" s="5" t="e">
        <f t="shared" si="27"/>
        <v>#DIV/0!</v>
      </c>
      <c r="BB51" s="5" t="e">
        <f t="shared" si="27"/>
        <v>#DIV/0!</v>
      </c>
      <c r="BC51" s="5" t="e">
        <f t="shared" si="27"/>
        <v>#DIV/0!</v>
      </c>
      <c r="BD51" s="5" t="e">
        <f t="shared" si="27"/>
        <v>#DIV/0!</v>
      </c>
      <c r="BE51" s="5" t="e">
        <f t="shared" si="27"/>
        <v>#DIV/0!</v>
      </c>
      <c r="BF51" s="5" t="e">
        <f t="shared" si="27"/>
        <v>#DIV/0!</v>
      </c>
      <c r="BH51" s="5" t="e">
        <f t="shared" ref="BH51:BN51" si="28">AVERAGE(BH15:BH24)</f>
        <v>#DIV/0!</v>
      </c>
      <c r="BI51" s="5" t="e">
        <f t="shared" si="28"/>
        <v>#DIV/0!</v>
      </c>
      <c r="BJ51" s="5" t="e">
        <f t="shared" si="28"/>
        <v>#DIV/0!</v>
      </c>
      <c r="BK51" s="5" t="e">
        <f t="shared" si="28"/>
        <v>#DIV/0!</v>
      </c>
      <c r="BL51" s="5" t="e">
        <f t="shared" si="28"/>
        <v>#DIV/0!</v>
      </c>
      <c r="BM51" s="5" t="e">
        <f t="shared" si="28"/>
        <v>#DIV/0!</v>
      </c>
      <c r="BN51" s="5" t="e">
        <f t="shared" si="28"/>
        <v>#DIV/0!</v>
      </c>
      <c r="BP51" s="5">
        <f>AVERAGE(BP15:BP24)</f>
        <v>0</v>
      </c>
      <c r="BQ51" s="5">
        <f>AVERAGE(BQ15:BQ24)</f>
        <v>0</v>
      </c>
      <c r="BR51" s="5">
        <f>AVERAGE(BR15:BR24)</f>
        <v>0</v>
      </c>
      <c r="BS51" s="5">
        <f>AVERAGE(BS15:BS24)</f>
        <v>0</v>
      </c>
      <c r="BT51" s="5">
        <f>AVERAGE(BT15:BT24)</f>
        <v>0</v>
      </c>
    </row>
    <row r="52" spans="1:72" x14ac:dyDescent="0.15">
      <c r="B52" s="41" t="s">
        <v>9</v>
      </c>
      <c r="K52" s="42">
        <f>AVERAGE(K25:K44)</f>
        <v>1.6258003064830349</v>
      </c>
      <c r="L52" s="42"/>
      <c r="M52" s="42"/>
      <c r="AF52" s="42" t="e">
        <f>AVERAGE(AF25:AF44)</f>
        <v>#DIV/0!</v>
      </c>
      <c r="AG52" s="42"/>
      <c r="AH52" s="42"/>
      <c r="AZ52" s="5" t="e">
        <f t="shared" ref="AZ52:BF52" si="29">AVERAGE(AZ25:AZ44)</f>
        <v>#DIV/0!</v>
      </c>
      <c r="BA52" s="5" t="e">
        <f t="shared" si="29"/>
        <v>#DIV/0!</v>
      </c>
      <c r="BB52" s="5" t="e">
        <f t="shared" si="29"/>
        <v>#DIV/0!</v>
      </c>
      <c r="BC52" s="5" t="e">
        <f t="shared" si="29"/>
        <v>#DIV/0!</v>
      </c>
      <c r="BD52" s="5" t="e">
        <f t="shared" si="29"/>
        <v>#DIV/0!</v>
      </c>
      <c r="BE52" s="5" t="e">
        <f t="shared" si="29"/>
        <v>#DIV/0!</v>
      </c>
      <c r="BF52" s="5" t="e">
        <f t="shared" si="29"/>
        <v>#DIV/0!</v>
      </c>
      <c r="BH52" s="5" t="e">
        <f t="shared" ref="BH52:BN52" si="30">AVERAGE(BH25:BH44)</f>
        <v>#DIV/0!</v>
      </c>
      <c r="BI52" s="5" t="e">
        <f t="shared" si="30"/>
        <v>#DIV/0!</v>
      </c>
      <c r="BJ52" s="5" t="e">
        <f t="shared" si="30"/>
        <v>#DIV/0!</v>
      </c>
      <c r="BK52" s="5" t="e">
        <f t="shared" si="30"/>
        <v>#DIV/0!</v>
      </c>
      <c r="BL52" s="5" t="e">
        <f t="shared" si="30"/>
        <v>#DIV/0!</v>
      </c>
      <c r="BM52" s="5" t="e">
        <f t="shared" si="30"/>
        <v>#DIV/0!</v>
      </c>
      <c r="BN52" s="5" t="e">
        <f t="shared" si="30"/>
        <v>#DIV/0!</v>
      </c>
      <c r="BP52" s="5">
        <f>AVERAGE(BP25:BP44)</f>
        <v>0</v>
      </c>
      <c r="BQ52" s="5">
        <f>AVERAGE(BQ25:BQ44)</f>
        <v>0</v>
      </c>
      <c r="BR52" s="5">
        <f>AVERAGE(BR25:BR44)</f>
        <v>0</v>
      </c>
      <c r="BS52" s="5">
        <f>AVERAGE(BS25:BS44)</f>
        <v>0</v>
      </c>
      <c r="BT52" s="5">
        <f>AVERAGE(BT25:BT44)</f>
        <v>0</v>
      </c>
    </row>
    <row r="53" spans="1:72" x14ac:dyDescent="0.15">
      <c r="B53" s="41" t="s">
        <v>429</v>
      </c>
      <c r="K53" s="42">
        <f>AVERAGE(K45:K49)</f>
        <v>1.9340747259780784</v>
      </c>
      <c r="L53" s="42"/>
      <c r="M53" s="42"/>
      <c r="AF53" s="42" t="e">
        <f>AVERAGE(AF45:AF49)</f>
        <v>#DIV/0!</v>
      </c>
      <c r="AG53" s="42"/>
      <c r="AH53" s="42"/>
      <c r="AZ53" s="5" t="e">
        <f>AVERAGE(AZ45:AZ49)</f>
        <v>#DIV/0!</v>
      </c>
      <c r="BA53" s="5" t="e">
        <f t="shared" ref="BA53:BN53" si="31">AVERAGE(BA45:BA49)</f>
        <v>#DIV/0!</v>
      </c>
      <c r="BB53" s="5" t="e">
        <f t="shared" si="31"/>
        <v>#DIV/0!</v>
      </c>
      <c r="BC53" s="5" t="e">
        <f t="shared" si="31"/>
        <v>#DIV/0!</v>
      </c>
      <c r="BD53" s="5" t="e">
        <f t="shared" si="31"/>
        <v>#DIV/0!</v>
      </c>
      <c r="BE53" s="5" t="e">
        <f t="shared" si="31"/>
        <v>#DIV/0!</v>
      </c>
      <c r="BF53" s="5" t="e">
        <f t="shared" si="31"/>
        <v>#DIV/0!</v>
      </c>
      <c r="BG53" s="5"/>
      <c r="BH53" s="5" t="e">
        <f t="shared" si="31"/>
        <v>#DIV/0!</v>
      </c>
      <c r="BI53" s="5" t="e">
        <f t="shared" si="31"/>
        <v>#DIV/0!</v>
      </c>
      <c r="BJ53" s="5" t="e">
        <f t="shared" si="31"/>
        <v>#DIV/0!</v>
      </c>
      <c r="BK53" s="5" t="e">
        <f t="shared" si="31"/>
        <v>#DIV/0!</v>
      </c>
      <c r="BL53" s="5" t="e">
        <f t="shared" si="31"/>
        <v>#DIV/0!</v>
      </c>
      <c r="BM53" s="5" t="e">
        <f t="shared" si="31"/>
        <v>#DIV/0!</v>
      </c>
      <c r="BN53" s="5" t="e">
        <f t="shared" si="31"/>
        <v>#DIV/0!</v>
      </c>
      <c r="BP53" s="5">
        <f>AVERAGE(BP45:BP49)</f>
        <v>0</v>
      </c>
      <c r="BQ53" s="5">
        <f t="shared" ref="BQ53:BT53" si="32">AVERAGE(BQ45:BQ49)</f>
        <v>0</v>
      </c>
      <c r="BR53" s="5">
        <f t="shared" si="32"/>
        <v>0</v>
      </c>
      <c r="BS53" s="5">
        <f t="shared" si="32"/>
        <v>0</v>
      </c>
      <c r="BT53" s="5">
        <f t="shared" si="32"/>
        <v>0</v>
      </c>
    </row>
    <row r="54" spans="1:72" x14ac:dyDescent="0.15">
      <c r="B54" s="41" t="s">
        <v>10</v>
      </c>
      <c r="K54" s="42">
        <f>AVERAGE(K5:K49)</f>
        <v>1.4445068377746639</v>
      </c>
      <c r="L54" s="42"/>
      <c r="M54" s="42"/>
      <c r="AF54" s="42" t="e">
        <f>AVERAGE(AF5:AF49)</f>
        <v>#DIV/0!</v>
      </c>
      <c r="AG54" s="42"/>
      <c r="AH54" s="42"/>
      <c r="AJ54" s="98"/>
      <c r="AK54" s="98"/>
      <c r="AZ54" s="5" t="e">
        <f t="shared" ref="AZ54:BF54" si="33">AVERAGE(AZ5:AZ49)</f>
        <v>#DIV/0!</v>
      </c>
      <c r="BA54" s="5" t="e">
        <f t="shared" si="33"/>
        <v>#DIV/0!</v>
      </c>
      <c r="BB54" s="5" t="e">
        <f t="shared" si="33"/>
        <v>#DIV/0!</v>
      </c>
      <c r="BC54" s="5" t="e">
        <f t="shared" si="33"/>
        <v>#DIV/0!</v>
      </c>
      <c r="BD54" s="5" t="e">
        <f t="shared" si="33"/>
        <v>#DIV/0!</v>
      </c>
      <c r="BE54" s="5" t="e">
        <f t="shared" si="33"/>
        <v>#DIV/0!</v>
      </c>
      <c r="BF54" s="5" t="e">
        <f t="shared" si="33"/>
        <v>#DIV/0!</v>
      </c>
      <c r="BH54" s="5" t="e">
        <f t="shared" ref="BH54:BN54" si="34">AVERAGE(BH5:BH49)</f>
        <v>#DIV/0!</v>
      </c>
      <c r="BI54" s="5" t="e">
        <f t="shared" si="34"/>
        <v>#DIV/0!</v>
      </c>
      <c r="BJ54" s="5" t="e">
        <f t="shared" si="34"/>
        <v>#DIV/0!</v>
      </c>
      <c r="BK54" s="5" t="e">
        <f t="shared" si="34"/>
        <v>#DIV/0!</v>
      </c>
      <c r="BL54" s="5" t="e">
        <f t="shared" si="34"/>
        <v>#DIV/0!</v>
      </c>
      <c r="BM54" s="5" t="e">
        <f t="shared" si="34"/>
        <v>#DIV/0!</v>
      </c>
      <c r="BN54" s="5" t="e">
        <f t="shared" si="34"/>
        <v>#DIV/0!</v>
      </c>
      <c r="BP54" s="5">
        <f>AVERAGE(BP5:BP49)</f>
        <v>0</v>
      </c>
      <c r="BQ54" s="5">
        <f t="shared" ref="BQ54:BT54" si="35">AVERAGE(BQ5:BQ49)</f>
        <v>0</v>
      </c>
      <c r="BR54" s="5">
        <f t="shared" si="35"/>
        <v>0</v>
      </c>
      <c r="BS54" s="5">
        <f t="shared" si="35"/>
        <v>0</v>
      </c>
      <c r="BT54" s="5">
        <f t="shared" si="35"/>
        <v>0</v>
      </c>
    </row>
    <row r="55" spans="1:72" x14ac:dyDescent="0.15">
      <c r="A55" s="41" t="s">
        <v>178</v>
      </c>
      <c r="B55" s="41" t="s">
        <v>179</v>
      </c>
      <c r="AB55" s="43">
        <f>SUM(AB5:AB14,AB15:AB24,AB25:AB44,AB45:AB49)</f>
        <v>129050.98003400002</v>
      </c>
      <c r="AC55" s="43">
        <f>SUM(AC5:AC14,AC15:AC24,AC25:AC44,AC45:AC49)</f>
        <v>1717.501444</v>
      </c>
      <c r="AW55" s="43">
        <f>SUM(AW5:AW14,AW15:AW24,AW25:AW44,AW45:AW49)</f>
        <v>0</v>
      </c>
      <c r="AX55" s="43">
        <f>SUM(AX5:AX14,AX15:AX24,AX25:AX44,AX45:AX49)</f>
        <v>0</v>
      </c>
    </row>
    <row r="56" spans="1:72" x14ac:dyDescent="0.15">
      <c r="B56" s="41" t="s">
        <v>180</v>
      </c>
      <c r="AW56" s="8">
        <f>AW55/AB55</f>
        <v>0</v>
      </c>
      <c r="AX56" s="8">
        <f>AX55/AC55</f>
        <v>0</v>
      </c>
    </row>
    <row r="59" spans="1:72" ht="15.75" customHeight="1" thickBot="1" x14ac:dyDescent="0.2"/>
    <row r="60" spans="1:72" x14ac:dyDescent="0.15">
      <c r="AG60" s="88" t="e">
        <f t="shared" ref="AG60:AG98" si="36">AG5-L5</f>
        <v>#VALUE!</v>
      </c>
      <c r="AH60" s="88" t="e">
        <f t="shared" ref="AH60:AH98" si="37">AH5-M5</f>
        <v>#VALUE!</v>
      </c>
      <c r="AI60" s="88">
        <f t="shared" ref="AI60:AI98" si="38">AI5-N5</f>
        <v>-2415872</v>
      </c>
      <c r="AJ60" s="88">
        <f t="shared" ref="AJ60:AJ98" si="39">AJ5-O5</f>
        <v>-5313328</v>
      </c>
      <c r="AK60" s="88">
        <f t="shared" ref="AK60:AK98" si="40">AK5-P5</f>
        <v>-801768</v>
      </c>
      <c r="AL60" s="88">
        <f t="shared" ref="AL60:AL98" si="41">AL5-Q5</f>
        <v>0</v>
      </c>
      <c r="AM60" s="88">
        <f t="shared" ref="AM60:AM98" si="42">AM5-R5</f>
        <v>-791360</v>
      </c>
      <c r="AN60" s="88">
        <f t="shared" ref="AN60:AN98" si="43">AN5-S5</f>
        <v>-3705528</v>
      </c>
      <c r="AO60" s="88">
        <f t="shared" ref="AO60:AO98" si="44">AO5-T5</f>
        <v>-14672</v>
      </c>
      <c r="AP60" s="88">
        <f t="shared" ref="AP60:AP98" si="45">AP5-U5</f>
        <v>-70.227694299999996</v>
      </c>
      <c r="AQ60" s="89">
        <f t="shared" ref="AQ60:AQ98" si="46">AQ5-V5</f>
        <v>-71.497861700000001</v>
      </c>
      <c r="AR60" s="89">
        <f t="shared" ref="AR60:AR98" si="47">AR5-W5</f>
        <v>-28.886966000000001</v>
      </c>
      <c r="AS60" s="89">
        <f t="shared" ref="AS60:AS98" si="48">AS5-X5</f>
        <v>-33.984265100000002</v>
      </c>
      <c r="AT60" s="89">
        <f t="shared" ref="AT60:AT98" si="49">AT5-Y5</f>
        <v>-33.448338</v>
      </c>
      <c r="AU60" s="89">
        <f t="shared" ref="AU60:AU98" si="50">AU5-Z5</f>
        <v>-50.071269200000003</v>
      </c>
      <c r="AV60" s="90">
        <f t="shared" ref="AV60:AV98" si="51">AV5-AA5</f>
        <v>-27.697968299999999</v>
      </c>
    </row>
    <row r="61" spans="1:72" x14ac:dyDescent="0.15">
      <c r="AG61" s="91" t="e">
        <f t="shared" si="36"/>
        <v>#VALUE!</v>
      </c>
      <c r="AH61" s="91" t="e">
        <f t="shared" si="37"/>
        <v>#VALUE!</v>
      </c>
      <c r="AI61" s="91">
        <f t="shared" si="38"/>
        <v>-2415872</v>
      </c>
      <c r="AJ61" s="91">
        <f t="shared" si="39"/>
        <v>-9779632</v>
      </c>
      <c r="AK61" s="91">
        <f t="shared" si="40"/>
        <v>-867112</v>
      </c>
      <c r="AL61" s="91">
        <f t="shared" si="41"/>
        <v>0</v>
      </c>
      <c r="AM61" s="91">
        <f t="shared" si="42"/>
        <v>-985608</v>
      </c>
      <c r="AN61" s="91">
        <f t="shared" si="43"/>
        <v>-7912512</v>
      </c>
      <c r="AO61" s="91">
        <f t="shared" si="44"/>
        <v>-14400</v>
      </c>
      <c r="AP61" s="91">
        <f t="shared" si="45"/>
        <v>-70.907611900000006</v>
      </c>
      <c r="AQ61" s="92">
        <f t="shared" si="46"/>
        <v>-72.270471099999995</v>
      </c>
      <c r="AR61" s="92">
        <f t="shared" si="47"/>
        <v>-31.662897600000001</v>
      </c>
      <c r="AS61" s="92">
        <f t="shared" si="48"/>
        <v>-35.209678099999998</v>
      </c>
      <c r="AT61" s="92">
        <f t="shared" si="49"/>
        <v>-34.771355100000001</v>
      </c>
      <c r="AU61" s="92">
        <f t="shared" si="50"/>
        <v>-50.384180399999998</v>
      </c>
      <c r="AV61" s="93">
        <f t="shared" si="51"/>
        <v>-29.370492299999999</v>
      </c>
    </row>
    <row r="62" spans="1:72" x14ac:dyDescent="0.15">
      <c r="AG62" s="91" t="e">
        <f t="shared" si="36"/>
        <v>#VALUE!</v>
      </c>
      <c r="AH62" s="91" t="e">
        <f t="shared" si="37"/>
        <v>#VALUE!</v>
      </c>
      <c r="AI62" s="91">
        <f t="shared" si="38"/>
        <v>-4871680</v>
      </c>
      <c r="AJ62" s="91">
        <f t="shared" si="39"/>
        <v>-13085480</v>
      </c>
      <c r="AK62" s="91">
        <f t="shared" si="40"/>
        <v>-1272288</v>
      </c>
      <c r="AL62" s="91">
        <f t="shared" si="41"/>
        <v>0</v>
      </c>
      <c r="AM62" s="91">
        <f t="shared" si="42"/>
        <v>-749976</v>
      </c>
      <c r="AN62" s="91">
        <f t="shared" si="43"/>
        <v>-11048640</v>
      </c>
      <c r="AO62" s="91">
        <f t="shared" si="44"/>
        <v>-14576</v>
      </c>
      <c r="AP62" s="91">
        <f t="shared" si="45"/>
        <v>-71.826047900000006</v>
      </c>
      <c r="AQ62" s="92">
        <f t="shared" si="46"/>
        <v>-73.339456299999995</v>
      </c>
      <c r="AR62" s="92">
        <f t="shared" si="47"/>
        <v>-32.723744699999997</v>
      </c>
      <c r="AS62" s="92">
        <f t="shared" si="48"/>
        <v>-36.932207300000002</v>
      </c>
      <c r="AT62" s="92">
        <f t="shared" si="49"/>
        <v>-36.668305799999999</v>
      </c>
      <c r="AU62" s="92">
        <f t="shared" si="50"/>
        <v>-51.114103700000001</v>
      </c>
      <c r="AV62" s="93">
        <f t="shared" si="51"/>
        <v>-30.4898107</v>
      </c>
    </row>
    <row r="63" spans="1:72" x14ac:dyDescent="0.15">
      <c r="AG63" s="91" t="e">
        <f t="shared" si="36"/>
        <v>#VALUE!</v>
      </c>
      <c r="AH63" s="91" t="e">
        <f t="shared" si="37"/>
        <v>#VALUE!</v>
      </c>
      <c r="AI63" s="91">
        <f t="shared" si="38"/>
        <v>-4871680</v>
      </c>
      <c r="AJ63" s="91">
        <f t="shared" si="39"/>
        <v>-16375880</v>
      </c>
      <c r="AK63" s="91">
        <f t="shared" si="40"/>
        <v>-1394504</v>
      </c>
      <c r="AL63" s="91">
        <f t="shared" si="41"/>
        <v>0</v>
      </c>
      <c r="AM63" s="91">
        <f t="shared" si="42"/>
        <v>-1330744</v>
      </c>
      <c r="AN63" s="91">
        <f t="shared" si="43"/>
        <v>-13635368</v>
      </c>
      <c r="AO63" s="91">
        <f t="shared" si="44"/>
        <v>-15264</v>
      </c>
      <c r="AP63" s="91">
        <f t="shared" si="45"/>
        <v>-73.825176099999993</v>
      </c>
      <c r="AQ63" s="92">
        <f t="shared" si="46"/>
        <v>-75.637891600000003</v>
      </c>
      <c r="AR63" s="92">
        <f t="shared" si="47"/>
        <v>-33.690634099999997</v>
      </c>
      <c r="AS63" s="92">
        <f t="shared" si="48"/>
        <v>-37.453765699999998</v>
      </c>
      <c r="AT63" s="92">
        <f t="shared" si="49"/>
        <v>-37.195208399999999</v>
      </c>
      <c r="AU63" s="92">
        <f t="shared" si="50"/>
        <v>-52.036012599999999</v>
      </c>
      <c r="AV63" s="93">
        <f t="shared" si="51"/>
        <v>-31.605468299999998</v>
      </c>
    </row>
    <row r="64" spans="1:72" x14ac:dyDescent="0.15">
      <c r="AG64" s="91" t="e">
        <f t="shared" si="36"/>
        <v>#VALUE!</v>
      </c>
      <c r="AH64" s="91" t="e">
        <f t="shared" si="37"/>
        <v>#VALUE!</v>
      </c>
      <c r="AI64" s="91">
        <f t="shared" si="38"/>
        <v>-9785664</v>
      </c>
      <c r="AJ64" s="91">
        <f t="shared" si="39"/>
        <v>-23988072</v>
      </c>
      <c r="AK64" s="91">
        <f t="shared" si="40"/>
        <v>-2103056</v>
      </c>
      <c r="AL64" s="91">
        <f t="shared" si="41"/>
        <v>0</v>
      </c>
      <c r="AM64" s="91">
        <f t="shared" si="42"/>
        <v>-2403640</v>
      </c>
      <c r="AN64" s="91">
        <f t="shared" si="43"/>
        <v>-19465856</v>
      </c>
      <c r="AO64" s="91">
        <f t="shared" si="44"/>
        <v>-15520</v>
      </c>
      <c r="AP64" s="91">
        <f t="shared" si="45"/>
        <v>-76.663121799999999</v>
      </c>
      <c r="AQ64" s="92">
        <f t="shared" si="46"/>
        <v>-79.154731299999995</v>
      </c>
      <c r="AR64" s="92">
        <f t="shared" si="47"/>
        <v>-35.068816900000002</v>
      </c>
      <c r="AS64" s="92">
        <f t="shared" si="48"/>
        <v>-38.601624000000001</v>
      </c>
      <c r="AT64" s="92">
        <f t="shared" si="49"/>
        <v>-38.322405699999997</v>
      </c>
      <c r="AU64" s="92">
        <f t="shared" si="50"/>
        <v>-53.751700300000003</v>
      </c>
      <c r="AV64" s="93">
        <f t="shared" si="51"/>
        <v>-33.2676254</v>
      </c>
    </row>
    <row r="65" spans="33:48" x14ac:dyDescent="0.15">
      <c r="AG65" s="91" t="e">
        <f t="shared" si="36"/>
        <v>#VALUE!</v>
      </c>
      <c r="AH65" s="91" t="e">
        <f t="shared" si="37"/>
        <v>#VALUE!</v>
      </c>
      <c r="AI65" s="91">
        <f t="shared" si="38"/>
        <v>-2393664</v>
      </c>
      <c r="AJ65" s="91">
        <f t="shared" si="39"/>
        <v>-5397576</v>
      </c>
      <c r="AK65" s="91">
        <f t="shared" si="40"/>
        <v>-865936</v>
      </c>
      <c r="AL65" s="91">
        <f t="shared" si="41"/>
        <v>0</v>
      </c>
      <c r="AM65" s="91">
        <f t="shared" si="42"/>
        <v>-650184</v>
      </c>
      <c r="AN65" s="91">
        <f t="shared" si="43"/>
        <v>-3866384</v>
      </c>
      <c r="AO65" s="91">
        <f t="shared" si="44"/>
        <v>-15072</v>
      </c>
      <c r="AP65" s="91">
        <f t="shared" si="45"/>
        <v>-66.2633036</v>
      </c>
      <c r="AQ65" s="92">
        <f t="shared" si="46"/>
        <v>-67.0622422</v>
      </c>
      <c r="AR65" s="92">
        <f t="shared" si="47"/>
        <v>-32.179841000000003</v>
      </c>
      <c r="AS65" s="92">
        <f t="shared" si="48"/>
        <v>-44.8006873</v>
      </c>
      <c r="AT65" s="92">
        <f t="shared" si="49"/>
        <v>-45.117893899999999</v>
      </c>
      <c r="AU65" s="92">
        <f t="shared" si="50"/>
        <v>-44.831187399999997</v>
      </c>
      <c r="AV65" s="93">
        <f t="shared" si="51"/>
        <v>-29.8241464</v>
      </c>
    </row>
    <row r="66" spans="33:48" x14ac:dyDescent="0.15">
      <c r="AG66" s="91" t="e">
        <f t="shared" si="36"/>
        <v>#VALUE!</v>
      </c>
      <c r="AH66" s="91" t="e">
        <f t="shared" si="37"/>
        <v>#VALUE!</v>
      </c>
      <c r="AI66" s="91">
        <f t="shared" si="38"/>
        <v>-4847680</v>
      </c>
      <c r="AJ66" s="91">
        <f t="shared" si="39"/>
        <v>-9746456</v>
      </c>
      <c r="AK66" s="91">
        <f t="shared" si="40"/>
        <v>-1378904</v>
      </c>
      <c r="AL66" s="91">
        <f t="shared" si="41"/>
        <v>0</v>
      </c>
      <c r="AM66" s="91">
        <f t="shared" si="42"/>
        <v>-1055880</v>
      </c>
      <c r="AN66" s="91">
        <f t="shared" si="43"/>
        <v>-7296344</v>
      </c>
      <c r="AO66" s="91">
        <f t="shared" si="44"/>
        <v>-15328</v>
      </c>
      <c r="AP66" s="91">
        <f t="shared" si="45"/>
        <v>-70.5200155</v>
      </c>
      <c r="AQ66" s="92">
        <f t="shared" si="46"/>
        <v>-71.922868100000002</v>
      </c>
      <c r="AR66" s="92">
        <f t="shared" si="47"/>
        <v>-34.877478600000003</v>
      </c>
      <c r="AS66" s="92">
        <f t="shared" si="48"/>
        <v>-45.453768400000001</v>
      </c>
      <c r="AT66" s="92">
        <f t="shared" si="49"/>
        <v>-45.8806619</v>
      </c>
      <c r="AU66" s="92">
        <f t="shared" si="50"/>
        <v>-47.235641899999997</v>
      </c>
      <c r="AV66" s="93">
        <f t="shared" si="51"/>
        <v>-32.488820599999997</v>
      </c>
    </row>
    <row r="67" spans="33:48" x14ac:dyDescent="0.15">
      <c r="AG67" s="91" t="e">
        <f t="shared" si="36"/>
        <v>#VALUE!</v>
      </c>
      <c r="AH67" s="91" t="e">
        <f t="shared" si="37"/>
        <v>#VALUE!</v>
      </c>
      <c r="AI67" s="91">
        <f t="shared" si="38"/>
        <v>-4847680</v>
      </c>
      <c r="AJ67" s="91">
        <f t="shared" si="39"/>
        <v>-12901512</v>
      </c>
      <c r="AK67" s="91">
        <f t="shared" si="40"/>
        <v>-1378904</v>
      </c>
      <c r="AL67" s="91">
        <f t="shared" si="41"/>
        <v>0</v>
      </c>
      <c r="AM67" s="91">
        <f t="shared" si="42"/>
        <v>-2296016</v>
      </c>
      <c r="AN67" s="91">
        <f t="shared" si="43"/>
        <v>-9212160</v>
      </c>
      <c r="AO67" s="91">
        <f t="shared" si="44"/>
        <v>-14432</v>
      </c>
      <c r="AP67" s="91">
        <f t="shared" si="45"/>
        <v>-73.025662600000004</v>
      </c>
      <c r="AQ67" s="92">
        <f t="shared" si="46"/>
        <v>-74.823964899999993</v>
      </c>
      <c r="AR67" s="92">
        <f t="shared" si="47"/>
        <v>-35.946379999999998</v>
      </c>
      <c r="AS67" s="92">
        <f t="shared" si="48"/>
        <v>-45.769863700000002</v>
      </c>
      <c r="AT67" s="92">
        <f t="shared" si="49"/>
        <v>-46.216681899999998</v>
      </c>
      <c r="AU67" s="92">
        <f t="shared" si="50"/>
        <v>-48.453992399999997</v>
      </c>
      <c r="AV67" s="93">
        <f t="shared" si="51"/>
        <v>-33.813625299999998</v>
      </c>
    </row>
    <row r="68" spans="33:48" x14ac:dyDescent="0.15">
      <c r="AG68" s="91" t="e">
        <f t="shared" si="36"/>
        <v>#VALUE!</v>
      </c>
      <c r="AH68" s="91" t="e">
        <f t="shared" si="37"/>
        <v>#VALUE!</v>
      </c>
      <c r="AI68" s="91">
        <f t="shared" si="38"/>
        <v>-9761152</v>
      </c>
      <c r="AJ68" s="91">
        <f t="shared" si="39"/>
        <v>-16150072</v>
      </c>
      <c r="AK68" s="91">
        <f t="shared" si="40"/>
        <v>-2273440</v>
      </c>
      <c r="AL68" s="91">
        <f t="shared" si="41"/>
        <v>0</v>
      </c>
      <c r="AM68" s="91">
        <f t="shared" si="42"/>
        <v>-2192856</v>
      </c>
      <c r="AN68" s="91">
        <f t="shared" si="43"/>
        <v>-11668544</v>
      </c>
      <c r="AO68" s="91">
        <f t="shared" si="44"/>
        <v>-15232</v>
      </c>
      <c r="AP68" s="91">
        <f t="shared" si="45"/>
        <v>-74.662188900000004</v>
      </c>
      <c r="AQ68" s="92">
        <f t="shared" si="46"/>
        <v>-76.772622100000007</v>
      </c>
      <c r="AR68" s="92">
        <f t="shared" si="47"/>
        <v>-37.017287400000001</v>
      </c>
      <c r="AS68" s="92">
        <f t="shared" si="48"/>
        <v>-46.527483799999999</v>
      </c>
      <c r="AT68" s="92">
        <f t="shared" si="49"/>
        <v>-47.1072791</v>
      </c>
      <c r="AU68" s="92">
        <f t="shared" si="50"/>
        <v>-49.471889900000001</v>
      </c>
      <c r="AV68" s="93">
        <f t="shared" si="51"/>
        <v>-34.932098699999997</v>
      </c>
    </row>
    <row r="69" spans="33:48" x14ac:dyDescent="0.15">
      <c r="AG69" s="91" t="e">
        <f t="shared" si="36"/>
        <v>#VALUE!</v>
      </c>
      <c r="AH69" s="91" t="e">
        <f t="shared" si="37"/>
        <v>#VALUE!</v>
      </c>
      <c r="AI69" s="91">
        <f t="shared" si="38"/>
        <v>-9761152</v>
      </c>
      <c r="AJ69" s="91">
        <f t="shared" si="39"/>
        <v>-23805440</v>
      </c>
      <c r="AK69" s="91">
        <f t="shared" si="40"/>
        <v>-2510960</v>
      </c>
      <c r="AL69" s="91">
        <f t="shared" si="41"/>
        <v>0</v>
      </c>
      <c r="AM69" s="91">
        <f t="shared" si="42"/>
        <v>-3011256</v>
      </c>
      <c r="AN69" s="91">
        <f t="shared" si="43"/>
        <v>-18268040</v>
      </c>
      <c r="AO69" s="91">
        <f t="shared" si="44"/>
        <v>-15184</v>
      </c>
      <c r="AP69" s="91">
        <f t="shared" si="45"/>
        <v>-75.699365900000004</v>
      </c>
      <c r="AQ69" s="92">
        <f t="shared" si="46"/>
        <v>-78.080826000000002</v>
      </c>
      <c r="AR69" s="92">
        <f t="shared" si="47"/>
        <v>-38.700170900000003</v>
      </c>
      <c r="AS69" s="92">
        <f t="shared" si="48"/>
        <v>-47.576073899999997</v>
      </c>
      <c r="AT69" s="92">
        <f t="shared" si="49"/>
        <v>-48.237028199999997</v>
      </c>
      <c r="AU69" s="92">
        <f t="shared" si="50"/>
        <v>-49.950397799999998</v>
      </c>
      <c r="AV69" s="93">
        <f t="shared" si="51"/>
        <v>-36.2050239</v>
      </c>
    </row>
    <row r="70" spans="33:48" x14ac:dyDescent="0.15">
      <c r="AG70" s="91" t="e">
        <f t="shared" si="36"/>
        <v>#VALUE!</v>
      </c>
      <c r="AH70" s="91" t="e">
        <f t="shared" si="37"/>
        <v>#VALUE!</v>
      </c>
      <c r="AI70" s="91">
        <f t="shared" si="38"/>
        <v>-2419456</v>
      </c>
      <c r="AJ70" s="91">
        <f t="shared" si="39"/>
        <v>-3146816</v>
      </c>
      <c r="AK70" s="91">
        <f t="shared" si="40"/>
        <v>-685264</v>
      </c>
      <c r="AL70" s="91">
        <f t="shared" si="41"/>
        <v>0</v>
      </c>
      <c r="AM70" s="91">
        <f t="shared" si="42"/>
        <v>-457960</v>
      </c>
      <c r="AN70" s="91">
        <f t="shared" si="43"/>
        <v>-1988496</v>
      </c>
      <c r="AO70" s="91">
        <f t="shared" si="44"/>
        <v>-15096</v>
      </c>
      <c r="AP70" s="91">
        <f t="shared" si="45"/>
        <v>-71.784670500000004</v>
      </c>
      <c r="AQ70" s="92">
        <f t="shared" si="46"/>
        <v>-73.073559700000004</v>
      </c>
      <c r="AR70" s="92">
        <f t="shared" si="47"/>
        <v>-35.631403900000002</v>
      </c>
      <c r="AS70" s="92">
        <f t="shared" si="48"/>
        <v>-43.3868054</v>
      </c>
      <c r="AT70" s="92">
        <f t="shared" si="49"/>
        <v>-45.0143007</v>
      </c>
      <c r="AU70" s="92">
        <f t="shared" si="50"/>
        <v>-45.695622800000002</v>
      </c>
      <c r="AV70" s="93">
        <f t="shared" si="51"/>
        <v>-32.427937999999997</v>
      </c>
    </row>
    <row r="71" spans="33:48" x14ac:dyDescent="0.15">
      <c r="AG71" s="91" t="e">
        <f t="shared" si="36"/>
        <v>#VALUE!</v>
      </c>
      <c r="AH71" s="91" t="e">
        <f t="shared" si="37"/>
        <v>#VALUE!</v>
      </c>
      <c r="AI71" s="91">
        <f t="shared" si="38"/>
        <v>-2419456</v>
      </c>
      <c r="AJ71" s="91">
        <f t="shared" si="39"/>
        <v>-5288848</v>
      </c>
      <c r="AK71" s="91">
        <f t="shared" si="40"/>
        <v>-746872</v>
      </c>
      <c r="AL71" s="91">
        <f t="shared" si="41"/>
        <v>0</v>
      </c>
      <c r="AM71" s="91">
        <f t="shared" si="42"/>
        <v>-691632</v>
      </c>
      <c r="AN71" s="91">
        <f t="shared" si="43"/>
        <v>-3834952</v>
      </c>
      <c r="AO71" s="91">
        <f t="shared" si="44"/>
        <v>-15392</v>
      </c>
      <c r="AP71" s="91">
        <f t="shared" si="45"/>
        <v>-73.557611600000001</v>
      </c>
      <c r="AQ71" s="92">
        <f t="shared" si="46"/>
        <v>-75.037586099999999</v>
      </c>
      <c r="AR71" s="92">
        <f t="shared" si="47"/>
        <v>-38.401719700000001</v>
      </c>
      <c r="AS71" s="92">
        <f t="shared" si="48"/>
        <v>-44.046152399999997</v>
      </c>
      <c r="AT71" s="92">
        <f t="shared" si="49"/>
        <v>-46.278184400000001</v>
      </c>
      <c r="AU71" s="92">
        <f t="shared" si="50"/>
        <v>-46.4383658</v>
      </c>
      <c r="AV71" s="93">
        <f t="shared" si="51"/>
        <v>-34.084742200000001</v>
      </c>
    </row>
    <row r="72" spans="33:48" x14ac:dyDescent="0.15">
      <c r="AG72" s="91" t="e">
        <f t="shared" si="36"/>
        <v>#VALUE!</v>
      </c>
      <c r="AH72" s="91" t="e">
        <f t="shared" si="37"/>
        <v>#VALUE!</v>
      </c>
      <c r="AI72" s="91">
        <f t="shared" si="38"/>
        <v>-4841472</v>
      </c>
      <c r="AJ72" s="91">
        <f t="shared" si="39"/>
        <v>-10527664</v>
      </c>
      <c r="AK72" s="91">
        <f t="shared" si="40"/>
        <v>-1251016</v>
      </c>
      <c r="AL72" s="91">
        <f t="shared" si="41"/>
        <v>0</v>
      </c>
      <c r="AM72" s="91">
        <f t="shared" si="42"/>
        <v>-1519952</v>
      </c>
      <c r="AN72" s="91">
        <f t="shared" si="43"/>
        <v>-7741432</v>
      </c>
      <c r="AO72" s="91">
        <f t="shared" si="44"/>
        <v>-15264</v>
      </c>
      <c r="AP72" s="91">
        <f t="shared" si="45"/>
        <v>-78.264783899999998</v>
      </c>
      <c r="AQ72" s="92">
        <f t="shared" si="46"/>
        <v>-80.584249700000001</v>
      </c>
      <c r="AR72" s="92">
        <f t="shared" si="47"/>
        <v>-41.036051</v>
      </c>
      <c r="AS72" s="92">
        <f t="shared" si="48"/>
        <v>-44.961104200000001</v>
      </c>
      <c r="AT72" s="92">
        <f t="shared" si="49"/>
        <v>-48.003155300000003</v>
      </c>
      <c r="AU72" s="92">
        <f t="shared" si="50"/>
        <v>-48.813600000000001</v>
      </c>
      <c r="AV72" s="93">
        <f t="shared" si="51"/>
        <v>-37.275151999999999</v>
      </c>
    </row>
    <row r="73" spans="33:48" x14ac:dyDescent="0.15">
      <c r="AG73" s="91" t="e">
        <f t="shared" si="36"/>
        <v>#VALUE!</v>
      </c>
      <c r="AH73" s="91" t="e">
        <f t="shared" si="37"/>
        <v>#VALUE!</v>
      </c>
      <c r="AI73" s="91">
        <f t="shared" si="38"/>
        <v>-9684544</v>
      </c>
      <c r="AJ73" s="91">
        <f t="shared" si="39"/>
        <v>-15052296</v>
      </c>
      <c r="AK73" s="91">
        <f t="shared" si="40"/>
        <v>-2165032</v>
      </c>
      <c r="AL73" s="91">
        <f t="shared" si="41"/>
        <v>0</v>
      </c>
      <c r="AM73" s="91">
        <f t="shared" si="42"/>
        <v>-1634640</v>
      </c>
      <c r="AN73" s="91">
        <f t="shared" si="43"/>
        <v>-11237488</v>
      </c>
      <c r="AO73" s="91">
        <f t="shared" si="44"/>
        <v>-15136</v>
      </c>
      <c r="AP73" s="91">
        <f t="shared" si="45"/>
        <v>-79.558201800000006</v>
      </c>
      <c r="AQ73" s="92">
        <f t="shared" si="46"/>
        <v>-82.306608900000001</v>
      </c>
      <c r="AR73" s="92">
        <f t="shared" si="47"/>
        <v>-41.957297599999997</v>
      </c>
      <c r="AS73" s="92">
        <f t="shared" si="48"/>
        <v>-45.652393400000001</v>
      </c>
      <c r="AT73" s="92">
        <f t="shared" si="49"/>
        <v>-49.2024355</v>
      </c>
      <c r="AU73" s="92">
        <f t="shared" si="50"/>
        <v>-49.7686615</v>
      </c>
      <c r="AV73" s="93">
        <f t="shared" si="51"/>
        <v>-38.358427300000002</v>
      </c>
    </row>
    <row r="74" spans="33:48" x14ac:dyDescent="0.15">
      <c r="AG74" s="91" t="e">
        <f t="shared" si="36"/>
        <v>#VALUE!</v>
      </c>
      <c r="AH74" s="91" t="e">
        <f t="shared" si="37"/>
        <v>#VALUE!</v>
      </c>
      <c r="AI74" s="91">
        <f t="shared" si="38"/>
        <v>-9684544</v>
      </c>
      <c r="AJ74" s="91">
        <f t="shared" si="39"/>
        <v>-22709592</v>
      </c>
      <c r="AK74" s="91">
        <f t="shared" si="40"/>
        <v>-2165032</v>
      </c>
      <c r="AL74" s="91">
        <f t="shared" si="41"/>
        <v>0</v>
      </c>
      <c r="AM74" s="91">
        <f t="shared" si="42"/>
        <v>-1846536</v>
      </c>
      <c r="AN74" s="91">
        <f t="shared" si="43"/>
        <v>-18682808</v>
      </c>
      <c r="AO74" s="91">
        <f t="shared" si="44"/>
        <v>-15216</v>
      </c>
      <c r="AP74" s="91">
        <f t="shared" si="45"/>
        <v>-79.920927300000002</v>
      </c>
      <c r="AQ74" s="92">
        <f t="shared" si="46"/>
        <v>-82.837632400000004</v>
      </c>
      <c r="AR74" s="92">
        <f t="shared" si="47"/>
        <v>-42.951791399999998</v>
      </c>
      <c r="AS74" s="92">
        <f t="shared" si="48"/>
        <v>-46.588687999999998</v>
      </c>
      <c r="AT74" s="92">
        <f t="shared" si="49"/>
        <v>-50.540732300000002</v>
      </c>
      <c r="AU74" s="92">
        <f t="shared" si="50"/>
        <v>-49.938614399999999</v>
      </c>
      <c r="AV74" s="93">
        <f t="shared" si="51"/>
        <v>-38.911935300000003</v>
      </c>
    </row>
    <row r="75" spans="33:48" x14ac:dyDescent="0.15">
      <c r="AG75" s="91" t="e">
        <f t="shared" si="36"/>
        <v>#VALUE!</v>
      </c>
      <c r="AH75" s="91" t="e">
        <f t="shared" si="37"/>
        <v>#VALUE!</v>
      </c>
      <c r="AI75" s="91">
        <f t="shared" si="38"/>
        <v>-2417984</v>
      </c>
      <c r="AJ75" s="91">
        <f t="shared" si="39"/>
        <v>-3121864</v>
      </c>
      <c r="AK75" s="91">
        <f t="shared" si="40"/>
        <v>-661536</v>
      </c>
      <c r="AL75" s="91">
        <f t="shared" si="41"/>
        <v>0</v>
      </c>
      <c r="AM75" s="91">
        <f t="shared" si="42"/>
        <v>-453072</v>
      </c>
      <c r="AN75" s="91">
        <f t="shared" si="43"/>
        <v>-1992208</v>
      </c>
      <c r="AO75" s="91">
        <f t="shared" si="44"/>
        <v>-15048</v>
      </c>
      <c r="AP75" s="91">
        <f t="shared" si="45"/>
        <v>-71.753850200000002</v>
      </c>
      <c r="AQ75" s="92">
        <f t="shared" si="46"/>
        <v>-73.096716599999993</v>
      </c>
      <c r="AR75" s="92">
        <f t="shared" si="47"/>
        <v>-34.607950600000002</v>
      </c>
      <c r="AS75" s="92">
        <f t="shared" si="48"/>
        <v>-42.802276800000001</v>
      </c>
      <c r="AT75" s="92">
        <f t="shared" si="49"/>
        <v>-44.060676000000001</v>
      </c>
      <c r="AU75" s="92">
        <f t="shared" si="50"/>
        <v>-48.614354900000002</v>
      </c>
      <c r="AV75" s="93">
        <f t="shared" si="51"/>
        <v>-31.538924900000001</v>
      </c>
    </row>
    <row r="76" spans="33:48" x14ac:dyDescent="0.15">
      <c r="AG76" s="91" t="e">
        <f t="shared" si="36"/>
        <v>#VALUE!</v>
      </c>
      <c r="AH76" s="91" t="e">
        <f t="shared" si="37"/>
        <v>#VALUE!</v>
      </c>
      <c r="AI76" s="91">
        <f t="shared" si="38"/>
        <v>-2417984</v>
      </c>
      <c r="AJ76" s="91">
        <f t="shared" si="39"/>
        <v>-5306696</v>
      </c>
      <c r="AK76" s="91">
        <f t="shared" si="40"/>
        <v>-661536</v>
      </c>
      <c r="AL76" s="91">
        <f t="shared" si="41"/>
        <v>0</v>
      </c>
      <c r="AM76" s="91">
        <f t="shared" si="42"/>
        <v>-505952</v>
      </c>
      <c r="AN76" s="91">
        <f t="shared" si="43"/>
        <v>-4123896</v>
      </c>
      <c r="AO76" s="91">
        <f t="shared" si="44"/>
        <v>-15312</v>
      </c>
      <c r="AP76" s="91">
        <f t="shared" si="45"/>
        <v>-72.202910299999999</v>
      </c>
      <c r="AQ76" s="92">
        <f t="shared" si="46"/>
        <v>-73.598292099999995</v>
      </c>
      <c r="AR76" s="92">
        <f t="shared" si="47"/>
        <v>-37.499279600000001</v>
      </c>
      <c r="AS76" s="92">
        <f t="shared" si="48"/>
        <v>-44.009877500000002</v>
      </c>
      <c r="AT76" s="92">
        <f t="shared" si="49"/>
        <v>-45.960662499999998</v>
      </c>
      <c r="AU76" s="92">
        <f t="shared" si="50"/>
        <v>-48.815713500000001</v>
      </c>
      <c r="AV76" s="93">
        <f t="shared" si="51"/>
        <v>-32.763874600000001</v>
      </c>
    </row>
    <row r="77" spans="33:48" x14ac:dyDescent="0.15">
      <c r="AG77" s="91" t="e">
        <f t="shared" si="36"/>
        <v>#VALUE!</v>
      </c>
      <c r="AH77" s="91" t="e">
        <f t="shared" si="37"/>
        <v>#VALUE!</v>
      </c>
      <c r="AI77" s="91">
        <f t="shared" si="38"/>
        <v>-4836096</v>
      </c>
      <c r="AJ77" s="91">
        <f t="shared" si="39"/>
        <v>-10639184</v>
      </c>
      <c r="AK77" s="91">
        <f t="shared" si="40"/>
        <v>-1106136</v>
      </c>
      <c r="AL77" s="91">
        <f t="shared" si="41"/>
        <v>0</v>
      </c>
      <c r="AM77" s="91">
        <f t="shared" si="42"/>
        <v>-1541632</v>
      </c>
      <c r="AN77" s="91">
        <f t="shared" si="43"/>
        <v>-7976136</v>
      </c>
      <c r="AO77" s="91">
        <f t="shared" si="44"/>
        <v>-15280</v>
      </c>
      <c r="AP77" s="91">
        <f t="shared" si="45"/>
        <v>-78.043440200000006</v>
      </c>
      <c r="AQ77" s="92">
        <f t="shared" si="46"/>
        <v>-80.556524400000001</v>
      </c>
      <c r="AR77" s="92">
        <f t="shared" si="47"/>
        <v>-40.468558600000001</v>
      </c>
      <c r="AS77" s="92">
        <f t="shared" si="48"/>
        <v>-45.305330699999999</v>
      </c>
      <c r="AT77" s="92">
        <f t="shared" si="49"/>
        <v>-48.011191799999999</v>
      </c>
      <c r="AU77" s="92">
        <f t="shared" si="50"/>
        <v>-51.847111200000001</v>
      </c>
      <c r="AV77" s="93">
        <f t="shared" si="51"/>
        <v>-36.722354299999999</v>
      </c>
    </row>
    <row r="78" spans="33:48" x14ac:dyDescent="0.15">
      <c r="AG78" s="91" t="e">
        <f t="shared" si="36"/>
        <v>#VALUE!</v>
      </c>
      <c r="AH78" s="91" t="e">
        <f t="shared" si="37"/>
        <v>#VALUE!</v>
      </c>
      <c r="AI78" s="91">
        <f t="shared" si="38"/>
        <v>-9673280</v>
      </c>
      <c r="AJ78" s="91">
        <f t="shared" si="39"/>
        <v>-14899376</v>
      </c>
      <c r="AK78" s="91">
        <f t="shared" si="40"/>
        <v>-2348776</v>
      </c>
      <c r="AL78" s="91">
        <f t="shared" si="41"/>
        <v>0</v>
      </c>
      <c r="AM78" s="91">
        <f t="shared" si="42"/>
        <v>-1397408</v>
      </c>
      <c r="AN78" s="91">
        <f t="shared" si="43"/>
        <v>-11137664</v>
      </c>
      <c r="AO78" s="91">
        <f t="shared" si="44"/>
        <v>-15528</v>
      </c>
      <c r="AP78" s="91">
        <f t="shared" si="45"/>
        <v>-78.929751999999993</v>
      </c>
      <c r="AQ78" s="92">
        <f t="shared" si="46"/>
        <v>-81.765398399999995</v>
      </c>
      <c r="AR78" s="92">
        <f t="shared" si="47"/>
        <v>-41.4649006</v>
      </c>
      <c r="AS78" s="92">
        <f t="shared" si="48"/>
        <v>-45.807873299999997</v>
      </c>
      <c r="AT78" s="92">
        <f t="shared" si="49"/>
        <v>-48.746878299999999</v>
      </c>
      <c r="AU78" s="92">
        <f t="shared" si="50"/>
        <v>-52.626201799999997</v>
      </c>
      <c r="AV78" s="93">
        <f t="shared" si="51"/>
        <v>-37.639244499999997</v>
      </c>
    </row>
    <row r="79" spans="33:48" x14ac:dyDescent="0.15">
      <c r="AG79" s="91" t="e">
        <f t="shared" si="36"/>
        <v>#VALUE!</v>
      </c>
      <c r="AH79" s="91" t="e">
        <f t="shared" si="37"/>
        <v>#VALUE!</v>
      </c>
      <c r="AI79" s="91">
        <f t="shared" si="38"/>
        <v>-9673280</v>
      </c>
      <c r="AJ79" s="91">
        <f t="shared" si="39"/>
        <v>-22228888</v>
      </c>
      <c r="AK79" s="91">
        <f t="shared" si="40"/>
        <v>-2114064</v>
      </c>
      <c r="AL79" s="91">
        <f t="shared" si="41"/>
        <v>0</v>
      </c>
      <c r="AM79" s="91">
        <f t="shared" si="42"/>
        <v>-1844864</v>
      </c>
      <c r="AN79" s="91">
        <f t="shared" si="43"/>
        <v>-18254832</v>
      </c>
      <c r="AO79" s="91">
        <f t="shared" si="44"/>
        <v>-15128</v>
      </c>
      <c r="AP79" s="91">
        <f t="shared" si="45"/>
        <v>-79.640889000000001</v>
      </c>
      <c r="AQ79" s="92">
        <f t="shared" si="46"/>
        <v>-82.838024599999997</v>
      </c>
      <c r="AR79" s="92">
        <f t="shared" si="47"/>
        <v>-42.456949700000003</v>
      </c>
      <c r="AS79" s="92">
        <f t="shared" si="48"/>
        <v>-46.903302600000004</v>
      </c>
      <c r="AT79" s="92">
        <f t="shared" si="49"/>
        <v>-50.098424399999999</v>
      </c>
      <c r="AU79" s="92">
        <f t="shared" si="50"/>
        <v>-53.019047899999997</v>
      </c>
      <c r="AV79" s="93">
        <f t="shared" si="51"/>
        <v>-38.402386100000001</v>
      </c>
    </row>
    <row r="80" spans="33:48" x14ac:dyDescent="0.15">
      <c r="AG80" s="91" t="e">
        <f t="shared" si="36"/>
        <v>#VALUE!</v>
      </c>
      <c r="AH80" s="91" t="e">
        <f t="shared" si="37"/>
        <v>#VALUE!</v>
      </c>
      <c r="AI80" s="91">
        <f t="shared" si="38"/>
        <v>-2455232</v>
      </c>
      <c r="AJ80" s="91">
        <f t="shared" si="39"/>
        <v>-4323992</v>
      </c>
      <c r="AK80" s="91">
        <f t="shared" si="40"/>
        <v>-678416</v>
      </c>
      <c r="AL80" s="91">
        <f t="shared" si="41"/>
        <v>0</v>
      </c>
      <c r="AM80" s="91">
        <f t="shared" si="42"/>
        <v>-531120</v>
      </c>
      <c r="AN80" s="91">
        <f t="shared" si="43"/>
        <v>-3099240</v>
      </c>
      <c r="AO80" s="91">
        <f t="shared" si="44"/>
        <v>-15216</v>
      </c>
      <c r="AP80" s="91">
        <f t="shared" si="45"/>
        <v>-73.898573299999995</v>
      </c>
      <c r="AQ80" s="92">
        <f t="shared" si="46"/>
        <v>-75.771066700000006</v>
      </c>
      <c r="AR80" s="92">
        <f t="shared" si="47"/>
        <v>-31.582356099999998</v>
      </c>
      <c r="AS80" s="92">
        <f t="shared" si="48"/>
        <v>-40.593673099999997</v>
      </c>
      <c r="AT80" s="92">
        <f t="shared" si="49"/>
        <v>-36.943115200000001</v>
      </c>
      <c r="AU80" s="92">
        <f t="shared" si="50"/>
        <v>-44.566979199999999</v>
      </c>
      <c r="AV80" s="93">
        <f t="shared" si="51"/>
        <v>-28.779684899999999</v>
      </c>
    </row>
    <row r="81" spans="33:48" x14ac:dyDescent="0.15">
      <c r="AG81" s="91" t="e">
        <f t="shared" si="36"/>
        <v>#VALUE!</v>
      </c>
      <c r="AH81" s="91" t="e">
        <f t="shared" si="37"/>
        <v>#VALUE!</v>
      </c>
      <c r="AI81" s="91">
        <f t="shared" si="38"/>
        <v>-4912768</v>
      </c>
      <c r="AJ81" s="91">
        <f t="shared" si="39"/>
        <v>-8574432</v>
      </c>
      <c r="AK81" s="91">
        <f t="shared" si="40"/>
        <v>-1143168</v>
      </c>
      <c r="AL81" s="91">
        <f t="shared" si="41"/>
        <v>0</v>
      </c>
      <c r="AM81" s="91">
        <f t="shared" si="42"/>
        <v>-774104</v>
      </c>
      <c r="AN81" s="91">
        <f t="shared" si="43"/>
        <v>-6641376</v>
      </c>
      <c r="AO81" s="91">
        <f t="shared" si="44"/>
        <v>-15784</v>
      </c>
      <c r="AP81" s="91">
        <f t="shared" si="45"/>
        <v>-76.864404899999997</v>
      </c>
      <c r="AQ81" s="92">
        <f t="shared" si="46"/>
        <v>-79.277265</v>
      </c>
      <c r="AR81" s="92">
        <f t="shared" si="47"/>
        <v>-33.990145300000002</v>
      </c>
      <c r="AS81" s="92">
        <f t="shared" si="48"/>
        <v>-42.468919</v>
      </c>
      <c r="AT81" s="92">
        <f t="shared" si="49"/>
        <v>-39.831507100000003</v>
      </c>
      <c r="AU81" s="92">
        <f t="shared" si="50"/>
        <v>-46.179769200000003</v>
      </c>
      <c r="AV81" s="93">
        <f t="shared" si="51"/>
        <v>-31.416871</v>
      </c>
    </row>
    <row r="82" spans="33:48" x14ac:dyDescent="0.15">
      <c r="AG82" s="91" t="e">
        <f t="shared" si="36"/>
        <v>#VALUE!</v>
      </c>
      <c r="AH82" s="91" t="e">
        <f t="shared" si="37"/>
        <v>#VALUE!</v>
      </c>
      <c r="AI82" s="91">
        <f t="shared" si="38"/>
        <v>-9827968</v>
      </c>
      <c r="AJ82" s="91">
        <f t="shared" si="39"/>
        <v>-12873896</v>
      </c>
      <c r="AK82" s="91">
        <f t="shared" si="40"/>
        <v>-2167600</v>
      </c>
      <c r="AL82" s="91">
        <f t="shared" si="41"/>
        <v>0</v>
      </c>
      <c r="AM82" s="91">
        <f t="shared" si="42"/>
        <v>-635104</v>
      </c>
      <c r="AN82" s="91">
        <f t="shared" si="43"/>
        <v>-10055768</v>
      </c>
      <c r="AO82" s="91">
        <f t="shared" si="44"/>
        <v>-15424</v>
      </c>
      <c r="AP82" s="91">
        <f t="shared" si="45"/>
        <v>-78.784982900000003</v>
      </c>
      <c r="AQ82" s="92">
        <f t="shared" si="46"/>
        <v>-81.686792499999996</v>
      </c>
      <c r="AR82" s="92">
        <f t="shared" si="47"/>
        <v>-34.918585299999997</v>
      </c>
      <c r="AS82" s="92">
        <f t="shared" si="48"/>
        <v>-43.691951199999998</v>
      </c>
      <c r="AT82" s="92">
        <f t="shared" si="49"/>
        <v>-41.618832500000003</v>
      </c>
      <c r="AU82" s="92">
        <f t="shared" si="50"/>
        <v>-47.529597000000003</v>
      </c>
      <c r="AV82" s="93">
        <f t="shared" si="51"/>
        <v>-32.638185</v>
      </c>
    </row>
    <row r="83" spans="33:48" x14ac:dyDescent="0.15">
      <c r="AG83" s="91" t="e">
        <f t="shared" si="36"/>
        <v>#VALUE!</v>
      </c>
      <c r="AH83" s="91" t="e">
        <f t="shared" si="37"/>
        <v>#VALUE!</v>
      </c>
      <c r="AI83" s="91">
        <f t="shared" si="38"/>
        <v>-19659392</v>
      </c>
      <c r="AJ83" s="91">
        <f t="shared" si="39"/>
        <v>-18255632</v>
      </c>
      <c r="AK83" s="91">
        <f t="shared" si="40"/>
        <v>-4237048</v>
      </c>
      <c r="AL83" s="91">
        <f t="shared" si="41"/>
        <v>0</v>
      </c>
      <c r="AM83" s="91">
        <f t="shared" si="42"/>
        <v>-572480</v>
      </c>
      <c r="AN83" s="91">
        <f t="shared" si="43"/>
        <v>-13430688</v>
      </c>
      <c r="AO83" s="91">
        <f t="shared" si="44"/>
        <v>-15416</v>
      </c>
      <c r="AP83" s="91">
        <f t="shared" si="45"/>
        <v>-80.4181241</v>
      </c>
      <c r="AQ83" s="92">
        <f t="shared" si="46"/>
        <v>-84.0372591</v>
      </c>
      <c r="AR83" s="92">
        <f t="shared" si="47"/>
        <v>-35.6423883</v>
      </c>
      <c r="AS83" s="92">
        <f t="shared" si="48"/>
        <v>-44.007247</v>
      </c>
      <c r="AT83" s="92">
        <f t="shared" si="49"/>
        <v>-42.0953278</v>
      </c>
      <c r="AU83" s="92">
        <f t="shared" si="50"/>
        <v>-48.963469099999998</v>
      </c>
      <c r="AV83" s="93">
        <f t="shared" si="51"/>
        <v>-33.803992100000002</v>
      </c>
    </row>
    <row r="84" spans="33:48" x14ac:dyDescent="0.15">
      <c r="AG84" s="91" t="e">
        <f t="shared" si="36"/>
        <v>#VALUE!</v>
      </c>
      <c r="AH84" s="91" t="e">
        <f t="shared" si="37"/>
        <v>#VALUE!</v>
      </c>
      <c r="AI84" s="91">
        <f t="shared" si="38"/>
        <v>-39320512</v>
      </c>
      <c r="AJ84" s="91">
        <f t="shared" si="39"/>
        <v>-26769360</v>
      </c>
      <c r="AK84" s="91">
        <f t="shared" si="40"/>
        <v>-7502232</v>
      </c>
      <c r="AL84" s="91">
        <f t="shared" si="41"/>
        <v>0</v>
      </c>
      <c r="AM84" s="91">
        <f t="shared" si="42"/>
        <v>-89600</v>
      </c>
      <c r="AN84" s="91">
        <f t="shared" si="43"/>
        <v>-19162168</v>
      </c>
      <c r="AO84" s="91">
        <f t="shared" si="44"/>
        <v>-15360</v>
      </c>
      <c r="AP84" s="91">
        <f t="shared" si="45"/>
        <v>-82.249131399999996</v>
      </c>
      <c r="AQ84" s="92">
        <f t="shared" si="46"/>
        <v>-86.660172900000006</v>
      </c>
      <c r="AR84" s="92">
        <f t="shared" si="47"/>
        <v>-36.313466599999998</v>
      </c>
      <c r="AS84" s="92">
        <f t="shared" si="48"/>
        <v>-44.606495799999998</v>
      </c>
      <c r="AT84" s="92">
        <f t="shared" si="49"/>
        <v>-42.925024800000003</v>
      </c>
      <c r="AU84" s="92">
        <f t="shared" si="50"/>
        <v>-50.400794400000002</v>
      </c>
      <c r="AV84" s="93">
        <f t="shared" si="51"/>
        <v>-34.827948900000003</v>
      </c>
    </row>
    <row r="85" spans="33:48" x14ac:dyDescent="0.15">
      <c r="AG85" s="91" t="e">
        <f t="shared" si="36"/>
        <v>#VALUE!</v>
      </c>
      <c r="AH85" s="91" t="e">
        <f t="shared" si="37"/>
        <v>#VALUE!</v>
      </c>
      <c r="AI85" s="91">
        <f t="shared" si="38"/>
        <v>-2427520</v>
      </c>
      <c r="AJ85" s="91">
        <f t="shared" si="39"/>
        <v>-4215216</v>
      </c>
      <c r="AK85" s="91">
        <f t="shared" si="40"/>
        <v>-714032</v>
      </c>
      <c r="AL85" s="91">
        <f t="shared" si="41"/>
        <v>0</v>
      </c>
      <c r="AM85" s="91">
        <f t="shared" si="42"/>
        <v>-624984</v>
      </c>
      <c r="AN85" s="91">
        <f t="shared" si="43"/>
        <v>-2860952</v>
      </c>
      <c r="AO85" s="91">
        <f t="shared" si="44"/>
        <v>-15248</v>
      </c>
      <c r="AP85" s="91">
        <f t="shared" si="45"/>
        <v>-74.799510799999993</v>
      </c>
      <c r="AQ85" s="92">
        <f t="shared" si="46"/>
        <v>-76.636315600000003</v>
      </c>
      <c r="AR85" s="92">
        <f t="shared" si="47"/>
        <v>-38.126989100000003</v>
      </c>
      <c r="AS85" s="92">
        <f t="shared" si="48"/>
        <v>-44.241334899999998</v>
      </c>
      <c r="AT85" s="92">
        <f t="shared" si="49"/>
        <v>-42.8089783</v>
      </c>
      <c r="AU85" s="92">
        <f t="shared" si="50"/>
        <v>-47.555307999999997</v>
      </c>
      <c r="AV85" s="93">
        <f t="shared" si="51"/>
        <v>-35.127667199999998</v>
      </c>
    </row>
    <row r="86" spans="33:48" x14ac:dyDescent="0.15">
      <c r="AG86" s="91" t="e">
        <f t="shared" si="36"/>
        <v>#VALUE!</v>
      </c>
      <c r="AH86" s="91" t="e">
        <f t="shared" si="37"/>
        <v>#VALUE!</v>
      </c>
      <c r="AI86" s="91">
        <f t="shared" si="38"/>
        <v>-2427520</v>
      </c>
      <c r="AJ86" s="91">
        <f t="shared" si="39"/>
        <v>-8404536</v>
      </c>
      <c r="AK86" s="91">
        <f t="shared" si="40"/>
        <v>-714032</v>
      </c>
      <c r="AL86" s="91">
        <f t="shared" si="41"/>
        <v>0</v>
      </c>
      <c r="AM86" s="91">
        <f t="shared" si="42"/>
        <v>-1003736</v>
      </c>
      <c r="AN86" s="91">
        <f t="shared" si="43"/>
        <v>-6671320</v>
      </c>
      <c r="AO86" s="91">
        <f t="shared" si="44"/>
        <v>-15448</v>
      </c>
      <c r="AP86" s="91">
        <f t="shared" si="45"/>
        <v>-76.467549399999996</v>
      </c>
      <c r="AQ86" s="92">
        <f t="shared" si="46"/>
        <v>-78.586014700000007</v>
      </c>
      <c r="AR86" s="92">
        <f t="shared" si="47"/>
        <v>-40.637423800000001</v>
      </c>
      <c r="AS86" s="92">
        <f t="shared" si="48"/>
        <v>-45.881740600000001</v>
      </c>
      <c r="AT86" s="92">
        <f t="shared" si="49"/>
        <v>-44.738081700000002</v>
      </c>
      <c r="AU86" s="92">
        <f t="shared" si="50"/>
        <v>-48.410163799999999</v>
      </c>
      <c r="AV86" s="93">
        <f t="shared" si="51"/>
        <v>-36.705227399999998</v>
      </c>
    </row>
    <row r="87" spans="33:48" x14ac:dyDescent="0.15">
      <c r="AG87" s="91" t="e">
        <f t="shared" si="36"/>
        <v>#VALUE!</v>
      </c>
      <c r="AH87" s="91" t="e">
        <f t="shared" si="37"/>
        <v>#VALUE!</v>
      </c>
      <c r="AI87" s="91">
        <f t="shared" si="38"/>
        <v>-2450608</v>
      </c>
      <c r="AJ87" s="91">
        <f t="shared" si="39"/>
        <v>-12851096</v>
      </c>
      <c r="AK87" s="91">
        <f t="shared" si="40"/>
        <v>-1971840</v>
      </c>
      <c r="AL87" s="91">
        <f t="shared" si="41"/>
        <v>0</v>
      </c>
      <c r="AM87" s="91">
        <f t="shared" si="42"/>
        <v>-1076496</v>
      </c>
      <c r="AN87" s="91">
        <f t="shared" si="43"/>
        <v>-9789376</v>
      </c>
      <c r="AO87" s="91">
        <f t="shared" si="44"/>
        <v>-13384</v>
      </c>
      <c r="AP87" s="91">
        <f t="shared" si="45"/>
        <v>-78.518202299999999</v>
      </c>
      <c r="AQ87" s="92">
        <f t="shared" si="46"/>
        <v>-81.100135699999996</v>
      </c>
      <c r="AR87" s="92">
        <f t="shared" si="47"/>
        <v>-41.910744399999999</v>
      </c>
      <c r="AS87" s="92">
        <f t="shared" si="48"/>
        <v>-46.562951599999998</v>
      </c>
      <c r="AT87" s="92">
        <f t="shared" si="49"/>
        <v>-45.545783</v>
      </c>
      <c r="AU87" s="92">
        <f t="shared" si="50"/>
        <v>-49.7060526</v>
      </c>
      <c r="AV87" s="93">
        <f t="shared" si="51"/>
        <v>-38.092818399999999</v>
      </c>
    </row>
    <row r="88" spans="33:48" x14ac:dyDescent="0.15">
      <c r="AG88" s="91" t="e">
        <f t="shared" si="36"/>
        <v>#VALUE!</v>
      </c>
      <c r="AH88" s="91" t="e">
        <f t="shared" si="37"/>
        <v>#VALUE!</v>
      </c>
      <c r="AI88" s="91">
        <f t="shared" si="38"/>
        <v>-2450608</v>
      </c>
      <c r="AJ88" s="91">
        <f t="shared" si="39"/>
        <v>-18583568</v>
      </c>
      <c r="AK88" s="91">
        <f t="shared" si="40"/>
        <v>-1971840</v>
      </c>
      <c r="AL88" s="91">
        <f t="shared" si="41"/>
        <v>0</v>
      </c>
      <c r="AM88" s="91">
        <f t="shared" si="42"/>
        <v>-1839952</v>
      </c>
      <c r="AN88" s="91">
        <f t="shared" si="43"/>
        <v>-14758544</v>
      </c>
      <c r="AO88" s="91">
        <f t="shared" si="44"/>
        <v>-13232</v>
      </c>
      <c r="AP88" s="91">
        <f t="shared" si="45"/>
        <v>-79.802465799999993</v>
      </c>
      <c r="AQ88" s="92">
        <f t="shared" si="46"/>
        <v>-82.892045800000005</v>
      </c>
      <c r="AR88" s="92">
        <f t="shared" si="47"/>
        <v>-43.053551200000001</v>
      </c>
      <c r="AS88" s="92">
        <f t="shared" si="48"/>
        <v>-47.682410400000002</v>
      </c>
      <c r="AT88" s="92">
        <f t="shared" si="49"/>
        <v>-46.881355499999998</v>
      </c>
      <c r="AU88" s="92">
        <f t="shared" si="50"/>
        <v>-50.387085800000001</v>
      </c>
      <c r="AV88" s="93">
        <f t="shared" si="51"/>
        <v>-39.276667600000003</v>
      </c>
    </row>
    <row r="89" spans="33:48" x14ac:dyDescent="0.15">
      <c r="AG89" s="91" t="e">
        <f t="shared" si="36"/>
        <v>#VALUE!</v>
      </c>
      <c r="AH89" s="91" t="e">
        <f t="shared" si="37"/>
        <v>#VALUE!</v>
      </c>
      <c r="AI89" s="91">
        <f t="shared" si="38"/>
        <v>-7367488</v>
      </c>
      <c r="AJ89" s="91">
        <f t="shared" si="39"/>
        <v>-27220632</v>
      </c>
      <c r="AK89" s="91">
        <f t="shared" si="40"/>
        <v>-4555776</v>
      </c>
      <c r="AL89" s="91">
        <f t="shared" si="41"/>
        <v>0</v>
      </c>
      <c r="AM89" s="91">
        <f t="shared" si="42"/>
        <v>-1733768</v>
      </c>
      <c r="AN89" s="91">
        <f t="shared" si="43"/>
        <v>-20917880</v>
      </c>
      <c r="AO89" s="91">
        <f t="shared" si="44"/>
        <v>-13208</v>
      </c>
      <c r="AP89" s="91">
        <f t="shared" si="45"/>
        <v>-82.639127999999999</v>
      </c>
      <c r="AQ89" s="92">
        <f t="shared" si="46"/>
        <v>-87.151792099999994</v>
      </c>
      <c r="AR89" s="92">
        <f t="shared" si="47"/>
        <v>-44.100829400000002</v>
      </c>
      <c r="AS89" s="92">
        <f t="shared" si="48"/>
        <v>-48.394750899999998</v>
      </c>
      <c r="AT89" s="92">
        <f t="shared" si="49"/>
        <v>-47.702540900000002</v>
      </c>
      <c r="AU89" s="92">
        <f t="shared" si="50"/>
        <v>-52.790810499999999</v>
      </c>
      <c r="AV89" s="93">
        <f t="shared" si="51"/>
        <v>-41.405950799999999</v>
      </c>
    </row>
    <row r="90" spans="33:48" x14ac:dyDescent="0.15">
      <c r="AG90" s="91" t="e">
        <f t="shared" si="36"/>
        <v>#VALUE!</v>
      </c>
      <c r="AH90" s="91" t="e">
        <f t="shared" si="37"/>
        <v>#VALUE!</v>
      </c>
      <c r="AI90" s="91">
        <f t="shared" si="38"/>
        <v>-1840960</v>
      </c>
      <c r="AJ90" s="91">
        <f t="shared" si="39"/>
        <v>-4144248</v>
      </c>
      <c r="AK90" s="91">
        <f t="shared" si="40"/>
        <v>-614352</v>
      </c>
      <c r="AL90" s="91">
        <f t="shared" si="41"/>
        <v>0</v>
      </c>
      <c r="AM90" s="91">
        <f t="shared" si="42"/>
        <v>-753632</v>
      </c>
      <c r="AN90" s="91">
        <f t="shared" si="43"/>
        <v>-2760776</v>
      </c>
      <c r="AO90" s="91">
        <f t="shared" si="44"/>
        <v>-15488</v>
      </c>
      <c r="AP90" s="91">
        <f t="shared" si="45"/>
        <v>-72.162271899999993</v>
      </c>
      <c r="AQ90" s="92">
        <f t="shared" si="46"/>
        <v>-73.593104299999993</v>
      </c>
      <c r="AR90" s="92">
        <f t="shared" si="47"/>
        <v>-29.6203979</v>
      </c>
      <c r="AS90" s="92">
        <f t="shared" si="48"/>
        <v>-38.623048099999998</v>
      </c>
      <c r="AT90" s="92">
        <f t="shared" si="49"/>
        <v>-38.356783200000002</v>
      </c>
      <c r="AU90" s="92">
        <f t="shared" si="50"/>
        <v>-48.114539399999998</v>
      </c>
      <c r="AV90" s="93">
        <f t="shared" si="51"/>
        <v>-28.4122545</v>
      </c>
    </row>
    <row r="91" spans="33:48" x14ac:dyDescent="0.15">
      <c r="AG91" s="91" t="e">
        <f t="shared" si="36"/>
        <v>#VALUE!</v>
      </c>
      <c r="AH91" s="91" t="e">
        <f t="shared" si="37"/>
        <v>#VALUE!</v>
      </c>
      <c r="AI91" s="91">
        <f t="shared" si="38"/>
        <v>-3680768</v>
      </c>
      <c r="AJ91" s="91">
        <f t="shared" si="39"/>
        <v>-6485680</v>
      </c>
      <c r="AK91" s="91">
        <f t="shared" si="40"/>
        <v>-942040</v>
      </c>
      <c r="AL91" s="91">
        <f t="shared" si="41"/>
        <v>0</v>
      </c>
      <c r="AM91" s="91">
        <f t="shared" si="42"/>
        <v>-809288</v>
      </c>
      <c r="AN91" s="91">
        <f t="shared" si="43"/>
        <v>-4719064</v>
      </c>
      <c r="AO91" s="91">
        <f t="shared" si="44"/>
        <v>-15288</v>
      </c>
      <c r="AP91" s="91">
        <f t="shared" si="45"/>
        <v>-74.7209979</v>
      </c>
      <c r="AQ91" s="92">
        <f t="shared" si="46"/>
        <v>-76.553031399999995</v>
      </c>
      <c r="AR91" s="92">
        <f t="shared" si="47"/>
        <v>-30.268107000000001</v>
      </c>
      <c r="AS91" s="92">
        <f t="shared" si="48"/>
        <v>-38.805418000000003</v>
      </c>
      <c r="AT91" s="92">
        <f t="shared" si="49"/>
        <v>-38.650394400000003</v>
      </c>
      <c r="AU91" s="92">
        <f t="shared" si="50"/>
        <v>-49.327142899999998</v>
      </c>
      <c r="AV91" s="93">
        <f t="shared" si="51"/>
        <v>-28.892660500000002</v>
      </c>
    </row>
    <row r="92" spans="33:48" x14ac:dyDescent="0.15">
      <c r="AG92" s="91" t="e">
        <f t="shared" si="36"/>
        <v>#VALUE!</v>
      </c>
      <c r="AH92" s="91" t="e">
        <f t="shared" si="37"/>
        <v>#VALUE!</v>
      </c>
      <c r="AI92" s="91">
        <f t="shared" si="38"/>
        <v>-7365760</v>
      </c>
      <c r="AJ92" s="91">
        <f t="shared" si="39"/>
        <v>-11894872</v>
      </c>
      <c r="AK92" s="91">
        <f t="shared" si="40"/>
        <v>-1602384</v>
      </c>
      <c r="AL92" s="91">
        <f t="shared" si="41"/>
        <v>0</v>
      </c>
      <c r="AM92" s="91">
        <f t="shared" si="42"/>
        <v>-503816</v>
      </c>
      <c r="AN92" s="91">
        <f t="shared" si="43"/>
        <v>-9772912</v>
      </c>
      <c r="AO92" s="91">
        <f t="shared" si="44"/>
        <v>-15760</v>
      </c>
      <c r="AP92" s="91">
        <f t="shared" si="45"/>
        <v>-75.559263400000006</v>
      </c>
      <c r="AQ92" s="92">
        <f t="shared" si="46"/>
        <v>-77.475161900000003</v>
      </c>
      <c r="AR92" s="92">
        <f t="shared" si="47"/>
        <v>-31.223854800000002</v>
      </c>
      <c r="AS92" s="92">
        <f t="shared" si="48"/>
        <v>-39.0256063</v>
      </c>
      <c r="AT92" s="92">
        <f t="shared" si="49"/>
        <v>-39.201862900000002</v>
      </c>
      <c r="AU92" s="92">
        <f t="shared" si="50"/>
        <v>-49.915145000000003</v>
      </c>
      <c r="AV92" s="93">
        <f t="shared" si="51"/>
        <v>-30.247434699999999</v>
      </c>
    </row>
    <row r="93" spans="33:48" x14ac:dyDescent="0.15">
      <c r="AG93" s="91" t="e">
        <f t="shared" si="36"/>
        <v>#VALUE!</v>
      </c>
      <c r="AH93" s="91" t="e">
        <f t="shared" si="37"/>
        <v>#VALUE!</v>
      </c>
      <c r="AI93" s="91">
        <f t="shared" si="38"/>
        <v>-7365760</v>
      </c>
      <c r="AJ93" s="91">
        <f t="shared" si="39"/>
        <v>-17408368</v>
      </c>
      <c r="AK93" s="91">
        <f t="shared" si="40"/>
        <v>-1776280</v>
      </c>
      <c r="AL93" s="91">
        <f t="shared" si="41"/>
        <v>0</v>
      </c>
      <c r="AM93" s="91">
        <f t="shared" si="42"/>
        <v>-941360</v>
      </c>
      <c r="AN93" s="91">
        <f t="shared" si="43"/>
        <v>-14674792</v>
      </c>
      <c r="AO93" s="91">
        <f t="shared" si="44"/>
        <v>-15936</v>
      </c>
      <c r="AP93" s="91">
        <f t="shared" si="45"/>
        <v>-77.117440999999999</v>
      </c>
      <c r="AQ93" s="92">
        <f t="shared" si="46"/>
        <v>-79.363987600000002</v>
      </c>
      <c r="AR93" s="92">
        <f t="shared" si="47"/>
        <v>-31.9113404</v>
      </c>
      <c r="AS93" s="92">
        <f t="shared" si="48"/>
        <v>-39.090066999999998</v>
      </c>
      <c r="AT93" s="92">
        <f t="shared" si="49"/>
        <v>-39.328097200000002</v>
      </c>
      <c r="AU93" s="92">
        <f t="shared" si="50"/>
        <v>-50.839984399999999</v>
      </c>
      <c r="AV93" s="93">
        <f t="shared" si="51"/>
        <v>-30.942427800000001</v>
      </c>
    </row>
    <row r="94" spans="33:48" x14ac:dyDescent="0.15">
      <c r="AG94" s="91" t="e">
        <f t="shared" si="36"/>
        <v>#VALUE!</v>
      </c>
      <c r="AH94" s="91" t="e">
        <f t="shared" si="37"/>
        <v>#VALUE!</v>
      </c>
      <c r="AI94" s="91">
        <f t="shared" si="38"/>
        <v>-14733824</v>
      </c>
      <c r="AJ94" s="91">
        <f t="shared" si="39"/>
        <v>-26272056</v>
      </c>
      <c r="AK94" s="91">
        <f t="shared" si="40"/>
        <v>-3116232</v>
      </c>
      <c r="AL94" s="91">
        <f t="shared" si="41"/>
        <v>0</v>
      </c>
      <c r="AM94" s="91">
        <f t="shared" si="42"/>
        <v>-812352</v>
      </c>
      <c r="AN94" s="91">
        <f t="shared" si="43"/>
        <v>-22327944</v>
      </c>
      <c r="AO94" s="91">
        <f t="shared" si="44"/>
        <v>-15528</v>
      </c>
      <c r="AP94" s="91">
        <f t="shared" si="45"/>
        <v>-79.474362400000004</v>
      </c>
      <c r="AQ94" s="92">
        <f t="shared" si="46"/>
        <v>-82.299347900000001</v>
      </c>
      <c r="AR94" s="92">
        <f t="shared" si="47"/>
        <v>-32.729931700000002</v>
      </c>
      <c r="AS94" s="92">
        <f t="shared" si="48"/>
        <v>-39.175255100000001</v>
      </c>
      <c r="AT94" s="92">
        <f t="shared" si="49"/>
        <v>-39.471324799999998</v>
      </c>
      <c r="AU94" s="92">
        <f t="shared" si="50"/>
        <v>-52.0455714</v>
      </c>
      <c r="AV94" s="93">
        <f t="shared" si="51"/>
        <v>-31.819745099999999</v>
      </c>
    </row>
    <row r="95" spans="33:48" x14ac:dyDescent="0.15">
      <c r="AG95" s="91" t="e">
        <f t="shared" si="36"/>
        <v>#VALUE!</v>
      </c>
      <c r="AH95" s="91" t="e">
        <f t="shared" si="37"/>
        <v>#VALUE!</v>
      </c>
      <c r="AI95" s="91">
        <f t="shared" si="38"/>
        <v>-1839040</v>
      </c>
      <c r="AJ95" s="91">
        <f t="shared" si="39"/>
        <v>-4251128</v>
      </c>
      <c r="AK95" s="91">
        <f t="shared" si="40"/>
        <v>-532640</v>
      </c>
      <c r="AL95" s="91">
        <f t="shared" si="41"/>
        <v>0</v>
      </c>
      <c r="AM95" s="91">
        <f t="shared" si="42"/>
        <v>-672400</v>
      </c>
      <c r="AN95" s="91">
        <f t="shared" si="43"/>
        <v>-3030696</v>
      </c>
      <c r="AO95" s="91">
        <f t="shared" si="44"/>
        <v>-15392</v>
      </c>
      <c r="AP95" s="91">
        <f t="shared" si="45"/>
        <v>-72.654934900000001</v>
      </c>
      <c r="AQ95" s="92">
        <f t="shared" si="46"/>
        <v>-73.968622100000005</v>
      </c>
      <c r="AR95" s="92">
        <f t="shared" si="47"/>
        <v>-32.543196899999998</v>
      </c>
      <c r="AS95" s="92">
        <f t="shared" si="48"/>
        <v>-42.241251400000003</v>
      </c>
      <c r="AT95" s="92">
        <f t="shared" si="49"/>
        <v>-42.574108099999997</v>
      </c>
      <c r="AU95" s="92">
        <f t="shared" si="50"/>
        <v>-48.127142200000002</v>
      </c>
      <c r="AV95" s="93">
        <f t="shared" si="51"/>
        <v>-31.655290900000001</v>
      </c>
    </row>
    <row r="96" spans="33:48" x14ac:dyDescent="0.15">
      <c r="AG96" s="91" t="e">
        <f t="shared" si="36"/>
        <v>#VALUE!</v>
      </c>
      <c r="AH96" s="91" t="e">
        <f t="shared" si="37"/>
        <v>#VALUE!</v>
      </c>
      <c r="AI96" s="91">
        <f t="shared" si="38"/>
        <v>-1839040</v>
      </c>
      <c r="AJ96" s="91">
        <f t="shared" si="39"/>
        <v>-6456576</v>
      </c>
      <c r="AK96" s="91">
        <f t="shared" si="40"/>
        <v>-578280</v>
      </c>
      <c r="AL96" s="91">
        <f t="shared" si="41"/>
        <v>0</v>
      </c>
      <c r="AM96" s="91">
        <f t="shared" si="42"/>
        <v>-725920</v>
      </c>
      <c r="AN96" s="91">
        <f t="shared" si="43"/>
        <v>-5136896</v>
      </c>
      <c r="AO96" s="91">
        <f t="shared" si="44"/>
        <v>-15480</v>
      </c>
      <c r="AP96" s="91">
        <f t="shared" si="45"/>
        <v>-72.886944600000007</v>
      </c>
      <c r="AQ96" s="92">
        <f t="shared" si="46"/>
        <v>-74.229794299999995</v>
      </c>
      <c r="AR96" s="92">
        <f t="shared" si="47"/>
        <v>-33.194537400000002</v>
      </c>
      <c r="AS96" s="92">
        <f t="shared" si="48"/>
        <v>-42.505837100000001</v>
      </c>
      <c r="AT96" s="92">
        <f t="shared" si="49"/>
        <v>-42.860357</v>
      </c>
      <c r="AU96" s="92">
        <f t="shared" si="50"/>
        <v>-48.303001399999999</v>
      </c>
      <c r="AV96" s="93">
        <f t="shared" si="51"/>
        <v>-32.079288699999999</v>
      </c>
    </row>
    <row r="97" spans="33:48" x14ac:dyDescent="0.15">
      <c r="AG97" s="91" t="e">
        <f t="shared" si="36"/>
        <v>#VALUE!</v>
      </c>
      <c r="AH97" s="91" t="e">
        <f t="shared" si="37"/>
        <v>#VALUE!</v>
      </c>
      <c r="AI97" s="91">
        <f t="shared" si="38"/>
        <v>-7368320</v>
      </c>
      <c r="AJ97" s="91">
        <f t="shared" si="39"/>
        <v>-11856024</v>
      </c>
      <c r="AK97" s="91">
        <f t="shared" si="40"/>
        <v>-1558208</v>
      </c>
      <c r="AL97" s="91">
        <f t="shared" si="41"/>
        <v>0</v>
      </c>
      <c r="AM97" s="91">
        <f t="shared" si="42"/>
        <v>-642768</v>
      </c>
      <c r="AN97" s="91">
        <f t="shared" si="43"/>
        <v>-9639368</v>
      </c>
      <c r="AO97" s="91">
        <f t="shared" si="44"/>
        <v>-15680</v>
      </c>
      <c r="AP97" s="91">
        <f t="shared" si="45"/>
        <v>-76.481802000000002</v>
      </c>
      <c r="AQ97" s="92">
        <f t="shared" si="46"/>
        <v>-78.359643800000001</v>
      </c>
      <c r="AR97" s="92">
        <f t="shared" si="47"/>
        <v>-34.202283100000002</v>
      </c>
      <c r="AS97" s="92">
        <f t="shared" si="48"/>
        <v>-42.831829599999999</v>
      </c>
      <c r="AT97" s="92">
        <f t="shared" si="49"/>
        <v>-43.3615219</v>
      </c>
      <c r="AU97" s="92">
        <f t="shared" si="50"/>
        <v>-50.796456599999999</v>
      </c>
      <c r="AV97" s="93">
        <f t="shared" si="51"/>
        <v>-33.346292699999999</v>
      </c>
    </row>
    <row r="98" spans="33:48" x14ac:dyDescent="0.15">
      <c r="AG98" s="91" t="e">
        <f t="shared" si="36"/>
        <v>#VALUE!</v>
      </c>
      <c r="AH98" s="91" t="e">
        <f t="shared" si="37"/>
        <v>#VALUE!</v>
      </c>
      <c r="AI98" s="91">
        <f t="shared" si="38"/>
        <v>-7368320</v>
      </c>
      <c r="AJ98" s="91">
        <f t="shared" si="39"/>
        <v>-17486272</v>
      </c>
      <c r="AK98" s="91">
        <f t="shared" si="40"/>
        <v>-1731368</v>
      </c>
      <c r="AL98" s="91">
        <f t="shared" si="41"/>
        <v>0</v>
      </c>
      <c r="AM98" s="91">
        <f t="shared" si="42"/>
        <v>-916944</v>
      </c>
      <c r="AN98" s="91">
        <f t="shared" si="43"/>
        <v>-14822136</v>
      </c>
      <c r="AO98" s="91">
        <f t="shared" si="44"/>
        <v>-15824</v>
      </c>
      <c r="AP98" s="91">
        <f t="shared" si="45"/>
        <v>-77.449883</v>
      </c>
      <c r="AQ98" s="92">
        <f t="shared" si="46"/>
        <v>-79.537702699999997</v>
      </c>
      <c r="AR98" s="92">
        <f t="shared" si="47"/>
        <v>-34.9009353</v>
      </c>
      <c r="AS98" s="92">
        <f t="shared" si="48"/>
        <v>-42.973362799999997</v>
      </c>
      <c r="AT98" s="92">
        <f t="shared" si="49"/>
        <v>-43.556047399999997</v>
      </c>
      <c r="AU98" s="92">
        <f t="shared" si="50"/>
        <v>-51.238388800000003</v>
      </c>
      <c r="AV98" s="93">
        <f t="shared" si="51"/>
        <v>-33.975731500000002</v>
      </c>
    </row>
    <row r="99" spans="33:48" ht="15.75" customHeight="1" thickBot="1" x14ac:dyDescent="0.2">
      <c r="AG99" s="94" t="e">
        <f t="shared" ref="AG99" si="52">AG44-L44</f>
        <v>#VALUE!</v>
      </c>
      <c r="AH99" s="94" t="e">
        <f t="shared" ref="AH99" si="53">AH44-M44</f>
        <v>#VALUE!</v>
      </c>
      <c r="AI99" s="94">
        <f t="shared" ref="AI99" si="54">AI44-N44</f>
        <v>-14739328</v>
      </c>
      <c r="AJ99" s="94">
        <f t="shared" ref="AJ99" si="55">AJ44-O44</f>
        <v>-26336456</v>
      </c>
      <c r="AK99" s="94">
        <f t="shared" ref="AK99" si="56">AK44-P44</f>
        <v>-2693928</v>
      </c>
      <c r="AL99" s="94">
        <f t="shared" ref="AL99" si="57">AL44-Q44</f>
        <v>0</v>
      </c>
      <c r="AM99" s="94">
        <f t="shared" ref="AM99" si="58">AM44-R44</f>
        <v>-999568</v>
      </c>
      <c r="AN99" s="94">
        <f t="shared" ref="AN99" si="59">AN44-S44</f>
        <v>-22627392</v>
      </c>
      <c r="AO99" s="94">
        <f t="shared" ref="AO99" si="60">AO44-T44</f>
        <v>-15568</v>
      </c>
      <c r="AP99" s="94">
        <f t="shared" ref="AP99" si="61">AP44-U44</f>
        <v>-79.915023399999995</v>
      </c>
      <c r="AQ99" s="95">
        <f t="shared" ref="AQ99" si="62">AQ44-V44</f>
        <v>-82.625612099999998</v>
      </c>
      <c r="AR99" s="95">
        <f t="shared" ref="AR99" si="63">AR44-W44</f>
        <v>-35.7708011</v>
      </c>
      <c r="AS99" s="95">
        <f t="shared" ref="AS99" si="64">AS44-X44</f>
        <v>-43.106379500000003</v>
      </c>
      <c r="AT99" s="95">
        <f t="shared" ref="AT99" si="65">AT44-Y44</f>
        <v>-43.766516799999998</v>
      </c>
      <c r="AU99" s="95">
        <f t="shared" ref="AU99" si="66">AU44-Z44</f>
        <v>-52.809967999999998</v>
      </c>
      <c r="AV99" s="96">
        <f t="shared" ref="AV99" si="67">AV44-AA44</f>
        <v>-34.9738726</v>
      </c>
    </row>
    <row r="100" spans="33:48" x14ac:dyDescent="0.15">
      <c r="AG100" s="91" t="e">
        <f t="shared" ref="AG100:AV103" si="68">AG45-L45</f>
        <v>#VALUE!</v>
      </c>
      <c r="AH100" s="91" t="e">
        <f t="shared" si="68"/>
        <v>#VALUE!</v>
      </c>
      <c r="AI100" s="91">
        <f t="shared" si="68"/>
        <v>-76800</v>
      </c>
      <c r="AJ100" s="91">
        <f t="shared" si="68"/>
        <v>-141024</v>
      </c>
      <c r="AK100" s="91">
        <f t="shared" si="68"/>
        <v>-21336</v>
      </c>
      <c r="AL100" s="91">
        <f t="shared" si="68"/>
        <v>0</v>
      </c>
      <c r="AM100" s="91">
        <f t="shared" si="68"/>
        <v>-24776</v>
      </c>
      <c r="AN100" s="91">
        <f t="shared" si="68"/>
        <v>-93312</v>
      </c>
      <c r="AO100" s="91">
        <f t="shared" si="68"/>
        <v>-1600</v>
      </c>
      <c r="AP100" s="91">
        <f t="shared" si="68"/>
        <v>-74.524426899999995</v>
      </c>
      <c r="AQ100" s="92">
        <f t="shared" si="68"/>
        <v>-76.5139341</v>
      </c>
      <c r="AR100" s="92">
        <f t="shared" si="68"/>
        <v>-30.238096599999999</v>
      </c>
      <c r="AS100" s="92">
        <f t="shared" si="68"/>
        <v>-41.188856000000001</v>
      </c>
      <c r="AT100" s="92">
        <f t="shared" si="68"/>
        <v>-39.595556700000003</v>
      </c>
      <c r="AU100" s="92">
        <f t="shared" si="68"/>
        <v>-54.122185100000003</v>
      </c>
      <c r="AV100" s="93">
        <f t="shared" si="68"/>
        <v>-29.431978399999998</v>
      </c>
    </row>
    <row r="101" spans="33:48" x14ac:dyDescent="0.15">
      <c r="AG101" s="91" t="e">
        <f t="shared" si="68"/>
        <v>#VALUE!</v>
      </c>
      <c r="AH101" s="91" t="e">
        <f t="shared" si="68"/>
        <v>#VALUE!</v>
      </c>
      <c r="AI101" s="91">
        <f t="shared" si="68"/>
        <v>-153600</v>
      </c>
      <c r="AJ101" s="91">
        <f t="shared" si="68"/>
        <v>-215840</v>
      </c>
      <c r="AK101" s="91">
        <f t="shared" si="68"/>
        <v>-35112</v>
      </c>
      <c r="AL101" s="91">
        <f t="shared" si="68"/>
        <v>0</v>
      </c>
      <c r="AM101" s="91">
        <f t="shared" si="68"/>
        <v>-21152</v>
      </c>
      <c r="AN101" s="91">
        <f t="shared" si="68"/>
        <v>-157928</v>
      </c>
      <c r="AO101" s="91">
        <f t="shared" si="68"/>
        <v>-1648</v>
      </c>
      <c r="AP101" s="91">
        <f t="shared" si="68"/>
        <v>-75.687530499999994</v>
      </c>
      <c r="AQ101" s="92">
        <f t="shared" si="68"/>
        <v>-77.986673800000005</v>
      </c>
      <c r="AR101" s="92">
        <f t="shared" si="68"/>
        <v>-31.157793900000001</v>
      </c>
      <c r="AS101" s="92">
        <f t="shared" si="68"/>
        <v>-42.283162599999997</v>
      </c>
      <c r="AT101" s="92">
        <f t="shared" si="68"/>
        <v>-40.591721100000001</v>
      </c>
      <c r="AU101" s="92">
        <f t="shared" si="68"/>
        <v>-54.831061499999997</v>
      </c>
      <c r="AV101" s="93">
        <f t="shared" si="68"/>
        <v>-29.977537999999999</v>
      </c>
    </row>
    <row r="102" spans="33:48" x14ac:dyDescent="0.15">
      <c r="AG102" s="91" t="e">
        <f t="shared" si="68"/>
        <v>#VALUE!</v>
      </c>
      <c r="AH102" s="91" t="e">
        <f t="shared" si="68"/>
        <v>#VALUE!</v>
      </c>
      <c r="AI102" s="91">
        <f t="shared" si="68"/>
        <v>-307200</v>
      </c>
      <c r="AJ102" s="91">
        <f t="shared" si="68"/>
        <v>-357008</v>
      </c>
      <c r="AK102" s="91">
        <f t="shared" si="68"/>
        <v>-66632</v>
      </c>
      <c r="AL102" s="91">
        <f t="shared" si="68"/>
        <v>0</v>
      </c>
      <c r="AM102" s="91">
        <f t="shared" si="68"/>
        <v>-14944</v>
      </c>
      <c r="AN102" s="91">
        <f t="shared" si="68"/>
        <v>-273784</v>
      </c>
      <c r="AO102" s="91">
        <f t="shared" si="68"/>
        <v>-1648</v>
      </c>
      <c r="AP102" s="91">
        <f t="shared" si="68"/>
        <v>-77.288102699999996</v>
      </c>
      <c r="AQ102" s="92">
        <f t="shared" si="68"/>
        <v>-79.929790100000005</v>
      </c>
      <c r="AR102" s="92">
        <f t="shared" si="68"/>
        <v>-31.751473900000001</v>
      </c>
      <c r="AS102" s="92">
        <f t="shared" si="68"/>
        <v>-44.319451600000001</v>
      </c>
      <c r="AT102" s="92">
        <f t="shared" si="68"/>
        <v>-43.1361816</v>
      </c>
      <c r="AU102" s="92">
        <f t="shared" si="68"/>
        <v>-55.7650285</v>
      </c>
      <c r="AV102" s="93">
        <f t="shared" si="68"/>
        <v>-31.127217000000002</v>
      </c>
    </row>
    <row r="103" spans="33:48" x14ac:dyDescent="0.15">
      <c r="AG103" s="91" t="e">
        <f t="shared" si="68"/>
        <v>#VALUE!</v>
      </c>
      <c r="AH103" s="91" t="e">
        <f t="shared" si="68"/>
        <v>#VALUE!</v>
      </c>
      <c r="AI103" s="91">
        <f t="shared" si="68"/>
        <v>-307200</v>
      </c>
      <c r="AJ103" s="91">
        <f t="shared" si="68"/>
        <v>-475536</v>
      </c>
      <c r="AK103" s="91">
        <f t="shared" si="68"/>
        <v>-66632</v>
      </c>
      <c r="AL103" s="91">
        <f t="shared" si="68"/>
        <v>0</v>
      </c>
      <c r="AM103" s="91">
        <f t="shared" si="68"/>
        <v>-24168</v>
      </c>
      <c r="AN103" s="91">
        <f t="shared" si="68"/>
        <v>-383064</v>
      </c>
      <c r="AO103" s="91">
        <f t="shared" si="68"/>
        <v>-1672</v>
      </c>
      <c r="AP103" s="91">
        <f t="shared" si="68"/>
        <v>-78.687753099999995</v>
      </c>
      <c r="AQ103" s="92">
        <f t="shared" si="68"/>
        <v>-81.812540100000007</v>
      </c>
      <c r="AR103" s="92">
        <f t="shared" si="68"/>
        <v>-32.306105199999998</v>
      </c>
      <c r="AS103" s="92">
        <f t="shared" si="68"/>
        <v>-44.626617199999998</v>
      </c>
      <c r="AT103" s="92">
        <f t="shared" si="68"/>
        <v>-43.605740500000003</v>
      </c>
      <c r="AU103" s="92">
        <f t="shared" si="68"/>
        <v>-56.752282999999998</v>
      </c>
      <c r="AV103" s="93">
        <f t="shared" si="68"/>
        <v>-31.7123879</v>
      </c>
    </row>
    <row r="104" spans="33:48" ht="14.25" thickBot="1" x14ac:dyDescent="0.2">
      <c r="AG104" s="94" t="e">
        <f t="shared" ref="AG104" si="69">AG49-L49</f>
        <v>#VALUE!</v>
      </c>
      <c r="AH104" s="94" t="e">
        <f t="shared" ref="AH104" si="70">AH49-M49</f>
        <v>#VALUE!</v>
      </c>
      <c r="AI104" s="94">
        <f t="shared" ref="AI104" si="71">AI49-N49</f>
        <v>-614272</v>
      </c>
      <c r="AJ104" s="94">
        <f t="shared" ref="AJ104" si="72">AJ49-O49</f>
        <v>-744512</v>
      </c>
      <c r="AK104" s="94">
        <f t="shared" ref="AK104" si="73">AK49-P49</f>
        <v>-119000</v>
      </c>
      <c r="AL104" s="94">
        <f t="shared" ref="AL104" si="74">AL49-Q49</f>
        <v>0</v>
      </c>
      <c r="AM104" s="94">
        <f t="shared" ref="AM104" si="75">AM49-R49</f>
        <v>-28464</v>
      </c>
      <c r="AN104" s="94">
        <f t="shared" ref="AN104" si="76">AN49-S49</f>
        <v>-595352</v>
      </c>
      <c r="AO104" s="94">
        <f t="shared" ref="AO104" si="77">AO49-T49</f>
        <v>-1696</v>
      </c>
      <c r="AP104" s="94">
        <f t="shared" ref="AP104" si="78">AP49-U49</f>
        <v>-80.405805299999997</v>
      </c>
      <c r="AQ104" s="95">
        <f t="shared" ref="AQ104" si="79">AQ49-V49</f>
        <v>-84.458735300000001</v>
      </c>
      <c r="AR104" s="95">
        <f t="shared" ref="AR104" si="80">AR49-W49</f>
        <v>-33.127863400000003</v>
      </c>
      <c r="AS104" s="95">
        <f t="shared" ref="AS104" si="81">AS49-X49</f>
        <v>-45.293516500000003</v>
      </c>
      <c r="AT104" s="95">
        <f t="shared" ref="AT104" si="82">AT49-Y49</f>
        <v>-44.381829199999999</v>
      </c>
      <c r="AU104" s="95">
        <f t="shared" ref="AU104" si="83">AU49-Z49</f>
        <v>-57.884126000000002</v>
      </c>
      <c r="AV104" s="96">
        <f t="shared" ref="AV104" si="84">AV49-AA49</f>
        <v>-32.596452999999997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phoneticPr fontId="2" type="noConversion"/>
  <conditionalFormatting sqref="AZ5:AZ54 BA53:BN53">
    <cfRule type="cellIs" dxfId="152" priority="37" operator="greaterThanOrEqual">
      <formula>0.03</formula>
    </cfRule>
    <cfRule type="cellIs" dxfId="151" priority="38" operator="lessThanOrEqual">
      <formula>-0.03</formula>
    </cfRule>
  </conditionalFormatting>
  <conditionalFormatting sqref="BA5:BA52 BA54">
    <cfRule type="cellIs" dxfId="150" priority="39" operator="greaterThanOrEqual">
      <formula>0.03</formula>
    </cfRule>
    <cfRule type="cellIs" dxfId="149" priority="40" operator="lessThanOrEqual">
      <formula>-0.03</formula>
    </cfRule>
  </conditionalFormatting>
  <conditionalFormatting sqref="BB5:BB52 BB54">
    <cfRule type="cellIs" dxfId="148" priority="47" operator="greaterThanOrEqual">
      <formula>0.03</formula>
    </cfRule>
    <cfRule type="cellIs" dxfId="147" priority="48" operator="lessThanOrEqual">
      <formula>-0.03</formula>
    </cfRule>
  </conditionalFormatting>
  <conditionalFormatting sqref="BC5:BC52 BC54">
    <cfRule type="cellIs" dxfId="146" priority="49" operator="greaterThanOrEqual">
      <formula>0.03</formula>
    </cfRule>
    <cfRule type="cellIs" dxfId="145" priority="50" operator="lessThanOrEqual">
      <formula>-0.03</formula>
    </cfRule>
  </conditionalFormatting>
  <conditionalFormatting sqref="BD5:BD52 BD54">
    <cfRule type="cellIs" dxfId="144" priority="41" operator="greaterThanOrEqual">
      <formula>0.03</formula>
    </cfRule>
    <cfRule type="cellIs" dxfId="143" priority="42" operator="lessThanOrEqual">
      <formula>-0.03</formula>
    </cfRule>
  </conditionalFormatting>
  <conditionalFormatting sqref="BE5:BE52 BE54">
    <cfRule type="cellIs" dxfId="142" priority="43" operator="greaterThanOrEqual">
      <formula>0.03</formula>
    </cfRule>
    <cfRule type="cellIs" dxfId="141" priority="44" operator="lessThanOrEqual">
      <formula>-0.03</formula>
    </cfRule>
  </conditionalFormatting>
  <conditionalFormatting sqref="BF5:BF52 BF54">
    <cfRule type="cellIs" dxfId="140" priority="45" operator="greaterThanOrEqual">
      <formula>0.03</formula>
    </cfRule>
    <cfRule type="cellIs" dxfId="139" priority="46" operator="lessThanOrEqual">
      <formula>-0.03</formula>
    </cfRule>
  </conditionalFormatting>
  <conditionalFormatting sqref="J5:J50">
    <cfRule type="expression" dxfId="138" priority="36">
      <formula>OR(J5 &lt; H5 * 0.9, J5 &gt; H5)</formula>
    </cfRule>
  </conditionalFormatting>
  <conditionalFormatting sqref="AE5:AE50">
    <cfRule type="expression" dxfId="137" priority="35">
      <formula>OR(AE5 &lt; H5 * 0.9, AE5 &gt; H5)</formula>
    </cfRule>
  </conditionalFormatting>
  <conditionalFormatting sqref="BP5:BP54 BQ53:BT54">
    <cfRule type="cellIs" dxfId="136" priority="33" operator="greaterThanOrEqual">
      <formula>0.001</formula>
    </cfRule>
    <cfRule type="cellIs" dxfId="135" priority="34" operator="lessThanOrEqual">
      <formula>-0.001</formula>
    </cfRule>
  </conditionalFormatting>
  <conditionalFormatting sqref="BQ5:BQ52">
    <cfRule type="cellIs" dxfId="134" priority="31" operator="greaterThanOrEqual">
      <formula>0.001</formula>
    </cfRule>
    <cfRule type="cellIs" dxfId="133" priority="32" operator="lessThanOrEqual">
      <formula>-0.001</formula>
    </cfRule>
  </conditionalFormatting>
  <conditionalFormatting sqref="BR5:BR52">
    <cfRule type="cellIs" dxfId="132" priority="29" operator="greaterThanOrEqual">
      <formula>0.001</formula>
    </cfRule>
    <cfRule type="cellIs" dxfId="131" priority="30" operator="lessThanOrEqual">
      <formula>-0.001</formula>
    </cfRule>
  </conditionalFormatting>
  <conditionalFormatting sqref="BS5:BS52">
    <cfRule type="cellIs" dxfId="130" priority="27" operator="greaterThanOrEqual">
      <formula>0.001</formula>
    </cfRule>
    <cfRule type="cellIs" dxfId="129" priority="28" operator="lessThanOrEqual">
      <formula>-0.001</formula>
    </cfRule>
  </conditionalFormatting>
  <conditionalFormatting sqref="AG60:AQ99">
    <cfRule type="cellIs" dxfId="128" priority="25" operator="lessThan">
      <formula>0</formula>
    </cfRule>
    <cfRule type="cellIs" dxfId="127" priority="26" operator="greaterThan">
      <formula>0</formula>
    </cfRule>
  </conditionalFormatting>
  <conditionalFormatting sqref="AR60:AV99">
    <cfRule type="cellIs" dxfId="126" priority="23" operator="lessThan">
      <formula>0</formula>
    </cfRule>
    <cfRule type="cellIs" dxfId="125" priority="24" operator="greaterThan">
      <formula>0</formula>
    </cfRule>
  </conditionalFormatting>
  <conditionalFormatting sqref="L5:L49">
    <cfRule type="expression" dxfId="124" priority="22">
      <formula>NOT(L5=O5)</formula>
    </cfRule>
  </conditionalFormatting>
  <conditionalFormatting sqref="AG5:AG49">
    <cfRule type="expression" dxfId="123" priority="21">
      <formula>NOT(AG5=AJ5)</formula>
    </cfRule>
  </conditionalFormatting>
  <conditionalFormatting sqref="BH5:BH52 BH54">
    <cfRule type="cellIs" dxfId="122" priority="11" operator="greaterThanOrEqual">
      <formula>0.03</formula>
    </cfRule>
    <cfRule type="cellIs" dxfId="121" priority="12" operator="lessThanOrEqual">
      <formula>-0.03</formula>
    </cfRule>
  </conditionalFormatting>
  <conditionalFormatting sqref="BI5:BI52 BI54">
    <cfRule type="cellIs" dxfId="120" priority="7" operator="greaterThanOrEqual">
      <formula>0.03</formula>
    </cfRule>
    <cfRule type="cellIs" dxfId="119" priority="8" operator="lessThanOrEqual">
      <formula>-0.03</formula>
    </cfRule>
  </conditionalFormatting>
  <conditionalFormatting sqref="BJ5:BJ52 BJ54">
    <cfRule type="cellIs" dxfId="118" priority="15" operator="greaterThanOrEqual">
      <formula>0.03</formula>
    </cfRule>
    <cfRule type="cellIs" dxfId="117" priority="16" operator="lessThanOrEqual">
      <formula>-0.03</formula>
    </cfRule>
  </conditionalFormatting>
  <conditionalFormatting sqref="BK5:BK52 BK54">
    <cfRule type="cellIs" dxfId="116" priority="17" operator="greaterThanOrEqual">
      <formula>0.03</formula>
    </cfRule>
    <cfRule type="cellIs" dxfId="115" priority="18" operator="lessThanOrEqual">
      <formula>-0.03</formula>
    </cfRule>
  </conditionalFormatting>
  <conditionalFormatting sqref="BL5:BL52 BL54">
    <cfRule type="cellIs" dxfId="114" priority="9" operator="greaterThanOrEqual">
      <formula>0.03</formula>
    </cfRule>
    <cfRule type="cellIs" dxfId="113" priority="10" operator="lessThanOrEqual">
      <formula>-0.03</formula>
    </cfRule>
  </conditionalFormatting>
  <conditionalFormatting sqref="BM5:BM52 BM54">
    <cfRule type="cellIs" dxfId="112" priority="19" operator="greaterThanOrEqual">
      <formula>0.03</formula>
    </cfRule>
    <cfRule type="cellIs" dxfId="111" priority="20" operator="lessThanOrEqual">
      <formula>-0.03</formula>
    </cfRule>
  </conditionalFormatting>
  <conditionalFormatting sqref="BN5:BN52 BN54">
    <cfRule type="cellIs" dxfId="110" priority="13" operator="greaterThanOrEqual">
      <formula>0.03</formula>
    </cfRule>
    <cfRule type="cellIs" dxfId="109" priority="14" operator="lessThanOrEqual">
      <formula>-0.03</formula>
    </cfRule>
  </conditionalFormatting>
  <conditionalFormatting sqref="BT5:BT52">
    <cfRule type="cellIs" dxfId="108" priority="5" operator="greaterThanOrEqual">
      <formula>0.001</formula>
    </cfRule>
    <cfRule type="cellIs" dxfId="107" priority="6" operator="lessThanOrEqual">
      <formula>-0.001</formula>
    </cfRule>
  </conditionalFormatting>
  <conditionalFormatting sqref="AG100:AQ104">
    <cfRule type="cellIs" dxfId="106" priority="3" operator="lessThan">
      <formula>0</formula>
    </cfRule>
    <cfRule type="cellIs" dxfId="105" priority="4" operator="greaterThan">
      <formula>0</formula>
    </cfRule>
  </conditionalFormatting>
  <conditionalFormatting sqref="AR100:AV104">
    <cfRule type="cellIs" dxfId="104" priority="1" operator="lessThan">
      <formula>0</formula>
    </cfRule>
    <cfRule type="cellIs" dxfId="103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98"/>
  <sheetViews>
    <sheetView zoomScale="80" zoomScaleNormal="80" workbookViewId="0">
      <pane xSplit="2" ySplit="4" topLeftCell="C8" activePane="bottomRight" state="frozen"/>
      <selection pane="topRight" activeCell="C1" sqref="C1"/>
      <selection pane="bottomLeft" activeCell="A5" sqref="A5"/>
      <selection pane="bottomRight" activeCell="AU17" sqref="AU17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5" t="s">
        <v>367</v>
      </c>
      <c r="B1" s="113"/>
      <c r="C1" s="113"/>
      <c r="D1" s="113"/>
      <c r="E1" s="113"/>
      <c r="F1" s="113"/>
      <c r="G1" s="113"/>
      <c r="H1" s="113"/>
      <c r="J1" s="121" t="s">
        <v>441</v>
      </c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E1" s="122">
        <f>Summary!C2</f>
        <v>0</v>
      </c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</row>
    <row r="2" spans="1:72" ht="33" customHeight="1" thickBot="1" x14ac:dyDescent="0.2">
      <c r="A2" s="124" t="s">
        <v>149</v>
      </c>
      <c r="B2" s="123" t="s">
        <v>150</v>
      </c>
      <c r="C2" s="124" t="s">
        <v>333</v>
      </c>
      <c r="D2" s="123" t="s">
        <v>151</v>
      </c>
      <c r="E2" s="124" t="s">
        <v>152</v>
      </c>
      <c r="F2" s="123" t="s">
        <v>153</v>
      </c>
      <c r="G2" s="124" t="s">
        <v>154</v>
      </c>
      <c r="H2" s="123" t="s">
        <v>334</v>
      </c>
      <c r="J2" s="124" t="s">
        <v>127</v>
      </c>
      <c r="K2" s="123" t="s">
        <v>131</v>
      </c>
      <c r="L2" s="129" t="s">
        <v>120</v>
      </c>
      <c r="M2" s="123" t="s">
        <v>368</v>
      </c>
      <c r="N2" s="124" t="s">
        <v>81</v>
      </c>
      <c r="O2" s="123" t="s">
        <v>120</v>
      </c>
      <c r="P2" s="127" t="s">
        <v>419</v>
      </c>
      <c r="Q2" s="127" t="s">
        <v>420</v>
      </c>
      <c r="R2" s="127" t="s">
        <v>421</v>
      </c>
      <c r="S2" s="127" t="s">
        <v>422</v>
      </c>
      <c r="T2" s="127" t="s">
        <v>423</v>
      </c>
      <c r="U2" s="126" t="s">
        <v>335</v>
      </c>
      <c r="V2" s="113"/>
      <c r="W2" s="113"/>
      <c r="X2" s="113"/>
      <c r="Y2" s="113"/>
      <c r="Z2" s="127" t="s">
        <v>336</v>
      </c>
      <c r="AA2" s="113"/>
      <c r="AB2" s="124" t="s">
        <v>122</v>
      </c>
      <c r="AC2" s="123" t="s">
        <v>102</v>
      </c>
      <c r="AE2" s="124" t="s">
        <v>127</v>
      </c>
      <c r="AF2" s="123" t="s">
        <v>131</v>
      </c>
      <c r="AG2" s="129" t="s">
        <v>120</v>
      </c>
      <c r="AH2" s="123" t="s">
        <v>368</v>
      </c>
      <c r="AI2" s="124" t="s">
        <v>81</v>
      </c>
      <c r="AJ2" s="123" t="s">
        <v>120</v>
      </c>
      <c r="AK2" s="127" t="s">
        <v>419</v>
      </c>
      <c r="AL2" s="127" t="s">
        <v>420</v>
      </c>
      <c r="AM2" s="127" t="s">
        <v>421</v>
      </c>
      <c r="AN2" s="127" t="s">
        <v>422</v>
      </c>
      <c r="AO2" s="127" t="s">
        <v>423</v>
      </c>
      <c r="AP2" s="126" t="s">
        <v>335</v>
      </c>
      <c r="AQ2" s="113"/>
      <c r="AR2" s="113"/>
      <c r="AS2" s="113"/>
      <c r="AT2" s="113"/>
      <c r="AU2" s="127" t="s">
        <v>336</v>
      </c>
      <c r="AV2" s="113"/>
      <c r="AW2" s="124" t="s">
        <v>122</v>
      </c>
      <c r="AX2" s="123" t="s">
        <v>102</v>
      </c>
      <c r="AZ2" s="126" t="s">
        <v>15</v>
      </c>
      <c r="BA2" s="113"/>
      <c r="BB2" s="113"/>
      <c r="BC2" s="113"/>
      <c r="BD2" s="113"/>
      <c r="BE2" s="127" t="s">
        <v>16</v>
      </c>
      <c r="BF2" s="113"/>
      <c r="BH2" s="126" t="s">
        <v>409</v>
      </c>
      <c r="BI2" s="126"/>
      <c r="BJ2" s="128" t="s">
        <v>410</v>
      </c>
      <c r="BK2" s="128"/>
      <c r="BL2" s="128"/>
      <c r="BM2" s="124" t="s">
        <v>411</v>
      </c>
      <c r="BN2" s="123" t="s">
        <v>412</v>
      </c>
      <c r="BP2" s="124" t="s">
        <v>414</v>
      </c>
      <c r="BQ2" s="124" t="s">
        <v>415</v>
      </c>
      <c r="BR2" s="124" t="s">
        <v>417</v>
      </c>
      <c r="BS2" s="124" t="s">
        <v>416</v>
      </c>
      <c r="BT2" s="124" t="s">
        <v>418</v>
      </c>
    </row>
    <row r="3" spans="1:72" ht="33" customHeight="1" thickBot="1" x14ac:dyDescent="0.2">
      <c r="A3" s="115"/>
      <c r="B3" s="115"/>
      <c r="C3" s="115"/>
      <c r="D3" s="115"/>
      <c r="E3" s="115"/>
      <c r="F3" s="115"/>
      <c r="G3" s="115"/>
      <c r="H3" s="115"/>
      <c r="J3" s="115"/>
      <c r="K3" s="115"/>
      <c r="L3" s="130"/>
      <c r="M3" s="115"/>
      <c r="N3" s="115"/>
      <c r="O3" s="115"/>
      <c r="P3" s="123"/>
      <c r="Q3" s="123"/>
      <c r="R3" s="123"/>
      <c r="S3" s="123"/>
      <c r="T3" s="123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5"/>
      <c r="AC3" s="115"/>
      <c r="AE3" s="115"/>
      <c r="AF3" s="115"/>
      <c r="AG3" s="130"/>
      <c r="AH3" s="115"/>
      <c r="AI3" s="115"/>
      <c r="AJ3" s="115"/>
      <c r="AK3" s="123"/>
      <c r="AL3" s="123"/>
      <c r="AM3" s="123"/>
      <c r="AN3" s="123"/>
      <c r="AO3" s="123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5"/>
      <c r="AX3" s="115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3"/>
      <c r="BP3" s="115"/>
      <c r="BQ3" s="115"/>
      <c r="BR3" s="115"/>
      <c r="BS3" s="115"/>
      <c r="BT3" s="115"/>
    </row>
    <row r="4" spans="1:72" ht="54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32</v>
      </c>
      <c r="G5" s="19">
        <v>30</v>
      </c>
      <c r="H5" s="19">
        <v>4</v>
      </c>
      <c r="J5" s="20">
        <f t="shared" ref="J5:J44" si="0">IF(OR(ISBLANK(O5),ISBLANK(G5)),"·",O5*G5/F5/1000000)</f>
        <v>3.9594225000000001</v>
      </c>
      <c r="K5" s="21">
        <f t="shared" ref="K5:K44" si="1">IF(ISBLANK(O5),"·",O5/D5)</f>
        <v>0.35202376506988159</v>
      </c>
      <c r="L5" s="19">
        <f t="shared" ref="L5:L44" si="2">IF(OR(ISBLANK(M5),ISBLANK(S5),ISBLANK(T5)),".",M5+S5+T5)</f>
        <v>4223384</v>
      </c>
      <c r="M5" s="19">
        <f t="shared" ref="M5:M44" si="3">IF(OR(ISBLANK(Q5),ISBLANK(P5),ISBLANK(R5)),".",P5+Q5+R5)</f>
        <v>1365952</v>
      </c>
      <c r="N5" s="44">
        <v>2415872</v>
      </c>
      <c r="O5" s="22">
        <v>4223384</v>
      </c>
      <c r="P5" s="22">
        <v>801768</v>
      </c>
      <c r="Q5" s="22">
        <v>0</v>
      </c>
      <c r="R5" s="22">
        <v>564184</v>
      </c>
      <c r="S5" s="22">
        <v>2842200</v>
      </c>
      <c r="T5" s="22">
        <v>15232</v>
      </c>
      <c r="U5" s="45">
        <v>69.118031999999999</v>
      </c>
      <c r="V5" s="45">
        <v>70.241258900000005</v>
      </c>
      <c r="W5" s="45">
        <v>27.939602000000001</v>
      </c>
      <c r="X5" s="45">
        <v>33.606277200000001</v>
      </c>
      <c r="Y5" s="45">
        <v>32.999940299999999</v>
      </c>
      <c r="Z5" s="45">
        <v>49.536323500000002</v>
      </c>
      <c r="AA5" s="45">
        <v>26.905479400000001</v>
      </c>
      <c r="AB5" s="23">
        <v>1235.8867230000001</v>
      </c>
      <c r="AC5" s="23">
        <v>5.1357660000000003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32</v>
      </c>
      <c r="G6" s="35">
        <v>30</v>
      </c>
      <c r="H6" s="35">
        <v>8</v>
      </c>
      <c r="J6" s="36">
        <f t="shared" si="0"/>
        <v>8.0627250000000004</v>
      </c>
      <c r="K6" s="37">
        <f t="shared" si="1"/>
        <v>0.71683959244638862</v>
      </c>
      <c r="L6" s="35">
        <f t="shared" si="2"/>
        <v>8600240</v>
      </c>
      <c r="M6" s="35">
        <f t="shared" si="3"/>
        <v>1788088</v>
      </c>
      <c r="N6" s="46">
        <v>2415872</v>
      </c>
      <c r="O6" s="38">
        <v>8600240</v>
      </c>
      <c r="P6" s="38">
        <v>801768</v>
      </c>
      <c r="Q6" s="38">
        <v>0</v>
      </c>
      <c r="R6" s="38">
        <v>986320</v>
      </c>
      <c r="S6" s="38">
        <v>6797696</v>
      </c>
      <c r="T6" s="38">
        <v>14456</v>
      </c>
      <c r="U6" s="47">
        <v>70.908781200000007</v>
      </c>
      <c r="V6" s="47">
        <v>72.272037999999995</v>
      </c>
      <c r="W6" s="47">
        <v>31.219122200000001</v>
      </c>
      <c r="X6" s="47">
        <v>34.789686000000003</v>
      </c>
      <c r="Y6" s="47">
        <v>34.317813299999997</v>
      </c>
      <c r="Z6" s="47">
        <v>50.367261399999997</v>
      </c>
      <c r="AA6" s="47">
        <v>29.166452199999998</v>
      </c>
      <c r="AB6" s="39">
        <v>1448.161576</v>
      </c>
      <c r="AC6" s="39">
        <v>5.6083369999999997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32</v>
      </c>
      <c r="G7" s="19">
        <v>30</v>
      </c>
      <c r="H7" s="19">
        <v>11</v>
      </c>
      <c r="J7" s="20">
        <f t="shared" si="0"/>
        <v>11.0417475</v>
      </c>
      <c r="K7" s="21">
        <f t="shared" si="1"/>
        <v>0.98169809559372667</v>
      </c>
      <c r="L7" s="19">
        <f t="shared" si="2"/>
        <v>11777864</v>
      </c>
      <c r="M7" s="19">
        <f t="shared" si="3"/>
        <v>2228192</v>
      </c>
      <c r="N7" s="44">
        <v>4871680</v>
      </c>
      <c r="O7" s="22">
        <v>11777864</v>
      </c>
      <c r="P7" s="22">
        <v>1272288</v>
      </c>
      <c r="Q7" s="22">
        <v>0</v>
      </c>
      <c r="R7" s="22">
        <v>955904</v>
      </c>
      <c r="S7" s="22">
        <v>9534904</v>
      </c>
      <c r="T7" s="22">
        <v>14768</v>
      </c>
      <c r="U7" s="45">
        <v>72.687243499999994</v>
      </c>
      <c r="V7" s="45">
        <v>74.317054600000006</v>
      </c>
      <c r="W7" s="45">
        <v>32.348902799999998</v>
      </c>
      <c r="X7" s="45">
        <v>36.463350400000003</v>
      </c>
      <c r="Y7" s="45">
        <v>36.198778799999999</v>
      </c>
      <c r="Z7" s="45">
        <v>51.509394100000002</v>
      </c>
      <c r="AA7" s="45">
        <v>30.524049399999999</v>
      </c>
      <c r="AB7" s="23">
        <v>3737.2020819999998</v>
      </c>
      <c r="AC7" s="23">
        <v>26.399799000000002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32</v>
      </c>
      <c r="G8" s="35">
        <v>30</v>
      </c>
      <c r="H8" s="35">
        <v>14</v>
      </c>
      <c r="J8" s="36">
        <f t="shared" si="0"/>
        <v>14.124795000000001</v>
      </c>
      <c r="K8" s="37">
        <f t="shared" si="1"/>
        <v>1.2558052384508696</v>
      </c>
      <c r="L8" s="35">
        <f t="shared" si="2"/>
        <v>15066448</v>
      </c>
      <c r="M8" s="35">
        <f t="shared" si="3"/>
        <v>2899152</v>
      </c>
      <c r="N8" s="46">
        <v>9785664</v>
      </c>
      <c r="O8" s="38">
        <v>15066448</v>
      </c>
      <c r="P8" s="38">
        <v>2103056</v>
      </c>
      <c r="Q8" s="38">
        <v>0</v>
      </c>
      <c r="R8" s="38">
        <v>796096</v>
      </c>
      <c r="S8" s="38">
        <v>12152088</v>
      </c>
      <c r="T8" s="38">
        <v>15208</v>
      </c>
      <c r="U8" s="47">
        <v>73.512515500000006</v>
      </c>
      <c r="V8" s="47">
        <v>75.266670000000005</v>
      </c>
      <c r="W8" s="47">
        <v>33.362723799999998</v>
      </c>
      <c r="X8" s="47">
        <v>37.057130100000002</v>
      </c>
      <c r="Y8" s="47">
        <v>36.801561599999999</v>
      </c>
      <c r="Z8" s="47">
        <v>52.092208200000002</v>
      </c>
      <c r="AA8" s="47">
        <v>31.317619799999999</v>
      </c>
      <c r="AB8" s="39">
        <v>4460.7846529999997</v>
      </c>
      <c r="AC8" s="39">
        <v>28.824096000000001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32</v>
      </c>
      <c r="G9" s="49">
        <v>30</v>
      </c>
      <c r="H9" s="49">
        <v>21</v>
      </c>
      <c r="J9" s="51">
        <f t="shared" si="0"/>
        <v>21.2740875</v>
      </c>
      <c r="K9" s="52">
        <f t="shared" si="1"/>
        <v>1.8914335058145737</v>
      </c>
      <c r="L9" s="49">
        <f t="shared" si="2"/>
        <v>22692360</v>
      </c>
      <c r="M9" s="49">
        <f t="shared" si="3"/>
        <v>3584720</v>
      </c>
      <c r="N9" s="53">
        <v>9785664</v>
      </c>
      <c r="O9" s="54">
        <v>22692360</v>
      </c>
      <c r="P9" s="54">
        <v>2103056</v>
      </c>
      <c r="Q9" s="54">
        <v>0</v>
      </c>
      <c r="R9" s="54">
        <v>1481664</v>
      </c>
      <c r="S9" s="54">
        <v>19093344</v>
      </c>
      <c r="T9" s="54">
        <v>14296</v>
      </c>
      <c r="U9" s="55">
        <v>75.160451699999996</v>
      </c>
      <c r="V9" s="55">
        <v>77.230928199999994</v>
      </c>
      <c r="W9" s="55">
        <v>34.990750400000003</v>
      </c>
      <c r="X9" s="55">
        <v>38.591933900000001</v>
      </c>
      <c r="Y9" s="55">
        <v>38.312278599999999</v>
      </c>
      <c r="Z9" s="55">
        <v>52.978906799999997</v>
      </c>
      <c r="AA9" s="55">
        <v>32.689686000000002</v>
      </c>
      <c r="AB9" s="56">
        <v>4795.7674349999998</v>
      </c>
      <c r="AC9" s="56">
        <v>35.010489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32</v>
      </c>
      <c r="G10" s="35">
        <v>30</v>
      </c>
      <c r="H10" s="35">
        <v>4</v>
      </c>
      <c r="J10" s="36">
        <f t="shared" si="0"/>
        <v>3.2068724999999998</v>
      </c>
      <c r="K10" s="37">
        <f t="shared" si="1"/>
        <v>0.38007377777777779</v>
      </c>
      <c r="L10" s="35">
        <f t="shared" si="2"/>
        <v>3420664</v>
      </c>
      <c r="M10" s="35">
        <f t="shared" si="3"/>
        <v>1345488</v>
      </c>
      <c r="N10" s="46">
        <v>1032192</v>
      </c>
      <c r="O10" s="38">
        <v>3420664</v>
      </c>
      <c r="P10" s="38">
        <v>45008</v>
      </c>
      <c r="Q10" s="38">
        <v>124912</v>
      </c>
      <c r="R10" s="38">
        <v>1175568</v>
      </c>
      <c r="S10" s="38">
        <v>2062912</v>
      </c>
      <c r="T10" s="38">
        <v>12264</v>
      </c>
      <c r="U10" s="47">
        <v>69.0763046</v>
      </c>
      <c r="V10" s="47">
        <v>70.265979599999994</v>
      </c>
      <c r="W10" s="47">
        <v>36.075364</v>
      </c>
      <c r="X10" s="47">
        <v>46.4796634</v>
      </c>
      <c r="Y10" s="47">
        <v>46.931343699999999</v>
      </c>
      <c r="Z10" s="47">
        <v>46.573915999999997</v>
      </c>
      <c r="AA10" s="47">
        <v>32.663907199999997</v>
      </c>
      <c r="AB10" s="39">
        <v>3667.9730060000002</v>
      </c>
      <c r="AC10" s="39">
        <v>18.447906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32</v>
      </c>
      <c r="G11" s="19">
        <v>30</v>
      </c>
      <c r="H11" s="19">
        <v>8</v>
      </c>
      <c r="J11" s="20">
        <f t="shared" si="0"/>
        <v>6.6028799999999999</v>
      </c>
      <c r="K11" s="21">
        <f t="shared" si="1"/>
        <v>0.78256355555555557</v>
      </c>
      <c r="L11" s="19">
        <f t="shared" si="2"/>
        <v>7043072</v>
      </c>
      <c r="M11" s="19">
        <f t="shared" si="3"/>
        <v>2757872</v>
      </c>
      <c r="N11" s="44">
        <v>2030368</v>
      </c>
      <c r="O11" s="22">
        <v>7043072</v>
      </c>
      <c r="P11" s="22">
        <v>299656</v>
      </c>
      <c r="Q11" s="22">
        <v>182720</v>
      </c>
      <c r="R11" s="22">
        <v>2275496</v>
      </c>
      <c r="S11" s="22">
        <v>4272792</v>
      </c>
      <c r="T11" s="22">
        <v>12408</v>
      </c>
      <c r="U11" s="45">
        <v>72.432656100000003</v>
      </c>
      <c r="V11" s="45">
        <v>74.041775200000004</v>
      </c>
      <c r="W11" s="45">
        <v>37.284415799999998</v>
      </c>
      <c r="X11" s="45">
        <v>47.049411300000003</v>
      </c>
      <c r="Y11" s="45">
        <v>47.647751800000002</v>
      </c>
      <c r="Z11" s="45">
        <v>48.480654700000002</v>
      </c>
      <c r="AA11" s="45">
        <v>34.640821600000002</v>
      </c>
      <c r="AB11" s="23">
        <v>4135.9906149999997</v>
      </c>
      <c r="AC11" s="23">
        <v>15.133402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32</v>
      </c>
      <c r="G12" s="35">
        <v>30</v>
      </c>
      <c r="H12" s="35">
        <v>11</v>
      </c>
      <c r="J12" s="36">
        <f t="shared" si="0"/>
        <v>9.0829199999999997</v>
      </c>
      <c r="K12" s="37">
        <f t="shared" si="1"/>
        <v>1.0764942222222222</v>
      </c>
      <c r="L12" s="35">
        <f t="shared" si="2"/>
        <v>9688448</v>
      </c>
      <c r="M12" s="35">
        <f t="shared" si="3"/>
        <v>3251760</v>
      </c>
      <c r="N12" s="46">
        <v>2236080</v>
      </c>
      <c r="O12" s="38">
        <v>9688448</v>
      </c>
      <c r="P12" s="38">
        <v>400448</v>
      </c>
      <c r="Q12" s="38">
        <v>190944</v>
      </c>
      <c r="R12" s="38">
        <v>2660368</v>
      </c>
      <c r="S12" s="38">
        <v>6424216</v>
      </c>
      <c r="T12" s="38">
        <v>12472</v>
      </c>
      <c r="U12" s="47">
        <v>72.947960800000004</v>
      </c>
      <c r="V12" s="47">
        <v>74.686370999999994</v>
      </c>
      <c r="W12" s="47">
        <v>38.084084699999998</v>
      </c>
      <c r="X12" s="47">
        <v>47.345016399999999</v>
      </c>
      <c r="Y12" s="47">
        <v>48.000573799999998</v>
      </c>
      <c r="Z12" s="47">
        <v>48.859477499999997</v>
      </c>
      <c r="AA12" s="47">
        <v>35.244909999999997</v>
      </c>
      <c r="AB12" s="39">
        <v>5480.7870720000001</v>
      </c>
      <c r="AC12" s="39">
        <v>14.814394999999999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32</v>
      </c>
      <c r="G13" s="19">
        <v>30</v>
      </c>
      <c r="H13" s="19">
        <v>14</v>
      </c>
      <c r="J13" s="20">
        <f t="shared" si="0"/>
        <v>11.70129</v>
      </c>
      <c r="K13" s="21">
        <f t="shared" si="1"/>
        <v>1.3868195555555556</v>
      </c>
      <c r="L13" s="19">
        <f t="shared" si="2"/>
        <v>12481376</v>
      </c>
      <c r="M13" s="19">
        <f t="shared" si="3"/>
        <v>3404472</v>
      </c>
      <c r="N13" s="44">
        <v>2440496</v>
      </c>
      <c r="O13" s="22">
        <v>12481376</v>
      </c>
      <c r="P13" s="22">
        <v>347808</v>
      </c>
      <c r="Q13" s="22">
        <v>220928</v>
      </c>
      <c r="R13" s="22">
        <v>2835736</v>
      </c>
      <c r="S13" s="22">
        <v>9064400</v>
      </c>
      <c r="T13" s="22">
        <v>12504</v>
      </c>
      <c r="U13" s="45">
        <v>73.2603498</v>
      </c>
      <c r="V13" s="45">
        <v>75.047408700000005</v>
      </c>
      <c r="W13" s="45">
        <v>38.886689199999999</v>
      </c>
      <c r="X13" s="45">
        <v>48.086951999999997</v>
      </c>
      <c r="Y13" s="45">
        <v>48.761617700000002</v>
      </c>
      <c r="Z13" s="45">
        <v>49.036002199999999</v>
      </c>
      <c r="AA13" s="45">
        <v>35.761919599999999</v>
      </c>
      <c r="AB13" s="23">
        <v>4768.2132750000001</v>
      </c>
      <c r="AC13" s="23">
        <v>21.989528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32</v>
      </c>
      <c r="G14" s="27">
        <v>30</v>
      </c>
      <c r="H14" s="27">
        <v>21</v>
      </c>
      <c r="J14" s="28">
        <f t="shared" si="0"/>
        <v>19.873455</v>
      </c>
      <c r="K14" s="29">
        <f t="shared" si="1"/>
        <v>2.3553724444444444</v>
      </c>
      <c r="L14" s="27">
        <f t="shared" si="2"/>
        <v>21198352</v>
      </c>
      <c r="M14" s="27">
        <f t="shared" si="3"/>
        <v>5888040</v>
      </c>
      <c r="N14" s="58">
        <v>3769536</v>
      </c>
      <c r="O14" s="30">
        <v>21198352</v>
      </c>
      <c r="P14" s="30">
        <v>1703224</v>
      </c>
      <c r="Q14" s="30">
        <v>189864</v>
      </c>
      <c r="R14" s="30">
        <v>3994952</v>
      </c>
      <c r="S14" s="30">
        <v>15297592</v>
      </c>
      <c r="T14" s="30">
        <v>12720</v>
      </c>
      <c r="U14" s="59">
        <v>75.356621899999993</v>
      </c>
      <c r="V14" s="59">
        <v>77.610834999999994</v>
      </c>
      <c r="W14" s="59">
        <v>39.404401200000002</v>
      </c>
      <c r="X14" s="59">
        <v>48.390785200000003</v>
      </c>
      <c r="Y14" s="59">
        <v>49.081712099999997</v>
      </c>
      <c r="Z14" s="59">
        <v>50.269220500000003</v>
      </c>
      <c r="AA14" s="59">
        <v>36.747716500000003</v>
      </c>
      <c r="AB14" s="31">
        <v>7619.6233160000002</v>
      </c>
      <c r="AC14" s="31">
        <v>21.206469999999999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32</v>
      </c>
      <c r="G15" s="19">
        <v>30</v>
      </c>
      <c r="H15" s="19">
        <v>3</v>
      </c>
      <c r="J15" s="20">
        <f t="shared" si="0"/>
        <v>2.8914525000000002</v>
      </c>
      <c r="K15" s="21">
        <f t="shared" si="1"/>
        <v>0.2604471777660568</v>
      </c>
      <c r="L15" s="19">
        <f t="shared" si="2"/>
        <v>3084216</v>
      </c>
      <c r="M15" s="19">
        <f t="shared" si="3"/>
        <v>1138952</v>
      </c>
      <c r="N15" s="44">
        <v>2419456</v>
      </c>
      <c r="O15" s="22">
        <v>3084216</v>
      </c>
      <c r="P15" s="22">
        <v>685264</v>
      </c>
      <c r="Q15" s="22">
        <v>0</v>
      </c>
      <c r="R15" s="22">
        <v>453688</v>
      </c>
      <c r="S15" s="22">
        <v>1930168</v>
      </c>
      <c r="T15" s="22">
        <v>15096</v>
      </c>
      <c r="U15" s="45">
        <v>71.784670500000004</v>
      </c>
      <c r="V15" s="45">
        <v>73.073559700000004</v>
      </c>
      <c r="W15" s="45">
        <v>35.614642799999999</v>
      </c>
      <c r="X15" s="45">
        <v>43.401773800000001</v>
      </c>
      <c r="Y15" s="45">
        <v>45.002072599999998</v>
      </c>
      <c r="Z15" s="45">
        <v>45.695622800000002</v>
      </c>
      <c r="AA15" s="45">
        <v>32.420198300000003</v>
      </c>
      <c r="AB15" s="23">
        <v>2896.1699410000001</v>
      </c>
      <c r="AC15" s="23">
        <v>16.528983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32</v>
      </c>
      <c r="G16" s="35">
        <v>30</v>
      </c>
      <c r="H16" s="35">
        <v>5</v>
      </c>
      <c r="J16" s="36">
        <f t="shared" si="0"/>
        <v>4.8067275</v>
      </c>
      <c r="K16" s="37">
        <f t="shared" si="1"/>
        <v>0.43296530434634278</v>
      </c>
      <c r="L16" s="35">
        <f t="shared" si="2"/>
        <v>5127176</v>
      </c>
      <c r="M16" s="35">
        <f t="shared" si="3"/>
        <v>1434080</v>
      </c>
      <c r="N16" s="46">
        <v>2419456</v>
      </c>
      <c r="O16" s="38">
        <v>5127176</v>
      </c>
      <c r="P16" s="38">
        <v>746872</v>
      </c>
      <c r="Q16" s="38">
        <v>0</v>
      </c>
      <c r="R16" s="38">
        <v>687208</v>
      </c>
      <c r="S16" s="38">
        <v>3677704</v>
      </c>
      <c r="T16" s="38">
        <v>15392</v>
      </c>
      <c r="U16" s="47">
        <v>73.557611600000001</v>
      </c>
      <c r="V16" s="47">
        <v>75.037586099999999</v>
      </c>
      <c r="W16" s="47">
        <v>38.389620200000003</v>
      </c>
      <c r="X16" s="47">
        <v>44.0514881</v>
      </c>
      <c r="Y16" s="47">
        <v>46.237601900000001</v>
      </c>
      <c r="Z16" s="47">
        <v>46.4383658</v>
      </c>
      <c r="AA16" s="47">
        <v>34.080604999999998</v>
      </c>
      <c r="AB16" s="39">
        <v>3073.496095</v>
      </c>
      <c r="AC16" s="39">
        <v>17.309041000000001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32</v>
      </c>
      <c r="G17" s="19">
        <v>30</v>
      </c>
      <c r="H17" s="19">
        <v>10</v>
      </c>
      <c r="J17" s="20">
        <f t="shared" si="0"/>
        <v>9.5441099999999999</v>
      </c>
      <c r="K17" s="21">
        <f t="shared" si="1"/>
        <v>0.85968436755879618</v>
      </c>
      <c r="L17" s="19">
        <f t="shared" si="2"/>
        <v>10180384</v>
      </c>
      <c r="M17" s="19">
        <f t="shared" si="3"/>
        <v>2764576</v>
      </c>
      <c r="N17" s="44">
        <v>4841472</v>
      </c>
      <c r="O17" s="22">
        <v>10180384</v>
      </c>
      <c r="P17" s="22">
        <v>1251016</v>
      </c>
      <c r="Q17" s="22">
        <v>0</v>
      </c>
      <c r="R17" s="22">
        <v>1513560</v>
      </c>
      <c r="S17" s="22">
        <v>7400544</v>
      </c>
      <c r="T17" s="22">
        <v>15264</v>
      </c>
      <c r="U17" s="45">
        <v>78.264783899999998</v>
      </c>
      <c r="V17" s="45">
        <v>80.584249700000001</v>
      </c>
      <c r="W17" s="45">
        <v>41.028724599999997</v>
      </c>
      <c r="X17" s="45">
        <v>44.960997499999998</v>
      </c>
      <c r="Y17" s="45">
        <v>48.047261200000001</v>
      </c>
      <c r="Z17" s="45">
        <v>48.813600000000001</v>
      </c>
      <c r="AA17" s="45">
        <v>37.272457099999997</v>
      </c>
      <c r="AB17" s="23">
        <v>2979.1691289999999</v>
      </c>
      <c r="AC17" s="23">
        <v>18.994192000000002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32</v>
      </c>
      <c r="G18" s="35">
        <v>30</v>
      </c>
      <c r="H18" s="35">
        <v>14</v>
      </c>
      <c r="J18" s="36">
        <f t="shared" si="0"/>
        <v>13.6432725</v>
      </c>
      <c r="K18" s="37">
        <f t="shared" si="1"/>
        <v>1.2289158539240239</v>
      </c>
      <c r="L18" s="35">
        <f t="shared" si="2"/>
        <v>14552824</v>
      </c>
      <c r="M18" s="35">
        <f t="shared" si="3"/>
        <v>3791808</v>
      </c>
      <c r="N18" s="46">
        <v>9684544</v>
      </c>
      <c r="O18" s="38">
        <v>14552824</v>
      </c>
      <c r="P18" s="38">
        <v>2165032</v>
      </c>
      <c r="Q18" s="38">
        <v>0</v>
      </c>
      <c r="R18" s="38">
        <v>1626776</v>
      </c>
      <c r="S18" s="38">
        <v>10745880</v>
      </c>
      <c r="T18" s="38">
        <v>15136</v>
      </c>
      <c r="U18" s="47">
        <v>79.558201800000006</v>
      </c>
      <c r="V18" s="47">
        <v>82.306608900000001</v>
      </c>
      <c r="W18" s="47">
        <v>41.9565141</v>
      </c>
      <c r="X18" s="47">
        <v>45.657362499999998</v>
      </c>
      <c r="Y18" s="47">
        <v>49.207970299999999</v>
      </c>
      <c r="Z18" s="47">
        <v>49.7686615</v>
      </c>
      <c r="AA18" s="47">
        <v>38.3577716</v>
      </c>
      <c r="AB18" s="39">
        <v>4249.9591369999998</v>
      </c>
      <c r="AC18" s="39">
        <v>34.006576000000003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32</v>
      </c>
      <c r="G19" s="49">
        <v>30</v>
      </c>
      <c r="H19" s="49">
        <v>21</v>
      </c>
      <c r="J19" s="51">
        <f t="shared" si="0"/>
        <v>20.518477499999999</v>
      </c>
      <c r="K19" s="52">
        <f t="shared" si="1"/>
        <v>1.848198978517315</v>
      </c>
      <c r="L19" s="49">
        <f t="shared" si="2"/>
        <v>21886376</v>
      </c>
      <c r="M19" s="49">
        <f t="shared" si="3"/>
        <v>4004024</v>
      </c>
      <c r="N19" s="53">
        <v>9684544</v>
      </c>
      <c r="O19" s="54">
        <v>21886376</v>
      </c>
      <c r="P19" s="54">
        <v>2165032</v>
      </c>
      <c r="Q19" s="54">
        <v>0</v>
      </c>
      <c r="R19" s="54">
        <v>1838992</v>
      </c>
      <c r="S19" s="54">
        <v>17867136</v>
      </c>
      <c r="T19" s="54">
        <v>15216</v>
      </c>
      <c r="U19" s="55">
        <v>79.920927300000002</v>
      </c>
      <c r="V19" s="55">
        <v>82.837632400000004</v>
      </c>
      <c r="W19" s="55">
        <v>42.953926899999999</v>
      </c>
      <c r="X19" s="55">
        <v>46.584795300000003</v>
      </c>
      <c r="Y19" s="55">
        <v>50.543902099999997</v>
      </c>
      <c r="Z19" s="55">
        <v>49.938614399999999</v>
      </c>
      <c r="AA19" s="55">
        <v>38.912806699999997</v>
      </c>
      <c r="AB19" s="56">
        <v>4587.8933479999996</v>
      </c>
      <c r="AC19" s="56">
        <v>31.907042000000001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32</v>
      </c>
      <c r="G20" s="35">
        <v>30</v>
      </c>
      <c r="H20" s="35">
        <v>3</v>
      </c>
      <c r="J20" s="36">
        <f t="shared" si="0"/>
        <v>2.88951</v>
      </c>
      <c r="K20" s="37">
        <f t="shared" si="1"/>
        <v>0.26093130004935622</v>
      </c>
      <c r="L20" s="35">
        <f t="shared" si="2"/>
        <v>3082144</v>
      </c>
      <c r="M20" s="35">
        <f t="shared" si="3"/>
        <v>1110312</v>
      </c>
      <c r="N20" s="46">
        <v>2417984</v>
      </c>
      <c r="O20" s="38">
        <v>3082144</v>
      </c>
      <c r="P20" s="38">
        <v>661536</v>
      </c>
      <c r="Q20" s="38">
        <v>0</v>
      </c>
      <c r="R20" s="38">
        <v>448776</v>
      </c>
      <c r="S20" s="38">
        <v>1956784</v>
      </c>
      <c r="T20" s="38">
        <v>15048</v>
      </c>
      <c r="U20" s="47">
        <v>71.753850200000002</v>
      </c>
      <c r="V20" s="47">
        <v>73.096716599999993</v>
      </c>
      <c r="W20" s="47">
        <v>34.579822399999998</v>
      </c>
      <c r="X20" s="47">
        <v>42.847336900000002</v>
      </c>
      <c r="Y20" s="47">
        <v>44.076220599999999</v>
      </c>
      <c r="Z20" s="47">
        <v>48.614354900000002</v>
      </c>
      <c r="AA20" s="47">
        <v>31.528650500000001</v>
      </c>
      <c r="AB20" s="39">
        <v>905.20424800000001</v>
      </c>
      <c r="AC20" s="39">
        <v>6.4715980000000002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32</v>
      </c>
      <c r="G21" s="19">
        <v>30</v>
      </c>
      <c r="H21" s="19">
        <v>5</v>
      </c>
      <c r="J21" s="20">
        <f t="shared" si="0"/>
        <v>4.9084349999999999</v>
      </c>
      <c r="K21" s="21">
        <f t="shared" si="1"/>
        <v>0.44324619944480614</v>
      </c>
      <c r="L21" s="19">
        <f t="shared" si="2"/>
        <v>5235664</v>
      </c>
      <c r="M21" s="19">
        <f t="shared" si="3"/>
        <v>1219600</v>
      </c>
      <c r="N21" s="44">
        <v>2417984</v>
      </c>
      <c r="O21" s="22">
        <v>5235664</v>
      </c>
      <c r="P21" s="22">
        <v>722648</v>
      </c>
      <c r="Q21" s="22">
        <v>0</v>
      </c>
      <c r="R21" s="22">
        <v>496952</v>
      </c>
      <c r="S21" s="22">
        <v>4000592</v>
      </c>
      <c r="T21" s="22">
        <v>15472</v>
      </c>
      <c r="U21" s="45">
        <v>72.2144531</v>
      </c>
      <c r="V21" s="45">
        <v>73.609995900000001</v>
      </c>
      <c r="W21" s="45">
        <v>37.497583900000002</v>
      </c>
      <c r="X21" s="45">
        <v>44.034629500000001</v>
      </c>
      <c r="Y21" s="45">
        <v>45.978520600000003</v>
      </c>
      <c r="Z21" s="45">
        <v>48.839585200000002</v>
      </c>
      <c r="AA21" s="45">
        <v>32.779473799999998</v>
      </c>
      <c r="AB21" s="23">
        <v>3004.3804030000001</v>
      </c>
      <c r="AC21" s="23">
        <v>19.300416999999999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32</v>
      </c>
      <c r="G22" s="35">
        <v>30</v>
      </c>
      <c r="H22" s="35">
        <v>10</v>
      </c>
      <c r="J22" s="36">
        <f t="shared" si="0"/>
        <v>9.6721125000000008</v>
      </c>
      <c r="K22" s="37">
        <f t="shared" si="1"/>
        <v>0.87342036845300031</v>
      </c>
      <c r="L22" s="35">
        <f t="shared" si="2"/>
        <v>10316920</v>
      </c>
      <c r="M22" s="35">
        <f t="shared" si="3"/>
        <v>2642088</v>
      </c>
      <c r="N22" s="46">
        <v>4836096</v>
      </c>
      <c r="O22" s="38">
        <v>10316920</v>
      </c>
      <c r="P22" s="38">
        <v>1106136</v>
      </c>
      <c r="Q22" s="38">
        <v>0</v>
      </c>
      <c r="R22" s="38">
        <v>1535952</v>
      </c>
      <c r="S22" s="38">
        <v>7659552</v>
      </c>
      <c r="T22" s="38">
        <v>15280</v>
      </c>
      <c r="U22" s="47">
        <v>78.043440200000006</v>
      </c>
      <c r="V22" s="47">
        <v>80.556524400000001</v>
      </c>
      <c r="W22" s="47">
        <v>40.461533799999998</v>
      </c>
      <c r="X22" s="47">
        <v>45.299952699999999</v>
      </c>
      <c r="Y22" s="47">
        <v>48.027716099999999</v>
      </c>
      <c r="Z22" s="47">
        <v>51.847111200000001</v>
      </c>
      <c r="AA22" s="47">
        <v>36.721403600000002</v>
      </c>
      <c r="AB22" s="39">
        <v>3012.3645959999999</v>
      </c>
      <c r="AC22" s="39">
        <v>25.655685999999999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32</v>
      </c>
      <c r="G23" s="19">
        <v>30</v>
      </c>
      <c r="H23" s="19">
        <v>14</v>
      </c>
      <c r="J23" s="20">
        <f t="shared" si="0"/>
        <v>13.5464175</v>
      </c>
      <c r="K23" s="21">
        <f t="shared" si="1"/>
        <v>1.2232815699846513</v>
      </c>
      <c r="L23" s="19">
        <f t="shared" si="2"/>
        <v>14449512</v>
      </c>
      <c r="M23" s="19">
        <f t="shared" si="3"/>
        <v>3737968</v>
      </c>
      <c r="N23" s="44">
        <v>9673280</v>
      </c>
      <c r="O23" s="22">
        <v>14449512</v>
      </c>
      <c r="P23" s="22">
        <v>2348776</v>
      </c>
      <c r="Q23" s="22">
        <v>0</v>
      </c>
      <c r="R23" s="22">
        <v>1389192</v>
      </c>
      <c r="S23" s="22">
        <v>10696016</v>
      </c>
      <c r="T23" s="22">
        <v>15528</v>
      </c>
      <c r="U23" s="45">
        <v>78.929751999999993</v>
      </c>
      <c r="V23" s="45">
        <v>81.765398399999995</v>
      </c>
      <c r="W23" s="45">
        <v>41.461451500000003</v>
      </c>
      <c r="X23" s="45">
        <v>45.816602099999997</v>
      </c>
      <c r="Y23" s="45">
        <v>48.744229799999999</v>
      </c>
      <c r="Z23" s="45">
        <v>52.626201799999997</v>
      </c>
      <c r="AA23" s="45">
        <v>37.638381799999998</v>
      </c>
      <c r="AB23" s="23">
        <v>3542.3793900000001</v>
      </c>
      <c r="AC23" s="23">
        <v>31.538665999999999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32</v>
      </c>
      <c r="G24" s="27">
        <v>30</v>
      </c>
      <c r="H24" s="27">
        <v>21</v>
      </c>
      <c r="J24" s="28">
        <f t="shared" si="0"/>
        <v>20.143732499999999</v>
      </c>
      <c r="K24" s="29">
        <f t="shared" si="1"/>
        <v>1.8190386290656437</v>
      </c>
      <c r="L24" s="27">
        <f t="shared" si="2"/>
        <v>21486648</v>
      </c>
      <c r="M24" s="27">
        <f t="shared" si="3"/>
        <v>3951888</v>
      </c>
      <c r="N24" s="58">
        <v>9673280</v>
      </c>
      <c r="O24" s="30">
        <v>21486648</v>
      </c>
      <c r="P24" s="30">
        <v>2114064</v>
      </c>
      <c r="Q24" s="30">
        <v>0</v>
      </c>
      <c r="R24" s="30">
        <v>1837824</v>
      </c>
      <c r="S24" s="30">
        <v>17519632</v>
      </c>
      <c r="T24" s="30">
        <v>15128</v>
      </c>
      <c r="U24" s="59">
        <v>79.640889000000001</v>
      </c>
      <c r="V24" s="59">
        <v>82.838024599999997</v>
      </c>
      <c r="W24" s="59">
        <v>42.455773600000001</v>
      </c>
      <c r="X24" s="59">
        <v>46.899313100000001</v>
      </c>
      <c r="Y24" s="59">
        <v>50.093077899999997</v>
      </c>
      <c r="Z24" s="59">
        <v>53.019047899999997</v>
      </c>
      <c r="AA24" s="59">
        <v>38.4027271</v>
      </c>
      <c r="AB24" s="31">
        <v>4355.5022429999999</v>
      </c>
      <c r="AC24" s="31">
        <v>30.615812999999999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32</v>
      </c>
      <c r="G25" s="19">
        <v>30</v>
      </c>
      <c r="H25" s="19">
        <v>4</v>
      </c>
      <c r="J25" s="20">
        <f t="shared" si="0"/>
        <v>4.0415999999999999</v>
      </c>
      <c r="K25" s="21">
        <f t="shared" si="1"/>
        <v>0.35925333333333331</v>
      </c>
      <c r="L25" s="19">
        <f t="shared" si="2"/>
        <v>4311040</v>
      </c>
      <c r="M25" s="19">
        <f t="shared" si="3"/>
        <v>1238464</v>
      </c>
      <c r="N25" s="44">
        <v>2455232</v>
      </c>
      <c r="O25" s="22">
        <v>4311040</v>
      </c>
      <c r="P25" s="22">
        <v>678416</v>
      </c>
      <c r="Q25" s="22">
        <v>0</v>
      </c>
      <c r="R25" s="22">
        <v>560048</v>
      </c>
      <c r="S25" s="22">
        <v>3057216</v>
      </c>
      <c r="T25" s="22">
        <v>15360</v>
      </c>
      <c r="U25" s="45">
        <v>74.157655500000004</v>
      </c>
      <c r="V25" s="45">
        <v>76.075621999999996</v>
      </c>
      <c r="W25" s="45">
        <v>31.567978499999999</v>
      </c>
      <c r="X25" s="45">
        <v>40.631747599999997</v>
      </c>
      <c r="Y25" s="45">
        <v>36.946113500000003</v>
      </c>
      <c r="Z25" s="45">
        <v>44.636576699999999</v>
      </c>
      <c r="AA25" s="45">
        <v>28.855127</v>
      </c>
      <c r="AB25" s="23">
        <v>1554.216075</v>
      </c>
      <c r="AC25" s="23">
        <v>8.5043699999999998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32</v>
      </c>
      <c r="G26" s="35">
        <v>30</v>
      </c>
      <c r="H26" s="35">
        <v>8</v>
      </c>
      <c r="J26" s="36">
        <f t="shared" si="0"/>
        <v>7.9235775000000004</v>
      </c>
      <c r="K26" s="37">
        <f t="shared" si="1"/>
        <v>0.704318</v>
      </c>
      <c r="L26" s="35">
        <f t="shared" si="2"/>
        <v>8451816</v>
      </c>
      <c r="M26" s="35">
        <f t="shared" si="3"/>
        <v>1982528</v>
      </c>
      <c r="N26" s="46">
        <v>4912768</v>
      </c>
      <c r="O26" s="38">
        <v>8451816</v>
      </c>
      <c r="P26" s="38">
        <v>1143168</v>
      </c>
      <c r="Q26" s="38">
        <v>0</v>
      </c>
      <c r="R26" s="38">
        <v>839360</v>
      </c>
      <c r="S26" s="38">
        <v>6453648</v>
      </c>
      <c r="T26" s="38">
        <v>15640</v>
      </c>
      <c r="U26" s="47">
        <v>77.1953374</v>
      </c>
      <c r="V26" s="47">
        <v>79.719657900000001</v>
      </c>
      <c r="W26" s="47">
        <v>34.017068199999997</v>
      </c>
      <c r="X26" s="47">
        <v>42.4719464</v>
      </c>
      <c r="Y26" s="47">
        <v>39.830898699999999</v>
      </c>
      <c r="Z26" s="47">
        <v>46.282108000000001</v>
      </c>
      <c r="AA26" s="47">
        <v>31.544606300000002</v>
      </c>
      <c r="AB26" s="39">
        <v>4081.750571</v>
      </c>
      <c r="AC26" s="39">
        <v>23.882037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32</v>
      </c>
      <c r="G27" s="19">
        <v>30</v>
      </c>
      <c r="H27" s="19">
        <v>12</v>
      </c>
      <c r="J27" s="20">
        <f t="shared" si="0"/>
        <v>11.6498025</v>
      </c>
      <c r="K27" s="21">
        <f t="shared" si="1"/>
        <v>1.0355380000000001</v>
      </c>
      <c r="L27" s="19">
        <f t="shared" si="2"/>
        <v>12426456</v>
      </c>
      <c r="M27" s="19">
        <f t="shared" si="3"/>
        <v>2843520</v>
      </c>
      <c r="N27" s="44">
        <v>9827968</v>
      </c>
      <c r="O27" s="22">
        <v>12426456</v>
      </c>
      <c r="P27" s="22">
        <v>2167600</v>
      </c>
      <c r="Q27" s="22">
        <v>0</v>
      </c>
      <c r="R27" s="22">
        <v>675920</v>
      </c>
      <c r="S27" s="22">
        <v>9567576</v>
      </c>
      <c r="T27" s="22">
        <v>15360</v>
      </c>
      <c r="U27" s="45">
        <v>78.8876767</v>
      </c>
      <c r="V27" s="45">
        <v>81.869365099999996</v>
      </c>
      <c r="W27" s="45">
        <v>34.918954900000003</v>
      </c>
      <c r="X27" s="45">
        <v>43.6738529</v>
      </c>
      <c r="Y27" s="45">
        <v>41.621094100000001</v>
      </c>
      <c r="Z27" s="45">
        <v>47.604317899999998</v>
      </c>
      <c r="AA27" s="45">
        <v>32.6911585</v>
      </c>
      <c r="AB27" s="23">
        <v>11723.871524</v>
      </c>
      <c r="AC27" s="23">
        <v>81.609418000000005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32</v>
      </c>
      <c r="G28" s="35">
        <v>30</v>
      </c>
      <c r="H28" s="35">
        <v>17</v>
      </c>
      <c r="J28" s="36">
        <f t="shared" si="0"/>
        <v>16.568055000000001</v>
      </c>
      <c r="K28" s="37">
        <f t="shared" si="1"/>
        <v>1.4727159999999999</v>
      </c>
      <c r="L28" s="35">
        <f t="shared" si="2"/>
        <v>17672592</v>
      </c>
      <c r="M28" s="35">
        <f t="shared" si="3"/>
        <v>4881456</v>
      </c>
      <c r="N28" s="46">
        <v>19659392</v>
      </c>
      <c r="O28" s="38">
        <v>17672592</v>
      </c>
      <c r="P28" s="38">
        <v>4237048</v>
      </c>
      <c r="Q28" s="38">
        <v>0</v>
      </c>
      <c r="R28" s="38">
        <v>644408</v>
      </c>
      <c r="S28" s="38">
        <v>12775736</v>
      </c>
      <c r="T28" s="38">
        <v>15400</v>
      </c>
      <c r="U28" s="47">
        <v>80.641095800000002</v>
      </c>
      <c r="V28" s="47">
        <v>84.398615000000007</v>
      </c>
      <c r="W28" s="47">
        <v>35.663421900000003</v>
      </c>
      <c r="X28" s="47">
        <v>43.984534699999998</v>
      </c>
      <c r="Y28" s="47">
        <v>42.090184499999999</v>
      </c>
      <c r="Z28" s="47">
        <v>49.032390999999997</v>
      </c>
      <c r="AA28" s="47">
        <v>33.902945799999998</v>
      </c>
      <c r="AB28" s="39">
        <v>13026.736403999999</v>
      </c>
      <c r="AC28" s="39">
        <v>95.788313000000002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32</v>
      </c>
      <c r="G29" s="49">
        <v>30</v>
      </c>
      <c r="H29" s="49">
        <v>25</v>
      </c>
      <c r="J29" s="51">
        <f t="shared" si="0"/>
        <v>24.601814999999998</v>
      </c>
      <c r="K29" s="52">
        <f t="shared" si="1"/>
        <v>2.1868280000000002</v>
      </c>
      <c r="L29" s="49">
        <f t="shared" si="2"/>
        <v>26241936</v>
      </c>
      <c r="M29" s="49">
        <f t="shared" si="3"/>
        <v>10040248</v>
      </c>
      <c r="N29" s="53">
        <v>14745456</v>
      </c>
      <c r="O29" s="54">
        <v>26241936</v>
      </c>
      <c r="P29" s="54">
        <v>9155136</v>
      </c>
      <c r="Q29" s="54">
        <v>0</v>
      </c>
      <c r="R29" s="54">
        <v>885112</v>
      </c>
      <c r="S29" s="54">
        <v>16188640</v>
      </c>
      <c r="T29" s="54">
        <v>13048</v>
      </c>
      <c r="U29" s="55">
        <v>85.019511800000004</v>
      </c>
      <c r="V29" s="55">
        <v>90.733210900000003</v>
      </c>
      <c r="W29" s="55">
        <v>36.390691799999999</v>
      </c>
      <c r="X29" s="55">
        <v>44.296756199999997</v>
      </c>
      <c r="Y29" s="55">
        <v>42.525190199999997</v>
      </c>
      <c r="Z29" s="55">
        <v>53.197172000000002</v>
      </c>
      <c r="AA29" s="55">
        <v>35.566122499999999</v>
      </c>
      <c r="AB29" s="56">
        <v>16534.129116</v>
      </c>
      <c r="AC29" s="56">
        <v>66.723821999999998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32</v>
      </c>
      <c r="G30" s="35">
        <v>30</v>
      </c>
      <c r="H30" s="35">
        <v>4</v>
      </c>
      <c r="J30" s="36">
        <f t="shared" si="0"/>
        <v>3.4478624999999998</v>
      </c>
      <c r="K30" s="37">
        <f t="shared" si="1"/>
        <v>0.61319309183223969</v>
      </c>
      <c r="L30" s="35">
        <f t="shared" si="2"/>
        <v>3677720</v>
      </c>
      <c r="M30" s="35">
        <f t="shared" si="3"/>
        <v>962312</v>
      </c>
      <c r="N30" s="46">
        <v>2423936</v>
      </c>
      <c r="O30" s="38">
        <v>3677720</v>
      </c>
      <c r="P30" s="38">
        <v>379192</v>
      </c>
      <c r="Q30" s="38">
        <v>62784</v>
      </c>
      <c r="R30" s="38">
        <v>520336</v>
      </c>
      <c r="S30" s="38">
        <v>2700248</v>
      </c>
      <c r="T30" s="38">
        <v>15160</v>
      </c>
      <c r="U30" s="47">
        <v>74.7672563</v>
      </c>
      <c r="V30" s="47">
        <v>76.558765899999997</v>
      </c>
      <c r="W30" s="47">
        <v>38.751100399999999</v>
      </c>
      <c r="X30" s="47">
        <v>44.557032200000002</v>
      </c>
      <c r="Y30" s="47">
        <v>43.192238099999997</v>
      </c>
      <c r="Z30" s="47">
        <v>47.552963499999997</v>
      </c>
      <c r="AA30" s="47">
        <v>35.382253300000002</v>
      </c>
      <c r="AB30" s="39">
        <v>3165.2641520000002</v>
      </c>
      <c r="AC30" s="39">
        <v>20.563621999999999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32</v>
      </c>
      <c r="G31" s="19">
        <v>30</v>
      </c>
      <c r="H31" s="19">
        <v>8</v>
      </c>
      <c r="J31" s="20">
        <f t="shared" si="0"/>
        <v>7.1940375000000003</v>
      </c>
      <c r="K31" s="21">
        <f t="shared" si="1"/>
        <v>1.2794402611421065</v>
      </c>
      <c r="L31" s="19">
        <f t="shared" si="2"/>
        <v>7673640</v>
      </c>
      <c r="M31" s="19">
        <f t="shared" si="3"/>
        <v>1642704</v>
      </c>
      <c r="N31" s="44">
        <v>1220960</v>
      </c>
      <c r="O31" s="22">
        <v>7673640</v>
      </c>
      <c r="P31" s="22">
        <v>693816</v>
      </c>
      <c r="Q31" s="22">
        <v>87416</v>
      </c>
      <c r="R31" s="22">
        <v>861472</v>
      </c>
      <c r="S31" s="22">
        <v>6017640</v>
      </c>
      <c r="T31" s="22">
        <v>13296</v>
      </c>
      <c r="U31" s="45">
        <v>76.612118499999994</v>
      </c>
      <c r="V31" s="45">
        <v>78.715101099999998</v>
      </c>
      <c r="W31" s="45">
        <v>41.072826300000003</v>
      </c>
      <c r="X31" s="45">
        <v>45.8814998</v>
      </c>
      <c r="Y31" s="45">
        <v>44.720713400000001</v>
      </c>
      <c r="Z31" s="45">
        <v>48.295054</v>
      </c>
      <c r="AA31" s="45">
        <v>36.8449071</v>
      </c>
      <c r="AB31" s="23">
        <v>3429.6099730000001</v>
      </c>
      <c r="AC31" s="23">
        <v>17.670030000000001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32</v>
      </c>
      <c r="G32" s="35">
        <v>30</v>
      </c>
      <c r="H32" s="35">
        <v>12</v>
      </c>
      <c r="J32" s="36">
        <f t="shared" si="0"/>
        <v>11.1268425</v>
      </c>
      <c r="K32" s="37">
        <f t="shared" si="1"/>
        <v>1.9788790750516785</v>
      </c>
      <c r="L32" s="35">
        <f t="shared" si="2"/>
        <v>11868632</v>
      </c>
      <c r="M32" s="35">
        <f t="shared" si="3"/>
        <v>3310200</v>
      </c>
      <c r="N32" s="46">
        <v>4908848</v>
      </c>
      <c r="O32" s="38">
        <v>11868632</v>
      </c>
      <c r="P32" s="38">
        <v>2192992</v>
      </c>
      <c r="Q32" s="38">
        <v>222920</v>
      </c>
      <c r="R32" s="38">
        <v>894288</v>
      </c>
      <c r="S32" s="38">
        <v>8545424</v>
      </c>
      <c r="T32" s="38">
        <v>13008</v>
      </c>
      <c r="U32" s="47">
        <v>80.074134099999995</v>
      </c>
      <c r="V32" s="47">
        <v>83.135640800000004</v>
      </c>
      <c r="W32" s="47">
        <v>42.2471526</v>
      </c>
      <c r="X32" s="47">
        <v>46.660329400000002</v>
      </c>
      <c r="Y32" s="47">
        <v>45.729396100000002</v>
      </c>
      <c r="Z32" s="47">
        <v>50.696914999999997</v>
      </c>
      <c r="AA32" s="47">
        <v>39.144477000000002</v>
      </c>
      <c r="AB32" s="39">
        <v>11288.695054</v>
      </c>
      <c r="AC32" s="39">
        <v>69.141000000000005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32</v>
      </c>
      <c r="G33" s="19">
        <v>30</v>
      </c>
      <c r="H33" s="19">
        <v>17</v>
      </c>
      <c r="J33" s="20">
        <f t="shared" si="0"/>
        <v>15.615667500000001</v>
      </c>
      <c r="K33" s="21">
        <f t="shared" si="1"/>
        <v>2.7772045536471426</v>
      </c>
      <c r="L33" s="19">
        <f t="shared" si="2"/>
        <v>16656712</v>
      </c>
      <c r="M33" s="19">
        <f t="shared" si="3"/>
        <v>4245200</v>
      </c>
      <c r="N33" s="44">
        <v>4908848</v>
      </c>
      <c r="O33" s="22">
        <v>16656712</v>
      </c>
      <c r="P33" s="22">
        <v>2192992</v>
      </c>
      <c r="Q33" s="22">
        <v>222920</v>
      </c>
      <c r="R33" s="22">
        <v>1829288</v>
      </c>
      <c r="S33" s="22">
        <v>12398296</v>
      </c>
      <c r="T33" s="22">
        <v>13216</v>
      </c>
      <c r="U33" s="45">
        <v>81.461074300000007</v>
      </c>
      <c r="V33" s="45">
        <v>85.405360599999995</v>
      </c>
      <c r="W33" s="45">
        <v>43.214677799999997</v>
      </c>
      <c r="X33" s="45">
        <v>47.7194255</v>
      </c>
      <c r="Y33" s="45">
        <v>46.9168667</v>
      </c>
      <c r="Z33" s="45">
        <v>51.746952999999998</v>
      </c>
      <c r="AA33" s="45">
        <v>40.359188199999998</v>
      </c>
      <c r="AB33" s="23">
        <v>12059.863638000001</v>
      </c>
      <c r="AC33" s="23">
        <v>66.353853999999998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32</v>
      </c>
      <c r="G34" s="27">
        <v>30</v>
      </c>
      <c r="H34" s="27">
        <v>25</v>
      </c>
      <c r="J34" s="28">
        <f t="shared" si="0"/>
        <v>21.323722499999999</v>
      </c>
      <c r="K34" s="29">
        <f t="shared" si="1"/>
        <v>3.7923668154248311</v>
      </c>
      <c r="L34" s="27">
        <f t="shared" si="2"/>
        <v>22745304</v>
      </c>
      <c r="M34" s="27">
        <f t="shared" si="3"/>
        <v>6184664</v>
      </c>
      <c r="N34" s="58">
        <v>12284608</v>
      </c>
      <c r="O34" s="30">
        <v>22745304</v>
      </c>
      <c r="P34" s="30">
        <v>4722464</v>
      </c>
      <c r="Q34" s="30">
        <v>1107040</v>
      </c>
      <c r="R34" s="30">
        <v>355160</v>
      </c>
      <c r="S34" s="30">
        <v>16547808</v>
      </c>
      <c r="T34" s="30">
        <v>12832</v>
      </c>
      <c r="U34" s="59">
        <v>84.428205700000007</v>
      </c>
      <c r="V34" s="59">
        <v>89.055407799999998</v>
      </c>
      <c r="W34" s="59">
        <v>44.245697700000001</v>
      </c>
      <c r="X34" s="59">
        <v>48.390090700000002</v>
      </c>
      <c r="Y34" s="59">
        <v>47.698062299999997</v>
      </c>
      <c r="Z34" s="59">
        <v>54.241084800000003</v>
      </c>
      <c r="AA34" s="59">
        <v>42.293211100000001</v>
      </c>
      <c r="AB34" s="31">
        <v>14864.027400000001</v>
      </c>
      <c r="AC34" s="31">
        <v>75.297103000000007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32</v>
      </c>
      <c r="G35" s="19">
        <v>30</v>
      </c>
      <c r="H35" s="19">
        <v>3</v>
      </c>
      <c r="J35" s="20">
        <f t="shared" si="0"/>
        <v>2.8674149999999998</v>
      </c>
      <c r="K35" s="21">
        <f t="shared" si="1"/>
        <v>0.3398417777777778</v>
      </c>
      <c r="L35" s="19">
        <f t="shared" si="2"/>
        <v>3058576</v>
      </c>
      <c r="M35" s="19">
        <f t="shared" si="3"/>
        <v>793472</v>
      </c>
      <c r="N35" s="44">
        <v>3680512</v>
      </c>
      <c r="O35" s="22">
        <v>3058576</v>
      </c>
      <c r="P35" s="22">
        <v>419584</v>
      </c>
      <c r="Q35" s="22">
        <v>69168</v>
      </c>
      <c r="R35" s="22">
        <v>304720</v>
      </c>
      <c r="S35" s="22">
        <v>2249616</v>
      </c>
      <c r="T35" s="22">
        <v>15488</v>
      </c>
      <c r="U35" s="45">
        <v>73.723121399999997</v>
      </c>
      <c r="V35" s="45">
        <v>75.431737600000005</v>
      </c>
      <c r="W35" s="45">
        <v>30.1424907</v>
      </c>
      <c r="X35" s="45">
        <v>38.8135531</v>
      </c>
      <c r="Y35" s="45">
        <v>38.9584677</v>
      </c>
      <c r="Z35" s="45">
        <v>48.826179000000003</v>
      </c>
      <c r="AA35" s="45">
        <v>29.318579199999999</v>
      </c>
      <c r="AB35" s="23">
        <v>7925.5299329999998</v>
      </c>
      <c r="AC35" s="23">
        <v>64.087035999999998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32</v>
      </c>
      <c r="G36" s="35">
        <v>30</v>
      </c>
      <c r="H36" s="35">
        <v>4</v>
      </c>
      <c r="J36" s="36">
        <f t="shared" si="0"/>
        <v>3.8781975000000002</v>
      </c>
      <c r="K36" s="37">
        <f t="shared" si="1"/>
        <v>0.45963822222222223</v>
      </c>
      <c r="L36" s="35">
        <f t="shared" si="2"/>
        <v>4136744</v>
      </c>
      <c r="M36" s="35">
        <f t="shared" si="3"/>
        <v>928848</v>
      </c>
      <c r="N36" s="46">
        <v>7364992</v>
      </c>
      <c r="O36" s="38">
        <v>4136744</v>
      </c>
      <c r="P36" s="38">
        <v>666720</v>
      </c>
      <c r="Q36" s="38">
        <v>132496</v>
      </c>
      <c r="R36" s="38">
        <v>129632</v>
      </c>
      <c r="S36" s="38">
        <v>3192456</v>
      </c>
      <c r="T36" s="38">
        <v>15440</v>
      </c>
      <c r="U36" s="47">
        <v>74.048676599999993</v>
      </c>
      <c r="V36" s="47">
        <v>75.767925700000006</v>
      </c>
      <c r="W36" s="47">
        <v>30.6266319</v>
      </c>
      <c r="X36" s="47">
        <v>38.9507902</v>
      </c>
      <c r="Y36" s="47">
        <v>39.078558299999997</v>
      </c>
      <c r="Z36" s="47">
        <v>49.115073899999999</v>
      </c>
      <c r="AA36" s="47">
        <v>29.669046699999999</v>
      </c>
      <c r="AB36" s="39">
        <v>8775.1909620000006</v>
      </c>
      <c r="AC36" s="39">
        <v>71.457057000000006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32</v>
      </c>
      <c r="G37" s="19">
        <v>30</v>
      </c>
      <c r="H37" s="19">
        <v>6</v>
      </c>
      <c r="J37" s="20">
        <f t="shared" si="0"/>
        <v>5.7512175000000001</v>
      </c>
      <c r="K37" s="21">
        <f t="shared" si="1"/>
        <v>0.68162577777777777</v>
      </c>
      <c r="L37" s="19">
        <f t="shared" si="2"/>
        <v>6134632</v>
      </c>
      <c r="M37" s="19">
        <f t="shared" si="3"/>
        <v>1238456</v>
      </c>
      <c r="N37" s="44">
        <v>7364992</v>
      </c>
      <c r="O37" s="22">
        <v>6134632</v>
      </c>
      <c r="P37" s="22">
        <v>666720</v>
      </c>
      <c r="Q37" s="22">
        <v>132496</v>
      </c>
      <c r="R37" s="22">
        <v>439240</v>
      </c>
      <c r="S37" s="22">
        <v>4880520</v>
      </c>
      <c r="T37" s="22">
        <v>15656</v>
      </c>
      <c r="U37" s="45">
        <v>76.793003600000006</v>
      </c>
      <c r="V37" s="45">
        <v>78.964326700000001</v>
      </c>
      <c r="W37" s="45">
        <v>31.257937999999999</v>
      </c>
      <c r="X37" s="45">
        <v>39.027519099999999</v>
      </c>
      <c r="Y37" s="45">
        <v>39.217070800000002</v>
      </c>
      <c r="Z37" s="45">
        <v>50.6566744</v>
      </c>
      <c r="AA37" s="45">
        <v>30.444259899999999</v>
      </c>
      <c r="AB37" s="23">
        <v>8587.0590589999993</v>
      </c>
      <c r="AC37" s="23">
        <v>69.630955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32</v>
      </c>
      <c r="G38" s="35">
        <v>30</v>
      </c>
      <c r="H38" s="35">
        <v>8</v>
      </c>
      <c r="J38" s="36">
        <f t="shared" si="0"/>
        <v>7.6833749999999998</v>
      </c>
      <c r="K38" s="37">
        <f t="shared" si="1"/>
        <v>0.91062222222222222</v>
      </c>
      <c r="L38" s="35">
        <f t="shared" si="2"/>
        <v>8195600</v>
      </c>
      <c r="M38" s="35">
        <f t="shared" si="3"/>
        <v>2024904</v>
      </c>
      <c r="N38" s="46">
        <v>14733568</v>
      </c>
      <c r="O38" s="38">
        <v>8195600</v>
      </c>
      <c r="P38" s="38">
        <v>1300408</v>
      </c>
      <c r="Q38" s="38">
        <v>316728</v>
      </c>
      <c r="R38" s="38">
        <v>407768</v>
      </c>
      <c r="S38" s="38">
        <v>6155176</v>
      </c>
      <c r="T38" s="38">
        <v>15520</v>
      </c>
      <c r="U38" s="47">
        <v>79.392299800000004</v>
      </c>
      <c r="V38" s="47">
        <v>82.223501999999996</v>
      </c>
      <c r="W38" s="47">
        <v>31.682774899999998</v>
      </c>
      <c r="X38" s="47">
        <v>39.1103807</v>
      </c>
      <c r="Y38" s="47">
        <v>39.381171700000003</v>
      </c>
      <c r="Z38" s="47">
        <v>52.061653399999997</v>
      </c>
      <c r="AA38" s="47">
        <v>31.038940700000001</v>
      </c>
      <c r="AB38" s="39">
        <v>10055.987627</v>
      </c>
      <c r="AC38" s="39">
        <v>79.111282000000003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32</v>
      </c>
      <c r="G39" s="49">
        <v>30</v>
      </c>
      <c r="H39" s="49">
        <v>12</v>
      </c>
      <c r="J39" s="51">
        <f t="shared" si="0"/>
        <v>11.5905</v>
      </c>
      <c r="K39" s="52">
        <f t="shared" si="1"/>
        <v>1.373688888888889</v>
      </c>
      <c r="L39" s="49">
        <f t="shared" si="2"/>
        <v>12363200</v>
      </c>
      <c r="M39" s="49">
        <f t="shared" si="3"/>
        <v>2650296</v>
      </c>
      <c r="N39" s="53">
        <v>22099520</v>
      </c>
      <c r="O39" s="54">
        <v>12363200</v>
      </c>
      <c r="P39" s="54">
        <v>1830888</v>
      </c>
      <c r="Q39" s="54">
        <v>455360</v>
      </c>
      <c r="R39" s="54">
        <v>364048</v>
      </c>
      <c r="S39" s="54">
        <v>9697736</v>
      </c>
      <c r="T39" s="54">
        <v>15168</v>
      </c>
      <c r="U39" s="55">
        <v>80.693656399999995</v>
      </c>
      <c r="V39" s="55">
        <v>83.989220700000004</v>
      </c>
      <c r="W39" s="55">
        <v>32.456944700000001</v>
      </c>
      <c r="X39" s="55">
        <v>39.1929576</v>
      </c>
      <c r="Y39" s="55">
        <v>39.5269415</v>
      </c>
      <c r="Z39" s="55">
        <v>52.908071499999998</v>
      </c>
      <c r="AA39" s="55">
        <v>31.788064599999998</v>
      </c>
      <c r="AB39" s="56">
        <v>11374.689143</v>
      </c>
      <c r="AC39" s="56">
        <v>89.044810999999996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32</v>
      </c>
      <c r="G40" s="35">
        <v>30</v>
      </c>
      <c r="H40" s="35">
        <v>3</v>
      </c>
      <c r="J40" s="36">
        <f t="shared" si="0"/>
        <v>2.8285200000000001</v>
      </c>
      <c r="K40" s="37">
        <f t="shared" si="1"/>
        <v>0.33523199999999997</v>
      </c>
      <c r="L40" s="35">
        <f t="shared" si="2"/>
        <v>3017088</v>
      </c>
      <c r="M40" s="35">
        <f t="shared" si="3"/>
        <v>638336</v>
      </c>
      <c r="N40" s="46">
        <v>3682048</v>
      </c>
      <c r="O40" s="38">
        <v>3017088</v>
      </c>
      <c r="P40" s="38">
        <v>341512</v>
      </c>
      <c r="Q40" s="38">
        <v>7400</v>
      </c>
      <c r="R40" s="38">
        <v>289424</v>
      </c>
      <c r="S40" s="38">
        <v>2362912</v>
      </c>
      <c r="T40" s="38">
        <v>15840</v>
      </c>
      <c r="U40" s="47">
        <v>74.734860299999994</v>
      </c>
      <c r="V40" s="47">
        <v>76.3604658</v>
      </c>
      <c r="W40" s="47">
        <v>33.342560300000002</v>
      </c>
      <c r="X40" s="47">
        <v>42.545560299999998</v>
      </c>
      <c r="Y40" s="47">
        <v>42.905672099999997</v>
      </c>
      <c r="Z40" s="47">
        <v>49.479158900000002</v>
      </c>
      <c r="AA40" s="47">
        <v>32.484505200000001</v>
      </c>
      <c r="AB40" s="39">
        <v>7565.7999229999996</v>
      </c>
      <c r="AC40" s="39">
        <v>65.435360000000003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32</v>
      </c>
      <c r="G41" s="19">
        <v>30</v>
      </c>
      <c r="H41" s="19">
        <v>4</v>
      </c>
      <c r="J41" s="20">
        <f t="shared" si="0"/>
        <v>3.7020675000000001</v>
      </c>
      <c r="K41" s="21">
        <f t="shared" si="1"/>
        <v>0.43876355555555557</v>
      </c>
      <c r="L41" s="19">
        <f t="shared" si="2"/>
        <v>3948872</v>
      </c>
      <c r="M41" s="19">
        <f t="shared" si="3"/>
        <v>1019160</v>
      </c>
      <c r="N41" s="44">
        <v>7369024</v>
      </c>
      <c r="O41" s="22">
        <v>3948872</v>
      </c>
      <c r="P41" s="22">
        <v>654192</v>
      </c>
      <c r="Q41" s="22">
        <v>68528</v>
      </c>
      <c r="R41" s="22">
        <v>296440</v>
      </c>
      <c r="S41" s="22">
        <v>2914120</v>
      </c>
      <c r="T41" s="22">
        <v>15592</v>
      </c>
      <c r="U41" s="45">
        <v>76.738378400000002</v>
      </c>
      <c r="V41" s="45">
        <v>78.672499900000005</v>
      </c>
      <c r="W41" s="45">
        <v>33.674899199999999</v>
      </c>
      <c r="X41" s="45">
        <v>42.728313800000002</v>
      </c>
      <c r="Y41" s="45">
        <v>43.1935109</v>
      </c>
      <c r="Z41" s="45">
        <v>50.824359000000001</v>
      </c>
      <c r="AA41" s="45">
        <v>33.017624599999998</v>
      </c>
      <c r="AB41" s="23">
        <v>7947.1140649999998</v>
      </c>
      <c r="AC41" s="23">
        <v>70.139889999999994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32</v>
      </c>
      <c r="G42" s="35">
        <v>30</v>
      </c>
      <c r="H42" s="35">
        <v>6</v>
      </c>
      <c r="J42" s="36">
        <f t="shared" si="0"/>
        <v>5.7383175</v>
      </c>
      <c r="K42" s="37">
        <f t="shared" si="1"/>
        <v>0.68009688888888886</v>
      </c>
      <c r="L42" s="35">
        <f t="shared" si="2"/>
        <v>6120872</v>
      </c>
      <c r="M42" s="35">
        <f t="shared" si="3"/>
        <v>1513184</v>
      </c>
      <c r="N42" s="46">
        <v>14739584</v>
      </c>
      <c r="O42" s="38">
        <v>6120872</v>
      </c>
      <c r="P42" s="38">
        <v>1162904</v>
      </c>
      <c r="Q42" s="38">
        <v>129024</v>
      </c>
      <c r="R42" s="38">
        <v>221256</v>
      </c>
      <c r="S42" s="38">
        <v>4592328</v>
      </c>
      <c r="T42" s="38">
        <v>15360</v>
      </c>
      <c r="U42" s="47">
        <v>78.634876399999996</v>
      </c>
      <c r="V42" s="47">
        <v>80.922779700000007</v>
      </c>
      <c r="W42" s="47">
        <v>34.288735600000003</v>
      </c>
      <c r="X42" s="47">
        <v>42.869700999999999</v>
      </c>
      <c r="Y42" s="47">
        <v>43.440233900000003</v>
      </c>
      <c r="Z42" s="47">
        <v>52.018354500000001</v>
      </c>
      <c r="AA42" s="47">
        <v>33.678777699999998</v>
      </c>
      <c r="AB42" s="39">
        <v>8933.0323960000005</v>
      </c>
      <c r="AC42" s="39">
        <v>79.597037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32</v>
      </c>
      <c r="G43" s="19">
        <v>30</v>
      </c>
      <c r="H43" s="19">
        <v>8</v>
      </c>
      <c r="J43" s="20">
        <f t="shared" si="0"/>
        <v>7.5869099999999996</v>
      </c>
      <c r="K43" s="21">
        <f t="shared" si="1"/>
        <v>0.89918933333333328</v>
      </c>
      <c r="L43" s="19">
        <f t="shared" si="2"/>
        <v>8092704</v>
      </c>
      <c r="M43" s="19">
        <f t="shared" si="3"/>
        <v>1775216</v>
      </c>
      <c r="N43" s="44">
        <v>14739584</v>
      </c>
      <c r="O43" s="22">
        <v>8092704</v>
      </c>
      <c r="P43" s="22">
        <v>1162904</v>
      </c>
      <c r="Q43" s="22">
        <v>129024</v>
      </c>
      <c r="R43" s="22">
        <v>483288</v>
      </c>
      <c r="S43" s="22">
        <v>6302056</v>
      </c>
      <c r="T43" s="22">
        <v>15432</v>
      </c>
      <c r="U43" s="45">
        <v>79.947022700000005</v>
      </c>
      <c r="V43" s="45">
        <v>82.713776499999994</v>
      </c>
      <c r="W43" s="45">
        <v>34.355339600000001</v>
      </c>
      <c r="X43" s="45">
        <v>43.007177800000001</v>
      </c>
      <c r="Y43" s="45">
        <v>43.625356099999998</v>
      </c>
      <c r="Z43" s="45">
        <v>52.748548599999999</v>
      </c>
      <c r="AA43" s="45">
        <v>33.781710400000001</v>
      </c>
      <c r="AB43" s="23">
        <v>4339.1243979999999</v>
      </c>
      <c r="AC43" s="23">
        <v>28.362003000000001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32</v>
      </c>
      <c r="G44" s="27">
        <v>30</v>
      </c>
      <c r="H44" s="27">
        <v>12</v>
      </c>
      <c r="J44" s="28">
        <f t="shared" si="0"/>
        <v>11.629177500000001</v>
      </c>
      <c r="K44" s="29">
        <f t="shared" si="1"/>
        <v>1.3782728888888889</v>
      </c>
      <c r="L44" s="27">
        <f t="shared" si="2"/>
        <v>12404456</v>
      </c>
      <c r="M44" s="27">
        <f t="shared" si="3"/>
        <v>2320120</v>
      </c>
      <c r="N44" s="58">
        <v>22110080</v>
      </c>
      <c r="O44" s="30">
        <v>12404456</v>
      </c>
      <c r="P44" s="30">
        <v>1637032</v>
      </c>
      <c r="Q44" s="30">
        <v>189784</v>
      </c>
      <c r="R44" s="30">
        <v>493304</v>
      </c>
      <c r="S44" s="30">
        <v>10069184</v>
      </c>
      <c r="T44" s="30">
        <v>15152</v>
      </c>
      <c r="U44" s="59">
        <v>81.354177800000002</v>
      </c>
      <c r="V44" s="59">
        <v>84.628891999999993</v>
      </c>
      <c r="W44" s="59">
        <v>34.918236399999998</v>
      </c>
      <c r="X44" s="59">
        <v>43.101718200000001</v>
      </c>
      <c r="Y44" s="59">
        <v>43.760803899999999</v>
      </c>
      <c r="Z44" s="59">
        <v>53.607817900000001</v>
      </c>
      <c r="AA44" s="59">
        <v>34.364229299999998</v>
      </c>
      <c r="AB44" s="31">
        <v>5316.3671700000004</v>
      </c>
      <c r="AC44" s="31">
        <v>41.305469000000002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x14ac:dyDescent="0.15">
      <c r="B45" s="41" t="s">
        <v>7</v>
      </c>
      <c r="K45" s="42">
        <f>AVERAGE(K5:K14)</f>
        <v>1.1179123752930997</v>
      </c>
      <c r="L45" s="42"/>
      <c r="M45" s="42"/>
      <c r="T45" s="104"/>
      <c r="AF45" s="42" t="e">
        <f>AVERAGE(AF5:AF14)</f>
        <v>#DIV/0!</v>
      </c>
      <c r="AG45" s="42"/>
      <c r="AH45" s="42"/>
      <c r="AZ45" s="5" t="e">
        <f>AVERAGE(AZ5:AZ14)</f>
        <v>#DIV/0!</v>
      </c>
      <c r="BA45" s="5" t="e">
        <f>AVERAGE(BA5:BA14)</f>
        <v>#DIV/0!</v>
      </c>
      <c r="BB45" s="5" t="e">
        <f>AVERAGE(BB5:BB14)</f>
        <v>#DIV/0!</v>
      </c>
      <c r="BC45" s="5" t="e">
        <f>AVERAGE(BC5:BC14)</f>
        <v>#DIV/0!</v>
      </c>
      <c r="BD45" s="5" t="e">
        <f>AVERAGE(BD5:BD14)</f>
        <v>#DIV/0!</v>
      </c>
      <c r="BE45" s="5" t="e">
        <f>AVERAGE(BE5:BE14)</f>
        <v>#DIV/0!</v>
      </c>
      <c r="BF45" s="5" t="e">
        <f>AVERAGE(BF5:BF14)</f>
        <v>#DIV/0!</v>
      </c>
      <c r="BH45" s="5" t="e">
        <f>AVERAGE(BH5:BH14)</f>
        <v>#DIV/0!</v>
      </c>
      <c r="BI45" s="5" t="e">
        <f>AVERAGE(BI5:BI14)</f>
        <v>#DIV/0!</v>
      </c>
      <c r="BJ45" s="5" t="e">
        <f>AVERAGE(BJ5:BJ14)</f>
        <v>#DIV/0!</v>
      </c>
      <c r="BK45" s="5" t="e">
        <f>AVERAGE(BK5:BK14)</f>
        <v>#DIV/0!</v>
      </c>
      <c r="BL45" s="5" t="e">
        <f>AVERAGE(BL5:BL14)</f>
        <v>#DIV/0!</v>
      </c>
      <c r="BM45" s="5" t="e">
        <f>AVERAGE(BM5:BM14)</f>
        <v>#DIV/0!</v>
      </c>
      <c r="BN45" s="5" t="e">
        <f>AVERAGE(BN5:BN14)</f>
        <v>#DIV/0!</v>
      </c>
      <c r="BP45" s="5">
        <f>AVERAGE(BP5:BP14)</f>
        <v>0</v>
      </c>
      <c r="BQ45" s="5">
        <f>AVERAGE(BQ5:BQ14)</f>
        <v>0</v>
      </c>
      <c r="BR45" s="5">
        <f>AVERAGE(BR5:BR14)</f>
        <v>0</v>
      </c>
      <c r="BS45" s="5">
        <f>AVERAGE(BS5:BS14)</f>
        <v>0</v>
      </c>
      <c r="BT45" s="5">
        <f>AVERAGE(BT5:BT14)</f>
        <v>0</v>
      </c>
    </row>
    <row r="46" spans="1:72" x14ac:dyDescent="0.15">
      <c r="B46" s="41" t="s">
        <v>8</v>
      </c>
      <c r="K46" s="42">
        <f>AVERAGE(K15:K24)</f>
        <v>0.9250129749109991</v>
      </c>
      <c r="L46" s="42"/>
      <c r="M46" s="42"/>
      <c r="AF46" s="42" t="e">
        <f>AVERAGE(AF15:AF24)</f>
        <v>#DIV/0!</v>
      </c>
      <c r="AG46" s="42"/>
      <c r="AH46" s="42"/>
      <c r="AZ46" s="5" t="e">
        <f>AVERAGE(AZ15:AZ24)</f>
        <v>#DIV/0!</v>
      </c>
      <c r="BA46" s="5" t="e">
        <f>AVERAGE(BA15:BA24)</f>
        <v>#DIV/0!</v>
      </c>
      <c r="BB46" s="5" t="e">
        <f>AVERAGE(BB15:BB24)</f>
        <v>#DIV/0!</v>
      </c>
      <c r="BC46" s="5" t="e">
        <f>AVERAGE(BC15:BC24)</f>
        <v>#DIV/0!</v>
      </c>
      <c r="BD46" s="5" t="e">
        <f>AVERAGE(BD15:BD24)</f>
        <v>#DIV/0!</v>
      </c>
      <c r="BE46" s="5" t="e">
        <f>AVERAGE(BE15:BE24)</f>
        <v>#DIV/0!</v>
      </c>
      <c r="BF46" s="5" t="e">
        <f>AVERAGE(BF15:BF24)</f>
        <v>#DIV/0!</v>
      </c>
      <c r="BH46" s="5" t="e">
        <f>AVERAGE(BH15:BH24)</f>
        <v>#DIV/0!</v>
      </c>
      <c r="BI46" s="5" t="e">
        <f>AVERAGE(BI15:BI24)</f>
        <v>#DIV/0!</v>
      </c>
      <c r="BJ46" s="5" t="e">
        <f>AVERAGE(BJ15:BJ24)</f>
        <v>#DIV/0!</v>
      </c>
      <c r="BK46" s="5" t="e">
        <f>AVERAGE(BK15:BK24)</f>
        <v>#DIV/0!</v>
      </c>
      <c r="BL46" s="5" t="e">
        <f>AVERAGE(BL15:BL24)</f>
        <v>#DIV/0!</v>
      </c>
      <c r="BM46" s="5" t="e">
        <f>AVERAGE(BM15:BM24)</f>
        <v>#DIV/0!</v>
      </c>
      <c r="BN46" s="5" t="e">
        <f>AVERAGE(BN15:BN24)</f>
        <v>#DIV/0!</v>
      </c>
      <c r="BP46" s="5">
        <f>AVERAGE(BP15:BP24)</f>
        <v>0</v>
      </c>
      <c r="BQ46" s="5">
        <f>AVERAGE(BQ15:BQ24)</f>
        <v>0</v>
      </c>
      <c r="BR46" s="5">
        <f>AVERAGE(BR15:BR24)</f>
        <v>0</v>
      </c>
      <c r="BS46" s="5">
        <f>AVERAGE(BS15:BS24)</f>
        <v>0</v>
      </c>
      <c r="BT46" s="5">
        <f>AVERAGE(BT15:BT24)</f>
        <v>0</v>
      </c>
    </row>
    <row r="47" spans="1:72" x14ac:dyDescent="0.15">
      <c r="B47" s="41" t="s">
        <v>9</v>
      </c>
      <c r="K47" s="42">
        <f>AVERAGE(K25:K44)</f>
        <v>1.1848354342993446</v>
      </c>
      <c r="L47" s="42"/>
      <c r="M47" s="42"/>
      <c r="T47" s="98"/>
      <c r="AF47" s="42" t="e">
        <f>AVERAGE(AF25:AF44)</f>
        <v>#DIV/0!</v>
      </c>
      <c r="AG47" s="42"/>
      <c r="AH47" s="42"/>
      <c r="AZ47" s="5" t="e">
        <f>AVERAGE(AZ25:AZ44)</f>
        <v>#DIV/0!</v>
      </c>
      <c r="BA47" s="5" t="e">
        <f>AVERAGE(BA25:BA44)</f>
        <v>#DIV/0!</v>
      </c>
      <c r="BB47" s="5" t="e">
        <f>AVERAGE(BB25:BB44)</f>
        <v>#DIV/0!</v>
      </c>
      <c r="BC47" s="5" t="e">
        <f>AVERAGE(BC25:BC44)</f>
        <v>#DIV/0!</v>
      </c>
      <c r="BD47" s="5" t="e">
        <f>AVERAGE(BD25:BD44)</f>
        <v>#DIV/0!</v>
      </c>
      <c r="BE47" s="5" t="e">
        <f>AVERAGE(BE25:BE44)</f>
        <v>#DIV/0!</v>
      </c>
      <c r="BF47" s="5" t="e">
        <f>AVERAGE(BF25:BF44)</f>
        <v>#DIV/0!</v>
      </c>
      <c r="BH47" s="5" t="e">
        <f>AVERAGE(BH25:BH44)</f>
        <v>#DIV/0!</v>
      </c>
      <c r="BI47" s="5" t="e">
        <f>AVERAGE(BI25:BI44)</f>
        <v>#DIV/0!</v>
      </c>
      <c r="BJ47" s="5" t="e">
        <f>AVERAGE(BJ25:BJ44)</f>
        <v>#DIV/0!</v>
      </c>
      <c r="BK47" s="5" t="e">
        <f>AVERAGE(BK25:BK44)</f>
        <v>#DIV/0!</v>
      </c>
      <c r="BL47" s="5" t="e">
        <f>AVERAGE(BL25:BL44)</f>
        <v>#DIV/0!</v>
      </c>
      <c r="BM47" s="5" t="e">
        <f>AVERAGE(BM25:BM44)</f>
        <v>#DIV/0!</v>
      </c>
      <c r="BN47" s="5" t="e">
        <f>AVERAGE(BN25:BN44)</f>
        <v>#DIV/0!</v>
      </c>
      <c r="BP47" s="5">
        <f>AVERAGE(BP25:BP44)</f>
        <v>0</v>
      </c>
      <c r="BQ47" s="5">
        <f>AVERAGE(BQ25:BQ44)</f>
        <v>0</v>
      </c>
      <c r="BR47" s="5">
        <f>AVERAGE(BR25:BR44)</f>
        <v>0</v>
      </c>
      <c r="BS47" s="5">
        <f>AVERAGE(BS25:BS44)</f>
        <v>0</v>
      </c>
      <c r="BT47" s="5">
        <f>AVERAGE(BT25:BT44)</f>
        <v>0</v>
      </c>
    </row>
    <row r="48" spans="1:72" x14ac:dyDescent="0.15">
      <c r="B48" s="41" t="s">
        <v>10</v>
      </c>
      <c r="K48" s="42">
        <f>AVERAGE(K5:K44)</f>
        <v>1.1031490547006968</v>
      </c>
      <c r="L48" s="42"/>
      <c r="M48" s="42"/>
      <c r="AF48" s="42" t="e">
        <f>AVERAGE(AF5:AF44)</f>
        <v>#DIV/0!</v>
      </c>
      <c r="AG48" s="42"/>
      <c r="AH48" s="42"/>
      <c r="AZ48" s="5" t="e">
        <f>AVERAGE(AZ5:AZ44)</f>
        <v>#DIV/0!</v>
      </c>
      <c r="BA48" s="5" t="e">
        <f>AVERAGE(BA5:BA44)</f>
        <v>#DIV/0!</v>
      </c>
      <c r="BB48" s="5" t="e">
        <f>AVERAGE(BB5:BB44)</f>
        <v>#DIV/0!</v>
      </c>
      <c r="BC48" s="5" t="e">
        <f>AVERAGE(BC5:BC44)</f>
        <v>#DIV/0!</v>
      </c>
      <c r="BD48" s="5" t="e">
        <f>AVERAGE(BD5:BD44)</f>
        <v>#DIV/0!</v>
      </c>
      <c r="BE48" s="5" t="e">
        <f>AVERAGE(BE5:BE44)</f>
        <v>#DIV/0!</v>
      </c>
      <c r="BF48" s="5" t="e">
        <f>AVERAGE(BF5:BF44)</f>
        <v>#DIV/0!</v>
      </c>
      <c r="BH48" s="5" t="e">
        <f>AVERAGE(BH5:BH44)</f>
        <v>#DIV/0!</v>
      </c>
      <c r="BI48" s="5" t="e">
        <f>AVERAGE(BI5:BI44)</f>
        <v>#DIV/0!</v>
      </c>
      <c r="BJ48" s="5" t="e">
        <f>AVERAGE(BJ5:BJ44)</f>
        <v>#DIV/0!</v>
      </c>
      <c r="BK48" s="5" t="e">
        <f>AVERAGE(BK5:BK44)</f>
        <v>#DIV/0!</v>
      </c>
      <c r="BL48" s="5" t="e">
        <f>AVERAGE(BL5:BL44)</f>
        <v>#DIV/0!</v>
      </c>
      <c r="BM48" s="5" t="e">
        <f>AVERAGE(BM5:BM44)</f>
        <v>#DIV/0!</v>
      </c>
      <c r="BN48" s="5" t="e">
        <f>AVERAGE(BN5:BN44)</f>
        <v>#DIV/0!</v>
      </c>
      <c r="BP48" s="5">
        <f>AVERAGE(BP5:BP44)</f>
        <v>0</v>
      </c>
      <c r="BQ48" s="5">
        <f>AVERAGE(BQ5:BQ44)</f>
        <v>0</v>
      </c>
      <c r="BR48" s="5">
        <f>AVERAGE(BR5:BR44)</f>
        <v>0</v>
      </c>
      <c r="BS48" s="5">
        <f>AVERAGE(BS5:BS44)</f>
        <v>0</v>
      </c>
      <c r="BT48" s="5">
        <f>AVERAGE(BT5:BT44)</f>
        <v>0</v>
      </c>
    </row>
    <row r="49" spans="1:50" x14ac:dyDescent="0.15">
      <c r="A49" s="41" t="s">
        <v>178</v>
      </c>
      <c r="B49" s="41" t="s">
        <v>179</v>
      </c>
      <c r="AB49" s="43">
        <f>SUM(AB5:AB14,AB15:AB24,AB25:AB44)</f>
        <v>246504.966866</v>
      </c>
      <c r="AC49" s="43">
        <f>SUM(AC5:AC14,AC15:AC24,AC25:AC44)</f>
        <v>1608.6026709999999</v>
      </c>
      <c r="AW49" s="43">
        <f>SUM(AW5:AW14,AW15:AW24,AW25:AW44)</f>
        <v>0</v>
      </c>
      <c r="AX49" s="43">
        <f>SUM(AX5:AX14,AX15:AX24,AX25:AX44)</f>
        <v>0</v>
      </c>
    </row>
    <row r="50" spans="1:50" x14ac:dyDescent="0.15">
      <c r="B50" s="41" t="s">
        <v>180</v>
      </c>
      <c r="AJ50" s="98"/>
      <c r="AW50" s="8">
        <f>AW49/AB49</f>
        <v>0</v>
      </c>
      <c r="AX50" s="8">
        <f>AX49/AC49</f>
        <v>0</v>
      </c>
    </row>
    <row r="51" spans="1:50" x14ac:dyDescent="0.15">
      <c r="AJ51" s="98"/>
    </row>
    <row r="52" spans="1:50" x14ac:dyDescent="0.15">
      <c r="AJ52" s="98"/>
      <c r="AL52" s="103"/>
    </row>
    <row r="53" spans="1:50" ht="15.75" customHeight="1" thickBot="1" x14ac:dyDescent="0.2">
      <c r="AJ53" s="98"/>
    </row>
    <row r="54" spans="1:50" x14ac:dyDescent="0.15">
      <c r="AG54" s="88" t="e">
        <f>AG5-L5</f>
        <v>#VALUE!</v>
      </c>
      <c r="AH54" s="88" t="e">
        <f>AH5-M5</f>
        <v>#VALUE!</v>
      </c>
      <c r="AI54" s="88">
        <f>AI5-N5</f>
        <v>-2415872</v>
      </c>
      <c r="AJ54" s="88">
        <f>AJ5-O5</f>
        <v>-4223384</v>
      </c>
      <c r="AK54" s="88">
        <f>AK5-P5</f>
        <v>-801768</v>
      </c>
      <c r="AL54" s="88">
        <f>AL5-Q5</f>
        <v>0</v>
      </c>
      <c r="AM54" s="88">
        <f>AM5-R5</f>
        <v>-564184</v>
      </c>
      <c r="AN54" s="88">
        <f>AN5-S5</f>
        <v>-2842200</v>
      </c>
      <c r="AO54" s="88">
        <f>AO5-T5</f>
        <v>-15232</v>
      </c>
      <c r="AP54" s="88">
        <f>AP5-U5</f>
        <v>-69.118031999999999</v>
      </c>
      <c r="AQ54" s="89">
        <f>AQ5-V5</f>
        <v>-70.241258900000005</v>
      </c>
      <c r="AR54" s="89">
        <f>AR5-W5</f>
        <v>-27.939602000000001</v>
      </c>
      <c r="AS54" s="89">
        <f>AS5-X5</f>
        <v>-33.606277200000001</v>
      </c>
      <c r="AT54" s="89">
        <f>AT5-Y5</f>
        <v>-32.999940299999999</v>
      </c>
      <c r="AU54" s="89">
        <f>AU5-Z5</f>
        <v>-49.536323500000002</v>
      </c>
      <c r="AV54" s="90">
        <f>AV5-AA5</f>
        <v>-26.905479400000001</v>
      </c>
    </row>
    <row r="55" spans="1:50" x14ac:dyDescent="0.15">
      <c r="AG55" s="91" t="e">
        <f>AG6-L6</f>
        <v>#VALUE!</v>
      </c>
      <c r="AH55" s="91" t="e">
        <f>AH6-M6</f>
        <v>#VALUE!</v>
      </c>
      <c r="AI55" s="91">
        <f>AI6-N6</f>
        <v>-2415872</v>
      </c>
      <c r="AJ55" s="91">
        <f>AJ6-O6</f>
        <v>-8600240</v>
      </c>
      <c r="AK55" s="91">
        <f>AK6-P6</f>
        <v>-801768</v>
      </c>
      <c r="AL55" s="91">
        <f>AL6-Q6</f>
        <v>0</v>
      </c>
      <c r="AM55" s="91">
        <f>AM6-R6</f>
        <v>-986320</v>
      </c>
      <c r="AN55" s="91">
        <f>AN6-S6</f>
        <v>-6797696</v>
      </c>
      <c r="AO55" s="91">
        <f>AO6-T6</f>
        <v>-14456</v>
      </c>
      <c r="AP55" s="91">
        <f>AP6-U6</f>
        <v>-70.908781200000007</v>
      </c>
      <c r="AQ55" s="92">
        <f>AQ6-V6</f>
        <v>-72.272037999999995</v>
      </c>
      <c r="AR55" s="92">
        <f>AR6-W6</f>
        <v>-31.219122200000001</v>
      </c>
      <c r="AS55" s="92">
        <f>AS6-X6</f>
        <v>-34.789686000000003</v>
      </c>
      <c r="AT55" s="92">
        <f>AT6-Y6</f>
        <v>-34.317813299999997</v>
      </c>
      <c r="AU55" s="92">
        <f>AU6-Z6</f>
        <v>-50.367261399999997</v>
      </c>
      <c r="AV55" s="93">
        <f>AV6-AA6</f>
        <v>-29.166452199999998</v>
      </c>
    </row>
    <row r="56" spans="1:50" x14ac:dyDescent="0.15">
      <c r="AG56" s="91" t="e">
        <f>AG7-L7</f>
        <v>#VALUE!</v>
      </c>
      <c r="AH56" s="91" t="e">
        <f>AH7-M7</f>
        <v>#VALUE!</v>
      </c>
      <c r="AI56" s="91">
        <f>AI7-N7</f>
        <v>-4871680</v>
      </c>
      <c r="AJ56" s="91">
        <f>AJ7-O7</f>
        <v>-11777864</v>
      </c>
      <c r="AK56" s="91">
        <f>AK7-P7</f>
        <v>-1272288</v>
      </c>
      <c r="AL56" s="91">
        <f>AL7-Q7</f>
        <v>0</v>
      </c>
      <c r="AM56" s="91">
        <f>AM7-R7</f>
        <v>-955904</v>
      </c>
      <c r="AN56" s="91">
        <f>AN7-S7</f>
        <v>-9534904</v>
      </c>
      <c r="AO56" s="91">
        <f>AO7-T7</f>
        <v>-14768</v>
      </c>
      <c r="AP56" s="91">
        <f>AP7-U7</f>
        <v>-72.687243499999994</v>
      </c>
      <c r="AQ56" s="92">
        <f>AQ7-V7</f>
        <v>-74.317054600000006</v>
      </c>
      <c r="AR56" s="92">
        <f>AR7-W7</f>
        <v>-32.348902799999998</v>
      </c>
      <c r="AS56" s="92">
        <f>AS7-X7</f>
        <v>-36.463350400000003</v>
      </c>
      <c r="AT56" s="92">
        <f>AT7-Y7</f>
        <v>-36.198778799999999</v>
      </c>
      <c r="AU56" s="92">
        <f>AU7-Z7</f>
        <v>-51.509394100000002</v>
      </c>
      <c r="AV56" s="93">
        <f>AV7-AA7</f>
        <v>-30.524049399999999</v>
      </c>
    </row>
    <row r="57" spans="1:50" x14ac:dyDescent="0.15">
      <c r="AG57" s="91" t="e">
        <f>AG8-L8</f>
        <v>#VALUE!</v>
      </c>
      <c r="AH57" s="91" t="e">
        <f>AH8-M8</f>
        <v>#VALUE!</v>
      </c>
      <c r="AI57" s="91">
        <f>AI8-N8</f>
        <v>-9785664</v>
      </c>
      <c r="AJ57" s="91">
        <f>AJ8-O8</f>
        <v>-15066448</v>
      </c>
      <c r="AK57" s="91">
        <f>AK8-P8</f>
        <v>-2103056</v>
      </c>
      <c r="AL57" s="91">
        <f>AL8-Q8</f>
        <v>0</v>
      </c>
      <c r="AM57" s="91">
        <f>AM8-R8</f>
        <v>-796096</v>
      </c>
      <c r="AN57" s="91">
        <f>AN8-S8</f>
        <v>-12152088</v>
      </c>
      <c r="AO57" s="91">
        <f>AO8-T8</f>
        <v>-15208</v>
      </c>
      <c r="AP57" s="91">
        <f>AP8-U8</f>
        <v>-73.512515500000006</v>
      </c>
      <c r="AQ57" s="92">
        <f>AQ8-V8</f>
        <v>-75.266670000000005</v>
      </c>
      <c r="AR57" s="92">
        <f>AR8-W8</f>
        <v>-33.362723799999998</v>
      </c>
      <c r="AS57" s="92">
        <f>AS8-X8</f>
        <v>-37.057130100000002</v>
      </c>
      <c r="AT57" s="92">
        <f>AT8-Y8</f>
        <v>-36.801561599999999</v>
      </c>
      <c r="AU57" s="92">
        <f>AU8-Z8</f>
        <v>-52.092208200000002</v>
      </c>
      <c r="AV57" s="93">
        <f>AV8-AA8</f>
        <v>-31.317619799999999</v>
      </c>
    </row>
    <row r="58" spans="1:50" x14ac:dyDescent="0.15">
      <c r="AG58" s="91" t="e">
        <f>AG9-L9</f>
        <v>#VALUE!</v>
      </c>
      <c r="AH58" s="91" t="e">
        <f>AH9-M9</f>
        <v>#VALUE!</v>
      </c>
      <c r="AI58" s="91">
        <f>AI9-N9</f>
        <v>-9785664</v>
      </c>
      <c r="AJ58" s="91">
        <f>AJ9-O9</f>
        <v>-22692360</v>
      </c>
      <c r="AK58" s="91">
        <f>AK9-P9</f>
        <v>-2103056</v>
      </c>
      <c r="AL58" s="91">
        <f>AL9-Q9</f>
        <v>0</v>
      </c>
      <c r="AM58" s="91">
        <f>AM9-R9</f>
        <v>-1481664</v>
      </c>
      <c r="AN58" s="91">
        <f>AN9-S9</f>
        <v>-19093344</v>
      </c>
      <c r="AO58" s="91">
        <f>AO9-T9</f>
        <v>-14296</v>
      </c>
      <c r="AP58" s="91">
        <f>AP9-U9</f>
        <v>-75.160451699999996</v>
      </c>
      <c r="AQ58" s="92">
        <f>AQ9-V9</f>
        <v>-77.230928199999994</v>
      </c>
      <c r="AR58" s="92">
        <f>AR9-W9</f>
        <v>-34.990750400000003</v>
      </c>
      <c r="AS58" s="92">
        <f>AS9-X9</f>
        <v>-38.591933900000001</v>
      </c>
      <c r="AT58" s="92">
        <f>AT9-Y9</f>
        <v>-38.312278599999999</v>
      </c>
      <c r="AU58" s="92">
        <f>AU9-Z9</f>
        <v>-52.978906799999997</v>
      </c>
      <c r="AV58" s="93">
        <f>AV9-AA9</f>
        <v>-32.689686000000002</v>
      </c>
    </row>
    <row r="59" spans="1:50" x14ac:dyDescent="0.15">
      <c r="AG59" s="91" t="e">
        <f>AG10-L10</f>
        <v>#VALUE!</v>
      </c>
      <c r="AH59" s="91" t="e">
        <f>AH10-M10</f>
        <v>#VALUE!</v>
      </c>
      <c r="AI59" s="91">
        <f>AI10-N10</f>
        <v>-1032192</v>
      </c>
      <c r="AJ59" s="91">
        <f>AJ10-O10</f>
        <v>-3420664</v>
      </c>
      <c r="AK59" s="91">
        <f>AK10-P10</f>
        <v>-45008</v>
      </c>
      <c r="AL59" s="91">
        <f>AL10-Q10</f>
        <v>-124912</v>
      </c>
      <c r="AM59" s="91">
        <f>AM10-R10</f>
        <v>-1175568</v>
      </c>
      <c r="AN59" s="91">
        <f>AN10-S10</f>
        <v>-2062912</v>
      </c>
      <c r="AO59" s="91">
        <f>AO10-T10</f>
        <v>-12264</v>
      </c>
      <c r="AP59" s="91">
        <f>AP10-U10</f>
        <v>-69.0763046</v>
      </c>
      <c r="AQ59" s="92">
        <f>AQ10-V10</f>
        <v>-70.265979599999994</v>
      </c>
      <c r="AR59" s="92">
        <f>AR10-W10</f>
        <v>-36.075364</v>
      </c>
      <c r="AS59" s="92">
        <f>AS10-X10</f>
        <v>-46.4796634</v>
      </c>
      <c r="AT59" s="92">
        <f>AT10-Y10</f>
        <v>-46.931343699999999</v>
      </c>
      <c r="AU59" s="92">
        <f>AU10-Z10</f>
        <v>-46.573915999999997</v>
      </c>
      <c r="AV59" s="93">
        <f>AV10-AA10</f>
        <v>-32.663907199999997</v>
      </c>
    </row>
    <row r="60" spans="1:50" x14ac:dyDescent="0.15">
      <c r="AG60" s="91" t="e">
        <f>AG11-L11</f>
        <v>#VALUE!</v>
      </c>
      <c r="AH60" s="91" t="e">
        <f>AH11-M11</f>
        <v>#VALUE!</v>
      </c>
      <c r="AI60" s="91">
        <f>AI11-N11</f>
        <v>-2030368</v>
      </c>
      <c r="AJ60" s="91">
        <f>AJ11-O11</f>
        <v>-7043072</v>
      </c>
      <c r="AK60" s="91">
        <f>AK11-P11</f>
        <v>-299656</v>
      </c>
      <c r="AL60" s="91">
        <f>AL11-Q11</f>
        <v>-182720</v>
      </c>
      <c r="AM60" s="91">
        <f>AM11-R11</f>
        <v>-2275496</v>
      </c>
      <c r="AN60" s="91">
        <f>AN11-S11</f>
        <v>-4272792</v>
      </c>
      <c r="AO60" s="91">
        <f>AO11-T11</f>
        <v>-12408</v>
      </c>
      <c r="AP60" s="91">
        <f>AP11-U11</f>
        <v>-72.432656100000003</v>
      </c>
      <c r="AQ60" s="92">
        <f>AQ11-V11</f>
        <v>-74.041775200000004</v>
      </c>
      <c r="AR60" s="92">
        <f>AR11-W11</f>
        <v>-37.284415799999998</v>
      </c>
      <c r="AS60" s="92">
        <f>AS11-X11</f>
        <v>-47.049411300000003</v>
      </c>
      <c r="AT60" s="92">
        <f>AT11-Y11</f>
        <v>-47.647751800000002</v>
      </c>
      <c r="AU60" s="92">
        <f>AU11-Z11</f>
        <v>-48.480654700000002</v>
      </c>
      <c r="AV60" s="93">
        <f>AV11-AA11</f>
        <v>-34.640821600000002</v>
      </c>
    </row>
    <row r="61" spans="1:50" x14ac:dyDescent="0.15">
      <c r="AG61" s="91" t="e">
        <f>AG12-L12</f>
        <v>#VALUE!</v>
      </c>
      <c r="AH61" s="91" t="e">
        <f>AH12-M12</f>
        <v>#VALUE!</v>
      </c>
      <c r="AI61" s="91">
        <f>AI12-N12</f>
        <v>-2236080</v>
      </c>
      <c r="AJ61" s="91">
        <f>AJ12-O12</f>
        <v>-9688448</v>
      </c>
      <c r="AK61" s="91">
        <f>AK12-P12</f>
        <v>-400448</v>
      </c>
      <c r="AL61" s="91">
        <f>AL12-Q12</f>
        <v>-190944</v>
      </c>
      <c r="AM61" s="91">
        <f>AM12-R12</f>
        <v>-2660368</v>
      </c>
      <c r="AN61" s="91">
        <f>AN12-S12</f>
        <v>-6424216</v>
      </c>
      <c r="AO61" s="91">
        <f>AO12-T12</f>
        <v>-12472</v>
      </c>
      <c r="AP61" s="91">
        <f>AP12-U12</f>
        <v>-72.947960800000004</v>
      </c>
      <c r="AQ61" s="92">
        <f>AQ12-V12</f>
        <v>-74.686370999999994</v>
      </c>
      <c r="AR61" s="92">
        <f>AR12-W12</f>
        <v>-38.084084699999998</v>
      </c>
      <c r="AS61" s="92">
        <f>AS12-X12</f>
        <v>-47.345016399999999</v>
      </c>
      <c r="AT61" s="92">
        <f>AT12-Y12</f>
        <v>-48.000573799999998</v>
      </c>
      <c r="AU61" s="92">
        <f>AU12-Z12</f>
        <v>-48.859477499999997</v>
      </c>
      <c r="AV61" s="93">
        <f>AV12-AA12</f>
        <v>-35.244909999999997</v>
      </c>
    </row>
    <row r="62" spans="1:50" x14ac:dyDescent="0.15">
      <c r="AG62" s="91" t="e">
        <f>AG13-L13</f>
        <v>#VALUE!</v>
      </c>
      <c r="AH62" s="91" t="e">
        <f>AH13-M13</f>
        <v>#VALUE!</v>
      </c>
      <c r="AI62" s="91">
        <f>AI13-N13</f>
        <v>-2440496</v>
      </c>
      <c r="AJ62" s="91">
        <f>AJ13-O13</f>
        <v>-12481376</v>
      </c>
      <c r="AK62" s="91">
        <f>AK13-P13</f>
        <v>-347808</v>
      </c>
      <c r="AL62" s="91">
        <f>AL13-Q13</f>
        <v>-220928</v>
      </c>
      <c r="AM62" s="91">
        <f>AM13-R13</f>
        <v>-2835736</v>
      </c>
      <c r="AN62" s="91">
        <f>AN13-S13</f>
        <v>-9064400</v>
      </c>
      <c r="AO62" s="91">
        <f>AO13-T13</f>
        <v>-12504</v>
      </c>
      <c r="AP62" s="91">
        <f>AP13-U13</f>
        <v>-73.2603498</v>
      </c>
      <c r="AQ62" s="92">
        <f>AQ13-V13</f>
        <v>-75.047408700000005</v>
      </c>
      <c r="AR62" s="92">
        <f>AR13-W13</f>
        <v>-38.886689199999999</v>
      </c>
      <c r="AS62" s="92">
        <f>AS13-X13</f>
        <v>-48.086951999999997</v>
      </c>
      <c r="AT62" s="92">
        <f>AT13-Y13</f>
        <v>-48.761617700000002</v>
      </c>
      <c r="AU62" s="92">
        <f>AU13-Z13</f>
        <v>-49.036002199999999</v>
      </c>
      <c r="AV62" s="93">
        <f>AV13-AA13</f>
        <v>-35.761919599999999</v>
      </c>
    </row>
    <row r="63" spans="1:50" x14ac:dyDescent="0.15">
      <c r="AG63" s="91" t="e">
        <f>AG14-L14</f>
        <v>#VALUE!</v>
      </c>
      <c r="AH63" s="91" t="e">
        <f>AH14-M14</f>
        <v>#VALUE!</v>
      </c>
      <c r="AI63" s="91">
        <f>AI14-N14</f>
        <v>-3769536</v>
      </c>
      <c r="AJ63" s="91">
        <f>AJ14-O14</f>
        <v>-21198352</v>
      </c>
      <c r="AK63" s="91">
        <f>AK14-P14</f>
        <v>-1703224</v>
      </c>
      <c r="AL63" s="91">
        <f>AL14-Q14</f>
        <v>-189864</v>
      </c>
      <c r="AM63" s="91">
        <f>AM14-R14</f>
        <v>-3994952</v>
      </c>
      <c r="AN63" s="91">
        <f>AN14-S14</f>
        <v>-15297592</v>
      </c>
      <c r="AO63" s="91">
        <f>AO14-T14</f>
        <v>-12720</v>
      </c>
      <c r="AP63" s="91">
        <f>AP14-U14</f>
        <v>-75.356621899999993</v>
      </c>
      <c r="AQ63" s="92">
        <f>AQ14-V14</f>
        <v>-77.610834999999994</v>
      </c>
      <c r="AR63" s="92">
        <f>AR14-W14</f>
        <v>-39.404401200000002</v>
      </c>
      <c r="AS63" s="92">
        <f>AS14-X14</f>
        <v>-48.390785200000003</v>
      </c>
      <c r="AT63" s="92">
        <f>AT14-Y14</f>
        <v>-49.081712099999997</v>
      </c>
      <c r="AU63" s="92">
        <f>AU14-Z14</f>
        <v>-50.269220500000003</v>
      </c>
      <c r="AV63" s="93">
        <f>AV14-AA14</f>
        <v>-36.747716500000003</v>
      </c>
    </row>
    <row r="64" spans="1:50" x14ac:dyDescent="0.15">
      <c r="AG64" s="91" t="e">
        <f>AG15-L15</f>
        <v>#VALUE!</v>
      </c>
      <c r="AH64" s="91" t="e">
        <f>AH15-M15</f>
        <v>#VALUE!</v>
      </c>
      <c r="AI64" s="91">
        <f>AI15-N15</f>
        <v>-2419456</v>
      </c>
      <c r="AJ64" s="91">
        <f>AJ15-O15</f>
        <v>-3084216</v>
      </c>
      <c r="AK64" s="91">
        <f>AK15-P15</f>
        <v>-685264</v>
      </c>
      <c r="AL64" s="91">
        <f>AL15-Q15</f>
        <v>0</v>
      </c>
      <c r="AM64" s="91">
        <f>AM15-R15</f>
        <v>-453688</v>
      </c>
      <c r="AN64" s="91">
        <f>AN15-S15</f>
        <v>-1930168</v>
      </c>
      <c r="AO64" s="91">
        <f>AO15-T15</f>
        <v>-15096</v>
      </c>
      <c r="AP64" s="91">
        <f>AP15-U15</f>
        <v>-71.784670500000004</v>
      </c>
      <c r="AQ64" s="92">
        <f>AQ15-V15</f>
        <v>-73.073559700000004</v>
      </c>
      <c r="AR64" s="92">
        <f>AR15-W15</f>
        <v>-35.614642799999999</v>
      </c>
      <c r="AS64" s="92">
        <f>AS15-X15</f>
        <v>-43.401773800000001</v>
      </c>
      <c r="AT64" s="92">
        <f>AT15-Y15</f>
        <v>-45.002072599999998</v>
      </c>
      <c r="AU64" s="92">
        <f>AU15-Z15</f>
        <v>-45.695622800000002</v>
      </c>
      <c r="AV64" s="93">
        <f>AV15-AA15</f>
        <v>-32.420198300000003</v>
      </c>
    </row>
    <row r="65" spans="33:48" x14ac:dyDescent="0.15">
      <c r="AG65" s="91" t="e">
        <f>AG16-L16</f>
        <v>#VALUE!</v>
      </c>
      <c r="AH65" s="91" t="e">
        <f>AH16-M16</f>
        <v>#VALUE!</v>
      </c>
      <c r="AI65" s="91">
        <f>AI16-N16</f>
        <v>-2419456</v>
      </c>
      <c r="AJ65" s="91">
        <f>AJ16-O16</f>
        <v>-5127176</v>
      </c>
      <c r="AK65" s="91">
        <f>AK16-P16</f>
        <v>-746872</v>
      </c>
      <c r="AL65" s="91">
        <f>AL16-Q16</f>
        <v>0</v>
      </c>
      <c r="AM65" s="91">
        <f>AM16-R16</f>
        <v>-687208</v>
      </c>
      <c r="AN65" s="91">
        <f>AN16-S16</f>
        <v>-3677704</v>
      </c>
      <c r="AO65" s="91">
        <f>AO16-T16</f>
        <v>-15392</v>
      </c>
      <c r="AP65" s="91">
        <f>AP16-U16</f>
        <v>-73.557611600000001</v>
      </c>
      <c r="AQ65" s="92">
        <f>AQ16-V16</f>
        <v>-75.037586099999999</v>
      </c>
      <c r="AR65" s="92">
        <f>AR16-W16</f>
        <v>-38.389620200000003</v>
      </c>
      <c r="AS65" s="92">
        <f>AS16-X16</f>
        <v>-44.0514881</v>
      </c>
      <c r="AT65" s="92">
        <f>AT16-Y16</f>
        <v>-46.237601900000001</v>
      </c>
      <c r="AU65" s="92">
        <f>AU16-Z16</f>
        <v>-46.4383658</v>
      </c>
      <c r="AV65" s="93">
        <f>AV16-AA16</f>
        <v>-34.080604999999998</v>
      </c>
    </row>
    <row r="66" spans="33:48" x14ac:dyDescent="0.15">
      <c r="AG66" s="91" t="e">
        <f>AG17-L17</f>
        <v>#VALUE!</v>
      </c>
      <c r="AH66" s="91" t="e">
        <f>AH17-M17</f>
        <v>#VALUE!</v>
      </c>
      <c r="AI66" s="91">
        <f>AI17-N17</f>
        <v>-4841472</v>
      </c>
      <c r="AJ66" s="91">
        <f>AJ17-O17</f>
        <v>-10180384</v>
      </c>
      <c r="AK66" s="91">
        <f>AK17-P17</f>
        <v>-1251016</v>
      </c>
      <c r="AL66" s="91">
        <f>AL17-Q17</f>
        <v>0</v>
      </c>
      <c r="AM66" s="91">
        <f>AM17-R17</f>
        <v>-1513560</v>
      </c>
      <c r="AN66" s="91">
        <f>AN17-S17</f>
        <v>-7400544</v>
      </c>
      <c r="AO66" s="91">
        <f>AO17-T17</f>
        <v>-15264</v>
      </c>
      <c r="AP66" s="91">
        <f>AP17-U17</f>
        <v>-78.264783899999998</v>
      </c>
      <c r="AQ66" s="92">
        <f>AQ17-V17</f>
        <v>-80.584249700000001</v>
      </c>
      <c r="AR66" s="92">
        <f>AR17-W17</f>
        <v>-41.028724599999997</v>
      </c>
      <c r="AS66" s="92">
        <f>AS17-X17</f>
        <v>-44.960997499999998</v>
      </c>
      <c r="AT66" s="92">
        <f>AT17-Y17</f>
        <v>-48.047261200000001</v>
      </c>
      <c r="AU66" s="92">
        <f>AU17-Z17</f>
        <v>-48.813600000000001</v>
      </c>
      <c r="AV66" s="93">
        <f>AV17-AA17</f>
        <v>-37.272457099999997</v>
      </c>
    </row>
    <row r="67" spans="33:48" x14ac:dyDescent="0.15">
      <c r="AG67" s="91" t="e">
        <f>AG18-L18</f>
        <v>#VALUE!</v>
      </c>
      <c r="AH67" s="91" t="e">
        <f>AH18-M18</f>
        <v>#VALUE!</v>
      </c>
      <c r="AI67" s="91">
        <f>AI18-N18</f>
        <v>-9684544</v>
      </c>
      <c r="AJ67" s="91">
        <f>AJ18-O18</f>
        <v>-14552824</v>
      </c>
      <c r="AK67" s="91">
        <f>AK18-P18</f>
        <v>-2165032</v>
      </c>
      <c r="AL67" s="91">
        <f>AL18-Q18</f>
        <v>0</v>
      </c>
      <c r="AM67" s="91">
        <f>AM18-R18</f>
        <v>-1626776</v>
      </c>
      <c r="AN67" s="91">
        <f>AN18-S18</f>
        <v>-10745880</v>
      </c>
      <c r="AO67" s="91">
        <f>AO18-T18</f>
        <v>-15136</v>
      </c>
      <c r="AP67" s="91">
        <f>AP18-U18</f>
        <v>-79.558201800000006</v>
      </c>
      <c r="AQ67" s="92">
        <f>AQ18-V18</f>
        <v>-82.306608900000001</v>
      </c>
      <c r="AR67" s="92">
        <f>AR18-W18</f>
        <v>-41.9565141</v>
      </c>
      <c r="AS67" s="92">
        <f>AS18-X18</f>
        <v>-45.657362499999998</v>
      </c>
      <c r="AT67" s="92">
        <f>AT18-Y18</f>
        <v>-49.207970299999999</v>
      </c>
      <c r="AU67" s="92">
        <f>AU18-Z18</f>
        <v>-49.7686615</v>
      </c>
      <c r="AV67" s="93">
        <f>AV18-AA18</f>
        <v>-38.3577716</v>
      </c>
    </row>
    <row r="68" spans="33:48" x14ac:dyDescent="0.15">
      <c r="AG68" s="91" t="e">
        <f>AG19-L19</f>
        <v>#VALUE!</v>
      </c>
      <c r="AH68" s="91" t="e">
        <f>AH19-M19</f>
        <v>#VALUE!</v>
      </c>
      <c r="AI68" s="91">
        <f>AI19-N19</f>
        <v>-9684544</v>
      </c>
      <c r="AJ68" s="91">
        <f>AJ19-O19</f>
        <v>-21886376</v>
      </c>
      <c r="AK68" s="91">
        <f>AK19-P19</f>
        <v>-2165032</v>
      </c>
      <c r="AL68" s="91">
        <f>AL19-Q19</f>
        <v>0</v>
      </c>
      <c r="AM68" s="91">
        <f>AM19-R19</f>
        <v>-1838992</v>
      </c>
      <c r="AN68" s="91">
        <f>AN19-S19</f>
        <v>-17867136</v>
      </c>
      <c r="AO68" s="91">
        <f>AO19-T19</f>
        <v>-15216</v>
      </c>
      <c r="AP68" s="91">
        <f>AP19-U19</f>
        <v>-79.920927300000002</v>
      </c>
      <c r="AQ68" s="92">
        <f>AQ19-V19</f>
        <v>-82.837632400000004</v>
      </c>
      <c r="AR68" s="92">
        <f>AR19-W19</f>
        <v>-42.953926899999999</v>
      </c>
      <c r="AS68" s="92">
        <f>AS19-X19</f>
        <v>-46.584795300000003</v>
      </c>
      <c r="AT68" s="92">
        <f>AT19-Y19</f>
        <v>-50.543902099999997</v>
      </c>
      <c r="AU68" s="92">
        <f>AU19-Z19</f>
        <v>-49.938614399999999</v>
      </c>
      <c r="AV68" s="93">
        <f>AV19-AA19</f>
        <v>-38.912806699999997</v>
      </c>
    </row>
    <row r="69" spans="33:48" x14ac:dyDescent="0.15">
      <c r="AG69" s="91" t="e">
        <f>AG20-L20</f>
        <v>#VALUE!</v>
      </c>
      <c r="AH69" s="91" t="e">
        <f>AH20-M20</f>
        <v>#VALUE!</v>
      </c>
      <c r="AI69" s="91">
        <f>AI20-N20</f>
        <v>-2417984</v>
      </c>
      <c r="AJ69" s="91">
        <f>AJ20-O20</f>
        <v>-3082144</v>
      </c>
      <c r="AK69" s="91">
        <f>AK20-P20</f>
        <v>-661536</v>
      </c>
      <c r="AL69" s="91">
        <f>AL20-Q20</f>
        <v>0</v>
      </c>
      <c r="AM69" s="91">
        <f>AM20-R20</f>
        <v>-448776</v>
      </c>
      <c r="AN69" s="91">
        <f>AN20-S20</f>
        <v>-1956784</v>
      </c>
      <c r="AO69" s="91">
        <f>AO20-T20</f>
        <v>-15048</v>
      </c>
      <c r="AP69" s="91">
        <f>AP20-U20</f>
        <v>-71.753850200000002</v>
      </c>
      <c r="AQ69" s="92">
        <f>AQ20-V20</f>
        <v>-73.096716599999993</v>
      </c>
      <c r="AR69" s="92">
        <f>AR20-W20</f>
        <v>-34.579822399999998</v>
      </c>
      <c r="AS69" s="92">
        <f>AS20-X20</f>
        <v>-42.847336900000002</v>
      </c>
      <c r="AT69" s="92">
        <f>AT20-Y20</f>
        <v>-44.076220599999999</v>
      </c>
      <c r="AU69" s="92">
        <f>AU20-Z20</f>
        <v>-48.614354900000002</v>
      </c>
      <c r="AV69" s="93">
        <f>AV20-AA20</f>
        <v>-31.528650500000001</v>
      </c>
    </row>
    <row r="70" spans="33:48" x14ac:dyDescent="0.15">
      <c r="AG70" s="91" t="e">
        <f>AG21-L21</f>
        <v>#VALUE!</v>
      </c>
      <c r="AH70" s="91" t="e">
        <f>AH21-M21</f>
        <v>#VALUE!</v>
      </c>
      <c r="AI70" s="91">
        <f>AI21-N21</f>
        <v>-2417984</v>
      </c>
      <c r="AJ70" s="91">
        <f>AJ21-O21</f>
        <v>-5235664</v>
      </c>
      <c r="AK70" s="91">
        <f>AK21-P21</f>
        <v>-722648</v>
      </c>
      <c r="AL70" s="91">
        <f>AL21-Q21</f>
        <v>0</v>
      </c>
      <c r="AM70" s="91">
        <f>AM21-R21</f>
        <v>-496952</v>
      </c>
      <c r="AN70" s="91">
        <f>AN21-S21</f>
        <v>-4000592</v>
      </c>
      <c r="AO70" s="91">
        <f>AO21-T21</f>
        <v>-15472</v>
      </c>
      <c r="AP70" s="91">
        <f>AP21-U21</f>
        <v>-72.2144531</v>
      </c>
      <c r="AQ70" s="92">
        <f>AQ21-V21</f>
        <v>-73.609995900000001</v>
      </c>
      <c r="AR70" s="92">
        <f>AR21-W21</f>
        <v>-37.497583900000002</v>
      </c>
      <c r="AS70" s="92">
        <f>AS21-X21</f>
        <v>-44.034629500000001</v>
      </c>
      <c r="AT70" s="92">
        <f>AT21-Y21</f>
        <v>-45.978520600000003</v>
      </c>
      <c r="AU70" s="92">
        <f>AU21-Z21</f>
        <v>-48.839585200000002</v>
      </c>
      <c r="AV70" s="93">
        <f>AV21-AA21</f>
        <v>-32.779473799999998</v>
      </c>
    </row>
    <row r="71" spans="33:48" x14ac:dyDescent="0.15">
      <c r="AG71" s="91" t="e">
        <f>AG22-L22</f>
        <v>#VALUE!</v>
      </c>
      <c r="AH71" s="91" t="e">
        <f>AH22-M22</f>
        <v>#VALUE!</v>
      </c>
      <c r="AI71" s="91">
        <f>AI22-N22</f>
        <v>-4836096</v>
      </c>
      <c r="AJ71" s="91">
        <f>AJ22-O22</f>
        <v>-10316920</v>
      </c>
      <c r="AK71" s="91">
        <f>AK22-P22</f>
        <v>-1106136</v>
      </c>
      <c r="AL71" s="91">
        <f>AL22-Q22</f>
        <v>0</v>
      </c>
      <c r="AM71" s="91">
        <f>AM22-R22</f>
        <v>-1535952</v>
      </c>
      <c r="AN71" s="91">
        <f>AN22-S22</f>
        <v>-7659552</v>
      </c>
      <c r="AO71" s="91">
        <f>AO22-T22</f>
        <v>-15280</v>
      </c>
      <c r="AP71" s="91">
        <f>AP22-U22</f>
        <v>-78.043440200000006</v>
      </c>
      <c r="AQ71" s="92">
        <f>AQ22-V22</f>
        <v>-80.556524400000001</v>
      </c>
      <c r="AR71" s="92">
        <f>AR22-W22</f>
        <v>-40.461533799999998</v>
      </c>
      <c r="AS71" s="92">
        <f>AS22-X22</f>
        <v>-45.299952699999999</v>
      </c>
      <c r="AT71" s="92">
        <f>AT22-Y22</f>
        <v>-48.027716099999999</v>
      </c>
      <c r="AU71" s="92">
        <f>AU22-Z22</f>
        <v>-51.847111200000001</v>
      </c>
      <c r="AV71" s="93">
        <f>AV22-AA22</f>
        <v>-36.721403600000002</v>
      </c>
    </row>
    <row r="72" spans="33:48" x14ac:dyDescent="0.15">
      <c r="AG72" s="91" t="e">
        <f>AG23-L23</f>
        <v>#VALUE!</v>
      </c>
      <c r="AH72" s="91" t="e">
        <f>AH23-M23</f>
        <v>#VALUE!</v>
      </c>
      <c r="AI72" s="91">
        <f>AI23-N23</f>
        <v>-9673280</v>
      </c>
      <c r="AJ72" s="91">
        <f>AJ23-O23</f>
        <v>-14449512</v>
      </c>
      <c r="AK72" s="91">
        <f>AK23-P23</f>
        <v>-2348776</v>
      </c>
      <c r="AL72" s="91">
        <f>AL23-Q23</f>
        <v>0</v>
      </c>
      <c r="AM72" s="91">
        <f>AM23-R23</f>
        <v>-1389192</v>
      </c>
      <c r="AN72" s="91">
        <f>AN23-S23</f>
        <v>-10696016</v>
      </c>
      <c r="AO72" s="91">
        <f>AO23-T23</f>
        <v>-15528</v>
      </c>
      <c r="AP72" s="91">
        <f>AP23-U23</f>
        <v>-78.929751999999993</v>
      </c>
      <c r="AQ72" s="92">
        <f>AQ23-V23</f>
        <v>-81.765398399999995</v>
      </c>
      <c r="AR72" s="92">
        <f>AR23-W23</f>
        <v>-41.461451500000003</v>
      </c>
      <c r="AS72" s="92">
        <f>AS23-X23</f>
        <v>-45.816602099999997</v>
      </c>
      <c r="AT72" s="92">
        <f>AT23-Y23</f>
        <v>-48.744229799999999</v>
      </c>
      <c r="AU72" s="92">
        <f>AU23-Z23</f>
        <v>-52.626201799999997</v>
      </c>
      <c r="AV72" s="93">
        <f>AV23-AA23</f>
        <v>-37.638381799999998</v>
      </c>
    </row>
    <row r="73" spans="33:48" x14ac:dyDescent="0.15">
      <c r="AG73" s="91" t="e">
        <f>AG24-L24</f>
        <v>#VALUE!</v>
      </c>
      <c r="AH73" s="91" t="e">
        <f>AH24-M24</f>
        <v>#VALUE!</v>
      </c>
      <c r="AI73" s="91">
        <f>AI24-N24</f>
        <v>-9673280</v>
      </c>
      <c r="AJ73" s="91">
        <f>AJ24-O24</f>
        <v>-21486648</v>
      </c>
      <c r="AK73" s="91">
        <f>AK24-P24</f>
        <v>-2114064</v>
      </c>
      <c r="AL73" s="91">
        <f>AL24-Q24</f>
        <v>0</v>
      </c>
      <c r="AM73" s="91">
        <f>AM24-R24</f>
        <v>-1837824</v>
      </c>
      <c r="AN73" s="91">
        <f>AN24-S24</f>
        <v>-17519632</v>
      </c>
      <c r="AO73" s="91">
        <f>AO24-T24</f>
        <v>-15128</v>
      </c>
      <c r="AP73" s="91">
        <f>AP24-U24</f>
        <v>-79.640889000000001</v>
      </c>
      <c r="AQ73" s="92">
        <f>AQ24-V24</f>
        <v>-82.838024599999997</v>
      </c>
      <c r="AR73" s="92">
        <f>AR24-W24</f>
        <v>-42.455773600000001</v>
      </c>
      <c r="AS73" s="92">
        <f>AS24-X24</f>
        <v>-46.899313100000001</v>
      </c>
      <c r="AT73" s="92">
        <f>AT24-Y24</f>
        <v>-50.093077899999997</v>
      </c>
      <c r="AU73" s="92">
        <f>AU24-Z24</f>
        <v>-53.019047899999997</v>
      </c>
      <c r="AV73" s="93">
        <f>AV24-AA24</f>
        <v>-38.4027271</v>
      </c>
    </row>
    <row r="74" spans="33:48" x14ac:dyDescent="0.15">
      <c r="AG74" s="91" t="e">
        <f>AG25-L25</f>
        <v>#VALUE!</v>
      </c>
      <c r="AH74" s="91" t="e">
        <f>AH25-M25</f>
        <v>#VALUE!</v>
      </c>
      <c r="AI74" s="91">
        <f>AI25-N25</f>
        <v>-2455232</v>
      </c>
      <c r="AJ74" s="91">
        <f>AJ25-O25</f>
        <v>-4311040</v>
      </c>
      <c r="AK74" s="91">
        <f>AK25-P25</f>
        <v>-678416</v>
      </c>
      <c r="AL74" s="91">
        <f>AL25-Q25</f>
        <v>0</v>
      </c>
      <c r="AM74" s="91">
        <f>AM25-R25</f>
        <v>-560048</v>
      </c>
      <c r="AN74" s="91">
        <f>AN25-S25</f>
        <v>-3057216</v>
      </c>
      <c r="AO74" s="91">
        <f>AO25-T25</f>
        <v>-15360</v>
      </c>
      <c r="AP74" s="91">
        <f>AP25-U25</f>
        <v>-74.157655500000004</v>
      </c>
      <c r="AQ74" s="92">
        <f>AQ25-V25</f>
        <v>-76.075621999999996</v>
      </c>
      <c r="AR74" s="92">
        <f>AR25-W25</f>
        <v>-31.567978499999999</v>
      </c>
      <c r="AS74" s="92">
        <f>AS25-X25</f>
        <v>-40.631747599999997</v>
      </c>
      <c r="AT74" s="92">
        <f>AT25-Y25</f>
        <v>-36.946113500000003</v>
      </c>
      <c r="AU74" s="92">
        <f>AU25-Z25</f>
        <v>-44.636576699999999</v>
      </c>
      <c r="AV74" s="93">
        <f>AV25-AA25</f>
        <v>-28.855127</v>
      </c>
    </row>
    <row r="75" spans="33:48" x14ac:dyDescent="0.15">
      <c r="AG75" s="91" t="e">
        <f>AG26-L26</f>
        <v>#VALUE!</v>
      </c>
      <c r="AH75" s="91" t="e">
        <f>AH26-M26</f>
        <v>#VALUE!</v>
      </c>
      <c r="AI75" s="91">
        <f>AI26-N26</f>
        <v>-4912768</v>
      </c>
      <c r="AJ75" s="91">
        <f>AJ26-O26</f>
        <v>-8451816</v>
      </c>
      <c r="AK75" s="91">
        <f>AK26-P26</f>
        <v>-1143168</v>
      </c>
      <c r="AL75" s="91">
        <f>AL26-Q26</f>
        <v>0</v>
      </c>
      <c r="AM75" s="91">
        <f>AM26-R26</f>
        <v>-839360</v>
      </c>
      <c r="AN75" s="91">
        <f>AN26-S26</f>
        <v>-6453648</v>
      </c>
      <c r="AO75" s="91">
        <f>AO26-T26</f>
        <v>-15640</v>
      </c>
      <c r="AP75" s="91">
        <f>AP26-U26</f>
        <v>-77.1953374</v>
      </c>
      <c r="AQ75" s="92">
        <f>AQ26-V26</f>
        <v>-79.719657900000001</v>
      </c>
      <c r="AR75" s="92">
        <f>AR26-W26</f>
        <v>-34.017068199999997</v>
      </c>
      <c r="AS75" s="92">
        <f>AS26-X26</f>
        <v>-42.4719464</v>
      </c>
      <c r="AT75" s="92">
        <f>AT26-Y26</f>
        <v>-39.830898699999999</v>
      </c>
      <c r="AU75" s="92">
        <f>AU26-Z26</f>
        <v>-46.282108000000001</v>
      </c>
      <c r="AV75" s="93">
        <f>AV26-AA26</f>
        <v>-31.544606300000002</v>
      </c>
    </row>
    <row r="76" spans="33:48" x14ac:dyDescent="0.15">
      <c r="AG76" s="91" t="e">
        <f>AG27-L27</f>
        <v>#VALUE!</v>
      </c>
      <c r="AH76" s="91" t="e">
        <f>AH27-M27</f>
        <v>#VALUE!</v>
      </c>
      <c r="AI76" s="91">
        <f>AI27-N27</f>
        <v>-9827968</v>
      </c>
      <c r="AJ76" s="91">
        <f>AJ27-O27</f>
        <v>-12426456</v>
      </c>
      <c r="AK76" s="91">
        <f>AK27-P27</f>
        <v>-2167600</v>
      </c>
      <c r="AL76" s="91">
        <f>AL27-Q27</f>
        <v>0</v>
      </c>
      <c r="AM76" s="91">
        <f>AM27-R27</f>
        <v>-675920</v>
      </c>
      <c r="AN76" s="91">
        <f>AN27-S27</f>
        <v>-9567576</v>
      </c>
      <c r="AO76" s="91">
        <f>AO27-T27</f>
        <v>-15360</v>
      </c>
      <c r="AP76" s="91">
        <f>AP27-U27</f>
        <v>-78.8876767</v>
      </c>
      <c r="AQ76" s="92">
        <f>AQ27-V27</f>
        <v>-81.869365099999996</v>
      </c>
      <c r="AR76" s="92">
        <f>AR27-W27</f>
        <v>-34.918954900000003</v>
      </c>
      <c r="AS76" s="92">
        <f>AS27-X27</f>
        <v>-43.6738529</v>
      </c>
      <c r="AT76" s="92">
        <f>AT27-Y27</f>
        <v>-41.621094100000001</v>
      </c>
      <c r="AU76" s="92">
        <f>AU27-Z27</f>
        <v>-47.604317899999998</v>
      </c>
      <c r="AV76" s="93">
        <f>AV27-AA27</f>
        <v>-32.6911585</v>
      </c>
    </row>
    <row r="77" spans="33:48" x14ac:dyDescent="0.15">
      <c r="AG77" s="91" t="e">
        <f>AG28-L28</f>
        <v>#VALUE!</v>
      </c>
      <c r="AH77" s="91" t="e">
        <f>AH28-M28</f>
        <v>#VALUE!</v>
      </c>
      <c r="AI77" s="91">
        <f>AI28-N28</f>
        <v>-19659392</v>
      </c>
      <c r="AJ77" s="91">
        <f>AJ28-O28</f>
        <v>-17672592</v>
      </c>
      <c r="AK77" s="91">
        <f>AK28-P28</f>
        <v>-4237048</v>
      </c>
      <c r="AL77" s="91">
        <f>AL28-Q28</f>
        <v>0</v>
      </c>
      <c r="AM77" s="91">
        <f>AM28-R28</f>
        <v>-644408</v>
      </c>
      <c r="AN77" s="91">
        <f>AN28-S28</f>
        <v>-12775736</v>
      </c>
      <c r="AO77" s="91">
        <f>AO28-T28</f>
        <v>-15400</v>
      </c>
      <c r="AP77" s="91">
        <f>AP28-U28</f>
        <v>-80.641095800000002</v>
      </c>
      <c r="AQ77" s="92">
        <f>AQ28-V28</f>
        <v>-84.398615000000007</v>
      </c>
      <c r="AR77" s="92">
        <f>AR28-W28</f>
        <v>-35.663421900000003</v>
      </c>
      <c r="AS77" s="92">
        <f>AS28-X28</f>
        <v>-43.984534699999998</v>
      </c>
      <c r="AT77" s="92">
        <f>AT28-Y28</f>
        <v>-42.090184499999999</v>
      </c>
      <c r="AU77" s="92">
        <f>AU28-Z28</f>
        <v>-49.032390999999997</v>
      </c>
      <c r="AV77" s="93">
        <f>AV28-AA28</f>
        <v>-33.902945799999998</v>
      </c>
    </row>
    <row r="78" spans="33:48" x14ac:dyDescent="0.15">
      <c r="AG78" s="91" t="e">
        <f>AG29-L29</f>
        <v>#VALUE!</v>
      </c>
      <c r="AH78" s="91" t="e">
        <f>AH29-M29</f>
        <v>#VALUE!</v>
      </c>
      <c r="AI78" s="91">
        <f>AI29-N29</f>
        <v>-14745456</v>
      </c>
      <c r="AJ78" s="91">
        <f>AJ29-O29</f>
        <v>-26241936</v>
      </c>
      <c r="AK78" s="91">
        <f>AK29-P29</f>
        <v>-9155136</v>
      </c>
      <c r="AL78" s="91">
        <f>AL29-Q29</f>
        <v>0</v>
      </c>
      <c r="AM78" s="91">
        <f>AM29-R29</f>
        <v>-885112</v>
      </c>
      <c r="AN78" s="91">
        <f>AN29-S29</f>
        <v>-16188640</v>
      </c>
      <c r="AO78" s="91">
        <f>AO29-T29</f>
        <v>-13048</v>
      </c>
      <c r="AP78" s="91">
        <f>AP29-U29</f>
        <v>-85.019511800000004</v>
      </c>
      <c r="AQ78" s="92">
        <f>AQ29-V29</f>
        <v>-90.733210900000003</v>
      </c>
      <c r="AR78" s="92">
        <f>AR29-W29</f>
        <v>-36.390691799999999</v>
      </c>
      <c r="AS78" s="92">
        <f>AS29-X29</f>
        <v>-44.296756199999997</v>
      </c>
      <c r="AT78" s="92">
        <f>AT29-Y29</f>
        <v>-42.525190199999997</v>
      </c>
      <c r="AU78" s="92">
        <f>AU29-Z29</f>
        <v>-53.197172000000002</v>
      </c>
      <c r="AV78" s="93">
        <f>AV29-AA29</f>
        <v>-35.566122499999999</v>
      </c>
    </row>
    <row r="79" spans="33:48" x14ac:dyDescent="0.15">
      <c r="AG79" s="91" t="e">
        <f>AG30-L30</f>
        <v>#VALUE!</v>
      </c>
      <c r="AH79" s="91" t="e">
        <f>AH30-M30</f>
        <v>#VALUE!</v>
      </c>
      <c r="AI79" s="91">
        <f>AI30-N30</f>
        <v>-2423936</v>
      </c>
      <c r="AJ79" s="91">
        <f>AJ30-O30</f>
        <v>-3677720</v>
      </c>
      <c r="AK79" s="91">
        <f>AK30-P30</f>
        <v>-379192</v>
      </c>
      <c r="AL79" s="91">
        <f>AL30-Q30</f>
        <v>-62784</v>
      </c>
      <c r="AM79" s="91">
        <f>AM30-R30</f>
        <v>-520336</v>
      </c>
      <c r="AN79" s="91">
        <f>AN30-S30</f>
        <v>-2700248</v>
      </c>
      <c r="AO79" s="91">
        <f>AO30-T30</f>
        <v>-15160</v>
      </c>
      <c r="AP79" s="91">
        <f>AP30-U30</f>
        <v>-74.7672563</v>
      </c>
      <c r="AQ79" s="92">
        <f>AQ30-V30</f>
        <v>-76.558765899999997</v>
      </c>
      <c r="AR79" s="92">
        <f>AR30-W30</f>
        <v>-38.751100399999999</v>
      </c>
      <c r="AS79" s="92">
        <f>AS30-X30</f>
        <v>-44.557032200000002</v>
      </c>
      <c r="AT79" s="92">
        <f>AT30-Y30</f>
        <v>-43.192238099999997</v>
      </c>
      <c r="AU79" s="92">
        <f>AU30-Z30</f>
        <v>-47.552963499999997</v>
      </c>
      <c r="AV79" s="93">
        <f>AV30-AA30</f>
        <v>-35.382253300000002</v>
      </c>
    </row>
    <row r="80" spans="33:48" x14ac:dyDescent="0.15">
      <c r="AG80" s="91" t="e">
        <f>AG31-L31</f>
        <v>#VALUE!</v>
      </c>
      <c r="AH80" s="91" t="e">
        <f>AH31-M31</f>
        <v>#VALUE!</v>
      </c>
      <c r="AI80" s="91">
        <f>AI31-N31</f>
        <v>-1220960</v>
      </c>
      <c r="AJ80" s="91">
        <f>AJ31-O31</f>
        <v>-7673640</v>
      </c>
      <c r="AK80" s="91">
        <f>AK31-P31</f>
        <v>-693816</v>
      </c>
      <c r="AL80" s="91">
        <f>AL31-Q31</f>
        <v>-87416</v>
      </c>
      <c r="AM80" s="91">
        <f>AM31-R31</f>
        <v>-861472</v>
      </c>
      <c r="AN80" s="91">
        <f>AN31-S31</f>
        <v>-6017640</v>
      </c>
      <c r="AO80" s="91">
        <f>AO31-T31</f>
        <v>-13296</v>
      </c>
      <c r="AP80" s="91">
        <f>AP31-U31</f>
        <v>-76.612118499999994</v>
      </c>
      <c r="AQ80" s="92">
        <f>AQ31-V31</f>
        <v>-78.715101099999998</v>
      </c>
      <c r="AR80" s="92">
        <f>AR31-W31</f>
        <v>-41.072826300000003</v>
      </c>
      <c r="AS80" s="92">
        <f>AS31-X31</f>
        <v>-45.8814998</v>
      </c>
      <c r="AT80" s="92">
        <f>AT31-Y31</f>
        <v>-44.720713400000001</v>
      </c>
      <c r="AU80" s="92">
        <f>AU31-Z31</f>
        <v>-48.295054</v>
      </c>
      <c r="AV80" s="93">
        <f>AV31-AA31</f>
        <v>-36.8449071</v>
      </c>
    </row>
    <row r="81" spans="33:48" x14ac:dyDescent="0.15">
      <c r="AG81" s="91" t="e">
        <f>AG32-L32</f>
        <v>#VALUE!</v>
      </c>
      <c r="AH81" s="91" t="e">
        <f>AH32-M32</f>
        <v>#VALUE!</v>
      </c>
      <c r="AI81" s="91">
        <f>AI32-N32</f>
        <v>-4908848</v>
      </c>
      <c r="AJ81" s="91">
        <f>AJ32-O32</f>
        <v>-11868632</v>
      </c>
      <c r="AK81" s="91">
        <f>AK32-P32</f>
        <v>-2192992</v>
      </c>
      <c r="AL81" s="91">
        <f>AL32-Q32</f>
        <v>-222920</v>
      </c>
      <c r="AM81" s="91">
        <f>AM32-R32</f>
        <v>-894288</v>
      </c>
      <c r="AN81" s="91">
        <f>AN32-S32</f>
        <v>-8545424</v>
      </c>
      <c r="AO81" s="91">
        <f>AO32-T32</f>
        <v>-13008</v>
      </c>
      <c r="AP81" s="91">
        <f>AP32-U32</f>
        <v>-80.074134099999995</v>
      </c>
      <c r="AQ81" s="92">
        <f>AQ32-V32</f>
        <v>-83.135640800000004</v>
      </c>
      <c r="AR81" s="92">
        <f>AR32-W32</f>
        <v>-42.2471526</v>
      </c>
      <c r="AS81" s="92">
        <f>AS32-X32</f>
        <v>-46.660329400000002</v>
      </c>
      <c r="AT81" s="92">
        <f>AT32-Y32</f>
        <v>-45.729396100000002</v>
      </c>
      <c r="AU81" s="92">
        <f>AU32-Z32</f>
        <v>-50.696914999999997</v>
      </c>
      <c r="AV81" s="93">
        <f>AV32-AA32</f>
        <v>-39.144477000000002</v>
      </c>
    </row>
    <row r="82" spans="33:48" x14ac:dyDescent="0.15">
      <c r="AG82" s="91" t="e">
        <f>AG33-L33</f>
        <v>#VALUE!</v>
      </c>
      <c r="AH82" s="91" t="e">
        <f>AH33-M33</f>
        <v>#VALUE!</v>
      </c>
      <c r="AI82" s="91">
        <f>AI33-N33</f>
        <v>-4908848</v>
      </c>
      <c r="AJ82" s="91">
        <f>AJ33-O33</f>
        <v>-16656712</v>
      </c>
      <c r="AK82" s="91">
        <f>AK33-P33</f>
        <v>-2192992</v>
      </c>
      <c r="AL82" s="91">
        <f>AL33-Q33</f>
        <v>-222920</v>
      </c>
      <c r="AM82" s="91">
        <f>AM33-R33</f>
        <v>-1829288</v>
      </c>
      <c r="AN82" s="91">
        <f>AN33-S33</f>
        <v>-12398296</v>
      </c>
      <c r="AO82" s="91">
        <f>AO33-T33</f>
        <v>-13216</v>
      </c>
      <c r="AP82" s="91">
        <f>AP33-U33</f>
        <v>-81.461074300000007</v>
      </c>
      <c r="AQ82" s="92">
        <f>AQ33-V33</f>
        <v>-85.405360599999995</v>
      </c>
      <c r="AR82" s="92">
        <f>AR33-W33</f>
        <v>-43.214677799999997</v>
      </c>
      <c r="AS82" s="92">
        <f>AS33-X33</f>
        <v>-47.7194255</v>
      </c>
      <c r="AT82" s="92">
        <f>AT33-Y33</f>
        <v>-46.9168667</v>
      </c>
      <c r="AU82" s="92">
        <f>AU33-Z33</f>
        <v>-51.746952999999998</v>
      </c>
      <c r="AV82" s="93">
        <f>AV33-AA33</f>
        <v>-40.359188199999998</v>
      </c>
    </row>
    <row r="83" spans="33:48" x14ac:dyDescent="0.15">
      <c r="AG83" s="91" t="e">
        <f>AG34-L34</f>
        <v>#VALUE!</v>
      </c>
      <c r="AH83" s="91" t="e">
        <f>AH34-M34</f>
        <v>#VALUE!</v>
      </c>
      <c r="AI83" s="91">
        <f>AI34-N34</f>
        <v>-12284608</v>
      </c>
      <c r="AJ83" s="91">
        <f>AJ34-O34</f>
        <v>-22745304</v>
      </c>
      <c r="AK83" s="91">
        <f>AK34-P34</f>
        <v>-4722464</v>
      </c>
      <c r="AL83" s="91">
        <f>AL34-Q34</f>
        <v>-1107040</v>
      </c>
      <c r="AM83" s="91">
        <f>AM34-R34</f>
        <v>-355160</v>
      </c>
      <c r="AN83" s="91">
        <f>AN34-S34</f>
        <v>-16547808</v>
      </c>
      <c r="AO83" s="91">
        <f>AO34-T34</f>
        <v>-12832</v>
      </c>
      <c r="AP83" s="91">
        <f>AP34-U34</f>
        <v>-84.428205700000007</v>
      </c>
      <c r="AQ83" s="92">
        <f>AQ34-V34</f>
        <v>-89.055407799999998</v>
      </c>
      <c r="AR83" s="92">
        <f>AR34-W34</f>
        <v>-44.245697700000001</v>
      </c>
      <c r="AS83" s="92">
        <f>AS34-X34</f>
        <v>-48.390090700000002</v>
      </c>
      <c r="AT83" s="92">
        <f>AT34-Y34</f>
        <v>-47.698062299999997</v>
      </c>
      <c r="AU83" s="92">
        <f>AU34-Z34</f>
        <v>-54.241084800000003</v>
      </c>
      <c r="AV83" s="93">
        <f>AV34-AA34</f>
        <v>-42.293211100000001</v>
      </c>
    </row>
    <row r="84" spans="33:48" x14ac:dyDescent="0.15">
      <c r="AG84" s="91" t="e">
        <f>AG35-L35</f>
        <v>#VALUE!</v>
      </c>
      <c r="AH84" s="91" t="e">
        <f>AH35-M35</f>
        <v>#VALUE!</v>
      </c>
      <c r="AI84" s="91">
        <f>AI35-N35</f>
        <v>-3680512</v>
      </c>
      <c r="AJ84" s="91">
        <f>AJ35-O35</f>
        <v>-3058576</v>
      </c>
      <c r="AK84" s="91">
        <f>AK35-P35</f>
        <v>-419584</v>
      </c>
      <c r="AL84" s="91">
        <f>AL35-Q35</f>
        <v>-69168</v>
      </c>
      <c r="AM84" s="91">
        <f>AM35-R35</f>
        <v>-304720</v>
      </c>
      <c r="AN84" s="91">
        <f>AN35-S35</f>
        <v>-2249616</v>
      </c>
      <c r="AO84" s="91">
        <f>AO35-T35</f>
        <v>-15488</v>
      </c>
      <c r="AP84" s="91">
        <f>AP35-U35</f>
        <v>-73.723121399999997</v>
      </c>
      <c r="AQ84" s="92">
        <f>AQ35-V35</f>
        <v>-75.431737600000005</v>
      </c>
      <c r="AR84" s="92">
        <f>AR35-W35</f>
        <v>-30.1424907</v>
      </c>
      <c r="AS84" s="92">
        <f>AS35-X35</f>
        <v>-38.8135531</v>
      </c>
      <c r="AT84" s="92">
        <f>AT35-Y35</f>
        <v>-38.9584677</v>
      </c>
      <c r="AU84" s="92">
        <f>AU35-Z35</f>
        <v>-48.826179000000003</v>
      </c>
      <c r="AV84" s="93">
        <f>AV35-AA35</f>
        <v>-29.318579199999999</v>
      </c>
    </row>
    <row r="85" spans="33:48" x14ac:dyDescent="0.15">
      <c r="AG85" s="91" t="e">
        <f>AG36-L36</f>
        <v>#VALUE!</v>
      </c>
      <c r="AH85" s="91" t="e">
        <f>AH36-M36</f>
        <v>#VALUE!</v>
      </c>
      <c r="AI85" s="91">
        <f>AI36-N36</f>
        <v>-7364992</v>
      </c>
      <c r="AJ85" s="91">
        <f>AJ36-O36</f>
        <v>-4136744</v>
      </c>
      <c r="AK85" s="91">
        <f>AK36-P36</f>
        <v>-666720</v>
      </c>
      <c r="AL85" s="91">
        <f>AL36-Q36</f>
        <v>-132496</v>
      </c>
      <c r="AM85" s="91">
        <f>AM36-R36</f>
        <v>-129632</v>
      </c>
      <c r="AN85" s="91">
        <f>AN36-S36</f>
        <v>-3192456</v>
      </c>
      <c r="AO85" s="91">
        <f>AO36-T36</f>
        <v>-15440</v>
      </c>
      <c r="AP85" s="91">
        <f>AP36-U36</f>
        <v>-74.048676599999993</v>
      </c>
      <c r="AQ85" s="92">
        <f>AQ36-V36</f>
        <v>-75.767925700000006</v>
      </c>
      <c r="AR85" s="92">
        <f>AR36-W36</f>
        <v>-30.6266319</v>
      </c>
      <c r="AS85" s="92">
        <f>AS36-X36</f>
        <v>-38.9507902</v>
      </c>
      <c r="AT85" s="92">
        <f>AT36-Y36</f>
        <v>-39.078558299999997</v>
      </c>
      <c r="AU85" s="92">
        <f>AU36-Z36</f>
        <v>-49.115073899999999</v>
      </c>
      <c r="AV85" s="93">
        <f>AV36-AA36</f>
        <v>-29.669046699999999</v>
      </c>
    </row>
    <row r="86" spans="33:48" x14ac:dyDescent="0.15">
      <c r="AG86" s="91" t="e">
        <f>AG37-L37</f>
        <v>#VALUE!</v>
      </c>
      <c r="AH86" s="91" t="e">
        <f>AH37-M37</f>
        <v>#VALUE!</v>
      </c>
      <c r="AI86" s="91">
        <f>AI37-N37</f>
        <v>-7364992</v>
      </c>
      <c r="AJ86" s="91">
        <f>AJ37-O37</f>
        <v>-6134632</v>
      </c>
      <c r="AK86" s="91">
        <f>AK37-P37</f>
        <v>-666720</v>
      </c>
      <c r="AL86" s="91">
        <f>AL37-Q37</f>
        <v>-132496</v>
      </c>
      <c r="AM86" s="91">
        <f>AM37-R37</f>
        <v>-439240</v>
      </c>
      <c r="AN86" s="91">
        <f>AN37-S37</f>
        <v>-4880520</v>
      </c>
      <c r="AO86" s="91">
        <f>AO37-T37</f>
        <v>-15656</v>
      </c>
      <c r="AP86" s="91">
        <f>AP37-U37</f>
        <v>-76.793003600000006</v>
      </c>
      <c r="AQ86" s="92">
        <f>AQ37-V37</f>
        <v>-78.964326700000001</v>
      </c>
      <c r="AR86" s="92">
        <f>AR37-W37</f>
        <v>-31.257937999999999</v>
      </c>
      <c r="AS86" s="92">
        <f>AS37-X37</f>
        <v>-39.027519099999999</v>
      </c>
      <c r="AT86" s="92">
        <f>AT37-Y37</f>
        <v>-39.217070800000002</v>
      </c>
      <c r="AU86" s="92">
        <f>AU37-Z37</f>
        <v>-50.6566744</v>
      </c>
      <c r="AV86" s="93">
        <f>AV37-AA37</f>
        <v>-30.444259899999999</v>
      </c>
    </row>
    <row r="87" spans="33:48" x14ac:dyDescent="0.15">
      <c r="AG87" s="91" t="e">
        <f>AG38-L38</f>
        <v>#VALUE!</v>
      </c>
      <c r="AH87" s="91" t="e">
        <f>AH38-M38</f>
        <v>#VALUE!</v>
      </c>
      <c r="AI87" s="91">
        <f>AI38-N38</f>
        <v>-14733568</v>
      </c>
      <c r="AJ87" s="91">
        <f>AJ38-O38</f>
        <v>-8195600</v>
      </c>
      <c r="AK87" s="91">
        <f>AK38-P38</f>
        <v>-1300408</v>
      </c>
      <c r="AL87" s="91">
        <f>AL38-Q38</f>
        <v>-316728</v>
      </c>
      <c r="AM87" s="91">
        <f>AM38-R38</f>
        <v>-407768</v>
      </c>
      <c r="AN87" s="91">
        <f>AN38-S38</f>
        <v>-6155176</v>
      </c>
      <c r="AO87" s="91">
        <f>AO38-T38</f>
        <v>-15520</v>
      </c>
      <c r="AP87" s="91">
        <f>AP38-U38</f>
        <v>-79.392299800000004</v>
      </c>
      <c r="AQ87" s="92">
        <f>AQ38-V38</f>
        <v>-82.223501999999996</v>
      </c>
      <c r="AR87" s="92">
        <f>AR38-W38</f>
        <v>-31.682774899999998</v>
      </c>
      <c r="AS87" s="92">
        <f>AS38-X38</f>
        <v>-39.1103807</v>
      </c>
      <c r="AT87" s="92">
        <f>AT38-Y38</f>
        <v>-39.381171700000003</v>
      </c>
      <c r="AU87" s="92">
        <f>AU38-Z38</f>
        <v>-52.061653399999997</v>
      </c>
      <c r="AV87" s="93">
        <f>AV38-AA38</f>
        <v>-31.038940700000001</v>
      </c>
    </row>
    <row r="88" spans="33:48" x14ac:dyDescent="0.15">
      <c r="AG88" s="91" t="e">
        <f>AG39-L39</f>
        <v>#VALUE!</v>
      </c>
      <c r="AH88" s="91" t="e">
        <f>AH39-M39</f>
        <v>#VALUE!</v>
      </c>
      <c r="AI88" s="91">
        <f>AI39-N39</f>
        <v>-22099520</v>
      </c>
      <c r="AJ88" s="91">
        <f>AJ39-O39</f>
        <v>-12363200</v>
      </c>
      <c r="AK88" s="91">
        <f>AK39-P39</f>
        <v>-1830888</v>
      </c>
      <c r="AL88" s="91">
        <f>AL39-Q39</f>
        <v>-455360</v>
      </c>
      <c r="AM88" s="91">
        <f>AM39-R39</f>
        <v>-364048</v>
      </c>
      <c r="AN88" s="91">
        <f>AN39-S39</f>
        <v>-9697736</v>
      </c>
      <c r="AO88" s="91">
        <f>AO39-T39</f>
        <v>-15168</v>
      </c>
      <c r="AP88" s="91">
        <f>AP39-U39</f>
        <v>-80.693656399999995</v>
      </c>
      <c r="AQ88" s="92">
        <f>AQ39-V39</f>
        <v>-83.989220700000004</v>
      </c>
      <c r="AR88" s="92">
        <f>AR39-W39</f>
        <v>-32.456944700000001</v>
      </c>
      <c r="AS88" s="92">
        <f>AS39-X39</f>
        <v>-39.1929576</v>
      </c>
      <c r="AT88" s="92">
        <f>AT39-Y39</f>
        <v>-39.5269415</v>
      </c>
      <c r="AU88" s="92">
        <f>AU39-Z39</f>
        <v>-52.908071499999998</v>
      </c>
      <c r="AV88" s="93">
        <f>AV39-AA39</f>
        <v>-31.788064599999998</v>
      </c>
    </row>
    <row r="89" spans="33:48" x14ac:dyDescent="0.15">
      <c r="AG89" s="91" t="e">
        <f>AG40-L40</f>
        <v>#VALUE!</v>
      </c>
      <c r="AH89" s="91" t="e">
        <f>AH40-M40</f>
        <v>#VALUE!</v>
      </c>
      <c r="AI89" s="91">
        <f>AI40-N40</f>
        <v>-3682048</v>
      </c>
      <c r="AJ89" s="91">
        <f>AJ40-O40</f>
        <v>-3017088</v>
      </c>
      <c r="AK89" s="91">
        <f>AK40-P40</f>
        <v>-341512</v>
      </c>
      <c r="AL89" s="91">
        <f>AL40-Q40</f>
        <v>-7400</v>
      </c>
      <c r="AM89" s="91">
        <f>AM40-R40</f>
        <v>-289424</v>
      </c>
      <c r="AN89" s="91">
        <f>AN40-S40</f>
        <v>-2362912</v>
      </c>
      <c r="AO89" s="91">
        <f>AO40-T40</f>
        <v>-15840</v>
      </c>
      <c r="AP89" s="91">
        <f>AP40-U40</f>
        <v>-74.734860299999994</v>
      </c>
      <c r="AQ89" s="92">
        <f>AQ40-V40</f>
        <v>-76.3604658</v>
      </c>
      <c r="AR89" s="92">
        <f>AR40-W40</f>
        <v>-33.342560300000002</v>
      </c>
      <c r="AS89" s="92">
        <f>AS40-X40</f>
        <v>-42.545560299999998</v>
      </c>
      <c r="AT89" s="92">
        <f>AT40-Y40</f>
        <v>-42.905672099999997</v>
      </c>
      <c r="AU89" s="92">
        <f>AU40-Z40</f>
        <v>-49.479158900000002</v>
      </c>
      <c r="AV89" s="93">
        <f>AV40-AA40</f>
        <v>-32.484505200000001</v>
      </c>
    </row>
    <row r="90" spans="33:48" x14ac:dyDescent="0.15">
      <c r="AG90" s="91" t="e">
        <f>AG41-L41</f>
        <v>#VALUE!</v>
      </c>
      <c r="AH90" s="91" t="e">
        <f>AH41-M41</f>
        <v>#VALUE!</v>
      </c>
      <c r="AI90" s="91">
        <f>AI41-N41</f>
        <v>-7369024</v>
      </c>
      <c r="AJ90" s="91">
        <f>AJ41-O41</f>
        <v>-3948872</v>
      </c>
      <c r="AK90" s="91">
        <f>AK41-P41</f>
        <v>-654192</v>
      </c>
      <c r="AL90" s="91">
        <f>AL41-Q41</f>
        <v>-68528</v>
      </c>
      <c r="AM90" s="91">
        <f>AM41-R41</f>
        <v>-296440</v>
      </c>
      <c r="AN90" s="91">
        <f>AN41-S41</f>
        <v>-2914120</v>
      </c>
      <c r="AO90" s="91">
        <f>AO41-T41</f>
        <v>-15592</v>
      </c>
      <c r="AP90" s="91">
        <f>AP41-U41</f>
        <v>-76.738378400000002</v>
      </c>
      <c r="AQ90" s="92">
        <f>AQ41-V41</f>
        <v>-78.672499900000005</v>
      </c>
      <c r="AR90" s="92">
        <f>AR41-W41</f>
        <v>-33.674899199999999</v>
      </c>
      <c r="AS90" s="92">
        <f>AS41-X41</f>
        <v>-42.728313800000002</v>
      </c>
      <c r="AT90" s="92">
        <f>AT41-Y41</f>
        <v>-43.1935109</v>
      </c>
      <c r="AU90" s="92">
        <f>AU41-Z41</f>
        <v>-50.824359000000001</v>
      </c>
      <c r="AV90" s="93">
        <f>AV41-AA41</f>
        <v>-33.017624599999998</v>
      </c>
    </row>
    <row r="91" spans="33:48" x14ac:dyDescent="0.15">
      <c r="AG91" s="91" t="e">
        <f>AG42-L42</f>
        <v>#VALUE!</v>
      </c>
      <c r="AH91" s="91" t="e">
        <f>AH42-M42</f>
        <v>#VALUE!</v>
      </c>
      <c r="AI91" s="91">
        <f>AI42-N42</f>
        <v>-14739584</v>
      </c>
      <c r="AJ91" s="91">
        <f>AJ42-O42</f>
        <v>-6120872</v>
      </c>
      <c r="AK91" s="91">
        <f>AK42-P42</f>
        <v>-1162904</v>
      </c>
      <c r="AL91" s="91">
        <f>AL42-Q42</f>
        <v>-129024</v>
      </c>
      <c r="AM91" s="91">
        <f>AM42-R42</f>
        <v>-221256</v>
      </c>
      <c r="AN91" s="91">
        <f>AN42-S42</f>
        <v>-4592328</v>
      </c>
      <c r="AO91" s="91">
        <f>AO42-T42</f>
        <v>-15360</v>
      </c>
      <c r="AP91" s="91">
        <f>AP42-U42</f>
        <v>-78.634876399999996</v>
      </c>
      <c r="AQ91" s="92">
        <f>AQ42-V42</f>
        <v>-80.922779700000007</v>
      </c>
      <c r="AR91" s="92">
        <f>AR42-W42</f>
        <v>-34.288735600000003</v>
      </c>
      <c r="AS91" s="92">
        <f>AS42-X42</f>
        <v>-42.869700999999999</v>
      </c>
      <c r="AT91" s="92">
        <f>AT42-Y42</f>
        <v>-43.440233900000003</v>
      </c>
      <c r="AU91" s="92">
        <f>AU42-Z42</f>
        <v>-52.018354500000001</v>
      </c>
      <c r="AV91" s="93">
        <f>AV42-AA42</f>
        <v>-33.678777699999998</v>
      </c>
    </row>
    <row r="92" spans="33:48" x14ac:dyDescent="0.15">
      <c r="AG92" s="91" t="e">
        <f>AG43-L43</f>
        <v>#VALUE!</v>
      </c>
      <c r="AH92" s="91" t="e">
        <f>AH43-M43</f>
        <v>#VALUE!</v>
      </c>
      <c r="AI92" s="91">
        <f>AI43-N43</f>
        <v>-14739584</v>
      </c>
      <c r="AJ92" s="91">
        <f>AJ43-O43</f>
        <v>-8092704</v>
      </c>
      <c r="AK92" s="91">
        <f>AK43-P43</f>
        <v>-1162904</v>
      </c>
      <c r="AL92" s="91">
        <f>AL43-Q43</f>
        <v>-129024</v>
      </c>
      <c r="AM92" s="91">
        <f>AM43-R43</f>
        <v>-483288</v>
      </c>
      <c r="AN92" s="91">
        <f>AN43-S43</f>
        <v>-6302056</v>
      </c>
      <c r="AO92" s="91">
        <f>AO43-T43</f>
        <v>-15432</v>
      </c>
      <c r="AP92" s="91">
        <f>AP43-U43</f>
        <v>-79.947022700000005</v>
      </c>
      <c r="AQ92" s="92">
        <f>AQ43-V43</f>
        <v>-82.713776499999994</v>
      </c>
      <c r="AR92" s="92">
        <f>AR43-W43</f>
        <v>-34.355339600000001</v>
      </c>
      <c r="AS92" s="92">
        <f>AS43-X43</f>
        <v>-43.007177800000001</v>
      </c>
      <c r="AT92" s="92">
        <f>AT43-Y43</f>
        <v>-43.625356099999998</v>
      </c>
      <c r="AU92" s="92">
        <f>AU43-Z43</f>
        <v>-52.748548599999999</v>
      </c>
      <c r="AV92" s="93">
        <f>AV43-AA43</f>
        <v>-33.781710400000001</v>
      </c>
    </row>
    <row r="93" spans="33:48" ht="15.75" customHeight="1" thickBot="1" x14ac:dyDescent="0.2">
      <c r="AG93" s="94" t="e">
        <f>AG44-L44</f>
        <v>#VALUE!</v>
      </c>
      <c r="AH93" s="94" t="e">
        <f>AH44-M44</f>
        <v>#VALUE!</v>
      </c>
      <c r="AI93" s="94">
        <f>AI44-N44</f>
        <v>-22110080</v>
      </c>
      <c r="AJ93" s="94">
        <f>AJ44-O44</f>
        <v>-12404456</v>
      </c>
      <c r="AK93" s="94">
        <f>AK44-P44</f>
        <v>-1637032</v>
      </c>
      <c r="AL93" s="94">
        <f>AL44-Q44</f>
        <v>-189784</v>
      </c>
      <c r="AM93" s="94">
        <f>AM44-R44</f>
        <v>-493304</v>
      </c>
      <c r="AN93" s="94">
        <f>AN44-S44</f>
        <v>-10069184</v>
      </c>
      <c r="AO93" s="94">
        <f>AO44-T44</f>
        <v>-15152</v>
      </c>
      <c r="AP93" s="94">
        <f>AP44-U44</f>
        <v>-81.354177800000002</v>
      </c>
      <c r="AQ93" s="95">
        <f>AQ44-V44</f>
        <v>-84.628891999999993</v>
      </c>
      <c r="AR93" s="95">
        <f>AR44-W44</f>
        <v>-34.918236399999998</v>
      </c>
      <c r="AS93" s="95">
        <f>AS44-X44</f>
        <v>-43.101718200000001</v>
      </c>
      <c r="AT93" s="95">
        <f>AT44-Y44</f>
        <v>-43.760803899999999</v>
      </c>
      <c r="AU93" s="95">
        <f>AU44-Z44</f>
        <v>-53.607817900000001</v>
      </c>
      <c r="AV93" s="96">
        <f>AV44-AA44</f>
        <v>-34.364229299999998</v>
      </c>
    </row>
    <row r="94" spans="33:48" x14ac:dyDescent="0.15">
      <c r="AG94" s="91" t="e">
        <f>#REF!-#REF!</f>
        <v>#REF!</v>
      </c>
      <c r="AH94" s="91" t="e">
        <f>#REF!-#REF!</f>
        <v>#REF!</v>
      </c>
      <c r="AI94" s="91" t="e">
        <f>#REF!-#REF!</f>
        <v>#REF!</v>
      </c>
      <c r="AJ94" s="91" t="e">
        <f>#REF!-#REF!</f>
        <v>#REF!</v>
      </c>
      <c r="AK94" s="91" t="e">
        <f>#REF!-#REF!</f>
        <v>#REF!</v>
      </c>
      <c r="AL94" s="91" t="e">
        <f>#REF!-#REF!</f>
        <v>#REF!</v>
      </c>
      <c r="AM94" s="91" t="e">
        <f>#REF!-#REF!</f>
        <v>#REF!</v>
      </c>
      <c r="AN94" s="91" t="e">
        <f>#REF!-#REF!</f>
        <v>#REF!</v>
      </c>
      <c r="AO94" s="91" t="e">
        <f>#REF!-#REF!</f>
        <v>#REF!</v>
      </c>
      <c r="AP94" s="91" t="e">
        <f>#REF!-#REF!</f>
        <v>#REF!</v>
      </c>
      <c r="AQ94" s="92" t="e">
        <f>#REF!-#REF!</f>
        <v>#REF!</v>
      </c>
      <c r="AR94" s="92" t="e">
        <f>#REF!-#REF!</f>
        <v>#REF!</v>
      </c>
      <c r="AS94" s="92" t="e">
        <f>#REF!-#REF!</f>
        <v>#REF!</v>
      </c>
      <c r="AT94" s="92" t="e">
        <f>#REF!-#REF!</f>
        <v>#REF!</v>
      </c>
      <c r="AU94" s="92" t="e">
        <f>#REF!-#REF!</f>
        <v>#REF!</v>
      </c>
      <c r="AV94" s="93" t="e">
        <f>#REF!-#REF!</f>
        <v>#REF!</v>
      </c>
    </row>
    <row r="95" spans="33:48" x14ac:dyDescent="0.15">
      <c r="AG95" s="91" t="e">
        <f>#REF!-#REF!</f>
        <v>#REF!</v>
      </c>
      <c r="AH95" s="91" t="e">
        <f>#REF!-#REF!</f>
        <v>#REF!</v>
      </c>
      <c r="AI95" s="91" t="e">
        <f>#REF!-#REF!</f>
        <v>#REF!</v>
      </c>
      <c r="AJ95" s="91" t="e">
        <f>#REF!-#REF!</f>
        <v>#REF!</v>
      </c>
      <c r="AK95" s="91" t="e">
        <f>#REF!-#REF!</f>
        <v>#REF!</v>
      </c>
      <c r="AL95" s="91" t="e">
        <f>#REF!-#REF!</f>
        <v>#REF!</v>
      </c>
      <c r="AM95" s="91" t="e">
        <f>#REF!-#REF!</f>
        <v>#REF!</v>
      </c>
      <c r="AN95" s="91" t="e">
        <f>#REF!-#REF!</f>
        <v>#REF!</v>
      </c>
      <c r="AO95" s="91" t="e">
        <f>#REF!-#REF!</f>
        <v>#REF!</v>
      </c>
      <c r="AP95" s="91" t="e">
        <f>#REF!-#REF!</f>
        <v>#REF!</v>
      </c>
      <c r="AQ95" s="92" t="e">
        <f>#REF!-#REF!</f>
        <v>#REF!</v>
      </c>
      <c r="AR95" s="92" t="e">
        <f>#REF!-#REF!</f>
        <v>#REF!</v>
      </c>
      <c r="AS95" s="92" t="e">
        <f>#REF!-#REF!</f>
        <v>#REF!</v>
      </c>
      <c r="AT95" s="92" t="e">
        <f>#REF!-#REF!</f>
        <v>#REF!</v>
      </c>
      <c r="AU95" s="92" t="e">
        <f>#REF!-#REF!</f>
        <v>#REF!</v>
      </c>
      <c r="AV95" s="93" t="e">
        <f>#REF!-#REF!</f>
        <v>#REF!</v>
      </c>
    </row>
    <row r="96" spans="33:48" x14ac:dyDescent="0.15">
      <c r="AG96" s="91" t="e">
        <f>#REF!-#REF!</f>
        <v>#REF!</v>
      </c>
      <c r="AH96" s="91" t="e">
        <f>#REF!-#REF!</f>
        <v>#REF!</v>
      </c>
      <c r="AI96" s="91" t="e">
        <f>#REF!-#REF!</f>
        <v>#REF!</v>
      </c>
      <c r="AJ96" s="91" t="e">
        <f>#REF!-#REF!</f>
        <v>#REF!</v>
      </c>
      <c r="AK96" s="91" t="e">
        <f>#REF!-#REF!</f>
        <v>#REF!</v>
      </c>
      <c r="AL96" s="91" t="e">
        <f>#REF!-#REF!</f>
        <v>#REF!</v>
      </c>
      <c r="AM96" s="91" t="e">
        <f>#REF!-#REF!</f>
        <v>#REF!</v>
      </c>
      <c r="AN96" s="91" t="e">
        <f>#REF!-#REF!</f>
        <v>#REF!</v>
      </c>
      <c r="AO96" s="91" t="e">
        <f>#REF!-#REF!</f>
        <v>#REF!</v>
      </c>
      <c r="AP96" s="91" t="e">
        <f>#REF!-#REF!</f>
        <v>#REF!</v>
      </c>
      <c r="AQ96" s="92" t="e">
        <f>#REF!-#REF!</f>
        <v>#REF!</v>
      </c>
      <c r="AR96" s="92" t="e">
        <f>#REF!-#REF!</f>
        <v>#REF!</v>
      </c>
      <c r="AS96" s="92" t="e">
        <f>#REF!-#REF!</f>
        <v>#REF!</v>
      </c>
      <c r="AT96" s="92" t="e">
        <f>#REF!-#REF!</f>
        <v>#REF!</v>
      </c>
      <c r="AU96" s="92" t="e">
        <f>#REF!-#REF!</f>
        <v>#REF!</v>
      </c>
      <c r="AV96" s="93" t="e">
        <f>#REF!-#REF!</f>
        <v>#REF!</v>
      </c>
    </row>
    <row r="97" spans="33:48" x14ac:dyDescent="0.15">
      <c r="AG97" s="91" t="e">
        <f>#REF!-#REF!</f>
        <v>#REF!</v>
      </c>
      <c r="AH97" s="91" t="e">
        <f>#REF!-#REF!</f>
        <v>#REF!</v>
      </c>
      <c r="AI97" s="91" t="e">
        <f>#REF!-#REF!</f>
        <v>#REF!</v>
      </c>
      <c r="AJ97" s="91" t="e">
        <f>#REF!-#REF!</f>
        <v>#REF!</v>
      </c>
      <c r="AK97" s="91" t="e">
        <f>#REF!-#REF!</f>
        <v>#REF!</v>
      </c>
      <c r="AL97" s="91" t="e">
        <f>#REF!-#REF!</f>
        <v>#REF!</v>
      </c>
      <c r="AM97" s="91" t="e">
        <f>#REF!-#REF!</f>
        <v>#REF!</v>
      </c>
      <c r="AN97" s="91" t="e">
        <f>#REF!-#REF!</f>
        <v>#REF!</v>
      </c>
      <c r="AO97" s="91" t="e">
        <f>#REF!-#REF!</f>
        <v>#REF!</v>
      </c>
      <c r="AP97" s="91" t="e">
        <f>#REF!-#REF!</f>
        <v>#REF!</v>
      </c>
      <c r="AQ97" s="92" t="e">
        <f>#REF!-#REF!</f>
        <v>#REF!</v>
      </c>
      <c r="AR97" s="92" t="e">
        <f>#REF!-#REF!</f>
        <v>#REF!</v>
      </c>
      <c r="AS97" s="92" t="e">
        <f>#REF!-#REF!</f>
        <v>#REF!</v>
      </c>
      <c r="AT97" s="92" t="e">
        <f>#REF!-#REF!</f>
        <v>#REF!</v>
      </c>
      <c r="AU97" s="92" t="e">
        <f>#REF!-#REF!</f>
        <v>#REF!</v>
      </c>
      <c r="AV97" s="93" t="e">
        <f>#REF!-#REF!</f>
        <v>#REF!</v>
      </c>
    </row>
    <row r="98" spans="33:48" ht="14.25" thickBot="1" x14ac:dyDescent="0.2">
      <c r="AG98" s="94" t="e">
        <f>#REF!-#REF!</f>
        <v>#REF!</v>
      </c>
      <c r="AH98" s="94" t="e">
        <f>#REF!-#REF!</f>
        <v>#REF!</v>
      </c>
      <c r="AI98" s="94" t="e">
        <f>#REF!-#REF!</f>
        <v>#REF!</v>
      </c>
      <c r="AJ98" s="94" t="e">
        <f>#REF!-#REF!</f>
        <v>#REF!</v>
      </c>
      <c r="AK98" s="94" t="e">
        <f>#REF!-#REF!</f>
        <v>#REF!</v>
      </c>
      <c r="AL98" s="94" t="e">
        <f>#REF!-#REF!</f>
        <v>#REF!</v>
      </c>
      <c r="AM98" s="94" t="e">
        <f>#REF!-#REF!</f>
        <v>#REF!</v>
      </c>
      <c r="AN98" s="94" t="e">
        <f>#REF!-#REF!</f>
        <v>#REF!</v>
      </c>
      <c r="AO98" s="94" t="e">
        <f>#REF!-#REF!</f>
        <v>#REF!</v>
      </c>
      <c r="AP98" s="94" t="e">
        <f>#REF!-#REF!</f>
        <v>#REF!</v>
      </c>
      <c r="AQ98" s="95" t="e">
        <f>#REF!-#REF!</f>
        <v>#REF!</v>
      </c>
      <c r="AR98" s="95" t="e">
        <f>#REF!-#REF!</f>
        <v>#REF!</v>
      </c>
      <c r="AS98" s="95" t="e">
        <f>#REF!-#REF!</f>
        <v>#REF!</v>
      </c>
      <c r="AT98" s="95" t="e">
        <f>#REF!-#REF!</f>
        <v>#REF!</v>
      </c>
      <c r="AU98" s="95" t="e">
        <f>#REF!-#REF!</f>
        <v>#REF!</v>
      </c>
      <c r="AV98" s="96" t="e">
        <f>#REF!-#REF!</f>
        <v>#REF!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phoneticPr fontId="2" type="noConversion"/>
  <conditionalFormatting sqref="AZ45:AZ47 AZ48:BF48">
    <cfRule type="cellIs" dxfId="102" priority="75" operator="greaterThanOrEqual">
      <formula>0.03</formula>
    </cfRule>
    <cfRule type="cellIs" dxfId="101" priority="76" operator="lessThanOrEqual">
      <formula>-0.03</formula>
    </cfRule>
  </conditionalFormatting>
  <conditionalFormatting sqref="BA45:BA47">
    <cfRule type="cellIs" dxfId="100" priority="71" operator="greaterThanOrEqual">
      <formula>0.03</formula>
    </cfRule>
    <cfRule type="cellIs" dxfId="99" priority="72" operator="lessThanOrEqual">
      <formula>-0.03</formula>
    </cfRule>
  </conditionalFormatting>
  <conditionalFormatting sqref="BB45:BB47">
    <cfRule type="cellIs" dxfId="98" priority="79" operator="greaterThanOrEqual">
      <formula>0.03</formula>
    </cfRule>
    <cfRule type="cellIs" dxfId="97" priority="80" operator="lessThanOrEqual">
      <formula>-0.03</formula>
    </cfRule>
  </conditionalFormatting>
  <conditionalFormatting sqref="BC45:BC47">
    <cfRule type="cellIs" dxfId="96" priority="81" operator="greaterThanOrEqual">
      <formula>0.03</formula>
    </cfRule>
    <cfRule type="cellIs" dxfId="95" priority="82" operator="lessThanOrEqual">
      <formula>-0.03</formula>
    </cfRule>
  </conditionalFormatting>
  <conditionalFormatting sqref="BD45:BD47">
    <cfRule type="cellIs" dxfId="94" priority="73" operator="greaterThanOrEqual">
      <formula>0.03</formula>
    </cfRule>
    <cfRule type="cellIs" dxfId="93" priority="74" operator="lessThanOrEqual">
      <formula>-0.03</formula>
    </cfRule>
  </conditionalFormatting>
  <conditionalFormatting sqref="BE45:BE47">
    <cfRule type="cellIs" dxfId="92" priority="83" operator="greaterThanOrEqual">
      <formula>0.03</formula>
    </cfRule>
    <cfRule type="cellIs" dxfId="91" priority="84" operator="lessThanOrEqual">
      <formula>-0.03</formula>
    </cfRule>
  </conditionalFormatting>
  <conditionalFormatting sqref="BF45:BF47">
    <cfRule type="cellIs" dxfId="90" priority="77" operator="greaterThanOrEqual">
      <formula>0.03</formula>
    </cfRule>
    <cfRule type="cellIs" dxfId="89" priority="78" operator="lessThanOrEqual">
      <formula>-0.03</formula>
    </cfRule>
  </conditionalFormatting>
  <conditionalFormatting sqref="J5:J45">
    <cfRule type="expression" dxfId="88" priority="70">
      <formula>OR(J5 &lt; H5 * 0.9, J5 &gt; H5)</formula>
    </cfRule>
  </conditionalFormatting>
  <conditionalFormatting sqref="AE5:AE45">
    <cfRule type="expression" dxfId="87" priority="69">
      <formula>OR(AE5 &lt; H5 * 0.9, AE5 &gt; H5)</formula>
    </cfRule>
  </conditionalFormatting>
  <conditionalFormatting sqref="BP5:BT48">
    <cfRule type="cellIs" dxfId="86" priority="67" operator="greaterThanOrEqual">
      <formula>0.001</formula>
    </cfRule>
    <cfRule type="cellIs" dxfId="85" priority="68" operator="lessThanOrEqual">
      <formula>-0.001</formula>
    </cfRule>
  </conditionalFormatting>
  <conditionalFormatting sqref="AG54:AQ93">
    <cfRule type="cellIs" dxfId="84" priority="59" operator="lessThan">
      <formula>0</formula>
    </cfRule>
    <cfRule type="cellIs" dxfId="83" priority="60" operator="greaterThan">
      <formula>0</formula>
    </cfRule>
  </conditionalFormatting>
  <conditionalFormatting sqref="AR54:AV93">
    <cfRule type="cellIs" dxfId="82" priority="57" operator="lessThan">
      <formula>0</formula>
    </cfRule>
    <cfRule type="cellIs" dxfId="81" priority="58" operator="greaterThan">
      <formula>0</formula>
    </cfRule>
  </conditionalFormatting>
  <conditionalFormatting sqref="L5:L44 AG5:AG44">
    <cfRule type="expression" dxfId="80" priority="54">
      <formula>NOT(L5=O5)</formula>
    </cfRule>
  </conditionalFormatting>
  <conditionalFormatting sqref="BH45:BH47 BH48:BN48">
    <cfRule type="cellIs" dxfId="79" priority="43" operator="greaterThanOrEqual">
      <formula>0.03</formula>
    </cfRule>
    <cfRule type="cellIs" dxfId="78" priority="44" operator="lessThanOrEqual">
      <formula>-0.03</formula>
    </cfRule>
  </conditionalFormatting>
  <conditionalFormatting sqref="BI45:BI47">
    <cfRule type="cellIs" dxfId="77" priority="39" operator="greaterThanOrEqual">
      <formula>0.03</formula>
    </cfRule>
    <cfRule type="cellIs" dxfId="76" priority="40" operator="lessThanOrEqual">
      <formula>-0.03</formula>
    </cfRule>
  </conditionalFormatting>
  <conditionalFormatting sqref="BJ45:BJ47">
    <cfRule type="cellIs" dxfId="75" priority="47" operator="greaterThanOrEqual">
      <formula>0.03</formula>
    </cfRule>
    <cfRule type="cellIs" dxfId="74" priority="48" operator="lessThanOrEqual">
      <formula>-0.03</formula>
    </cfRule>
  </conditionalFormatting>
  <conditionalFormatting sqref="BK45:BK47">
    <cfRule type="cellIs" dxfId="73" priority="49" operator="greaterThanOrEqual">
      <formula>0.03</formula>
    </cfRule>
    <cfRule type="cellIs" dxfId="72" priority="50" operator="lessThanOrEqual">
      <formula>-0.03</formula>
    </cfRule>
  </conditionalFormatting>
  <conditionalFormatting sqref="BL45:BL47">
    <cfRule type="cellIs" dxfId="71" priority="41" operator="greaterThanOrEqual">
      <formula>0.03</formula>
    </cfRule>
    <cfRule type="cellIs" dxfId="70" priority="42" operator="lessThanOrEqual">
      <formula>-0.03</formula>
    </cfRule>
  </conditionalFormatting>
  <conditionalFormatting sqref="BM45:BM47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BN45:BN47">
    <cfRule type="cellIs" dxfId="67" priority="45" operator="greaterThanOrEqual">
      <formula>0.03</formula>
    </cfRule>
    <cfRule type="cellIs" dxfId="66" priority="46" operator="lessThanOrEqual">
      <formula>-0.03</formula>
    </cfRule>
  </conditionalFormatting>
  <conditionalFormatting sqref="AZ5:AZ44">
    <cfRule type="cellIs" dxfId="65" priority="23" operator="greaterThanOrEqual">
      <formula>0.03</formula>
    </cfRule>
    <cfRule type="cellIs" dxfId="64" priority="24" operator="lessThanOrEqual">
      <formula>-0.03</formula>
    </cfRule>
  </conditionalFormatting>
  <conditionalFormatting sqref="BA5:BA44">
    <cfRule type="cellIs" dxfId="63" priority="25" operator="greaterThanOrEqual">
      <formula>0.03</formula>
    </cfRule>
    <cfRule type="cellIs" dxfId="62" priority="26" operator="lessThanOrEqual">
      <formula>-0.03</formula>
    </cfRule>
  </conditionalFormatting>
  <conditionalFormatting sqref="BB5:BB44">
    <cfRule type="cellIs" dxfId="61" priority="33" operator="greaterThanOrEqual">
      <formula>0.03</formula>
    </cfRule>
    <cfRule type="cellIs" dxfId="60" priority="34" operator="lessThanOrEqual">
      <formula>-0.03</formula>
    </cfRule>
  </conditionalFormatting>
  <conditionalFormatting sqref="BC5:BC44">
    <cfRule type="cellIs" dxfId="59" priority="35" operator="greaterThanOrEqual">
      <formula>0.03</formula>
    </cfRule>
    <cfRule type="cellIs" dxfId="58" priority="36" operator="lessThanOrEqual">
      <formula>-0.03</formula>
    </cfRule>
  </conditionalFormatting>
  <conditionalFormatting sqref="BD5:BD44">
    <cfRule type="cellIs" dxfId="57" priority="27" operator="greaterThanOrEqual">
      <formula>0.03</formula>
    </cfRule>
    <cfRule type="cellIs" dxfId="56" priority="28" operator="lessThanOrEqual">
      <formula>-0.03</formula>
    </cfRule>
  </conditionalFormatting>
  <conditionalFormatting sqref="BE5:BE44">
    <cfRule type="cellIs" dxfId="55" priority="29" operator="greaterThanOrEqual">
      <formula>0.03</formula>
    </cfRule>
    <cfRule type="cellIs" dxfId="54" priority="30" operator="lessThanOrEqual">
      <formula>-0.03</formula>
    </cfRule>
  </conditionalFormatting>
  <conditionalFormatting sqref="BF5:BF44">
    <cfRule type="cellIs" dxfId="53" priority="31" operator="greaterThanOrEqual">
      <formula>0.03</formula>
    </cfRule>
    <cfRule type="cellIs" dxfId="52" priority="32" operator="lessThanOrEqual">
      <formula>-0.03</formula>
    </cfRule>
  </conditionalFormatting>
  <conditionalFormatting sqref="BH5:BH44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I5:BI44">
    <cfRule type="cellIs" dxfId="49" priority="9" operator="greaterThanOrEqual">
      <formula>0.03</formula>
    </cfRule>
    <cfRule type="cellIs" dxfId="48" priority="10" operator="lessThanOrEqual">
      <formula>-0.03</formula>
    </cfRule>
  </conditionalFormatting>
  <conditionalFormatting sqref="BJ5:BJ44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K5:BK44">
    <cfRule type="cellIs" dxfId="45" priority="19" operator="greaterThanOrEqual">
      <formula>0.03</formula>
    </cfRule>
    <cfRule type="cellIs" dxfId="44" priority="20" operator="lessThanOrEqual">
      <formula>-0.03</formula>
    </cfRule>
  </conditionalFormatting>
  <conditionalFormatting sqref="BL5:BL44">
    <cfRule type="cellIs" dxfId="43" priority="11" operator="greaterThanOrEqual">
      <formula>0.03</formula>
    </cfRule>
    <cfRule type="cellIs" dxfId="42" priority="12" operator="lessThanOrEqual">
      <formula>-0.03</formula>
    </cfRule>
  </conditionalFormatting>
  <conditionalFormatting sqref="BM5:BM44">
    <cfRule type="cellIs" dxfId="41" priority="21" operator="greaterThanOrEqual">
      <formula>0.03</formula>
    </cfRule>
    <cfRule type="cellIs" dxfId="40" priority="22" operator="lessThanOrEqual">
      <formula>-0.03</formula>
    </cfRule>
  </conditionalFormatting>
  <conditionalFormatting sqref="BN5:BN44">
    <cfRule type="cellIs" dxfId="39" priority="15" operator="greaterThanOrEqual">
      <formula>0.03</formula>
    </cfRule>
    <cfRule type="cellIs" dxfId="38" priority="16" operator="lessThanOrEqual">
      <formula>-0.03</formula>
    </cfRule>
  </conditionalFormatting>
  <conditionalFormatting sqref="AG94:AQ98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94:AV98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tabSelected="1" workbookViewId="0">
      <selection activeCell="Q27" sqref="Q27"/>
    </sheetView>
  </sheetViews>
  <sheetFormatPr defaultColWidth="8.875" defaultRowHeight="13.5" x14ac:dyDescent="0.15"/>
  <sheetData>
    <row r="1" spans="1:16" ht="15.75" customHeight="1" thickBot="1" x14ac:dyDescent="0.2">
      <c r="C1" s="131" t="s">
        <v>332</v>
      </c>
      <c r="D1" s="132"/>
      <c r="E1" s="132"/>
      <c r="F1" s="132"/>
      <c r="G1" s="132"/>
      <c r="H1" s="132"/>
      <c r="I1" s="133"/>
      <c r="J1" s="131" t="s">
        <v>367</v>
      </c>
      <c r="K1" s="132"/>
      <c r="L1" s="132"/>
      <c r="M1" s="132"/>
      <c r="N1" s="132"/>
      <c r="O1" s="132"/>
      <c r="P1" s="133"/>
    </row>
    <row r="2" spans="1:16" ht="15.75" customHeight="1" thickBot="1" x14ac:dyDescent="0.2">
      <c r="A2" s="134" t="s">
        <v>149</v>
      </c>
      <c r="B2" s="136" t="s">
        <v>150</v>
      </c>
      <c r="C2" s="138" t="s">
        <v>15</v>
      </c>
      <c r="D2" s="139"/>
      <c r="E2" s="139"/>
      <c r="F2" s="139"/>
      <c r="G2" s="139"/>
      <c r="H2" s="140" t="s">
        <v>16</v>
      </c>
      <c r="I2" s="141"/>
      <c r="J2" s="138" t="s">
        <v>15</v>
      </c>
      <c r="K2" s="139"/>
      <c r="L2" s="139"/>
      <c r="M2" s="139"/>
      <c r="N2" s="139"/>
      <c r="O2" s="140" t="s">
        <v>16</v>
      </c>
      <c r="P2" s="141"/>
    </row>
    <row r="3" spans="1:16" ht="30.75" customHeight="1" thickBot="1" x14ac:dyDescent="0.2">
      <c r="A3" s="135"/>
      <c r="B3" s="137"/>
      <c r="C3" s="60" t="s">
        <v>17</v>
      </c>
      <c r="D3" s="61" t="s">
        <v>18</v>
      </c>
      <c r="E3" s="61" t="s">
        <v>19</v>
      </c>
      <c r="F3" s="61" t="s">
        <v>20</v>
      </c>
      <c r="G3" s="61" t="s">
        <v>21</v>
      </c>
      <c r="H3" s="61" t="s">
        <v>22</v>
      </c>
      <c r="I3" s="62" t="s">
        <v>19</v>
      </c>
      <c r="J3" s="60" t="s">
        <v>17</v>
      </c>
      <c r="K3" s="61" t="s">
        <v>18</v>
      </c>
      <c r="L3" s="61" t="s">
        <v>19</v>
      </c>
      <c r="M3" s="61" t="s">
        <v>20</v>
      </c>
      <c r="N3" s="61" t="s">
        <v>21</v>
      </c>
      <c r="O3" s="61" t="s">
        <v>22</v>
      </c>
      <c r="P3" s="62" t="s">
        <v>19</v>
      </c>
    </row>
    <row r="4" spans="1:16" x14ac:dyDescent="0.15">
      <c r="A4" s="63" t="s">
        <v>175</v>
      </c>
      <c r="B4" s="64" t="s">
        <v>38</v>
      </c>
      <c r="C4" s="65" t="str">
        <f>'C1 lossy AI'!AZ5</f>
        <v>·</v>
      </c>
      <c r="D4" s="24" t="str">
        <f>'C1 lossy AI'!BA5</f>
        <v>·</v>
      </c>
      <c r="E4" s="24" t="str">
        <f>'C1 lossy AI'!BB5</f>
        <v>·</v>
      </c>
      <c r="F4" s="24" t="str">
        <f>'C1 lossy AI'!BC5</f>
        <v>·</v>
      </c>
      <c r="G4" s="24" t="str">
        <f>'C1 lossy AI'!BD5</f>
        <v>·</v>
      </c>
      <c r="H4" s="24" t="str">
        <f>'C1 lossy AI'!BE5</f>
        <v>·</v>
      </c>
      <c r="I4" s="66" t="str">
        <f>'C1 lossy AI'!BF5</f>
        <v>·</v>
      </c>
      <c r="J4" s="65" t="str">
        <f>'C2 lossy RA'!AZ5</f>
        <v>·</v>
      </c>
      <c r="K4" s="24" t="str">
        <f>'C2 lossy RA'!BA5</f>
        <v>·</v>
      </c>
      <c r="L4" s="24" t="str">
        <f>'C2 lossy RA'!BB5</f>
        <v>·</v>
      </c>
      <c r="M4" s="24" t="str">
        <f>'C2 lossy RA'!BC5</f>
        <v>·</v>
      </c>
      <c r="N4" s="24" t="str">
        <f>'C2 lossy RA'!BD5</f>
        <v>·</v>
      </c>
      <c r="O4" s="24" t="str">
        <f>'C2 lossy RA'!BE5</f>
        <v>·</v>
      </c>
      <c r="P4" s="66" t="str">
        <f>'C2 lossy RA'!BF5</f>
        <v>·</v>
      </c>
    </row>
    <row r="5" spans="1:16" x14ac:dyDescent="0.15">
      <c r="A5" s="67"/>
      <c r="B5" s="68" t="s">
        <v>46</v>
      </c>
      <c r="C5" s="69" t="str">
        <f>'C1 lossy AI'!AZ10</f>
        <v>·</v>
      </c>
      <c r="D5" s="40" t="str">
        <f>'C1 lossy AI'!BA10</f>
        <v>·</v>
      </c>
      <c r="E5" s="40" t="str">
        <f>'C1 lossy AI'!BB10</f>
        <v>·</v>
      </c>
      <c r="F5" s="40" t="str">
        <f>'C1 lossy AI'!BC10</f>
        <v>·</v>
      </c>
      <c r="G5" s="40" t="str">
        <f>'C1 lossy AI'!BD10</f>
        <v>·</v>
      </c>
      <c r="H5" s="40" t="str">
        <f>'C1 lossy AI'!BE10</f>
        <v>·</v>
      </c>
      <c r="I5" s="70" t="str">
        <f>'C1 lossy AI'!BF10</f>
        <v>·</v>
      </c>
      <c r="J5" s="69" t="str">
        <f>'C2 lossy RA'!AZ10</f>
        <v>·</v>
      </c>
      <c r="K5" s="40" t="str">
        <f>'C2 lossy RA'!BA10</f>
        <v>·</v>
      </c>
      <c r="L5" s="40" t="str">
        <f>'C2 lossy RA'!BB10</f>
        <v>·</v>
      </c>
      <c r="M5" s="40" t="str">
        <f>'C2 lossy RA'!BC10</f>
        <v>·</v>
      </c>
      <c r="N5" s="40" t="str">
        <f>'C2 lossy RA'!BD10</f>
        <v>·</v>
      </c>
      <c r="O5" s="40" t="str">
        <f>'C2 lossy RA'!BE10</f>
        <v>·</v>
      </c>
      <c r="P5" s="70" t="str">
        <f>'C2 lossy RA'!BF10</f>
        <v>·</v>
      </c>
    </row>
    <row r="6" spans="1:16" x14ac:dyDescent="0.15">
      <c r="A6" s="63" t="s">
        <v>176</v>
      </c>
      <c r="B6" s="64" t="s">
        <v>51</v>
      </c>
      <c r="C6" s="65" t="str">
        <f>'C1 lossy AI'!AZ15</f>
        <v>·</v>
      </c>
      <c r="D6" s="24" t="str">
        <f>'C1 lossy AI'!BA15</f>
        <v>·</v>
      </c>
      <c r="E6" s="24" t="str">
        <f>'C1 lossy AI'!BB15</f>
        <v>·</v>
      </c>
      <c r="F6" s="24" t="str">
        <f>'C1 lossy AI'!BC15</f>
        <v>·</v>
      </c>
      <c r="G6" s="24" t="str">
        <f>'C1 lossy AI'!BD15</f>
        <v>·</v>
      </c>
      <c r="H6" s="24" t="str">
        <f>'C1 lossy AI'!BE15</f>
        <v>·</v>
      </c>
      <c r="I6" s="66" t="str">
        <f>'C1 lossy AI'!BF15</f>
        <v>·</v>
      </c>
      <c r="J6" s="65" t="str">
        <f>'C2 lossy RA'!AZ15</f>
        <v>·</v>
      </c>
      <c r="K6" s="24" t="str">
        <f>'C2 lossy RA'!BA15</f>
        <v>·</v>
      </c>
      <c r="L6" s="24" t="str">
        <f>'C2 lossy RA'!BB15</f>
        <v>·</v>
      </c>
      <c r="M6" s="24" t="str">
        <f>'C2 lossy RA'!BC15</f>
        <v>·</v>
      </c>
      <c r="N6" s="24" t="str">
        <f>'C2 lossy RA'!BD15</f>
        <v>·</v>
      </c>
      <c r="O6" s="24" t="str">
        <f>'C2 lossy RA'!BE15</f>
        <v>·</v>
      </c>
      <c r="P6" s="66" t="str">
        <f>'C2 lossy RA'!BF15</f>
        <v>·</v>
      </c>
    </row>
    <row r="7" spans="1:16" x14ac:dyDescent="0.15">
      <c r="A7" s="67"/>
      <c r="B7" s="68" t="s">
        <v>56</v>
      </c>
      <c r="C7" s="69" t="str">
        <f>'C1 lossy AI'!AZ20</f>
        <v>·</v>
      </c>
      <c r="D7" s="40" t="str">
        <f>'C1 lossy AI'!BA20</f>
        <v>·</v>
      </c>
      <c r="E7" s="40" t="str">
        <f>'C1 lossy AI'!BB20</f>
        <v>·</v>
      </c>
      <c r="F7" s="40" t="str">
        <f>'C1 lossy AI'!BC20</f>
        <v>·</v>
      </c>
      <c r="G7" s="40" t="str">
        <f>'C1 lossy AI'!BD20</f>
        <v>·</v>
      </c>
      <c r="H7" s="40" t="str">
        <f>'C1 lossy AI'!BE20</f>
        <v>·</v>
      </c>
      <c r="I7" s="70" t="str">
        <f>'C1 lossy AI'!BF20</f>
        <v>·</v>
      </c>
      <c r="J7" s="69" t="str">
        <f>'C2 lossy RA'!AZ20</f>
        <v>·</v>
      </c>
      <c r="K7" s="40" t="str">
        <f>'C2 lossy RA'!BA20</f>
        <v>·</v>
      </c>
      <c r="L7" s="40" t="str">
        <f>'C2 lossy RA'!BB20</f>
        <v>·</v>
      </c>
      <c r="M7" s="40" t="str">
        <f>'C2 lossy RA'!BC20</f>
        <v>·</v>
      </c>
      <c r="N7" s="40" t="str">
        <f>'C2 lossy RA'!BD20</f>
        <v>·</v>
      </c>
      <c r="O7" s="40" t="str">
        <f>'C2 lossy RA'!BE20</f>
        <v>·</v>
      </c>
      <c r="P7" s="70" t="str">
        <f>'C2 lossy RA'!BF20</f>
        <v>·</v>
      </c>
    </row>
    <row r="8" spans="1:16" x14ac:dyDescent="0.15">
      <c r="A8" s="63" t="s">
        <v>177</v>
      </c>
      <c r="B8" s="64" t="s">
        <v>61</v>
      </c>
      <c r="C8" s="65" t="str">
        <f>'C1 lossy AI'!AZ25</f>
        <v>·</v>
      </c>
      <c r="D8" s="24" t="str">
        <f>'C1 lossy AI'!BA25</f>
        <v>·</v>
      </c>
      <c r="E8" s="24" t="str">
        <f>'C1 lossy AI'!BB25</f>
        <v>·</v>
      </c>
      <c r="F8" s="24" t="str">
        <f>'C1 lossy AI'!BC25</f>
        <v>·</v>
      </c>
      <c r="G8" s="24" t="str">
        <f>'C1 lossy AI'!BD25</f>
        <v>·</v>
      </c>
      <c r="H8" s="24" t="str">
        <f>'C1 lossy AI'!BE25</f>
        <v>·</v>
      </c>
      <c r="I8" s="66" t="str">
        <f>'C1 lossy AI'!BF25</f>
        <v>·</v>
      </c>
      <c r="J8" s="65" t="str">
        <f>'C2 lossy RA'!AZ25</f>
        <v>·</v>
      </c>
      <c r="K8" s="24" t="str">
        <f>'C2 lossy RA'!BA25</f>
        <v>·</v>
      </c>
      <c r="L8" s="24" t="str">
        <f>'C2 lossy RA'!BB25</f>
        <v>·</v>
      </c>
      <c r="M8" s="24" t="str">
        <f>'C2 lossy RA'!BC25</f>
        <v>·</v>
      </c>
      <c r="N8" s="24" t="str">
        <f>'C2 lossy RA'!BD25</f>
        <v>·</v>
      </c>
      <c r="O8" s="24" t="str">
        <f>'C2 lossy RA'!BE25</f>
        <v>·</v>
      </c>
      <c r="P8" s="66" t="str">
        <f>'C2 lossy RA'!BF25</f>
        <v>·</v>
      </c>
    </row>
    <row r="9" spans="1:16" x14ac:dyDescent="0.15">
      <c r="A9" s="67"/>
      <c r="B9" s="68" t="s">
        <v>66</v>
      </c>
      <c r="C9" s="69" t="str">
        <f>'C1 lossy AI'!AZ30</f>
        <v>·</v>
      </c>
      <c r="D9" s="40" t="str">
        <f>'C1 lossy AI'!BA30</f>
        <v>·</v>
      </c>
      <c r="E9" s="40" t="str">
        <f>'C1 lossy AI'!BB30</f>
        <v>·</v>
      </c>
      <c r="F9" s="40" t="str">
        <f>'C1 lossy AI'!BC30</f>
        <v>·</v>
      </c>
      <c r="G9" s="40" t="str">
        <f>'C1 lossy AI'!BD30</f>
        <v>·</v>
      </c>
      <c r="H9" s="40" t="str">
        <f>'C1 lossy AI'!BE30</f>
        <v>·</v>
      </c>
      <c r="I9" s="70" t="str">
        <f>'C1 lossy AI'!BF30</f>
        <v>·</v>
      </c>
      <c r="J9" s="69" t="str">
        <f>'C2 lossy RA'!AZ30</f>
        <v>·</v>
      </c>
      <c r="K9" s="40" t="str">
        <f>'C2 lossy RA'!BA30</f>
        <v>·</v>
      </c>
      <c r="L9" s="40" t="str">
        <f>'C2 lossy RA'!BB30</f>
        <v>·</v>
      </c>
      <c r="M9" s="40" t="str">
        <f>'C2 lossy RA'!BC30</f>
        <v>·</v>
      </c>
      <c r="N9" s="40" t="str">
        <f>'C2 lossy RA'!BD30</f>
        <v>·</v>
      </c>
      <c r="O9" s="40" t="str">
        <f>'C2 lossy RA'!BE30</f>
        <v>·</v>
      </c>
      <c r="P9" s="70" t="str">
        <f>'C2 lossy RA'!BF30</f>
        <v>·</v>
      </c>
    </row>
    <row r="10" spans="1:16" x14ac:dyDescent="0.15">
      <c r="A10" s="63"/>
      <c r="B10" s="64" t="s">
        <v>32</v>
      </c>
      <c r="C10" s="65" t="str">
        <f>'C1 lossy AI'!AZ35</f>
        <v>·</v>
      </c>
      <c r="D10" s="24" t="str">
        <f>'C1 lossy AI'!BA35</f>
        <v>·</v>
      </c>
      <c r="E10" s="24" t="str">
        <f>'C1 lossy AI'!BB35</f>
        <v>·</v>
      </c>
      <c r="F10" s="24" t="str">
        <f>'C1 lossy AI'!BC35</f>
        <v>·</v>
      </c>
      <c r="G10" s="24" t="str">
        <f>'C1 lossy AI'!BD35</f>
        <v>·</v>
      </c>
      <c r="H10" s="24" t="str">
        <f>'C1 lossy AI'!BE35</f>
        <v>·</v>
      </c>
      <c r="I10" s="66" t="str">
        <f>'C1 lossy AI'!BF35</f>
        <v>·</v>
      </c>
      <c r="J10" s="65" t="str">
        <f>'C2 lossy RA'!AZ35</f>
        <v>·</v>
      </c>
      <c r="K10" s="24" t="str">
        <f>'C2 lossy RA'!BA35</f>
        <v>·</v>
      </c>
      <c r="L10" s="24" t="str">
        <f>'C2 lossy RA'!BB35</f>
        <v>·</v>
      </c>
      <c r="M10" s="24" t="str">
        <f>'C2 lossy RA'!BC35</f>
        <v>·</v>
      </c>
      <c r="N10" s="24" t="str">
        <f>'C2 lossy RA'!BD35</f>
        <v>·</v>
      </c>
      <c r="O10" s="24" t="str">
        <f>'C2 lossy RA'!BE35</f>
        <v>·</v>
      </c>
      <c r="P10" s="66" t="str">
        <f>'C2 lossy RA'!BF35</f>
        <v>·</v>
      </c>
    </row>
    <row r="11" spans="1:16" ht="15.75" customHeight="1" thickBot="1" x14ac:dyDescent="0.2">
      <c r="A11" s="71"/>
      <c r="B11" s="72" t="s">
        <v>75</v>
      </c>
      <c r="C11" s="73" t="str">
        <f>'C1 lossy AI'!AZ40</f>
        <v>·</v>
      </c>
      <c r="D11" s="32" t="str">
        <f>'C1 lossy AI'!BA40</f>
        <v>·</v>
      </c>
      <c r="E11" s="32" t="str">
        <f>'C1 lossy AI'!BB40</f>
        <v>·</v>
      </c>
      <c r="F11" s="32" t="str">
        <f>'C1 lossy AI'!BC40</f>
        <v>·</v>
      </c>
      <c r="G11" s="32" t="str">
        <f>'C1 lossy AI'!BD40</f>
        <v>·</v>
      </c>
      <c r="H11" s="32" t="str">
        <f>'C1 lossy AI'!BE40</f>
        <v>·</v>
      </c>
      <c r="I11" s="74" t="str">
        <f>'C1 lossy AI'!BF40</f>
        <v>·</v>
      </c>
      <c r="J11" s="73" t="str">
        <f>'C2 lossy RA'!AZ40</f>
        <v>·</v>
      </c>
      <c r="K11" s="32" t="str">
        <f>'C2 lossy RA'!BA40</f>
        <v>·</v>
      </c>
      <c r="L11" s="32" t="str">
        <f>'C2 lossy RA'!BB40</f>
        <v>·</v>
      </c>
      <c r="M11" s="32" t="str">
        <f>'C2 lossy RA'!BC40</f>
        <v>·</v>
      </c>
      <c r="N11" s="32" t="str">
        <f>'C2 lossy RA'!BD40</f>
        <v>·</v>
      </c>
      <c r="O11" s="32" t="str">
        <f>'C2 lossy RA'!BE40</f>
        <v>·</v>
      </c>
      <c r="P11" s="74" t="str">
        <f>'C2 lossy RA'!BF40</f>
        <v>·</v>
      </c>
    </row>
    <row r="12" spans="1:16" ht="14.25" thickBot="1" x14ac:dyDescent="0.2">
      <c r="A12" s="63" t="s">
        <v>427</v>
      </c>
      <c r="B12" s="64" t="s">
        <v>428</v>
      </c>
      <c r="C12" s="73" t="str">
        <f>'C1 lossy AI'!AZ45</f>
        <v>·</v>
      </c>
      <c r="D12" s="32" t="str">
        <f>'C1 lossy AI'!BA45</f>
        <v>·</v>
      </c>
      <c r="E12" s="32" t="str">
        <f>'C1 lossy AI'!BB45</f>
        <v>·</v>
      </c>
      <c r="F12" s="32" t="str">
        <f>'C1 lossy AI'!BC45</f>
        <v>·</v>
      </c>
      <c r="G12" s="32" t="str">
        <f>'C1 lossy AI'!BD45</f>
        <v>·</v>
      </c>
      <c r="H12" s="32" t="str">
        <f>'C1 lossy AI'!BE45</f>
        <v>·</v>
      </c>
      <c r="I12" s="74" t="str">
        <f>'C1 lossy AI'!BF45</f>
        <v>·</v>
      </c>
      <c r="J12" s="73"/>
      <c r="K12" s="32"/>
      <c r="L12" s="32"/>
      <c r="M12" s="32"/>
      <c r="N12" s="32"/>
      <c r="O12" s="32"/>
      <c r="P12" s="74"/>
    </row>
    <row r="13" spans="1:16" x14ac:dyDescent="0.15">
      <c r="A13" s="146" t="str">
        <f>Summary!B20</f>
        <v>Cat1-A average</v>
      </c>
      <c r="B13" s="143"/>
      <c r="C13" s="75" t="e">
        <f>Summary!C20</f>
        <v>#DIV/0!</v>
      </c>
      <c r="D13" s="75" t="e">
        <f>Summary!D20</f>
        <v>#DIV/0!</v>
      </c>
      <c r="E13" s="75" t="e">
        <f>Summary!E20</f>
        <v>#DIV/0!</v>
      </c>
      <c r="F13" s="75" t="e">
        <f>Summary!F20</f>
        <v>#DIV/0!</v>
      </c>
      <c r="G13" s="75" t="e">
        <f>Summary!G20</f>
        <v>#DIV/0!</v>
      </c>
      <c r="H13" s="75" t="e">
        <f>Summary!H20</f>
        <v>#DIV/0!</v>
      </c>
      <c r="I13" s="75" t="e">
        <f>Summary!I20</f>
        <v>#DIV/0!</v>
      </c>
      <c r="J13" s="76" t="e">
        <f>Summary!C33</f>
        <v>#DIV/0!</v>
      </c>
      <c r="K13" s="77" t="e">
        <f>Summary!D33</f>
        <v>#DIV/0!</v>
      </c>
      <c r="L13" s="77" t="e">
        <f>Summary!E33</f>
        <v>#DIV/0!</v>
      </c>
      <c r="M13" s="77" t="e">
        <f>Summary!F33</f>
        <v>#DIV/0!</v>
      </c>
      <c r="N13" s="77" t="e">
        <f>Summary!G33</f>
        <v>#DIV/0!</v>
      </c>
      <c r="O13" s="77" t="e">
        <f>Summary!H33</f>
        <v>#DIV/0!</v>
      </c>
      <c r="P13" s="78" t="e">
        <f>Summary!I33</f>
        <v>#DIV/0!</v>
      </c>
    </row>
    <row r="14" spans="1:16" x14ac:dyDescent="0.15">
      <c r="A14" s="147" t="str">
        <f>Summary!B21</f>
        <v>Cat1-B average</v>
      </c>
      <c r="B14" s="148"/>
      <c r="C14" s="79" t="e">
        <f>Summary!C21</f>
        <v>#DIV/0!</v>
      </c>
      <c r="D14" s="79" t="e">
        <f>Summary!D21</f>
        <v>#DIV/0!</v>
      </c>
      <c r="E14" s="79" t="e">
        <f>Summary!E21</f>
        <v>#DIV/0!</v>
      </c>
      <c r="F14" s="79" t="e">
        <f>Summary!F21</f>
        <v>#DIV/0!</v>
      </c>
      <c r="G14" s="79" t="e">
        <f>Summary!G21</f>
        <v>#DIV/0!</v>
      </c>
      <c r="H14" s="79" t="e">
        <f>Summary!H21</f>
        <v>#DIV/0!</v>
      </c>
      <c r="I14" s="79" t="e">
        <f>Summary!I21</f>
        <v>#DIV/0!</v>
      </c>
      <c r="J14" s="80" t="e">
        <f>Summary!C34</f>
        <v>#DIV/0!</v>
      </c>
      <c r="K14" s="79" t="e">
        <f>Summary!D34</f>
        <v>#DIV/0!</v>
      </c>
      <c r="L14" s="79" t="e">
        <f>Summary!E34</f>
        <v>#DIV/0!</v>
      </c>
      <c r="M14" s="79" t="e">
        <f>Summary!F34</f>
        <v>#DIV/0!</v>
      </c>
      <c r="N14" s="79" t="e">
        <f>Summary!G34</f>
        <v>#DIV/0!</v>
      </c>
      <c r="O14" s="79" t="e">
        <f>Summary!H34</f>
        <v>#DIV/0!</v>
      </c>
      <c r="P14" s="81" t="e">
        <f>Summary!I34</f>
        <v>#DIV/0!</v>
      </c>
    </row>
    <row r="15" spans="1:16" x14ac:dyDescent="0.15">
      <c r="A15" s="149" t="str">
        <f>Summary!B22</f>
        <v>Cat1-C average</v>
      </c>
      <c r="B15" s="148"/>
      <c r="C15" s="75" t="e">
        <f>Summary!C22</f>
        <v>#DIV/0!</v>
      </c>
      <c r="D15" s="75" t="e">
        <f>Summary!D22</f>
        <v>#DIV/0!</v>
      </c>
      <c r="E15" s="75" t="e">
        <f>Summary!E22</f>
        <v>#DIV/0!</v>
      </c>
      <c r="F15" s="75" t="e">
        <f>Summary!F22</f>
        <v>#DIV/0!</v>
      </c>
      <c r="G15" s="75" t="e">
        <f>Summary!G22</f>
        <v>#DIV/0!</v>
      </c>
      <c r="H15" s="75" t="e">
        <f>Summary!H22</f>
        <v>#DIV/0!</v>
      </c>
      <c r="I15" s="75" t="e">
        <f>Summary!I22</f>
        <v>#DIV/0!</v>
      </c>
      <c r="J15" s="82" t="e">
        <f>Summary!C35</f>
        <v>#DIV/0!</v>
      </c>
      <c r="K15" s="75" t="e">
        <f>Summary!D35</f>
        <v>#DIV/0!</v>
      </c>
      <c r="L15" s="75" t="e">
        <f>Summary!E35</f>
        <v>#DIV/0!</v>
      </c>
      <c r="M15" s="75" t="e">
        <f>Summary!F35</f>
        <v>#DIV/0!</v>
      </c>
      <c r="N15" s="75" t="e">
        <f>Summary!G35</f>
        <v>#DIV/0!</v>
      </c>
      <c r="O15" s="75" t="e">
        <f>Summary!H35</f>
        <v>#DIV/0!</v>
      </c>
      <c r="P15" s="83" t="e">
        <f>Summary!I35</f>
        <v>#DIV/0!</v>
      </c>
    </row>
    <row r="16" spans="1:16" ht="15.75" customHeight="1" thickBot="1" x14ac:dyDescent="0.2">
      <c r="A16" s="149" t="str">
        <f>Summary!B23</f>
        <v>Cat1-D average</v>
      </c>
      <c r="B16" s="148"/>
      <c r="C16" s="75" t="e">
        <f>Summary!C23</f>
        <v>#DIV/0!</v>
      </c>
      <c r="D16" s="75" t="e">
        <f>Summary!D23</f>
        <v>#DIV/0!</v>
      </c>
      <c r="E16" s="75" t="e">
        <f>Summary!E23</f>
        <v>#DIV/0!</v>
      </c>
      <c r="F16" s="75" t="e">
        <f>Summary!F23</f>
        <v>#DIV/0!</v>
      </c>
      <c r="G16" s="75" t="e">
        <f>Summary!G23</f>
        <v>#DIV/0!</v>
      </c>
      <c r="H16" s="75" t="e">
        <f>Summary!H23</f>
        <v>#DIV/0!</v>
      </c>
      <c r="I16" s="75" t="e">
        <f>Summary!I23</f>
        <v>#DIV/0!</v>
      </c>
      <c r="J16" s="82"/>
      <c r="K16" s="75"/>
      <c r="L16" s="75"/>
      <c r="M16" s="75"/>
      <c r="N16" s="75"/>
      <c r="O16" s="75"/>
      <c r="P16" s="83"/>
    </row>
    <row r="17" spans="1:16" ht="15.75" customHeight="1" thickBot="1" x14ac:dyDescent="0.2">
      <c r="A17" s="150" t="str">
        <f>Summary!B24</f>
        <v>Overall average</v>
      </c>
      <c r="B17" s="133"/>
      <c r="C17" s="84" t="e">
        <f>Summary!C24</f>
        <v>#DIV/0!</v>
      </c>
      <c r="D17" s="84" t="e">
        <f>Summary!D24</f>
        <v>#DIV/0!</v>
      </c>
      <c r="E17" s="84" t="e">
        <f>Summary!E24</f>
        <v>#DIV/0!</v>
      </c>
      <c r="F17" s="84" t="e">
        <f>Summary!F24</f>
        <v>#DIV/0!</v>
      </c>
      <c r="G17" s="84" t="e">
        <f>Summary!G24</f>
        <v>#DIV/0!</v>
      </c>
      <c r="H17" s="84" t="e">
        <f>Summary!H24</f>
        <v>#DIV/0!</v>
      </c>
      <c r="I17" s="84" t="e">
        <f>Summary!I24</f>
        <v>#DIV/0!</v>
      </c>
      <c r="J17" s="85" t="e">
        <f>Summary!C37</f>
        <v>#DIV/0!</v>
      </c>
      <c r="K17" s="84" t="e">
        <f>Summary!D37</f>
        <v>#DIV/0!</v>
      </c>
      <c r="L17" s="84" t="e">
        <f>Summary!E37</f>
        <v>#DIV/0!</v>
      </c>
      <c r="M17" s="84" t="e">
        <f>Summary!F37</f>
        <v>#DIV/0!</v>
      </c>
      <c r="N17" s="84" t="e">
        <f>Summary!G37</f>
        <v>#DIV/0!</v>
      </c>
      <c r="O17" s="84" t="e">
        <f>Summary!H37</f>
        <v>#DIV/0!</v>
      </c>
      <c r="P17" s="86" t="e">
        <f>Summary!I37</f>
        <v>#DIV/0!</v>
      </c>
    </row>
    <row r="18" spans="1:16" x14ac:dyDescent="0.15">
      <c r="A18" s="149" t="str">
        <f>Summary!B25</f>
        <v>Avg. Enc Time [%]</v>
      </c>
      <c r="B18" s="148"/>
      <c r="C18" s="142">
        <f>Summary!C25</f>
        <v>0</v>
      </c>
      <c r="D18" s="139"/>
      <c r="E18" s="139"/>
      <c r="F18" s="139"/>
      <c r="G18" s="139"/>
      <c r="H18" s="139"/>
      <c r="I18" s="143"/>
      <c r="J18" s="142">
        <f>Summary!C38</f>
        <v>0</v>
      </c>
      <c r="K18" s="139"/>
      <c r="L18" s="139"/>
      <c r="M18" s="139"/>
      <c r="N18" s="139"/>
      <c r="O18" s="139"/>
      <c r="P18" s="143"/>
    </row>
    <row r="19" spans="1:16" ht="15.75" customHeight="1" thickBot="1" x14ac:dyDescent="0.2">
      <c r="A19" s="144" t="str">
        <f>Summary!B26</f>
        <v>Avg. Dec Time [%]</v>
      </c>
      <c r="B19" s="137"/>
      <c r="C19" s="145">
        <f>Summary!C26</f>
        <v>0</v>
      </c>
      <c r="D19" s="115"/>
      <c r="E19" s="115"/>
      <c r="F19" s="115"/>
      <c r="G19" s="115"/>
      <c r="H19" s="115"/>
      <c r="I19" s="137"/>
      <c r="J19" s="145">
        <f>Summary!C39</f>
        <v>0</v>
      </c>
      <c r="K19" s="115"/>
      <c r="L19" s="115"/>
      <c r="M19" s="115"/>
      <c r="N19" s="115"/>
      <c r="O19" s="115"/>
      <c r="P19" s="137"/>
    </row>
  </sheetData>
  <mergeCells count="19">
    <mergeCell ref="J18:P18"/>
    <mergeCell ref="A19:B19"/>
    <mergeCell ref="C19:I19"/>
    <mergeCell ref="J19:P19"/>
    <mergeCell ref="A13:B13"/>
    <mergeCell ref="A14:B14"/>
    <mergeCell ref="A16:B16"/>
    <mergeCell ref="A17:B17"/>
    <mergeCell ref="A18:B18"/>
    <mergeCell ref="C18:I18"/>
    <mergeCell ref="A15:B15"/>
    <mergeCell ref="C1:I1"/>
    <mergeCell ref="J1:P1"/>
    <mergeCell ref="A2:A3"/>
    <mergeCell ref="B2:B3"/>
    <mergeCell ref="C2:G2"/>
    <mergeCell ref="H2:I2"/>
    <mergeCell ref="J2:N2"/>
    <mergeCell ref="O2:P2"/>
  </mergeCells>
  <phoneticPr fontId="2" type="noConversion"/>
  <conditionalFormatting sqref="C4:P12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3:C17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3:D17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3:E17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3:F17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3:G17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3:H17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3:I17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3:J17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3:K17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3:L17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3:M17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3:N17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3:O17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3:P17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Jay</cp:lastModifiedBy>
  <dcterms:created xsi:type="dcterms:W3CDTF">2021-10-29T10:34:58Z</dcterms:created>
  <dcterms:modified xsi:type="dcterms:W3CDTF">2024-09-20T08:14:42Z</dcterms:modified>
</cp:coreProperties>
</file>