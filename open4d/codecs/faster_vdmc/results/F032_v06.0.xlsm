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D:\project\data\v6.0_integration\v6.0_integration_test\results\"/>
    </mc:Choice>
  </mc:AlternateContent>
  <xr:revisionPtr revIDLastSave="0" documentId="13_ncr:1_{7790F7D4-9EF3-4E06-A5C6-40CEE3C7B9F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9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7" l="1"/>
  <c r="A16" i="7"/>
  <c r="A15" i="7"/>
  <c r="A14" i="7"/>
  <c r="A13" i="7"/>
  <c r="A12" i="7"/>
  <c r="AV93" i="6"/>
  <c r="AU93" i="6"/>
  <c r="AT93" i="6"/>
  <c r="AS93" i="6"/>
  <c r="AR93" i="6"/>
  <c r="AQ93" i="6"/>
  <c r="AP93" i="6"/>
  <c r="AO93" i="6"/>
  <c r="AN93" i="6"/>
  <c r="AM93" i="6"/>
  <c r="AL93" i="6"/>
  <c r="AK93" i="6"/>
  <c r="AJ93" i="6"/>
  <c r="AI93" i="6"/>
  <c r="AV92" i="6"/>
  <c r="AU92" i="6"/>
  <c r="AT92" i="6"/>
  <c r="AS92" i="6"/>
  <c r="AR92" i="6"/>
  <c r="AQ92" i="6"/>
  <c r="AP92" i="6"/>
  <c r="AO92" i="6"/>
  <c r="AN92" i="6"/>
  <c r="AM92" i="6"/>
  <c r="AL92" i="6"/>
  <c r="AK92" i="6"/>
  <c r="AJ92" i="6"/>
  <c r="AI92" i="6"/>
  <c r="AV91" i="6"/>
  <c r="AU91" i="6"/>
  <c r="AT91" i="6"/>
  <c r="AS91" i="6"/>
  <c r="AR91" i="6"/>
  <c r="AQ91" i="6"/>
  <c r="AP91" i="6"/>
  <c r="AO91" i="6"/>
  <c r="AN91" i="6"/>
  <c r="AM91" i="6"/>
  <c r="AL91" i="6"/>
  <c r="AK91" i="6"/>
  <c r="AJ91" i="6"/>
  <c r="AI91" i="6"/>
  <c r="AV90" i="6"/>
  <c r="AU90" i="6"/>
  <c r="AT90" i="6"/>
  <c r="AS90" i="6"/>
  <c r="AR90" i="6"/>
  <c r="AQ90" i="6"/>
  <c r="AP90" i="6"/>
  <c r="AO90" i="6"/>
  <c r="AN90" i="6"/>
  <c r="AM90" i="6"/>
  <c r="AL90" i="6"/>
  <c r="AK90" i="6"/>
  <c r="AJ90" i="6"/>
  <c r="AI90" i="6"/>
  <c r="AV89" i="6"/>
  <c r="AU89" i="6"/>
  <c r="AT89" i="6"/>
  <c r="AS89" i="6"/>
  <c r="AR89" i="6"/>
  <c r="AQ89" i="6"/>
  <c r="AP89" i="6"/>
  <c r="AO89" i="6"/>
  <c r="AN89" i="6"/>
  <c r="AM89" i="6"/>
  <c r="AL89" i="6"/>
  <c r="AK89" i="6"/>
  <c r="AJ89" i="6"/>
  <c r="AI89" i="6"/>
  <c r="AV88" i="6"/>
  <c r="AU88" i="6"/>
  <c r="AT88" i="6"/>
  <c r="AS88" i="6"/>
  <c r="AR88" i="6"/>
  <c r="AQ88" i="6"/>
  <c r="AP88" i="6"/>
  <c r="AO88" i="6"/>
  <c r="AN88" i="6"/>
  <c r="AM88" i="6"/>
  <c r="AL88" i="6"/>
  <c r="AK88" i="6"/>
  <c r="AJ88" i="6"/>
  <c r="AI88" i="6"/>
  <c r="AV87" i="6"/>
  <c r="AU87" i="6"/>
  <c r="AT87" i="6"/>
  <c r="AS87" i="6"/>
  <c r="AR87" i="6"/>
  <c r="AQ87" i="6"/>
  <c r="AP87" i="6"/>
  <c r="AO87" i="6"/>
  <c r="AN87" i="6"/>
  <c r="AM87" i="6"/>
  <c r="AL87" i="6"/>
  <c r="AK87" i="6"/>
  <c r="AJ87" i="6"/>
  <c r="AI87" i="6"/>
  <c r="AV86" i="6"/>
  <c r="AU86" i="6"/>
  <c r="AT86" i="6"/>
  <c r="AS86" i="6"/>
  <c r="AR86" i="6"/>
  <c r="AQ86" i="6"/>
  <c r="AP86" i="6"/>
  <c r="AO86" i="6"/>
  <c r="AN86" i="6"/>
  <c r="AM86" i="6"/>
  <c r="AL86" i="6"/>
  <c r="AK86" i="6"/>
  <c r="AJ86" i="6"/>
  <c r="AI86" i="6"/>
  <c r="AV85" i="6"/>
  <c r="AU85" i="6"/>
  <c r="AT85" i="6"/>
  <c r="AS85" i="6"/>
  <c r="AR85" i="6"/>
  <c r="AQ85" i="6"/>
  <c r="AP85" i="6"/>
  <c r="AO85" i="6"/>
  <c r="AN85" i="6"/>
  <c r="AM85" i="6"/>
  <c r="AL85" i="6"/>
  <c r="AK85" i="6"/>
  <c r="AJ85" i="6"/>
  <c r="AI85" i="6"/>
  <c r="AV84" i="6"/>
  <c r="AU84" i="6"/>
  <c r="AT84" i="6"/>
  <c r="AS84" i="6"/>
  <c r="AR84" i="6"/>
  <c r="AQ84" i="6"/>
  <c r="AP84" i="6"/>
  <c r="AO84" i="6"/>
  <c r="AN84" i="6"/>
  <c r="AM84" i="6"/>
  <c r="AL84" i="6"/>
  <c r="AK84" i="6"/>
  <c r="AJ84" i="6"/>
  <c r="AI84" i="6"/>
  <c r="AV83" i="6"/>
  <c r="AU83" i="6"/>
  <c r="AT83" i="6"/>
  <c r="AS83" i="6"/>
  <c r="AR83" i="6"/>
  <c r="AQ83" i="6"/>
  <c r="AP83" i="6"/>
  <c r="AO83" i="6"/>
  <c r="AN83" i="6"/>
  <c r="AM83" i="6"/>
  <c r="AL83" i="6"/>
  <c r="AK83" i="6"/>
  <c r="AJ83" i="6"/>
  <c r="AI83" i="6"/>
  <c r="AV82" i="6"/>
  <c r="AU82" i="6"/>
  <c r="AT82" i="6"/>
  <c r="AS82" i="6"/>
  <c r="AR82" i="6"/>
  <c r="AQ82" i="6"/>
  <c r="AP82" i="6"/>
  <c r="AO82" i="6"/>
  <c r="AN82" i="6"/>
  <c r="AM82" i="6"/>
  <c r="AL82" i="6"/>
  <c r="AK82" i="6"/>
  <c r="AJ82" i="6"/>
  <c r="AI82" i="6"/>
  <c r="AV81" i="6"/>
  <c r="AU81" i="6"/>
  <c r="AT81" i="6"/>
  <c r="AS81" i="6"/>
  <c r="AR81" i="6"/>
  <c r="AQ81" i="6"/>
  <c r="AP81" i="6"/>
  <c r="AO81" i="6"/>
  <c r="AN81" i="6"/>
  <c r="AM81" i="6"/>
  <c r="AL81" i="6"/>
  <c r="AK81" i="6"/>
  <c r="AJ81" i="6"/>
  <c r="AI81" i="6"/>
  <c r="AV80" i="6"/>
  <c r="AU80" i="6"/>
  <c r="AT80" i="6"/>
  <c r="AS80" i="6"/>
  <c r="AR80" i="6"/>
  <c r="AQ80" i="6"/>
  <c r="AP80" i="6"/>
  <c r="AO80" i="6"/>
  <c r="AN80" i="6"/>
  <c r="AM80" i="6"/>
  <c r="AL80" i="6"/>
  <c r="AK80" i="6"/>
  <c r="AJ80" i="6"/>
  <c r="AI80" i="6"/>
  <c r="AV79" i="6"/>
  <c r="AU79" i="6"/>
  <c r="AT79" i="6"/>
  <c r="AS79" i="6"/>
  <c r="AR79" i="6"/>
  <c r="AQ79" i="6"/>
  <c r="AP79" i="6"/>
  <c r="AO79" i="6"/>
  <c r="AN79" i="6"/>
  <c r="AM79" i="6"/>
  <c r="AL79" i="6"/>
  <c r="AK79" i="6"/>
  <c r="AJ79" i="6"/>
  <c r="AI79" i="6"/>
  <c r="AV78" i="6"/>
  <c r="AU78" i="6"/>
  <c r="AT78" i="6"/>
  <c r="AS78" i="6"/>
  <c r="AR78" i="6"/>
  <c r="AQ78" i="6"/>
  <c r="AP78" i="6"/>
  <c r="AO78" i="6"/>
  <c r="AN78" i="6"/>
  <c r="AM78" i="6"/>
  <c r="AL78" i="6"/>
  <c r="AK78" i="6"/>
  <c r="AJ78" i="6"/>
  <c r="AI78" i="6"/>
  <c r="AV77" i="6"/>
  <c r="AU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V76" i="6"/>
  <c r="AU76" i="6"/>
  <c r="AT76" i="6"/>
  <c r="AS76" i="6"/>
  <c r="AR76" i="6"/>
  <c r="AQ76" i="6"/>
  <c r="AP76" i="6"/>
  <c r="AO76" i="6"/>
  <c r="AN76" i="6"/>
  <c r="AM76" i="6"/>
  <c r="AL76" i="6"/>
  <c r="AK76" i="6"/>
  <c r="AJ76" i="6"/>
  <c r="AI76" i="6"/>
  <c r="AV75" i="6"/>
  <c r="AU75" i="6"/>
  <c r="AT75" i="6"/>
  <c r="AS75" i="6"/>
  <c r="AR75" i="6"/>
  <c r="AQ75" i="6"/>
  <c r="AP75" i="6"/>
  <c r="AO75" i="6"/>
  <c r="AN75" i="6"/>
  <c r="AM75" i="6"/>
  <c r="AL75" i="6"/>
  <c r="AK75" i="6"/>
  <c r="AJ75" i="6"/>
  <c r="AI75" i="6"/>
  <c r="AV74" i="6"/>
  <c r="AU74" i="6"/>
  <c r="AT74" i="6"/>
  <c r="AS74" i="6"/>
  <c r="AR74" i="6"/>
  <c r="AQ74" i="6"/>
  <c r="AP74" i="6"/>
  <c r="AO74" i="6"/>
  <c r="AN74" i="6"/>
  <c r="AM74" i="6"/>
  <c r="AL74" i="6"/>
  <c r="AK74" i="6"/>
  <c r="AJ74" i="6"/>
  <c r="AI74" i="6"/>
  <c r="AV73" i="6"/>
  <c r="AU73" i="6"/>
  <c r="AT73" i="6"/>
  <c r="AS73" i="6"/>
  <c r="AR73" i="6"/>
  <c r="AQ73" i="6"/>
  <c r="AP73" i="6"/>
  <c r="AO73" i="6"/>
  <c r="AN73" i="6"/>
  <c r="AM73" i="6"/>
  <c r="AL73" i="6"/>
  <c r="AK73" i="6"/>
  <c r="AJ73" i="6"/>
  <c r="AI73" i="6"/>
  <c r="AV72" i="6"/>
  <c r="AU72" i="6"/>
  <c r="AT72" i="6"/>
  <c r="AS72" i="6"/>
  <c r="AR72" i="6"/>
  <c r="AQ72" i="6"/>
  <c r="AP72" i="6"/>
  <c r="AO72" i="6"/>
  <c r="AN72" i="6"/>
  <c r="AM72" i="6"/>
  <c r="AL72" i="6"/>
  <c r="AK72" i="6"/>
  <c r="AJ72" i="6"/>
  <c r="AI72" i="6"/>
  <c r="AV71" i="6"/>
  <c r="AU71" i="6"/>
  <c r="AT71" i="6"/>
  <c r="AS71" i="6"/>
  <c r="AR71" i="6"/>
  <c r="AQ71" i="6"/>
  <c r="AP71" i="6"/>
  <c r="AO71" i="6"/>
  <c r="AN71" i="6"/>
  <c r="AM71" i="6"/>
  <c r="AL71" i="6"/>
  <c r="AK71" i="6"/>
  <c r="AJ71" i="6"/>
  <c r="AI71" i="6"/>
  <c r="AV70" i="6"/>
  <c r="AU70" i="6"/>
  <c r="AT70" i="6"/>
  <c r="AS70" i="6"/>
  <c r="AR70" i="6"/>
  <c r="AQ70" i="6"/>
  <c r="AP70" i="6"/>
  <c r="AO70" i="6"/>
  <c r="AN70" i="6"/>
  <c r="AM70" i="6"/>
  <c r="AL70" i="6"/>
  <c r="AK70" i="6"/>
  <c r="AJ70" i="6"/>
  <c r="AI70" i="6"/>
  <c r="AV69" i="6"/>
  <c r="AU69" i="6"/>
  <c r="AT69" i="6"/>
  <c r="AS69" i="6"/>
  <c r="AR69" i="6"/>
  <c r="AQ69" i="6"/>
  <c r="AP69" i="6"/>
  <c r="AO69" i="6"/>
  <c r="AN69" i="6"/>
  <c r="AM69" i="6"/>
  <c r="AL69" i="6"/>
  <c r="AK69" i="6"/>
  <c r="AJ69" i="6"/>
  <c r="AI69" i="6"/>
  <c r="AV68" i="6"/>
  <c r="AU68" i="6"/>
  <c r="AT68" i="6"/>
  <c r="AS68" i="6"/>
  <c r="AR68" i="6"/>
  <c r="AQ68" i="6"/>
  <c r="AP68" i="6"/>
  <c r="AO68" i="6"/>
  <c r="AN68" i="6"/>
  <c r="AM68" i="6"/>
  <c r="AL68" i="6"/>
  <c r="AK68" i="6"/>
  <c r="AJ68" i="6"/>
  <c r="AI68" i="6"/>
  <c r="AV67" i="6"/>
  <c r="AU67" i="6"/>
  <c r="AT67" i="6"/>
  <c r="AS67" i="6"/>
  <c r="AR67" i="6"/>
  <c r="AQ67" i="6"/>
  <c r="AP67" i="6"/>
  <c r="AO67" i="6"/>
  <c r="AN67" i="6"/>
  <c r="AM67" i="6"/>
  <c r="AL67" i="6"/>
  <c r="AK67" i="6"/>
  <c r="AJ67" i="6"/>
  <c r="AI67" i="6"/>
  <c r="AV66" i="6"/>
  <c r="AU66" i="6"/>
  <c r="AT66" i="6"/>
  <c r="AS66" i="6"/>
  <c r="AR66" i="6"/>
  <c r="AQ66" i="6"/>
  <c r="AP66" i="6"/>
  <c r="AO66" i="6"/>
  <c r="AN66" i="6"/>
  <c r="AM66" i="6"/>
  <c r="AL66" i="6"/>
  <c r="AK66" i="6"/>
  <c r="AJ66" i="6"/>
  <c r="AI66" i="6"/>
  <c r="AV65" i="6"/>
  <c r="AU65" i="6"/>
  <c r="AT65" i="6"/>
  <c r="AS65" i="6"/>
  <c r="AR65" i="6"/>
  <c r="AQ65" i="6"/>
  <c r="AP65" i="6"/>
  <c r="AO65" i="6"/>
  <c r="AN65" i="6"/>
  <c r="AM65" i="6"/>
  <c r="AL65" i="6"/>
  <c r="AK65" i="6"/>
  <c r="AJ65" i="6"/>
  <c r="AI65" i="6"/>
  <c r="AV64" i="6"/>
  <c r="AU64" i="6"/>
  <c r="AT64" i="6"/>
  <c r="AS64" i="6"/>
  <c r="AR64" i="6"/>
  <c r="AQ64" i="6"/>
  <c r="AP64" i="6"/>
  <c r="AO64" i="6"/>
  <c r="AN64" i="6"/>
  <c r="AM64" i="6"/>
  <c r="AL64" i="6"/>
  <c r="AK64" i="6"/>
  <c r="AJ64" i="6"/>
  <c r="AI64" i="6"/>
  <c r="AV63" i="6"/>
  <c r="AU63" i="6"/>
  <c r="AT63" i="6"/>
  <c r="AS63" i="6"/>
  <c r="AR63" i="6"/>
  <c r="AQ63" i="6"/>
  <c r="AP63" i="6"/>
  <c r="AO63" i="6"/>
  <c r="AN63" i="6"/>
  <c r="AM63" i="6"/>
  <c r="AL63" i="6"/>
  <c r="AK63" i="6"/>
  <c r="AJ63" i="6"/>
  <c r="AI63" i="6"/>
  <c r="AV62" i="6"/>
  <c r="AU62" i="6"/>
  <c r="AT62" i="6"/>
  <c r="AS62" i="6"/>
  <c r="AR62" i="6"/>
  <c r="AQ62" i="6"/>
  <c r="AP62" i="6"/>
  <c r="AO62" i="6"/>
  <c r="AN62" i="6"/>
  <c r="AM62" i="6"/>
  <c r="AL62" i="6"/>
  <c r="AK62" i="6"/>
  <c r="AJ62" i="6"/>
  <c r="AI62" i="6"/>
  <c r="AV61" i="6"/>
  <c r="AU61" i="6"/>
  <c r="AT61" i="6"/>
  <c r="AS61" i="6"/>
  <c r="AR61" i="6"/>
  <c r="AQ61" i="6"/>
  <c r="AP61" i="6"/>
  <c r="AO61" i="6"/>
  <c r="AN61" i="6"/>
  <c r="AM61" i="6"/>
  <c r="AL61" i="6"/>
  <c r="AK61" i="6"/>
  <c r="AJ61" i="6"/>
  <c r="AI61" i="6"/>
  <c r="AV60" i="6"/>
  <c r="AU60" i="6"/>
  <c r="AT60" i="6"/>
  <c r="AS60" i="6"/>
  <c r="AR60" i="6"/>
  <c r="AQ60" i="6"/>
  <c r="AP60" i="6"/>
  <c r="AO60" i="6"/>
  <c r="AN60" i="6"/>
  <c r="AM60" i="6"/>
  <c r="AL60" i="6"/>
  <c r="AK60" i="6"/>
  <c r="AJ60" i="6"/>
  <c r="AI60" i="6"/>
  <c r="AV59" i="6"/>
  <c r="AU59" i="6"/>
  <c r="AT59" i="6"/>
  <c r="AS59" i="6"/>
  <c r="AR59" i="6"/>
  <c r="AQ59" i="6"/>
  <c r="AP59" i="6"/>
  <c r="AO59" i="6"/>
  <c r="AN59" i="6"/>
  <c r="AM59" i="6"/>
  <c r="AL59" i="6"/>
  <c r="AK59" i="6"/>
  <c r="AJ59" i="6"/>
  <c r="AI59" i="6"/>
  <c r="AV58" i="6"/>
  <c r="AU58" i="6"/>
  <c r="AT58" i="6"/>
  <c r="AS58" i="6"/>
  <c r="AR58" i="6"/>
  <c r="AQ58" i="6"/>
  <c r="AP58" i="6"/>
  <c r="AO58" i="6"/>
  <c r="AN58" i="6"/>
  <c r="AM58" i="6"/>
  <c r="AL58" i="6"/>
  <c r="AK58" i="6"/>
  <c r="AJ58" i="6"/>
  <c r="AI58" i="6"/>
  <c r="AV57" i="6"/>
  <c r="AU57" i="6"/>
  <c r="AT57" i="6"/>
  <c r="AS57" i="6"/>
  <c r="AR57" i="6"/>
  <c r="AQ57" i="6"/>
  <c r="AP57" i="6"/>
  <c r="AO57" i="6"/>
  <c r="AN57" i="6"/>
  <c r="AM57" i="6"/>
  <c r="AL57" i="6"/>
  <c r="AK57" i="6"/>
  <c r="AJ57" i="6"/>
  <c r="AI57" i="6"/>
  <c r="AV56" i="6"/>
  <c r="AU56" i="6"/>
  <c r="AT56" i="6"/>
  <c r="AS56" i="6"/>
  <c r="AR56" i="6"/>
  <c r="AQ56" i="6"/>
  <c r="AP56" i="6"/>
  <c r="AO56" i="6"/>
  <c r="AN56" i="6"/>
  <c r="AM56" i="6"/>
  <c r="AL56" i="6"/>
  <c r="AK56" i="6"/>
  <c r="AJ56" i="6"/>
  <c r="AI56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X49" i="6"/>
  <c r="AW49" i="6"/>
  <c r="AC49" i="6"/>
  <c r="AB49" i="6"/>
  <c r="BT44" i="6"/>
  <c r="BS44" i="6"/>
  <c r="BR44" i="6"/>
  <c r="BQ44" i="6"/>
  <c r="BP44" i="6"/>
  <c r="AH44" i="6"/>
  <c r="AG44" i="6" s="1"/>
  <c r="AF44" i="6"/>
  <c r="AE44" i="6"/>
  <c r="M44" i="6"/>
  <c r="K44" i="6"/>
  <c r="J44" i="6"/>
  <c r="BT43" i="6"/>
  <c r="BS43" i="6"/>
  <c r="BR43" i="6"/>
  <c r="BQ43" i="6"/>
  <c r="BP43" i="6"/>
  <c r="AH43" i="6"/>
  <c r="AF43" i="6"/>
  <c r="AE43" i="6"/>
  <c r="M43" i="6"/>
  <c r="L43" i="6" s="1"/>
  <c r="K43" i="6"/>
  <c r="J43" i="6"/>
  <c r="BT42" i="6"/>
  <c r="BS42" i="6"/>
  <c r="BR42" i="6"/>
  <c r="BQ42" i="6"/>
  <c r="BP42" i="6"/>
  <c r="AH42" i="6"/>
  <c r="AF42" i="6"/>
  <c r="AE42" i="6"/>
  <c r="M42" i="6"/>
  <c r="K42" i="6"/>
  <c r="J42" i="6"/>
  <c r="BT41" i="6"/>
  <c r="BS41" i="6"/>
  <c r="BR41" i="6"/>
  <c r="BQ41" i="6"/>
  <c r="BP41" i="6"/>
  <c r="AH41" i="6"/>
  <c r="AF41" i="6"/>
  <c r="AE41" i="6"/>
  <c r="M41" i="6"/>
  <c r="L41" i="6" s="1"/>
  <c r="K41" i="6"/>
  <c r="J41" i="6"/>
  <c r="BT40" i="6"/>
  <c r="BS40" i="6"/>
  <c r="BR40" i="6"/>
  <c r="BQ40" i="6"/>
  <c r="BP40" i="6"/>
  <c r="AH40" i="6"/>
  <c r="AF40" i="6"/>
  <c r="AE40" i="6"/>
  <c r="M40" i="6"/>
  <c r="L40" i="6" s="1"/>
  <c r="K40" i="6"/>
  <c r="J40" i="6"/>
  <c r="BT39" i="6"/>
  <c r="BS39" i="6"/>
  <c r="BR39" i="6"/>
  <c r="BQ39" i="6"/>
  <c r="BP39" i="6"/>
  <c r="AH39" i="6"/>
  <c r="AF39" i="6"/>
  <c r="AE39" i="6"/>
  <c r="M39" i="6"/>
  <c r="L39" i="6" s="1"/>
  <c r="K39" i="6"/>
  <c r="J39" i="6"/>
  <c r="BT38" i="6"/>
  <c r="BS38" i="6"/>
  <c r="BR38" i="6"/>
  <c r="BQ38" i="6"/>
  <c r="BP38" i="6"/>
  <c r="AH38" i="6"/>
  <c r="AF38" i="6"/>
  <c r="AE38" i="6"/>
  <c r="M38" i="6"/>
  <c r="L38" i="6" s="1"/>
  <c r="K38" i="6"/>
  <c r="J38" i="6"/>
  <c r="BT37" i="6"/>
  <c r="BS37" i="6"/>
  <c r="BR37" i="6"/>
  <c r="BQ37" i="6"/>
  <c r="BP37" i="6"/>
  <c r="AH37" i="6"/>
  <c r="AG37" i="6" s="1"/>
  <c r="AF37" i="6"/>
  <c r="AE37" i="6"/>
  <c r="M37" i="6"/>
  <c r="L37" i="6" s="1"/>
  <c r="K37" i="6"/>
  <c r="J37" i="6"/>
  <c r="BT36" i="6"/>
  <c r="BS36" i="6"/>
  <c r="BR36" i="6"/>
  <c r="BQ36" i="6"/>
  <c r="BP36" i="6"/>
  <c r="AH36" i="6"/>
  <c r="AG36" i="6" s="1"/>
  <c r="AF36" i="6"/>
  <c r="AE36" i="6"/>
  <c r="M36" i="6"/>
  <c r="K36" i="6"/>
  <c r="J36" i="6"/>
  <c r="BT35" i="6"/>
  <c r="BS35" i="6"/>
  <c r="BR35" i="6"/>
  <c r="BQ35" i="6"/>
  <c r="BP35" i="6"/>
  <c r="AH35" i="6"/>
  <c r="AG35" i="6" s="1"/>
  <c r="AF35" i="6"/>
  <c r="AE35" i="6"/>
  <c r="M35" i="6"/>
  <c r="L35" i="6" s="1"/>
  <c r="K35" i="6"/>
  <c r="J35" i="6"/>
  <c r="BT34" i="6"/>
  <c r="BS34" i="6"/>
  <c r="BR34" i="6"/>
  <c r="BQ34" i="6"/>
  <c r="BP34" i="6"/>
  <c r="AH34" i="6"/>
  <c r="AF34" i="6"/>
  <c r="AE34" i="6"/>
  <c r="M34" i="6"/>
  <c r="L34" i="6" s="1"/>
  <c r="K34" i="6"/>
  <c r="J34" i="6"/>
  <c r="BT33" i="6"/>
  <c r="BS33" i="6"/>
  <c r="BR33" i="6"/>
  <c r="BQ33" i="6"/>
  <c r="BP33" i="6"/>
  <c r="AH33" i="6"/>
  <c r="AG33" i="6" s="1"/>
  <c r="AF33" i="6"/>
  <c r="AE33" i="6"/>
  <c r="M33" i="6"/>
  <c r="L33" i="6" s="1"/>
  <c r="K33" i="6"/>
  <c r="J33" i="6"/>
  <c r="BT32" i="6"/>
  <c r="BS32" i="6"/>
  <c r="BR32" i="6"/>
  <c r="BQ32" i="6"/>
  <c r="BP32" i="6"/>
  <c r="AH32" i="6"/>
  <c r="AG32" i="6" s="1"/>
  <c r="AF32" i="6"/>
  <c r="AE32" i="6"/>
  <c r="M32" i="6"/>
  <c r="L32" i="6" s="1"/>
  <c r="K32" i="6"/>
  <c r="J32" i="6"/>
  <c r="BT31" i="6"/>
  <c r="BS31" i="6"/>
  <c r="BR31" i="6"/>
  <c r="BQ31" i="6"/>
  <c r="BP31" i="6"/>
  <c r="AH31" i="6"/>
  <c r="AG31" i="6" s="1"/>
  <c r="AF31" i="6"/>
  <c r="AE31" i="6"/>
  <c r="M31" i="6"/>
  <c r="L31" i="6" s="1"/>
  <c r="K31" i="6"/>
  <c r="J31" i="6"/>
  <c r="BT30" i="6"/>
  <c r="BS30" i="6"/>
  <c r="BR30" i="6"/>
  <c r="BQ30" i="6"/>
  <c r="BP30" i="6"/>
  <c r="AH30" i="6"/>
  <c r="AF30" i="6"/>
  <c r="AE30" i="6"/>
  <c r="M30" i="6"/>
  <c r="K30" i="6"/>
  <c r="J30" i="6"/>
  <c r="BT29" i="6"/>
  <c r="BS29" i="6"/>
  <c r="BR29" i="6"/>
  <c r="BQ29" i="6"/>
  <c r="BP29" i="6"/>
  <c r="AH29" i="6"/>
  <c r="AF29" i="6"/>
  <c r="AE29" i="6"/>
  <c r="M29" i="6"/>
  <c r="L29" i="6" s="1"/>
  <c r="K29" i="6"/>
  <c r="J29" i="6"/>
  <c r="BT28" i="6"/>
  <c r="BS28" i="6"/>
  <c r="BR28" i="6"/>
  <c r="BQ28" i="6"/>
  <c r="BP28" i="6"/>
  <c r="AH28" i="6"/>
  <c r="AG28" i="6" s="1"/>
  <c r="AF28" i="6"/>
  <c r="AE28" i="6"/>
  <c r="M28" i="6"/>
  <c r="L28" i="6" s="1"/>
  <c r="K28" i="6"/>
  <c r="J28" i="6"/>
  <c r="BT27" i="6"/>
  <c r="BS27" i="6"/>
  <c r="BR27" i="6"/>
  <c r="BQ27" i="6"/>
  <c r="BP27" i="6"/>
  <c r="AH27" i="6"/>
  <c r="AF27" i="6"/>
  <c r="AE27" i="6"/>
  <c r="M27" i="6"/>
  <c r="L27" i="6" s="1"/>
  <c r="K27" i="6"/>
  <c r="J27" i="6"/>
  <c r="BT26" i="6"/>
  <c r="BS26" i="6"/>
  <c r="BR26" i="6"/>
  <c r="BQ26" i="6"/>
  <c r="BP26" i="6"/>
  <c r="AH26" i="6"/>
  <c r="AG26" i="6" s="1"/>
  <c r="AF26" i="6"/>
  <c r="AE26" i="6"/>
  <c r="M26" i="6"/>
  <c r="K26" i="6"/>
  <c r="J26" i="6"/>
  <c r="BT25" i="6"/>
  <c r="BS25" i="6"/>
  <c r="BR25" i="6"/>
  <c r="BQ25" i="6"/>
  <c r="BP25" i="6"/>
  <c r="AH25" i="6"/>
  <c r="AG25" i="6" s="1"/>
  <c r="AF25" i="6"/>
  <c r="AE25" i="6"/>
  <c r="M25" i="6"/>
  <c r="L25" i="6" s="1"/>
  <c r="K25" i="6"/>
  <c r="J25" i="6"/>
  <c r="BT24" i="6"/>
  <c r="BS24" i="6"/>
  <c r="BR24" i="6"/>
  <c r="BQ24" i="6"/>
  <c r="BP24" i="6"/>
  <c r="AH24" i="6"/>
  <c r="AF24" i="6"/>
  <c r="AE24" i="6"/>
  <c r="M24" i="6"/>
  <c r="L24" i="6" s="1"/>
  <c r="K24" i="6"/>
  <c r="J24" i="6"/>
  <c r="BT23" i="6"/>
  <c r="BS23" i="6"/>
  <c r="BR23" i="6"/>
  <c r="BQ23" i="6"/>
  <c r="BP23" i="6"/>
  <c r="AH23" i="6"/>
  <c r="AG23" i="6" s="1"/>
  <c r="AF23" i="6"/>
  <c r="AE23" i="6"/>
  <c r="M23" i="6"/>
  <c r="L23" i="6" s="1"/>
  <c r="K23" i="6"/>
  <c r="J23" i="6"/>
  <c r="BT22" i="6"/>
  <c r="BS22" i="6"/>
  <c r="BR22" i="6"/>
  <c r="BQ22" i="6"/>
  <c r="BP22" i="6"/>
  <c r="AH22" i="6"/>
  <c r="AG22" i="6" s="1"/>
  <c r="AF22" i="6"/>
  <c r="AE22" i="6"/>
  <c r="M22" i="6"/>
  <c r="L22" i="6" s="1"/>
  <c r="K22" i="6"/>
  <c r="J22" i="6"/>
  <c r="BT21" i="6"/>
  <c r="BS21" i="6"/>
  <c r="BR21" i="6"/>
  <c r="BQ21" i="6"/>
  <c r="BP21" i="6"/>
  <c r="AH21" i="6"/>
  <c r="AG21" i="6" s="1"/>
  <c r="AF21" i="6"/>
  <c r="AE21" i="6"/>
  <c r="M21" i="6"/>
  <c r="L21" i="6" s="1"/>
  <c r="K21" i="6"/>
  <c r="J21" i="6"/>
  <c r="BT20" i="6"/>
  <c r="BS20" i="6"/>
  <c r="BR20" i="6"/>
  <c r="BQ20" i="6"/>
  <c r="BP20" i="6"/>
  <c r="AH20" i="6"/>
  <c r="AG20" i="6" s="1"/>
  <c r="AF20" i="6"/>
  <c r="AE20" i="6"/>
  <c r="M20" i="6"/>
  <c r="L20" i="6" s="1"/>
  <c r="K20" i="6"/>
  <c r="J20" i="6"/>
  <c r="BT19" i="6"/>
  <c r="BS19" i="6"/>
  <c r="BR19" i="6"/>
  <c r="BQ19" i="6"/>
  <c r="BP19" i="6"/>
  <c r="AH19" i="6"/>
  <c r="AG19" i="6" s="1"/>
  <c r="AF19" i="6"/>
  <c r="AE19" i="6"/>
  <c r="M19" i="6"/>
  <c r="L19" i="6" s="1"/>
  <c r="K19" i="6"/>
  <c r="J19" i="6"/>
  <c r="BT18" i="6"/>
  <c r="BS18" i="6"/>
  <c r="BR18" i="6"/>
  <c r="BQ18" i="6"/>
  <c r="BP18" i="6"/>
  <c r="AH18" i="6"/>
  <c r="AF18" i="6"/>
  <c r="AE18" i="6"/>
  <c r="M18" i="6"/>
  <c r="L18" i="6" s="1"/>
  <c r="K18" i="6"/>
  <c r="J18" i="6"/>
  <c r="BT17" i="6"/>
  <c r="BS17" i="6"/>
  <c r="BR17" i="6"/>
  <c r="BQ17" i="6"/>
  <c r="BP17" i="6"/>
  <c r="AH17" i="6"/>
  <c r="AG17" i="6" s="1"/>
  <c r="AF17" i="6"/>
  <c r="AE17" i="6"/>
  <c r="M17" i="6"/>
  <c r="L17" i="6" s="1"/>
  <c r="K17" i="6"/>
  <c r="J17" i="6"/>
  <c r="BT16" i="6"/>
  <c r="BS16" i="6"/>
  <c r="BR16" i="6"/>
  <c r="BQ16" i="6"/>
  <c r="BP16" i="6"/>
  <c r="AH16" i="6"/>
  <c r="AG16" i="6" s="1"/>
  <c r="AF16" i="6"/>
  <c r="AE16" i="6"/>
  <c r="M16" i="6"/>
  <c r="L16" i="6" s="1"/>
  <c r="K16" i="6"/>
  <c r="J16" i="6"/>
  <c r="BT15" i="6"/>
  <c r="BS15" i="6"/>
  <c r="BR15" i="6"/>
  <c r="BQ15" i="6"/>
  <c r="BP15" i="6"/>
  <c r="AH15" i="6"/>
  <c r="AG15" i="6" s="1"/>
  <c r="AF15" i="6"/>
  <c r="AE15" i="6"/>
  <c r="M15" i="6"/>
  <c r="K15" i="6"/>
  <c r="J15" i="6"/>
  <c r="BT14" i="6"/>
  <c r="BS14" i="6"/>
  <c r="BR14" i="6"/>
  <c r="BQ14" i="6"/>
  <c r="BP14" i="6"/>
  <c r="AH14" i="6"/>
  <c r="AG14" i="6" s="1"/>
  <c r="AF14" i="6"/>
  <c r="AE14" i="6"/>
  <c r="M14" i="6"/>
  <c r="L14" i="6" s="1"/>
  <c r="K14" i="6"/>
  <c r="J14" i="6"/>
  <c r="BT13" i="6"/>
  <c r="BS13" i="6"/>
  <c r="BR13" i="6"/>
  <c r="BQ13" i="6"/>
  <c r="BP13" i="6"/>
  <c r="AH13" i="6"/>
  <c r="AG13" i="6" s="1"/>
  <c r="AF13" i="6"/>
  <c r="AE13" i="6"/>
  <c r="M13" i="6"/>
  <c r="L13" i="6" s="1"/>
  <c r="K13" i="6"/>
  <c r="J13" i="6"/>
  <c r="BT12" i="6"/>
  <c r="BS12" i="6"/>
  <c r="BR12" i="6"/>
  <c r="BQ12" i="6"/>
  <c r="BP12" i="6"/>
  <c r="AH12" i="6"/>
  <c r="AG12" i="6" s="1"/>
  <c r="AF12" i="6"/>
  <c r="AE12" i="6"/>
  <c r="M12" i="6"/>
  <c r="L12" i="6" s="1"/>
  <c r="K12" i="6"/>
  <c r="J12" i="6"/>
  <c r="BT11" i="6"/>
  <c r="BS11" i="6"/>
  <c r="BR11" i="6"/>
  <c r="BQ11" i="6"/>
  <c r="BP11" i="6"/>
  <c r="AH11" i="6"/>
  <c r="AF11" i="6"/>
  <c r="AE11" i="6"/>
  <c r="M11" i="6"/>
  <c r="L11" i="6" s="1"/>
  <c r="K11" i="6"/>
  <c r="J11" i="6"/>
  <c r="BT10" i="6"/>
  <c r="BS10" i="6"/>
  <c r="BR10" i="6"/>
  <c r="BQ10" i="6"/>
  <c r="BP10" i="6"/>
  <c r="AH10" i="6"/>
  <c r="AG10" i="6" s="1"/>
  <c r="AF10" i="6"/>
  <c r="AE10" i="6"/>
  <c r="M10" i="6"/>
  <c r="K10" i="6"/>
  <c r="J10" i="6"/>
  <c r="BT9" i="6"/>
  <c r="BS9" i="6"/>
  <c r="BR9" i="6"/>
  <c r="BQ9" i="6"/>
  <c r="BP9" i="6"/>
  <c r="AH9" i="6"/>
  <c r="AG9" i="6" s="1"/>
  <c r="AF9" i="6"/>
  <c r="AE9" i="6"/>
  <c r="M9" i="6"/>
  <c r="L9" i="6" s="1"/>
  <c r="K9" i="6"/>
  <c r="J9" i="6"/>
  <c r="BT8" i="6"/>
  <c r="BS8" i="6"/>
  <c r="BR8" i="6"/>
  <c r="BQ8" i="6"/>
  <c r="BP8" i="6"/>
  <c r="AH8" i="6"/>
  <c r="AG8" i="6" s="1"/>
  <c r="AF8" i="6"/>
  <c r="AE8" i="6"/>
  <c r="M8" i="6"/>
  <c r="L8" i="6" s="1"/>
  <c r="K8" i="6"/>
  <c r="J8" i="6"/>
  <c r="BT7" i="6"/>
  <c r="BS7" i="6"/>
  <c r="BR7" i="6"/>
  <c r="BQ7" i="6"/>
  <c r="BP7" i="6"/>
  <c r="AH7" i="6"/>
  <c r="AF7" i="6"/>
  <c r="AE7" i="6"/>
  <c r="M7" i="6"/>
  <c r="L7" i="6" s="1"/>
  <c r="K7" i="6"/>
  <c r="J7" i="6"/>
  <c r="BT6" i="6"/>
  <c r="BS6" i="6"/>
  <c r="BR6" i="6"/>
  <c r="BQ6" i="6"/>
  <c r="BP6" i="6"/>
  <c r="AH6" i="6"/>
  <c r="AF6" i="6"/>
  <c r="AE6" i="6"/>
  <c r="M6" i="6"/>
  <c r="L6" i="6" s="1"/>
  <c r="K6" i="6"/>
  <c r="J6" i="6"/>
  <c r="BT5" i="6"/>
  <c r="BS5" i="6"/>
  <c r="BR5" i="6"/>
  <c r="BQ5" i="6"/>
  <c r="BP5" i="6"/>
  <c r="AH5" i="6"/>
  <c r="AG5" i="6" s="1"/>
  <c r="AF5" i="6"/>
  <c r="AE5" i="6"/>
  <c r="M5" i="6"/>
  <c r="L5" i="6" s="1"/>
  <c r="K5" i="6"/>
  <c r="J5" i="6"/>
  <c r="AE1" i="6"/>
  <c r="J1" i="6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V92" i="5"/>
  <c r="AU92" i="5"/>
  <c r="AT92" i="5"/>
  <c r="AS92" i="5"/>
  <c r="AR92" i="5"/>
  <c r="AQ92" i="5"/>
  <c r="AP92" i="5"/>
  <c r="AO92" i="5"/>
  <c r="AN92" i="5"/>
  <c r="AM92" i="5"/>
  <c r="AL92" i="5"/>
  <c r="AK92" i="5"/>
  <c r="AJ92" i="5"/>
  <c r="AI92" i="5"/>
  <c r="AV91" i="5"/>
  <c r="AU91" i="5"/>
  <c r="AT91" i="5"/>
  <c r="AS91" i="5"/>
  <c r="AR91" i="5"/>
  <c r="AQ91" i="5"/>
  <c r="AP91" i="5"/>
  <c r="AO91" i="5"/>
  <c r="AN91" i="5"/>
  <c r="AM91" i="5"/>
  <c r="AL91" i="5"/>
  <c r="AK91" i="5"/>
  <c r="AJ91" i="5"/>
  <c r="AI91" i="5"/>
  <c r="AV90" i="5"/>
  <c r="AU90" i="5"/>
  <c r="AT90" i="5"/>
  <c r="AS90" i="5"/>
  <c r="AR90" i="5"/>
  <c r="AQ90" i="5"/>
  <c r="AP90" i="5"/>
  <c r="AO90" i="5"/>
  <c r="AN90" i="5"/>
  <c r="AM90" i="5"/>
  <c r="AL90" i="5"/>
  <c r="AK90" i="5"/>
  <c r="AJ90" i="5"/>
  <c r="AI90" i="5"/>
  <c r="AV89" i="5"/>
  <c r="AU89" i="5"/>
  <c r="AT89" i="5"/>
  <c r="AS89" i="5"/>
  <c r="AR89" i="5"/>
  <c r="AQ89" i="5"/>
  <c r="AP89" i="5"/>
  <c r="AO89" i="5"/>
  <c r="AN89" i="5"/>
  <c r="AM89" i="5"/>
  <c r="AL89" i="5"/>
  <c r="AK89" i="5"/>
  <c r="AJ89" i="5"/>
  <c r="AI89" i="5"/>
  <c r="AV88" i="5"/>
  <c r="AU88" i="5"/>
  <c r="AT88" i="5"/>
  <c r="AS88" i="5"/>
  <c r="AR88" i="5"/>
  <c r="AQ88" i="5"/>
  <c r="AP88" i="5"/>
  <c r="AO88" i="5"/>
  <c r="AN88" i="5"/>
  <c r="AM88" i="5"/>
  <c r="AL88" i="5"/>
  <c r="AK88" i="5"/>
  <c r="AJ88" i="5"/>
  <c r="AI88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V85" i="5"/>
  <c r="AU85" i="5"/>
  <c r="AT85" i="5"/>
  <c r="AS85" i="5"/>
  <c r="AR85" i="5"/>
  <c r="AQ85" i="5"/>
  <c r="AP85" i="5"/>
  <c r="AO85" i="5"/>
  <c r="AN85" i="5"/>
  <c r="AM85" i="5"/>
  <c r="AL85" i="5"/>
  <c r="AK85" i="5"/>
  <c r="AJ85" i="5"/>
  <c r="AI85" i="5"/>
  <c r="AV84" i="5"/>
  <c r="AU84" i="5"/>
  <c r="AT84" i="5"/>
  <c r="AS84" i="5"/>
  <c r="AR84" i="5"/>
  <c r="AQ84" i="5"/>
  <c r="AP84" i="5"/>
  <c r="AO84" i="5"/>
  <c r="AN84" i="5"/>
  <c r="AM84" i="5"/>
  <c r="AL84" i="5"/>
  <c r="AK84" i="5"/>
  <c r="AJ84" i="5"/>
  <c r="AI84" i="5"/>
  <c r="AV83" i="5"/>
  <c r="AU83" i="5"/>
  <c r="AT83" i="5"/>
  <c r="AS83" i="5"/>
  <c r="AR83" i="5"/>
  <c r="AQ83" i="5"/>
  <c r="AP83" i="5"/>
  <c r="AO83" i="5"/>
  <c r="AN83" i="5"/>
  <c r="AM83" i="5"/>
  <c r="AL83" i="5"/>
  <c r="AK83" i="5"/>
  <c r="AJ83" i="5"/>
  <c r="AI83" i="5"/>
  <c r="AV82" i="5"/>
  <c r="AU82" i="5"/>
  <c r="AT82" i="5"/>
  <c r="AS82" i="5"/>
  <c r="AR82" i="5"/>
  <c r="AQ82" i="5"/>
  <c r="AP82" i="5"/>
  <c r="AO82" i="5"/>
  <c r="AN82" i="5"/>
  <c r="AM82" i="5"/>
  <c r="AL82" i="5"/>
  <c r="AK82" i="5"/>
  <c r="AJ82" i="5"/>
  <c r="AI82" i="5"/>
  <c r="AV81" i="5"/>
  <c r="AU81" i="5"/>
  <c r="AT81" i="5"/>
  <c r="AS81" i="5"/>
  <c r="AR81" i="5"/>
  <c r="AQ81" i="5"/>
  <c r="AP81" i="5"/>
  <c r="AO81" i="5"/>
  <c r="AN81" i="5"/>
  <c r="AM81" i="5"/>
  <c r="AL81" i="5"/>
  <c r="AK81" i="5"/>
  <c r="AJ81" i="5"/>
  <c r="AI81" i="5"/>
  <c r="AV80" i="5"/>
  <c r="AU80" i="5"/>
  <c r="AT80" i="5"/>
  <c r="AS80" i="5"/>
  <c r="AR80" i="5"/>
  <c r="AQ80" i="5"/>
  <c r="AP80" i="5"/>
  <c r="AO80" i="5"/>
  <c r="AN80" i="5"/>
  <c r="AM80" i="5"/>
  <c r="AL80" i="5"/>
  <c r="AK80" i="5"/>
  <c r="AJ80" i="5"/>
  <c r="AI80" i="5"/>
  <c r="AV79" i="5"/>
  <c r="AU79" i="5"/>
  <c r="AT79" i="5"/>
  <c r="AS79" i="5"/>
  <c r="AR79" i="5"/>
  <c r="AQ79" i="5"/>
  <c r="AP79" i="5"/>
  <c r="AO79" i="5"/>
  <c r="AN79" i="5"/>
  <c r="AM79" i="5"/>
  <c r="AL79" i="5"/>
  <c r="AK79" i="5"/>
  <c r="AJ79" i="5"/>
  <c r="AI79" i="5"/>
  <c r="AV78" i="5"/>
  <c r="AU78" i="5"/>
  <c r="AT78" i="5"/>
  <c r="AS78" i="5"/>
  <c r="AR78" i="5"/>
  <c r="AQ78" i="5"/>
  <c r="AP78" i="5"/>
  <c r="AO78" i="5"/>
  <c r="AN78" i="5"/>
  <c r="AM78" i="5"/>
  <c r="AL78" i="5"/>
  <c r="AK78" i="5"/>
  <c r="AJ78" i="5"/>
  <c r="AI78" i="5"/>
  <c r="AV77" i="5"/>
  <c r="AU77" i="5"/>
  <c r="AT77" i="5"/>
  <c r="AS77" i="5"/>
  <c r="AR77" i="5"/>
  <c r="AQ77" i="5"/>
  <c r="AP77" i="5"/>
  <c r="AO77" i="5"/>
  <c r="AN77" i="5"/>
  <c r="AM77" i="5"/>
  <c r="AL77" i="5"/>
  <c r="AK77" i="5"/>
  <c r="AJ77" i="5"/>
  <c r="AI77" i="5"/>
  <c r="AV76" i="5"/>
  <c r="AU76" i="5"/>
  <c r="AT76" i="5"/>
  <c r="AS76" i="5"/>
  <c r="AR76" i="5"/>
  <c r="AQ76" i="5"/>
  <c r="AP76" i="5"/>
  <c r="AO76" i="5"/>
  <c r="AN76" i="5"/>
  <c r="AM76" i="5"/>
  <c r="AL76" i="5"/>
  <c r="AK76" i="5"/>
  <c r="AJ76" i="5"/>
  <c r="AI76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AV74" i="5"/>
  <c r="AU74" i="5"/>
  <c r="AT74" i="5"/>
  <c r="AS74" i="5"/>
  <c r="AR74" i="5"/>
  <c r="AQ74" i="5"/>
  <c r="AP74" i="5"/>
  <c r="AO74" i="5"/>
  <c r="AN74" i="5"/>
  <c r="AM74" i="5"/>
  <c r="AL74" i="5"/>
  <c r="AK74" i="5"/>
  <c r="AJ74" i="5"/>
  <c r="AI74" i="5"/>
  <c r="AV73" i="5"/>
  <c r="AU73" i="5"/>
  <c r="AT73" i="5"/>
  <c r="AS73" i="5"/>
  <c r="AR73" i="5"/>
  <c r="AQ73" i="5"/>
  <c r="AP73" i="5"/>
  <c r="AO73" i="5"/>
  <c r="AN73" i="5"/>
  <c r="AM73" i="5"/>
  <c r="AL73" i="5"/>
  <c r="AK73" i="5"/>
  <c r="AJ73" i="5"/>
  <c r="AI73" i="5"/>
  <c r="AV72" i="5"/>
  <c r="AU72" i="5"/>
  <c r="AT72" i="5"/>
  <c r="AS72" i="5"/>
  <c r="AR72" i="5"/>
  <c r="AQ72" i="5"/>
  <c r="AP72" i="5"/>
  <c r="AO72" i="5"/>
  <c r="AN72" i="5"/>
  <c r="AM72" i="5"/>
  <c r="AL72" i="5"/>
  <c r="AK72" i="5"/>
  <c r="AJ72" i="5"/>
  <c r="AI72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J65" i="5"/>
  <c r="AI65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V56" i="5"/>
  <c r="AU56" i="5"/>
  <c r="AT56" i="5"/>
  <c r="AS56" i="5"/>
  <c r="AR56" i="5"/>
  <c r="AQ56" i="5"/>
  <c r="AP56" i="5"/>
  <c r="AO56" i="5"/>
  <c r="AN56" i="5"/>
  <c r="AM56" i="5"/>
  <c r="AL56" i="5"/>
  <c r="AK56" i="5"/>
  <c r="AJ56" i="5"/>
  <c r="AI56" i="5"/>
  <c r="AV55" i="5"/>
  <c r="AU55" i="5"/>
  <c r="AT55" i="5"/>
  <c r="AS55" i="5"/>
  <c r="AR55" i="5"/>
  <c r="AQ55" i="5"/>
  <c r="AP55" i="5"/>
  <c r="AO55" i="5"/>
  <c r="AN55" i="5"/>
  <c r="AM55" i="5"/>
  <c r="AL55" i="5"/>
  <c r="AK55" i="5"/>
  <c r="AJ55" i="5"/>
  <c r="AI55" i="5"/>
  <c r="AV54" i="5"/>
  <c r="AU54" i="5"/>
  <c r="AT54" i="5"/>
  <c r="AS54" i="5"/>
  <c r="AR54" i="5"/>
  <c r="AQ54" i="5"/>
  <c r="AP54" i="5"/>
  <c r="AO54" i="5"/>
  <c r="AN54" i="5"/>
  <c r="AM54" i="5"/>
  <c r="AL54" i="5"/>
  <c r="AK54" i="5"/>
  <c r="AJ54" i="5"/>
  <c r="AI54" i="5"/>
  <c r="AX49" i="5"/>
  <c r="AW49" i="5"/>
  <c r="AC49" i="5"/>
  <c r="AB49" i="5"/>
  <c r="BT44" i="5"/>
  <c r="BS44" i="5"/>
  <c r="BR44" i="5"/>
  <c r="BQ44" i="5"/>
  <c r="BP44" i="5"/>
  <c r="AH44" i="5"/>
  <c r="AG44" i="5" s="1"/>
  <c r="AF44" i="5"/>
  <c r="AE44" i="5"/>
  <c r="M44" i="5"/>
  <c r="L44" i="5" s="1"/>
  <c r="K44" i="5"/>
  <c r="J44" i="5"/>
  <c r="BT43" i="5"/>
  <c r="BS43" i="5"/>
  <c r="BR43" i="5"/>
  <c r="BQ43" i="5"/>
  <c r="BP43" i="5"/>
  <c r="AH43" i="5"/>
  <c r="AG43" i="5" s="1"/>
  <c r="AF43" i="5"/>
  <c r="AE43" i="5"/>
  <c r="M43" i="5"/>
  <c r="L43" i="5" s="1"/>
  <c r="K43" i="5"/>
  <c r="J43" i="5"/>
  <c r="BT42" i="5"/>
  <c r="BS42" i="5"/>
  <c r="BR42" i="5"/>
  <c r="BQ42" i="5"/>
  <c r="BP42" i="5"/>
  <c r="AH42" i="5"/>
  <c r="AG42" i="5" s="1"/>
  <c r="AF42" i="5"/>
  <c r="AE42" i="5"/>
  <c r="M42" i="5"/>
  <c r="L42" i="5" s="1"/>
  <c r="K42" i="5"/>
  <c r="J42" i="5"/>
  <c r="BT41" i="5"/>
  <c r="BS41" i="5"/>
  <c r="BR41" i="5"/>
  <c r="BQ41" i="5"/>
  <c r="BP41" i="5"/>
  <c r="AH41" i="5"/>
  <c r="AG41" i="5" s="1"/>
  <c r="AF41" i="5"/>
  <c r="AE41" i="5"/>
  <c r="M41" i="5"/>
  <c r="L41" i="5" s="1"/>
  <c r="K41" i="5"/>
  <c r="J41" i="5"/>
  <c r="BT40" i="5"/>
  <c r="BS40" i="5"/>
  <c r="BR40" i="5"/>
  <c r="BQ40" i="5"/>
  <c r="BP40" i="5"/>
  <c r="AH40" i="5"/>
  <c r="AG40" i="5" s="1"/>
  <c r="AF40" i="5"/>
  <c r="AE40" i="5"/>
  <c r="M40" i="5"/>
  <c r="K40" i="5"/>
  <c r="J40" i="5"/>
  <c r="BT39" i="5"/>
  <c r="BS39" i="5"/>
  <c r="BR39" i="5"/>
  <c r="BQ39" i="5"/>
  <c r="BP39" i="5"/>
  <c r="AH39" i="5"/>
  <c r="AG39" i="5" s="1"/>
  <c r="AF39" i="5"/>
  <c r="AE39" i="5"/>
  <c r="M39" i="5"/>
  <c r="L39" i="5" s="1"/>
  <c r="K39" i="5"/>
  <c r="J39" i="5"/>
  <c r="BT38" i="5"/>
  <c r="BS38" i="5"/>
  <c r="BR38" i="5"/>
  <c r="BQ38" i="5"/>
  <c r="BP38" i="5"/>
  <c r="AH38" i="5"/>
  <c r="AG38" i="5" s="1"/>
  <c r="AF38" i="5"/>
  <c r="AE38" i="5"/>
  <c r="M38" i="5"/>
  <c r="L38" i="5" s="1"/>
  <c r="K38" i="5"/>
  <c r="J38" i="5"/>
  <c r="BT37" i="5"/>
  <c r="BS37" i="5"/>
  <c r="BR37" i="5"/>
  <c r="BQ37" i="5"/>
  <c r="BP37" i="5"/>
  <c r="AH37" i="5"/>
  <c r="AG37" i="5" s="1"/>
  <c r="AF37" i="5"/>
  <c r="AE37" i="5"/>
  <c r="M37" i="5"/>
  <c r="L37" i="5" s="1"/>
  <c r="K37" i="5"/>
  <c r="J37" i="5"/>
  <c r="BT36" i="5"/>
  <c r="BS36" i="5"/>
  <c r="BR36" i="5"/>
  <c r="BQ36" i="5"/>
  <c r="BP36" i="5"/>
  <c r="AH36" i="5"/>
  <c r="AF36" i="5"/>
  <c r="AE36" i="5"/>
  <c r="M36" i="5"/>
  <c r="L36" i="5" s="1"/>
  <c r="K36" i="5"/>
  <c r="J36" i="5"/>
  <c r="BT35" i="5"/>
  <c r="BS35" i="5"/>
  <c r="BR35" i="5"/>
  <c r="BQ35" i="5"/>
  <c r="BP35" i="5"/>
  <c r="AH35" i="5"/>
  <c r="AG35" i="5" s="1"/>
  <c r="AF35" i="5"/>
  <c r="AE35" i="5"/>
  <c r="M35" i="5"/>
  <c r="K35" i="5"/>
  <c r="J35" i="5"/>
  <c r="BT34" i="5"/>
  <c r="BS34" i="5"/>
  <c r="BR34" i="5"/>
  <c r="BQ34" i="5"/>
  <c r="BP34" i="5"/>
  <c r="AH34" i="5"/>
  <c r="AG34" i="5" s="1"/>
  <c r="AF34" i="5"/>
  <c r="AE34" i="5"/>
  <c r="M34" i="5"/>
  <c r="L34" i="5" s="1"/>
  <c r="K34" i="5"/>
  <c r="J34" i="5"/>
  <c r="BT33" i="5"/>
  <c r="BS33" i="5"/>
  <c r="BR33" i="5"/>
  <c r="BQ33" i="5"/>
  <c r="BP33" i="5"/>
  <c r="AH33" i="5"/>
  <c r="AG33" i="5" s="1"/>
  <c r="AF33" i="5"/>
  <c r="AE33" i="5"/>
  <c r="M33" i="5"/>
  <c r="L33" i="5" s="1"/>
  <c r="K33" i="5"/>
  <c r="J33" i="5"/>
  <c r="BT32" i="5"/>
  <c r="BS32" i="5"/>
  <c r="BR32" i="5"/>
  <c r="BQ32" i="5"/>
  <c r="BP32" i="5"/>
  <c r="AH32" i="5"/>
  <c r="AF32" i="5"/>
  <c r="AE32" i="5"/>
  <c r="M32" i="5"/>
  <c r="L32" i="5" s="1"/>
  <c r="K32" i="5"/>
  <c r="J32" i="5"/>
  <c r="BT31" i="5"/>
  <c r="BS31" i="5"/>
  <c r="BR31" i="5"/>
  <c r="BQ31" i="5"/>
  <c r="BP31" i="5"/>
  <c r="AH31" i="5"/>
  <c r="AF31" i="5"/>
  <c r="AE31" i="5"/>
  <c r="M31" i="5"/>
  <c r="L31" i="5" s="1"/>
  <c r="K31" i="5"/>
  <c r="J31" i="5"/>
  <c r="BT30" i="5"/>
  <c r="BS30" i="5"/>
  <c r="BR30" i="5"/>
  <c r="BQ30" i="5"/>
  <c r="BP30" i="5"/>
  <c r="AH30" i="5"/>
  <c r="AG30" i="5" s="1"/>
  <c r="AF30" i="5"/>
  <c r="AE30" i="5"/>
  <c r="M30" i="5"/>
  <c r="L30" i="5" s="1"/>
  <c r="K30" i="5"/>
  <c r="J30" i="5"/>
  <c r="BT29" i="5"/>
  <c r="BS29" i="5"/>
  <c r="BR29" i="5"/>
  <c r="BQ29" i="5"/>
  <c r="BP29" i="5"/>
  <c r="AH29" i="5"/>
  <c r="AG29" i="5"/>
  <c r="AF29" i="5"/>
  <c r="AE29" i="5"/>
  <c r="M29" i="5"/>
  <c r="L29" i="5" s="1"/>
  <c r="K29" i="5"/>
  <c r="J29" i="5"/>
  <c r="BT28" i="5"/>
  <c r="BS28" i="5"/>
  <c r="BR28" i="5"/>
  <c r="BQ28" i="5"/>
  <c r="BP28" i="5"/>
  <c r="AH28" i="5"/>
  <c r="AF28" i="5"/>
  <c r="AE28" i="5"/>
  <c r="M28" i="5"/>
  <c r="L28" i="5" s="1"/>
  <c r="K28" i="5"/>
  <c r="J28" i="5"/>
  <c r="BT27" i="5"/>
  <c r="BS27" i="5"/>
  <c r="BR27" i="5"/>
  <c r="BQ27" i="5"/>
  <c r="BP27" i="5"/>
  <c r="AH27" i="5"/>
  <c r="AF27" i="5"/>
  <c r="AE27" i="5"/>
  <c r="M27" i="5"/>
  <c r="L27" i="5" s="1"/>
  <c r="K27" i="5"/>
  <c r="J27" i="5"/>
  <c r="BT26" i="5"/>
  <c r="BS26" i="5"/>
  <c r="BR26" i="5"/>
  <c r="BQ26" i="5"/>
  <c r="BP26" i="5"/>
  <c r="AH26" i="5"/>
  <c r="AF26" i="5"/>
  <c r="AE26" i="5"/>
  <c r="M26" i="5"/>
  <c r="L26" i="5" s="1"/>
  <c r="K26" i="5"/>
  <c r="J26" i="5"/>
  <c r="BT25" i="5"/>
  <c r="BS25" i="5"/>
  <c r="BR25" i="5"/>
  <c r="BQ25" i="5"/>
  <c r="BP25" i="5"/>
  <c r="AH25" i="5"/>
  <c r="AG25" i="5" s="1"/>
  <c r="AF25" i="5"/>
  <c r="AE25" i="5"/>
  <c r="M25" i="5"/>
  <c r="K25" i="5"/>
  <c r="J25" i="5"/>
  <c r="BT24" i="5"/>
  <c r="BS24" i="5"/>
  <c r="BR24" i="5"/>
  <c r="BQ24" i="5"/>
  <c r="BP24" i="5"/>
  <c r="AH24" i="5"/>
  <c r="AF24" i="5"/>
  <c r="AE24" i="5"/>
  <c r="M24" i="5"/>
  <c r="L24" i="5" s="1"/>
  <c r="K24" i="5"/>
  <c r="J24" i="5"/>
  <c r="BT23" i="5"/>
  <c r="BS23" i="5"/>
  <c r="BR23" i="5"/>
  <c r="BQ23" i="5"/>
  <c r="BP23" i="5"/>
  <c r="AH23" i="5"/>
  <c r="AF23" i="5"/>
  <c r="AE23" i="5"/>
  <c r="M23" i="5"/>
  <c r="L23" i="5" s="1"/>
  <c r="K23" i="5"/>
  <c r="J23" i="5"/>
  <c r="BT22" i="5"/>
  <c r="BS22" i="5"/>
  <c r="BR22" i="5"/>
  <c r="BQ22" i="5"/>
  <c r="BP22" i="5"/>
  <c r="AH22" i="5"/>
  <c r="AF22" i="5"/>
  <c r="AE22" i="5"/>
  <c r="M22" i="5"/>
  <c r="L22" i="5" s="1"/>
  <c r="K22" i="5"/>
  <c r="J22" i="5"/>
  <c r="BT21" i="5"/>
  <c r="BS21" i="5"/>
  <c r="BR21" i="5"/>
  <c r="BQ21" i="5"/>
  <c r="BP21" i="5"/>
  <c r="AH21" i="5"/>
  <c r="AF21" i="5"/>
  <c r="AE21" i="5"/>
  <c r="M21" i="5"/>
  <c r="L21" i="5" s="1"/>
  <c r="K21" i="5"/>
  <c r="J21" i="5"/>
  <c r="BT20" i="5"/>
  <c r="BS20" i="5"/>
  <c r="BR20" i="5"/>
  <c r="BQ20" i="5"/>
  <c r="BP20" i="5"/>
  <c r="AH20" i="5"/>
  <c r="AF20" i="5"/>
  <c r="AE20" i="5"/>
  <c r="M20" i="5"/>
  <c r="L20" i="5" s="1"/>
  <c r="K20" i="5"/>
  <c r="J20" i="5"/>
  <c r="BT19" i="5"/>
  <c r="BS19" i="5"/>
  <c r="BR19" i="5"/>
  <c r="BQ19" i="5"/>
  <c r="BP19" i="5"/>
  <c r="AH19" i="5"/>
  <c r="AF19" i="5"/>
  <c r="AE19" i="5"/>
  <c r="M19" i="5"/>
  <c r="L19" i="5" s="1"/>
  <c r="K19" i="5"/>
  <c r="J19" i="5"/>
  <c r="BT18" i="5"/>
  <c r="BS18" i="5"/>
  <c r="BR18" i="5"/>
  <c r="BQ18" i="5"/>
  <c r="BP18" i="5"/>
  <c r="AH18" i="5"/>
  <c r="AF18" i="5"/>
  <c r="AE18" i="5"/>
  <c r="M18" i="5"/>
  <c r="K18" i="5"/>
  <c r="J18" i="5"/>
  <c r="BT17" i="5"/>
  <c r="BS17" i="5"/>
  <c r="BR17" i="5"/>
  <c r="BQ17" i="5"/>
  <c r="BP17" i="5"/>
  <c r="AH17" i="5"/>
  <c r="AG17" i="5" s="1"/>
  <c r="AF17" i="5"/>
  <c r="AE17" i="5"/>
  <c r="M17" i="5"/>
  <c r="L17" i="5" s="1"/>
  <c r="K17" i="5"/>
  <c r="J17" i="5"/>
  <c r="BT16" i="5"/>
  <c r="BS16" i="5"/>
  <c r="BR16" i="5"/>
  <c r="BQ16" i="5"/>
  <c r="BP16" i="5"/>
  <c r="AH16" i="5"/>
  <c r="AG16" i="5" s="1"/>
  <c r="AF16" i="5"/>
  <c r="AE16" i="5"/>
  <c r="M16" i="5"/>
  <c r="K16" i="5"/>
  <c r="J16" i="5"/>
  <c r="BT15" i="5"/>
  <c r="BS15" i="5"/>
  <c r="BR15" i="5"/>
  <c r="BQ15" i="5"/>
  <c r="BP15" i="5"/>
  <c r="AH15" i="5"/>
  <c r="AF15" i="5"/>
  <c r="AE15" i="5"/>
  <c r="M15" i="5"/>
  <c r="L15" i="5" s="1"/>
  <c r="K15" i="5"/>
  <c r="J15" i="5"/>
  <c r="BT14" i="5"/>
  <c r="BS14" i="5"/>
  <c r="BR14" i="5"/>
  <c r="BQ14" i="5"/>
  <c r="BP14" i="5"/>
  <c r="AH14" i="5"/>
  <c r="AF14" i="5"/>
  <c r="AE14" i="5"/>
  <c r="M14" i="5"/>
  <c r="L14" i="5" s="1"/>
  <c r="K14" i="5"/>
  <c r="J14" i="5"/>
  <c r="BT13" i="5"/>
  <c r="BS13" i="5"/>
  <c r="BR13" i="5"/>
  <c r="BQ13" i="5"/>
  <c r="BP13" i="5"/>
  <c r="AH13" i="5"/>
  <c r="AG13" i="5" s="1"/>
  <c r="AF13" i="5"/>
  <c r="AE13" i="5"/>
  <c r="M13" i="5"/>
  <c r="L13" i="5" s="1"/>
  <c r="K13" i="5"/>
  <c r="J13" i="5"/>
  <c r="BT12" i="5"/>
  <c r="BS12" i="5"/>
  <c r="BR12" i="5"/>
  <c r="BQ12" i="5"/>
  <c r="BP12" i="5"/>
  <c r="AH12" i="5"/>
  <c r="AG12" i="5" s="1"/>
  <c r="AF12" i="5"/>
  <c r="AE12" i="5"/>
  <c r="M12" i="5"/>
  <c r="L12" i="5" s="1"/>
  <c r="K12" i="5"/>
  <c r="J12" i="5"/>
  <c r="BT11" i="5"/>
  <c r="BS11" i="5"/>
  <c r="BR11" i="5"/>
  <c r="BQ11" i="5"/>
  <c r="BP11" i="5"/>
  <c r="AH11" i="5"/>
  <c r="AG11" i="5" s="1"/>
  <c r="AF11" i="5"/>
  <c r="AE11" i="5"/>
  <c r="M11" i="5"/>
  <c r="K11" i="5"/>
  <c r="J11" i="5"/>
  <c r="BT10" i="5"/>
  <c r="BS10" i="5"/>
  <c r="BR10" i="5"/>
  <c r="BQ10" i="5"/>
  <c r="BP10" i="5"/>
  <c r="AH10" i="5"/>
  <c r="AF10" i="5"/>
  <c r="AE10" i="5"/>
  <c r="M10" i="5"/>
  <c r="L10" i="5" s="1"/>
  <c r="K10" i="5"/>
  <c r="J10" i="5"/>
  <c r="BT9" i="5"/>
  <c r="BS9" i="5"/>
  <c r="BR9" i="5"/>
  <c r="BQ9" i="5"/>
  <c r="BP9" i="5"/>
  <c r="AH9" i="5"/>
  <c r="AG9" i="5" s="1"/>
  <c r="AF9" i="5"/>
  <c r="AE9" i="5"/>
  <c r="M9" i="5"/>
  <c r="L9" i="5" s="1"/>
  <c r="K9" i="5"/>
  <c r="J9" i="5"/>
  <c r="BT8" i="5"/>
  <c r="BS8" i="5"/>
  <c r="BR8" i="5"/>
  <c r="BQ8" i="5"/>
  <c r="BP8" i="5"/>
  <c r="AH8" i="5"/>
  <c r="AG8" i="5" s="1"/>
  <c r="AF8" i="5"/>
  <c r="AE8" i="5"/>
  <c r="M8" i="5"/>
  <c r="L8" i="5" s="1"/>
  <c r="K8" i="5"/>
  <c r="J8" i="5"/>
  <c r="BT7" i="5"/>
  <c r="BS7" i="5"/>
  <c r="BR7" i="5"/>
  <c r="BQ7" i="5"/>
  <c r="BP7" i="5"/>
  <c r="AH7" i="5"/>
  <c r="AG7" i="5" s="1"/>
  <c r="AF7" i="5"/>
  <c r="AE7" i="5"/>
  <c r="M7" i="5"/>
  <c r="K7" i="5"/>
  <c r="J7" i="5"/>
  <c r="BT6" i="5"/>
  <c r="BS6" i="5"/>
  <c r="BR6" i="5"/>
  <c r="BQ6" i="5"/>
  <c r="BP6" i="5"/>
  <c r="AH6" i="5"/>
  <c r="AG6" i="5" s="1"/>
  <c r="AF6" i="5"/>
  <c r="AE6" i="5"/>
  <c r="M6" i="5"/>
  <c r="L6" i="5" s="1"/>
  <c r="K6" i="5"/>
  <c r="J6" i="5"/>
  <c r="BT5" i="5"/>
  <c r="BS5" i="5"/>
  <c r="BR5" i="5"/>
  <c r="BQ5" i="5"/>
  <c r="BP5" i="5"/>
  <c r="AH5" i="5"/>
  <c r="AG5" i="5" s="1"/>
  <c r="AF5" i="5"/>
  <c r="AE5" i="5"/>
  <c r="M5" i="5"/>
  <c r="L5" i="5" s="1"/>
  <c r="K5" i="5"/>
  <c r="J5" i="5"/>
  <c r="AE1" i="5"/>
  <c r="J1" i="5"/>
  <c r="R27" i="3"/>
  <c r="Q27" i="3"/>
  <c r="R26" i="3"/>
  <c r="Q26" i="3"/>
  <c r="R25" i="3"/>
  <c r="Q25" i="3"/>
  <c r="R24" i="3"/>
  <c r="Q24" i="3"/>
  <c r="R23" i="3"/>
  <c r="Q23" i="3"/>
  <c r="R22" i="3"/>
  <c r="Q22" i="3"/>
  <c r="R21" i="3"/>
  <c r="Q21" i="3"/>
  <c r="R20" i="3"/>
  <c r="Q20" i="3"/>
  <c r="T17" i="3"/>
  <c r="S17" i="3"/>
  <c r="M17" i="3"/>
  <c r="L17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H7" i="3"/>
  <c r="X6" i="3"/>
  <c r="P6" i="3"/>
  <c r="O6" i="3"/>
  <c r="I6" i="3"/>
  <c r="H6" i="3"/>
  <c r="X5" i="3"/>
  <c r="P5" i="3"/>
  <c r="O5" i="3"/>
  <c r="I5" i="3"/>
  <c r="H5" i="3"/>
  <c r="O1" i="3"/>
  <c r="H1" i="3"/>
  <c r="BL35" i="6" a="1"/>
  <c r="BJ25" i="6" a="1"/>
  <c r="BN20" i="6" a="1"/>
  <c r="BN10" i="6" a="1"/>
  <c r="BJ5" i="6" a="1"/>
  <c r="BK35" i="6" a="1"/>
  <c r="BL20" i="6" a="1"/>
  <c r="BL10" i="6" a="1"/>
  <c r="BJ40" i="6" a="1"/>
  <c r="BK25" i="6" a="1"/>
  <c r="BJ35" i="6" a="1"/>
  <c r="BN30" i="6" a="1"/>
  <c r="BK20" i="6" a="1"/>
  <c r="BK10" i="6" a="1"/>
  <c r="BK40" i="6" a="1"/>
  <c r="BK15" i="6" a="1"/>
  <c r="BN35" i="6" a="1"/>
  <c r="BJ15" i="6" a="1"/>
  <c r="BL30" i="6" a="1"/>
  <c r="BJ20" i="6" a="1"/>
  <c r="BJ10" i="6" a="1"/>
  <c r="BN5" i="6" a="1"/>
  <c r="BN40" i="6" a="1"/>
  <c r="BK30" i="6" a="1"/>
  <c r="BN15" i="6" a="1"/>
  <c r="BL5" i="6" a="1"/>
  <c r="BL40" i="6" a="1"/>
  <c r="BJ30" i="6" a="1"/>
  <c r="BN25" i="6" a="1"/>
  <c r="BL15" i="6" a="1"/>
  <c r="BK5" i="6" a="1"/>
  <c r="BL25" i="6" a="1"/>
  <c r="BL35" i="5" a="1"/>
  <c r="BK25" i="5" a="1"/>
  <c r="BK5" i="5" a="1"/>
  <c r="BN30" i="5" a="1"/>
  <c r="BK35" i="5" a="1"/>
  <c r="BJ25" i="5" a="1"/>
  <c r="BN20" i="5" a="1"/>
  <c r="BJ5" i="5" a="1"/>
  <c r="BJ15" i="5" a="1"/>
  <c r="BJ35" i="5" a="1"/>
  <c r="BL20" i="5" a="1"/>
  <c r="BL30" i="5" a="1"/>
  <c r="BK20" i="5" a="1"/>
  <c r="BN10" i="5" a="1"/>
  <c r="BJ40" i="5" a="1"/>
  <c r="BN40" i="5" a="1"/>
  <c r="BK30" i="5" a="1"/>
  <c r="BJ20" i="5" a="1"/>
  <c r="BN15" i="5" a="1"/>
  <c r="BL10" i="5" a="1"/>
  <c r="BL25" i="5" a="1"/>
  <c r="BL5" i="5" a="1"/>
  <c r="BL40" i="5" a="1"/>
  <c r="BJ30" i="5" a="1"/>
  <c r="BL15" i="5" a="1"/>
  <c r="BK10" i="5" a="1"/>
  <c r="BK40" i="5" a="1"/>
  <c r="BN25" i="5" a="1"/>
  <c r="BK15" i="5" a="1"/>
  <c r="BJ10" i="5" a="1"/>
  <c r="BN5" i="5" a="1"/>
  <c r="BN35" i="5" a="1"/>
  <c r="I14" i="3" l="1"/>
  <c r="V6" i="3"/>
  <c r="AW50" i="6"/>
  <c r="C35" i="1" s="1"/>
  <c r="J16" i="7" s="1"/>
  <c r="BL25" i="6"/>
  <c r="BK5" i="6"/>
  <c r="BL15" i="6"/>
  <c r="BN25" i="6"/>
  <c r="BJ30" i="6"/>
  <c r="BL40" i="6"/>
  <c r="BL5" i="6"/>
  <c r="BL45" i="6" s="1"/>
  <c r="BN15" i="6"/>
  <c r="BK30" i="6"/>
  <c r="BN40" i="6"/>
  <c r="BN5" i="6"/>
  <c r="BJ10" i="6"/>
  <c r="BJ20" i="6"/>
  <c r="BL30" i="6"/>
  <c r="BJ15" i="6"/>
  <c r="BN35" i="6"/>
  <c r="BK15" i="6"/>
  <c r="BK40" i="6"/>
  <c r="BK10" i="6"/>
  <c r="BK20" i="6"/>
  <c r="BN30" i="6"/>
  <c r="BJ35" i="6"/>
  <c r="BK25" i="6"/>
  <c r="BJ40" i="6"/>
  <c r="BL10" i="6"/>
  <c r="BL20" i="6"/>
  <c r="BK35" i="6"/>
  <c r="BJ5" i="6"/>
  <c r="BJ45" i="6" s="1"/>
  <c r="BN10" i="6"/>
  <c r="BN20" i="6"/>
  <c r="BJ25" i="6"/>
  <c r="BL35" i="6"/>
  <c r="BN35" i="5"/>
  <c r="BN5" i="5"/>
  <c r="BJ10" i="5"/>
  <c r="BK15" i="5"/>
  <c r="BN25" i="5"/>
  <c r="BK40" i="5"/>
  <c r="BK10" i="5"/>
  <c r="BK45" i="5" s="1"/>
  <c r="BL15" i="5"/>
  <c r="BJ30" i="5"/>
  <c r="BL40" i="5"/>
  <c r="BL5" i="5"/>
  <c r="BL25" i="5"/>
  <c r="BL10" i="5"/>
  <c r="BN15" i="5"/>
  <c r="BJ20" i="5"/>
  <c r="BK30" i="5"/>
  <c r="BN40" i="5"/>
  <c r="BJ40" i="5"/>
  <c r="BN10" i="5"/>
  <c r="BK20" i="5"/>
  <c r="BL30" i="5"/>
  <c r="BL20" i="5"/>
  <c r="BJ35" i="5"/>
  <c r="BJ15" i="5"/>
  <c r="BJ5" i="5"/>
  <c r="BN20" i="5"/>
  <c r="BJ25" i="5"/>
  <c r="BK35" i="5"/>
  <c r="BN30" i="5"/>
  <c r="BK5" i="5"/>
  <c r="BK25" i="5"/>
  <c r="BL35" i="5"/>
  <c r="P13" i="3"/>
  <c r="AH70" i="5"/>
  <c r="T18" i="3"/>
  <c r="C14" i="1" s="1"/>
  <c r="V12" i="3"/>
  <c r="AH93" i="6"/>
  <c r="AX50" i="6"/>
  <c r="C36" i="1" s="1"/>
  <c r="J17" i="7" s="1"/>
  <c r="AX50" i="5"/>
  <c r="C24" i="1" s="1"/>
  <c r="C17" i="7" s="1"/>
  <c r="AF46" i="5"/>
  <c r="AG82" i="5"/>
  <c r="AG90" i="5"/>
  <c r="AG21" i="5"/>
  <c r="AG70" i="5" s="1"/>
  <c r="AF45" i="5"/>
  <c r="AG63" i="6"/>
  <c r="AH58" i="6"/>
  <c r="AG86" i="6"/>
  <c r="AH88" i="6"/>
  <c r="AH73" i="6"/>
  <c r="AH76" i="6"/>
  <c r="K45" i="6"/>
  <c r="AG58" i="6"/>
  <c r="AG54" i="6"/>
  <c r="AH55" i="6"/>
  <c r="AH86" i="6"/>
  <c r="AG62" i="6"/>
  <c r="AH67" i="6"/>
  <c r="AH69" i="6"/>
  <c r="L44" i="6"/>
  <c r="AG93" i="6" s="1"/>
  <c r="AH62" i="6"/>
  <c r="AG70" i="6"/>
  <c r="AH74" i="6"/>
  <c r="AG80" i="6"/>
  <c r="AG82" i="6"/>
  <c r="AG84" i="6"/>
  <c r="AH90" i="6"/>
  <c r="AH82" i="6"/>
  <c r="AH84" i="6"/>
  <c r="AH70" i="6"/>
  <c r="AG66" i="6"/>
  <c r="BP46" i="6"/>
  <c r="AG71" i="6"/>
  <c r="BS47" i="6"/>
  <c r="AH78" i="6"/>
  <c r="L30" i="6"/>
  <c r="AH91" i="5"/>
  <c r="AG92" i="5"/>
  <c r="BP46" i="5"/>
  <c r="AH66" i="5"/>
  <c r="AH71" i="5"/>
  <c r="AH87" i="5"/>
  <c r="AH59" i="5"/>
  <c r="AH62" i="5"/>
  <c r="BR46" i="5"/>
  <c r="L25" i="5"/>
  <c r="AG74" i="5" s="1"/>
  <c r="AH76" i="5"/>
  <c r="BS47" i="5"/>
  <c r="L18" i="5"/>
  <c r="AG83" i="5"/>
  <c r="AG62" i="5"/>
  <c r="AH58" i="5"/>
  <c r="AH67" i="5"/>
  <c r="AH83" i="5"/>
  <c r="AG86" i="5"/>
  <c r="AG58" i="5"/>
  <c r="K46" i="5"/>
  <c r="AG55" i="5"/>
  <c r="AG57" i="5"/>
  <c r="AH63" i="5"/>
  <c r="BR47" i="5"/>
  <c r="AH75" i="5"/>
  <c r="AG79" i="5"/>
  <c r="AH80" i="5"/>
  <c r="BQ46" i="5"/>
  <c r="AG54" i="5"/>
  <c r="BQ45" i="5"/>
  <c r="AH54" i="5"/>
  <c r="BS45" i="5"/>
  <c r="BS48" i="5"/>
  <c r="AG66" i="5"/>
  <c r="AW50" i="5"/>
  <c r="C23" i="1" s="1"/>
  <c r="C16" i="7" s="1"/>
  <c r="P14" i="3"/>
  <c r="V14" i="3" s="1"/>
  <c r="C10" i="1" s="1"/>
  <c r="V8" i="3"/>
  <c r="X13" i="3"/>
  <c r="X15" i="3"/>
  <c r="S18" i="3"/>
  <c r="C13" i="1" s="1"/>
  <c r="V11" i="3"/>
  <c r="V10" i="3"/>
  <c r="P15" i="3"/>
  <c r="BR48" i="5"/>
  <c r="BR45" i="5"/>
  <c r="AH68" i="5"/>
  <c r="AG19" i="5"/>
  <c r="AG68" i="5" s="1"/>
  <c r="BT47" i="5"/>
  <c r="L7" i="5"/>
  <c r="BS46" i="5"/>
  <c r="AH72" i="5"/>
  <c r="AG23" i="5"/>
  <c r="AG72" i="5" s="1"/>
  <c r="AH85" i="5"/>
  <c r="AG36" i="5"/>
  <c r="AG85" i="5" s="1"/>
  <c r="AG87" i="5"/>
  <c r="I16" i="3"/>
  <c r="V5" i="3"/>
  <c r="I13" i="3"/>
  <c r="V13" i="3" s="1"/>
  <c r="C9" i="1" s="1"/>
  <c r="AH64" i="5"/>
  <c r="AG15" i="5"/>
  <c r="AG64" i="5" s="1"/>
  <c r="BT46" i="5"/>
  <c r="AH69" i="5"/>
  <c r="AG20" i="5"/>
  <c r="AG69" i="5" s="1"/>
  <c r="AG78" i="5"/>
  <c r="AG91" i="5"/>
  <c r="AG93" i="5"/>
  <c r="V9" i="3"/>
  <c r="I15" i="3"/>
  <c r="K48" i="5"/>
  <c r="K45" i="5"/>
  <c r="AF48" i="5"/>
  <c r="P16" i="3"/>
  <c r="BP45" i="5"/>
  <c r="AG61" i="5"/>
  <c r="K47" i="5"/>
  <c r="BP47" i="5"/>
  <c r="AH77" i="5"/>
  <c r="AG28" i="5"/>
  <c r="AG77" i="5" s="1"/>
  <c r="L40" i="5"/>
  <c r="AG89" i="5" s="1"/>
  <c r="X14" i="3"/>
  <c r="X16" i="3"/>
  <c r="BQ48" i="5"/>
  <c r="L11" i="5"/>
  <c r="L16" i="5"/>
  <c r="AH73" i="5"/>
  <c r="AG24" i="5"/>
  <c r="AG73" i="5" s="1"/>
  <c r="AH81" i="5"/>
  <c r="AG32" i="5"/>
  <c r="AG81" i="5" s="1"/>
  <c r="AG88" i="5"/>
  <c r="BN45" i="5"/>
  <c r="K46" i="6"/>
  <c r="AH92" i="6"/>
  <c r="AG43" i="6"/>
  <c r="AG92" i="6" s="1"/>
  <c r="V7" i="3"/>
  <c r="BT48" i="5"/>
  <c r="AH55" i="5"/>
  <c r="AG27" i="5"/>
  <c r="AG76" i="5" s="1"/>
  <c r="AH79" i="5"/>
  <c r="AG31" i="5"/>
  <c r="AG80" i="5" s="1"/>
  <c r="L35" i="5"/>
  <c r="AH56" i="6"/>
  <c r="AG7" i="6"/>
  <c r="AG56" i="6" s="1"/>
  <c r="AG61" i="6"/>
  <c r="L15" i="6"/>
  <c r="AG64" i="6" s="1"/>
  <c r="L36" i="6"/>
  <c r="AG85" i="6" s="1"/>
  <c r="AG39" i="6"/>
  <c r="AG88" i="6" s="1"/>
  <c r="L42" i="6"/>
  <c r="AH61" i="5"/>
  <c r="AH65" i="5"/>
  <c r="AH89" i="5"/>
  <c r="AH93" i="5"/>
  <c r="BP45" i="6"/>
  <c r="BS46" i="6"/>
  <c r="AG65" i="6"/>
  <c r="AG24" i="6"/>
  <c r="AG73" i="6" s="1"/>
  <c r="K47" i="6"/>
  <c r="AG81" i="6"/>
  <c r="AG10" i="5"/>
  <c r="AG59" i="5" s="1"/>
  <c r="AG14" i="5"/>
  <c r="AG63" i="5" s="1"/>
  <c r="AG18" i="5"/>
  <c r="AG22" i="5"/>
  <c r="AG71" i="5" s="1"/>
  <c r="AH74" i="5"/>
  <c r="AG26" i="5"/>
  <c r="AG75" i="5" s="1"/>
  <c r="AH78" i="5"/>
  <c r="AH82" i="5"/>
  <c r="AH86" i="5"/>
  <c r="AH90" i="5"/>
  <c r="BQ45" i="6"/>
  <c r="BQ48" i="6"/>
  <c r="AG27" i="6"/>
  <c r="AG76" i="6" s="1"/>
  <c r="AH57" i="5"/>
  <c r="BT45" i="5"/>
  <c r="AF45" i="6"/>
  <c r="AF48" i="6"/>
  <c r="BR45" i="6"/>
  <c r="BR48" i="6"/>
  <c r="AG57" i="6"/>
  <c r="AH60" i="6"/>
  <c r="AG11" i="6"/>
  <c r="AG60" i="6" s="1"/>
  <c r="L26" i="6"/>
  <c r="AG75" i="6" s="1"/>
  <c r="AF47" i="5"/>
  <c r="BQ47" i="5"/>
  <c r="AG69" i="6"/>
  <c r="BP48" i="5"/>
  <c r="AH56" i="5"/>
  <c r="AH60" i="5"/>
  <c r="AH84" i="5"/>
  <c r="AH88" i="5"/>
  <c r="AH92" i="5"/>
  <c r="BP47" i="6"/>
  <c r="AH54" i="6"/>
  <c r="BS45" i="6"/>
  <c r="BS48" i="6"/>
  <c r="AG6" i="6"/>
  <c r="AG55" i="6" s="1"/>
  <c r="L10" i="6"/>
  <c r="AG59" i="6" s="1"/>
  <c r="AF46" i="6"/>
  <c r="BQ46" i="6"/>
  <c r="AH66" i="6"/>
  <c r="BQ47" i="6"/>
  <c r="AG29" i="6"/>
  <c r="AG78" i="6" s="1"/>
  <c r="AH80" i="6"/>
  <c r="BT48" i="6"/>
  <c r="BT45" i="6"/>
  <c r="BR46" i="6"/>
  <c r="AG68" i="6"/>
  <c r="AG72" i="6"/>
  <c r="BR47" i="6"/>
  <c r="AH91" i="6"/>
  <c r="AG42" i="6"/>
  <c r="K48" i="6"/>
  <c r="AH64" i="6"/>
  <c r="AH68" i="6"/>
  <c r="AH72" i="6"/>
  <c r="AF47" i="6"/>
  <c r="AH75" i="6"/>
  <c r="AH85" i="6"/>
  <c r="AH87" i="6"/>
  <c r="AG38" i="6"/>
  <c r="AG87" i="6" s="1"/>
  <c r="AH57" i="6"/>
  <c r="AH61" i="6"/>
  <c r="BT46" i="6"/>
  <c r="AH65" i="6"/>
  <c r="AG74" i="6"/>
  <c r="BT47" i="6"/>
  <c r="AG77" i="6"/>
  <c r="AH89" i="6"/>
  <c r="AG40" i="6"/>
  <c r="AG89" i="6" s="1"/>
  <c r="AG18" i="6"/>
  <c r="AG67" i="6" s="1"/>
  <c r="AH77" i="6"/>
  <c r="BP48" i="6"/>
  <c r="AH59" i="6"/>
  <c r="AH63" i="6"/>
  <c r="AH71" i="6"/>
  <c r="AH79" i="6"/>
  <c r="AG30" i="6"/>
  <c r="AH81" i="6"/>
  <c r="AH83" i="6"/>
  <c r="AG34" i="6"/>
  <c r="AG83" i="6" s="1"/>
  <c r="AG41" i="6"/>
  <c r="AG90" i="6" s="1"/>
  <c r="BI15" i="6" a="1"/>
  <c r="BM40" i="6" a="1"/>
  <c r="BH10" i="6" a="1"/>
  <c r="BI5" i="6" a="1"/>
  <c r="BH30" i="6" a="1"/>
  <c r="BM10" i="6" a="1"/>
  <c r="BH35" i="6" a="1"/>
  <c r="BM20" i="6" a="1"/>
  <c r="BM5" i="6" a="1"/>
  <c r="BM25" i="6" a="1"/>
  <c r="BH5" i="6" a="1"/>
  <c r="BI25" i="6" a="1"/>
  <c r="BM30" i="6" a="1"/>
  <c r="BI30" i="6" a="1"/>
  <c r="BI40" i="6" a="1"/>
  <c r="BH25" i="6" a="1"/>
  <c r="BI10" i="6" a="1"/>
  <c r="BH20" i="6" a="1"/>
  <c r="BM15" i="6" a="1"/>
  <c r="BH40" i="6" a="1"/>
  <c r="BI35" i="6" a="1"/>
  <c r="BH15" i="6" a="1"/>
  <c r="BM35" i="6" a="1"/>
  <c r="BI20" i="6" a="1"/>
  <c r="BM20" i="5" a="1"/>
  <c r="BH35" i="5" a="1"/>
  <c r="BM15" i="5" a="1"/>
  <c r="BI30" i="5" a="1"/>
  <c r="BI20" i="5" a="1"/>
  <c r="BI15" i="5" a="1"/>
  <c r="AZ5" i="5" a="1"/>
  <c r="BI5" i="5" a="1"/>
  <c r="BM30" i="5" a="1"/>
  <c r="BI10" i="5" a="1"/>
  <c r="BI35" i="5" a="1"/>
  <c r="BM25" i="5" a="1"/>
  <c r="BM10" i="5" a="1"/>
  <c r="BH5" i="5" a="1"/>
  <c r="BH25" i="5" a="1"/>
  <c r="BM5" i="5" a="1"/>
  <c r="BH20" i="5" a="1"/>
  <c r="BM40" i="5" a="1"/>
  <c r="BH10" i="5" a="1"/>
  <c r="BE5" i="5" a="1"/>
  <c r="BH40" i="5" a="1"/>
  <c r="BI25" i="5" a="1"/>
  <c r="BI40" i="5" a="1"/>
  <c r="BH30" i="5" a="1"/>
  <c r="BH15" i="5" a="1"/>
  <c r="BB5" i="5" a="1"/>
  <c r="BM35" i="5" a="1"/>
  <c r="BL45" i="5" l="1"/>
  <c r="BJ47" i="5"/>
  <c r="BN46" i="5"/>
  <c r="AG67" i="5"/>
  <c r="BJ45" i="5"/>
  <c r="BJ46" i="5"/>
  <c r="BL48" i="5"/>
  <c r="BK45" i="6"/>
  <c r="BN46" i="6"/>
  <c r="BK46" i="6"/>
  <c r="BJ46" i="6"/>
  <c r="AG79" i="6"/>
  <c r="AG91" i="6"/>
  <c r="BN48" i="6"/>
  <c r="BJ48" i="6"/>
  <c r="BL47" i="6"/>
  <c r="BN47" i="6"/>
  <c r="BJ47" i="6"/>
  <c r="BN45" i="6"/>
  <c r="BL46" i="6"/>
  <c r="BK48" i="6"/>
  <c r="BL48" i="6"/>
  <c r="BK47" i="6"/>
  <c r="BI20" i="6"/>
  <c r="BM35" i="6"/>
  <c r="BH15" i="6"/>
  <c r="BI35" i="6"/>
  <c r="BH40" i="6"/>
  <c r="BM15" i="6"/>
  <c r="BH20" i="6"/>
  <c r="BI10" i="6"/>
  <c r="BH25" i="6"/>
  <c r="BI40" i="6"/>
  <c r="BI30" i="6"/>
  <c r="BM30" i="6"/>
  <c r="BI25" i="6"/>
  <c r="BH5" i="6"/>
  <c r="BM25" i="6"/>
  <c r="BM5" i="6"/>
  <c r="BM20" i="6"/>
  <c r="BH35" i="6"/>
  <c r="BM10" i="6"/>
  <c r="BH30" i="6"/>
  <c r="BI5" i="6"/>
  <c r="BH10" i="6"/>
  <c r="BM40" i="6"/>
  <c r="BI15" i="6"/>
  <c r="BN47" i="5"/>
  <c r="BK47" i="5"/>
  <c r="BL46" i="5"/>
  <c r="BN48" i="5"/>
  <c r="BL47" i="5"/>
  <c r="BK46" i="5"/>
  <c r="BJ48" i="5"/>
  <c r="BM35" i="5"/>
  <c r="BB5" i="5"/>
  <c r="E4" i="7" s="1"/>
  <c r="BH15" i="5"/>
  <c r="BH46" i="5" s="1"/>
  <c r="BH30" i="5"/>
  <c r="BI40" i="5"/>
  <c r="BI25" i="5"/>
  <c r="BH40" i="5"/>
  <c r="BE5" i="5"/>
  <c r="H4" i="7" s="1"/>
  <c r="BH10" i="5"/>
  <c r="BM40" i="5"/>
  <c r="BH20" i="5"/>
  <c r="BM5" i="5"/>
  <c r="BH25" i="5"/>
  <c r="BH5" i="5"/>
  <c r="BM10" i="5"/>
  <c r="BM45" i="5" s="1"/>
  <c r="BM25" i="5"/>
  <c r="BI35" i="5"/>
  <c r="BI10" i="5"/>
  <c r="BM30" i="5"/>
  <c r="BI5" i="5"/>
  <c r="AZ5" i="5"/>
  <c r="C4" i="7" s="1"/>
  <c r="BI15" i="5"/>
  <c r="BI20" i="5"/>
  <c r="BI30" i="5"/>
  <c r="BM15" i="5"/>
  <c r="BH35" i="5"/>
  <c r="BM20" i="5"/>
  <c r="BK48" i="5"/>
  <c r="AG56" i="5"/>
  <c r="V16" i="3"/>
  <c r="C12" i="1" s="1"/>
  <c r="AG65" i="5"/>
  <c r="V15" i="3"/>
  <c r="C11" i="1" s="1"/>
  <c r="AG84" i="5"/>
  <c r="AG60" i="5"/>
  <c r="BA5" i="6" a="1"/>
  <c r="AZ35" i="6" a="1"/>
  <c r="BD5" i="6" a="1"/>
  <c r="AZ15" i="6" a="1"/>
  <c r="BB40" i="6" a="1"/>
  <c r="BF40" i="6" a="1"/>
  <c r="BA35" i="6" a="1"/>
  <c r="AZ25" i="6" a="1"/>
  <c r="BC5" i="6" a="1"/>
  <c r="BE35" i="6" a="1"/>
  <c r="BC15" i="6" a="1"/>
  <c r="BD20" i="6" a="1"/>
  <c r="BC10" i="6" a="1"/>
  <c r="BA40" i="6" a="1"/>
  <c r="BC35" i="6" a="1"/>
  <c r="BA25" i="6" a="1"/>
  <c r="BA10" i="6" a="1"/>
  <c r="BD35" i="6" a="1"/>
  <c r="BB35" i="6" a="1"/>
  <c r="BB25" i="6" a="1"/>
  <c r="BB10" i="6" a="1"/>
  <c r="BE10" i="6" a="1"/>
  <c r="BA30" i="6" a="1"/>
  <c r="BC20" i="6" a="1"/>
  <c r="AZ5" i="6" a="1"/>
  <c r="BF15" i="6" a="1"/>
  <c r="BB30" i="6" a="1"/>
  <c r="BA20" i="6" a="1"/>
  <c r="BF10" i="6" a="1"/>
  <c r="BE20" i="6" a="1"/>
  <c r="BD25" i="6" a="1"/>
  <c r="BC25" i="6" a="1"/>
  <c r="BB15" i="6" a="1"/>
  <c r="BB5" i="6" a="1"/>
  <c r="BF30" i="6" a="1"/>
  <c r="BB20" i="6" a="1"/>
  <c r="BE15" i="6" a="1"/>
  <c r="BC40" i="6" a="1"/>
  <c r="BF20" i="6" a="1"/>
  <c r="BE30" i="6" a="1"/>
  <c r="BD30" i="6" a="1"/>
  <c r="AZ20" i="6" a="1"/>
  <c r="BD40" i="6" a="1"/>
  <c r="AZ30" i="6" a="1"/>
  <c r="BD10" i="6" a="1"/>
  <c r="BE5" i="6" a="1"/>
  <c r="BD15" i="6" a="1"/>
  <c r="BF5" i="6" a="1"/>
  <c r="BF25" i="6" a="1"/>
  <c r="BF35" i="6" a="1"/>
  <c r="AZ10" i="6" a="1"/>
  <c r="AZ40" i="6" a="1"/>
  <c r="BE40" i="6" a="1"/>
  <c r="BA15" i="6" a="1"/>
  <c r="BC30" i="6" a="1"/>
  <c r="BE25" i="6" a="1"/>
  <c r="BC5" i="5" a="1"/>
  <c r="BB25" i="5" a="1"/>
  <c r="AZ35" i="5" a="1"/>
  <c r="AZ25" i="5" a="1"/>
  <c r="BA40" i="5" a="1"/>
  <c r="BE35" i="5" a="1"/>
  <c r="AZ10" i="5" a="1"/>
  <c r="BA10" i="5" a="1"/>
  <c r="BF25" i="5" a="1"/>
  <c r="BB20" i="5" a="1"/>
  <c r="BD25" i="5" a="1"/>
  <c r="BF20" i="5" a="1"/>
  <c r="BC30" i="5" a="1"/>
  <c r="AZ30" i="5" a="1"/>
  <c r="BF30" i="5" a="1"/>
  <c r="BE10" i="5" a="1"/>
  <c r="BC25" i="5" a="1"/>
  <c r="BF15" i="5" a="1"/>
  <c r="BB10" i="5" a="1"/>
  <c r="BC35" i="5" a="1"/>
  <c r="BA30" i="5" a="1"/>
  <c r="BD40" i="5" a="1"/>
  <c r="BA25" i="5" a="1"/>
  <c r="BC40" i="5" a="1"/>
  <c r="BA20" i="5" a="1"/>
  <c r="BD20" i="5" a="1"/>
  <c r="BB15" i="5" a="1"/>
  <c r="BF10" i="5" a="1"/>
  <c r="BA35" i="5" a="1"/>
  <c r="AZ40" i="5" a="1"/>
  <c r="BF5" i="5" a="1"/>
  <c r="BE30" i="5" a="1"/>
  <c r="BD10" i="5" a="1"/>
  <c r="AZ20" i="5" a="1"/>
  <c r="BF40" i="5" a="1"/>
  <c r="BE40" i="5" a="1"/>
  <c r="BA5" i="5" a="1"/>
  <c r="BC15" i="5" a="1"/>
  <c r="BC20" i="5" a="1"/>
  <c r="BF35" i="5" a="1"/>
  <c r="BB30" i="5" a="1"/>
  <c r="BD30" i="5" a="1"/>
  <c r="BC10" i="5" a="1"/>
  <c r="BA15" i="5" a="1"/>
  <c r="BE20" i="5" a="1"/>
  <c r="BB35" i="5" a="1"/>
  <c r="BD15" i="5" a="1"/>
  <c r="AZ15" i="5" a="1"/>
  <c r="BB40" i="5" a="1"/>
  <c r="BD5" i="5" a="1"/>
  <c r="BE15" i="5" a="1"/>
  <c r="BE25" i="5" a="1"/>
  <c r="BD35" i="5" a="1"/>
  <c r="BH45" i="5" l="1"/>
  <c r="BI46" i="5"/>
  <c r="BH48" i="5"/>
  <c r="BI48" i="5"/>
  <c r="BM46" i="5"/>
  <c r="BM46" i="6"/>
  <c r="BI46" i="6"/>
  <c r="BM47" i="6"/>
  <c r="BH47" i="6"/>
  <c r="BM45" i="6"/>
  <c r="BI48" i="6"/>
  <c r="BH45" i="6"/>
  <c r="BM48" i="6"/>
  <c r="BI45" i="6"/>
  <c r="BI47" i="6"/>
  <c r="BH46" i="6"/>
  <c r="BE25" i="6"/>
  <c r="O8" i="7" s="1"/>
  <c r="BC30" i="6"/>
  <c r="M9" i="7" s="1"/>
  <c r="BA15" i="6"/>
  <c r="BE40" i="6"/>
  <c r="O11" i="7" s="1"/>
  <c r="AZ40" i="6"/>
  <c r="J11" i="7" s="1"/>
  <c r="AZ10" i="6"/>
  <c r="J5" i="7" s="1"/>
  <c r="BF35" i="6"/>
  <c r="P10" i="7" s="1"/>
  <c r="BF25" i="6"/>
  <c r="BF5" i="6"/>
  <c r="P4" i="7" s="1"/>
  <c r="BD15" i="6"/>
  <c r="BE5" i="6"/>
  <c r="O4" i="7" s="1"/>
  <c r="BD10" i="6"/>
  <c r="N5" i="7" s="1"/>
  <c r="AZ30" i="6"/>
  <c r="J9" i="7" s="1"/>
  <c r="BD40" i="6"/>
  <c r="N11" i="7" s="1"/>
  <c r="AZ20" i="6"/>
  <c r="J7" i="7" s="1"/>
  <c r="BD30" i="6"/>
  <c r="N9" i="7" s="1"/>
  <c r="BE30" i="6"/>
  <c r="O9" i="7" s="1"/>
  <c r="BF20" i="6"/>
  <c r="P7" i="7" s="1"/>
  <c r="BC40" i="6"/>
  <c r="M11" i="7" s="1"/>
  <c r="BE15" i="6"/>
  <c r="BB20" i="6"/>
  <c r="L7" i="7" s="1"/>
  <c r="BF30" i="6"/>
  <c r="P9" i="7" s="1"/>
  <c r="BB5" i="6"/>
  <c r="L4" i="7" s="1"/>
  <c r="BB15" i="6"/>
  <c r="BC25" i="6"/>
  <c r="M8" i="7" s="1"/>
  <c r="BD25" i="6"/>
  <c r="N8" i="7" s="1"/>
  <c r="BE20" i="6"/>
  <c r="O7" i="7" s="1"/>
  <c r="BF10" i="6"/>
  <c r="P5" i="7" s="1"/>
  <c r="BA20" i="6"/>
  <c r="K7" i="7" s="1"/>
  <c r="BB30" i="6"/>
  <c r="L9" i="7" s="1"/>
  <c r="BF15" i="6"/>
  <c r="P6" i="7" s="1"/>
  <c r="AZ5" i="6"/>
  <c r="J4" i="7" s="1"/>
  <c r="BC20" i="6"/>
  <c r="M7" i="7" s="1"/>
  <c r="BA30" i="6"/>
  <c r="K9" i="7" s="1"/>
  <c r="BE10" i="6"/>
  <c r="O5" i="7" s="1"/>
  <c r="BB10" i="6"/>
  <c r="L5" i="7" s="1"/>
  <c r="BB25" i="6"/>
  <c r="L8" i="7" s="1"/>
  <c r="BB35" i="6"/>
  <c r="L10" i="7" s="1"/>
  <c r="BD35" i="6"/>
  <c r="N10" i="7" s="1"/>
  <c r="BA10" i="6"/>
  <c r="K5" i="7" s="1"/>
  <c r="BA25" i="6"/>
  <c r="K8" i="7" s="1"/>
  <c r="BC35" i="6"/>
  <c r="M10" i="7" s="1"/>
  <c r="BA40" i="6"/>
  <c r="K11" i="7" s="1"/>
  <c r="BC10" i="6"/>
  <c r="M5" i="7" s="1"/>
  <c r="BD20" i="6"/>
  <c r="N7" i="7" s="1"/>
  <c r="BC15" i="6"/>
  <c r="BE35" i="6"/>
  <c r="O10" i="7" s="1"/>
  <c r="BC5" i="6"/>
  <c r="M4" i="7" s="1"/>
  <c r="AZ25" i="6"/>
  <c r="J8" i="7" s="1"/>
  <c r="BA35" i="6"/>
  <c r="K10" i="7" s="1"/>
  <c r="BF40" i="6"/>
  <c r="P11" i="7" s="1"/>
  <c r="BB40" i="6"/>
  <c r="L11" i="7" s="1"/>
  <c r="AZ15" i="6"/>
  <c r="BD5" i="6"/>
  <c r="AZ35" i="6"/>
  <c r="J10" i="7" s="1"/>
  <c r="BA5" i="6"/>
  <c r="K4" i="7" s="1"/>
  <c r="BH48" i="6"/>
  <c r="BI45" i="5"/>
  <c r="BI47" i="5"/>
  <c r="BM47" i="5"/>
  <c r="BH47" i="5"/>
  <c r="BD35" i="5"/>
  <c r="G10" i="7" s="1"/>
  <c r="BE25" i="5"/>
  <c r="H8" i="7" s="1"/>
  <c r="BE15" i="5"/>
  <c r="H6" i="7" s="1"/>
  <c r="BD5" i="5"/>
  <c r="G4" i="7" s="1"/>
  <c r="BB40" i="5"/>
  <c r="E11" i="7" s="1"/>
  <c r="AZ15" i="5"/>
  <c r="BD15" i="5"/>
  <c r="G6" i="7" s="1"/>
  <c r="BB35" i="5"/>
  <c r="E10" i="7" s="1"/>
  <c r="BE20" i="5"/>
  <c r="H7" i="7" s="1"/>
  <c r="BA15" i="5"/>
  <c r="D6" i="7" s="1"/>
  <c r="BC10" i="5"/>
  <c r="F5" i="7" s="1"/>
  <c r="BD30" i="5"/>
  <c r="G9" i="7" s="1"/>
  <c r="BB30" i="5"/>
  <c r="E9" i="7" s="1"/>
  <c r="BF35" i="5"/>
  <c r="I10" i="7" s="1"/>
  <c r="BC20" i="5"/>
  <c r="F7" i="7" s="1"/>
  <c r="BC15" i="5"/>
  <c r="F6" i="7" s="1"/>
  <c r="BA5" i="5"/>
  <c r="D4" i="7" s="1"/>
  <c r="BE40" i="5"/>
  <c r="H11" i="7" s="1"/>
  <c r="BF40" i="5"/>
  <c r="I11" i="7" s="1"/>
  <c r="AZ20" i="5"/>
  <c r="C7" i="7" s="1"/>
  <c r="BD10" i="5"/>
  <c r="G5" i="7" s="1"/>
  <c r="BE30" i="5"/>
  <c r="H9" i="7" s="1"/>
  <c r="BF5" i="5"/>
  <c r="I4" i="7" s="1"/>
  <c r="AZ40" i="5"/>
  <c r="C11" i="7" s="1"/>
  <c r="BA35" i="5"/>
  <c r="D10" i="7" s="1"/>
  <c r="BF10" i="5"/>
  <c r="I5" i="7" s="1"/>
  <c r="BB15" i="5"/>
  <c r="E6" i="7" s="1"/>
  <c r="BD20" i="5"/>
  <c r="G7" i="7" s="1"/>
  <c r="BA20" i="5"/>
  <c r="D7" i="7" s="1"/>
  <c r="BC40" i="5"/>
  <c r="F11" i="7" s="1"/>
  <c r="BA25" i="5"/>
  <c r="D8" i="7" s="1"/>
  <c r="BD40" i="5"/>
  <c r="G11" i="7" s="1"/>
  <c r="BA30" i="5"/>
  <c r="D9" i="7" s="1"/>
  <c r="BC35" i="5"/>
  <c r="F10" i="7" s="1"/>
  <c r="BB10" i="5"/>
  <c r="E5" i="7" s="1"/>
  <c r="BF15" i="5"/>
  <c r="I6" i="7" s="1"/>
  <c r="BC25" i="5"/>
  <c r="F8" i="7" s="1"/>
  <c r="BE10" i="5"/>
  <c r="H5" i="7" s="1"/>
  <c r="BF30" i="5"/>
  <c r="I9" i="7" s="1"/>
  <c r="AZ30" i="5"/>
  <c r="C9" i="7" s="1"/>
  <c r="BC30" i="5"/>
  <c r="F9" i="7" s="1"/>
  <c r="BF20" i="5"/>
  <c r="I7" i="7" s="1"/>
  <c r="BD25" i="5"/>
  <c r="G8" i="7" s="1"/>
  <c r="BB20" i="5"/>
  <c r="E7" i="7" s="1"/>
  <c r="BF25" i="5"/>
  <c r="I8" i="7" s="1"/>
  <c r="BA10" i="5"/>
  <c r="D5" i="7" s="1"/>
  <c r="AZ10" i="5"/>
  <c r="C5" i="7" s="1"/>
  <c r="BE35" i="5"/>
  <c r="H10" i="7" s="1"/>
  <c r="BA40" i="5"/>
  <c r="D11" i="7" s="1"/>
  <c r="AZ25" i="5"/>
  <c r="C8" i="7" s="1"/>
  <c r="AZ35" i="5"/>
  <c r="C10" i="7" s="1"/>
  <c r="BB25" i="5"/>
  <c r="E8" i="7" s="1"/>
  <c r="BC5" i="5"/>
  <c r="F4" i="7" s="1"/>
  <c r="BM48" i="5"/>
  <c r="AZ47" i="5" l="1"/>
  <c r="C21" i="1" s="1"/>
  <c r="C14" i="7" s="1"/>
  <c r="AZ46" i="5"/>
  <c r="C20" i="1" s="1"/>
  <c r="C13" i="7" s="1"/>
  <c r="BF45" i="6"/>
  <c r="I31" i="1" s="1"/>
  <c r="P12" i="7" s="1"/>
  <c r="BF46" i="6"/>
  <c r="I32" i="1" s="1"/>
  <c r="P13" i="7" s="1"/>
  <c r="BC47" i="6"/>
  <c r="F33" i="1" s="1"/>
  <c r="M14" i="7" s="1"/>
  <c r="AZ46" i="6"/>
  <c r="C32" i="1" s="1"/>
  <c r="J13" i="7" s="1"/>
  <c r="BE45" i="6"/>
  <c r="H31" i="1" s="1"/>
  <c r="O12" i="7" s="1"/>
  <c r="BE48" i="6"/>
  <c r="H34" i="1" s="1"/>
  <c r="O15" i="7" s="1"/>
  <c r="BA46" i="6"/>
  <c r="D32" i="1" s="1"/>
  <c r="K13" i="7" s="1"/>
  <c r="BE47" i="6"/>
  <c r="H33" i="1" s="1"/>
  <c r="O14" i="7" s="1"/>
  <c r="BD46" i="6"/>
  <c r="G32" i="1" s="1"/>
  <c r="N13" i="7" s="1"/>
  <c r="BB46" i="6"/>
  <c r="E32" i="1" s="1"/>
  <c r="L13" i="7" s="1"/>
  <c r="K6" i="7"/>
  <c r="BE46" i="6"/>
  <c r="H32" i="1" s="1"/>
  <c r="O13" i="7" s="1"/>
  <c r="O6" i="7"/>
  <c r="BB45" i="6"/>
  <c r="E31" i="1" s="1"/>
  <c r="L12" i="7" s="1"/>
  <c r="AZ47" i="6"/>
  <c r="C33" i="1" s="1"/>
  <c r="J14" i="7" s="1"/>
  <c r="J6" i="7"/>
  <c r="N6" i="7"/>
  <c r="BA48" i="6"/>
  <c r="D34" i="1" s="1"/>
  <c r="K15" i="7" s="1"/>
  <c r="BD48" i="6"/>
  <c r="G34" i="1" s="1"/>
  <c r="N15" i="7" s="1"/>
  <c r="BC46" i="6"/>
  <c r="F32" i="1" s="1"/>
  <c r="M13" i="7" s="1"/>
  <c r="BB48" i="6"/>
  <c r="E34" i="1" s="1"/>
  <c r="L15" i="7" s="1"/>
  <c r="BF47" i="6"/>
  <c r="I33" i="1" s="1"/>
  <c r="P14" i="7" s="1"/>
  <c r="BB47" i="6"/>
  <c r="E33" i="1" s="1"/>
  <c r="L14" i="7" s="1"/>
  <c r="BD47" i="6"/>
  <c r="G33" i="1" s="1"/>
  <c r="N14" i="7" s="1"/>
  <c r="L6" i="7"/>
  <c r="P8" i="7"/>
  <c r="BC48" i="6"/>
  <c r="F34" i="1" s="1"/>
  <c r="M15" i="7" s="1"/>
  <c r="AZ48" i="6"/>
  <c r="C34" i="1" s="1"/>
  <c r="J15" i="7" s="1"/>
  <c r="BD45" i="6"/>
  <c r="G31" i="1" s="1"/>
  <c r="N12" i="7" s="1"/>
  <c r="N4" i="7"/>
  <c r="BF48" i="6"/>
  <c r="I34" i="1" s="1"/>
  <c r="P15" i="7" s="1"/>
  <c r="BA47" i="6"/>
  <c r="D33" i="1" s="1"/>
  <c r="K14" i="7" s="1"/>
  <c r="BA45" i="6"/>
  <c r="D31" i="1" s="1"/>
  <c r="K12" i="7" s="1"/>
  <c r="M6" i="7"/>
  <c r="BC45" i="6"/>
  <c r="F31" i="1" s="1"/>
  <c r="M12" i="7" s="1"/>
  <c r="AZ45" i="6"/>
  <c r="C31" i="1" s="1"/>
  <c r="J12" i="7" s="1"/>
  <c r="BB47" i="5"/>
  <c r="E21" i="1" s="1"/>
  <c r="E14" i="7" s="1"/>
  <c r="BA46" i="5"/>
  <c r="D20" i="1" s="1"/>
  <c r="D13" i="7" s="1"/>
  <c r="BB46" i="5"/>
  <c r="E20" i="1" s="1"/>
  <c r="E13" i="7" s="1"/>
  <c r="BC45" i="5"/>
  <c r="F19" i="1" s="1"/>
  <c r="F12" i="7" s="1"/>
  <c r="BD46" i="5"/>
  <c r="G20" i="1" s="1"/>
  <c r="G13" i="7" s="1"/>
  <c r="BE48" i="5"/>
  <c r="H22" i="1" s="1"/>
  <c r="H15" i="7" s="1"/>
  <c r="BB45" i="5"/>
  <c r="E19" i="1" s="1"/>
  <c r="E12" i="7" s="1"/>
  <c r="AZ48" i="5"/>
  <c r="C22" i="1" s="1"/>
  <c r="C15" i="7" s="1"/>
  <c r="BC47" i="5"/>
  <c r="F21" i="1" s="1"/>
  <c r="F14" i="7" s="1"/>
  <c r="BD48" i="5"/>
  <c r="G22" i="1" s="1"/>
  <c r="G15" i="7" s="1"/>
  <c r="BF48" i="5"/>
  <c r="I22" i="1" s="1"/>
  <c r="I15" i="7" s="1"/>
  <c r="BF47" i="5"/>
  <c r="I21" i="1" s="1"/>
  <c r="I14" i="7" s="1"/>
  <c r="BB48" i="5"/>
  <c r="E22" i="1" s="1"/>
  <c r="E15" i="7" s="1"/>
  <c r="AZ45" i="5"/>
  <c r="C19" i="1" s="1"/>
  <c r="C12" i="7" s="1"/>
  <c r="BC46" i="5"/>
  <c r="F20" i="1" s="1"/>
  <c r="F13" i="7" s="1"/>
  <c r="C6" i="7"/>
  <c r="BC48" i="5"/>
  <c r="F22" i="1" s="1"/>
  <c r="F15" i="7" s="1"/>
  <c r="BD45" i="5"/>
  <c r="G19" i="1" s="1"/>
  <c r="G12" i="7" s="1"/>
  <c r="BF45" i="5"/>
  <c r="I19" i="1" s="1"/>
  <c r="I12" i="7" s="1"/>
  <c r="BD47" i="5"/>
  <c r="G21" i="1" s="1"/>
  <c r="G14" i="7" s="1"/>
  <c r="BA45" i="5"/>
  <c r="D19" i="1" s="1"/>
  <c r="D12" i="7" s="1"/>
  <c r="BE47" i="5"/>
  <c r="H21" i="1" s="1"/>
  <c r="H14" i="7" s="1"/>
  <c r="BA48" i="5"/>
  <c r="D22" i="1" s="1"/>
  <c r="D15" i="7" s="1"/>
  <c r="BA47" i="5"/>
  <c r="D21" i="1" s="1"/>
  <c r="D14" i="7" s="1"/>
  <c r="BF46" i="5"/>
  <c r="I20" i="1" s="1"/>
  <c r="I13" i="7" s="1"/>
  <c r="BE45" i="5"/>
  <c r="H19" i="1" s="1"/>
  <c r="H12" i="7" s="1"/>
  <c r="BE46" i="5"/>
  <c r="H20" i="1" s="1"/>
  <c r="H13" i="7" s="1"/>
</calcChain>
</file>

<file path=xl/sharedStrings.xml><?xml version="1.0" encoding="utf-8"?>
<sst xmlns="http://schemas.openxmlformats.org/spreadsheetml/2006/main" count="957" uniqueCount="430">
  <si>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</si>
  <si>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</si>
  <si>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</si>
  <si>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</si>
  <si>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</si>
  <si>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</si>
  <si>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</si>
  <si>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</si>
  <si>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</si>
  <si>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</si>
  <si>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</si>
  <si>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</si>
  <si>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</si>
  <si>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</si>
  <si>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</si>
  <si>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</si>
  <si>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</si>
  <si>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</si>
  <si>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</si>
  <si>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</si>
  <si>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</si>
  <si>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</si>
  <si>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</si>
  <si>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</si>
  <si>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</si>
  <si>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</si>
  <si>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</si>
  <si>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C2 lossy RA</t>
  </si>
  <si>
    <t>← Select this …</t>
  </si>
  <si>
    <t>Columns</t>
  </si>
  <si>
    <t>C1 lossy AI</t>
  </si>
  <si>
    <t>Sequence:</t>
  </si>
  <si>
    <t>longdress_voxelised</t>
  </si>
  <si>
    <t>← … then this</t>
  </si>
  <si>
    <t>dec.cb-hpsnr</t>
  </si>
  <si>
    <t>Chroma Cb EtE Hausdorff PSNR [dB]</t>
  </si>
  <si>
    <t>names!$B$91:$S$91</t>
  </si>
  <si>
    <t>names!$B$155:$S$155</t>
  </si>
  <si>
    <t>dec.cb-psnr</t>
  </si>
  <si>
    <t>Chroma Cb End-to-end PSNR [dB]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</si>
  <si>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</si>
  <si>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</si>
  <si>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</si>
  <si>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</si>
  <si>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</si>
  <si>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</si>
  <si>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</si>
  <si>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</si>
  <si>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</si>
  <si>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</si>
  <si>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</si>
  <si>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</si>
  <si>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</si>
  <si>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</si>
  <si>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</si>
  <si>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</si>
  <si>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</si>
  <si>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</si>
  <si>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</si>
  <si>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</si>
  <si>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</si>
  <si>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</si>
  <si>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</si>
  <si>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</si>
  <si>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</si>
  <si>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</si>
  <si>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</si>
  <si>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</si>
  <si>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</si>
  <si>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</si>
  <si>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</si>
  <si>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</si>
  <si>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mitch_voxelised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</si>
  <si>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</si>
  <si>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</si>
  <si>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</si>
  <si>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</si>
  <si>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</si>
  <si>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</si>
  <si>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</si>
  <si>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</si>
  <si>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</si>
  <si>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</si>
  <si>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</si>
  <si>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</si>
  <si>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</si>
  <si>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</si>
  <si>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</si>
  <si>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</si>
  <si>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</si>
  <si>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</si>
  <si>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</si>
  <si>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</si>
  <si>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</si>
  <si>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</si>
  <si>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</si>
  <si>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</si>
  <si>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</si>
  <si>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</si>
  <si>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</si>
  <si>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</si>
  <si>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</si>
  <si>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</si>
  <si>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</si>
  <si>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</si>
  <si>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</si>
  <si>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</si>
  <si>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</si>
  <si>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</si>
  <si>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</si>
  <si>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</si>
  <si>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</si>
  <si>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</si>
  <si>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</si>
  <si>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</si>
  <si>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</si>
  <si>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</si>
  <si>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</si>
  <si>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</si>
  <si>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</si>
  <si>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</si>
  <si>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</si>
  <si>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</si>
  <si>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</si>
  <si>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</si>
  <si>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</si>
  <si>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</si>
  <si>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</si>
  <si>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</si>
  <si>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</si>
  <si>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</si>
  <si>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</si>
  <si>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</si>
  <si>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</si>
  <si>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</si>
  <si>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</si>
  <si>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</si>
  <si>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</si>
  <si>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</si>
  <si>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</si>
  <si>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</si>
  <si>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</si>
  <si>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</si>
  <si>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</si>
  <si>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</si>
  <si>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</si>
  <si>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</si>
  <si>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</si>
  <si>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</si>
  <si>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</si>
  <si>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enc.bmesh.intra.bytes</t>
  </si>
  <si>
    <t>BaseMesh Static Bitstream [bytes]</t>
  </si>
  <si>
    <t>enc.bmesh.inter.bytes</t>
  </si>
  <si>
    <t>BaseMesh Motion Bitstream [bytes]</t>
  </si>
  <si>
    <t>enc.meta.bits</t>
  </si>
  <si>
    <t>Meta Bitstream [bytes]</t>
  </si>
  <si>
    <t>eqn.geo.bits</t>
  </si>
  <si>
    <t>Total Geometry Bistream [bits]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</si>
  <si>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</si>
  <si>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</si>
  <si>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</si>
  <si>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</si>
  <si>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</si>
  <si>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</si>
  <si>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</si>
  <si>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</si>
  <si>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</si>
  <si>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</si>
  <si>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[bits]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</si>
  <si>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</si>
  <si>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</si>
  <si>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</si>
  <si>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</si>
  <si>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</si>
  <si>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</si>
  <si>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</si>
  <si>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</si>
  <si>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</si>
  <si>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</si>
  <si>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</si>
  <si>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</si>
  <si>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</si>
  <si>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</si>
  <si>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</si>
  <si>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</si>
  <si>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</si>
  <si>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</si>
  <si>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</si>
  <si>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</si>
  <si>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</si>
  <si>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</si>
  <si>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</si>
  <si>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</si>
  <si>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</si>
  <si>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</si>
  <si>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</si>
  <si>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</si>
  <si>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</si>
  <si>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</si>
  <si>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</si>
  <si>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</si>
  <si>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</si>
  <si>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</si>
  <si>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</si>
  <si>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</si>
  <si>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</si>
  <si>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</si>
  <si>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</si>
  <si>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</si>
  <si>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</si>
  <si>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</si>
  <si>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</si>
  <si>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</si>
  <si>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</si>
  <si>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</si>
  <si>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</si>
  <si>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</si>
  <si>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</si>
  <si>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</si>
  <si>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</si>
  <si>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</si>
  <si>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</si>
  <si>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</si>
  <si>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</si>
  <si>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</si>
  <si>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</si>
  <si>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</si>
  <si>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</si>
  <si>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</si>
  <si>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</si>
  <si>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</si>
  <si>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</si>
  <si>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</si>
  <si>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</si>
  <si>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</si>
  <si>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</si>
  <si>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</si>
  <si>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</si>
  <si>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</si>
  <si>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AI.A.eqn.geo.bits</t>
  </si>
  <si>
    <t>col.C1 lossy AI.A.dec.numfaces</t>
  </si>
  <si>
    <t>col.C1 lossy AI.A.enc.ext.bits</t>
  </si>
  <si>
    <t>col.C1 lossy AI.A.enc.bmesh.intra.bytes</t>
  </si>
  <si>
    <t>col.C1 lossy AI.A.enc.bmesh.inter.bytes</t>
  </si>
  <si>
    <t>col.C1 lossy AI.A.enc.disp.bytes</t>
  </si>
  <si>
    <t>col.C1 lossy AI.A.enc.texture.bytes</t>
  </si>
  <si>
    <t>col.C2 lossy AI.A.enc.meta.bits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</si>
  <si>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</si>
  <si>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</si>
  <si>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</si>
  <si>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</si>
  <si>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</si>
  <si>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</si>
  <si>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</si>
  <si>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</si>
  <si>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</si>
  <si>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</si>
  <si>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</si>
  <si>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AI.B.eqn.geo.bits</t>
  </si>
  <si>
    <t>col.C1 lossy AI.B.dec.numfaces</t>
  </si>
  <si>
    <t>col.C1 lossy AI.B.enc.ext.bits</t>
  </si>
  <si>
    <t>col.C1 lossy AI.B.enc.bmesh.intra.bytes</t>
  </si>
  <si>
    <t>col.C1 lossy AI.B.enc.bmesh.inter.bytes</t>
  </si>
  <si>
    <t>col.C1 lossy AI.B.enc.disp.bytes</t>
  </si>
  <si>
    <t>col.C1 lossy AI.B.enc.texture.bytes</t>
  </si>
  <si>
    <t>col.C1 lossy AI.B.enc.meta.bits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</si>
  <si>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</si>
  <si>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</si>
  <si>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</si>
  <si>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</si>
  <si>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</si>
  <si>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</si>
  <si>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</si>
  <si>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</si>
  <si>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</si>
  <si>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</si>
  <si>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</si>
  <si>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</si>
  <si>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</si>
  <si>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</si>
  <si>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</si>
  <si>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</si>
  <si>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</si>
  <si>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</si>
  <si>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</si>
  <si>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'C1 lossy AI'!$AE$1</t>
  </si>
  <si>
    <t>range.C1 lossy AI.longdress_voxelised</t>
  </si>
  <si>
    <t>'C1 lossy AI'!$A$5:$BD$9</t>
  </si>
  <si>
    <t>range.C1 lossy AI.soldier_voxelised</t>
  </si>
  <si>
    <t>'C1 lossy AI'!$A$10:$BD$14</t>
  </si>
  <si>
    <t>range.C1 lossy AI.basketball_player_voxelised</t>
  </si>
  <si>
    <t>'C1 lossy AI'!$A$15:$BD$19</t>
  </si>
  <si>
    <t>range.C1 lossy AI.dancer_voxelised</t>
  </si>
  <si>
    <t>'C1 lossy AI'!$A$20:$BD$24</t>
  </si>
  <si>
    <t>range.C1 lossy AI.football_voxelised</t>
  </si>
  <si>
    <t>'C1 lossy AI'!$A$25:$BD$29</t>
  </si>
  <si>
    <t>range.C1 lossy AI.levi_voxelised</t>
  </si>
  <si>
    <t>'C1 lossy AI'!$A$30:$BD$34</t>
  </si>
  <si>
    <t>range.C1 lossy AI.mitch_voxelised</t>
  </si>
  <si>
    <t>'C1 lossy AI'!$A$35:$BD$39</t>
  </si>
  <si>
    <t>range.C1 lossy AI.thomas_voxelised</t>
  </si>
  <si>
    <t>'C1 lossy AI'!$A$40:$BD$44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</si>
  <si>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</si>
  <si>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</si>
  <si>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</si>
  <si>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</si>
  <si>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</si>
  <si>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</si>
  <si>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</si>
  <si>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</si>
  <si>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</si>
  <si>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</si>
  <si>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</si>
  <si>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RA.A.eqn.geo.bits</t>
  </si>
  <si>
    <t>col.C2 lossy RA.A.dec.numfaces</t>
  </si>
  <si>
    <t>col.C2 lossy RA.A.enc.ext.bits</t>
  </si>
  <si>
    <t>col.C2 lossy RA.A.enc.bmesh.intra.bytes</t>
  </si>
  <si>
    <t>col.C2 lossy RA.A.enc.bmesh.inter.bytes</t>
  </si>
  <si>
    <t>col.C2 lossy RA.A.enc.disp.bytes</t>
  </si>
  <si>
    <t>col.C2 lossy RA.A.enc.texture.bytes</t>
  </si>
  <si>
    <t>col.C2 lossy RA.A.enc.meta.bits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</si>
  <si>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</si>
  <si>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</si>
  <si>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</si>
  <si>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</si>
  <si>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</si>
  <si>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</si>
  <si>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</si>
  <si>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</si>
  <si>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</si>
  <si>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</si>
  <si>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</si>
  <si>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RA.B.eqn.geo.bits</t>
  </si>
  <si>
    <t>col.C2 lossy RA.B.dec.numfaces</t>
  </si>
  <si>
    <t>col.C2 lossy RA.B.enc.ext.bits</t>
  </si>
  <si>
    <t>col.C2 lossy RA.B.enc.bmesh.intra.bytes</t>
  </si>
  <si>
    <t>col.C2 lossy RA.B.enc.bmesh.inter.bytes</t>
  </si>
  <si>
    <t>col.C2 lossy RA.B.enc.disp.bytes</t>
  </si>
  <si>
    <t>col.C2 lossy RA.B.enc.texture.bytes</t>
  </si>
  <si>
    <t>col.C2 lossy RA.B.enc.meta.bits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</si>
  <si>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</si>
  <si>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</si>
  <si>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</si>
  <si>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</si>
  <si>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</si>
  <si>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</si>
  <si>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</si>
  <si>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</si>
  <si>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</si>
  <si>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</si>
  <si>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</si>
  <si>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</si>
  <si>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</si>
  <si>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</si>
  <si>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</si>
  <si>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</si>
  <si>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</si>
  <si>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</si>
  <si>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</si>
  <si>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'C2 lossy RA'!$AE$1</t>
  </si>
  <si>
    <t>range.C2 lossy RA.longdress_voxelised</t>
  </si>
  <si>
    <t>'C2 lossy RA'!$A$5:$BD$9</t>
  </si>
  <si>
    <t>range.C2 lossy RA.soldier_voxelised</t>
  </si>
  <si>
    <t>'C2 lossy RA'!$A$10:$BD$14</t>
  </si>
  <si>
    <t>range.C2 lossy RA.basketball_player_voxelised</t>
  </si>
  <si>
    <t>'C2 lossy RA'!$A$15:$BD$19</t>
  </si>
  <si>
    <t>range.C2 lossy RA.dancer_voxelised</t>
  </si>
  <si>
    <t>'C2 lossy RA'!$A$20:$BD$24</t>
  </si>
  <si>
    <t>range.C2 lossy RA.football_voxelised</t>
  </si>
  <si>
    <t>'C2 lossy RA'!$A$25:$BD$29</t>
  </si>
  <si>
    <t>range.C2 lossy RA.levi_voxelised</t>
  </si>
  <si>
    <t>'C2 lossy RA'!$A$30:$BD$34</t>
  </si>
  <si>
    <t>range.C2 lossy RA.mitch_voxelised</t>
  </si>
  <si>
    <t>'C2 lossy RA'!$A$35:$BD$39</t>
  </si>
  <si>
    <t>range.C2 lossy RA.thomas_voxelised</t>
  </si>
  <si>
    <t>'C2 lossy RA'!$A$40:$BD$44</t>
  </si>
  <si>
    <t>cols.C2 lossy RA</t>
  </si>
  <si>
    <t>C1_ai — lossy geometry, lossy attributes [all intra]</t>
  </si>
  <si>
    <t>Variant</t>
  </si>
  <si>
    <t>Target rate [Mbps]</t>
  </si>
  <si>
    <t>Total Geo Bitstream [bits]</t>
  </si>
  <si>
    <t>Bmesh
Intra
[bits]</t>
  </si>
  <si>
    <t>Bmesh
Inter
[bits]</t>
  </si>
  <si>
    <t>Disp
[bits]</t>
  </si>
  <si>
    <t>Texture
[bits]</t>
  </si>
  <si>
    <t>MetaData
[bits]</t>
  </si>
  <si>
    <t>Pointcloud-based PSNR [dB]</t>
  </si>
  <si>
    <t>Image-based PSNR [dB]</t>
  </si>
  <si>
    <t>Pointcloud-based BD‑TotGeoRate [%]</t>
  </si>
  <si>
    <t>Pointcloud-based BD‑AttrRate [%]</t>
  </si>
  <si>
    <t>Geom Image-based BD‑TotGeoRate [%]</t>
  </si>
  <si>
    <t>Luma Image-based BD‑AttrRate [%]</t>
  </si>
  <si>
    <t>Bmesh intra ratio [%]</t>
  </si>
  <si>
    <t>Bmesh inter ratio [%]</t>
  </si>
  <si>
    <t>Disp ratio
[%]</t>
  </si>
  <si>
    <t>Texture ratio
[%]</t>
  </si>
  <si>
    <t>Meta ratio
[%]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</si>
  <si>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</si>
  <si>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</si>
  <si>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</si>
  <si>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</si>
  <si>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</si>
  <si>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</si>
  <si>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</si>
  <si>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</si>
  <si>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</si>
  <si>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</si>
  <si>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</si>
  <si>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</si>
  <si>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</si>
  <si>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</si>
  <si>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</si>
  <si>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</si>
  <si>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</si>
  <si>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</si>
  <si>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</si>
  <si>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</si>
  <si>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</si>
  <si>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</si>
  <si>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</si>
  <si>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</si>
  <si>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</si>
  <si>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</si>
  <si>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</si>
  <si>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</si>
  <si>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</si>
  <si>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</si>
  <si>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</si>
  <si>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Geom Image-based BD‑TotGemRate [%]</t>
  </si>
  <si>
    <t>v6.0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</si>
</sst>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44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0" borderId="4" xfId="0" applyFont="1" applyBorder="1"/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0" fontId="0" fillId="10" borderId="11" xfId="0" applyFill="1" applyBorder="1"/>
    <xf numFmtId="0" fontId="0" fillId="10" borderId="12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/>
    <xf numFmtId="0" fontId="0" fillId="0" borderId="3" xfId="0" applyBorder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176" fontId="0" fillId="0" borderId="0" xfId="0" applyNumberFormat="1" applyAlignment="1">
      <alignment horizontal="center"/>
    </xf>
    <xf numFmtId="176" fontId="0" fillId="0" borderId="4" xfId="0" applyNumberFormat="1" applyBorder="1" applyAlignment="1">
      <alignment horizontal="center"/>
    </xf>
    <xf numFmtId="177" fontId="0" fillId="8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177" fontId="0" fillId="10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/>
    <xf numFmtId="0" fontId="0" fillId="0" borderId="3" xfId="0" applyBorder="1"/>
    <xf numFmtId="0" fontId="1" fillId="2" borderId="0" xfId="0" applyFont="1" applyFill="1" applyAlignment="1">
      <alignment horizont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1" fillId="13" borderId="6" xfId="0" applyFont="1" applyFill="1" applyBorder="1" applyAlignment="1">
      <alignment horizontal="center" wrapText="1"/>
    </xf>
    <xf numFmtId="0" fontId="0" fillId="0" borderId="10" xfId="0" applyBorder="1"/>
    <xf numFmtId="0" fontId="1" fillId="13" borderId="7" xfId="0" applyFont="1" applyFill="1" applyBorder="1" applyAlignment="1">
      <alignment horizontal="center" wrapText="1"/>
    </xf>
    <xf numFmtId="0" fontId="0" fillId="0" borderId="14" xfId="0" applyBorder="1"/>
    <xf numFmtId="0" fontId="0" fillId="14" borderId="16" xfId="0" applyFill="1" applyBorder="1" applyAlignment="1">
      <alignment horizontal="left"/>
    </xf>
    <xf numFmtId="0" fontId="0" fillId="0" borderId="12" xfId="0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0" fillId="0" borderId="6" xfId="0" applyBorder="1"/>
    <xf numFmtId="9" fontId="0" fillId="15" borderId="15" xfId="0" applyNumberFormat="1" applyFill="1" applyBorder="1" applyAlignment="1">
      <alignment horizontal="center"/>
    </xf>
    <xf numFmtId="0" fontId="0" fillId="15" borderId="16" xfId="0" applyFill="1" applyBorder="1" applyAlignment="1">
      <alignment horizontal="left"/>
    </xf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  <xf numFmtId="0" fontId="0" fillId="14" borderId="13" xfId="0" applyFill="1" applyBorder="1" applyAlignment="1">
      <alignment horizontal="left"/>
    </xf>
    <xf numFmtId="0" fontId="0" fillId="0" borderId="8" xfId="0" applyBorder="1"/>
    <xf numFmtId="9" fontId="0" fillId="14" borderId="13" xfId="0" applyNumberFormat="1" applyFill="1" applyBorder="1" applyAlignment="1">
      <alignment horizontal="center"/>
    </xf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0" fillId="15" borderId="15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</cellXfs>
  <cellStyles count="1">
    <cellStyle name="常规" xfId="0" builtinId="0"/>
  </cellStyles>
  <dxfs count="18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v6.0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3.9793949999999998</c:v>
                </c:pt>
                <c:pt idx="1">
                  <c:v>7.9523925000000002</c:v>
                </c:pt>
                <c:pt idx="2">
                  <c:v>11.12337</c:v>
                </c:pt>
                <c:pt idx="3">
                  <c:v>14.227169999999999</c:v>
                </c:pt>
                <c:pt idx="4">
                  <c:v>21.415230000000001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67.553949099999997</c:v>
                </c:pt>
                <c:pt idx="1">
                  <c:v>68.321956599999993</c:v>
                </c:pt>
                <c:pt idx="2">
                  <c:v>71.585728900000007</c:v>
                </c:pt>
                <c:pt idx="3">
                  <c:v>72.960979300000005</c:v>
                </c:pt>
                <c:pt idx="4">
                  <c:v>74.4025228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83-4E02-845B-0CD97452DBDA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83-4E02-845B-0CD97452D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v6.0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3.9793949999999998</c:v>
                </c:pt>
                <c:pt idx="1">
                  <c:v>7.9523925000000002</c:v>
                </c:pt>
                <c:pt idx="2">
                  <c:v>11.12337</c:v>
                </c:pt>
                <c:pt idx="3">
                  <c:v>14.227169999999999</c:v>
                </c:pt>
                <c:pt idx="4">
                  <c:v>21.415230000000001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68.455112</c:v>
                </c:pt>
                <c:pt idx="1">
                  <c:v>69.287425900000002</c:v>
                </c:pt>
                <c:pt idx="2">
                  <c:v>73.035613900000001</c:v>
                </c:pt>
                <c:pt idx="3">
                  <c:v>74.596857</c:v>
                </c:pt>
                <c:pt idx="4">
                  <c:v>76.291860099999994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7F-42A0-93C9-0AC3DE7CC42F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7F-42A0-93C9-0AC3DE7CC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v6.0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3.9793949999999998</c:v>
                </c:pt>
                <c:pt idx="1">
                  <c:v>7.9523925000000002</c:v>
                </c:pt>
                <c:pt idx="2">
                  <c:v>11.12337</c:v>
                </c:pt>
                <c:pt idx="3">
                  <c:v>14.227169999999999</c:v>
                </c:pt>
                <c:pt idx="4">
                  <c:v>21.415230000000001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48.518529899999997</c:v>
                </c:pt>
                <c:pt idx="1">
                  <c:v>48.704467299999997</c:v>
                </c:pt>
                <c:pt idx="2">
                  <c:v>50.877635699999999</c:v>
                </c:pt>
                <c:pt idx="3">
                  <c:v>51.773220299999998</c:v>
                </c:pt>
                <c:pt idx="4">
                  <c:v>52.650332200000001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5F-4C3A-BAD0-0983DF53C98D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95F-4C3A-BAD0-0983DF53C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v6.0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3.9793949999999998</c:v>
                </c:pt>
                <c:pt idx="1">
                  <c:v>7.9523925000000002</c:v>
                </c:pt>
                <c:pt idx="2">
                  <c:v>11.12337</c:v>
                </c:pt>
                <c:pt idx="3">
                  <c:v>14.227169999999999</c:v>
                </c:pt>
                <c:pt idx="4">
                  <c:v>21.415230000000001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27.8940439</c:v>
                </c:pt>
                <c:pt idx="1">
                  <c:v>31.040346199999998</c:v>
                </c:pt>
                <c:pt idx="2">
                  <c:v>32.280350499999997</c:v>
                </c:pt>
                <c:pt idx="3">
                  <c:v>33.318973</c:v>
                </c:pt>
                <c:pt idx="4">
                  <c:v>34.9329617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62-40DB-9AD9-2D3ED66F2A30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62-40DB-9AD9-2D3ED66F2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v6.0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3.9793949999999998</c:v>
                </c:pt>
                <c:pt idx="1">
                  <c:v>7.9523925000000002</c:v>
                </c:pt>
                <c:pt idx="2">
                  <c:v>11.12337</c:v>
                </c:pt>
                <c:pt idx="3">
                  <c:v>14.227169999999999</c:v>
                </c:pt>
                <c:pt idx="4">
                  <c:v>21.415230000000001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33.582960700000001</c:v>
                </c:pt>
                <c:pt idx="1">
                  <c:v>34.766222999999997</c:v>
                </c:pt>
                <c:pt idx="2">
                  <c:v>36.439249400000001</c:v>
                </c:pt>
                <c:pt idx="3">
                  <c:v>37.045885300000002</c:v>
                </c:pt>
                <c:pt idx="4">
                  <c:v>38.579171000000002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1E-4365-A17C-E6B0D9773DD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1E-4365-A17C-E6B0D9773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v6.0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3.9793949999999998</c:v>
                </c:pt>
                <c:pt idx="1">
                  <c:v>7.9523925000000002</c:v>
                </c:pt>
                <c:pt idx="2">
                  <c:v>11.12337</c:v>
                </c:pt>
                <c:pt idx="3">
                  <c:v>14.227169999999999</c:v>
                </c:pt>
                <c:pt idx="4">
                  <c:v>21.415230000000001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32.973177800000002</c:v>
                </c:pt>
                <c:pt idx="1">
                  <c:v>34.279380000000003</c:v>
                </c:pt>
                <c:pt idx="2">
                  <c:v>36.170708699999999</c:v>
                </c:pt>
                <c:pt idx="3">
                  <c:v>36.782169500000002</c:v>
                </c:pt>
                <c:pt idx="4">
                  <c:v>38.293949300000001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6B-4D41-81AC-A5D8B6477829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6B-4D41-81AC-A5D8B6477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v6.0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3.9793949999999998</c:v>
                </c:pt>
                <c:pt idx="1">
                  <c:v>7.9523925000000002</c:v>
                </c:pt>
                <c:pt idx="2">
                  <c:v>11.12337</c:v>
                </c:pt>
                <c:pt idx="3">
                  <c:v>14.227169999999999</c:v>
                </c:pt>
                <c:pt idx="4">
                  <c:v>21.415230000000001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26.639871100000001</c:v>
                </c:pt>
                <c:pt idx="1">
                  <c:v>28.4235136</c:v>
                </c:pt>
                <c:pt idx="2">
                  <c:v>30.2156105</c:v>
                </c:pt>
                <c:pt idx="3">
                  <c:v>31.102628899999999</c:v>
                </c:pt>
                <c:pt idx="4">
                  <c:v>32.408012900000003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BA-4741-905B-C3BABC07EE62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BA-4741-905B-C3BABC07E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70001"/>
        <c:axId val="50070002"/>
      </c:scatterChart>
      <c:valAx>
        <c:axId val="50070001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50070002"/>
        <c:crosses val="autoZero"/>
        <c:crossBetween val="midCat"/>
      </c:valAx>
      <c:valAx>
        <c:axId val="5007000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7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I36"/>
  <sheetViews>
    <sheetView zoomScale="90" zoomScaleNormal="90" workbookViewId="0">
      <selection activeCell="C2" sqref="C2:E2"/>
    </sheetView>
  </sheetViews>
  <sheetFormatPr defaultColWidth="9.125" defaultRowHeight="13.5" x14ac:dyDescent="0.15"/>
  <cols>
    <col min="2" max="2" width="16.75" style="52" customWidth="1"/>
    <col min="3" max="9" width="24.75" style="52" customWidth="1"/>
  </cols>
  <sheetData>
    <row r="1" spans="2:9" x14ac:dyDescent="0.15">
      <c r="B1" t="s">
        <v>0</v>
      </c>
      <c r="C1" s="109" t="s">
        <v>429</v>
      </c>
      <c r="D1" s="107"/>
      <c r="E1" s="107"/>
    </row>
    <row r="2" spans="2:9" x14ac:dyDescent="0.15">
      <c r="B2" t="s">
        <v>1</v>
      </c>
      <c r="C2" s="115"/>
      <c r="D2" s="107"/>
      <c r="E2" s="107"/>
    </row>
    <row r="4" spans="2:9" s="1" customFormat="1" x14ac:dyDescent="0.15">
      <c r="B4" s="1" t="s">
        <v>2</v>
      </c>
    </row>
    <row r="6" spans="2:9" ht="45" customHeight="1" x14ac:dyDescent="0.15">
      <c r="B6" s="106" t="s">
        <v>3</v>
      </c>
      <c r="C6" s="54" t="s">
        <v>4</v>
      </c>
    </row>
    <row r="7" spans="2:9" x14ac:dyDescent="0.15">
      <c r="B7" s="107"/>
      <c r="C7" s="55" t="s">
        <v>5</v>
      </c>
    </row>
    <row r="8" spans="2:9" x14ac:dyDescent="0.15">
      <c r="B8" s="108"/>
      <c r="C8" s="2" t="s">
        <v>6</v>
      </c>
    </row>
    <row r="9" spans="2:9" x14ac:dyDescent="0.15">
      <c r="B9" t="s">
        <v>7</v>
      </c>
      <c r="C9" s="61" t="e">
        <f>'C0 lossless AI'!V13</f>
        <v>#DIV/0!</v>
      </c>
    </row>
    <row r="10" spans="2:9" x14ac:dyDescent="0.15">
      <c r="B10" t="s">
        <v>8</v>
      </c>
      <c r="C10" s="61" t="e">
        <f>'C0 lossless AI'!V14</f>
        <v>#DIV/0!</v>
      </c>
    </row>
    <row r="11" spans="2:9" x14ac:dyDescent="0.15">
      <c r="B11" t="s">
        <v>9</v>
      </c>
      <c r="C11" s="61" t="e">
        <f>'C0 lossless AI'!V15</f>
        <v>#DIV/0!</v>
      </c>
    </row>
    <row r="12" spans="2:9" x14ac:dyDescent="0.15">
      <c r="B12" s="3" t="s">
        <v>10</v>
      </c>
      <c r="C12" s="62" t="e">
        <f>'C0 lossless AI'!V16</f>
        <v>#DIV/0!</v>
      </c>
    </row>
    <row r="13" spans="2:9" x14ac:dyDescent="0.15">
      <c r="B13" t="s">
        <v>11</v>
      </c>
      <c r="C13" s="56">
        <f>'C0 lossless AI'!S18</f>
        <v>0</v>
      </c>
    </row>
    <row r="14" spans="2:9" x14ac:dyDescent="0.15">
      <c r="B14" s="53" t="s">
        <v>12</v>
      </c>
      <c r="C14" s="57">
        <f>'C0 lossless AI'!T18</f>
        <v>0</v>
      </c>
    </row>
    <row r="16" spans="2:9" x14ac:dyDescent="0.15">
      <c r="B16" s="106" t="s">
        <v>13</v>
      </c>
      <c r="C16" s="110" t="s">
        <v>14</v>
      </c>
      <c r="D16" s="111"/>
      <c r="E16" s="111"/>
      <c r="F16" s="111"/>
      <c r="G16" s="111"/>
      <c r="H16" s="111"/>
      <c r="I16" s="111"/>
    </row>
    <row r="17" spans="2:9" x14ac:dyDescent="0.15">
      <c r="B17" s="107"/>
      <c r="C17" s="116" t="s">
        <v>15</v>
      </c>
      <c r="D17" s="107"/>
      <c r="E17" s="107"/>
      <c r="F17" s="107"/>
      <c r="G17" s="107"/>
      <c r="H17" s="114" t="s">
        <v>16</v>
      </c>
      <c r="I17" s="107"/>
    </row>
    <row r="18" spans="2:9" x14ac:dyDescent="0.15">
      <c r="B18" s="108"/>
      <c r="C18" s="2" t="s">
        <v>17</v>
      </c>
      <c r="D18" s="2" t="s">
        <v>18</v>
      </c>
      <c r="E18" s="2" t="s">
        <v>19</v>
      </c>
      <c r="F18" s="2" t="s">
        <v>20</v>
      </c>
      <c r="G18" s="2" t="s">
        <v>21</v>
      </c>
      <c r="H18" s="4" t="s">
        <v>22</v>
      </c>
      <c r="I18" s="4" t="s">
        <v>19</v>
      </c>
    </row>
    <row r="19" spans="2:9" x14ac:dyDescent="0.15">
      <c r="B19" t="s">
        <v>7</v>
      </c>
      <c r="C19" s="61" t="e">
        <f>'C1 lossy AI'!$AZ$45:$AZ$45</f>
        <v>#DIV/0!</v>
      </c>
      <c r="D19" s="61" t="e">
        <f>'C1 lossy AI'!$BA$45:$BA$45</f>
        <v>#DIV/0!</v>
      </c>
      <c r="E19" s="61" t="e">
        <f>'C1 lossy AI'!$BB$45:$BB$45</f>
        <v>#DIV/0!</v>
      </c>
      <c r="F19" s="61" t="e">
        <f>'C1 lossy AI'!$BC$45:$BC$45</f>
        <v>#DIV/0!</v>
      </c>
      <c r="G19" s="61" t="e">
        <f>'C1 lossy AI'!$BD$45:$BD$45</f>
        <v>#DIV/0!</v>
      </c>
      <c r="H19" s="61" t="e">
        <f>'C1 lossy AI'!$BE$45:$BE$45</f>
        <v>#DIV/0!</v>
      </c>
      <c r="I19" s="61" t="e">
        <f>'C1 lossy AI'!$BF$45:$BF$45</f>
        <v>#DIV/0!</v>
      </c>
    </row>
    <row r="20" spans="2:9" x14ac:dyDescent="0.15">
      <c r="B20" t="s">
        <v>8</v>
      </c>
      <c r="C20" s="61" t="e">
        <f>'C1 lossy AI'!$AZ$46:$AZ$46</f>
        <v>#DIV/0!</v>
      </c>
      <c r="D20" s="61" t="e">
        <f>'C1 lossy AI'!$BA$46:$BA$46</f>
        <v>#DIV/0!</v>
      </c>
      <c r="E20" s="61" t="e">
        <f>'C1 lossy AI'!$BB$46:$BB$46</f>
        <v>#DIV/0!</v>
      </c>
      <c r="F20" s="61" t="e">
        <f>'C1 lossy AI'!$BC$46:$BC$46</f>
        <v>#DIV/0!</v>
      </c>
      <c r="G20" s="61" t="e">
        <f>'C1 lossy AI'!$BD$46:$BD$46</f>
        <v>#DIV/0!</v>
      </c>
      <c r="H20" s="61" t="e">
        <f>'C1 lossy AI'!$BE$46:$BE$46</f>
        <v>#DIV/0!</v>
      </c>
      <c r="I20" s="61" t="e">
        <f>'C1 lossy AI'!$BF$46:$BF$46</f>
        <v>#DIV/0!</v>
      </c>
    </row>
    <row r="21" spans="2:9" x14ac:dyDescent="0.15">
      <c r="B21" t="s">
        <v>9</v>
      </c>
      <c r="C21" s="61" t="e">
        <f>'C1 lossy AI'!$AZ$47:$AZ$47</f>
        <v>#DIV/0!</v>
      </c>
      <c r="D21" s="61" t="e">
        <f>'C1 lossy AI'!$BA$47:$BA$47</f>
        <v>#DIV/0!</v>
      </c>
      <c r="E21" s="61" t="e">
        <f>'C1 lossy AI'!$BB$47:$BB$47</f>
        <v>#DIV/0!</v>
      </c>
      <c r="F21" s="61" t="e">
        <f>'C1 lossy AI'!$BC$47:$BC$47</f>
        <v>#DIV/0!</v>
      </c>
      <c r="G21" s="61" t="e">
        <f>'C1 lossy AI'!$BD$47:$BD$47</f>
        <v>#DIV/0!</v>
      </c>
      <c r="H21" s="61" t="e">
        <f>'C1 lossy AI'!$BE$47:$BE$47</f>
        <v>#DIV/0!</v>
      </c>
      <c r="I21" s="61" t="e">
        <f>'C1 lossy AI'!$BF$47:$BF$47</f>
        <v>#DIV/0!</v>
      </c>
    </row>
    <row r="22" spans="2:9" x14ac:dyDescent="0.15">
      <c r="B22" s="3" t="s">
        <v>10</v>
      </c>
      <c r="C22" s="62" t="e">
        <f>'C1 lossy AI'!$AZ$48:$AZ$48</f>
        <v>#DIV/0!</v>
      </c>
      <c r="D22" s="62" t="e">
        <f>'C1 lossy AI'!$BA$48:$BA$48</f>
        <v>#DIV/0!</v>
      </c>
      <c r="E22" s="62" t="e">
        <f>'C1 lossy AI'!$BB$48:$BB$48</f>
        <v>#DIV/0!</v>
      </c>
      <c r="F22" s="62" t="e">
        <f>'C1 lossy AI'!$BC$48:$BC$48</f>
        <v>#DIV/0!</v>
      </c>
      <c r="G22" s="62" t="e">
        <f>'C1 lossy AI'!$BD$48:$BD$48</f>
        <v>#DIV/0!</v>
      </c>
      <c r="H22" s="62" t="e">
        <f>'C1 lossy AI'!$BE$48:$BE$48</f>
        <v>#DIV/0!</v>
      </c>
      <c r="I22" s="62" t="e">
        <f>'C1 lossy AI'!$BF$48:$BF$48</f>
        <v>#DIV/0!</v>
      </c>
    </row>
    <row r="23" spans="2:9" x14ac:dyDescent="0.15">
      <c r="B23" t="s">
        <v>11</v>
      </c>
      <c r="C23" s="112">
        <f>'C1 lossy AI'!AW50</f>
        <v>0</v>
      </c>
      <c r="D23" s="107"/>
      <c r="E23" s="107"/>
      <c r="F23" s="107"/>
      <c r="G23" s="107"/>
      <c r="H23" s="107"/>
      <c r="I23" s="107"/>
    </row>
    <row r="24" spans="2:9" x14ac:dyDescent="0.15">
      <c r="B24" s="53" t="s">
        <v>12</v>
      </c>
      <c r="C24" s="113">
        <f>'C1 lossy AI'!AX50</f>
        <v>0</v>
      </c>
      <c r="D24" s="108"/>
      <c r="E24" s="108"/>
      <c r="F24" s="108"/>
      <c r="G24" s="108"/>
      <c r="H24" s="108"/>
      <c r="I24" s="108"/>
    </row>
    <row r="26" spans="2:9" s="1" customFormat="1" x14ac:dyDescent="0.15">
      <c r="B26" s="1" t="s">
        <v>23</v>
      </c>
    </row>
    <row r="28" spans="2:9" x14ac:dyDescent="0.15">
      <c r="B28" s="106" t="s">
        <v>24</v>
      </c>
      <c r="C28" s="110" t="s">
        <v>25</v>
      </c>
      <c r="D28" s="111"/>
      <c r="E28" s="111"/>
      <c r="F28" s="111"/>
      <c r="G28" s="111"/>
      <c r="H28" s="111"/>
      <c r="I28" s="111"/>
    </row>
    <row r="29" spans="2:9" x14ac:dyDescent="0.15">
      <c r="B29" s="107"/>
      <c r="C29" s="116" t="s">
        <v>15</v>
      </c>
      <c r="D29" s="107"/>
      <c r="E29" s="107"/>
      <c r="F29" s="107"/>
      <c r="G29" s="107"/>
      <c r="H29" s="114" t="s">
        <v>16</v>
      </c>
      <c r="I29" s="107"/>
    </row>
    <row r="30" spans="2:9" x14ac:dyDescent="0.15">
      <c r="B30" s="108"/>
      <c r="C30" s="2" t="s">
        <v>17</v>
      </c>
      <c r="D30" s="2" t="s">
        <v>18</v>
      </c>
      <c r="E30" s="2" t="s">
        <v>19</v>
      </c>
      <c r="F30" s="2" t="s">
        <v>20</v>
      </c>
      <c r="G30" s="2" t="s">
        <v>21</v>
      </c>
      <c r="H30" s="4" t="s">
        <v>22</v>
      </c>
      <c r="I30" s="4" t="s">
        <v>19</v>
      </c>
    </row>
    <row r="31" spans="2:9" x14ac:dyDescent="0.15">
      <c r="B31" t="s">
        <v>7</v>
      </c>
      <c r="C31" s="61" t="e">
        <f>'C2 lossy RA'!$AZ$45:$AZ$45</f>
        <v>#DIV/0!</v>
      </c>
      <c r="D31" s="61" t="e">
        <f>'C2 lossy RA'!$BA$45:$BA$45</f>
        <v>#DIV/0!</v>
      </c>
      <c r="E31" s="61" t="e">
        <f>'C2 lossy RA'!$BB$45:$BB$45</f>
        <v>#DIV/0!</v>
      </c>
      <c r="F31" s="61" t="e">
        <f>'C2 lossy RA'!$BC$45:$BC$45</f>
        <v>#DIV/0!</v>
      </c>
      <c r="G31" s="61" t="e">
        <f>'C2 lossy RA'!$BD$45:$BD$45</f>
        <v>#DIV/0!</v>
      </c>
      <c r="H31" s="61" t="e">
        <f>'C2 lossy RA'!$BE$45:$BE$45</f>
        <v>#DIV/0!</v>
      </c>
      <c r="I31" s="61" t="e">
        <f>'C2 lossy RA'!$BF$45:$BF$45</f>
        <v>#DIV/0!</v>
      </c>
    </row>
    <row r="32" spans="2:9" x14ac:dyDescent="0.15">
      <c r="B32" t="s">
        <v>8</v>
      </c>
      <c r="C32" s="61" t="e">
        <f>'C2 lossy RA'!$AZ$46:$AZ$46</f>
        <v>#DIV/0!</v>
      </c>
      <c r="D32" s="61" t="e">
        <f>'C2 lossy RA'!$BA$46:$BA$46</f>
        <v>#DIV/0!</v>
      </c>
      <c r="E32" s="61" t="e">
        <f>'C2 lossy RA'!$BB$46:$BB$46</f>
        <v>#DIV/0!</v>
      </c>
      <c r="F32" s="61" t="e">
        <f>'C2 lossy RA'!$BC$46:$BC$46</f>
        <v>#DIV/0!</v>
      </c>
      <c r="G32" s="61" t="e">
        <f>'C2 lossy RA'!$BD$46:$BD$46</f>
        <v>#DIV/0!</v>
      </c>
      <c r="H32" s="61" t="e">
        <f>'C2 lossy RA'!$BE$46:$BE$46</f>
        <v>#DIV/0!</v>
      </c>
      <c r="I32" s="61" t="e">
        <f>'C2 lossy RA'!$BF$46:$BF$46</f>
        <v>#DIV/0!</v>
      </c>
    </row>
    <row r="33" spans="2:9" x14ac:dyDescent="0.15">
      <c r="B33" t="s">
        <v>9</v>
      </c>
      <c r="C33" s="61" t="e">
        <f>'C2 lossy RA'!$AZ$47:$AZ$47</f>
        <v>#DIV/0!</v>
      </c>
      <c r="D33" s="61" t="e">
        <f>'C2 lossy RA'!$BA$47:$BA$47</f>
        <v>#DIV/0!</v>
      </c>
      <c r="E33" s="61" t="e">
        <f>'C2 lossy RA'!$BB$47:$BB$47</f>
        <v>#DIV/0!</v>
      </c>
      <c r="F33" s="61" t="e">
        <f>'C2 lossy RA'!$BC$47:$BC$47</f>
        <v>#DIV/0!</v>
      </c>
      <c r="G33" s="61" t="e">
        <f>'C2 lossy RA'!$BD$47:$BD$47</f>
        <v>#DIV/0!</v>
      </c>
      <c r="H33" s="61" t="e">
        <f>'C2 lossy RA'!$BE$47:$BE$47</f>
        <v>#DIV/0!</v>
      </c>
      <c r="I33" s="61" t="e">
        <f>'C2 lossy RA'!$BF$47:$BF$47</f>
        <v>#DIV/0!</v>
      </c>
    </row>
    <row r="34" spans="2:9" x14ac:dyDescent="0.15">
      <c r="B34" s="3" t="s">
        <v>10</v>
      </c>
      <c r="C34" s="62" t="e">
        <f>'C2 lossy RA'!$AZ$48:$AZ$48</f>
        <v>#DIV/0!</v>
      </c>
      <c r="D34" s="62" t="e">
        <f>'C2 lossy RA'!$BA$48:$BA$48</f>
        <v>#DIV/0!</v>
      </c>
      <c r="E34" s="62" t="e">
        <f>'C2 lossy RA'!$BB$48:$BB$48</f>
        <v>#DIV/0!</v>
      </c>
      <c r="F34" s="62" t="e">
        <f>'C2 lossy RA'!$BC$48:$BC$48</f>
        <v>#DIV/0!</v>
      </c>
      <c r="G34" s="62" t="e">
        <f>'C2 lossy RA'!$BD$48:$BD$48</f>
        <v>#DIV/0!</v>
      </c>
      <c r="H34" s="62" t="e">
        <f>'C2 lossy RA'!$BE$48:$BE$48</f>
        <v>#DIV/0!</v>
      </c>
      <c r="I34" s="62" t="e">
        <f>'C2 lossy RA'!$BF$48:$BF$48</f>
        <v>#DIV/0!</v>
      </c>
    </row>
    <row r="35" spans="2:9" x14ac:dyDescent="0.15">
      <c r="B35" t="s">
        <v>11</v>
      </c>
      <c r="C35" s="112">
        <f>'C2 lossy RA'!AW50</f>
        <v>0</v>
      </c>
      <c r="D35" s="107"/>
      <c r="E35" s="107"/>
      <c r="F35" s="107"/>
      <c r="G35" s="107"/>
      <c r="H35" s="107"/>
      <c r="I35" s="107"/>
    </row>
    <row r="36" spans="2:9" x14ac:dyDescent="0.15">
      <c r="B36" s="53" t="s">
        <v>12</v>
      </c>
      <c r="C36" s="113">
        <f>'C2 lossy RA'!AX50</f>
        <v>0</v>
      </c>
      <c r="D36" s="108"/>
      <c r="E36" s="108"/>
      <c r="F36" s="108"/>
      <c r="G36" s="108"/>
      <c r="H36" s="108"/>
      <c r="I36" s="108"/>
    </row>
  </sheetData>
  <mergeCells count="15">
    <mergeCell ref="B6:B8"/>
    <mergeCell ref="C1:E1"/>
    <mergeCell ref="C28:I28"/>
    <mergeCell ref="C23:I23"/>
    <mergeCell ref="C36:I36"/>
    <mergeCell ref="H17:I17"/>
    <mergeCell ref="C2:E2"/>
    <mergeCell ref="C16:I16"/>
    <mergeCell ref="C35:I35"/>
    <mergeCell ref="C29:G29"/>
    <mergeCell ref="B16:B18"/>
    <mergeCell ref="C24:I24"/>
    <mergeCell ref="H29:I29"/>
    <mergeCell ref="C17:G17"/>
    <mergeCell ref="B28:B30"/>
  </mergeCells>
  <phoneticPr fontId="2" type="noConversion"/>
  <conditionalFormatting sqref="C19 C20 C21 C22">
    <cfRule type="cellIs" dxfId="185" priority="15" operator="greaterThanOrEqual">
      <formula>0.03</formula>
    </cfRule>
    <cfRule type="cellIs" dxfId="184" priority="16" operator="lessThanOrEqual">
      <formula>-0.03</formula>
    </cfRule>
  </conditionalFormatting>
  <conditionalFormatting sqref="C31 C32 C33 C34">
    <cfRule type="cellIs" dxfId="183" priority="17" operator="greaterThanOrEqual">
      <formula>0.03</formula>
    </cfRule>
    <cfRule type="cellIs" dxfId="182" priority="18" operator="lessThanOrEqual">
      <formula>-0.03</formula>
    </cfRule>
  </conditionalFormatting>
  <conditionalFormatting sqref="C9 C10 C11 C12">
    <cfRule type="cellIs" dxfId="181" priority="1" operator="greaterThanOrEqual">
      <formula>1.03</formula>
    </cfRule>
    <cfRule type="cellIs" dxfId="180" priority="2" operator="lessThanOrEqual">
      <formula>0.97</formula>
    </cfRule>
  </conditionalFormatting>
  <conditionalFormatting sqref="D19 D20 D21 D22">
    <cfRule type="cellIs" dxfId="179" priority="11" operator="greaterThanOrEqual">
      <formula>0.03</formula>
    </cfRule>
    <cfRule type="cellIs" dxfId="178" priority="12" operator="lessThanOrEqual">
      <formula>-0.03</formula>
    </cfRule>
  </conditionalFormatting>
  <conditionalFormatting sqref="D31 D32 D33 D34">
    <cfRule type="cellIs" dxfId="177" priority="21" operator="greaterThanOrEqual">
      <formula>0.03</formula>
    </cfRule>
    <cfRule type="cellIs" dxfId="176" priority="22" operator="lessThanOrEqual">
      <formula>-0.03</formula>
    </cfRule>
  </conditionalFormatting>
  <conditionalFormatting sqref="E19 E20 E21 E22">
    <cfRule type="cellIs" dxfId="175" priority="5" operator="greaterThanOrEqual">
      <formula>0.03</formula>
    </cfRule>
    <cfRule type="cellIs" dxfId="174" priority="6" operator="lessThanOrEqual">
      <formula>-0.03</formula>
    </cfRule>
  </conditionalFormatting>
  <conditionalFormatting sqref="E31 E32 E33 E34">
    <cfRule type="cellIs" dxfId="173" priority="25" operator="greaterThanOrEqual">
      <formula>0.03</formula>
    </cfRule>
    <cfRule type="cellIs" dxfId="172" priority="26" operator="lessThanOrEqual">
      <formula>-0.03</formula>
    </cfRule>
  </conditionalFormatting>
  <conditionalFormatting sqref="F19 F20 F21 F22">
    <cfRule type="cellIs" dxfId="171" priority="3" operator="greaterThanOrEqual">
      <formula>0.03</formula>
    </cfRule>
    <cfRule type="cellIs" dxfId="170" priority="4" operator="lessThanOrEqual">
      <formula>-0.03</formula>
    </cfRule>
  </conditionalFormatting>
  <conditionalFormatting sqref="F31 F32 F33 F34">
    <cfRule type="cellIs" dxfId="169" priority="29" operator="greaterThanOrEqual">
      <formula>0.03</formula>
    </cfRule>
    <cfRule type="cellIs" dxfId="168" priority="30" operator="lessThanOrEqual">
      <formula>-0.03</formula>
    </cfRule>
  </conditionalFormatting>
  <conditionalFormatting sqref="G19 G20 G21 G22">
    <cfRule type="cellIs" dxfId="167" priority="13" operator="greaterThanOrEqual">
      <formula>0.03</formula>
    </cfRule>
    <cfRule type="cellIs" dxfId="166" priority="14" operator="lessThanOrEqual">
      <formula>-0.03</formula>
    </cfRule>
  </conditionalFormatting>
  <conditionalFormatting sqref="G31 G32 G33 G34">
    <cfRule type="cellIs" dxfId="165" priority="19" operator="greaterThanOrEqual">
      <formula>0.03</formula>
    </cfRule>
    <cfRule type="cellIs" dxfId="164" priority="20" operator="lessThanOrEqual">
      <formula>-0.03</formula>
    </cfRule>
  </conditionalFormatting>
  <conditionalFormatting sqref="H19 H20 H21 H22">
    <cfRule type="cellIs" dxfId="163" priority="9" operator="greaterThanOrEqual">
      <formula>0.03</formula>
    </cfRule>
    <cfRule type="cellIs" dxfId="162" priority="10" operator="lessThanOrEqual">
      <formula>-0.03</formula>
    </cfRule>
  </conditionalFormatting>
  <conditionalFormatting sqref="H31 H32 H33 H34">
    <cfRule type="cellIs" dxfId="161" priority="23" operator="greaterThanOrEqual">
      <formula>0.03</formula>
    </cfRule>
    <cfRule type="cellIs" dxfId="160" priority="24" operator="lessThanOrEqual">
      <formula>-0.03</formula>
    </cfRule>
  </conditionalFormatting>
  <conditionalFormatting sqref="I19 I20 I21 I22">
    <cfRule type="cellIs" dxfId="159" priority="7" operator="greaterThanOrEqual">
      <formula>0.03</formula>
    </cfRule>
    <cfRule type="cellIs" dxfId="158" priority="8" operator="lessThanOrEqual">
      <formula>-0.03</formula>
    </cfRule>
  </conditionalFormatting>
  <conditionalFormatting sqref="I31 I32 I33 I34">
    <cfRule type="cellIs" dxfId="157" priority="27" operator="greaterThanOrEqual">
      <formula>0.03</formula>
    </cfRule>
    <cfRule type="cellIs" dxfId="156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54"/>
  <sheetViews>
    <sheetView zoomScale="70" zoomScaleNormal="70" workbookViewId="0">
      <selection activeCell="B1" sqref="B1"/>
    </sheetView>
  </sheetViews>
  <sheetFormatPr defaultColWidth="9.125" defaultRowHeight="13.5" x14ac:dyDescent="0.15"/>
  <cols>
    <col min="1" max="1" width="12.75" style="52" customWidth="1"/>
    <col min="2" max="2" width="24.75" style="52" customWidth="1"/>
    <col min="4" max="4" width="24.75" style="52" customWidth="1"/>
    <col min="9" max="9" width="16.75" style="52" customWidth="1"/>
  </cols>
  <sheetData>
    <row r="1" spans="1:14" x14ac:dyDescent="0.15">
      <c r="A1" t="s">
        <v>26</v>
      </c>
      <c r="B1" s="5" t="s">
        <v>27</v>
      </c>
      <c r="C1" t="s">
        <v>28</v>
      </c>
      <c r="I1" t="s">
        <v>29</v>
      </c>
      <c r="M1" t="s">
        <v>30</v>
      </c>
      <c r="N1" t="s">
        <v>27</v>
      </c>
    </row>
    <row r="2" spans="1:14" x14ac:dyDescent="0.15">
      <c r="A2" t="s">
        <v>31</v>
      </c>
      <c r="B2" s="5" t="s">
        <v>32</v>
      </c>
      <c r="C2" t="s">
        <v>33</v>
      </c>
      <c r="I2" t="s">
        <v>34</v>
      </c>
      <c r="J2" t="s">
        <v>35</v>
      </c>
      <c r="M2" t="s">
        <v>36</v>
      </c>
      <c r="N2" t="s">
        <v>37</v>
      </c>
    </row>
    <row r="3" spans="1:14" x14ac:dyDescent="0.15">
      <c r="I3" t="s">
        <v>38</v>
      </c>
      <c r="J3" t="s">
        <v>39</v>
      </c>
      <c r="M3" t="s">
        <v>32</v>
      </c>
      <c r="N3" t="s">
        <v>32</v>
      </c>
    </row>
    <row r="4" spans="1:14" x14ac:dyDescent="0.15">
      <c r="A4" t="s">
        <v>40</v>
      </c>
      <c r="B4" s="5" t="s">
        <v>41</v>
      </c>
      <c r="C4" t="s">
        <v>42</v>
      </c>
      <c r="D4" s="5" t="s">
        <v>43</v>
      </c>
      <c r="E4" t="s">
        <v>44</v>
      </c>
      <c r="I4" t="s">
        <v>45</v>
      </c>
      <c r="J4" t="s">
        <v>46</v>
      </c>
      <c r="M4" t="s">
        <v>47</v>
      </c>
      <c r="N4" t="s">
        <v>47</v>
      </c>
    </row>
    <row r="5" spans="1:14" x14ac:dyDescent="0.15">
      <c r="A5" t="s">
        <v>40</v>
      </c>
      <c r="B5" s="5" t="s">
        <v>41</v>
      </c>
      <c r="C5" t="s">
        <v>42</v>
      </c>
      <c r="D5" s="5" t="s">
        <v>48</v>
      </c>
      <c r="E5" t="s">
        <v>49</v>
      </c>
      <c r="I5" t="s">
        <v>50</v>
      </c>
      <c r="J5" t="s">
        <v>51</v>
      </c>
      <c r="M5" t="s">
        <v>52</v>
      </c>
      <c r="N5" t="s">
        <v>52</v>
      </c>
    </row>
    <row r="6" spans="1:14" x14ac:dyDescent="0.15">
      <c r="A6" t="s">
        <v>40</v>
      </c>
      <c r="B6" s="5" t="s">
        <v>41</v>
      </c>
      <c r="C6" t="s">
        <v>42</v>
      </c>
      <c r="D6" s="5" t="s">
        <v>53</v>
      </c>
      <c r="E6" t="s">
        <v>54</v>
      </c>
      <c r="I6" t="s">
        <v>55</v>
      </c>
      <c r="J6" t="s">
        <v>56</v>
      </c>
      <c r="M6" t="s">
        <v>57</v>
      </c>
      <c r="N6" t="s">
        <v>57</v>
      </c>
    </row>
    <row r="7" spans="1:14" x14ac:dyDescent="0.15">
      <c r="A7" t="s">
        <v>40</v>
      </c>
      <c r="B7" s="5" t="s">
        <v>41</v>
      </c>
      <c r="C7" t="s">
        <v>42</v>
      </c>
      <c r="D7" s="5" t="s">
        <v>58</v>
      </c>
      <c r="E7" t="s">
        <v>59</v>
      </c>
      <c r="I7" t="s">
        <v>60</v>
      </c>
      <c r="J7" t="s">
        <v>61</v>
      </c>
      <c r="M7" t="s">
        <v>62</v>
      </c>
      <c r="N7" t="s">
        <v>62</v>
      </c>
    </row>
    <row r="8" spans="1:14" x14ac:dyDescent="0.15">
      <c r="A8" t="s">
        <v>40</v>
      </c>
      <c r="B8" s="5" t="s">
        <v>41</v>
      </c>
      <c r="C8" t="s">
        <v>42</v>
      </c>
      <c r="D8" s="5" t="s">
        <v>63</v>
      </c>
      <c r="E8" t="s">
        <v>64</v>
      </c>
      <c r="I8" t="s">
        <v>65</v>
      </c>
      <c r="J8" t="s">
        <v>66</v>
      </c>
      <c r="M8" t="s">
        <v>67</v>
      </c>
      <c r="N8" t="s">
        <v>67</v>
      </c>
    </row>
    <row r="9" spans="1:14" x14ac:dyDescent="0.15">
      <c r="A9" t="s">
        <v>40</v>
      </c>
      <c r="B9" s="5" t="s">
        <v>41</v>
      </c>
      <c r="C9" t="s">
        <v>42</v>
      </c>
      <c r="D9" s="5" t="s">
        <v>68</v>
      </c>
      <c r="E9" t="s">
        <v>69</v>
      </c>
      <c r="I9" t="s">
        <v>70</v>
      </c>
      <c r="J9" t="s">
        <v>71</v>
      </c>
      <c r="M9" t="s">
        <v>72</v>
      </c>
      <c r="N9" t="s">
        <v>72</v>
      </c>
    </row>
    <row r="10" spans="1:14" x14ac:dyDescent="0.15">
      <c r="A10" t="s">
        <v>40</v>
      </c>
      <c r="B10" s="5" t="s">
        <v>41</v>
      </c>
      <c r="C10" t="s">
        <v>42</v>
      </c>
      <c r="D10" s="5" t="s">
        <v>73</v>
      </c>
      <c r="E10" t="s">
        <v>74</v>
      </c>
      <c r="I10" t="s">
        <v>75</v>
      </c>
      <c r="J10" t="s">
        <v>76</v>
      </c>
      <c r="M10" t="s">
        <v>77</v>
      </c>
      <c r="N10" t="s">
        <v>77</v>
      </c>
    </row>
    <row r="11" spans="1:14" x14ac:dyDescent="0.15">
      <c r="I11" t="s">
        <v>53</v>
      </c>
      <c r="J11" t="s">
        <v>78</v>
      </c>
    </row>
    <row r="12" spans="1:14" x14ac:dyDescent="0.15">
      <c r="I12" t="s">
        <v>73</v>
      </c>
      <c r="J12" t="s">
        <v>79</v>
      </c>
    </row>
    <row r="13" spans="1:14" x14ac:dyDescent="0.15">
      <c r="I13" t="s">
        <v>80</v>
      </c>
      <c r="J13" t="s">
        <v>81</v>
      </c>
    </row>
    <row r="14" spans="1:14" x14ac:dyDescent="0.15">
      <c r="I14" t="s">
        <v>82</v>
      </c>
      <c r="J14" t="s">
        <v>83</v>
      </c>
    </row>
    <row r="15" spans="1:14" x14ac:dyDescent="0.15">
      <c r="I15" t="s">
        <v>84</v>
      </c>
      <c r="J15" t="s">
        <v>85</v>
      </c>
    </row>
    <row r="16" spans="1:14" x14ac:dyDescent="0.15">
      <c r="I16" t="s">
        <v>86</v>
      </c>
      <c r="J16" t="s">
        <v>87</v>
      </c>
    </row>
    <row r="17" spans="9:10" x14ac:dyDescent="0.15">
      <c r="I17" t="s">
        <v>63</v>
      </c>
      <c r="J17" t="s">
        <v>88</v>
      </c>
    </row>
    <row r="18" spans="9:10" x14ac:dyDescent="0.15">
      <c r="I18" t="s">
        <v>68</v>
      </c>
      <c r="J18" t="s">
        <v>89</v>
      </c>
    </row>
    <row r="19" spans="9:10" x14ac:dyDescent="0.15">
      <c r="I19" t="s">
        <v>43</v>
      </c>
      <c r="J19" t="s">
        <v>90</v>
      </c>
    </row>
    <row r="20" spans="9:10" x14ac:dyDescent="0.15">
      <c r="I20" t="s">
        <v>48</v>
      </c>
      <c r="J20" t="s">
        <v>91</v>
      </c>
    </row>
    <row r="21" spans="9:10" x14ac:dyDescent="0.15">
      <c r="I21" t="s">
        <v>58</v>
      </c>
      <c r="J21" t="s">
        <v>92</v>
      </c>
    </row>
    <row r="22" spans="9:10" x14ac:dyDescent="0.15">
      <c r="I22" t="s">
        <v>93</v>
      </c>
      <c r="J22" t="s">
        <v>94</v>
      </c>
    </row>
    <row r="23" spans="9:10" x14ac:dyDescent="0.15">
      <c r="I23" t="s">
        <v>95</v>
      </c>
      <c r="J23" t="s">
        <v>96</v>
      </c>
    </row>
    <row r="24" spans="9:10" x14ac:dyDescent="0.15">
      <c r="I24" t="s">
        <v>97</v>
      </c>
      <c r="J24" t="s">
        <v>98</v>
      </c>
    </row>
    <row r="25" spans="9:10" x14ac:dyDescent="0.15">
      <c r="I25" t="s">
        <v>99</v>
      </c>
      <c r="J25" t="s">
        <v>100</v>
      </c>
    </row>
    <row r="26" spans="9:10" x14ac:dyDescent="0.15">
      <c r="I26" t="s">
        <v>101</v>
      </c>
      <c r="J26" t="s">
        <v>102</v>
      </c>
    </row>
    <row r="27" spans="9:10" x14ac:dyDescent="0.15">
      <c r="I27" t="s">
        <v>103</v>
      </c>
      <c r="J27" t="s">
        <v>104</v>
      </c>
    </row>
    <row r="28" spans="9:10" x14ac:dyDescent="0.15">
      <c r="I28" t="s">
        <v>105</v>
      </c>
      <c r="J28" t="s">
        <v>106</v>
      </c>
    </row>
    <row r="29" spans="9:10" x14ac:dyDescent="0.15">
      <c r="I29" t="s">
        <v>107</v>
      </c>
      <c r="J29" t="s">
        <v>108</v>
      </c>
    </row>
    <row r="30" spans="9:10" x14ac:dyDescent="0.15">
      <c r="I30" t="s">
        <v>109</v>
      </c>
      <c r="J30" t="s">
        <v>110</v>
      </c>
    </row>
    <row r="31" spans="9:10" x14ac:dyDescent="0.15">
      <c r="I31" t="s">
        <v>111</v>
      </c>
      <c r="J31" t="s">
        <v>112</v>
      </c>
    </row>
    <row r="32" spans="9:10" x14ac:dyDescent="0.15">
      <c r="I32" t="s">
        <v>113</v>
      </c>
      <c r="J32" t="s">
        <v>114</v>
      </c>
    </row>
    <row r="33" spans="9:10" x14ac:dyDescent="0.15">
      <c r="I33" t="s">
        <v>115</v>
      </c>
      <c r="J33" t="s">
        <v>116</v>
      </c>
    </row>
    <row r="34" spans="9:10" x14ac:dyDescent="0.15">
      <c r="I34" t="s">
        <v>117</v>
      </c>
      <c r="J34" t="s">
        <v>118</v>
      </c>
    </row>
    <row r="35" spans="9:10" x14ac:dyDescent="0.15">
      <c r="I35" t="s">
        <v>119</v>
      </c>
      <c r="J35" t="s">
        <v>120</v>
      </c>
    </row>
    <row r="36" spans="9:10" x14ac:dyDescent="0.15">
      <c r="I36" t="s">
        <v>121</v>
      </c>
      <c r="J36" t="s">
        <v>122</v>
      </c>
    </row>
    <row r="37" spans="9:10" x14ac:dyDescent="0.15">
      <c r="I37" t="s">
        <v>123</v>
      </c>
      <c r="J37" t="s">
        <v>124</v>
      </c>
    </row>
    <row r="38" spans="9:10" x14ac:dyDescent="0.15">
      <c r="I38" t="s">
        <v>125</v>
      </c>
      <c r="J38" t="s">
        <v>126</v>
      </c>
    </row>
    <row r="39" spans="9:10" x14ac:dyDescent="0.15">
      <c r="I39" t="s">
        <v>127</v>
      </c>
      <c r="J39" t="s">
        <v>128</v>
      </c>
    </row>
    <row r="40" spans="9:10" x14ac:dyDescent="0.15">
      <c r="I40" t="s">
        <v>41</v>
      </c>
      <c r="J40" t="s">
        <v>129</v>
      </c>
    </row>
    <row r="41" spans="9:10" x14ac:dyDescent="0.15">
      <c r="I41" t="s">
        <v>130</v>
      </c>
      <c r="J41" t="s">
        <v>131</v>
      </c>
    </row>
    <row r="42" spans="9:10" x14ac:dyDescent="0.15">
      <c r="I42" t="s">
        <v>132</v>
      </c>
      <c r="J42" t="s">
        <v>133</v>
      </c>
    </row>
    <row r="43" spans="9:10" x14ac:dyDescent="0.15">
      <c r="I43" t="s">
        <v>134</v>
      </c>
      <c r="J43" t="s">
        <v>135</v>
      </c>
    </row>
    <row r="44" spans="9:10" x14ac:dyDescent="0.15">
      <c r="I44" t="s">
        <v>136</v>
      </c>
      <c r="J44" t="s">
        <v>137</v>
      </c>
    </row>
    <row r="45" spans="9:10" x14ac:dyDescent="0.15">
      <c r="I45" t="s">
        <v>138</v>
      </c>
      <c r="J45" t="s">
        <v>139</v>
      </c>
    </row>
    <row r="46" spans="9:10" x14ac:dyDescent="0.15">
      <c r="I46" t="s">
        <v>140</v>
      </c>
      <c r="J46" t="s">
        <v>141</v>
      </c>
    </row>
    <row r="47" spans="9:10" x14ac:dyDescent="0.15">
      <c r="I47" t="s">
        <v>142</v>
      </c>
      <c r="J47" t="s">
        <v>143</v>
      </c>
    </row>
    <row r="48" spans="9:10" x14ac:dyDescent="0.15">
      <c r="I48" t="s">
        <v>144</v>
      </c>
      <c r="J48" t="s">
        <v>145</v>
      </c>
    </row>
    <row r="49" spans="9:10" x14ac:dyDescent="0.15">
      <c r="I49" t="s">
        <v>146</v>
      </c>
      <c r="J49" t="s">
        <v>147</v>
      </c>
    </row>
    <row r="50" spans="9:10" x14ac:dyDescent="0.15">
      <c r="I50" t="s">
        <v>148</v>
      </c>
      <c r="J50" t="s">
        <v>149</v>
      </c>
    </row>
    <row r="51" spans="9:10" x14ac:dyDescent="0.15">
      <c r="I51" t="s">
        <v>150</v>
      </c>
      <c r="J51" t="s">
        <v>151</v>
      </c>
    </row>
    <row r="52" spans="9:10" x14ac:dyDescent="0.15">
      <c r="I52" t="s">
        <v>152</v>
      </c>
      <c r="J52" t="s">
        <v>153</v>
      </c>
    </row>
    <row r="53" spans="9:10" x14ac:dyDescent="0.15">
      <c r="I53" t="s">
        <v>154</v>
      </c>
      <c r="J53" t="s">
        <v>155</v>
      </c>
    </row>
    <row r="54" spans="9:10" x14ac:dyDescent="0.15">
      <c r="I54" t="s">
        <v>156</v>
      </c>
      <c r="J54" t="s">
        <v>157</v>
      </c>
    </row>
  </sheetData>
  <phoneticPr fontId="2" type="noConversion"/>
  <conditionalFormatting sqref="B2">
    <cfRule type="expression" dxfId="155" priority="1">
      <formula>ISNA(MATCH(B2,OFFSET(M:M,2,MATCH(B1,M1:ZZ1,0)-1,COUNTA(INDEX(M:ZZ,,MATCH(B1,M1:ZZ1,0)))-2),0))</formula>
    </cfRule>
  </conditionalFormatting>
  <conditionalFormatting sqref="B4 B5 B6 B7 B8 B9 B10 D4 D5 D6 D7 D8 D9 D10">
    <cfRule type="expression" dxfId="154" priority="2">
      <formula>ISNA(MATCH(B4,filter_cols,0))</formula>
    </cfRule>
  </conditionalFormatting>
  <dataValidations count="3">
    <dataValidation type="list" showInputMessage="1" showErrorMessage="1" sqref="B1" xr:uid="{00000000-0002-0000-0100-000000000000}">
      <formula1>OFFSET(1:1,0,COLUMN(M1)-1,1,COUNTA(M1:ZZ1))</formula1>
    </dataValidation>
    <dataValidation type="list" showInputMessage="1" showErrorMessage="1" sqref="B2" xr:uid="{00000000-0002-0000-0100-000001000000}">
      <formula1>OFFSET(M:M,2,MATCH(B1,M1:ZZ1,0)-1,COUNTA(INDEX(M:ZZ,,MATCH(B1,M1:ZZ1,0)))-2)</formula1>
    </dataValidation>
    <dataValidation type="list" showInputMessage="1" showErrorMessage="1" sqref="B4:B10 D4:D10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X28"/>
  <sheetViews>
    <sheetView tabSelected="1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R18" sqref="R18"/>
    </sheetView>
  </sheetViews>
  <sheetFormatPr defaultColWidth="9.125" defaultRowHeight="13.5" x14ac:dyDescent="0.15"/>
  <cols>
    <col min="2" max="2" width="24.75" style="52" customWidth="1"/>
    <col min="3" max="4" width="10.75" style="52" customWidth="1"/>
    <col min="7" max="7" width="1.75" style="52" customWidth="1"/>
    <col min="9" max="9" width="10.75" style="52" customWidth="1"/>
    <col min="10" max="11" width="12.75" style="52" customWidth="1"/>
    <col min="14" max="14" width="1.75" style="52" customWidth="1"/>
    <col min="16" max="16" width="10.75" style="52" customWidth="1"/>
    <col min="17" max="18" width="12.75" style="52" customWidth="1"/>
    <col min="21" max="21" width="1.75" style="52" customWidth="1"/>
    <col min="23" max="23" width="1.75" style="52" customWidth="1"/>
  </cols>
  <sheetData>
    <row r="1" spans="1:24" x14ac:dyDescent="0.15">
      <c r="A1" s="119" t="s">
        <v>158</v>
      </c>
      <c r="B1" s="107"/>
      <c r="C1" s="107"/>
      <c r="D1" s="107"/>
      <c r="E1" s="107"/>
      <c r="F1" s="107"/>
      <c r="H1" s="109" t="str">
        <f>Summary!C1</f>
        <v>v6.0</v>
      </c>
      <c r="I1" s="107"/>
      <c r="J1" s="107"/>
      <c r="K1" s="107"/>
      <c r="L1" s="107"/>
      <c r="M1" s="107"/>
      <c r="O1" s="115">
        <f>Summary!C2</f>
        <v>0</v>
      </c>
      <c r="P1" s="107"/>
      <c r="Q1" s="107"/>
      <c r="R1" s="107"/>
      <c r="S1" s="107"/>
      <c r="T1" s="107"/>
    </row>
    <row r="2" spans="1:24" ht="30" customHeight="1" thickBot="1" x14ac:dyDescent="0.2">
      <c r="A2" s="117" t="s">
        <v>159</v>
      </c>
      <c r="B2" s="118" t="s">
        <v>160</v>
      </c>
      <c r="C2" s="117" t="s">
        <v>161</v>
      </c>
      <c r="D2" s="118" t="s">
        <v>162</v>
      </c>
      <c r="E2" s="117" t="s">
        <v>163</v>
      </c>
      <c r="F2" s="118" t="s">
        <v>164</v>
      </c>
      <c r="H2" s="117" t="s">
        <v>129</v>
      </c>
      <c r="I2" s="118" t="s">
        <v>133</v>
      </c>
      <c r="J2" s="117" t="s">
        <v>122</v>
      </c>
      <c r="K2" s="60" t="s">
        <v>165</v>
      </c>
      <c r="L2" s="118" t="s">
        <v>124</v>
      </c>
      <c r="M2" s="117" t="s">
        <v>104</v>
      </c>
      <c r="O2" s="118" t="s">
        <v>129</v>
      </c>
      <c r="P2" s="117" t="s">
        <v>133</v>
      </c>
      <c r="Q2" s="118" t="s">
        <v>122</v>
      </c>
      <c r="R2" s="60" t="s">
        <v>165</v>
      </c>
      <c r="S2" s="117" t="s">
        <v>124</v>
      </c>
      <c r="T2" s="118" t="s">
        <v>104</v>
      </c>
      <c r="V2" s="117" t="s">
        <v>166</v>
      </c>
      <c r="X2" s="117" t="s">
        <v>167</v>
      </c>
    </row>
    <row r="3" spans="1:24" ht="15.75" customHeight="1" thickBot="1" x14ac:dyDescent="0.2">
      <c r="A3" s="108"/>
      <c r="B3" s="108"/>
      <c r="C3" s="108"/>
      <c r="D3" s="108"/>
      <c r="E3" s="108"/>
      <c r="F3" s="108"/>
      <c r="H3" s="108"/>
      <c r="I3" s="108"/>
      <c r="J3" s="108"/>
      <c r="K3" s="58" t="s">
        <v>168</v>
      </c>
      <c r="L3" s="108"/>
      <c r="M3" s="108"/>
      <c r="O3" s="108"/>
      <c r="P3" s="108"/>
      <c r="Q3" s="108"/>
      <c r="R3" s="58" t="s">
        <v>168</v>
      </c>
      <c r="S3" s="108"/>
      <c r="T3" s="108"/>
      <c r="V3" s="108"/>
      <c r="X3" s="108"/>
    </row>
    <row r="4" spans="1:24" ht="48.75" hidden="1" customHeight="1" thickBot="1" x14ac:dyDescent="0.2">
      <c r="A4" s="6" t="s">
        <v>169</v>
      </c>
      <c r="B4" s="7" t="s">
        <v>170</v>
      </c>
      <c r="C4" s="6" t="s">
        <v>171</v>
      </c>
      <c r="D4" s="7" t="s">
        <v>172</v>
      </c>
      <c r="E4" s="6" t="s">
        <v>173</v>
      </c>
      <c r="F4" s="7" t="s">
        <v>174</v>
      </c>
      <c r="H4" s="6" t="s">
        <v>175</v>
      </c>
      <c r="I4" s="7" t="s">
        <v>176</v>
      </c>
      <c r="J4" s="6" t="s">
        <v>177</v>
      </c>
      <c r="K4" s="6"/>
      <c r="L4" s="7" t="s">
        <v>178</v>
      </c>
      <c r="M4" s="6" t="s">
        <v>179</v>
      </c>
      <c r="O4" s="7" t="s">
        <v>180</v>
      </c>
      <c r="P4" s="6" t="s">
        <v>181</v>
      </c>
      <c r="Q4" s="7" t="s">
        <v>182</v>
      </c>
      <c r="R4" s="7"/>
      <c r="S4" s="6" t="s">
        <v>183</v>
      </c>
      <c r="T4" s="7" t="s">
        <v>184</v>
      </c>
      <c r="V4" s="6" t="s">
        <v>185</v>
      </c>
    </row>
    <row r="5" spans="1:24" collapsed="1" x14ac:dyDescent="0.15">
      <c r="A5" s="8" t="s">
        <v>186</v>
      </c>
      <c r="B5" s="8" t="s">
        <v>32</v>
      </c>
      <c r="C5" s="8">
        <v>11997440</v>
      </c>
      <c r="D5" s="9">
        <v>10</v>
      </c>
      <c r="E5" s="10">
        <v>32</v>
      </c>
      <c r="F5" s="10">
        <v>30</v>
      </c>
      <c r="H5" s="63">
        <f>IF(OR(ISBLANK(J5),ISBLANK(F5)),"·",J5*F5/E5/1000000)</f>
        <v>853.47619499999996</v>
      </c>
      <c r="I5" s="11">
        <f>IF(ISBLANK(J5),"·",J5/C5)</f>
        <v>75.880738557558942</v>
      </c>
      <c r="J5" s="12">
        <v>910374608</v>
      </c>
      <c r="K5" s="12">
        <v>14416432</v>
      </c>
      <c r="L5" s="64">
        <v>1846.121099</v>
      </c>
      <c r="M5" s="64">
        <v>44.792301999999999</v>
      </c>
      <c r="O5" s="63" t="str">
        <f>IF(OR(ISBLANK(Q5),ISBLANK(F5)),"·",Q5*F5/E5/1000000)</f>
        <v>·</v>
      </c>
      <c r="P5" s="11" t="str">
        <f>IF(ISBLANK(Q5),"·",Q5/C5)</f>
        <v>·</v>
      </c>
      <c r="Q5" s="12"/>
      <c r="R5" s="12"/>
      <c r="S5" s="64"/>
      <c r="T5" s="64"/>
      <c r="V5" s="65" t="e">
        <f t="shared" ref="V5:V16" si="0">P5/I5</f>
        <v>#VALUE!</v>
      </c>
      <c r="X5" s="65" t="str">
        <f>IF(OR(ISBLANK(R5),ISBLANK(K5)),".",R5/K5-1)</f>
        <v>.</v>
      </c>
    </row>
    <row r="6" spans="1:24" ht="15.75" customHeight="1" collapsed="1" thickBot="1" x14ac:dyDescent="0.2">
      <c r="A6" s="13"/>
      <c r="B6" s="13" t="s">
        <v>47</v>
      </c>
      <c r="C6" s="13">
        <v>9000000</v>
      </c>
      <c r="D6" s="14">
        <v>10</v>
      </c>
      <c r="E6" s="15">
        <v>32</v>
      </c>
      <c r="F6" s="15">
        <v>30</v>
      </c>
      <c r="H6" s="66">
        <f>IF(OR(ISBLANK(J6),ISBLANK(F6)),"·",J6*F6/E6/1000000)</f>
        <v>631.77514499999995</v>
      </c>
      <c r="I6" s="16">
        <f>IF(ISBLANK(J6),"·",J6/C6)</f>
        <v>74.877054222222228</v>
      </c>
      <c r="J6" s="17">
        <v>673893488</v>
      </c>
      <c r="K6" s="17">
        <v>15524832</v>
      </c>
      <c r="L6" s="67">
        <v>1627.2745170000001</v>
      </c>
      <c r="M6" s="67">
        <v>32.442059999999998</v>
      </c>
      <c r="O6" s="66" t="str">
        <f>IF(OR(ISBLANK(Q6),ISBLANK(F6)),"·",Q6*F6/E6/1000000)</f>
        <v>·</v>
      </c>
      <c r="P6" s="16" t="str">
        <f>IF(ISBLANK(Q6),"·",Q6/C6)</f>
        <v>·</v>
      </c>
      <c r="Q6" s="17"/>
      <c r="R6" s="17"/>
      <c r="S6" s="67"/>
      <c r="T6" s="67"/>
      <c r="V6" s="68" t="e">
        <f t="shared" si="0"/>
        <v>#VALUE!</v>
      </c>
      <c r="X6" s="68" t="str">
        <f>IF(OR(ISBLANK(R6),ISBLANK(K6)),".",R6/K6-1)</f>
        <v>.</v>
      </c>
    </row>
    <row r="7" spans="1:24" collapsed="1" x14ac:dyDescent="0.15">
      <c r="A7" s="8" t="s">
        <v>187</v>
      </c>
      <c r="B7" s="8" t="s">
        <v>52</v>
      </c>
      <c r="C7" s="8">
        <v>11842002</v>
      </c>
      <c r="D7" s="9">
        <v>12</v>
      </c>
      <c r="E7" s="10">
        <v>32</v>
      </c>
      <c r="F7" s="10">
        <v>30</v>
      </c>
      <c r="H7" s="63">
        <f>IF(OR(ISBLANK(J7),ISBLANK(F7)),"·",J7*F7/E7/1000000)</f>
        <v>597.98155499999996</v>
      </c>
      <c r="I7" s="11">
        <f>IF(ISBLANK(J7),"·",J7/C7)</f>
        <v>53.863104566271815</v>
      </c>
      <c r="J7" s="12">
        <v>637846992</v>
      </c>
      <c r="K7" s="12">
        <v>16824568</v>
      </c>
      <c r="L7" s="64">
        <v>1442.717922</v>
      </c>
      <c r="M7" s="64">
        <v>31.334192999999999</v>
      </c>
      <c r="O7" s="63" t="str">
        <f>IF(OR(ISBLANK(Q7),ISBLANK(F7)),"·",Q7*F7/E7/1000000)</f>
        <v>·</v>
      </c>
      <c r="P7" s="11" t="str">
        <f>IF(ISBLANK(Q7),"·",Q7/C7)</f>
        <v>·</v>
      </c>
      <c r="Q7" s="12"/>
      <c r="R7" s="12"/>
      <c r="S7" s="64"/>
      <c r="T7" s="64"/>
      <c r="V7" s="65" t="e">
        <f t="shared" si="0"/>
        <v>#VALUE!</v>
      </c>
      <c r="X7" s="65" t="str">
        <f>IF(OR(ISBLANK(R7),ISBLANK(K7)),".",R7/K7-1)</f>
        <v>.</v>
      </c>
    </row>
    <row r="8" spans="1:24" ht="15.75" customHeight="1" collapsed="1" thickBot="1" x14ac:dyDescent="0.2">
      <c r="A8" s="13"/>
      <c r="B8" s="13" t="s">
        <v>57</v>
      </c>
      <c r="C8" s="13">
        <v>11812090</v>
      </c>
      <c r="D8" s="14">
        <v>12</v>
      </c>
      <c r="E8" s="15">
        <v>32</v>
      </c>
      <c r="F8" s="15">
        <v>50</v>
      </c>
      <c r="H8" s="66">
        <f>IF(OR(ISBLANK(J8),ISBLANK(F8)),"·",J8*F8/E8/1000000)</f>
        <v>973.61683749999997</v>
      </c>
      <c r="I8" s="16">
        <f>IF(ISBLANK(J8),"·",J8/C8)</f>
        <v>52.752288206405474</v>
      </c>
      <c r="J8" s="17">
        <v>623114776</v>
      </c>
      <c r="K8" s="17">
        <v>16585880</v>
      </c>
      <c r="L8" s="67">
        <v>1416.7580539999999</v>
      </c>
      <c r="M8" s="67">
        <v>30.070594</v>
      </c>
      <c r="O8" s="66" t="str">
        <f>IF(OR(ISBLANK(Q8),ISBLANK(F8)),"·",Q8*F8/E8/1000000)</f>
        <v>·</v>
      </c>
      <c r="P8" s="16" t="str">
        <f>IF(ISBLANK(Q8),"·",Q8/C8)</f>
        <v>·</v>
      </c>
      <c r="Q8" s="17"/>
      <c r="R8" s="17"/>
      <c r="S8" s="67"/>
      <c r="T8" s="67"/>
      <c r="V8" s="68" t="e">
        <f t="shared" si="0"/>
        <v>#VALUE!</v>
      </c>
      <c r="X8" s="68" t="str">
        <f>IF(OR(ISBLANK(R8),ISBLANK(K8)),".",R8/K8-1)</f>
        <v>.</v>
      </c>
    </row>
    <row r="9" spans="1:24" collapsed="1" x14ac:dyDescent="0.15">
      <c r="A9" s="8" t="s">
        <v>188</v>
      </c>
      <c r="B9" s="8" t="s">
        <v>62</v>
      </c>
      <c r="C9" s="8">
        <v>12000000</v>
      </c>
      <c r="D9" s="9">
        <v>12</v>
      </c>
      <c r="E9" s="10">
        <v>32</v>
      </c>
      <c r="F9" s="10">
        <v>30</v>
      </c>
      <c r="H9" s="63">
        <f>IF(OR(ISBLANK(J9),ISBLANK(F9)),"·",J9*F9/E9/1000000)</f>
        <v>2871.0005249999999</v>
      </c>
      <c r="I9" s="11">
        <f>IF(ISBLANK(J9),"·",J9/C9)</f>
        <v>255.20004666666668</v>
      </c>
      <c r="J9" s="12">
        <v>3062400560</v>
      </c>
      <c r="K9" s="12">
        <v>20696392</v>
      </c>
      <c r="L9" s="64">
        <v>6384.6935110000004</v>
      </c>
      <c r="M9" s="64">
        <v>121.234047</v>
      </c>
      <c r="O9" s="63" t="str">
        <f>IF(OR(ISBLANK(Q9),ISBLANK(F9)),"·",Q9*F9/E9/1000000)</f>
        <v>·</v>
      </c>
      <c r="P9" s="11" t="str">
        <f>IF(ISBLANK(Q9),"·",Q9/C9)</f>
        <v>·</v>
      </c>
      <c r="Q9" s="12"/>
      <c r="R9" s="12"/>
      <c r="S9" s="64"/>
      <c r="T9" s="64"/>
      <c r="V9" s="65" t="e">
        <f t="shared" si="0"/>
        <v>#VALUE!</v>
      </c>
      <c r="X9" s="65" t="str">
        <f>IF(OR(ISBLANK(R9),ISBLANK(K9)),".",R9/K9-1)</f>
        <v>.</v>
      </c>
    </row>
    <row r="10" spans="1:24" collapsed="1" x14ac:dyDescent="0.15">
      <c r="A10" s="18"/>
      <c r="B10" s="18" t="s">
        <v>67</v>
      </c>
      <c r="C10" s="18">
        <v>5997654</v>
      </c>
      <c r="D10" s="19">
        <v>12</v>
      </c>
      <c r="E10" s="20">
        <v>32</v>
      </c>
      <c r="F10" s="20">
        <v>30</v>
      </c>
      <c r="H10" s="69">
        <f>IF(OR(ISBLANK(J10),ISBLANK(F10)),"·",J10*F10/E10/1000000)</f>
        <v>2438.6824350000002</v>
      </c>
      <c r="I10" s="21">
        <f>IF(ISBLANK(J10),"·",J10/C10)</f>
        <v>433.71312583220038</v>
      </c>
      <c r="J10" s="22">
        <v>2601261264</v>
      </c>
      <c r="K10" s="22">
        <v>49304312</v>
      </c>
      <c r="L10" s="70">
        <v>7302.0172400000001</v>
      </c>
      <c r="M10" s="70">
        <v>131.18082899999999</v>
      </c>
      <c r="O10" s="69" t="str">
        <f>IF(OR(ISBLANK(Q10),ISBLANK(F10)),"·",Q10*F10/E10/1000000)</f>
        <v>·</v>
      </c>
      <c r="P10" s="21" t="str">
        <f>IF(ISBLANK(Q10),"·",Q10/C10)</f>
        <v>·</v>
      </c>
      <c r="Q10" s="22"/>
      <c r="R10" s="22"/>
      <c r="S10" s="70"/>
      <c r="T10" s="70"/>
      <c r="V10" s="71" t="e">
        <f t="shared" si="0"/>
        <v>#VALUE!</v>
      </c>
      <c r="X10" s="71" t="str">
        <f>IF(OR(ISBLANK(R10),ISBLANK(K10)),".",R10/K10-1)</f>
        <v>.</v>
      </c>
    </row>
    <row r="11" spans="1:24" collapsed="1" x14ac:dyDescent="0.15">
      <c r="A11" s="8"/>
      <c r="B11" s="8" t="s">
        <v>72</v>
      </c>
      <c r="C11" s="8">
        <v>9000000</v>
      </c>
      <c r="D11" s="9">
        <v>12</v>
      </c>
      <c r="E11" s="10">
        <v>32</v>
      </c>
      <c r="F11" s="10">
        <v>30</v>
      </c>
      <c r="H11" s="63">
        <f>IF(OR(ISBLANK(J11),ISBLANK(F11)),"·",J11*F11/E11/1000000)</f>
        <v>3550.7842799999999</v>
      </c>
      <c r="I11" s="11">
        <f>IF(ISBLANK(J11),"·",J11/C11)</f>
        <v>420.83369244444447</v>
      </c>
      <c r="J11" s="12">
        <v>3787503232</v>
      </c>
      <c r="K11" s="12">
        <v>15418528</v>
      </c>
      <c r="L11" s="64">
        <v>5981.8217679999998</v>
      </c>
      <c r="M11" s="64">
        <v>140.332334</v>
      </c>
      <c r="O11" s="63" t="str">
        <f>IF(OR(ISBLANK(Q11),ISBLANK(F11)),"·",Q11*F11/E11/1000000)</f>
        <v>·</v>
      </c>
      <c r="P11" s="11" t="str">
        <f>IF(ISBLANK(Q11),"·",Q11/C11)</f>
        <v>·</v>
      </c>
      <c r="Q11" s="12"/>
      <c r="R11" s="12"/>
      <c r="S11" s="64"/>
      <c r="T11" s="64"/>
      <c r="V11" s="65" t="e">
        <f t="shared" si="0"/>
        <v>#VALUE!</v>
      </c>
      <c r="X11" s="65" t="str">
        <f>IF(OR(ISBLANK(R11),ISBLANK(K11)),".",R11/K11-1)</f>
        <v>.</v>
      </c>
    </row>
    <row r="12" spans="1:24" ht="15.75" customHeight="1" collapsed="1" thickBot="1" x14ac:dyDescent="0.2">
      <c r="A12" s="13"/>
      <c r="B12" s="13" t="s">
        <v>77</v>
      </c>
      <c r="C12" s="13">
        <v>9000000</v>
      </c>
      <c r="D12" s="14">
        <v>12</v>
      </c>
      <c r="E12" s="15">
        <v>32</v>
      </c>
      <c r="F12" s="15">
        <v>30</v>
      </c>
      <c r="H12" s="66">
        <f>IF(OR(ISBLANK(J12),ISBLANK(F12)),"·",J12*F12/E12/1000000)</f>
        <v>2570.1757124999999</v>
      </c>
      <c r="I12" s="16">
        <f>IF(ISBLANK(J12),"·",J12/C12)</f>
        <v>304.61341777777778</v>
      </c>
      <c r="J12" s="17">
        <v>2741520760</v>
      </c>
      <c r="K12" s="17">
        <v>14760368</v>
      </c>
      <c r="L12" s="67">
        <v>5512.9061419999998</v>
      </c>
      <c r="M12" s="67">
        <v>98.079944999999995</v>
      </c>
      <c r="O12" s="66" t="str">
        <f>IF(OR(ISBLANK(Q12),ISBLANK(F12)),"·",Q12*F12/E12/1000000)</f>
        <v>·</v>
      </c>
      <c r="P12" s="16" t="str">
        <f>IF(ISBLANK(Q12),"·",Q12/C12)</f>
        <v>·</v>
      </c>
      <c r="Q12" s="17"/>
      <c r="R12" s="17"/>
      <c r="S12" s="67"/>
      <c r="T12" s="67"/>
      <c r="V12" s="68" t="e">
        <f t="shared" si="0"/>
        <v>#VALUE!</v>
      </c>
      <c r="X12" s="68" t="str">
        <f>IF(OR(ISBLANK(R12),ISBLANK(K12)),".",R12/K12-1)</f>
        <v>.</v>
      </c>
    </row>
    <row r="13" spans="1:24" x14ac:dyDescent="0.15">
      <c r="B13" s="23" t="s">
        <v>7</v>
      </c>
      <c r="I13" s="24">
        <f>AVERAGE(I5:I6)</f>
        <v>75.378896389890585</v>
      </c>
      <c r="P13" s="24" t="e">
        <f>AVERAGE(P5:P6)</f>
        <v>#DIV/0!</v>
      </c>
      <c r="V13" s="61" t="e">
        <f t="shared" si="0"/>
        <v>#DIV/0!</v>
      </c>
      <c r="X13" s="24" t="e">
        <f>AVERAGE(X5:X6)</f>
        <v>#DIV/0!</v>
      </c>
    </row>
    <row r="14" spans="1:24" x14ac:dyDescent="0.15">
      <c r="B14" s="23" t="s">
        <v>8</v>
      </c>
      <c r="I14" s="24">
        <f>AVERAGE(I7:I8)</f>
        <v>53.307696386338648</v>
      </c>
      <c r="P14" s="24" t="e">
        <f>AVERAGE(P7:P8)</f>
        <v>#DIV/0!</v>
      </c>
      <c r="V14" s="61" t="e">
        <f t="shared" si="0"/>
        <v>#DIV/0!</v>
      </c>
      <c r="X14" s="24" t="e">
        <f>AVERAGE(X7:X8)</f>
        <v>#DIV/0!</v>
      </c>
    </row>
    <row r="15" spans="1:24" x14ac:dyDescent="0.15">
      <c r="B15" s="23" t="s">
        <v>9</v>
      </c>
      <c r="I15" s="24">
        <f>AVERAGE(I9:I12)</f>
        <v>353.59007068027233</v>
      </c>
      <c r="P15" s="24" t="e">
        <f>AVERAGE(P9:P12)</f>
        <v>#DIV/0!</v>
      </c>
      <c r="V15" s="61" t="e">
        <f t="shared" si="0"/>
        <v>#DIV/0!</v>
      </c>
      <c r="X15" s="24" t="e">
        <f>AVERAGE(X9:X12)</f>
        <v>#DIV/0!</v>
      </c>
    </row>
    <row r="16" spans="1:24" x14ac:dyDescent="0.15">
      <c r="B16" s="23" t="s">
        <v>10</v>
      </c>
      <c r="I16" s="24">
        <f>AVERAGE(I5:I12)</f>
        <v>208.96668353419346</v>
      </c>
      <c r="P16" s="24" t="e">
        <f>AVERAGE(P5:P12)</f>
        <v>#DIV/0!</v>
      </c>
      <c r="V16" s="61" t="e">
        <f t="shared" si="0"/>
        <v>#DIV/0!</v>
      </c>
      <c r="X16" s="24" t="e">
        <f>AVERAGE(X5:X12)</f>
        <v>#DIV/0!</v>
      </c>
    </row>
    <row r="17" spans="1:20" x14ac:dyDescent="0.15">
      <c r="A17" s="23" t="s">
        <v>189</v>
      </c>
      <c r="B17" s="23" t="s">
        <v>190</v>
      </c>
      <c r="L17" s="72">
        <f>SUM(L5:L6,L7:L8,L9:L12)</f>
        <v>31514.310253000003</v>
      </c>
      <c r="M17" s="72">
        <f>SUM(M5:M6,M7:M8,M9:M12)</f>
        <v>629.46630400000004</v>
      </c>
      <c r="S17" s="72">
        <f>SUM(S5:S6,S7:S8,S9:S12)</f>
        <v>0</v>
      </c>
      <c r="T17" s="72">
        <f>SUM(T5:T6,T7:T8,T9:T12)</f>
        <v>0</v>
      </c>
    </row>
    <row r="18" spans="1:20" x14ac:dyDescent="0.15">
      <c r="B18" s="23" t="s">
        <v>191</v>
      </c>
      <c r="S18" s="56">
        <f>S17/L17</f>
        <v>0</v>
      </c>
      <c r="T18" s="56">
        <f>T17/M17</f>
        <v>0</v>
      </c>
    </row>
    <row r="20" spans="1:20" x14ac:dyDescent="0.15">
      <c r="Q20" s="48">
        <f>Q5-J5</f>
        <v>-910374608</v>
      </c>
      <c r="R20" s="48">
        <f>R5-K5</f>
        <v>-14416432</v>
      </c>
    </row>
    <row r="21" spans="1:20" x14ac:dyDescent="0.15">
      <c r="Q21" s="48">
        <f>Q6-J6</f>
        <v>-673893488</v>
      </c>
      <c r="R21" s="48">
        <f>R6-K6</f>
        <v>-15524832</v>
      </c>
    </row>
    <row r="22" spans="1:20" x14ac:dyDescent="0.15">
      <c r="Q22" s="48">
        <f>Q7-J7</f>
        <v>-637846992</v>
      </c>
      <c r="R22" s="48">
        <f>R7-K7</f>
        <v>-16824568</v>
      </c>
    </row>
    <row r="23" spans="1:20" x14ac:dyDescent="0.15">
      <c r="Q23" s="48">
        <f>Q8-J8</f>
        <v>-623114776</v>
      </c>
      <c r="R23" s="48">
        <f>R8-K8</f>
        <v>-16585880</v>
      </c>
    </row>
    <row r="24" spans="1:20" x14ac:dyDescent="0.15">
      <c r="Q24" s="48">
        <f>Q9-J9</f>
        <v>-3062400560</v>
      </c>
      <c r="R24" s="48">
        <f>R9-K9</f>
        <v>-20696392</v>
      </c>
    </row>
    <row r="25" spans="1:20" x14ac:dyDescent="0.15">
      <c r="Q25" s="48">
        <f>Q10-J10</f>
        <v>-2601261264</v>
      </c>
      <c r="R25" s="48">
        <f>R10-K10</f>
        <v>-49304312</v>
      </c>
    </row>
    <row r="26" spans="1:20" x14ac:dyDescent="0.15">
      <c r="Q26" s="48">
        <f>Q11-J11</f>
        <v>-3787503232</v>
      </c>
      <c r="R26" s="48">
        <f>R11-K11</f>
        <v>-15418528</v>
      </c>
    </row>
    <row r="27" spans="1:20" x14ac:dyDescent="0.15">
      <c r="Q27" s="48">
        <f>Q12-J12</f>
        <v>-2741520760</v>
      </c>
      <c r="R27" s="48">
        <f>R12-K12</f>
        <v>-14760368</v>
      </c>
    </row>
    <row r="28" spans="1:20" x14ac:dyDescent="0.15">
      <c r="Q28" s="48"/>
      <c r="R28" s="48"/>
    </row>
  </sheetData>
  <mergeCells count="21">
    <mergeCell ref="X2:X3"/>
    <mergeCell ref="B2:B3"/>
    <mergeCell ref="M2:M3"/>
    <mergeCell ref="E2:E3"/>
    <mergeCell ref="H2:H3"/>
    <mergeCell ref="D2:D3"/>
    <mergeCell ref="V2:V3"/>
    <mergeCell ref="O1:T1"/>
    <mergeCell ref="I2:I3"/>
    <mergeCell ref="P2:P3"/>
    <mergeCell ref="O2:O3"/>
    <mergeCell ref="L2:L3"/>
    <mergeCell ref="Q2:Q3"/>
    <mergeCell ref="S2:S3"/>
    <mergeCell ref="T2:T3"/>
    <mergeCell ref="J2:J3"/>
    <mergeCell ref="A2:A3"/>
    <mergeCell ref="F2:F3"/>
    <mergeCell ref="A1:F1"/>
    <mergeCell ref="C2:C3"/>
    <mergeCell ref="H1:M1"/>
  </mergeCells>
  <phoneticPr fontId="2" type="noConversion"/>
  <conditionalFormatting sqref="V5:V16">
    <cfRule type="cellIs" dxfId="153" priority="5" operator="greaterThanOrEqual">
      <formula>1.03</formula>
    </cfRule>
    <cfRule type="cellIs" dxfId="152" priority="6" operator="lessThanOrEqual">
      <formula>0.97</formula>
    </cfRule>
  </conditionalFormatting>
  <conditionalFormatting sqref="X5:X12">
    <cfRule type="cellIs" dxfId="151" priority="3" operator="greaterThanOrEqual">
      <formula>0.1%</formula>
    </cfRule>
    <cfRule type="cellIs" dxfId="150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55"/>
  <sheetViews>
    <sheetView topLeftCell="A115" workbookViewId="0">
      <selection activeCell="B147" sqref="B147"/>
    </sheetView>
  </sheetViews>
  <sheetFormatPr defaultColWidth="9.125" defaultRowHeight="13.5" x14ac:dyDescent="0.15"/>
  <cols>
    <col min="1" max="1" width="41.75" style="52" bestFit="1" customWidth="1"/>
  </cols>
  <sheetData>
    <row r="1" spans="1:2" x14ac:dyDescent="0.15">
      <c r="A1" t="s">
        <v>192</v>
      </c>
      <c r="B1">
        <v>1</v>
      </c>
    </row>
    <row r="2" spans="1:2" x14ac:dyDescent="0.15">
      <c r="A2" t="s">
        <v>193</v>
      </c>
      <c r="B2">
        <v>2</v>
      </c>
    </row>
    <row r="3" spans="1:2" x14ac:dyDescent="0.15">
      <c r="A3" t="s">
        <v>194</v>
      </c>
      <c r="B3">
        <v>3</v>
      </c>
    </row>
    <row r="4" spans="1:2" x14ac:dyDescent="0.15">
      <c r="A4" t="s">
        <v>195</v>
      </c>
      <c r="B4">
        <v>4</v>
      </c>
    </row>
    <row r="5" spans="1:2" x14ac:dyDescent="0.15">
      <c r="A5" t="s">
        <v>196</v>
      </c>
      <c r="B5">
        <v>5</v>
      </c>
    </row>
    <row r="6" spans="1:2" x14ac:dyDescent="0.15">
      <c r="A6" t="s">
        <v>197</v>
      </c>
      <c r="B6">
        <v>6</v>
      </c>
    </row>
    <row r="7" spans="1:2" x14ac:dyDescent="0.15">
      <c r="A7" t="s">
        <v>198</v>
      </c>
      <c r="B7">
        <v>8</v>
      </c>
    </row>
    <row r="8" spans="1:2" x14ac:dyDescent="0.15">
      <c r="A8" t="s">
        <v>199</v>
      </c>
      <c r="B8">
        <v>9</v>
      </c>
    </row>
    <row r="9" spans="1:2" x14ac:dyDescent="0.15">
      <c r="A9" t="s">
        <v>200</v>
      </c>
      <c r="B9">
        <v>10</v>
      </c>
    </row>
    <row r="10" spans="1:2" x14ac:dyDescent="0.15">
      <c r="A10" t="s">
        <v>201</v>
      </c>
      <c r="B10">
        <v>11</v>
      </c>
    </row>
    <row r="11" spans="1:2" x14ac:dyDescent="0.15">
      <c r="A11" t="s">
        <v>202</v>
      </c>
      <c r="B11">
        <v>12</v>
      </c>
    </row>
    <row r="12" spans="1:2" x14ac:dyDescent="0.15">
      <c r="A12" t="s">
        <v>203</v>
      </c>
      <c r="B12">
        <v>14</v>
      </c>
    </row>
    <row r="13" spans="1:2" x14ac:dyDescent="0.15">
      <c r="A13" t="s">
        <v>204</v>
      </c>
      <c r="B13">
        <v>15</v>
      </c>
    </row>
    <row r="14" spans="1:2" x14ac:dyDescent="0.15">
      <c r="A14" t="s">
        <v>205</v>
      </c>
      <c r="B14">
        <v>16</v>
      </c>
    </row>
    <row r="15" spans="1:2" x14ac:dyDescent="0.15">
      <c r="A15" t="s">
        <v>206</v>
      </c>
      <c r="B15">
        <v>17</v>
      </c>
    </row>
    <row r="16" spans="1:2" x14ac:dyDescent="0.15">
      <c r="A16" t="s">
        <v>207</v>
      </c>
      <c r="B16">
        <v>18</v>
      </c>
    </row>
    <row r="17" spans="1:2" x14ac:dyDescent="0.15">
      <c r="A17" t="s">
        <v>208</v>
      </c>
      <c r="B17">
        <v>20</v>
      </c>
    </row>
    <row r="18" spans="1:2" x14ac:dyDescent="0.15">
      <c r="A18" t="s">
        <v>209</v>
      </c>
      <c r="B18" t="s">
        <v>210</v>
      </c>
    </row>
    <row r="19" spans="1:2" x14ac:dyDescent="0.15">
      <c r="A19" t="s">
        <v>211</v>
      </c>
      <c r="B19" t="s">
        <v>212</v>
      </c>
    </row>
    <row r="20" spans="1:2" x14ac:dyDescent="0.15">
      <c r="A20" t="s">
        <v>213</v>
      </c>
      <c r="B20" t="s">
        <v>214</v>
      </c>
    </row>
    <row r="21" spans="1:2" x14ac:dyDescent="0.15">
      <c r="A21" t="s">
        <v>215</v>
      </c>
      <c r="B21" t="s">
        <v>216</v>
      </c>
    </row>
    <row r="22" spans="1:2" x14ac:dyDescent="0.15">
      <c r="A22" t="s">
        <v>217</v>
      </c>
      <c r="B22" t="s">
        <v>218</v>
      </c>
    </row>
    <row r="23" spans="1:2" x14ac:dyDescent="0.15">
      <c r="A23" t="s">
        <v>219</v>
      </c>
      <c r="B23" t="s">
        <v>220</v>
      </c>
    </row>
    <row r="24" spans="1:2" x14ac:dyDescent="0.15">
      <c r="A24" t="s">
        <v>221</v>
      </c>
      <c r="B24" t="s">
        <v>222</v>
      </c>
    </row>
    <row r="25" spans="1:2" x14ac:dyDescent="0.15">
      <c r="A25" t="s">
        <v>223</v>
      </c>
      <c r="B25" t="s">
        <v>224</v>
      </c>
    </row>
    <row r="26" spans="1:2" x14ac:dyDescent="0.15">
      <c r="A26" t="s">
        <v>225</v>
      </c>
      <c r="B26" t="s">
        <v>226</v>
      </c>
    </row>
    <row r="27" spans="1:2" x14ac:dyDescent="0.15">
      <c r="A27" t="s">
        <v>227</v>
      </c>
      <c r="B27" t="s">
        <v>228</v>
      </c>
    </row>
    <row r="28" spans="1:2" x14ac:dyDescent="0.15">
      <c r="A28" t="s">
        <v>229</v>
      </c>
      <c r="B28">
        <v>1</v>
      </c>
    </row>
    <row r="29" spans="1:2" x14ac:dyDescent="0.15">
      <c r="A29" t="s">
        <v>230</v>
      </c>
      <c r="B29">
        <v>2</v>
      </c>
    </row>
    <row r="30" spans="1:2" x14ac:dyDescent="0.15">
      <c r="A30" t="s">
        <v>231</v>
      </c>
      <c r="B30">
        <v>3</v>
      </c>
    </row>
    <row r="31" spans="1:2" x14ac:dyDescent="0.15">
      <c r="A31" t="s">
        <v>232</v>
      </c>
      <c r="B31">
        <v>4</v>
      </c>
    </row>
    <row r="32" spans="1:2" x14ac:dyDescent="0.15">
      <c r="A32" t="s">
        <v>233</v>
      </c>
      <c r="B32">
        <v>5</v>
      </c>
    </row>
    <row r="33" spans="1:2" x14ac:dyDescent="0.15">
      <c r="A33" t="s">
        <v>234</v>
      </c>
      <c r="B33">
        <v>6</v>
      </c>
    </row>
    <row r="34" spans="1:2" x14ac:dyDescent="0.15">
      <c r="A34" t="s">
        <v>235</v>
      </c>
      <c r="B34">
        <v>7</v>
      </c>
    </row>
    <row r="35" spans="1:2" x14ac:dyDescent="0.15">
      <c r="A35" t="s">
        <v>236</v>
      </c>
      <c r="B35">
        <v>8</v>
      </c>
    </row>
    <row r="36" spans="1:2" x14ac:dyDescent="0.15">
      <c r="A36" t="s">
        <v>237</v>
      </c>
      <c r="B36">
        <v>10</v>
      </c>
    </row>
    <row r="37" spans="1:2" x14ac:dyDescent="0.15">
      <c r="A37" t="s">
        <v>238</v>
      </c>
      <c r="B37">
        <v>11</v>
      </c>
    </row>
    <row r="38" spans="1:2" x14ac:dyDescent="0.15">
      <c r="A38" t="s">
        <v>239</v>
      </c>
      <c r="B38">
        <v>13</v>
      </c>
    </row>
    <row r="39" spans="1:2" x14ac:dyDescent="0.15">
      <c r="A39" t="s">
        <v>240</v>
      </c>
      <c r="B39">
        <v>14</v>
      </c>
    </row>
    <row r="40" spans="1:2" x14ac:dyDescent="0.15">
      <c r="A40" t="s">
        <v>241</v>
      </c>
      <c r="B40">
        <v>15</v>
      </c>
    </row>
    <row r="41" spans="1:2" x14ac:dyDescent="0.15">
      <c r="A41" t="s">
        <v>242</v>
      </c>
      <c r="B41">
        <v>16</v>
      </c>
    </row>
    <row r="42" spans="1:2" x14ac:dyDescent="0.15">
      <c r="A42" t="s">
        <v>243</v>
      </c>
      <c r="B42">
        <v>17</v>
      </c>
    </row>
    <row r="43" spans="1:2" x14ac:dyDescent="0.15">
      <c r="A43" t="s">
        <v>244</v>
      </c>
      <c r="B43">
        <v>18</v>
      </c>
    </row>
    <row r="44" spans="1:2" x14ac:dyDescent="0.15">
      <c r="A44" t="s">
        <v>245</v>
      </c>
      <c r="B44">
        <v>19</v>
      </c>
    </row>
    <row r="45" spans="1:2" x14ac:dyDescent="0.15">
      <c r="A45" t="s">
        <v>246</v>
      </c>
      <c r="B45">
        <v>20</v>
      </c>
    </row>
    <row r="46" spans="1:2" x14ac:dyDescent="0.15">
      <c r="A46" t="s">
        <v>247</v>
      </c>
      <c r="B46">
        <v>21</v>
      </c>
    </row>
    <row r="47" spans="1:2" x14ac:dyDescent="0.15">
      <c r="A47" t="s">
        <v>248</v>
      </c>
      <c r="B47">
        <v>22</v>
      </c>
    </row>
    <row r="48" spans="1:2" x14ac:dyDescent="0.15">
      <c r="A48" t="s">
        <v>249</v>
      </c>
      <c r="B48">
        <v>23</v>
      </c>
    </row>
    <row r="49" spans="1:2" x14ac:dyDescent="0.15">
      <c r="A49" t="s">
        <v>250</v>
      </c>
      <c r="B49">
        <v>24</v>
      </c>
    </row>
    <row r="50" spans="1:2" x14ac:dyDescent="0.15">
      <c r="A50" t="s">
        <v>251</v>
      </c>
      <c r="B50">
        <v>25</v>
      </c>
    </row>
    <row r="51" spans="1:2" x14ac:dyDescent="0.15">
      <c r="A51" t="s">
        <v>252</v>
      </c>
      <c r="B51">
        <v>26</v>
      </c>
    </row>
    <row r="52" spans="1:2" x14ac:dyDescent="0.15">
      <c r="A52" t="s">
        <v>253</v>
      </c>
      <c r="B52">
        <v>27</v>
      </c>
    </row>
    <row r="53" spans="1:2" x14ac:dyDescent="0.15">
      <c r="A53" t="s">
        <v>254</v>
      </c>
      <c r="B53">
        <v>28</v>
      </c>
    </row>
    <row r="54" spans="1:2" x14ac:dyDescent="0.15">
      <c r="A54" t="s">
        <v>255</v>
      </c>
      <c r="B54">
        <v>29</v>
      </c>
    </row>
    <row r="55" spans="1:2" x14ac:dyDescent="0.15">
      <c r="A55" t="s">
        <v>256</v>
      </c>
      <c r="B55">
        <v>31</v>
      </c>
    </row>
    <row r="56" spans="1:2" x14ac:dyDescent="0.15">
      <c r="A56" t="s">
        <v>257</v>
      </c>
      <c r="B56">
        <v>32</v>
      </c>
    </row>
    <row r="57" spans="1:2" x14ac:dyDescent="0.15">
      <c r="A57" t="s">
        <v>258</v>
      </c>
      <c r="B57">
        <v>34</v>
      </c>
    </row>
    <row r="58" spans="1:2" x14ac:dyDescent="0.15">
      <c r="A58" t="s">
        <v>259</v>
      </c>
      <c r="B58">
        <v>35</v>
      </c>
    </row>
    <row r="59" spans="1:2" x14ac:dyDescent="0.15">
      <c r="A59" t="s">
        <v>260</v>
      </c>
      <c r="B59">
        <v>36</v>
      </c>
    </row>
    <row r="60" spans="1:2" x14ac:dyDescent="0.15">
      <c r="A60" t="s">
        <v>261</v>
      </c>
      <c r="B60">
        <v>37</v>
      </c>
    </row>
    <row r="61" spans="1:2" x14ac:dyDescent="0.15">
      <c r="A61" t="s">
        <v>262</v>
      </c>
      <c r="B61">
        <v>38</v>
      </c>
    </row>
    <row r="62" spans="1:2" x14ac:dyDescent="0.15">
      <c r="A62" t="s">
        <v>263</v>
      </c>
      <c r="B62">
        <v>39</v>
      </c>
    </row>
    <row r="63" spans="1:2" x14ac:dyDescent="0.15">
      <c r="A63" t="s">
        <v>264</v>
      </c>
      <c r="B63">
        <v>40</v>
      </c>
    </row>
    <row r="64" spans="1:2" x14ac:dyDescent="0.15">
      <c r="A64" t="s">
        <v>265</v>
      </c>
      <c r="B64">
        <v>41</v>
      </c>
    </row>
    <row r="65" spans="1:2" x14ac:dyDescent="0.15">
      <c r="A65" t="s">
        <v>266</v>
      </c>
      <c r="B65">
        <v>42</v>
      </c>
    </row>
    <row r="66" spans="1:2" x14ac:dyDescent="0.15">
      <c r="A66" t="s">
        <v>267</v>
      </c>
      <c r="B66">
        <v>43</v>
      </c>
    </row>
    <row r="67" spans="1:2" x14ac:dyDescent="0.15">
      <c r="A67" t="s">
        <v>268</v>
      </c>
      <c r="B67">
        <v>44</v>
      </c>
    </row>
    <row r="68" spans="1:2" x14ac:dyDescent="0.15">
      <c r="A68" t="s">
        <v>269</v>
      </c>
      <c r="B68">
        <v>45</v>
      </c>
    </row>
    <row r="69" spans="1:2" x14ac:dyDescent="0.15">
      <c r="A69" t="s">
        <v>270</v>
      </c>
      <c r="B69">
        <v>46</v>
      </c>
    </row>
    <row r="70" spans="1:2" x14ac:dyDescent="0.15">
      <c r="A70" t="s">
        <v>271</v>
      </c>
      <c r="B70">
        <v>47</v>
      </c>
    </row>
    <row r="71" spans="1:2" x14ac:dyDescent="0.15">
      <c r="A71" t="s">
        <v>272</v>
      </c>
      <c r="B71">
        <v>48</v>
      </c>
    </row>
    <row r="72" spans="1:2" x14ac:dyDescent="0.15">
      <c r="A72" t="s">
        <v>273</v>
      </c>
      <c r="B72">
        <v>49</v>
      </c>
    </row>
    <row r="73" spans="1:2" x14ac:dyDescent="0.15">
      <c r="A73" t="s">
        <v>274</v>
      </c>
      <c r="B73">
        <v>50</v>
      </c>
    </row>
    <row r="74" spans="1:2" x14ac:dyDescent="0.15">
      <c r="A74" t="s">
        <v>275</v>
      </c>
      <c r="B74">
        <v>52</v>
      </c>
    </row>
    <row r="75" spans="1:2" x14ac:dyDescent="0.15">
      <c r="A75" t="s">
        <v>276</v>
      </c>
      <c r="B75">
        <v>53</v>
      </c>
    </row>
    <row r="76" spans="1:2" x14ac:dyDescent="0.15">
      <c r="A76" t="s">
        <v>277</v>
      </c>
      <c r="B76">
        <v>54</v>
      </c>
    </row>
    <row r="77" spans="1:2" x14ac:dyDescent="0.15">
      <c r="A77" t="s">
        <v>278</v>
      </c>
      <c r="B77">
        <v>55</v>
      </c>
    </row>
    <row r="78" spans="1:2" x14ac:dyDescent="0.15">
      <c r="A78" t="s">
        <v>279</v>
      </c>
      <c r="B78">
        <v>56</v>
      </c>
    </row>
    <row r="79" spans="1:2" x14ac:dyDescent="0.15">
      <c r="A79" t="s">
        <v>280</v>
      </c>
      <c r="B79">
        <v>57</v>
      </c>
    </row>
    <row r="80" spans="1:2" x14ac:dyDescent="0.15">
      <c r="A80" t="s">
        <v>281</v>
      </c>
      <c r="B80">
        <v>58</v>
      </c>
    </row>
    <row r="81" spans="1:19" x14ac:dyDescent="0.15">
      <c r="A81" t="s">
        <v>282</v>
      </c>
      <c r="B81" t="s">
        <v>283</v>
      </c>
    </row>
    <row r="82" spans="1:19" x14ac:dyDescent="0.15">
      <c r="A82" t="s">
        <v>284</v>
      </c>
      <c r="B82" s="47" t="s">
        <v>285</v>
      </c>
    </row>
    <row r="83" spans="1:19" x14ac:dyDescent="0.15">
      <c r="A83" t="s">
        <v>286</v>
      </c>
      <c r="B83" s="47" t="s">
        <v>287</v>
      </c>
    </row>
    <row r="84" spans="1:19" x14ac:dyDescent="0.15">
      <c r="A84" t="s">
        <v>288</v>
      </c>
      <c r="B84" s="47" t="s">
        <v>289</v>
      </c>
    </row>
    <row r="85" spans="1:19" x14ac:dyDescent="0.15">
      <c r="A85" t="s">
        <v>290</v>
      </c>
      <c r="B85" s="47" t="s">
        <v>291</v>
      </c>
    </row>
    <row r="86" spans="1:19" x14ac:dyDescent="0.15">
      <c r="A86" t="s">
        <v>292</v>
      </c>
      <c r="B86" s="47" t="s">
        <v>293</v>
      </c>
    </row>
    <row r="87" spans="1:19" x14ac:dyDescent="0.15">
      <c r="A87" t="s">
        <v>294</v>
      </c>
      <c r="B87" s="47" t="s">
        <v>295</v>
      </c>
    </row>
    <row r="88" spans="1:19" x14ac:dyDescent="0.15">
      <c r="A88" t="s">
        <v>296</v>
      </c>
      <c r="B88" s="47" t="s">
        <v>297</v>
      </c>
    </row>
    <row r="89" spans="1:19" x14ac:dyDescent="0.15">
      <c r="A89" t="s">
        <v>298</v>
      </c>
      <c r="B89" s="47" t="s">
        <v>299</v>
      </c>
    </row>
    <row r="90" spans="1:19" x14ac:dyDescent="0.15">
      <c r="A90" t="s">
        <v>300</v>
      </c>
      <c r="B90" s="47" t="s">
        <v>301</v>
      </c>
    </row>
    <row r="91" spans="1:19" x14ac:dyDescent="0.15">
      <c r="A91" t="s">
        <v>302</v>
      </c>
      <c r="B91" t="s">
        <v>58</v>
      </c>
      <c r="C91" t="s">
        <v>103</v>
      </c>
      <c r="D91" t="s">
        <v>53</v>
      </c>
      <c r="E91" t="s">
        <v>132</v>
      </c>
      <c r="F91" t="s">
        <v>43</v>
      </c>
      <c r="G91" t="s">
        <v>48</v>
      </c>
      <c r="H91" t="s">
        <v>73</v>
      </c>
      <c r="I91" t="s">
        <v>41</v>
      </c>
      <c r="J91" t="s">
        <v>68</v>
      </c>
      <c r="K91" t="s">
        <v>121</v>
      </c>
      <c r="L91" t="s">
        <v>63</v>
      </c>
      <c r="M91" t="s">
        <v>82</v>
      </c>
      <c r="N91" t="s">
        <v>123</v>
      </c>
      <c r="O91" t="s">
        <v>148</v>
      </c>
      <c r="P91" t="s">
        <v>150</v>
      </c>
      <c r="Q91" t="s">
        <v>152</v>
      </c>
      <c r="R91" t="s">
        <v>154</v>
      </c>
      <c r="S91" t="s">
        <v>156</v>
      </c>
    </row>
    <row r="92" spans="1:19" x14ac:dyDescent="0.15">
      <c r="A92" t="s">
        <v>303</v>
      </c>
      <c r="B92">
        <v>1</v>
      </c>
    </row>
    <row r="93" spans="1:19" x14ac:dyDescent="0.15">
      <c r="A93" t="s">
        <v>304</v>
      </c>
      <c r="B93">
        <v>2</v>
      </c>
    </row>
    <row r="94" spans="1:19" x14ac:dyDescent="0.15">
      <c r="A94" t="s">
        <v>305</v>
      </c>
      <c r="B94">
        <v>3</v>
      </c>
    </row>
    <row r="95" spans="1:19" x14ac:dyDescent="0.15">
      <c r="A95" t="s">
        <v>306</v>
      </c>
      <c r="B95">
        <v>4</v>
      </c>
    </row>
    <row r="96" spans="1:19" x14ac:dyDescent="0.15">
      <c r="A96" t="s">
        <v>307</v>
      </c>
      <c r="B96">
        <v>5</v>
      </c>
    </row>
    <row r="97" spans="1:2" x14ac:dyDescent="0.15">
      <c r="A97" t="s">
        <v>308</v>
      </c>
      <c r="B97">
        <v>6</v>
      </c>
    </row>
    <row r="98" spans="1:2" x14ac:dyDescent="0.15">
      <c r="A98" t="s">
        <v>309</v>
      </c>
      <c r="B98">
        <v>7</v>
      </c>
    </row>
    <row r="99" spans="1:2" x14ac:dyDescent="0.15">
      <c r="A99" t="s">
        <v>310</v>
      </c>
      <c r="B99">
        <v>8</v>
      </c>
    </row>
    <row r="100" spans="1:2" x14ac:dyDescent="0.15">
      <c r="A100" t="s">
        <v>311</v>
      </c>
      <c r="B100">
        <v>10</v>
      </c>
    </row>
    <row r="101" spans="1:2" x14ac:dyDescent="0.15">
      <c r="A101" t="s">
        <v>312</v>
      </c>
      <c r="B101">
        <v>11</v>
      </c>
    </row>
    <row r="102" spans="1:2" x14ac:dyDescent="0.15">
      <c r="A102" t="s">
        <v>313</v>
      </c>
      <c r="B102">
        <v>13</v>
      </c>
    </row>
    <row r="103" spans="1:2" x14ac:dyDescent="0.15">
      <c r="A103" t="s">
        <v>314</v>
      </c>
      <c r="B103">
        <v>14</v>
      </c>
    </row>
    <row r="104" spans="1:2" x14ac:dyDescent="0.15">
      <c r="A104" t="s">
        <v>315</v>
      </c>
      <c r="B104">
        <v>15</v>
      </c>
    </row>
    <row r="105" spans="1:2" x14ac:dyDescent="0.15">
      <c r="A105" t="s">
        <v>316</v>
      </c>
      <c r="B105">
        <v>16</v>
      </c>
    </row>
    <row r="106" spans="1:2" x14ac:dyDescent="0.15">
      <c r="A106" t="s">
        <v>317</v>
      </c>
      <c r="B106">
        <v>17</v>
      </c>
    </row>
    <row r="107" spans="1:2" x14ac:dyDescent="0.15">
      <c r="A107" t="s">
        <v>318</v>
      </c>
      <c r="B107">
        <v>18</v>
      </c>
    </row>
    <row r="108" spans="1:2" x14ac:dyDescent="0.15">
      <c r="A108" t="s">
        <v>319</v>
      </c>
      <c r="B108">
        <v>19</v>
      </c>
    </row>
    <row r="109" spans="1:2" x14ac:dyDescent="0.15">
      <c r="A109" t="s">
        <v>320</v>
      </c>
      <c r="B109">
        <v>20</v>
      </c>
    </row>
    <row r="110" spans="1:2" x14ac:dyDescent="0.15">
      <c r="A110" t="s">
        <v>321</v>
      </c>
      <c r="B110">
        <v>21</v>
      </c>
    </row>
    <row r="111" spans="1:2" x14ac:dyDescent="0.15">
      <c r="A111" t="s">
        <v>322</v>
      </c>
      <c r="B111">
        <v>22</v>
      </c>
    </row>
    <row r="112" spans="1:2" x14ac:dyDescent="0.15">
      <c r="A112" t="s">
        <v>323</v>
      </c>
      <c r="B112">
        <v>23</v>
      </c>
    </row>
    <row r="113" spans="1:2" x14ac:dyDescent="0.15">
      <c r="A113" t="s">
        <v>324</v>
      </c>
      <c r="B113">
        <v>24</v>
      </c>
    </row>
    <row r="114" spans="1:2" x14ac:dyDescent="0.15">
      <c r="A114" t="s">
        <v>325</v>
      </c>
      <c r="B114">
        <v>25</v>
      </c>
    </row>
    <row r="115" spans="1:2" x14ac:dyDescent="0.15">
      <c r="A115" t="s">
        <v>326</v>
      </c>
      <c r="B115">
        <v>26</v>
      </c>
    </row>
    <row r="116" spans="1:2" x14ac:dyDescent="0.15">
      <c r="A116" t="s">
        <v>327</v>
      </c>
      <c r="B116">
        <v>27</v>
      </c>
    </row>
    <row r="117" spans="1:2" x14ac:dyDescent="0.15">
      <c r="A117" t="s">
        <v>328</v>
      </c>
      <c r="B117">
        <v>28</v>
      </c>
    </row>
    <row r="118" spans="1:2" x14ac:dyDescent="0.15">
      <c r="A118" t="s">
        <v>329</v>
      </c>
      <c r="B118">
        <v>29</v>
      </c>
    </row>
    <row r="119" spans="1:2" x14ac:dyDescent="0.15">
      <c r="A119" t="s">
        <v>330</v>
      </c>
      <c r="B119">
        <v>31</v>
      </c>
    </row>
    <row r="120" spans="1:2" x14ac:dyDescent="0.15">
      <c r="A120" t="s">
        <v>331</v>
      </c>
      <c r="B120">
        <v>32</v>
      </c>
    </row>
    <row r="121" spans="1:2" x14ac:dyDescent="0.15">
      <c r="A121" t="s">
        <v>332</v>
      </c>
      <c r="B121">
        <v>34</v>
      </c>
    </row>
    <row r="122" spans="1:2" x14ac:dyDescent="0.15">
      <c r="A122" t="s">
        <v>333</v>
      </c>
      <c r="B122">
        <v>35</v>
      </c>
    </row>
    <row r="123" spans="1:2" x14ac:dyDescent="0.15">
      <c r="A123" t="s">
        <v>334</v>
      </c>
      <c r="B123">
        <v>36</v>
      </c>
    </row>
    <row r="124" spans="1:2" x14ac:dyDescent="0.15">
      <c r="A124" t="s">
        <v>335</v>
      </c>
      <c r="B124">
        <v>37</v>
      </c>
    </row>
    <row r="125" spans="1:2" x14ac:dyDescent="0.15">
      <c r="A125" t="s">
        <v>336</v>
      </c>
      <c r="B125">
        <v>38</v>
      </c>
    </row>
    <row r="126" spans="1:2" x14ac:dyDescent="0.15">
      <c r="A126" t="s">
        <v>337</v>
      </c>
      <c r="B126">
        <v>39</v>
      </c>
    </row>
    <row r="127" spans="1:2" x14ac:dyDescent="0.15">
      <c r="A127" t="s">
        <v>338</v>
      </c>
      <c r="B127">
        <v>40</v>
      </c>
    </row>
    <row r="128" spans="1:2" x14ac:dyDescent="0.15">
      <c r="A128" t="s">
        <v>339</v>
      </c>
      <c r="B128">
        <v>41</v>
      </c>
    </row>
    <row r="129" spans="1:2" x14ac:dyDescent="0.15">
      <c r="A129" t="s">
        <v>340</v>
      </c>
      <c r="B129">
        <v>42</v>
      </c>
    </row>
    <row r="130" spans="1:2" x14ac:dyDescent="0.15">
      <c r="A130" t="s">
        <v>341</v>
      </c>
      <c r="B130">
        <v>43</v>
      </c>
    </row>
    <row r="131" spans="1:2" x14ac:dyDescent="0.15">
      <c r="A131" t="s">
        <v>342</v>
      </c>
      <c r="B131">
        <v>44</v>
      </c>
    </row>
    <row r="132" spans="1:2" x14ac:dyDescent="0.15">
      <c r="A132" t="s">
        <v>343</v>
      </c>
      <c r="B132">
        <v>45</v>
      </c>
    </row>
    <row r="133" spans="1:2" x14ac:dyDescent="0.15">
      <c r="A133" t="s">
        <v>344</v>
      </c>
      <c r="B133">
        <v>46</v>
      </c>
    </row>
    <row r="134" spans="1:2" x14ac:dyDescent="0.15">
      <c r="A134" t="s">
        <v>345</v>
      </c>
      <c r="B134">
        <v>47</v>
      </c>
    </row>
    <row r="135" spans="1:2" x14ac:dyDescent="0.15">
      <c r="A135" t="s">
        <v>346</v>
      </c>
      <c r="B135">
        <v>48</v>
      </c>
    </row>
    <row r="136" spans="1:2" x14ac:dyDescent="0.15">
      <c r="A136" t="s">
        <v>347</v>
      </c>
      <c r="B136">
        <v>49</v>
      </c>
    </row>
    <row r="137" spans="1:2" x14ac:dyDescent="0.15">
      <c r="A137" t="s">
        <v>348</v>
      </c>
      <c r="B137">
        <v>50</v>
      </c>
    </row>
    <row r="138" spans="1:2" x14ac:dyDescent="0.15">
      <c r="A138" t="s">
        <v>349</v>
      </c>
      <c r="B138">
        <v>52</v>
      </c>
    </row>
    <row r="139" spans="1:2" x14ac:dyDescent="0.15">
      <c r="A139" t="s">
        <v>350</v>
      </c>
      <c r="B139">
        <v>53</v>
      </c>
    </row>
    <row r="140" spans="1:2" x14ac:dyDescent="0.15">
      <c r="A140" t="s">
        <v>351</v>
      </c>
      <c r="B140">
        <v>54</v>
      </c>
    </row>
    <row r="141" spans="1:2" x14ac:dyDescent="0.15">
      <c r="A141" t="s">
        <v>352</v>
      </c>
      <c r="B141">
        <v>55</v>
      </c>
    </row>
    <row r="142" spans="1:2" x14ac:dyDescent="0.15">
      <c r="A142" t="s">
        <v>353</v>
      </c>
      <c r="B142">
        <v>56</v>
      </c>
    </row>
    <row r="143" spans="1:2" x14ac:dyDescent="0.15">
      <c r="A143" t="s">
        <v>354</v>
      </c>
      <c r="B143">
        <v>57</v>
      </c>
    </row>
    <row r="144" spans="1:2" x14ac:dyDescent="0.15">
      <c r="A144" t="s">
        <v>355</v>
      </c>
      <c r="B144">
        <v>58</v>
      </c>
    </row>
    <row r="145" spans="1:19" x14ac:dyDescent="0.15">
      <c r="A145" t="s">
        <v>356</v>
      </c>
      <c r="B145" t="s">
        <v>357</v>
      </c>
    </row>
    <row r="146" spans="1:19" x14ac:dyDescent="0.15">
      <c r="A146" t="s">
        <v>358</v>
      </c>
      <c r="B146" s="47" t="s">
        <v>359</v>
      </c>
    </row>
    <row r="147" spans="1:19" x14ac:dyDescent="0.15">
      <c r="A147" t="s">
        <v>360</v>
      </c>
      <c r="B147" s="47" t="s">
        <v>361</v>
      </c>
    </row>
    <row r="148" spans="1:19" x14ac:dyDescent="0.15">
      <c r="A148" t="s">
        <v>362</v>
      </c>
      <c r="B148" s="47" t="s">
        <v>363</v>
      </c>
    </row>
    <row r="149" spans="1:19" x14ac:dyDescent="0.15">
      <c r="A149" t="s">
        <v>364</v>
      </c>
      <c r="B149" s="47" t="s">
        <v>365</v>
      </c>
    </row>
    <row r="150" spans="1:19" x14ac:dyDescent="0.15">
      <c r="A150" t="s">
        <v>366</v>
      </c>
      <c r="B150" s="47" t="s">
        <v>367</v>
      </c>
    </row>
    <row r="151" spans="1:19" x14ac:dyDescent="0.15">
      <c r="A151" t="s">
        <v>368</v>
      </c>
      <c r="B151" s="47" t="s">
        <v>369</v>
      </c>
    </row>
    <row r="152" spans="1:19" x14ac:dyDescent="0.15">
      <c r="A152" t="s">
        <v>370</v>
      </c>
      <c r="B152" s="47" t="s">
        <v>371</v>
      </c>
    </row>
    <row r="153" spans="1:19" x14ac:dyDescent="0.15">
      <c r="A153" t="s">
        <v>372</v>
      </c>
      <c r="B153" s="47" t="s">
        <v>373</v>
      </c>
    </row>
    <row r="154" spans="1:19" x14ac:dyDescent="0.15">
      <c r="A154" t="s">
        <v>374</v>
      </c>
      <c r="B154" s="47" t="s">
        <v>375</v>
      </c>
    </row>
    <row r="155" spans="1:19" x14ac:dyDescent="0.15">
      <c r="A155" t="s">
        <v>376</v>
      </c>
      <c r="B155" t="s">
        <v>58</v>
      </c>
      <c r="C155" t="s">
        <v>103</v>
      </c>
      <c r="D155" t="s">
        <v>53</v>
      </c>
      <c r="E155" t="s">
        <v>132</v>
      </c>
      <c r="F155" t="s">
        <v>43</v>
      </c>
      <c r="G155" t="s">
        <v>48</v>
      </c>
      <c r="H155" t="s">
        <v>73</v>
      </c>
      <c r="I155" t="s">
        <v>41</v>
      </c>
      <c r="J155" t="s">
        <v>68</v>
      </c>
      <c r="K155" t="s">
        <v>121</v>
      </c>
      <c r="L155" t="s">
        <v>63</v>
      </c>
      <c r="M155" t="s">
        <v>82</v>
      </c>
      <c r="N155" t="s">
        <v>123</v>
      </c>
      <c r="O155" t="s">
        <v>148</v>
      </c>
      <c r="P155" t="s">
        <v>150</v>
      </c>
      <c r="Q155" t="s">
        <v>152</v>
      </c>
      <c r="R155" t="s">
        <v>154</v>
      </c>
      <c r="S155" t="s">
        <v>156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T93"/>
  <sheetViews>
    <sheetView zoomScale="80" zoomScaleNormal="80" workbookViewId="0">
      <pane xSplit="2" ySplit="4" topLeftCell="H5" activePane="bottomRight" state="frozen"/>
      <selection pane="topRight" activeCell="C1" sqref="C1"/>
      <selection pane="bottomLeft" activeCell="A5" sqref="A5"/>
      <selection pane="bottomRight" activeCell="N5" sqref="N5:AC44"/>
    </sheetView>
  </sheetViews>
  <sheetFormatPr defaultColWidth="9.125" defaultRowHeight="13.5" outlineLevelRow="1" x14ac:dyDescent="0.15"/>
  <cols>
    <col min="2" max="2" width="24.75" style="52" customWidth="1"/>
    <col min="4" max="5" width="10.75" style="52" customWidth="1"/>
    <col min="9" max="9" width="1.75" style="52" customWidth="1"/>
    <col min="11" max="11" width="10.75" style="52" customWidth="1"/>
    <col min="12" max="13" width="12.5" style="52" customWidth="1"/>
    <col min="14" max="14" width="10.75" style="52" customWidth="1"/>
    <col min="15" max="20" width="12.75" style="52" customWidth="1"/>
    <col min="21" max="27" width="11.75" style="52" customWidth="1"/>
    <col min="30" max="30" width="1.75" style="52" customWidth="1"/>
    <col min="32" max="32" width="10.75" style="52" customWidth="1"/>
    <col min="33" max="34" width="12.5" style="52" customWidth="1"/>
    <col min="35" max="35" width="10.75" style="52" customWidth="1"/>
    <col min="36" max="41" width="12.75" style="52" customWidth="1"/>
    <col min="42" max="48" width="11.75" style="52" customWidth="1"/>
    <col min="51" max="51" width="1.75" style="52" customWidth="1"/>
    <col min="54" max="58" width="11.75" style="52" customWidth="1"/>
    <col min="59" max="59" width="1.75" style="52" customWidth="1"/>
    <col min="62" max="66" width="11.75" style="52" customWidth="1"/>
    <col min="67" max="67" width="1.75" style="52" customWidth="1"/>
  </cols>
  <sheetData>
    <row r="1" spans="1:72" x14ac:dyDescent="0.15">
      <c r="A1" s="119" t="s">
        <v>377</v>
      </c>
      <c r="B1" s="107"/>
      <c r="C1" s="107"/>
      <c r="D1" s="107"/>
      <c r="E1" s="107"/>
      <c r="F1" s="107"/>
      <c r="G1" s="107"/>
      <c r="H1" s="107"/>
      <c r="J1" s="109" t="str">
        <f>Summary!C1</f>
        <v>v6.0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E1" s="115">
        <f>Summary!C2</f>
        <v>0</v>
      </c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</row>
    <row r="2" spans="1:72" ht="33" customHeight="1" thickBot="1" x14ac:dyDescent="0.2">
      <c r="A2" s="117" t="s">
        <v>159</v>
      </c>
      <c r="B2" s="118" t="s">
        <v>160</v>
      </c>
      <c r="C2" s="117" t="s">
        <v>378</v>
      </c>
      <c r="D2" s="118" t="s">
        <v>161</v>
      </c>
      <c r="E2" s="117" t="s">
        <v>162</v>
      </c>
      <c r="F2" s="118" t="s">
        <v>163</v>
      </c>
      <c r="G2" s="117" t="s">
        <v>164</v>
      </c>
      <c r="H2" s="118" t="s">
        <v>379</v>
      </c>
      <c r="J2" s="117" t="s">
        <v>129</v>
      </c>
      <c r="K2" s="118" t="s">
        <v>133</v>
      </c>
      <c r="L2" s="123" t="s">
        <v>122</v>
      </c>
      <c r="M2" s="118" t="s">
        <v>380</v>
      </c>
      <c r="N2" s="117" t="s">
        <v>83</v>
      </c>
      <c r="O2" s="118" t="s">
        <v>122</v>
      </c>
      <c r="P2" s="118" t="s">
        <v>381</v>
      </c>
      <c r="Q2" s="118" t="s">
        <v>382</v>
      </c>
      <c r="R2" s="118" t="s">
        <v>383</v>
      </c>
      <c r="S2" s="118" t="s">
        <v>384</v>
      </c>
      <c r="T2" s="118" t="s">
        <v>385</v>
      </c>
      <c r="U2" s="120" t="s">
        <v>386</v>
      </c>
      <c r="V2" s="107"/>
      <c r="W2" s="107"/>
      <c r="X2" s="107"/>
      <c r="Y2" s="107"/>
      <c r="Z2" s="121" t="s">
        <v>387</v>
      </c>
      <c r="AA2" s="107"/>
      <c r="AB2" s="117" t="s">
        <v>124</v>
      </c>
      <c r="AC2" s="118" t="s">
        <v>104</v>
      </c>
      <c r="AE2" s="117" t="s">
        <v>129</v>
      </c>
      <c r="AF2" s="118" t="s">
        <v>133</v>
      </c>
      <c r="AG2" s="123" t="s">
        <v>122</v>
      </c>
      <c r="AH2" s="118" t="s">
        <v>380</v>
      </c>
      <c r="AI2" s="117" t="s">
        <v>83</v>
      </c>
      <c r="AJ2" s="118" t="s">
        <v>122</v>
      </c>
      <c r="AK2" s="118" t="s">
        <v>381</v>
      </c>
      <c r="AL2" s="118" t="s">
        <v>382</v>
      </c>
      <c r="AM2" s="118" t="s">
        <v>383</v>
      </c>
      <c r="AN2" s="118" t="s">
        <v>384</v>
      </c>
      <c r="AO2" s="118" t="s">
        <v>385</v>
      </c>
      <c r="AP2" s="120" t="s">
        <v>386</v>
      </c>
      <c r="AQ2" s="107"/>
      <c r="AR2" s="107"/>
      <c r="AS2" s="107"/>
      <c r="AT2" s="107"/>
      <c r="AU2" s="121" t="s">
        <v>387</v>
      </c>
      <c r="AV2" s="107"/>
      <c r="AW2" s="117" t="s">
        <v>124</v>
      </c>
      <c r="AX2" s="118" t="s">
        <v>104</v>
      </c>
      <c r="AZ2" s="120" t="s">
        <v>15</v>
      </c>
      <c r="BA2" s="107"/>
      <c r="BB2" s="107"/>
      <c r="BC2" s="107"/>
      <c r="BD2" s="107"/>
      <c r="BE2" s="121" t="s">
        <v>16</v>
      </c>
      <c r="BF2" s="107"/>
      <c r="BH2" s="120" t="s">
        <v>388</v>
      </c>
      <c r="BI2" s="107"/>
      <c r="BJ2" s="122" t="s">
        <v>389</v>
      </c>
      <c r="BK2" s="107"/>
      <c r="BL2" s="107"/>
      <c r="BM2" s="117" t="s">
        <v>390</v>
      </c>
      <c r="BN2" s="118" t="s">
        <v>391</v>
      </c>
      <c r="BP2" s="117" t="s">
        <v>392</v>
      </c>
      <c r="BQ2" s="117" t="s">
        <v>393</v>
      </c>
      <c r="BR2" s="117" t="s">
        <v>394</v>
      </c>
      <c r="BS2" s="117" t="s">
        <v>395</v>
      </c>
      <c r="BT2" s="117" t="s">
        <v>396</v>
      </c>
    </row>
    <row r="3" spans="1:72" ht="33" customHeight="1" thickBot="1" x14ac:dyDescent="0.2">
      <c r="A3" s="108"/>
      <c r="B3" s="108"/>
      <c r="C3" s="108"/>
      <c r="D3" s="108"/>
      <c r="E3" s="108"/>
      <c r="F3" s="108"/>
      <c r="G3" s="108"/>
      <c r="H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58" t="s">
        <v>17</v>
      </c>
      <c r="V3" s="58" t="s">
        <v>18</v>
      </c>
      <c r="W3" s="58" t="s">
        <v>19</v>
      </c>
      <c r="X3" s="58" t="s">
        <v>20</v>
      </c>
      <c r="Y3" s="58" t="s">
        <v>21</v>
      </c>
      <c r="Z3" s="59" t="s">
        <v>22</v>
      </c>
      <c r="AA3" s="59" t="s">
        <v>19</v>
      </c>
      <c r="AB3" s="108"/>
      <c r="AC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58" t="s">
        <v>17</v>
      </c>
      <c r="AQ3" s="58" t="s">
        <v>18</v>
      </c>
      <c r="AR3" s="58" t="s">
        <v>19</v>
      </c>
      <c r="AS3" s="58" t="s">
        <v>20</v>
      </c>
      <c r="AT3" s="58" t="s">
        <v>21</v>
      </c>
      <c r="AU3" s="59" t="s">
        <v>22</v>
      </c>
      <c r="AV3" s="59" t="s">
        <v>19</v>
      </c>
      <c r="AW3" s="108"/>
      <c r="AX3" s="108"/>
      <c r="AZ3" s="58" t="s">
        <v>17</v>
      </c>
      <c r="BA3" s="58" t="s">
        <v>18</v>
      </c>
      <c r="BB3" s="58" t="s">
        <v>19</v>
      </c>
      <c r="BC3" s="58" t="s">
        <v>20</v>
      </c>
      <c r="BD3" s="58" t="s">
        <v>21</v>
      </c>
      <c r="BE3" s="59" t="s">
        <v>22</v>
      </c>
      <c r="BF3" s="59" t="s">
        <v>19</v>
      </c>
      <c r="BH3" s="58" t="s">
        <v>17</v>
      </c>
      <c r="BI3" s="58" t="s">
        <v>18</v>
      </c>
      <c r="BJ3" s="39" t="s">
        <v>19</v>
      </c>
      <c r="BK3" s="39" t="s">
        <v>20</v>
      </c>
      <c r="BL3" s="39" t="s">
        <v>21</v>
      </c>
      <c r="BM3" s="108"/>
      <c r="BN3" s="108"/>
      <c r="BP3" s="108"/>
      <c r="BQ3" s="108"/>
      <c r="BR3" s="108"/>
      <c r="BS3" s="108"/>
      <c r="BT3" s="108"/>
    </row>
    <row r="4" spans="1:72" ht="1.5" hidden="1" customHeight="1" thickBot="1" x14ac:dyDescent="0.2">
      <c r="A4" s="6" t="s">
        <v>169</v>
      </c>
      <c r="B4" s="7" t="s">
        <v>170</v>
      </c>
      <c r="C4" s="6" t="s">
        <v>397</v>
      </c>
      <c r="D4" s="7" t="s">
        <v>171</v>
      </c>
      <c r="E4" s="6" t="s">
        <v>172</v>
      </c>
      <c r="F4" s="7" t="s">
        <v>173</v>
      </c>
      <c r="G4" s="6" t="s">
        <v>174</v>
      </c>
      <c r="H4" s="7" t="s">
        <v>398</v>
      </c>
      <c r="J4" s="6" t="s">
        <v>175</v>
      </c>
      <c r="K4" s="7" t="s">
        <v>176</v>
      </c>
      <c r="L4" s="7"/>
      <c r="M4" s="7"/>
      <c r="N4" s="6" t="s">
        <v>399</v>
      </c>
      <c r="O4" s="7" t="s">
        <v>177</v>
      </c>
      <c r="P4" s="7"/>
      <c r="Q4" s="7"/>
      <c r="R4" s="7"/>
      <c r="S4" s="7"/>
      <c r="T4" s="7"/>
      <c r="U4" s="6" t="s">
        <v>400</v>
      </c>
      <c r="V4" s="6" t="s">
        <v>401</v>
      </c>
      <c r="W4" s="6" t="s">
        <v>402</v>
      </c>
      <c r="X4" s="6" t="s">
        <v>403</v>
      </c>
      <c r="Y4" s="6" t="s">
        <v>404</v>
      </c>
      <c r="Z4" s="7" t="s">
        <v>405</v>
      </c>
      <c r="AA4" s="7" t="s">
        <v>406</v>
      </c>
      <c r="AB4" s="6" t="s">
        <v>178</v>
      </c>
      <c r="AC4" s="7" t="s">
        <v>179</v>
      </c>
      <c r="AE4" s="6" t="s">
        <v>180</v>
      </c>
      <c r="AF4" s="7" t="s">
        <v>181</v>
      </c>
      <c r="AG4" s="7"/>
      <c r="AH4" s="7"/>
      <c r="AI4" s="6" t="s">
        <v>407</v>
      </c>
      <c r="AJ4" s="7" t="s">
        <v>182</v>
      </c>
      <c r="AK4" s="7"/>
      <c r="AL4" s="7"/>
      <c r="AM4" s="7"/>
      <c r="AN4" s="7"/>
      <c r="AO4" s="7"/>
      <c r="AP4" s="6" t="s">
        <v>408</v>
      </c>
      <c r="AQ4" s="6" t="s">
        <v>409</v>
      </c>
      <c r="AR4" s="6" t="s">
        <v>410</v>
      </c>
      <c r="AS4" s="6" t="s">
        <v>411</v>
      </c>
      <c r="AT4" s="6" t="s">
        <v>412</v>
      </c>
      <c r="AU4" s="7" t="s">
        <v>413</v>
      </c>
      <c r="AV4" s="7" t="s">
        <v>414</v>
      </c>
      <c r="AW4" s="6" t="s">
        <v>183</v>
      </c>
      <c r="AX4" s="7" t="s">
        <v>184</v>
      </c>
      <c r="AZ4" s="6" t="s">
        <v>415</v>
      </c>
      <c r="BA4" s="6" t="s">
        <v>416</v>
      </c>
      <c r="BB4" s="6" t="s">
        <v>417</v>
      </c>
      <c r="BC4" s="6" t="s">
        <v>418</v>
      </c>
      <c r="BD4" s="6" t="s">
        <v>419</v>
      </c>
      <c r="BE4" s="7" t="s">
        <v>420</v>
      </c>
      <c r="BF4" s="7" t="s">
        <v>421</v>
      </c>
      <c r="BH4" s="6" t="s">
        <v>415</v>
      </c>
      <c r="BI4" s="6" t="s">
        <v>416</v>
      </c>
      <c r="BJ4" s="6" t="s">
        <v>417</v>
      </c>
      <c r="BK4" s="6" t="s">
        <v>418</v>
      </c>
      <c r="BL4" s="6" t="s">
        <v>419</v>
      </c>
      <c r="BM4" s="7" t="s">
        <v>420</v>
      </c>
      <c r="BN4" s="7" t="s">
        <v>421</v>
      </c>
    </row>
    <row r="5" spans="1:72" ht="15" customHeight="1" x14ac:dyDescent="0.15">
      <c r="A5" s="8" t="s">
        <v>186</v>
      </c>
      <c r="B5" s="8" t="s">
        <v>32</v>
      </c>
      <c r="C5" s="10" t="s">
        <v>422</v>
      </c>
      <c r="D5" s="8">
        <v>11997440</v>
      </c>
      <c r="E5" s="9">
        <v>10</v>
      </c>
      <c r="F5" s="10">
        <v>32</v>
      </c>
      <c r="G5" s="10">
        <v>30</v>
      </c>
      <c r="H5" s="10">
        <v>4</v>
      </c>
      <c r="J5" s="63">
        <f t="shared" ref="J5:J44" si="0">IF(OR(ISBLANK(O5),ISBLANK(G5)),"·",O5*G5/F5/1000000)</f>
        <v>4.9577999999999998</v>
      </c>
      <c r="K5" s="11">
        <f t="shared" ref="K5:K44" si="1">IF(ISBLANK(O5),"·",O5/D5)</f>
        <v>0.44078736797183399</v>
      </c>
      <c r="L5" s="10">
        <f t="shared" ref="L5:L44" si="2">IF(OR(ISBLANK(M5),ISBLANK(S5),ISBLANK(T5)),".",M5+S5+T5)</f>
        <v>5288320</v>
      </c>
      <c r="M5" s="10">
        <f t="shared" ref="M5:M44" si="3">IF(OR(ISBLANK(Q5),ISBLANK(P5),ISBLANK(R5)),".",P5+Q5+R5)</f>
        <v>1572624</v>
      </c>
      <c r="N5" s="25">
        <v>603968</v>
      </c>
      <c r="O5" s="12">
        <v>5288320</v>
      </c>
      <c r="P5" s="12">
        <v>823144</v>
      </c>
      <c r="Q5" s="12">
        <v>0</v>
      </c>
      <c r="R5" s="12">
        <v>749480</v>
      </c>
      <c r="S5" s="12">
        <v>3708624</v>
      </c>
      <c r="T5" s="12">
        <v>7072</v>
      </c>
      <c r="U5" s="26">
        <v>68.094557399999999</v>
      </c>
      <c r="V5" s="26">
        <v>69.0451312</v>
      </c>
      <c r="W5" s="26">
        <v>28.820419600000001</v>
      </c>
      <c r="X5" s="26">
        <v>33.974276199999998</v>
      </c>
      <c r="Y5" s="26">
        <v>33.414178200000002</v>
      </c>
      <c r="Z5" s="26">
        <v>48.6671567</v>
      </c>
      <c r="AA5" s="26">
        <v>27.292437799999998</v>
      </c>
      <c r="AB5" s="64">
        <v>569.93318999999997</v>
      </c>
      <c r="AC5" s="64">
        <v>4.5384450000000003</v>
      </c>
      <c r="AE5" s="63" t="str">
        <f t="shared" ref="AE5:AE44" si="4">IF(OR(ISBLANK(AJ5),ISBLANK(G5)),"·",AJ5*G5/F5/1000000)</f>
        <v>·</v>
      </c>
      <c r="AF5" s="11" t="str">
        <f t="shared" ref="AF5:AF44" si="5">IF(ISBLANK(AJ5),"·",AJ5/D5)</f>
        <v>·</v>
      </c>
      <c r="AG5" s="10" t="str">
        <f t="shared" ref="AG5:AG44" si="6">IF(OR(ISBLANK(AH5),ISBLANK(AN5),ISBLANK(AO5)),".",AH5+AN5+AO5)</f>
        <v>.</v>
      </c>
      <c r="AH5" s="10" t="str">
        <f t="shared" ref="AH5:AH44" si="7">IF(OR(ISBLANK(AL5),ISBLANK(AK5),ISBLANK(AM5)),".",AK5+AL5+AM5)</f>
        <v>.</v>
      </c>
      <c r="AI5" s="25"/>
      <c r="AJ5" s="12"/>
      <c r="AK5" s="12"/>
      <c r="AL5" s="12"/>
      <c r="AM5" s="12"/>
      <c r="AN5" s="12"/>
      <c r="AO5" s="12"/>
      <c r="AP5" s="26"/>
      <c r="AQ5" s="26"/>
      <c r="AR5" s="26"/>
      <c r="AS5" s="26"/>
      <c r="AT5" s="26"/>
      <c r="AU5" s="26"/>
      <c r="AV5" s="26"/>
      <c r="AW5" s="64"/>
      <c r="AX5" s="64"/>
      <c r="AZ5" s="65" t="str">
        <f t="array" ref="AZ5">IF( OR(AND(ISBLANK(L5:L9)),AND(ISBLANK(AG5:AG9)), AND(ISBLANK(U5:U9)),AND(ISBLANK(AP5:AP9))), "·", bdRateExtend( L5:L9,U5:U9, AG5:AG9,AP5:AP9))</f>
        <v>·</v>
      </c>
      <c r="BA5" s="65" t="str">
        <f t="array" ref="BA5">IF( OR(AND(ISBLANK(L5:L9)),AND(ISBLANK(AG5:AG9)), AND(ISBLANK(V5:V9)),AND(ISBLANK(AQ5:AQ9))), "·", bdRateExtend( L5:L9,V5:V9, AG5:AG9,AQ5:AQ9))</f>
        <v>·</v>
      </c>
      <c r="BB5" s="65" t="str">
        <f t="array" ref="BB5">IF( OR(AND(ISBLANK(L5:L9)),AND(ISBLANK(AG5:AG9)), AND(ISBLANK(W5:W9)),AND(ISBLANK(AR5:AR9))), "·", bdRateExtend( L5:L9,W5:W9, AG5:AG9,AR5:AR9))</f>
        <v>·</v>
      </c>
      <c r="BC5" s="65" t="str">
        <f t="array" ref="BC5">IF( OR(AND(ISBLANK(L5:L9)),AND(ISBLANK(AG5:AG9)), AND(ISBLANK(X5:X9)),AND(ISBLANK(AS5:AS9))), "·", bdRateExtend( L5:L9,X5:X9, AG5:AG9,AS5:AS9))</f>
        <v>·</v>
      </c>
      <c r="BD5" s="65" t="str">
        <f t="array" ref="BD5">IF( OR(AND(ISBLANK(L5:L9)),AND(ISBLANK(AG5:AG9)), AND(ISBLANK(Y5:Y9)),AND(ISBLANK(AT5:AT9))), "·", bdRateExtend( L5:L9,Y5:Y9, AG5:AG9,AT5:AT9))</f>
        <v>·</v>
      </c>
      <c r="BE5" s="65" t="str">
        <f t="array" ref="BE5">IF( OR(AND(ISBLANK(L5:L9)),AND(ISBLANK(AG5:AG9)), AND(ISBLANK(Z5:Z9)),AND(ISBLANK(AU5:AU9))), "·", bdRateExtend( L5:L9,Z5:Z9, AG5:AG9,AU5:AU9))</f>
        <v>·</v>
      </c>
      <c r="BF5" s="65" t="str">
        <f t="array" ref="BF5">IF( OR(AND(ISBLANK(L5:L9)),AND(ISBLANK(AG5:AG9)), AND(ISBLANK(AA5:AA9)),AND(ISBLANK(AV5:AV9))), "·", bdRateExtend( L5:L9,AA5:AA9, AG5:AG9,AV5:AV9))</f>
        <v>·</v>
      </c>
      <c r="BH5" s="65" t="str">
        <f t="array" ref="BH5">IF( OR(AND(ISBLANK(M5:M9)),AND(ISBLANK(AH5:AH9)), AND(ISBLANK(U5:U9)),AND(ISBLANK(AP5:AP9))), "·", bdRateExtend( M5:M9,U5:U9, AH5:AH9,AP5:AP9))</f>
        <v>·</v>
      </c>
      <c r="BI5" s="65" t="str">
        <f t="array" ref="BI5">IF( OR(AND(ISBLANK(M5:M9)),AND(ISBLANK(AH5:AH9)), AND(ISBLANK(V5:V9)),AND(ISBLANK(AQ5:AQ9))), "·", bdRateExtend( M5:M9,V5:V9, AH5:AH9,AQ5:AQ9))</f>
        <v>·</v>
      </c>
      <c r="BJ5" s="65" t="str">
        <f t="array" ref="BJ5">IF( OR(AND(ISBLANK(S5:S9)),AND(ISBLANK(AN5:AN9)), AND(ISBLANK(W5:W9)),AND(ISBLANK(AR5:AR9))), "·", bdRateExtend( S5:S9,W5:W9, AN5:AN9,AR5:AR9))</f>
        <v>·</v>
      </c>
      <c r="BK5" s="65" t="str">
        <f t="array" ref="BK5">IF( OR(AND(ISBLANK(S5:S9)),AND(ISBLANK(AN5:AN9)), AND(ISBLANK(X5:X9)),AND(ISBLANK(AS5:AS9))), "·", bdRateExtend( S5:S9,X5:X9, AN5:AN9,AS5:AS9))</f>
        <v>·</v>
      </c>
      <c r="BL5" s="65" t="str">
        <f t="array" ref="BL5">IF( OR(AND(ISBLANK(S5:S9)),AND(ISBLANK(AN5:AN9)), AND(ISBLANK(Y5:Y9)),AND(ISBLANK(AT5:AT9))), "·", bdRateExtend( S5:S9,Y5:Y9, AN5:AN9,AT5:AT9))</f>
        <v>·</v>
      </c>
      <c r="BM5" s="65" t="str">
        <f t="array" ref="BM5">IF( OR(AND(ISBLANK(M5:M9)),AND(ISBLANK(AH5:AH9)), AND(ISBLANK(Z5:Z9)),AND(ISBLANK(AU5:AU9))), "·", bdRateExtend( M5:M9,Z5:Z9, AH5:AH9,AU5:AU9))</f>
        <v>·</v>
      </c>
      <c r="BN5" s="65" t="str">
        <f t="array" ref="BN5">IF( OR(AND(ISBLANK(S5:S9)),AND(ISBLANK(AN5:AN9)), AND(ISBLANK(AA5:AA9)),AND(ISBLANK(AV5:AV9))), "·", bdRateExtend( S5:S9,AA5:AA9, AN5:AN9,AV5:AV9))</f>
        <v>·</v>
      </c>
      <c r="BP5" s="65">
        <f t="shared" ref="BP5:BP44" si="8">IF(AND(AK5=0,AK5=0),0,AK5/P5-1)</f>
        <v>0</v>
      </c>
      <c r="BQ5" s="65">
        <f t="shared" ref="BQ5:BQ44" si="9">IF(AND(AL5=0,AL5=0),0,AL5/Q5-1)</f>
        <v>0</v>
      </c>
      <c r="BR5" s="65">
        <f t="shared" ref="BR5:BR44" si="10">IF(AND(AM5=0,AM5=0),0,AM5/R5-1)</f>
        <v>0</v>
      </c>
      <c r="BS5" s="65">
        <f t="shared" ref="BS5:BS44" si="11">IF(AND(AN5=0,AN5=0),0,AN5/S5-1)</f>
        <v>0</v>
      </c>
      <c r="BT5" s="65">
        <f t="shared" ref="BT5:BT44" si="12">IF(AND(AO5=0,AO5=0),0,AO5/T5-1)</f>
        <v>0</v>
      </c>
    </row>
    <row r="6" spans="1:72" ht="15" customHeight="1" outlineLevel="1" x14ac:dyDescent="0.15">
      <c r="A6" s="18"/>
      <c r="B6" s="18" t="s">
        <v>32</v>
      </c>
      <c r="C6" s="20" t="s">
        <v>423</v>
      </c>
      <c r="D6" s="18">
        <v>11997440</v>
      </c>
      <c r="E6" s="19">
        <v>10</v>
      </c>
      <c r="F6" s="20">
        <v>32</v>
      </c>
      <c r="G6" s="20">
        <v>30</v>
      </c>
      <c r="H6" s="20">
        <v>9</v>
      </c>
      <c r="J6" s="69">
        <f t="shared" si="0"/>
        <v>9.0599100000000004</v>
      </c>
      <c r="K6" s="21">
        <f t="shared" si="1"/>
        <v>0.8054971727301824</v>
      </c>
      <c r="L6" s="20">
        <f t="shared" si="2"/>
        <v>9663904</v>
      </c>
      <c r="M6" s="20">
        <f t="shared" si="3"/>
        <v>1747768</v>
      </c>
      <c r="N6" s="27">
        <v>603968</v>
      </c>
      <c r="O6" s="22">
        <v>9663904</v>
      </c>
      <c r="P6" s="22">
        <v>888168</v>
      </c>
      <c r="Q6" s="22">
        <v>0</v>
      </c>
      <c r="R6" s="22">
        <v>859600</v>
      </c>
      <c r="S6" s="22">
        <v>7909064</v>
      </c>
      <c r="T6" s="22">
        <v>7072</v>
      </c>
      <c r="U6" s="28">
        <v>68.341740099999996</v>
      </c>
      <c r="V6" s="28">
        <v>69.310378299999996</v>
      </c>
      <c r="W6" s="28">
        <v>31.457113700000001</v>
      </c>
      <c r="X6" s="28">
        <v>35.1865174</v>
      </c>
      <c r="Y6" s="28">
        <v>34.7269346</v>
      </c>
      <c r="Z6" s="28">
        <v>48.759637099999999</v>
      </c>
      <c r="AA6" s="28">
        <v>28.586654100000001</v>
      </c>
      <c r="AB6" s="70">
        <v>578.23884799999996</v>
      </c>
      <c r="AC6" s="70">
        <v>5.5006000000000004</v>
      </c>
      <c r="AE6" s="69" t="str">
        <f t="shared" si="4"/>
        <v>·</v>
      </c>
      <c r="AF6" s="21" t="str">
        <f t="shared" si="5"/>
        <v>·</v>
      </c>
      <c r="AG6" s="20" t="str">
        <f t="shared" si="6"/>
        <v>.</v>
      </c>
      <c r="AH6" s="20" t="str">
        <f t="shared" si="7"/>
        <v>.</v>
      </c>
      <c r="AI6" s="27"/>
      <c r="AJ6" s="22"/>
      <c r="AK6" s="22"/>
      <c r="AL6" s="22"/>
      <c r="AM6" s="22"/>
      <c r="AN6" s="22"/>
      <c r="AO6" s="22"/>
      <c r="AP6" s="28"/>
      <c r="AQ6" s="28"/>
      <c r="AR6" s="28"/>
      <c r="AS6" s="28"/>
      <c r="AT6" s="28"/>
      <c r="AU6" s="28"/>
      <c r="AV6" s="28"/>
      <c r="AW6" s="70"/>
      <c r="AX6" s="70"/>
      <c r="AZ6" s="71"/>
      <c r="BA6" s="71"/>
      <c r="BB6" s="71"/>
      <c r="BC6" s="71"/>
      <c r="BD6" s="71"/>
      <c r="BE6" s="71"/>
      <c r="BF6" s="71"/>
      <c r="BH6" s="73"/>
      <c r="BI6" s="73"/>
      <c r="BJ6" s="73"/>
      <c r="BK6" s="73"/>
      <c r="BL6" s="73"/>
      <c r="BM6" s="73"/>
      <c r="BN6" s="73"/>
      <c r="BP6" s="71">
        <f t="shared" si="8"/>
        <v>0</v>
      </c>
      <c r="BQ6" s="71">
        <f t="shared" si="9"/>
        <v>0</v>
      </c>
      <c r="BR6" s="71">
        <f t="shared" si="10"/>
        <v>0</v>
      </c>
      <c r="BS6" s="71">
        <f t="shared" si="11"/>
        <v>0</v>
      </c>
      <c r="BT6" s="71">
        <f t="shared" si="12"/>
        <v>0</v>
      </c>
    </row>
    <row r="7" spans="1:72" ht="15" customHeight="1" outlineLevel="1" x14ac:dyDescent="0.15">
      <c r="A7" s="8"/>
      <c r="B7" s="8" t="s">
        <v>32</v>
      </c>
      <c r="C7" s="10" t="s">
        <v>424</v>
      </c>
      <c r="D7" s="8">
        <v>11997440</v>
      </c>
      <c r="E7" s="9">
        <v>10</v>
      </c>
      <c r="F7" s="10">
        <v>32</v>
      </c>
      <c r="G7" s="10">
        <v>30</v>
      </c>
      <c r="H7" s="10">
        <v>12</v>
      </c>
      <c r="J7" s="63">
        <f t="shared" si="0"/>
        <v>12.345615</v>
      </c>
      <c r="K7" s="11">
        <f t="shared" si="1"/>
        <v>1.0976221593940041</v>
      </c>
      <c r="L7" s="10">
        <f t="shared" si="2"/>
        <v>13168656</v>
      </c>
      <c r="M7" s="10">
        <f t="shared" si="3"/>
        <v>2116848</v>
      </c>
      <c r="N7" s="25">
        <v>1217920</v>
      </c>
      <c r="O7" s="12">
        <v>13168656</v>
      </c>
      <c r="P7" s="12">
        <v>1296784</v>
      </c>
      <c r="Q7" s="12">
        <v>0</v>
      </c>
      <c r="R7" s="12">
        <v>820064</v>
      </c>
      <c r="S7" s="12">
        <v>11044472</v>
      </c>
      <c r="T7" s="12">
        <v>7336</v>
      </c>
      <c r="U7" s="26">
        <v>70.920882000000006</v>
      </c>
      <c r="V7" s="26">
        <v>72.287915699999999</v>
      </c>
      <c r="W7" s="26">
        <v>32.644033499999999</v>
      </c>
      <c r="X7" s="26">
        <v>36.916116600000002</v>
      </c>
      <c r="Y7" s="26">
        <v>36.637000200000003</v>
      </c>
      <c r="Z7" s="26">
        <v>50.530713200000001</v>
      </c>
      <c r="AA7" s="26">
        <v>30.175743900000001</v>
      </c>
      <c r="AB7" s="64">
        <v>1660.098027</v>
      </c>
      <c r="AC7" s="64">
        <v>18.881539</v>
      </c>
      <c r="AE7" s="63" t="str">
        <f t="shared" si="4"/>
        <v>·</v>
      </c>
      <c r="AF7" s="11" t="str">
        <f t="shared" si="5"/>
        <v>·</v>
      </c>
      <c r="AG7" s="10" t="str">
        <f t="shared" si="6"/>
        <v>.</v>
      </c>
      <c r="AH7" s="10" t="str">
        <f t="shared" si="7"/>
        <v>.</v>
      </c>
      <c r="AI7" s="25"/>
      <c r="AJ7" s="12"/>
      <c r="AK7" s="12"/>
      <c r="AL7" s="12"/>
      <c r="AM7" s="12"/>
      <c r="AN7" s="12"/>
      <c r="AO7" s="12"/>
      <c r="AP7" s="26"/>
      <c r="AQ7" s="26"/>
      <c r="AR7" s="26"/>
      <c r="AS7" s="26"/>
      <c r="AT7" s="26"/>
      <c r="AU7" s="26"/>
      <c r="AV7" s="26"/>
      <c r="AW7" s="64"/>
      <c r="AX7" s="64"/>
      <c r="AZ7" s="65"/>
      <c r="BA7" s="65"/>
      <c r="BB7" s="65"/>
      <c r="BC7" s="65"/>
      <c r="BD7" s="65"/>
      <c r="BE7" s="65"/>
      <c r="BF7" s="65"/>
      <c r="BH7" s="74"/>
      <c r="BI7" s="74"/>
      <c r="BJ7" s="74"/>
      <c r="BK7" s="74"/>
      <c r="BL7" s="74"/>
      <c r="BM7" s="74"/>
      <c r="BN7" s="74"/>
      <c r="BP7" s="65">
        <f t="shared" si="8"/>
        <v>0</v>
      </c>
      <c r="BQ7" s="65">
        <f t="shared" si="9"/>
        <v>0</v>
      </c>
      <c r="BR7" s="65">
        <f t="shared" si="10"/>
        <v>0</v>
      </c>
      <c r="BS7" s="65">
        <f t="shared" si="11"/>
        <v>0</v>
      </c>
      <c r="BT7" s="65">
        <f t="shared" si="12"/>
        <v>0</v>
      </c>
    </row>
    <row r="8" spans="1:72" ht="15" customHeight="1" outlineLevel="1" x14ac:dyDescent="0.15">
      <c r="A8" s="18"/>
      <c r="B8" s="18" t="s">
        <v>32</v>
      </c>
      <c r="C8" s="20" t="s">
        <v>425</v>
      </c>
      <c r="D8" s="18">
        <v>11997440</v>
      </c>
      <c r="E8" s="19">
        <v>10</v>
      </c>
      <c r="F8" s="20">
        <v>32</v>
      </c>
      <c r="G8" s="20">
        <v>30</v>
      </c>
      <c r="H8" s="20">
        <v>15</v>
      </c>
      <c r="J8" s="69">
        <f t="shared" si="0"/>
        <v>15.3878775</v>
      </c>
      <c r="K8" s="21">
        <f t="shared" si="1"/>
        <v>1.3681031953483409</v>
      </c>
      <c r="L8" s="20">
        <f t="shared" si="2"/>
        <v>16413736</v>
      </c>
      <c r="M8" s="20">
        <f t="shared" si="3"/>
        <v>2768072</v>
      </c>
      <c r="N8" s="27">
        <v>1217920</v>
      </c>
      <c r="O8" s="22">
        <v>16413736</v>
      </c>
      <c r="P8" s="22">
        <v>1419208</v>
      </c>
      <c r="Q8" s="22">
        <v>0</v>
      </c>
      <c r="R8" s="22">
        <v>1348864</v>
      </c>
      <c r="S8" s="22">
        <v>13638328</v>
      </c>
      <c r="T8" s="22">
        <v>7336</v>
      </c>
      <c r="U8" s="28">
        <v>72.366507499999997</v>
      </c>
      <c r="V8" s="28">
        <v>73.908919100000006</v>
      </c>
      <c r="W8" s="28">
        <v>33.580844800000001</v>
      </c>
      <c r="X8" s="28">
        <v>37.430510400000003</v>
      </c>
      <c r="Y8" s="28">
        <v>37.168128600000003</v>
      </c>
      <c r="Z8" s="28">
        <v>51.146059800000003</v>
      </c>
      <c r="AA8" s="28">
        <v>31.144371599999999</v>
      </c>
      <c r="AB8" s="70">
        <v>1667.3450009999999</v>
      </c>
      <c r="AC8" s="70">
        <v>19.578289000000002</v>
      </c>
      <c r="AE8" s="69" t="str">
        <f t="shared" si="4"/>
        <v>·</v>
      </c>
      <c r="AF8" s="21" t="str">
        <f t="shared" si="5"/>
        <v>·</v>
      </c>
      <c r="AG8" s="20" t="str">
        <f t="shared" si="6"/>
        <v>.</v>
      </c>
      <c r="AH8" s="20" t="str">
        <f t="shared" si="7"/>
        <v>.</v>
      </c>
      <c r="AI8" s="27"/>
      <c r="AJ8" s="22"/>
      <c r="AK8" s="22"/>
      <c r="AL8" s="22"/>
      <c r="AM8" s="22"/>
      <c r="AN8" s="22"/>
      <c r="AO8" s="22"/>
      <c r="AP8" s="28"/>
      <c r="AQ8" s="28"/>
      <c r="AR8" s="28"/>
      <c r="AS8" s="28"/>
      <c r="AT8" s="28"/>
      <c r="AU8" s="28"/>
      <c r="AV8" s="28"/>
      <c r="AW8" s="70"/>
      <c r="AX8" s="70"/>
      <c r="AZ8" s="71"/>
      <c r="BA8" s="71"/>
      <c r="BB8" s="71"/>
      <c r="BC8" s="71"/>
      <c r="BD8" s="71"/>
      <c r="BE8" s="71"/>
      <c r="BF8" s="71"/>
      <c r="BH8" s="73"/>
      <c r="BI8" s="73"/>
      <c r="BJ8" s="73"/>
      <c r="BK8" s="73"/>
      <c r="BL8" s="73"/>
      <c r="BM8" s="73"/>
      <c r="BN8" s="73"/>
      <c r="BP8" s="71">
        <f t="shared" si="8"/>
        <v>0</v>
      </c>
      <c r="BQ8" s="71">
        <f t="shared" si="9"/>
        <v>0</v>
      </c>
      <c r="BR8" s="71">
        <f t="shared" si="10"/>
        <v>0</v>
      </c>
      <c r="BS8" s="71">
        <f t="shared" si="11"/>
        <v>0</v>
      </c>
      <c r="BT8" s="71">
        <f t="shared" si="12"/>
        <v>0</v>
      </c>
    </row>
    <row r="9" spans="1:72" ht="15.75" customHeight="1" outlineLevel="1" thickBot="1" x14ac:dyDescent="0.2">
      <c r="A9" s="8"/>
      <c r="B9" s="29" t="s">
        <v>32</v>
      </c>
      <c r="C9" s="30" t="s">
        <v>426</v>
      </c>
      <c r="D9" s="29">
        <v>11997440</v>
      </c>
      <c r="E9" s="31">
        <v>10</v>
      </c>
      <c r="F9" s="30">
        <v>32</v>
      </c>
      <c r="G9" s="30">
        <v>30</v>
      </c>
      <c r="H9" s="30">
        <v>22</v>
      </c>
      <c r="J9" s="75">
        <f t="shared" si="0"/>
        <v>22.578442500000001</v>
      </c>
      <c r="K9" s="32">
        <f t="shared" si="1"/>
        <v>2.0074009121946017</v>
      </c>
      <c r="L9" s="30">
        <f t="shared" si="2"/>
        <v>24083672</v>
      </c>
      <c r="M9" s="30">
        <f t="shared" si="3"/>
        <v>4602176</v>
      </c>
      <c r="N9" s="33">
        <v>2446416</v>
      </c>
      <c r="O9" s="34">
        <v>24083672</v>
      </c>
      <c r="P9" s="34">
        <v>2132168</v>
      </c>
      <c r="Q9" s="34">
        <v>0</v>
      </c>
      <c r="R9" s="34">
        <v>2470008</v>
      </c>
      <c r="S9" s="34">
        <v>19474160</v>
      </c>
      <c r="T9" s="34">
        <v>7336</v>
      </c>
      <c r="U9" s="35">
        <v>75.592387099999996</v>
      </c>
      <c r="V9" s="35">
        <v>77.739084199999994</v>
      </c>
      <c r="W9" s="35">
        <v>35.019127699999999</v>
      </c>
      <c r="X9" s="35">
        <v>38.591703099999997</v>
      </c>
      <c r="Y9" s="35">
        <v>38.310696800000002</v>
      </c>
      <c r="Z9" s="35">
        <v>53.134980599999999</v>
      </c>
      <c r="AA9" s="35">
        <v>32.923923199999997</v>
      </c>
      <c r="AB9" s="76">
        <v>2138.1266599999999</v>
      </c>
      <c r="AC9" s="76">
        <v>21.160634000000002</v>
      </c>
      <c r="AE9" s="75" t="str">
        <f t="shared" si="4"/>
        <v>·</v>
      </c>
      <c r="AF9" s="32" t="str">
        <f t="shared" si="5"/>
        <v>·</v>
      </c>
      <c r="AG9" s="30" t="str">
        <f t="shared" si="6"/>
        <v>.</v>
      </c>
      <c r="AH9" s="30" t="str">
        <f t="shared" si="7"/>
        <v>.</v>
      </c>
      <c r="AI9" s="33"/>
      <c r="AJ9" s="34"/>
      <c r="AK9" s="34"/>
      <c r="AL9" s="34"/>
      <c r="AM9" s="34"/>
      <c r="AN9" s="34"/>
      <c r="AO9" s="34"/>
      <c r="AP9" s="35"/>
      <c r="AQ9" s="35"/>
      <c r="AR9" s="35"/>
      <c r="AS9" s="35"/>
      <c r="AT9" s="35"/>
      <c r="AU9" s="35"/>
      <c r="AV9" s="35"/>
      <c r="AW9" s="76"/>
      <c r="AX9" s="76"/>
      <c r="AZ9" s="77"/>
      <c r="BA9" s="77"/>
      <c r="BB9" s="77"/>
      <c r="BC9" s="77"/>
      <c r="BD9" s="77"/>
      <c r="BE9" s="77"/>
      <c r="BF9" s="77"/>
      <c r="BH9" s="78"/>
      <c r="BI9" s="78"/>
      <c r="BJ9" s="78"/>
      <c r="BK9" s="78"/>
      <c r="BL9" s="78"/>
      <c r="BM9" s="78"/>
      <c r="BN9" s="78"/>
      <c r="BP9" s="77">
        <f t="shared" si="8"/>
        <v>0</v>
      </c>
      <c r="BQ9" s="77">
        <f t="shared" si="9"/>
        <v>0</v>
      </c>
      <c r="BR9" s="77">
        <f t="shared" si="10"/>
        <v>0</v>
      </c>
      <c r="BS9" s="77">
        <f t="shared" si="11"/>
        <v>0</v>
      </c>
      <c r="BT9" s="77">
        <f t="shared" si="12"/>
        <v>0</v>
      </c>
    </row>
    <row r="10" spans="1:72" ht="15" customHeight="1" x14ac:dyDescent="0.15">
      <c r="A10" s="18"/>
      <c r="B10" s="18" t="s">
        <v>47</v>
      </c>
      <c r="C10" s="20" t="s">
        <v>422</v>
      </c>
      <c r="D10" s="18">
        <v>9000000</v>
      </c>
      <c r="E10" s="19">
        <v>10</v>
      </c>
      <c r="F10" s="20">
        <v>32</v>
      </c>
      <c r="G10" s="20">
        <v>30</v>
      </c>
      <c r="H10" s="20">
        <v>5</v>
      </c>
      <c r="J10" s="69">
        <f t="shared" si="0"/>
        <v>5.0615325000000002</v>
      </c>
      <c r="K10" s="21">
        <f t="shared" si="1"/>
        <v>0.59988533333333338</v>
      </c>
      <c r="L10" s="20">
        <f t="shared" si="2"/>
        <v>5398968</v>
      </c>
      <c r="M10" s="20">
        <f t="shared" si="3"/>
        <v>1519024</v>
      </c>
      <c r="N10" s="27">
        <v>598416</v>
      </c>
      <c r="O10" s="22">
        <v>5398968</v>
      </c>
      <c r="P10" s="22">
        <v>890088</v>
      </c>
      <c r="Q10" s="22">
        <v>0</v>
      </c>
      <c r="R10" s="22">
        <v>628936</v>
      </c>
      <c r="S10" s="22">
        <v>3872864</v>
      </c>
      <c r="T10" s="22">
        <v>7080</v>
      </c>
      <c r="U10" s="28">
        <v>64.349290499999995</v>
      </c>
      <c r="V10" s="28">
        <v>64.922006100000004</v>
      </c>
      <c r="W10" s="28">
        <v>32.012337899999999</v>
      </c>
      <c r="X10" s="28">
        <v>44.821093099999999</v>
      </c>
      <c r="Y10" s="28">
        <v>45.094386499999999</v>
      </c>
      <c r="Z10" s="28">
        <v>43.4508419</v>
      </c>
      <c r="AA10" s="28">
        <v>29.159087799999998</v>
      </c>
      <c r="AB10" s="70">
        <v>1687.998904</v>
      </c>
      <c r="AC10" s="70">
        <v>16.751795999999999</v>
      </c>
      <c r="AE10" s="69" t="str">
        <f t="shared" si="4"/>
        <v>·</v>
      </c>
      <c r="AF10" s="21" t="str">
        <f t="shared" si="5"/>
        <v>·</v>
      </c>
      <c r="AG10" s="20" t="str">
        <f t="shared" si="6"/>
        <v>.</v>
      </c>
      <c r="AH10" s="20" t="str">
        <f t="shared" si="7"/>
        <v>.</v>
      </c>
      <c r="AI10" s="27"/>
      <c r="AJ10" s="22"/>
      <c r="AK10" s="22"/>
      <c r="AL10" s="22"/>
      <c r="AM10" s="22"/>
      <c r="AN10" s="22"/>
      <c r="AO10" s="22"/>
      <c r="AP10" s="28"/>
      <c r="AQ10" s="28"/>
      <c r="AR10" s="28"/>
      <c r="AS10" s="28"/>
      <c r="AT10" s="28"/>
      <c r="AU10" s="28"/>
      <c r="AV10" s="28"/>
      <c r="AW10" s="70"/>
      <c r="AX10" s="70"/>
      <c r="AZ10" s="71" t="str">
        <f t="array" ref="AZ10">IF( OR(AND(ISBLANK(L10:L14)),AND(ISBLANK(AG10:AG14)), AND(ISBLANK(U10:U14)),AND(ISBLANK(AP10:AP14))), "·", bdRateExtend( L10:L14,U10:U14, AG10:AG14,AP10:AP14))</f>
        <v>·</v>
      </c>
      <c r="BA10" s="71" t="str">
        <f t="array" ref="BA10">IF( OR(AND(ISBLANK(L10:L14)),AND(ISBLANK(AG10:AG14)), AND(ISBLANK(V10:V14)),AND(ISBLANK(AQ10:AQ14))), "·", bdRateExtend( L10:L14,V10:V14, AG10:AG14,AQ10:AQ14))</f>
        <v>·</v>
      </c>
      <c r="BB10" s="71" t="str">
        <f t="array" ref="BB10">IF( OR(AND(ISBLANK(L10:L14)),AND(ISBLANK(AG10:AG14)), AND(ISBLANK(W10:W14)),AND(ISBLANK(AR10:AR14))), "·", bdRateExtend( L10:L14,W10:W14, AG10:AG14,AR10:AR14))</f>
        <v>·</v>
      </c>
      <c r="BC10" s="71" t="str">
        <f t="array" ref="BC10">IF( OR(AND(ISBLANK(L10:L14)),AND(ISBLANK(AG10:AG14)), AND(ISBLANK(X10:X14)),AND(ISBLANK(AS10:AS14))), "·", bdRateExtend( L10:L14,X10:X14, AG10:AG14,AS10:AS14))</f>
        <v>·</v>
      </c>
      <c r="BD10" s="71" t="str">
        <f t="array" ref="BD10">IF( OR(AND(ISBLANK(L10:L14)),AND(ISBLANK(AG10:AG14)), AND(ISBLANK(Y10:Y14)),AND(ISBLANK(AT10:AT14))), "·", bdRateExtend( L10:L14,Y10:Y14, AG10:AG14,AT10:AT14))</f>
        <v>·</v>
      </c>
      <c r="BE10" s="71" t="str">
        <f t="array" ref="BE10">IF( OR(AND(ISBLANK(L10:L14)),AND(ISBLANK(AG10:AG14)), AND(ISBLANK(Z10:Z14)),AND(ISBLANK(AU10:AU14))), "·", bdRateExtend( L10:L14,Z10:Z14, AG10:AG14,AU10:AU14))</f>
        <v>·</v>
      </c>
      <c r="BF10" s="71" t="str">
        <f t="array" ref="BF10">IF( OR(AND(ISBLANK(L10:L14)),AND(ISBLANK(AG10:AG14)), AND(ISBLANK(AA10:AA14)),AND(ISBLANK(AV10:AV14))), "·", bdRateExtend( L10:L14,AA10:AA14, AG10:AG14,AV10:AV14))</f>
        <v>·</v>
      </c>
      <c r="BH10" s="71" t="str">
        <f t="array" ref="BH10">IF( OR(AND(ISBLANK(M10:M14)),AND(ISBLANK(AH10:AH14)), AND(ISBLANK(U10:U14)),AND(ISBLANK(AP10:AP14))), "·", bdRateExtend( M10:M14,U10:U14, AH10:AH14,AP10:AP14))</f>
        <v>·</v>
      </c>
      <c r="BI10" s="71" t="str">
        <f t="array" ref="BI10">IF( OR(AND(ISBLANK(M10:M14)),AND(ISBLANK(AH10:AH14)), AND(ISBLANK(V10:V14)),AND(ISBLANK(AQ10:AQ14))), "·", bdRateExtend( M10:M14,V10:V14, AH10:AH14,AQ10:AQ14))</f>
        <v>·</v>
      </c>
      <c r="BJ10" s="71" t="str">
        <f t="array" ref="BJ10">IF( OR(AND(ISBLANK(S10:S14)),AND(ISBLANK(AN10:AN14)), AND(ISBLANK(W10:W14)),AND(ISBLANK(AR10:AR14))), "·", bdRateExtend( S10:S14,W10:W14, AN10:AN14,AR10:AR14))</f>
        <v>·</v>
      </c>
      <c r="BK10" s="71" t="str">
        <f t="array" ref="BK10">IF( OR(AND(ISBLANK(S10:S14)),AND(ISBLANK(AN10:AN14)), AND(ISBLANK(X10:X14)),AND(ISBLANK(AS10:AS14))), "·", bdRateExtend( S10:S14,X10:X14, AN10:AN14,AS10:AS14))</f>
        <v>·</v>
      </c>
      <c r="BL10" s="71" t="str">
        <f t="array" ref="BL10">IF( OR(AND(ISBLANK(S10:S14)),AND(ISBLANK(AN10:AN14)), AND(ISBLANK(Y10:Y14)),AND(ISBLANK(AT10:AT14))), "·", bdRateExtend( S10:S14,Y10:Y14, AN10:AN14,AT10:AT14))</f>
        <v>·</v>
      </c>
      <c r="BM10" s="71" t="str">
        <f t="array" ref="BM10">IF( OR(AND(ISBLANK(M10:M14)),AND(ISBLANK(AH10:AH14)), AND(ISBLANK(Z10:Z14)),AND(ISBLANK(AU10:AU14))), "·", bdRateExtend( M10:M14,Z10:Z14, AH10:AH14,AU10:AU14))</f>
        <v>·</v>
      </c>
      <c r="BN10" s="71" t="str">
        <f t="array" ref="BN10">IF( OR(AND(ISBLANK(S10:S14)),AND(ISBLANK(AN10:AN14)), AND(ISBLANK(AA10:AA14)),AND(ISBLANK(AV10:AV14))), "·", bdRateExtend( S10:S14,AA10:AA14, AN10:AN14,AV10:AV14))</f>
        <v>·</v>
      </c>
      <c r="BP10" s="71">
        <f t="shared" si="8"/>
        <v>0</v>
      </c>
      <c r="BQ10" s="71">
        <f t="shared" si="9"/>
        <v>0</v>
      </c>
      <c r="BR10" s="71">
        <f t="shared" si="10"/>
        <v>0</v>
      </c>
      <c r="BS10" s="71">
        <f t="shared" si="11"/>
        <v>0</v>
      </c>
      <c r="BT10" s="71">
        <f t="shared" si="12"/>
        <v>0</v>
      </c>
    </row>
    <row r="11" spans="1:72" ht="15" customHeight="1" outlineLevel="1" x14ac:dyDescent="0.15">
      <c r="A11" s="8"/>
      <c r="B11" s="8" t="s">
        <v>47</v>
      </c>
      <c r="C11" s="10" t="s">
        <v>423</v>
      </c>
      <c r="D11" s="8">
        <v>9000000</v>
      </c>
      <c r="E11" s="9">
        <v>10</v>
      </c>
      <c r="F11" s="10">
        <v>32</v>
      </c>
      <c r="G11" s="10">
        <v>30</v>
      </c>
      <c r="H11" s="10">
        <v>9</v>
      </c>
      <c r="J11" s="63">
        <f t="shared" si="0"/>
        <v>9.2138624999999994</v>
      </c>
      <c r="K11" s="11">
        <f t="shared" si="1"/>
        <v>1.0920133333333333</v>
      </c>
      <c r="L11" s="10">
        <f t="shared" si="2"/>
        <v>9828120</v>
      </c>
      <c r="M11" s="10">
        <f t="shared" si="3"/>
        <v>2512656</v>
      </c>
      <c r="N11" s="25">
        <v>1211920</v>
      </c>
      <c r="O11" s="12">
        <v>9828120</v>
      </c>
      <c r="P11" s="12">
        <v>1408864</v>
      </c>
      <c r="Q11" s="12">
        <v>0</v>
      </c>
      <c r="R11" s="12">
        <v>1103792</v>
      </c>
      <c r="S11" s="12">
        <v>7308128</v>
      </c>
      <c r="T11" s="12">
        <v>7336</v>
      </c>
      <c r="U11" s="26">
        <v>69.2228128</v>
      </c>
      <c r="V11" s="26">
        <v>70.409777199999994</v>
      </c>
      <c r="W11" s="26">
        <v>34.768453000000001</v>
      </c>
      <c r="X11" s="26">
        <v>45.461772799999999</v>
      </c>
      <c r="Y11" s="26">
        <v>45.867935199999998</v>
      </c>
      <c r="Z11" s="26">
        <v>46.5722886</v>
      </c>
      <c r="AA11" s="26">
        <v>31.961362999999999</v>
      </c>
      <c r="AB11" s="64">
        <v>1868.8732520000001</v>
      </c>
      <c r="AC11" s="64">
        <v>22.784365999999999</v>
      </c>
      <c r="AE11" s="63" t="str">
        <f t="shared" si="4"/>
        <v>·</v>
      </c>
      <c r="AF11" s="11" t="str">
        <f t="shared" si="5"/>
        <v>·</v>
      </c>
      <c r="AG11" s="10" t="str">
        <f t="shared" si="6"/>
        <v>.</v>
      </c>
      <c r="AH11" s="10" t="str">
        <f t="shared" si="7"/>
        <v>.</v>
      </c>
      <c r="AI11" s="25"/>
      <c r="AJ11" s="12"/>
      <c r="AK11" s="12"/>
      <c r="AL11" s="12"/>
      <c r="AM11" s="12"/>
      <c r="AN11" s="12"/>
      <c r="AO11" s="12"/>
      <c r="AP11" s="26"/>
      <c r="AQ11" s="26"/>
      <c r="AR11" s="26"/>
      <c r="AS11" s="26"/>
      <c r="AT11" s="26"/>
      <c r="AU11" s="26"/>
      <c r="AV11" s="26"/>
      <c r="AW11" s="64"/>
      <c r="AX11" s="64"/>
      <c r="AZ11" s="65"/>
      <c r="BA11" s="65"/>
      <c r="BB11" s="65"/>
      <c r="BC11" s="65"/>
      <c r="BD11" s="65"/>
      <c r="BE11" s="65"/>
      <c r="BF11" s="65"/>
      <c r="BH11" s="65"/>
      <c r="BI11" s="65"/>
      <c r="BJ11" s="65"/>
      <c r="BK11" s="65"/>
      <c r="BL11" s="65"/>
      <c r="BM11" s="65"/>
      <c r="BN11" s="65"/>
      <c r="BP11" s="65">
        <f t="shared" si="8"/>
        <v>0</v>
      </c>
      <c r="BQ11" s="65">
        <f t="shared" si="9"/>
        <v>0</v>
      </c>
      <c r="BR11" s="65">
        <f t="shared" si="10"/>
        <v>0</v>
      </c>
      <c r="BS11" s="65">
        <f t="shared" si="11"/>
        <v>0</v>
      </c>
      <c r="BT11" s="65">
        <f t="shared" si="12"/>
        <v>0</v>
      </c>
    </row>
    <row r="12" spans="1:72" ht="15" customHeight="1" outlineLevel="1" x14ac:dyDescent="0.15">
      <c r="A12" s="18"/>
      <c r="B12" s="18" t="s">
        <v>47</v>
      </c>
      <c r="C12" s="20" t="s">
        <v>424</v>
      </c>
      <c r="D12" s="18">
        <v>9000000</v>
      </c>
      <c r="E12" s="19">
        <v>10</v>
      </c>
      <c r="F12" s="20">
        <v>32</v>
      </c>
      <c r="G12" s="20">
        <v>30</v>
      </c>
      <c r="H12" s="20">
        <v>12</v>
      </c>
      <c r="J12" s="69">
        <f t="shared" si="0"/>
        <v>11.746567499999999</v>
      </c>
      <c r="K12" s="21">
        <f t="shared" si="1"/>
        <v>1.3921857777777777</v>
      </c>
      <c r="L12" s="20">
        <f t="shared" si="2"/>
        <v>12529672</v>
      </c>
      <c r="M12" s="20">
        <f t="shared" si="3"/>
        <v>3303144</v>
      </c>
      <c r="N12" s="27">
        <v>1211920</v>
      </c>
      <c r="O12" s="22">
        <v>12529672</v>
      </c>
      <c r="P12" s="22">
        <v>1408864</v>
      </c>
      <c r="Q12" s="22">
        <v>0</v>
      </c>
      <c r="R12" s="22">
        <v>1894280</v>
      </c>
      <c r="S12" s="22">
        <v>9219192</v>
      </c>
      <c r="T12" s="22">
        <v>7336</v>
      </c>
      <c r="U12" s="28">
        <v>70.409053099999994</v>
      </c>
      <c r="V12" s="28">
        <v>71.716013099999998</v>
      </c>
      <c r="W12" s="28">
        <v>35.745931400000003</v>
      </c>
      <c r="X12" s="28">
        <v>45.782284699999998</v>
      </c>
      <c r="Y12" s="28">
        <v>46.223075299999998</v>
      </c>
      <c r="Z12" s="28">
        <v>46.849651000000001</v>
      </c>
      <c r="AA12" s="28">
        <v>32.781679599999997</v>
      </c>
      <c r="AB12" s="70">
        <v>1873.71801</v>
      </c>
      <c r="AC12" s="70">
        <v>21.431963</v>
      </c>
      <c r="AE12" s="69" t="str">
        <f t="shared" si="4"/>
        <v>·</v>
      </c>
      <c r="AF12" s="21" t="str">
        <f t="shared" si="5"/>
        <v>·</v>
      </c>
      <c r="AG12" s="20" t="str">
        <f t="shared" si="6"/>
        <v>.</v>
      </c>
      <c r="AH12" s="20" t="str">
        <f t="shared" si="7"/>
        <v>.</v>
      </c>
      <c r="AI12" s="27"/>
      <c r="AJ12" s="22"/>
      <c r="AK12" s="22"/>
      <c r="AL12" s="22"/>
      <c r="AM12" s="22"/>
      <c r="AN12" s="22"/>
      <c r="AO12" s="22"/>
      <c r="AP12" s="28"/>
      <c r="AQ12" s="28"/>
      <c r="AR12" s="28"/>
      <c r="AS12" s="28"/>
      <c r="AT12" s="28"/>
      <c r="AU12" s="28"/>
      <c r="AV12" s="28"/>
      <c r="AW12" s="70"/>
      <c r="AX12" s="70"/>
      <c r="AZ12" s="71"/>
      <c r="BA12" s="71"/>
      <c r="BB12" s="71"/>
      <c r="BC12" s="71"/>
      <c r="BD12" s="71"/>
      <c r="BE12" s="71"/>
      <c r="BF12" s="71"/>
      <c r="BH12" s="71"/>
      <c r="BI12" s="71"/>
      <c r="BJ12" s="71"/>
      <c r="BK12" s="71"/>
      <c r="BL12" s="71"/>
      <c r="BM12" s="71"/>
      <c r="BN12" s="71"/>
      <c r="BP12" s="71">
        <f t="shared" si="8"/>
        <v>0</v>
      </c>
      <c r="BQ12" s="71">
        <f t="shared" si="9"/>
        <v>0</v>
      </c>
      <c r="BR12" s="71">
        <f t="shared" si="10"/>
        <v>0</v>
      </c>
      <c r="BS12" s="71">
        <f t="shared" si="11"/>
        <v>0</v>
      </c>
      <c r="BT12" s="71">
        <f t="shared" si="12"/>
        <v>0</v>
      </c>
    </row>
    <row r="13" spans="1:72" ht="15" customHeight="1" outlineLevel="1" x14ac:dyDescent="0.15">
      <c r="A13" s="8"/>
      <c r="B13" s="8" t="s">
        <v>47</v>
      </c>
      <c r="C13" s="10" t="s">
        <v>425</v>
      </c>
      <c r="D13" s="8">
        <v>9000000</v>
      </c>
      <c r="E13" s="9">
        <v>10</v>
      </c>
      <c r="F13" s="10">
        <v>32</v>
      </c>
      <c r="G13" s="10">
        <v>30</v>
      </c>
      <c r="H13" s="10">
        <v>15</v>
      </c>
      <c r="J13" s="63">
        <f t="shared" si="0"/>
        <v>15.301702499999999</v>
      </c>
      <c r="K13" s="11">
        <f t="shared" si="1"/>
        <v>1.8135351111111111</v>
      </c>
      <c r="L13" s="10">
        <f t="shared" si="2"/>
        <v>16321816</v>
      </c>
      <c r="M13" s="10">
        <f t="shared" si="3"/>
        <v>4628456</v>
      </c>
      <c r="N13" s="25">
        <v>2440288</v>
      </c>
      <c r="O13" s="12">
        <v>16321816</v>
      </c>
      <c r="P13" s="12">
        <v>2309144</v>
      </c>
      <c r="Q13" s="12">
        <v>0</v>
      </c>
      <c r="R13" s="12">
        <v>2319312</v>
      </c>
      <c r="S13" s="12">
        <v>11686024</v>
      </c>
      <c r="T13" s="12">
        <v>7336</v>
      </c>
      <c r="U13" s="26">
        <v>73.490890899999997</v>
      </c>
      <c r="V13" s="26">
        <v>75.329556299999993</v>
      </c>
      <c r="W13" s="26">
        <v>36.9270554</v>
      </c>
      <c r="X13" s="26">
        <v>46.541076199999999</v>
      </c>
      <c r="Y13" s="26">
        <v>47.094900500000001</v>
      </c>
      <c r="Z13" s="26">
        <v>48.951491599999997</v>
      </c>
      <c r="AA13" s="26">
        <v>34.5091392</v>
      </c>
      <c r="AB13" s="64">
        <v>2279.6665119999998</v>
      </c>
      <c r="AC13" s="64">
        <v>17.474164999999999</v>
      </c>
      <c r="AE13" s="63" t="str">
        <f t="shared" si="4"/>
        <v>·</v>
      </c>
      <c r="AF13" s="11" t="str">
        <f t="shared" si="5"/>
        <v>·</v>
      </c>
      <c r="AG13" s="10" t="str">
        <f t="shared" si="6"/>
        <v>.</v>
      </c>
      <c r="AH13" s="10" t="str">
        <f t="shared" si="7"/>
        <v>.</v>
      </c>
      <c r="AI13" s="25"/>
      <c r="AJ13" s="12"/>
      <c r="AK13" s="12"/>
      <c r="AL13" s="12"/>
      <c r="AM13" s="12"/>
      <c r="AN13" s="12"/>
      <c r="AO13" s="12"/>
      <c r="AP13" s="26"/>
      <c r="AQ13" s="26"/>
      <c r="AR13" s="26"/>
      <c r="AS13" s="26"/>
      <c r="AT13" s="26"/>
      <c r="AU13" s="26"/>
      <c r="AV13" s="26"/>
      <c r="AW13" s="64"/>
      <c r="AX13" s="64"/>
      <c r="AZ13" s="65"/>
      <c r="BA13" s="65"/>
      <c r="BB13" s="65"/>
      <c r="BC13" s="65"/>
      <c r="BD13" s="65"/>
      <c r="BE13" s="65"/>
      <c r="BF13" s="65"/>
      <c r="BH13" s="65"/>
      <c r="BI13" s="65"/>
      <c r="BJ13" s="65"/>
      <c r="BK13" s="65"/>
      <c r="BL13" s="65"/>
      <c r="BM13" s="65"/>
      <c r="BN13" s="65"/>
      <c r="BP13" s="65">
        <f t="shared" si="8"/>
        <v>0</v>
      </c>
      <c r="BQ13" s="65">
        <f t="shared" si="9"/>
        <v>0</v>
      </c>
      <c r="BR13" s="65">
        <f t="shared" si="10"/>
        <v>0</v>
      </c>
      <c r="BS13" s="65">
        <f t="shared" si="11"/>
        <v>0</v>
      </c>
      <c r="BT13" s="65">
        <f t="shared" si="12"/>
        <v>0</v>
      </c>
    </row>
    <row r="14" spans="1:72" ht="15.75" customHeight="1" outlineLevel="1" thickBot="1" x14ac:dyDescent="0.2">
      <c r="A14" s="13"/>
      <c r="B14" s="13" t="s">
        <v>47</v>
      </c>
      <c r="C14" s="15" t="s">
        <v>426</v>
      </c>
      <c r="D14" s="13">
        <v>9000000</v>
      </c>
      <c r="E14" s="14">
        <v>10</v>
      </c>
      <c r="F14" s="15">
        <v>32</v>
      </c>
      <c r="G14" s="15">
        <v>30</v>
      </c>
      <c r="H14" s="15">
        <v>22</v>
      </c>
      <c r="J14" s="66">
        <f t="shared" si="0"/>
        <v>22.324567500000001</v>
      </c>
      <c r="K14" s="16">
        <f t="shared" si="1"/>
        <v>2.6458746666666668</v>
      </c>
      <c r="L14" s="15">
        <f t="shared" si="2"/>
        <v>23812872</v>
      </c>
      <c r="M14" s="15">
        <f t="shared" si="3"/>
        <v>5506704</v>
      </c>
      <c r="N14" s="36">
        <v>2440288</v>
      </c>
      <c r="O14" s="17">
        <v>23812872</v>
      </c>
      <c r="P14" s="17">
        <v>2547816</v>
      </c>
      <c r="Q14" s="17">
        <v>0</v>
      </c>
      <c r="R14" s="17">
        <v>2958888</v>
      </c>
      <c r="S14" s="17">
        <v>18298832</v>
      </c>
      <c r="T14" s="17">
        <v>7336</v>
      </c>
      <c r="U14" s="37">
        <v>74.184444499999998</v>
      </c>
      <c r="V14" s="37">
        <v>76.140964699999998</v>
      </c>
      <c r="W14" s="37">
        <v>38.550648600000002</v>
      </c>
      <c r="X14" s="37">
        <v>47.565123</v>
      </c>
      <c r="Y14" s="37">
        <v>48.229986699999998</v>
      </c>
      <c r="Z14" s="37">
        <v>49.137879699999999</v>
      </c>
      <c r="AA14" s="37">
        <v>35.5411383</v>
      </c>
      <c r="AB14" s="67">
        <v>2323.9071319999998</v>
      </c>
      <c r="AC14" s="67">
        <v>21.548587000000001</v>
      </c>
      <c r="AE14" s="66" t="str">
        <f t="shared" si="4"/>
        <v>·</v>
      </c>
      <c r="AF14" s="16" t="str">
        <f t="shared" si="5"/>
        <v>·</v>
      </c>
      <c r="AG14" s="15" t="str">
        <f t="shared" si="6"/>
        <v>.</v>
      </c>
      <c r="AH14" s="15" t="str">
        <f t="shared" si="7"/>
        <v>.</v>
      </c>
      <c r="AI14" s="36"/>
      <c r="AJ14" s="17"/>
      <c r="AK14" s="17"/>
      <c r="AL14" s="17"/>
      <c r="AM14" s="17"/>
      <c r="AN14" s="17"/>
      <c r="AO14" s="17"/>
      <c r="AP14" s="37"/>
      <c r="AQ14" s="37"/>
      <c r="AR14" s="37"/>
      <c r="AS14" s="37"/>
      <c r="AT14" s="37"/>
      <c r="AU14" s="37"/>
      <c r="AV14" s="37"/>
      <c r="AW14" s="67"/>
      <c r="AX14" s="67"/>
      <c r="AZ14" s="68"/>
      <c r="BA14" s="68"/>
      <c r="BB14" s="68"/>
      <c r="BC14" s="68"/>
      <c r="BD14" s="68"/>
      <c r="BE14" s="68"/>
      <c r="BF14" s="68"/>
      <c r="BH14" s="68"/>
      <c r="BI14" s="68"/>
      <c r="BJ14" s="68"/>
      <c r="BK14" s="68"/>
      <c r="BL14" s="68"/>
      <c r="BM14" s="68"/>
      <c r="BN14" s="68"/>
      <c r="BP14" s="68">
        <f t="shared" si="8"/>
        <v>0</v>
      </c>
      <c r="BQ14" s="68">
        <f t="shared" si="9"/>
        <v>0</v>
      </c>
      <c r="BR14" s="68">
        <f t="shared" si="10"/>
        <v>0</v>
      </c>
      <c r="BS14" s="68">
        <f t="shared" si="11"/>
        <v>0</v>
      </c>
      <c r="BT14" s="68">
        <f t="shared" si="12"/>
        <v>0</v>
      </c>
    </row>
    <row r="15" spans="1:72" ht="15" customHeight="1" x14ac:dyDescent="0.15">
      <c r="A15" s="8" t="s">
        <v>187</v>
      </c>
      <c r="B15" s="8" t="s">
        <v>52</v>
      </c>
      <c r="C15" s="10" t="s">
        <v>422</v>
      </c>
      <c r="D15" s="8">
        <v>11842002</v>
      </c>
      <c r="E15" s="9">
        <v>12</v>
      </c>
      <c r="F15" s="10">
        <v>32</v>
      </c>
      <c r="G15" s="10">
        <v>30</v>
      </c>
      <c r="H15" s="10">
        <v>3</v>
      </c>
      <c r="J15" s="63">
        <f t="shared" si="0"/>
        <v>3.0315675</v>
      </c>
      <c r="K15" s="11">
        <f t="shared" si="1"/>
        <v>0.27306801670866127</v>
      </c>
      <c r="L15" s="10">
        <f t="shared" si="2"/>
        <v>3233672</v>
      </c>
      <c r="M15" s="10">
        <f t="shared" si="3"/>
        <v>1229448</v>
      </c>
      <c r="N15" s="25">
        <v>604864</v>
      </c>
      <c r="O15" s="12">
        <v>3233672</v>
      </c>
      <c r="P15" s="12">
        <v>701736</v>
      </c>
      <c r="Q15" s="12">
        <v>0</v>
      </c>
      <c r="R15" s="12">
        <v>527712</v>
      </c>
      <c r="S15" s="12">
        <v>1997144</v>
      </c>
      <c r="T15" s="12">
        <v>7080</v>
      </c>
      <c r="U15" s="26">
        <v>70.557730199999995</v>
      </c>
      <c r="V15" s="26">
        <v>71.687577599999997</v>
      </c>
      <c r="W15" s="26">
        <v>35.534829199999997</v>
      </c>
      <c r="X15" s="26">
        <v>43.385461300000003</v>
      </c>
      <c r="Y15" s="26">
        <v>45.053174400000003</v>
      </c>
      <c r="Z15" s="26">
        <v>45.1331548</v>
      </c>
      <c r="AA15" s="26">
        <v>31.997724999999999</v>
      </c>
      <c r="AB15" s="64">
        <v>1325.0736300000001</v>
      </c>
      <c r="AC15" s="64">
        <v>16.905487999999998</v>
      </c>
      <c r="AE15" s="63" t="str">
        <f t="shared" si="4"/>
        <v>·</v>
      </c>
      <c r="AF15" s="11" t="str">
        <f t="shared" si="5"/>
        <v>·</v>
      </c>
      <c r="AG15" s="10" t="str">
        <f t="shared" si="6"/>
        <v>.</v>
      </c>
      <c r="AH15" s="10" t="str">
        <f t="shared" si="7"/>
        <v>.</v>
      </c>
      <c r="AI15" s="25"/>
      <c r="AJ15" s="12"/>
      <c r="AK15" s="12"/>
      <c r="AL15" s="12"/>
      <c r="AM15" s="12"/>
      <c r="AN15" s="12"/>
      <c r="AO15" s="12"/>
      <c r="AP15" s="26"/>
      <c r="AQ15" s="26"/>
      <c r="AR15" s="26"/>
      <c r="AS15" s="26"/>
      <c r="AT15" s="26"/>
      <c r="AU15" s="26"/>
      <c r="AV15" s="26"/>
      <c r="AW15" s="64"/>
      <c r="AX15" s="64"/>
      <c r="AZ15" s="65" t="str">
        <f t="array" ref="AZ15">IF( OR(AND(ISBLANK(L15:L19)),AND(ISBLANK(AG15:AG19)), AND(ISBLANK(U15:U19)),AND(ISBLANK(AP15:AP19))), "·", bdRateExtend( L15:L19,U15:U19, AG15:AG19,AP15:AP19))</f>
        <v>·</v>
      </c>
      <c r="BA15" s="65" t="str">
        <f t="array" ref="BA15">IF( OR(AND(ISBLANK(L15:L19)),AND(ISBLANK(AG15:AG19)), AND(ISBLANK(V15:V19)),AND(ISBLANK(AQ15:AQ19))), "·", bdRateExtend( L15:L19,V15:V19, AG15:AG19,AQ15:AQ19))</f>
        <v>·</v>
      </c>
      <c r="BB15" s="65" t="str">
        <f t="array" ref="BB15">IF( OR(AND(ISBLANK(L15:L19)),AND(ISBLANK(AG15:AG19)), AND(ISBLANK(W15:W19)),AND(ISBLANK(AR15:AR19))), "·", bdRateExtend( L15:L19,W15:W19, AG15:AG19,AR15:AR19))</f>
        <v>·</v>
      </c>
      <c r="BC15" s="65" t="str">
        <f t="array" ref="BC15">IF( OR(AND(ISBLANK(L15:L19)),AND(ISBLANK(AG15:AG19)), AND(ISBLANK(X15:X19)),AND(ISBLANK(AS15:AS19))), "·", bdRateExtend( L15:L19,X15:X19, AG15:AG19,AS15:AS19))</f>
        <v>·</v>
      </c>
      <c r="BD15" s="65" t="str">
        <f t="array" ref="BD15">IF( OR(AND(ISBLANK(L15:L19)),AND(ISBLANK(AG15:AG19)), AND(ISBLANK(Y15:Y19)),AND(ISBLANK(AT15:AT19))), "·", bdRateExtend( L15:L19,Y15:Y19, AG15:AG19,AT15:AT19))</f>
        <v>·</v>
      </c>
      <c r="BE15" s="65" t="str">
        <f t="array" ref="BE15">IF( OR(AND(ISBLANK(L15:L19)),AND(ISBLANK(AG15:AG19)), AND(ISBLANK(Z15:Z19)),AND(ISBLANK(AU15:AU19))), "·", bdRateExtend( L15:L19,Z15:Z19, AG15:AG19,AU15:AU19))</f>
        <v>·</v>
      </c>
      <c r="BF15" s="65" t="str">
        <f t="array" ref="BF15">IF( OR(AND(ISBLANK(L15:L19)),AND(ISBLANK(AG15:AG19)), AND(ISBLANK(AA15:AA19)),AND(ISBLANK(AV15:AV19))), "·", bdRateExtend( L15:L19,AA15:AA19, AG15:AG19,AV15:AV19))</f>
        <v>·</v>
      </c>
      <c r="BH15" s="65" t="str">
        <f t="array" ref="BH15">IF( OR(AND(ISBLANK(M15:M19)),AND(ISBLANK(AH15:AH19)), AND(ISBLANK(U15:U19)),AND(ISBLANK(AP15:AP19))), "·", bdRateExtend( M15:M19,U15:U19, AH15:AH19,AP15:AP19))</f>
        <v>·</v>
      </c>
      <c r="BI15" s="65" t="str">
        <f t="array" ref="BI15">IF( OR(AND(ISBLANK(M15:M19)),AND(ISBLANK(AH15:AH19)), AND(ISBLANK(V15:V19)),AND(ISBLANK(AQ15:AQ19))), "·", bdRateExtend( M15:M19,V15:V19, AH15:AH19,AQ15:AQ19))</f>
        <v>·</v>
      </c>
      <c r="BJ15" s="65" t="str">
        <f t="array" ref="BJ15">IF( OR(AND(ISBLANK(S15:S19)),AND(ISBLANK(AN15:AN19)), AND(ISBLANK(W15:W19)),AND(ISBLANK(AR15:AR19))), "·", bdRateExtend( S15:S19,W15:W19, AN15:AN19,AR15:AR19))</f>
        <v>·</v>
      </c>
      <c r="BK15" s="65" t="str">
        <f t="array" ref="BK15">IF( OR(AND(ISBLANK(S15:S19)),AND(ISBLANK(AN15:AN19)), AND(ISBLANK(X15:X19)),AND(ISBLANK(AS15:AS19))), "·", bdRateExtend( S15:S19,X15:X19, AN15:AN19,AS15:AS19))</f>
        <v>·</v>
      </c>
      <c r="BL15" s="65" t="str">
        <f t="array" ref="BL15">IF( OR(AND(ISBLANK(S15:S19)),AND(ISBLANK(AN15:AN19)), AND(ISBLANK(Y15:Y19)),AND(ISBLANK(AT15:AT19))), "·", bdRateExtend( S15:S19,Y15:Y19, AN15:AN19,AT15:AT19))</f>
        <v>·</v>
      </c>
      <c r="BM15" s="65" t="str">
        <f t="array" ref="BM15">IF( OR(AND(ISBLANK(M15:M19)),AND(ISBLANK(AH15:AH19)), AND(ISBLANK(Z15:Z19)),AND(ISBLANK(AU15:AU19))), "·", bdRateExtend( M15:M19,Z15:Z19, AH15:AH19,AU15:AU19))</f>
        <v>·</v>
      </c>
      <c r="BN15" s="65" t="str">
        <f t="array" ref="BN15">IF( OR(AND(ISBLANK(S15:S19)),AND(ISBLANK(AN15:AN19)), AND(ISBLANK(AA15:AA19)),AND(ISBLANK(AV15:AV19))), "·", bdRateExtend( S15:S19,AA15:AA19, AN15:AN19,AV15:AV19))</f>
        <v>·</v>
      </c>
      <c r="BP15" s="65">
        <f t="shared" si="8"/>
        <v>0</v>
      </c>
      <c r="BQ15" s="65">
        <f t="shared" si="9"/>
        <v>0</v>
      </c>
      <c r="BR15" s="65">
        <f t="shared" si="10"/>
        <v>0</v>
      </c>
      <c r="BS15" s="65">
        <f t="shared" si="11"/>
        <v>0</v>
      </c>
      <c r="BT15" s="65">
        <f t="shared" si="12"/>
        <v>0</v>
      </c>
    </row>
    <row r="16" spans="1:72" ht="15" customHeight="1" outlineLevel="1" x14ac:dyDescent="0.15">
      <c r="A16" s="18"/>
      <c r="B16" s="18" t="s">
        <v>52</v>
      </c>
      <c r="C16" s="20" t="s">
        <v>423</v>
      </c>
      <c r="D16" s="18">
        <v>11842002</v>
      </c>
      <c r="E16" s="19">
        <v>12</v>
      </c>
      <c r="F16" s="20">
        <v>32</v>
      </c>
      <c r="G16" s="20">
        <v>30</v>
      </c>
      <c r="H16" s="20">
        <v>5</v>
      </c>
      <c r="J16" s="69">
        <f t="shared" si="0"/>
        <v>5.0316150000000004</v>
      </c>
      <c r="K16" s="21">
        <f t="shared" si="1"/>
        <v>0.45322201431818709</v>
      </c>
      <c r="L16" s="20">
        <f t="shared" si="2"/>
        <v>5367056</v>
      </c>
      <c r="M16" s="20">
        <f t="shared" si="3"/>
        <v>1507184</v>
      </c>
      <c r="N16" s="27">
        <v>604864</v>
      </c>
      <c r="O16" s="22">
        <v>5367056</v>
      </c>
      <c r="P16" s="22">
        <v>762840</v>
      </c>
      <c r="Q16" s="22">
        <v>0</v>
      </c>
      <c r="R16" s="22">
        <v>744344</v>
      </c>
      <c r="S16" s="22">
        <v>3852800</v>
      </c>
      <c r="T16" s="22">
        <v>7072</v>
      </c>
      <c r="U16" s="28">
        <v>71.710027600000004</v>
      </c>
      <c r="V16" s="28">
        <v>72.935399599999997</v>
      </c>
      <c r="W16" s="28">
        <v>38.193553299999998</v>
      </c>
      <c r="X16" s="28">
        <v>44.044704000000003</v>
      </c>
      <c r="Y16" s="28">
        <v>46.304566000000001</v>
      </c>
      <c r="Z16" s="28">
        <v>45.595488099999997</v>
      </c>
      <c r="AA16" s="28">
        <v>33.202246299999999</v>
      </c>
      <c r="AB16" s="70">
        <v>1342.267985</v>
      </c>
      <c r="AC16" s="70">
        <v>17.005665</v>
      </c>
      <c r="AE16" s="69" t="str">
        <f t="shared" si="4"/>
        <v>·</v>
      </c>
      <c r="AF16" s="21" t="str">
        <f t="shared" si="5"/>
        <v>·</v>
      </c>
      <c r="AG16" s="20" t="str">
        <f t="shared" si="6"/>
        <v>.</v>
      </c>
      <c r="AH16" s="20" t="str">
        <f t="shared" si="7"/>
        <v>.</v>
      </c>
      <c r="AI16" s="27"/>
      <c r="AJ16" s="22"/>
      <c r="AK16" s="22"/>
      <c r="AL16" s="22"/>
      <c r="AM16" s="22"/>
      <c r="AN16" s="22"/>
      <c r="AO16" s="22"/>
      <c r="AP16" s="28"/>
      <c r="AQ16" s="28"/>
      <c r="AR16" s="28"/>
      <c r="AS16" s="28"/>
      <c r="AT16" s="28"/>
      <c r="AU16" s="28"/>
      <c r="AV16" s="28"/>
      <c r="AW16" s="70"/>
      <c r="AX16" s="70"/>
      <c r="AZ16" s="71"/>
      <c r="BA16" s="71"/>
      <c r="BB16" s="71"/>
      <c r="BC16" s="71"/>
      <c r="BD16" s="71"/>
      <c r="BE16" s="71"/>
      <c r="BF16" s="71"/>
      <c r="BH16" s="71"/>
      <c r="BI16" s="71"/>
      <c r="BJ16" s="71"/>
      <c r="BK16" s="71"/>
      <c r="BL16" s="71"/>
      <c r="BM16" s="71"/>
      <c r="BN16" s="71"/>
      <c r="BP16" s="71">
        <f t="shared" si="8"/>
        <v>0</v>
      </c>
      <c r="BQ16" s="71">
        <f t="shared" si="9"/>
        <v>0</v>
      </c>
      <c r="BR16" s="71">
        <f t="shared" si="10"/>
        <v>0</v>
      </c>
      <c r="BS16" s="71">
        <f t="shared" si="11"/>
        <v>0</v>
      </c>
      <c r="BT16" s="71">
        <f t="shared" si="12"/>
        <v>0</v>
      </c>
    </row>
    <row r="17" spans="1:72" ht="15" customHeight="1" outlineLevel="1" x14ac:dyDescent="0.15">
      <c r="A17" s="8"/>
      <c r="B17" s="8" t="s">
        <v>52</v>
      </c>
      <c r="C17" s="10" t="s">
        <v>424</v>
      </c>
      <c r="D17" s="8">
        <v>11842002</v>
      </c>
      <c r="E17" s="9">
        <v>12</v>
      </c>
      <c r="F17" s="10">
        <v>32</v>
      </c>
      <c r="G17" s="10">
        <v>30</v>
      </c>
      <c r="H17" s="10">
        <v>10</v>
      </c>
      <c r="J17" s="63">
        <f t="shared" si="0"/>
        <v>9.9604724999999998</v>
      </c>
      <c r="K17" s="11">
        <f t="shared" si="1"/>
        <v>0.89718816125854395</v>
      </c>
      <c r="L17" s="10">
        <f t="shared" si="2"/>
        <v>10624504</v>
      </c>
      <c r="M17" s="10">
        <f t="shared" si="3"/>
        <v>2854752</v>
      </c>
      <c r="N17" s="25">
        <v>1210368</v>
      </c>
      <c r="O17" s="12">
        <v>10624504</v>
      </c>
      <c r="P17" s="12">
        <v>1271280</v>
      </c>
      <c r="Q17" s="12">
        <v>0</v>
      </c>
      <c r="R17" s="12">
        <v>1583472</v>
      </c>
      <c r="S17" s="12">
        <v>7762416</v>
      </c>
      <c r="T17" s="12">
        <v>7336</v>
      </c>
      <c r="U17" s="26">
        <v>76.531136599999996</v>
      </c>
      <c r="V17" s="26">
        <v>78.413520300000002</v>
      </c>
      <c r="W17" s="26">
        <v>40.883663499999997</v>
      </c>
      <c r="X17" s="26">
        <v>44.956591600000003</v>
      </c>
      <c r="Y17" s="26">
        <v>48.026786700000002</v>
      </c>
      <c r="Z17" s="26">
        <v>47.982196999999999</v>
      </c>
      <c r="AA17" s="26">
        <v>36.380780899999998</v>
      </c>
      <c r="AB17" s="64">
        <v>1507.2192849999999</v>
      </c>
      <c r="AC17" s="64">
        <v>22.489235999999998</v>
      </c>
      <c r="AE17" s="63" t="str">
        <f t="shared" si="4"/>
        <v>·</v>
      </c>
      <c r="AF17" s="11" t="str">
        <f t="shared" si="5"/>
        <v>·</v>
      </c>
      <c r="AG17" s="10" t="str">
        <f t="shared" si="6"/>
        <v>.</v>
      </c>
      <c r="AH17" s="10" t="str">
        <f t="shared" si="7"/>
        <v>.</v>
      </c>
      <c r="AI17" s="25"/>
      <c r="AJ17" s="12"/>
      <c r="AK17" s="12"/>
      <c r="AL17" s="12"/>
      <c r="AM17" s="12"/>
      <c r="AN17" s="12"/>
      <c r="AO17" s="12"/>
      <c r="AP17" s="26"/>
      <c r="AQ17" s="26"/>
      <c r="AR17" s="26"/>
      <c r="AS17" s="26"/>
      <c r="AT17" s="26"/>
      <c r="AU17" s="26"/>
      <c r="AV17" s="26"/>
      <c r="AW17" s="64"/>
      <c r="AX17" s="64"/>
      <c r="AZ17" s="65"/>
      <c r="BA17" s="65"/>
      <c r="BB17" s="65"/>
      <c r="BC17" s="65"/>
      <c r="BD17" s="65"/>
      <c r="BE17" s="65"/>
      <c r="BF17" s="65"/>
      <c r="BH17" s="65"/>
      <c r="BI17" s="65"/>
      <c r="BJ17" s="65"/>
      <c r="BK17" s="65"/>
      <c r="BL17" s="65"/>
      <c r="BM17" s="65"/>
      <c r="BN17" s="65"/>
      <c r="BP17" s="65">
        <f t="shared" si="8"/>
        <v>0</v>
      </c>
      <c r="BQ17" s="65">
        <f t="shared" si="9"/>
        <v>0</v>
      </c>
      <c r="BR17" s="65">
        <f t="shared" si="10"/>
        <v>0</v>
      </c>
      <c r="BS17" s="65">
        <f t="shared" si="11"/>
        <v>0</v>
      </c>
      <c r="BT17" s="65">
        <f t="shared" si="12"/>
        <v>0</v>
      </c>
    </row>
    <row r="18" spans="1:72" ht="15" customHeight="1" outlineLevel="1" x14ac:dyDescent="0.15">
      <c r="A18" s="18"/>
      <c r="B18" s="18" t="s">
        <v>52</v>
      </c>
      <c r="C18" s="20" t="s">
        <v>425</v>
      </c>
      <c r="D18" s="18">
        <v>11842002</v>
      </c>
      <c r="E18" s="19">
        <v>12</v>
      </c>
      <c r="F18" s="20">
        <v>32</v>
      </c>
      <c r="G18" s="20">
        <v>30</v>
      </c>
      <c r="H18" s="20">
        <v>14</v>
      </c>
      <c r="J18" s="69">
        <f t="shared" si="0"/>
        <v>14.392605</v>
      </c>
      <c r="K18" s="21">
        <f t="shared" si="1"/>
        <v>1.2964118736004266</v>
      </c>
      <c r="L18" s="20">
        <f t="shared" si="2"/>
        <v>15352112</v>
      </c>
      <c r="M18" s="20">
        <f t="shared" si="3"/>
        <v>4080104</v>
      </c>
      <c r="N18" s="27">
        <v>2421136</v>
      </c>
      <c r="O18" s="22">
        <v>15352112</v>
      </c>
      <c r="P18" s="22">
        <v>2189576</v>
      </c>
      <c r="Q18" s="22">
        <v>0</v>
      </c>
      <c r="R18" s="22">
        <v>1890528</v>
      </c>
      <c r="S18" s="22">
        <v>11264672</v>
      </c>
      <c r="T18" s="22">
        <v>7336</v>
      </c>
      <c r="U18" s="28">
        <v>78.844435700000005</v>
      </c>
      <c r="V18" s="28">
        <v>81.259931199999997</v>
      </c>
      <c r="W18" s="28">
        <v>41.917942199999999</v>
      </c>
      <c r="X18" s="28">
        <v>45.649467600000001</v>
      </c>
      <c r="Y18" s="28">
        <v>49.215598900000003</v>
      </c>
      <c r="Z18" s="28">
        <v>49.486684400000001</v>
      </c>
      <c r="AA18" s="28">
        <v>38.000662400000003</v>
      </c>
      <c r="AB18" s="70">
        <v>1852.3977870000001</v>
      </c>
      <c r="AC18" s="70">
        <v>23.616405</v>
      </c>
      <c r="AE18" s="69" t="str">
        <f t="shared" si="4"/>
        <v>·</v>
      </c>
      <c r="AF18" s="21" t="str">
        <f t="shared" si="5"/>
        <v>·</v>
      </c>
      <c r="AG18" s="20" t="str">
        <f t="shared" si="6"/>
        <v>.</v>
      </c>
      <c r="AH18" s="20" t="str">
        <f t="shared" si="7"/>
        <v>.</v>
      </c>
      <c r="AI18" s="27"/>
      <c r="AJ18" s="22"/>
      <c r="AK18" s="22"/>
      <c r="AL18" s="22"/>
      <c r="AM18" s="22"/>
      <c r="AN18" s="22"/>
      <c r="AO18" s="22"/>
      <c r="AP18" s="28"/>
      <c r="AQ18" s="28"/>
      <c r="AR18" s="28"/>
      <c r="AS18" s="28"/>
      <c r="AT18" s="28"/>
      <c r="AU18" s="28"/>
      <c r="AV18" s="28"/>
      <c r="AW18" s="70"/>
      <c r="AX18" s="70"/>
      <c r="AZ18" s="71"/>
      <c r="BA18" s="71"/>
      <c r="BB18" s="71"/>
      <c r="BC18" s="71"/>
      <c r="BD18" s="71"/>
      <c r="BE18" s="71"/>
      <c r="BF18" s="71"/>
      <c r="BH18" s="71"/>
      <c r="BI18" s="71"/>
      <c r="BJ18" s="71"/>
      <c r="BK18" s="71"/>
      <c r="BL18" s="71"/>
      <c r="BM18" s="71"/>
      <c r="BN18" s="71"/>
      <c r="BP18" s="71">
        <f t="shared" si="8"/>
        <v>0</v>
      </c>
      <c r="BQ18" s="71">
        <f t="shared" si="9"/>
        <v>0</v>
      </c>
      <c r="BR18" s="71">
        <f t="shared" si="10"/>
        <v>0</v>
      </c>
      <c r="BS18" s="71">
        <f t="shared" si="11"/>
        <v>0</v>
      </c>
      <c r="BT18" s="71">
        <f t="shared" si="12"/>
        <v>0</v>
      </c>
    </row>
    <row r="19" spans="1:72" ht="15.75" customHeight="1" outlineLevel="1" thickBot="1" x14ac:dyDescent="0.2">
      <c r="A19" s="8"/>
      <c r="B19" s="29" t="s">
        <v>52</v>
      </c>
      <c r="C19" s="30" t="s">
        <v>426</v>
      </c>
      <c r="D19" s="29">
        <v>11842002</v>
      </c>
      <c r="E19" s="31">
        <v>12</v>
      </c>
      <c r="F19" s="30">
        <v>32</v>
      </c>
      <c r="G19" s="30">
        <v>30</v>
      </c>
      <c r="H19" s="30">
        <v>21</v>
      </c>
      <c r="J19" s="75">
        <f t="shared" si="0"/>
        <v>21.579382500000001</v>
      </c>
      <c r="K19" s="32">
        <f t="shared" si="1"/>
        <v>1.9437598473636468</v>
      </c>
      <c r="L19" s="30">
        <f t="shared" si="2"/>
        <v>23018008</v>
      </c>
      <c r="M19" s="30">
        <f t="shared" si="3"/>
        <v>4287192</v>
      </c>
      <c r="N19" s="33">
        <v>2421136</v>
      </c>
      <c r="O19" s="34">
        <v>23018008</v>
      </c>
      <c r="P19" s="34">
        <v>2189576</v>
      </c>
      <c r="Q19" s="34">
        <v>0</v>
      </c>
      <c r="R19" s="34">
        <v>2097616</v>
      </c>
      <c r="S19" s="34">
        <v>18723480</v>
      </c>
      <c r="T19" s="34">
        <v>7336</v>
      </c>
      <c r="U19" s="35">
        <v>79.162558899999993</v>
      </c>
      <c r="V19" s="35">
        <v>81.685570900000002</v>
      </c>
      <c r="W19" s="35">
        <v>42.897338300000001</v>
      </c>
      <c r="X19" s="35">
        <v>46.584470099999997</v>
      </c>
      <c r="Y19" s="35">
        <v>50.537514799999997</v>
      </c>
      <c r="Z19" s="35">
        <v>49.593182499999998</v>
      </c>
      <c r="AA19" s="35">
        <v>38.484319399999997</v>
      </c>
      <c r="AB19" s="76">
        <v>1894.194033</v>
      </c>
      <c r="AC19" s="76">
        <v>23.758989</v>
      </c>
      <c r="AE19" s="75" t="str">
        <f t="shared" si="4"/>
        <v>·</v>
      </c>
      <c r="AF19" s="32" t="str">
        <f t="shared" si="5"/>
        <v>·</v>
      </c>
      <c r="AG19" s="30" t="str">
        <f t="shared" si="6"/>
        <v>.</v>
      </c>
      <c r="AH19" s="30" t="str">
        <f t="shared" si="7"/>
        <v>.</v>
      </c>
      <c r="AI19" s="33"/>
      <c r="AJ19" s="34"/>
      <c r="AK19" s="34"/>
      <c r="AL19" s="34"/>
      <c r="AM19" s="34"/>
      <c r="AN19" s="34"/>
      <c r="AO19" s="34"/>
      <c r="AP19" s="35"/>
      <c r="AQ19" s="35"/>
      <c r="AR19" s="35"/>
      <c r="AS19" s="35"/>
      <c r="AT19" s="35"/>
      <c r="AU19" s="35"/>
      <c r="AV19" s="35"/>
      <c r="AW19" s="76"/>
      <c r="AX19" s="76"/>
      <c r="AZ19" s="77"/>
      <c r="BA19" s="77"/>
      <c r="BB19" s="77"/>
      <c r="BC19" s="77"/>
      <c r="BD19" s="77"/>
      <c r="BE19" s="77"/>
      <c r="BF19" s="77"/>
      <c r="BH19" s="77"/>
      <c r="BI19" s="77"/>
      <c r="BJ19" s="77"/>
      <c r="BK19" s="77"/>
      <c r="BL19" s="77"/>
      <c r="BM19" s="77"/>
      <c r="BN19" s="77"/>
      <c r="BP19" s="77">
        <f t="shared" si="8"/>
        <v>0</v>
      </c>
      <c r="BQ19" s="77">
        <f t="shared" si="9"/>
        <v>0</v>
      </c>
      <c r="BR19" s="77">
        <f t="shared" si="10"/>
        <v>0</v>
      </c>
      <c r="BS19" s="77">
        <f t="shared" si="11"/>
        <v>0</v>
      </c>
      <c r="BT19" s="77">
        <f t="shared" si="12"/>
        <v>0</v>
      </c>
    </row>
    <row r="20" spans="1:72" ht="15" customHeight="1" x14ac:dyDescent="0.15">
      <c r="A20" s="18"/>
      <c r="B20" s="18" t="s">
        <v>57</v>
      </c>
      <c r="C20" s="20" t="s">
        <v>422</v>
      </c>
      <c r="D20" s="18">
        <v>11812090</v>
      </c>
      <c r="E20" s="19">
        <v>12</v>
      </c>
      <c r="F20" s="20">
        <v>32</v>
      </c>
      <c r="G20" s="20">
        <v>30</v>
      </c>
      <c r="H20" s="20">
        <v>3</v>
      </c>
      <c r="J20" s="69">
        <f t="shared" si="0"/>
        <v>2.9946975</v>
      </c>
      <c r="K20" s="21">
        <f t="shared" si="1"/>
        <v>0.27043004243956825</v>
      </c>
      <c r="L20" s="20">
        <f t="shared" si="2"/>
        <v>3194344</v>
      </c>
      <c r="M20" s="20">
        <f t="shared" si="3"/>
        <v>1192920</v>
      </c>
      <c r="N20" s="27">
        <v>604496</v>
      </c>
      <c r="O20" s="22">
        <v>3194344</v>
      </c>
      <c r="P20" s="22">
        <v>675152</v>
      </c>
      <c r="Q20" s="22">
        <v>0</v>
      </c>
      <c r="R20" s="22">
        <v>517768</v>
      </c>
      <c r="S20" s="22">
        <v>1994352</v>
      </c>
      <c r="T20" s="22">
        <v>7072</v>
      </c>
      <c r="U20" s="28">
        <v>70.658992999999995</v>
      </c>
      <c r="V20" s="28">
        <v>71.847679200000002</v>
      </c>
      <c r="W20" s="28">
        <v>34.484879399999997</v>
      </c>
      <c r="X20" s="28">
        <v>42.798194000000002</v>
      </c>
      <c r="Y20" s="28">
        <v>44.061753899999999</v>
      </c>
      <c r="Z20" s="28">
        <v>47.952576999999998</v>
      </c>
      <c r="AA20" s="28">
        <v>31.037799700000001</v>
      </c>
      <c r="AB20" s="70">
        <v>518.12657899999999</v>
      </c>
      <c r="AC20" s="70">
        <v>4.377618</v>
      </c>
      <c r="AE20" s="69" t="str">
        <f t="shared" si="4"/>
        <v>·</v>
      </c>
      <c r="AF20" s="21" t="str">
        <f t="shared" si="5"/>
        <v>·</v>
      </c>
      <c r="AG20" s="20" t="str">
        <f t="shared" si="6"/>
        <v>.</v>
      </c>
      <c r="AH20" s="20" t="str">
        <f t="shared" si="7"/>
        <v>.</v>
      </c>
      <c r="AI20" s="27"/>
      <c r="AJ20" s="22"/>
      <c r="AK20" s="22"/>
      <c r="AL20" s="22"/>
      <c r="AM20" s="22"/>
      <c r="AN20" s="22"/>
      <c r="AO20" s="22"/>
      <c r="AP20" s="28"/>
      <c r="AQ20" s="28"/>
      <c r="AR20" s="28"/>
      <c r="AS20" s="28"/>
      <c r="AT20" s="28"/>
      <c r="AU20" s="28"/>
      <c r="AV20" s="28"/>
      <c r="AW20" s="70"/>
      <c r="AX20" s="70"/>
      <c r="AZ20" s="71" t="str">
        <f t="array" ref="AZ20">IF( OR(AND(ISBLANK(L20:L24)),AND(ISBLANK(AG20:AG24)), AND(ISBLANK(U20:U24)),AND(ISBLANK(AP20:AP24))), "·", bdRateExtend( L20:L24,U20:U24, AG20:AG24,AP20:AP24))</f>
        <v>·</v>
      </c>
      <c r="BA20" s="71" t="str">
        <f t="array" ref="BA20">IF( OR(AND(ISBLANK(L20:L24)),AND(ISBLANK(AG20:AG24)), AND(ISBLANK(V20:V24)),AND(ISBLANK(AQ20:AQ24))), "·", bdRateExtend( L20:L24,V20:V24, AG20:AG24,AQ20:AQ24))</f>
        <v>·</v>
      </c>
      <c r="BB20" s="71" t="str">
        <f t="array" ref="BB20">IF( OR(AND(ISBLANK(L20:L24)),AND(ISBLANK(AG20:AG24)), AND(ISBLANK(W20:W24)),AND(ISBLANK(AR20:AR24))), "·", bdRateExtend( L20:L24,W20:W24, AG20:AG24,AR20:AR24))</f>
        <v>·</v>
      </c>
      <c r="BC20" s="71" t="str">
        <f t="array" ref="BC20">IF( OR(AND(ISBLANK(L20:L24)),AND(ISBLANK(AG20:AG24)), AND(ISBLANK(X20:X24)),AND(ISBLANK(AS20:AS24))), "·", bdRateExtend( L20:L24,X20:X24, AG20:AG24,AS20:AS24))</f>
        <v>·</v>
      </c>
      <c r="BD20" s="71" t="str">
        <f t="array" ref="BD20">IF( OR(AND(ISBLANK(L20:L24)),AND(ISBLANK(AG20:AG24)), AND(ISBLANK(Y20:Y24)),AND(ISBLANK(AT20:AT24))), "·", bdRateExtend( L20:L24,Y20:Y24, AG20:AG24,AT20:AT24))</f>
        <v>·</v>
      </c>
      <c r="BE20" s="71" t="str">
        <f t="array" ref="BE20">IF( OR(AND(ISBLANK(L20:L24)),AND(ISBLANK(AG20:AG24)), AND(ISBLANK(Z20:Z24)),AND(ISBLANK(AU20:AU24))), "·", bdRateExtend( L20:L24,Z20:Z24, AG20:AG24,AU20:AU24))</f>
        <v>·</v>
      </c>
      <c r="BF20" s="71" t="str">
        <f t="array" ref="BF20">IF( OR(AND(ISBLANK(L20:L24)),AND(ISBLANK(AG20:AG24)), AND(ISBLANK(AA20:AA24)),AND(ISBLANK(AV20:AV24))), "·", bdRateExtend( L20:L24,AA20:AA24, AG20:AG24,AV20:AV24))</f>
        <v>·</v>
      </c>
      <c r="BH20" s="71" t="str">
        <f t="array" ref="BH20">IF( OR(AND(ISBLANK(M20:M24)),AND(ISBLANK(AH20:AH24)), AND(ISBLANK(U20:U24)),AND(ISBLANK(AP20:AP24))), "·", bdRateExtend( M20:M24,U20:U24, AH20:AH24,AP20:AP24))</f>
        <v>·</v>
      </c>
      <c r="BI20" s="71" t="str">
        <f t="array" ref="BI20">IF( OR(AND(ISBLANK(M20:M24)),AND(ISBLANK(AH20:AH24)), AND(ISBLANK(V20:V24)),AND(ISBLANK(AQ20:AQ24))), "·", bdRateExtend( M20:M24,V20:V24, AH20:AH24,AQ20:AQ24))</f>
        <v>·</v>
      </c>
      <c r="BJ20" s="71" t="str">
        <f t="array" ref="BJ20">IF( OR(AND(ISBLANK(S20:S24)),AND(ISBLANK(AN20:AN24)), AND(ISBLANK(W20:W24)),AND(ISBLANK(AR20:AR24))), "·", bdRateExtend( S20:S24,W20:W24, AN20:AN24,AR20:AR24))</f>
        <v>·</v>
      </c>
      <c r="BK20" s="71" t="str">
        <f t="array" ref="BK20">IF( OR(AND(ISBLANK(S20:S24)),AND(ISBLANK(AN20:AN24)), AND(ISBLANK(X20:X24)),AND(ISBLANK(AS20:AS24))), "·", bdRateExtend( S20:S24,X20:X24, AN20:AN24,AS20:AS24))</f>
        <v>·</v>
      </c>
      <c r="BL20" s="71" t="str">
        <f t="array" ref="BL20">IF( OR(AND(ISBLANK(S20:S24)),AND(ISBLANK(AN20:AN24)), AND(ISBLANK(Y20:Y24)),AND(ISBLANK(AT20:AT24))), "·", bdRateExtend( S20:S24,Y20:Y24, AN20:AN24,AT20:AT24))</f>
        <v>·</v>
      </c>
      <c r="BM20" s="71" t="str">
        <f t="array" ref="BM20">IF( OR(AND(ISBLANK(M20:M24)),AND(ISBLANK(AH20:AH24)), AND(ISBLANK(Z20:Z24)),AND(ISBLANK(AU20:AU24))), "·", bdRateExtend( M20:M24,Z20:Z24, AH20:AH24,AU20:AU24))</f>
        <v>·</v>
      </c>
      <c r="BN20" s="71" t="str">
        <f t="array" ref="BN20">IF( OR(AND(ISBLANK(S20:S24)),AND(ISBLANK(AN20:AN24)), AND(ISBLANK(AA20:AA24)),AND(ISBLANK(AV20:AV24))), "·", bdRateExtend( S20:S24,AA20:AA24, AN20:AN24,AV20:AV24))</f>
        <v>·</v>
      </c>
      <c r="BP20" s="71">
        <f t="shared" si="8"/>
        <v>0</v>
      </c>
      <c r="BQ20" s="71">
        <f t="shared" si="9"/>
        <v>0</v>
      </c>
      <c r="BR20" s="71">
        <f t="shared" si="10"/>
        <v>0</v>
      </c>
      <c r="BS20" s="71">
        <f t="shared" si="11"/>
        <v>0</v>
      </c>
      <c r="BT20" s="71">
        <f t="shared" si="12"/>
        <v>0</v>
      </c>
    </row>
    <row r="21" spans="1:72" ht="15" customHeight="1" outlineLevel="1" x14ac:dyDescent="0.15">
      <c r="A21" s="8"/>
      <c r="B21" s="8" t="s">
        <v>57</v>
      </c>
      <c r="C21" s="10" t="s">
        <v>423</v>
      </c>
      <c r="D21" s="8">
        <v>11812090</v>
      </c>
      <c r="E21" s="9">
        <v>12</v>
      </c>
      <c r="F21" s="10">
        <v>32</v>
      </c>
      <c r="G21" s="10">
        <v>30</v>
      </c>
      <c r="H21" s="10">
        <v>5</v>
      </c>
      <c r="J21" s="63">
        <f t="shared" si="0"/>
        <v>5.0527724999999997</v>
      </c>
      <c r="K21" s="11">
        <f t="shared" si="1"/>
        <v>0.45628030263907571</v>
      </c>
      <c r="L21" s="10">
        <f t="shared" si="2"/>
        <v>5389624</v>
      </c>
      <c r="M21" s="10">
        <f t="shared" si="3"/>
        <v>1246912</v>
      </c>
      <c r="N21" s="25">
        <v>604496</v>
      </c>
      <c r="O21" s="12">
        <v>5389624</v>
      </c>
      <c r="P21" s="12">
        <v>675152</v>
      </c>
      <c r="Q21" s="12">
        <v>0</v>
      </c>
      <c r="R21" s="12">
        <v>571760</v>
      </c>
      <c r="S21" s="12">
        <v>4135632</v>
      </c>
      <c r="T21" s="12">
        <v>7080</v>
      </c>
      <c r="U21" s="26">
        <v>70.996761399999997</v>
      </c>
      <c r="V21" s="26">
        <v>72.220073799999994</v>
      </c>
      <c r="W21" s="26">
        <v>37.228668200000001</v>
      </c>
      <c r="X21" s="26">
        <v>44.001441100000001</v>
      </c>
      <c r="Y21" s="26">
        <v>45.963993700000003</v>
      </c>
      <c r="Z21" s="26">
        <v>48.095330099999998</v>
      </c>
      <c r="AA21" s="26">
        <v>32.063695799999998</v>
      </c>
      <c r="AB21" s="64">
        <v>1266.960073</v>
      </c>
      <c r="AC21" s="64">
        <v>22.249369000000002</v>
      </c>
      <c r="AE21" s="63" t="str">
        <f t="shared" si="4"/>
        <v>·</v>
      </c>
      <c r="AF21" s="11" t="str">
        <f t="shared" si="5"/>
        <v>·</v>
      </c>
      <c r="AG21" s="10" t="str">
        <f t="shared" si="6"/>
        <v>.</v>
      </c>
      <c r="AH21" s="10" t="str">
        <f t="shared" si="7"/>
        <v>.</v>
      </c>
      <c r="AI21" s="25"/>
      <c r="AJ21" s="12"/>
      <c r="AK21" s="12"/>
      <c r="AL21" s="12"/>
      <c r="AM21" s="12"/>
      <c r="AN21" s="12"/>
      <c r="AO21" s="12"/>
      <c r="AP21" s="26"/>
      <c r="AQ21" s="26"/>
      <c r="AR21" s="26"/>
      <c r="AS21" s="26"/>
      <c r="AT21" s="26"/>
      <c r="AU21" s="26"/>
      <c r="AV21" s="26"/>
      <c r="AW21" s="64"/>
      <c r="AX21" s="64"/>
      <c r="AZ21" s="65"/>
      <c r="BA21" s="65"/>
      <c r="BB21" s="65"/>
      <c r="BC21" s="65"/>
      <c r="BD21" s="65"/>
      <c r="BE21" s="65"/>
      <c r="BF21" s="65"/>
      <c r="BH21" s="65"/>
      <c r="BI21" s="65"/>
      <c r="BJ21" s="65"/>
      <c r="BK21" s="65"/>
      <c r="BL21" s="65"/>
      <c r="BM21" s="65"/>
      <c r="BN21" s="65"/>
      <c r="BP21" s="65">
        <f t="shared" si="8"/>
        <v>0</v>
      </c>
      <c r="BQ21" s="65">
        <f t="shared" si="9"/>
        <v>0</v>
      </c>
      <c r="BR21" s="65">
        <f t="shared" si="10"/>
        <v>0</v>
      </c>
      <c r="BS21" s="65">
        <f t="shared" si="11"/>
        <v>0</v>
      </c>
      <c r="BT21" s="65">
        <f t="shared" si="12"/>
        <v>0</v>
      </c>
    </row>
    <row r="22" spans="1:72" ht="15" customHeight="1" outlineLevel="1" x14ac:dyDescent="0.15">
      <c r="A22" s="18"/>
      <c r="B22" s="18" t="s">
        <v>57</v>
      </c>
      <c r="C22" s="20" t="s">
        <v>424</v>
      </c>
      <c r="D22" s="18">
        <v>11812090</v>
      </c>
      <c r="E22" s="19">
        <v>12</v>
      </c>
      <c r="F22" s="20">
        <v>32</v>
      </c>
      <c r="G22" s="20">
        <v>30</v>
      </c>
      <c r="H22" s="20">
        <v>10</v>
      </c>
      <c r="J22" s="69">
        <f t="shared" si="0"/>
        <v>10.05885</v>
      </c>
      <c r="K22" s="21">
        <f t="shared" si="1"/>
        <v>0.90834390865630044</v>
      </c>
      <c r="L22" s="20">
        <f t="shared" si="2"/>
        <v>10729440</v>
      </c>
      <c r="M22" s="20">
        <f t="shared" si="3"/>
        <v>2712592</v>
      </c>
      <c r="N22" s="27">
        <v>1209024</v>
      </c>
      <c r="O22" s="22">
        <v>10729440</v>
      </c>
      <c r="P22" s="22">
        <v>1123600</v>
      </c>
      <c r="Q22" s="22">
        <v>0</v>
      </c>
      <c r="R22" s="22">
        <v>1588992</v>
      </c>
      <c r="S22" s="22">
        <v>8009512</v>
      </c>
      <c r="T22" s="22">
        <v>7336</v>
      </c>
      <c r="U22" s="28">
        <v>76.398853799999998</v>
      </c>
      <c r="V22" s="28">
        <v>78.415579699999995</v>
      </c>
      <c r="W22" s="28">
        <v>40.277685499999997</v>
      </c>
      <c r="X22" s="28">
        <v>45.300904799999998</v>
      </c>
      <c r="Y22" s="28">
        <v>48.016851000000003</v>
      </c>
      <c r="Z22" s="28">
        <v>50.844054800000002</v>
      </c>
      <c r="AA22" s="28">
        <v>35.758860200000001</v>
      </c>
      <c r="AB22" s="70">
        <v>1415.6282389999999</v>
      </c>
      <c r="AC22" s="70">
        <v>19.929272000000001</v>
      </c>
      <c r="AE22" s="69" t="str">
        <f t="shared" si="4"/>
        <v>·</v>
      </c>
      <c r="AF22" s="21" t="str">
        <f t="shared" si="5"/>
        <v>·</v>
      </c>
      <c r="AG22" s="20" t="str">
        <f t="shared" si="6"/>
        <v>.</v>
      </c>
      <c r="AH22" s="20" t="str">
        <f t="shared" si="7"/>
        <v>.</v>
      </c>
      <c r="AI22" s="27"/>
      <c r="AJ22" s="22"/>
      <c r="AK22" s="22"/>
      <c r="AL22" s="22"/>
      <c r="AM22" s="22"/>
      <c r="AN22" s="22"/>
      <c r="AO22" s="22"/>
      <c r="AP22" s="28"/>
      <c r="AQ22" s="28"/>
      <c r="AR22" s="28"/>
      <c r="AS22" s="28"/>
      <c r="AT22" s="28"/>
      <c r="AU22" s="28"/>
      <c r="AV22" s="28"/>
      <c r="AW22" s="70"/>
      <c r="AX22" s="70"/>
      <c r="AZ22" s="71"/>
      <c r="BA22" s="71"/>
      <c r="BB22" s="71"/>
      <c r="BC22" s="71"/>
      <c r="BD22" s="71"/>
      <c r="BE22" s="71"/>
      <c r="BF22" s="71"/>
      <c r="BH22" s="71"/>
      <c r="BI22" s="71"/>
      <c r="BJ22" s="71"/>
      <c r="BK22" s="71"/>
      <c r="BL22" s="71"/>
      <c r="BM22" s="71"/>
      <c r="BN22" s="71"/>
      <c r="BP22" s="71">
        <f t="shared" si="8"/>
        <v>0</v>
      </c>
      <c r="BQ22" s="71">
        <f t="shared" si="9"/>
        <v>0</v>
      </c>
      <c r="BR22" s="71">
        <f t="shared" si="10"/>
        <v>0</v>
      </c>
      <c r="BS22" s="71">
        <f t="shared" si="11"/>
        <v>0</v>
      </c>
      <c r="BT22" s="71">
        <f t="shared" si="12"/>
        <v>0</v>
      </c>
    </row>
    <row r="23" spans="1:72" ht="15" customHeight="1" outlineLevel="1" x14ac:dyDescent="0.15">
      <c r="A23" s="8"/>
      <c r="B23" s="8" t="s">
        <v>57</v>
      </c>
      <c r="C23" s="10" t="s">
        <v>425</v>
      </c>
      <c r="D23" s="8">
        <v>11812090</v>
      </c>
      <c r="E23" s="9">
        <v>12</v>
      </c>
      <c r="F23" s="10">
        <v>32</v>
      </c>
      <c r="G23" s="10">
        <v>30</v>
      </c>
      <c r="H23" s="10">
        <v>14</v>
      </c>
      <c r="J23" s="63">
        <f t="shared" si="0"/>
        <v>14.23044</v>
      </c>
      <c r="K23" s="11">
        <f t="shared" si="1"/>
        <v>1.2850508250445094</v>
      </c>
      <c r="L23" s="10">
        <f t="shared" si="2"/>
        <v>15179136</v>
      </c>
      <c r="M23" s="10">
        <f t="shared" si="3"/>
        <v>4005368</v>
      </c>
      <c r="N23" s="25">
        <v>2418320</v>
      </c>
      <c r="O23" s="12">
        <v>15179136</v>
      </c>
      <c r="P23" s="12">
        <v>2371840</v>
      </c>
      <c r="Q23" s="12">
        <v>0</v>
      </c>
      <c r="R23" s="12">
        <v>1633528</v>
      </c>
      <c r="S23" s="12">
        <v>11166432</v>
      </c>
      <c r="T23" s="12">
        <v>7336</v>
      </c>
      <c r="U23" s="26">
        <v>78.320527299999995</v>
      </c>
      <c r="V23" s="26">
        <v>80.833959699999994</v>
      </c>
      <c r="W23" s="26">
        <v>41.419548399999996</v>
      </c>
      <c r="X23" s="26">
        <v>45.809733600000001</v>
      </c>
      <c r="Y23" s="26">
        <v>48.739070900000002</v>
      </c>
      <c r="Z23" s="26">
        <v>52.432678099999997</v>
      </c>
      <c r="AA23" s="26">
        <v>37.291606000000002</v>
      </c>
      <c r="AB23" s="64">
        <v>1752.356873</v>
      </c>
      <c r="AC23" s="64">
        <v>22.385776</v>
      </c>
      <c r="AE23" s="63" t="str">
        <f t="shared" si="4"/>
        <v>·</v>
      </c>
      <c r="AF23" s="11" t="str">
        <f t="shared" si="5"/>
        <v>·</v>
      </c>
      <c r="AG23" s="10" t="str">
        <f t="shared" si="6"/>
        <v>.</v>
      </c>
      <c r="AH23" s="10" t="str">
        <f t="shared" si="7"/>
        <v>.</v>
      </c>
      <c r="AI23" s="25"/>
      <c r="AJ23" s="12"/>
      <c r="AK23" s="12"/>
      <c r="AL23" s="12"/>
      <c r="AM23" s="12"/>
      <c r="AN23" s="12"/>
      <c r="AO23" s="12"/>
      <c r="AP23" s="26"/>
      <c r="AQ23" s="26"/>
      <c r="AR23" s="26"/>
      <c r="AS23" s="26"/>
      <c r="AT23" s="26"/>
      <c r="AU23" s="26"/>
      <c r="AV23" s="26"/>
      <c r="AW23" s="64"/>
      <c r="AX23" s="64"/>
      <c r="AZ23" s="65"/>
      <c r="BA23" s="65"/>
      <c r="BB23" s="65"/>
      <c r="BC23" s="65"/>
      <c r="BD23" s="65"/>
      <c r="BE23" s="65"/>
      <c r="BF23" s="65"/>
      <c r="BH23" s="65"/>
      <c r="BI23" s="65"/>
      <c r="BJ23" s="65"/>
      <c r="BK23" s="65"/>
      <c r="BL23" s="65"/>
      <c r="BM23" s="65"/>
      <c r="BN23" s="65"/>
      <c r="BP23" s="65">
        <f t="shared" si="8"/>
        <v>0</v>
      </c>
      <c r="BQ23" s="65">
        <f t="shared" si="9"/>
        <v>0</v>
      </c>
      <c r="BR23" s="65">
        <f t="shared" si="10"/>
        <v>0</v>
      </c>
      <c r="BS23" s="65">
        <f t="shared" si="11"/>
        <v>0</v>
      </c>
      <c r="BT23" s="65">
        <f t="shared" si="12"/>
        <v>0</v>
      </c>
    </row>
    <row r="24" spans="1:72" ht="15.75" customHeight="1" outlineLevel="1" thickBot="1" x14ac:dyDescent="0.2">
      <c r="A24" s="13"/>
      <c r="B24" s="13" t="s">
        <v>57</v>
      </c>
      <c r="C24" s="15" t="s">
        <v>426</v>
      </c>
      <c r="D24" s="13">
        <v>11812090</v>
      </c>
      <c r="E24" s="14">
        <v>12</v>
      </c>
      <c r="F24" s="15">
        <v>32</v>
      </c>
      <c r="G24" s="15">
        <v>30</v>
      </c>
      <c r="H24" s="15">
        <v>21</v>
      </c>
      <c r="J24" s="66">
        <f t="shared" si="0"/>
        <v>21.1350525</v>
      </c>
      <c r="K24" s="16">
        <f t="shared" si="1"/>
        <v>1.9085577573486148</v>
      </c>
      <c r="L24" s="15">
        <f t="shared" si="2"/>
        <v>22544056</v>
      </c>
      <c r="M24" s="15">
        <f t="shared" si="3"/>
        <v>4213296</v>
      </c>
      <c r="N24" s="36">
        <v>2418320</v>
      </c>
      <c r="O24" s="17">
        <v>22544056</v>
      </c>
      <c r="P24" s="17">
        <v>2138624</v>
      </c>
      <c r="Q24" s="17">
        <v>0</v>
      </c>
      <c r="R24" s="17">
        <v>2074672</v>
      </c>
      <c r="S24" s="17">
        <v>18323424</v>
      </c>
      <c r="T24" s="17">
        <v>7336</v>
      </c>
      <c r="U24" s="37">
        <v>78.926492499999995</v>
      </c>
      <c r="V24" s="37">
        <v>81.677393499999994</v>
      </c>
      <c r="W24" s="37">
        <v>42.392228000000003</v>
      </c>
      <c r="X24" s="37">
        <v>46.894560400000003</v>
      </c>
      <c r="Y24" s="37">
        <v>50.093263899999997</v>
      </c>
      <c r="Z24" s="37">
        <v>52.721227599999999</v>
      </c>
      <c r="AA24" s="37">
        <v>37.950688800000002</v>
      </c>
      <c r="AB24" s="67">
        <v>1790.618612</v>
      </c>
      <c r="AC24" s="67">
        <v>23.693100999999999</v>
      </c>
      <c r="AE24" s="66" t="str">
        <f t="shared" si="4"/>
        <v>·</v>
      </c>
      <c r="AF24" s="16" t="str">
        <f t="shared" si="5"/>
        <v>·</v>
      </c>
      <c r="AG24" s="15" t="str">
        <f t="shared" si="6"/>
        <v>.</v>
      </c>
      <c r="AH24" s="15" t="str">
        <f t="shared" si="7"/>
        <v>.</v>
      </c>
      <c r="AI24" s="36"/>
      <c r="AJ24" s="17"/>
      <c r="AK24" s="17"/>
      <c r="AL24" s="17"/>
      <c r="AM24" s="17"/>
      <c r="AN24" s="17"/>
      <c r="AO24" s="17"/>
      <c r="AP24" s="37"/>
      <c r="AQ24" s="37"/>
      <c r="AR24" s="37"/>
      <c r="AS24" s="37"/>
      <c r="AT24" s="37"/>
      <c r="AU24" s="37"/>
      <c r="AV24" s="37"/>
      <c r="AW24" s="67"/>
      <c r="AX24" s="67"/>
      <c r="AZ24" s="68"/>
      <c r="BA24" s="68"/>
      <c r="BB24" s="68"/>
      <c r="BC24" s="68"/>
      <c r="BD24" s="68"/>
      <c r="BE24" s="68"/>
      <c r="BF24" s="68"/>
      <c r="BH24" s="68"/>
      <c r="BI24" s="68"/>
      <c r="BJ24" s="68"/>
      <c r="BK24" s="68"/>
      <c r="BL24" s="68"/>
      <c r="BM24" s="68"/>
      <c r="BN24" s="68"/>
      <c r="BP24" s="68">
        <f t="shared" si="8"/>
        <v>0</v>
      </c>
      <c r="BQ24" s="68">
        <f t="shared" si="9"/>
        <v>0</v>
      </c>
      <c r="BR24" s="68">
        <f t="shared" si="10"/>
        <v>0</v>
      </c>
      <c r="BS24" s="68">
        <f t="shared" si="11"/>
        <v>0</v>
      </c>
      <c r="BT24" s="68">
        <f t="shared" si="12"/>
        <v>0</v>
      </c>
    </row>
    <row r="25" spans="1:72" ht="15" customHeight="1" x14ac:dyDescent="0.15">
      <c r="A25" s="8" t="s">
        <v>188</v>
      </c>
      <c r="B25" s="8" t="s">
        <v>62</v>
      </c>
      <c r="C25" s="10" t="s">
        <v>422</v>
      </c>
      <c r="D25" s="8">
        <v>12000000</v>
      </c>
      <c r="E25" s="9">
        <v>12</v>
      </c>
      <c r="F25" s="10">
        <v>32</v>
      </c>
      <c r="G25" s="10">
        <v>30</v>
      </c>
      <c r="H25" s="10">
        <v>4</v>
      </c>
      <c r="J25" s="63">
        <f t="shared" si="0"/>
        <v>4.1075249999999999</v>
      </c>
      <c r="K25" s="11">
        <f t="shared" si="1"/>
        <v>0.36511333333333335</v>
      </c>
      <c r="L25" s="10">
        <f t="shared" si="2"/>
        <v>4381360</v>
      </c>
      <c r="M25" s="10">
        <f t="shared" si="3"/>
        <v>1258696</v>
      </c>
      <c r="N25" s="25">
        <v>2455232</v>
      </c>
      <c r="O25" s="12">
        <v>4381360</v>
      </c>
      <c r="P25" s="12">
        <v>695472</v>
      </c>
      <c r="Q25" s="12">
        <v>0</v>
      </c>
      <c r="R25" s="12">
        <v>563224</v>
      </c>
      <c r="S25" s="12">
        <v>3115320</v>
      </c>
      <c r="T25" s="12">
        <v>7344</v>
      </c>
      <c r="U25" s="26">
        <v>72.906002299999997</v>
      </c>
      <c r="V25" s="26">
        <v>74.665274299999993</v>
      </c>
      <c r="W25" s="26">
        <v>31.452291599999999</v>
      </c>
      <c r="X25" s="26">
        <v>40.585773500000002</v>
      </c>
      <c r="Y25" s="26">
        <v>36.9058207</v>
      </c>
      <c r="Z25" s="26">
        <v>44.200530899999997</v>
      </c>
      <c r="AA25" s="26">
        <v>28.450837499999999</v>
      </c>
      <c r="AB25" s="64">
        <v>688.468478</v>
      </c>
      <c r="AC25" s="64">
        <v>6.3004350000000002</v>
      </c>
      <c r="AE25" s="63" t="str">
        <f t="shared" si="4"/>
        <v>·</v>
      </c>
      <c r="AF25" s="11" t="str">
        <f t="shared" si="5"/>
        <v>·</v>
      </c>
      <c r="AG25" s="10" t="str">
        <f t="shared" si="6"/>
        <v>.</v>
      </c>
      <c r="AH25" s="10" t="str">
        <f t="shared" si="7"/>
        <v>.</v>
      </c>
      <c r="AI25" s="25"/>
      <c r="AJ25" s="12"/>
      <c r="AK25" s="12"/>
      <c r="AL25" s="12"/>
      <c r="AM25" s="12"/>
      <c r="AN25" s="12"/>
      <c r="AO25" s="12"/>
      <c r="AP25" s="26"/>
      <c r="AQ25" s="26"/>
      <c r="AR25" s="26"/>
      <c r="AS25" s="26"/>
      <c r="AT25" s="26"/>
      <c r="AU25" s="26"/>
      <c r="AV25" s="26"/>
      <c r="AW25" s="64"/>
      <c r="AX25" s="64"/>
      <c r="AZ25" s="65" t="str">
        <f t="array" ref="AZ25">IF( OR(AND(ISBLANK(L25:L29)),AND(ISBLANK(AG25:AG29)), AND(ISBLANK(U25:U29)),AND(ISBLANK(AP25:AP29))), "·", bdRateExtend( L25:L29,U25:U29, AG25:AG29,AP25:AP29))</f>
        <v>·</v>
      </c>
      <c r="BA25" s="65" t="str">
        <f t="array" ref="BA25">IF( OR(AND(ISBLANK(L25:L29)),AND(ISBLANK(AG25:AG29)), AND(ISBLANK(V25:V29)),AND(ISBLANK(AQ25:AQ29))), "·", bdRateExtend( L25:L29,V25:V29, AG25:AG29,AQ25:AQ29))</f>
        <v>·</v>
      </c>
      <c r="BB25" s="65" t="str">
        <f t="array" ref="BB25">IF( OR(AND(ISBLANK(L25:L29)),AND(ISBLANK(AG25:AG29)), AND(ISBLANK(W25:W29)),AND(ISBLANK(AR25:AR29))), "·", bdRateExtend( L25:L29,W25:W29, AG25:AG29,AR25:AR29))</f>
        <v>·</v>
      </c>
      <c r="BC25" s="65" t="str">
        <f t="array" ref="BC25">IF( OR(AND(ISBLANK(L25:L29)),AND(ISBLANK(AG25:AG29)), AND(ISBLANK(X25:X29)),AND(ISBLANK(AS25:AS29))), "·", bdRateExtend( L25:L29,X25:X29, AG25:AG29,AS25:AS29))</f>
        <v>·</v>
      </c>
      <c r="BD25" s="65" t="str">
        <f t="array" ref="BD25">IF( OR(AND(ISBLANK(L25:L29)),AND(ISBLANK(AG25:AG29)), AND(ISBLANK(Y25:Y29)),AND(ISBLANK(AT25:AT29))), "·", bdRateExtend( L25:L29,Y25:Y29, AG25:AG29,AT25:AT29))</f>
        <v>·</v>
      </c>
      <c r="BE25" s="65" t="str">
        <f t="array" ref="BE25">IF( OR(AND(ISBLANK(L25:L29)),AND(ISBLANK(AG25:AG29)), AND(ISBLANK(Z25:Z29)),AND(ISBLANK(AU25:AU29))), "·", bdRateExtend( L25:L29,Z25:Z29, AG25:AG29,AU25:AU29))</f>
        <v>·</v>
      </c>
      <c r="BF25" s="65" t="str">
        <f t="array" ref="BF25">IF( OR(AND(ISBLANK(L25:L29)),AND(ISBLANK(AG25:AG29)), AND(ISBLANK(AA25:AA29)),AND(ISBLANK(AV25:AV29))), "·", bdRateExtend( L25:L29,AA25:AA29, AG25:AG29,AV25:AV29))</f>
        <v>·</v>
      </c>
      <c r="BH25" s="65" t="str">
        <f t="array" ref="BH25">IF( OR(AND(ISBLANK(M25:M29)),AND(ISBLANK(AH25:AH29)), AND(ISBLANK(U25:U29)),AND(ISBLANK(AP25:AP29))), "·", bdRateExtend( M25:M29,U25:U29, AH25:AH29,AP25:AP29))</f>
        <v>·</v>
      </c>
      <c r="BI25" s="65" t="str">
        <f t="array" ref="BI25">IF( OR(AND(ISBLANK(M25:M29)),AND(ISBLANK(AH25:AH29)), AND(ISBLANK(V25:V29)),AND(ISBLANK(AQ25:AQ29))), "·", bdRateExtend( M25:M29,V25:V29, AH25:AH29,AQ25:AQ29))</f>
        <v>·</v>
      </c>
      <c r="BJ25" s="65" t="str">
        <f t="array" ref="BJ25">IF( OR(AND(ISBLANK(S25:S29)),AND(ISBLANK(AN25:AN29)), AND(ISBLANK(W25:W29)),AND(ISBLANK(AR25:AR29))), "·", bdRateExtend( S25:S29,W25:W29, AN25:AN29,AR25:AR29))</f>
        <v>·</v>
      </c>
      <c r="BK25" s="65" t="str">
        <f t="array" ref="BK25">IF( OR(AND(ISBLANK(S25:S29)),AND(ISBLANK(AN25:AN29)), AND(ISBLANK(X25:X29)),AND(ISBLANK(AS25:AS29))), "·", bdRateExtend( S25:S29,X25:X29, AN25:AN29,AS25:AS29))</f>
        <v>·</v>
      </c>
      <c r="BL25" s="65" t="str">
        <f t="array" ref="BL25">IF( OR(AND(ISBLANK(S25:S29)),AND(ISBLANK(AN25:AN29)), AND(ISBLANK(Y25:Y29)),AND(ISBLANK(AT25:AT29))), "·", bdRateExtend( S25:S29,Y25:Y29, AN25:AN29,AT25:AT29))</f>
        <v>·</v>
      </c>
      <c r="BM25" s="65" t="str">
        <f t="array" ref="BM25">IF( OR(AND(ISBLANK(M25:M29)),AND(ISBLANK(AH25:AH29)), AND(ISBLANK(Z25:Z29)),AND(ISBLANK(AU25:AU29))), "·", bdRateExtend( M25:M29,Z25:Z29, AH25:AH29,AU25:AU29))</f>
        <v>·</v>
      </c>
      <c r="BN25" s="65" t="str">
        <f t="array" ref="BN25">IF( OR(AND(ISBLANK(S25:S29)),AND(ISBLANK(AN25:AN29)), AND(ISBLANK(AA25:AA29)),AND(ISBLANK(AV25:AV29))), "·", bdRateExtend( S25:S29,AA25:AA29, AN25:AN29,AV25:AV29))</f>
        <v>·</v>
      </c>
      <c r="BP25" s="65">
        <f t="shared" si="8"/>
        <v>0</v>
      </c>
      <c r="BQ25" s="65">
        <f t="shared" si="9"/>
        <v>0</v>
      </c>
      <c r="BR25" s="65">
        <f t="shared" si="10"/>
        <v>0</v>
      </c>
      <c r="BS25" s="65">
        <f t="shared" si="11"/>
        <v>0</v>
      </c>
      <c r="BT25" s="65">
        <f t="shared" si="12"/>
        <v>0</v>
      </c>
    </row>
    <row r="26" spans="1:72" ht="15" customHeight="1" outlineLevel="1" x14ac:dyDescent="0.15">
      <c r="A26" s="18"/>
      <c r="B26" s="18" t="s">
        <v>62</v>
      </c>
      <c r="C26" s="20" t="s">
        <v>423</v>
      </c>
      <c r="D26" s="18">
        <v>12000000</v>
      </c>
      <c r="E26" s="19">
        <v>12</v>
      </c>
      <c r="F26" s="20">
        <v>32</v>
      </c>
      <c r="G26" s="20">
        <v>30</v>
      </c>
      <c r="H26" s="20">
        <v>8</v>
      </c>
      <c r="J26" s="69">
        <f t="shared" si="0"/>
        <v>8.2095225000000003</v>
      </c>
      <c r="K26" s="21">
        <f t="shared" si="1"/>
        <v>0.72973533333333329</v>
      </c>
      <c r="L26" s="20">
        <f t="shared" si="2"/>
        <v>8756824</v>
      </c>
      <c r="M26" s="20">
        <f t="shared" si="3"/>
        <v>2070472</v>
      </c>
      <c r="N26" s="27">
        <v>4912768</v>
      </c>
      <c r="O26" s="22">
        <v>8756824</v>
      </c>
      <c r="P26" s="22">
        <v>1164264</v>
      </c>
      <c r="Q26" s="22">
        <v>0</v>
      </c>
      <c r="R26" s="22">
        <v>906208</v>
      </c>
      <c r="S26" s="22">
        <v>6678752</v>
      </c>
      <c r="T26" s="22">
        <v>7600</v>
      </c>
      <c r="U26" s="28">
        <v>76.343026899999998</v>
      </c>
      <c r="V26" s="28">
        <v>78.716781600000004</v>
      </c>
      <c r="W26" s="28">
        <v>33.934368300000003</v>
      </c>
      <c r="X26" s="28">
        <v>42.448829500000002</v>
      </c>
      <c r="Y26" s="28">
        <v>39.803443899999998</v>
      </c>
      <c r="Z26" s="28">
        <v>45.867615299999997</v>
      </c>
      <c r="AA26" s="28">
        <v>31.132469</v>
      </c>
      <c r="AB26" s="70">
        <v>1591.90498</v>
      </c>
      <c r="AC26" s="70">
        <v>21.645561000000001</v>
      </c>
      <c r="AE26" s="69" t="str">
        <f t="shared" si="4"/>
        <v>·</v>
      </c>
      <c r="AF26" s="21" t="str">
        <f t="shared" si="5"/>
        <v>·</v>
      </c>
      <c r="AG26" s="20" t="str">
        <f t="shared" si="6"/>
        <v>.</v>
      </c>
      <c r="AH26" s="20" t="str">
        <f t="shared" si="7"/>
        <v>.</v>
      </c>
      <c r="AI26" s="27"/>
      <c r="AJ26" s="22"/>
      <c r="AK26" s="22"/>
      <c r="AL26" s="22"/>
      <c r="AM26" s="22"/>
      <c r="AN26" s="22"/>
      <c r="AO26" s="22"/>
      <c r="AP26" s="28"/>
      <c r="AQ26" s="28"/>
      <c r="AR26" s="28"/>
      <c r="AS26" s="28"/>
      <c r="AT26" s="28"/>
      <c r="AU26" s="28"/>
      <c r="AV26" s="28"/>
      <c r="AW26" s="70"/>
      <c r="AX26" s="70"/>
      <c r="AZ26" s="71"/>
      <c r="BA26" s="71"/>
      <c r="BB26" s="71"/>
      <c r="BC26" s="71"/>
      <c r="BD26" s="71"/>
      <c r="BE26" s="71"/>
      <c r="BF26" s="71"/>
      <c r="BH26" s="71"/>
      <c r="BI26" s="71"/>
      <c r="BJ26" s="71"/>
      <c r="BK26" s="71"/>
      <c r="BL26" s="71"/>
      <c r="BM26" s="71"/>
      <c r="BN26" s="71"/>
      <c r="BP26" s="71">
        <f t="shared" si="8"/>
        <v>0</v>
      </c>
      <c r="BQ26" s="71">
        <f t="shared" si="9"/>
        <v>0</v>
      </c>
      <c r="BR26" s="71">
        <f t="shared" si="10"/>
        <v>0</v>
      </c>
      <c r="BS26" s="71">
        <f t="shared" si="11"/>
        <v>0</v>
      </c>
      <c r="BT26" s="71">
        <f t="shared" si="12"/>
        <v>0</v>
      </c>
    </row>
    <row r="27" spans="1:72" ht="15" customHeight="1" outlineLevel="1" x14ac:dyDescent="0.15">
      <c r="A27" s="8"/>
      <c r="B27" s="8" t="s">
        <v>62</v>
      </c>
      <c r="C27" s="10" t="s">
        <v>424</v>
      </c>
      <c r="D27" s="8">
        <v>12000000</v>
      </c>
      <c r="E27" s="9">
        <v>12</v>
      </c>
      <c r="F27" s="10">
        <v>32</v>
      </c>
      <c r="G27" s="10">
        <v>30</v>
      </c>
      <c r="H27" s="10">
        <v>12</v>
      </c>
      <c r="J27" s="63">
        <f t="shared" si="0"/>
        <v>12.369960000000001</v>
      </c>
      <c r="K27" s="11">
        <f t="shared" si="1"/>
        <v>1.0995520000000001</v>
      </c>
      <c r="L27" s="10">
        <f t="shared" si="2"/>
        <v>13194624</v>
      </c>
      <c r="M27" s="10">
        <f t="shared" si="3"/>
        <v>3063352</v>
      </c>
      <c r="N27" s="25">
        <v>9827968</v>
      </c>
      <c r="O27" s="12">
        <v>13194624</v>
      </c>
      <c r="P27" s="12">
        <v>2194440</v>
      </c>
      <c r="Q27" s="12">
        <v>0</v>
      </c>
      <c r="R27" s="12">
        <v>868912</v>
      </c>
      <c r="S27" s="12">
        <v>10123400</v>
      </c>
      <c r="T27" s="12">
        <v>7872</v>
      </c>
      <c r="U27" s="26">
        <v>78.213163899999998</v>
      </c>
      <c r="V27" s="26">
        <v>80.976241099999996</v>
      </c>
      <c r="W27" s="26">
        <v>34.871834999999997</v>
      </c>
      <c r="X27" s="26">
        <v>43.686140399999999</v>
      </c>
      <c r="Y27" s="26">
        <v>41.591272099999998</v>
      </c>
      <c r="Z27" s="26">
        <v>47.442339699999998</v>
      </c>
      <c r="AA27" s="26">
        <v>32.431133199999998</v>
      </c>
      <c r="AB27" s="64">
        <v>5080.6991580000004</v>
      </c>
      <c r="AC27" s="64">
        <v>73.106967999999995</v>
      </c>
      <c r="AE27" s="63" t="str">
        <f t="shared" si="4"/>
        <v>·</v>
      </c>
      <c r="AF27" s="11" t="str">
        <f t="shared" si="5"/>
        <v>·</v>
      </c>
      <c r="AG27" s="10" t="str">
        <f t="shared" si="6"/>
        <v>.</v>
      </c>
      <c r="AH27" s="10" t="str">
        <f t="shared" si="7"/>
        <v>.</v>
      </c>
      <c r="AI27" s="25"/>
      <c r="AJ27" s="12"/>
      <c r="AK27" s="12"/>
      <c r="AL27" s="12"/>
      <c r="AM27" s="12"/>
      <c r="AN27" s="12"/>
      <c r="AO27" s="12"/>
      <c r="AP27" s="26"/>
      <c r="AQ27" s="26"/>
      <c r="AR27" s="26"/>
      <c r="AS27" s="26"/>
      <c r="AT27" s="26"/>
      <c r="AU27" s="26"/>
      <c r="AV27" s="26"/>
      <c r="AW27" s="64"/>
      <c r="AX27" s="64"/>
      <c r="AZ27" s="65"/>
      <c r="BA27" s="65"/>
      <c r="BB27" s="65"/>
      <c r="BC27" s="65"/>
      <c r="BD27" s="65"/>
      <c r="BE27" s="65"/>
      <c r="BF27" s="65"/>
      <c r="BH27" s="65"/>
      <c r="BI27" s="65"/>
      <c r="BJ27" s="65"/>
      <c r="BK27" s="65"/>
      <c r="BL27" s="65"/>
      <c r="BM27" s="65"/>
      <c r="BN27" s="65"/>
      <c r="BP27" s="65">
        <f t="shared" si="8"/>
        <v>0</v>
      </c>
      <c r="BQ27" s="65">
        <f t="shared" si="9"/>
        <v>0</v>
      </c>
      <c r="BR27" s="65">
        <f t="shared" si="10"/>
        <v>0</v>
      </c>
      <c r="BS27" s="65">
        <f t="shared" si="11"/>
        <v>0</v>
      </c>
      <c r="BT27" s="65">
        <f t="shared" si="12"/>
        <v>0</v>
      </c>
    </row>
    <row r="28" spans="1:72" ht="15" customHeight="1" outlineLevel="1" x14ac:dyDescent="0.15">
      <c r="A28" s="18"/>
      <c r="B28" s="18" t="s">
        <v>62</v>
      </c>
      <c r="C28" s="20" t="s">
        <v>425</v>
      </c>
      <c r="D28" s="18">
        <v>12000000</v>
      </c>
      <c r="E28" s="19">
        <v>12</v>
      </c>
      <c r="F28" s="20">
        <v>32</v>
      </c>
      <c r="G28" s="20">
        <v>30</v>
      </c>
      <c r="H28" s="20">
        <v>17</v>
      </c>
      <c r="J28" s="69">
        <f t="shared" si="0"/>
        <v>17.3259075</v>
      </c>
      <c r="K28" s="21">
        <f t="shared" si="1"/>
        <v>1.5400806666666667</v>
      </c>
      <c r="L28" s="20">
        <f t="shared" si="2"/>
        <v>18480968</v>
      </c>
      <c r="M28" s="20">
        <f t="shared" si="3"/>
        <v>4963928</v>
      </c>
      <c r="N28" s="27">
        <v>19659392</v>
      </c>
      <c r="O28" s="22">
        <v>18480968</v>
      </c>
      <c r="P28" s="22">
        <v>4271176</v>
      </c>
      <c r="Q28" s="22">
        <v>0</v>
      </c>
      <c r="R28" s="22">
        <v>692752</v>
      </c>
      <c r="S28" s="22">
        <v>13509160</v>
      </c>
      <c r="T28" s="22">
        <v>7880</v>
      </c>
      <c r="U28" s="28">
        <v>80.100082099999995</v>
      </c>
      <c r="V28" s="28">
        <v>83.492118500000004</v>
      </c>
      <c r="W28" s="28">
        <v>35.674003900000002</v>
      </c>
      <c r="X28" s="28">
        <v>44.001159700000002</v>
      </c>
      <c r="Y28" s="28">
        <v>42.080876699999997</v>
      </c>
      <c r="Z28" s="28">
        <v>49.248149599999998</v>
      </c>
      <c r="AA28" s="28">
        <v>33.636072800000001</v>
      </c>
      <c r="AB28" s="70">
        <v>5857.5295850000002</v>
      </c>
      <c r="AC28" s="70">
        <v>95.477231000000003</v>
      </c>
      <c r="AE28" s="69" t="str">
        <f t="shared" si="4"/>
        <v>·</v>
      </c>
      <c r="AF28" s="21" t="str">
        <f t="shared" si="5"/>
        <v>·</v>
      </c>
      <c r="AG28" s="20" t="str">
        <f t="shared" si="6"/>
        <v>.</v>
      </c>
      <c r="AH28" s="20" t="str">
        <f t="shared" si="7"/>
        <v>.</v>
      </c>
      <c r="AI28" s="27"/>
      <c r="AJ28" s="22"/>
      <c r="AK28" s="22"/>
      <c r="AL28" s="22"/>
      <c r="AM28" s="22"/>
      <c r="AN28" s="22"/>
      <c r="AO28" s="22"/>
      <c r="AP28" s="28"/>
      <c r="AQ28" s="28"/>
      <c r="AR28" s="28"/>
      <c r="AS28" s="28"/>
      <c r="AT28" s="28"/>
      <c r="AU28" s="28"/>
      <c r="AV28" s="28"/>
      <c r="AW28" s="70"/>
      <c r="AX28" s="70"/>
      <c r="AZ28" s="71"/>
      <c r="BA28" s="71"/>
      <c r="BB28" s="71"/>
      <c r="BC28" s="71"/>
      <c r="BD28" s="71"/>
      <c r="BE28" s="71"/>
      <c r="BF28" s="71"/>
      <c r="BH28" s="71"/>
      <c r="BI28" s="71"/>
      <c r="BJ28" s="71"/>
      <c r="BK28" s="71"/>
      <c r="BL28" s="71"/>
      <c r="BM28" s="71"/>
      <c r="BN28" s="71"/>
      <c r="BP28" s="71">
        <f t="shared" si="8"/>
        <v>0</v>
      </c>
      <c r="BQ28" s="71">
        <f t="shared" si="9"/>
        <v>0</v>
      </c>
      <c r="BR28" s="71">
        <f t="shared" si="10"/>
        <v>0</v>
      </c>
      <c r="BS28" s="71">
        <f t="shared" si="11"/>
        <v>0</v>
      </c>
      <c r="BT28" s="71">
        <f t="shared" si="12"/>
        <v>0</v>
      </c>
    </row>
    <row r="29" spans="1:72" ht="15.75" customHeight="1" outlineLevel="1" thickBot="1" x14ac:dyDescent="0.2">
      <c r="A29" s="8"/>
      <c r="B29" s="29" t="s">
        <v>62</v>
      </c>
      <c r="C29" s="30" t="s">
        <v>426</v>
      </c>
      <c r="D29" s="29">
        <v>12000000</v>
      </c>
      <c r="E29" s="31">
        <v>12</v>
      </c>
      <c r="F29" s="30">
        <v>32</v>
      </c>
      <c r="G29" s="30">
        <v>30</v>
      </c>
      <c r="H29" s="30">
        <v>25</v>
      </c>
      <c r="J29" s="75">
        <f t="shared" si="0"/>
        <v>25.6001625</v>
      </c>
      <c r="K29" s="32">
        <f t="shared" si="1"/>
        <v>2.2755700000000001</v>
      </c>
      <c r="L29" s="30">
        <f t="shared" si="2"/>
        <v>27306840</v>
      </c>
      <c r="M29" s="30">
        <f t="shared" si="3"/>
        <v>8033768</v>
      </c>
      <c r="N29" s="33">
        <v>39320512</v>
      </c>
      <c r="O29" s="34">
        <v>27306840</v>
      </c>
      <c r="P29" s="34">
        <v>7555040</v>
      </c>
      <c r="Q29" s="34">
        <v>0</v>
      </c>
      <c r="R29" s="34">
        <v>478728</v>
      </c>
      <c r="S29" s="34">
        <v>19264928</v>
      </c>
      <c r="T29" s="34">
        <v>8144</v>
      </c>
      <c r="U29" s="35">
        <v>82.628449799999999</v>
      </c>
      <c r="V29" s="35">
        <v>87.210551499999994</v>
      </c>
      <c r="W29" s="35">
        <v>36.3951657</v>
      </c>
      <c r="X29" s="35">
        <v>44.603425199999997</v>
      </c>
      <c r="Y29" s="35">
        <v>42.9286557</v>
      </c>
      <c r="Z29" s="35">
        <v>51.834117999999997</v>
      </c>
      <c r="AA29" s="35">
        <v>35.056564399999999</v>
      </c>
      <c r="AB29" s="76">
        <v>7826.4914479999998</v>
      </c>
      <c r="AC29" s="76">
        <v>99.663256000000004</v>
      </c>
      <c r="AE29" s="75" t="str">
        <f t="shared" si="4"/>
        <v>·</v>
      </c>
      <c r="AF29" s="32" t="str">
        <f t="shared" si="5"/>
        <v>·</v>
      </c>
      <c r="AG29" s="30" t="str">
        <f t="shared" si="6"/>
        <v>.</v>
      </c>
      <c r="AH29" s="30" t="str">
        <f t="shared" si="7"/>
        <v>.</v>
      </c>
      <c r="AI29" s="33"/>
      <c r="AJ29" s="34"/>
      <c r="AK29" s="34"/>
      <c r="AL29" s="34"/>
      <c r="AM29" s="34"/>
      <c r="AN29" s="34"/>
      <c r="AO29" s="34"/>
      <c r="AP29" s="35"/>
      <c r="AQ29" s="35"/>
      <c r="AR29" s="35"/>
      <c r="AS29" s="35"/>
      <c r="AT29" s="35"/>
      <c r="AU29" s="35"/>
      <c r="AV29" s="35"/>
      <c r="AW29" s="76"/>
      <c r="AX29" s="76"/>
      <c r="AZ29" s="77"/>
      <c r="BA29" s="77"/>
      <c r="BB29" s="77"/>
      <c r="BC29" s="77"/>
      <c r="BD29" s="77"/>
      <c r="BE29" s="77"/>
      <c r="BF29" s="77"/>
      <c r="BH29" s="77"/>
      <c r="BI29" s="77"/>
      <c r="BJ29" s="77"/>
      <c r="BK29" s="77"/>
      <c r="BL29" s="77"/>
      <c r="BM29" s="77"/>
      <c r="BN29" s="77"/>
      <c r="BP29" s="77">
        <f t="shared" si="8"/>
        <v>0</v>
      </c>
      <c r="BQ29" s="77">
        <f t="shared" si="9"/>
        <v>0</v>
      </c>
      <c r="BR29" s="77">
        <f t="shared" si="10"/>
        <v>0</v>
      </c>
      <c r="BS29" s="77">
        <f t="shared" si="11"/>
        <v>0</v>
      </c>
      <c r="BT29" s="77">
        <f t="shared" si="12"/>
        <v>0</v>
      </c>
    </row>
    <row r="30" spans="1:72" ht="15" customHeight="1" x14ac:dyDescent="0.15">
      <c r="A30" s="18"/>
      <c r="B30" s="18" t="s">
        <v>67</v>
      </c>
      <c r="C30" s="20" t="s">
        <v>422</v>
      </c>
      <c r="D30" s="18">
        <v>5997654</v>
      </c>
      <c r="E30" s="19">
        <v>12</v>
      </c>
      <c r="F30" s="20">
        <v>32</v>
      </c>
      <c r="G30" s="20">
        <v>30</v>
      </c>
      <c r="H30" s="20">
        <v>4</v>
      </c>
      <c r="J30" s="69">
        <f t="shared" si="0"/>
        <v>4.0437450000000004</v>
      </c>
      <c r="K30" s="21">
        <f t="shared" si="1"/>
        <v>0.71916919515530575</v>
      </c>
      <c r="L30" s="20">
        <f t="shared" si="2"/>
        <v>4313328</v>
      </c>
      <c r="M30" s="20">
        <f t="shared" si="3"/>
        <v>1433240</v>
      </c>
      <c r="N30" s="27">
        <v>2427520</v>
      </c>
      <c r="O30" s="22">
        <v>4313328</v>
      </c>
      <c r="P30" s="22">
        <v>735256</v>
      </c>
      <c r="Q30" s="22">
        <v>0</v>
      </c>
      <c r="R30" s="22">
        <v>697984</v>
      </c>
      <c r="S30" s="22">
        <v>2872744</v>
      </c>
      <c r="T30" s="22">
        <v>7344</v>
      </c>
      <c r="U30" s="28">
        <v>73.472838699999997</v>
      </c>
      <c r="V30" s="28">
        <v>75.112922999999995</v>
      </c>
      <c r="W30" s="28">
        <v>38.059324099999998</v>
      </c>
      <c r="X30" s="28">
        <v>44.219111099999999</v>
      </c>
      <c r="Y30" s="28">
        <v>42.779282899999998</v>
      </c>
      <c r="Z30" s="28">
        <v>46.431505100000003</v>
      </c>
      <c r="AA30" s="28">
        <v>34.641218500000001</v>
      </c>
      <c r="AB30" s="70">
        <v>1409.388825</v>
      </c>
      <c r="AC30" s="70">
        <v>19.370809000000001</v>
      </c>
      <c r="AE30" s="69" t="str">
        <f t="shared" si="4"/>
        <v>·</v>
      </c>
      <c r="AF30" s="21" t="str">
        <f t="shared" si="5"/>
        <v>·</v>
      </c>
      <c r="AG30" s="20" t="str">
        <f t="shared" si="6"/>
        <v>.</v>
      </c>
      <c r="AH30" s="20" t="str">
        <f t="shared" si="7"/>
        <v>.</v>
      </c>
      <c r="AI30" s="27"/>
      <c r="AJ30" s="22"/>
      <c r="AK30" s="22"/>
      <c r="AL30" s="22"/>
      <c r="AM30" s="22"/>
      <c r="AN30" s="22"/>
      <c r="AO30" s="22"/>
      <c r="AP30" s="28"/>
      <c r="AQ30" s="28"/>
      <c r="AR30" s="28"/>
      <c r="AS30" s="28"/>
      <c r="AT30" s="28"/>
      <c r="AU30" s="28"/>
      <c r="AV30" s="28"/>
      <c r="AW30" s="70"/>
      <c r="AX30" s="70"/>
      <c r="AZ30" s="71" t="str">
        <f t="array" ref="AZ30">IF( OR(AND(ISBLANK(L30:L34)),AND(ISBLANK(AG30:AG34)), AND(ISBLANK(U30:U34)),AND(ISBLANK(AP30:AP34))), "·", bdRateExtend( L30:L34,U30:U34, AG30:AG34,AP30:AP34))</f>
        <v>·</v>
      </c>
      <c r="BA30" s="71" t="str">
        <f t="array" ref="BA30">IF( OR(AND(ISBLANK(L30:L34)),AND(ISBLANK(AG30:AG34)), AND(ISBLANK(V30:V34)),AND(ISBLANK(AQ30:AQ34))), "·", bdRateExtend( L30:L34,V30:V34, AG30:AG34,AQ30:AQ34))</f>
        <v>·</v>
      </c>
      <c r="BB30" s="71" t="str">
        <f t="array" ref="BB30">IF( OR(AND(ISBLANK(L30:L34)),AND(ISBLANK(AG30:AG34)), AND(ISBLANK(W30:W34)),AND(ISBLANK(AR30:AR34))), "·", bdRateExtend( L30:L34,W30:W34, AG30:AG34,AR30:AR34))</f>
        <v>·</v>
      </c>
      <c r="BC30" s="71" t="str">
        <f t="array" ref="BC30">IF( OR(AND(ISBLANK(L30:L34)),AND(ISBLANK(AG30:AG34)), AND(ISBLANK(X30:X34)),AND(ISBLANK(AS30:AS34))), "·", bdRateExtend( L30:L34,X30:X34, AG30:AG34,AS30:AS34))</f>
        <v>·</v>
      </c>
      <c r="BD30" s="71" t="str">
        <f t="array" ref="BD30">IF( OR(AND(ISBLANK(L30:L34)),AND(ISBLANK(AG30:AG34)), AND(ISBLANK(Y30:Y34)),AND(ISBLANK(AT30:AT34))), "·", bdRateExtend( L30:L34,Y30:Y34, AG30:AG34,AT30:AT34))</f>
        <v>·</v>
      </c>
      <c r="BE30" s="71" t="str">
        <f t="array" ref="BE30">IF( OR(AND(ISBLANK(L30:L34)),AND(ISBLANK(AG30:AG34)), AND(ISBLANK(Z30:Z34)),AND(ISBLANK(AU30:AU34))), "·", bdRateExtend( L30:L34,Z30:Z34, AG30:AG34,AU30:AU34))</f>
        <v>·</v>
      </c>
      <c r="BF30" s="71" t="str">
        <f t="array" ref="BF30">IF( OR(AND(ISBLANK(L30:L34)),AND(ISBLANK(AG30:AG34)), AND(ISBLANK(AA30:AA34)),AND(ISBLANK(AV30:AV34))), "·", bdRateExtend( L30:L34,AA30:AA34, AG30:AG34,AV30:AV34))</f>
        <v>·</v>
      </c>
      <c r="BH30" s="71" t="str">
        <f t="array" ref="BH30">IF( OR(AND(ISBLANK(M30:M34)),AND(ISBLANK(AH30:AH34)), AND(ISBLANK(U30:U34)),AND(ISBLANK(AP30:AP34))), "·", bdRateExtend( M30:M34,U30:U34, AH30:AH34,AP30:AP34))</f>
        <v>·</v>
      </c>
      <c r="BI30" s="71" t="str">
        <f t="array" ref="BI30">IF( OR(AND(ISBLANK(M30:M34)),AND(ISBLANK(AH30:AH34)), AND(ISBLANK(V30:V34)),AND(ISBLANK(AQ30:AQ34))), "·", bdRateExtend( M30:M34,V30:V34, AH30:AH34,AQ30:AQ34))</f>
        <v>·</v>
      </c>
      <c r="BJ30" s="71" t="str">
        <f t="array" ref="BJ30">IF( OR(AND(ISBLANK(S30:S34)),AND(ISBLANK(AN30:AN34)), AND(ISBLANK(W30:W34)),AND(ISBLANK(AR30:AR34))), "·", bdRateExtend( S30:S34,W30:W34, AN30:AN34,AR30:AR34))</f>
        <v>·</v>
      </c>
      <c r="BK30" s="71" t="str">
        <f t="array" ref="BK30">IF( OR(AND(ISBLANK(S30:S34)),AND(ISBLANK(AN30:AN34)), AND(ISBLANK(X30:X34)),AND(ISBLANK(AS30:AS34))), "·", bdRateExtend( S30:S34,X30:X34, AN30:AN34,AS30:AS34))</f>
        <v>·</v>
      </c>
      <c r="BL30" s="71" t="str">
        <f t="array" ref="BL30">IF( OR(AND(ISBLANK(S30:S34)),AND(ISBLANK(AN30:AN34)), AND(ISBLANK(Y30:Y34)),AND(ISBLANK(AT30:AT34))), "·", bdRateExtend( S30:S34,Y30:Y34, AN30:AN34,AT30:AT34))</f>
        <v>·</v>
      </c>
      <c r="BM30" s="71" t="str">
        <f t="array" ref="BM30">IF( OR(AND(ISBLANK(M30:M34)),AND(ISBLANK(AH30:AH34)), AND(ISBLANK(Z30:Z34)),AND(ISBLANK(AU30:AU34))), "·", bdRateExtend( M30:M34,Z30:Z34, AH30:AH34,AU30:AU34))</f>
        <v>·</v>
      </c>
      <c r="BN30" s="71" t="str">
        <f t="array" ref="BN30">IF( OR(AND(ISBLANK(S30:S34)),AND(ISBLANK(AN30:AN34)), AND(ISBLANK(AA30:AA34)),AND(ISBLANK(AV30:AV34))), "·", bdRateExtend( S30:S34,AA30:AA34, AN30:AN34,AV30:AV34))</f>
        <v>·</v>
      </c>
      <c r="BP30" s="71">
        <f t="shared" si="8"/>
        <v>0</v>
      </c>
      <c r="BQ30" s="71">
        <f t="shared" si="9"/>
        <v>0</v>
      </c>
      <c r="BR30" s="71">
        <f t="shared" si="10"/>
        <v>0</v>
      </c>
      <c r="BS30" s="71">
        <f t="shared" si="11"/>
        <v>0</v>
      </c>
      <c r="BT30" s="71">
        <f t="shared" si="12"/>
        <v>0</v>
      </c>
    </row>
    <row r="31" spans="1:72" ht="15" customHeight="1" outlineLevel="1" x14ac:dyDescent="0.15">
      <c r="A31" s="8"/>
      <c r="B31" s="8" t="s">
        <v>67</v>
      </c>
      <c r="C31" s="10" t="s">
        <v>423</v>
      </c>
      <c r="D31" s="8">
        <v>5997654</v>
      </c>
      <c r="E31" s="9">
        <v>12</v>
      </c>
      <c r="F31" s="10">
        <v>32</v>
      </c>
      <c r="G31" s="10">
        <v>30</v>
      </c>
      <c r="H31" s="10">
        <v>8</v>
      </c>
      <c r="J31" s="63">
        <f t="shared" si="0"/>
        <v>8.1901499999999992</v>
      </c>
      <c r="K31" s="11">
        <f t="shared" si="1"/>
        <v>1.4565961957792164</v>
      </c>
      <c r="L31" s="10">
        <f t="shared" si="2"/>
        <v>8736160</v>
      </c>
      <c r="M31" s="10">
        <f t="shared" si="3"/>
        <v>2020240</v>
      </c>
      <c r="N31" s="25">
        <v>2427520</v>
      </c>
      <c r="O31" s="12">
        <v>8736160</v>
      </c>
      <c r="P31" s="12">
        <v>735256</v>
      </c>
      <c r="Q31" s="12">
        <v>0</v>
      </c>
      <c r="R31" s="12">
        <v>1284984</v>
      </c>
      <c r="S31" s="12">
        <v>6708576</v>
      </c>
      <c r="T31" s="12">
        <v>7344</v>
      </c>
      <c r="U31" s="26">
        <v>75.691998999999996</v>
      </c>
      <c r="V31" s="26">
        <v>77.611402699999999</v>
      </c>
      <c r="W31" s="26">
        <v>40.601440500000002</v>
      </c>
      <c r="X31" s="26">
        <v>45.8746127</v>
      </c>
      <c r="Y31" s="26">
        <v>44.715406100000003</v>
      </c>
      <c r="Z31" s="26">
        <v>47.839015799999999</v>
      </c>
      <c r="AA31" s="26">
        <v>36.470020099999999</v>
      </c>
      <c r="AB31" s="64">
        <v>1428.221898</v>
      </c>
      <c r="AC31" s="64">
        <v>21.990676000000001</v>
      </c>
      <c r="AE31" s="63" t="str">
        <f t="shared" si="4"/>
        <v>·</v>
      </c>
      <c r="AF31" s="11" t="str">
        <f t="shared" si="5"/>
        <v>·</v>
      </c>
      <c r="AG31" s="10" t="str">
        <f t="shared" si="6"/>
        <v>.</v>
      </c>
      <c r="AH31" s="10" t="str">
        <f t="shared" si="7"/>
        <v>.</v>
      </c>
      <c r="AI31" s="25"/>
      <c r="AJ31" s="12"/>
      <c r="AK31" s="12"/>
      <c r="AL31" s="12"/>
      <c r="AM31" s="12"/>
      <c r="AN31" s="12"/>
      <c r="AO31" s="12"/>
      <c r="AP31" s="26"/>
      <c r="AQ31" s="26"/>
      <c r="AR31" s="26"/>
      <c r="AS31" s="26"/>
      <c r="AT31" s="26"/>
      <c r="AU31" s="26"/>
      <c r="AV31" s="26"/>
      <c r="AW31" s="64"/>
      <c r="AX31" s="64"/>
      <c r="AZ31" s="65"/>
      <c r="BA31" s="65"/>
      <c r="BB31" s="65"/>
      <c r="BC31" s="65"/>
      <c r="BD31" s="65"/>
      <c r="BE31" s="65"/>
      <c r="BF31" s="65"/>
      <c r="BH31" s="65"/>
      <c r="BI31" s="65"/>
      <c r="BJ31" s="65"/>
      <c r="BK31" s="65"/>
      <c r="BL31" s="65"/>
      <c r="BM31" s="65"/>
      <c r="BN31" s="65"/>
      <c r="BP31" s="65">
        <f t="shared" si="8"/>
        <v>0</v>
      </c>
      <c r="BQ31" s="65">
        <f t="shared" si="9"/>
        <v>0</v>
      </c>
      <c r="BR31" s="65">
        <f t="shared" si="10"/>
        <v>0</v>
      </c>
      <c r="BS31" s="65">
        <f t="shared" si="11"/>
        <v>0</v>
      </c>
      <c r="BT31" s="65">
        <f t="shared" si="12"/>
        <v>0</v>
      </c>
    </row>
    <row r="32" spans="1:72" ht="15" customHeight="1" outlineLevel="1" x14ac:dyDescent="0.15">
      <c r="A32" s="18"/>
      <c r="B32" s="18" t="s">
        <v>67</v>
      </c>
      <c r="C32" s="20" t="s">
        <v>424</v>
      </c>
      <c r="D32" s="18">
        <v>5997654</v>
      </c>
      <c r="E32" s="19">
        <v>12</v>
      </c>
      <c r="F32" s="20">
        <v>32</v>
      </c>
      <c r="G32" s="20">
        <v>30</v>
      </c>
      <c r="H32" s="20">
        <v>12</v>
      </c>
      <c r="J32" s="69">
        <f t="shared" si="0"/>
        <v>12.220297499999999</v>
      </c>
      <c r="K32" s="21">
        <f t="shared" si="1"/>
        <v>2.1733471120541465</v>
      </c>
      <c r="L32" s="20">
        <f t="shared" si="2"/>
        <v>13034984</v>
      </c>
      <c r="M32" s="20">
        <f t="shared" si="3"/>
        <v>3240296</v>
      </c>
      <c r="N32" s="27">
        <v>2450608</v>
      </c>
      <c r="O32" s="22">
        <v>13034984</v>
      </c>
      <c r="P32" s="22">
        <v>1996288</v>
      </c>
      <c r="Q32" s="22">
        <v>0</v>
      </c>
      <c r="R32" s="22">
        <v>1244008</v>
      </c>
      <c r="S32" s="22">
        <v>9787352</v>
      </c>
      <c r="T32" s="22">
        <v>7336</v>
      </c>
      <c r="U32" s="28">
        <v>78.591311000000005</v>
      </c>
      <c r="V32" s="28">
        <v>81.084870800000004</v>
      </c>
      <c r="W32" s="28">
        <v>41.972023700000001</v>
      </c>
      <c r="X32" s="28">
        <v>46.559950000000001</v>
      </c>
      <c r="Y32" s="28">
        <v>45.546240300000001</v>
      </c>
      <c r="Z32" s="28">
        <v>49.742427300000003</v>
      </c>
      <c r="AA32" s="28">
        <v>38.169751099999999</v>
      </c>
      <c r="AB32" s="70">
        <v>1988.1057370000001</v>
      </c>
      <c r="AC32" s="70">
        <v>23.893583</v>
      </c>
      <c r="AE32" s="69" t="str">
        <f t="shared" si="4"/>
        <v>·</v>
      </c>
      <c r="AF32" s="21" t="str">
        <f t="shared" si="5"/>
        <v>·</v>
      </c>
      <c r="AG32" s="20" t="str">
        <f t="shared" si="6"/>
        <v>.</v>
      </c>
      <c r="AH32" s="20" t="str">
        <f t="shared" si="7"/>
        <v>.</v>
      </c>
      <c r="AI32" s="27"/>
      <c r="AJ32" s="22"/>
      <c r="AK32" s="22"/>
      <c r="AL32" s="22"/>
      <c r="AM32" s="22"/>
      <c r="AN32" s="22"/>
      <c r="AO32" s="22"/>
      <c r="AP32" s="28"/>
      <c r="AQ32" s="28"/>
      <c r="AR32" s="28"/>
      <c r="AS32" s="28"/>
      <c r="AT32" s="28"/>
      <c r="AU32" s="28"/>
      <c r="AV32" s="28"/>
      <c r="AW32" s="70"/>
      <c r="AX32" s="70"/>
      <c r="AZ32" s="71"/>
      <c r="BA32" s="71"/>
      <c r="BB32" s="71"/>
      <c r="BC32" s="71"/>
      <c r="BD32" s="71"/>
      <c r="BE32" s="71"/>
      <c r="BF32" s="71"/>
      <c r="BH32" s="71"/>
      <c r="BI32" s="71"/>
      <c r="BJ32" s="71"/>
      <c r="BK32" s="71"/>
      <c r="BL32" s="71"/>
      <c r="BM32" s="71"/>
      <c r="BN32" s="71"/>
      <c r="BP32" s="71">
        <f t="shared" si="8"/>
        <v>0</v>
      </c>
      <c r="BQ32" s="71">
        <f t="shared" si="9"/>
        <v>0</v>
      </c>
      <c r="BR32" s="71">
        <f t="shared" si="10"/>
        <v>0</v>
      </c>
      <c r="BS32" s="71">
        <f t="shared" si="11"/>
        <v>0</v>
      </c>
      <c r="BT32" s="71">
        <f t="shared" si="12"/>
        <v>0</v>
      </c>
    </row>
    <row r="33" spans="1:72" ht="15" customHeight="1" outlineLevel="1" x14ac:dyDescent="0.15">
      <c r="A33" s="8"/>
      <c r="B33" s="8" t="s">
        <v>67</v>
      </c>
      <c r="C33" s="10" t="s">
        <v>425</v>
      </c>
      <c r="D33" s="8">
        <v>5997654</v>
      </c>
      <c r="E33" s="9">
        <v>12</v>
      </c>
      <c r="F33" s="10">
        <v>32</v>
      </c>
      <c r="G33" s="10">
        <v>30</v>
      </c>
      <c r="H33" s="10">
        <v>17</v>
      </c>
      <c r="J33" s="63">
        <f t="shared" si="0"/>
        <v>17.41386</v>
      </c>
      <c r="K33" s="11">
        <f t="shared" si="1"/>
        <v>3.097008263564387</v>
      </c>
      <c r="L33" s="10">
        <f t="shared" si="2"/>
        <v>18574784</v>
      </c>
      <c r="M33" s="10">
        <f t="shared" si="3"/>
        <v>3811040</v>
      </c>
      <c r="N33" s="25">
        <v>2450608</v>
      </c>
      <c r="O33" s="12">
        <v>18574784</v>
      </c>
      <c r="P33" s="12">
        <v>1996288</v>
      </c>
      <c r="Q33" s="12">
        <v>0</v>
      </c>
      <c r="R33" s="12">
        <v>1814752</v>
      </c>
      <c r="S33" s="12">
        <v>14756400</v>
      </c>
      <c r="T33" s="12">
        <v>7344</v>
      </c>
      <c r="U33" s="26">
        <v>79.716879199999994</v>
      </c>
      <c r="V33" s="26">
        <v>82.645829399999997</v>
      </c>
      <c r="W33" s="26">
        <v>43.057604900000001</v>
      </c>
      <c r="X33" s="26">
        <v>47.6788247</v>
      </c>
      <c r="Y33" s="26">
        <v>46.881957499999999</v>
      </c>
      <c r="Z33" s="26">
        <v>50.566854999999997</v>
      </c>
      <c r="AA33" s="26">
        <v>39.3461876</v>
      </c>
      <c r="AB33" s="64">
        <v>5006.7680090000003</v>
      </c>
      <c r="AC33" s="64">
        <v>72.807312999999994</v>
      </c>
      <c r="AE33" s="63" t="str">
        <f t="shared" si="4"/>
        <v>·</v>
      </c>
      <c r="AF33" s="11" t="str">
        <f t="shared" si="5"/>
        <v>·</v>
      </c>
      <c r="AG33" s="10" t="str">
        <f t="shared" si="6"/>
        <v>.</v>
      </c>
      <c r="AH33" s="10" t="str">
        <f t="shared" si="7"/>
        <v>.</v>
      </c>
      <c r="AI33" s="25"/>
      <c r="AJ33" s="12"/>
      <c r="AK33" s="12"/>
      <c r="AL33" s="12"/>
      <c r="AM33" s="12"/>
      <c r="AN33" s="12"/>
      <c r="AO33" s="12"/>
      <c r="AP33" s="26"/>
      <c r="AQ33" s="26"/>
      <c r="AR33" s="26"/>
      <c r="AS33" s="26"/>
      <c r="AT33" s="26"/>
      <c r="AU33" s="26"/>
      <c r="AV33" s="26"/>
      <c r="AW33" s="64"/>
      <c r="AX33" s="64"/>
      <c r="AZ33" s="65"/>
      <c r="BA33" s="65"/>
      <c r="BB33" s="65"/>
      <c r="BC33" s="65"/>
      <c r="BD33" s="65"/>
      <c r="BE33" s="65"/>
      <c r="BF33" s="65"/>
      <c r="BH33" s="65"/>
      <c r="BI33" s="65"/>
      <c r="BJ33" s="65"/>
      <c r="BK33" s="65"/>
      <c r="BL33" s="65"/>
      <c r="BM33" s="65"/>
      <c r="BN33" s="65"/>
      <c r="BP33" s="65">
        <f t="shared" si="8"/>
        <v>0</v>
      </c>
      <c r="BQ33" s="65">
        <f t="shared" si="9"/>
        <v>0</v>
      </c>
      <c r="BR33" s="65">
        <f t="shared" si="10"/>
        <v>0</v>
      </c>
      <c r="BS33" s="65">
        <f t="shared" si="11"/>
        <v>0</v>
      </c>
      <c r="BT33" s="65">
        <f t="shared" si="12"/>
        <v>0</v>
      </c>
    </row>
    <row r="34" spans="1:72" ht="15.75" customHeight="1" outlineLevel="1" thickBot="1" x14ac:dyDescent="0.2">
      <c r="A34" s="18"/>
      <c r="B34" s="13" t="s">
        <v>67</v>
      </c>
      <c r="C34" s="15" t="s">
        <v>426</v>
      </c>
      <c r="D34" s="13">
        <v>5997654</v>
      </c>
      <c r="E34" s="14">
        <v>12</v>
      </c>
      <c r="F34" s="15">
        <v>32</v>
      </c>
      <c r="G34" s="15">
        <v>30</v>
      </c>
      <c r="H34" s="15">
        <v>25</v>
      </c>
      <c r="J34" s="66">
        <f t="shared" si="0"/>
        <v>25.5125025</v>
      </c>
      <c r="K34" s="16">
        <f t="shared" si="1"/>
        <v>4.5373300960675627</v>
      </c>
      <c r="L34" s="15">
        <f t="shared" si="2"/>
        <v>27213336</v>
      </c>
      <c r="M34" s="15">
        <f t="shared" si="3"/>
        <v>6280408</v>
      </c>
      <c r="N34" s="36">
        <v>7367488</v>
      </c>
      <c r="O34" s="17">
        <v>27213336</v>
      </c>
      <c r="P34" s="17">
        <v>4581168</v>
      </c>
      <c r="Q34" s="17">
        <v>0</v>
      </c>
      <c r="R34" s="17">
        <v>1699240</v>
      </c>
      <c r="S34" s="17">
        <v>20925320</v>
      </c>
      <c r="T34" s="17">
        <v>7608</v>
      </c>
      <c r="U34" s="37">
        <v>82.481718200000003</v>
      </c>
      <c r="V34" s="37">
        <v>86.526489299999994</v>
      </c>
      <c r="W34" s="37">
        <v>44.178062699999998</v>
      </c>
      <c r="X34" s="37">
        <v>48.403700800000003</v>
      </c>
      <c r="Y34" s="37">
        <v>47.708257400000001</v>
      </c>
      <c r="Z34" s="37">
        <v>52.386246300000003</v>
      </c>
      <c r="AA34" s="37">
        <v>41.213450399999999</v>
      </c>
      <c r="AB34" s="67">
        <v>6645.0891849999998</v>
      </c>
      <c r="AC34" s="67">
        <v>90.814297999999994</v>
      </c>
      <c r="AE34" s="66" t="str">
        <f t="shared" si="4"/>
        <v>·</v>
      </c>
      <c r="AF34" s="16" t="str">
        <f t="shared" si="5"/>
        <v>·</v>
      </c>
      <c r="AG34" s="15" t="str">
        <f t="shared" si="6"/>
        <v>.</v>
      </c>
      <c r="AH34" s="15" t="str">
        <f t="shared" si="7"/>
        <v>.</v>
      </c>
      <c r="AI34" s="36"/>
      <c r="AJ34" s="17"/>
      <c r="AK34" s="17"/>
      <c r="AL34" s="17"/>
      <c r="AM34" s="17"/>
      <c r="AN34" s="17"/>
      <c r="AO34" s="17"/>
      <c r="AP34" s="37"/>
      <c r="AQ34" s="37"/>
      <c r="AR34" s="37"/>
      <c r="AS34" s="37"/>
      <c r="AT34" s="37"/>
      <c r="AU34" s="37"/>
      <c r="AV34" s="37"/>
      <c r="AW34" s="67"/>
      <c r="AX34" s="67"/>
      <c r="AZ34" s="68"/>
      <c r="BA34" s="68"/>
      <c r="BB34" s="68"/>
      <c r="BC34" s="68"/>
      <c r="BD34" s="68"/>
      <c r="BE34" s="68"/>
      <c r="BF34" s="68"/>
      <c r="BH34" s="68"/>
      <c r="BI34" s="68"/>
      <c r="BJ34" s="68"/>
      <c r="BK34" s="68"/>
      <c r="BL34" s="68"/>
      <c r="BM34" s="68"/>
      <c r="BN34" s="68"/>
      <c r="BP34" s="68">
        <f t="shared" si="8"/>
        <v>0</v>
      </c>
      <c r="BQ34" s="68">
        <f t="shared" si="9"/>
        <v>0</v>
      </c>
      <c r="BR34" s="68">
        <f t="shared" si="10"/>
        <v>0</v>
      </c>
      <c r="BS34" s="68">
        <f t="shared" si="11"/>
        <v>0</v>
      </c>
      <c r="BT34" s="68">
        <f t="shared" si="12"/>
        <v>0</v>
      </c>
    </row>
    <row r="35" spans="1:72" ht="15" customHeight="1" x14ac:dyDescent="0.15">
      <c r="A35" s="8"/>
      <c r="B35" s="8" t="s">
        <v>72</v>
      </c>
      <c r="C35" s="10" t="s">
        <v>422</v>
      </c>
      <c r="D35" s="8">
        <v>9000000</v>
      </c>
      <c r="E35" s="9">
        <v>12</v>
      </c>
      <c r="F35" s="10">
        <v>32</v>
      </c>
      <c r="G35" s="10">
        <v>30</v>
      </c>
      <c r="H35" s="10">
        <v>4</v>
      </c>
      <c r="J35" s="63">
        <f t="shared" si="0"/>
        <v>3.8662424999999998</v>
      </c>
      <c r="K35" s="11">
        <f t="shared" si="1"/>
        <v>0.45822133333333331</v>
      </c>
      <c r="L35" s="10">
        <f t="shared" si="2"/>
        <v>4123992</v>
      </c>
      <c r="M35" s="10">
        <f t="shared" si="3"/>
        <v>1351272</v>
      </c>
      <c r="N35" s="25">
        <v>460240</v>
      </c>
      <c r="O35" s="12">
        <v>4123992</v>
      </c>
      <c r="P35" s="12">
        <v>628624</v>
      </c>
      <c r="Q35" s="12">
        <v>0</v>
      </c>
      <c r="R35" s="12">
        <v>722648</v>
      </c>
      <c r="S35" s="12">
        <v>2765904</v>
      </c>
      <c r="T35" s="12">
        <v>6816</v>
      </c>
      <c r="U35" s="26">
        <v>69.707156499999996</v>
      </c>
      <c r="V35" s="26">
        <v>70.845885999999993</v>
      </c>
      <c r="W35" s="26">
        <v>29.544831299999998</v>
      </c>
      <c r="X35" s="26">
        <v>38.629725999999998</v>
      </c>
      <c r="Y35" s="26">
        <v>38.353686099999997</v>
      </c>
      <c r="Z35" s="26">
        <v>46.421184400000001</v>
      </c>
      <c r="AA35" s="26">
        <v>28.0790261</v>
      </c>
      <c r="AB35" s="64">
        <v>612.826278</v>
      </c>
      <c r="AC35" s="64">
        <v>5.4911510000000003</v>
      </c>
      <c r="AE35" s="63" t="str">
        <f t="shared" si="4"/>
        <v>·</v>
      </c>
      <c r="AF35" s="11" t="str">
        <f t="shared" si="5"/>
        <v>·</v>
      </c>
      <c r="AG35" s="10" t="str">
        <f t="shared" si="6"/>
        <v>.</v>
      </c>
      <c r="AH35" s="10" t="str">
        <f t="shared" si="7"/>
        <v>.</v>
      </c>
      <c r="AI35" s="25"/>
      <c r="AJ35" s="12"/>
      <c r="AK35" s="12"/>
      <c r="AL35" s="12"/>
      <c r="AM35" s="12"/>
      <c r="AN35" s="12"/>
      <c r="AO35" s="12"/>
      <c r="AP35" s="26"/>
      <c r="AQ35" s="26"/>
      <c r="AR35" s="26"/>
      <c r="AS35" s="26"/>
      <c r="AT35" s="26"/>
      <c r="AU35" s="26"/>
      <c r="AV35" s="26"/>
      <c r="AW35" s="64"/>
      <c r="AX35" s="64"/>
      <c r="AZ35" s="65" t="str">
        <f t="array" ref="AZ35">IF( OR(AND(ISBLANK(L35:L39)),AND(ISBLANK(AG35:AG39)), AND(ISBLANK(U35:U39)),AND(ISBLANK(AP35:AP39))), "·", bdRateExtend( L35:L39,U35:U39, AG35:AG39,AP35:AP39))</f>
        <v>·</v>
      </c>
      <c r="BA35" s="65" t="str">
        <f t="array" ref="BA35">IF( OR(AND(ISBLANK(L35:L39)),AND(ISBLANK(AG35:AG39)), AND(ISBLANK(V35:V39)),AND(ISBLANK(AQ35:AQ39))), "·", bdRateExtend( L35:L39,V35:V39, AG35:AG39,AQ35:AQ39))</f>
        <v>·</v>
      </c>
      <c r="BB35" s="65" t="str">
        <f t="array" ref="BB35">IF( OR(AND(ISBLANK(L35:L39)),AND(ISBLANK(AG35:AG39)), AND(ISBLANK(W35:W39)),AND(ISBLANK(AR35:AR39))), "·", bdRateExtend( L35:L39,W35:W39, AG35:AG39,AR35:AR39))</f>
        <v>·</v>
      </c>
      <c r="BC35" s="65" t="str">
        <f t="array" ref="BC35">IF( OR(AND(ISBLANK(L35:L39)),AND(ISBLANK(AG35:AG39)), AND(ISBLANK(X35:X39)),AND(ISBLANK(AS35:AS39))), "·", bdRateExtend( L35:L39,X35:X39, AG35:AG39,AS35:AS39))</f>
        <v>·</v>
      </c>
      <c r="BD35" s="65" t="str">
        <f t="array" ref="BD35">IF( OR(AND(ISBLANK(L35:L39)),AND(ISBLANK(AG35:AG39)), AND(ISBLANK(Y35:Y39)),AND(ISBLANK(AT35:AT39))), "·", bdRateExtend( L35:L39,Y35:Y39, AG35:AG39,AT35:AT39))</f>
        <v>·</v>
      </c>
      <c r="BE35" s="65" t="str">
        <f t="array" ref="BE35">IF( OR(AND(ISBLANK(L35:L39)),AND(ISBLANK(AG35:AG39)), AND(ISBLANK(Z35:Z39)),AND(ISBLANK(AU35:AU39))), "·", bdRateExtend( L35:L39,Z35:Z39, AG35:AG39,AU35:AU39))</f>
        <v>·</v>
      </c>
      <c r="BF35" s="65" t="str">
        <f t="array" ref="BF35">IF( OR(AND(ISBLANK(L35:L39)),AND(ISBLANK(AG35:AG39)), AND(ISBLANK(AA35:AA39)),AND(ISBLANK(AV35:AV39))), "·", bdRateExtend( L35:L39,AA35:AA39, AG35:AG39,AV35:AV39))</f>
        <v>·</v>
      </c>
      <c r="BH35" s="49" t="str">
        <f t="array" ref="BH35">IF( OR(AND(ISBLANK(M35:M39)),AND(ISBLANK(AH35:AH39)), AND(ISBLANK(U35:U39)),AND(ISBLANK(AP35:AP39))), "·", bdRateExtend( M35:M39,U35:U39, AH35:AH39,AP35:AP39))</f>
        <v>·</v>
      </c>
      <c r="BI35" s="65" t="str">
        <f t="array" ref="BI35">IF( OR(AND(ISBLANK(M35:M39)),AND(ISBLANK(AH35:AH39)), AND(ISBLANK(V35:V39)),AND(ISBLANK(AQ35:AQ39))), "·", bdRateExtend( M35:M39,V35:V39, AH35:AH39,AQ35:AQ39))</f>
        <v>·</v>
      </c>
      <c r="BJ35" s="65" t="str">
        <f t="array" ref="BJ35">IF( OR(AND(ISBLANK(S35:S39)),AND(ISBLANK(AN35:AN39)), AND(ISBLANK(W35:W39)),AND(ISBLANK(AR35:AR39))), "·", bdRateExtend( S35:S39,W35:W39, AN35:AN39,AR35:AR39))</f>
        <v>·</v>
      </c>
      <c r="BK35" s="65" t="str">
        <f t="array" ref="BK35">IF( OR(AND(ISBLANK(S35:S39)),AND(ISBLANK(AN35:AN39)), AND(ISBLANK(X35:X39)),AND(ISBLANK(AS35:AS39))), "·", bdRateExtend( S35:S39,X35:X39, AN35:AN39,AS35:AS39))</f>
        <v>·</v>
      </c>
      <c r="BL35" s="65" t="str">
        <f t="array" ref="BL35">IF( OR(AND(ISBLANK(S35:S39)),AND(ISBLANK(AN35:AN39)), AND(ISBLANK(Y35:Y39)),AND(ISBLANK(AT35:AT39))), "·", bdRateExtend( S35:S39,Y35:Y39, AN35:AN39,AT35:AT39))</f>
        <v>·</v>
      </c>
      <c r="BM35" s="65" t="str">
        <f t="array" ref="BM35">IF( OR(AND(ISBLANK(M35:M39)),AND(ISBLANK(AH35:AH39)), AND(ISBLANK(Z35:Z39)),AND(ISBLANK(AU35:AU39))), "·", bdRateExtend( M35:M39,Z35:Z39, AH35:AH39,AU35:AU39))</f>
        <v>·</v>
      </c>
      <c r="BN35" s="65" t="str">
        <f t="array" ref="BN35">IF( OR(AND(ISBLANK(S35:S39)),AND(ISBLANK(AN35:AN39)), AND(ISBLANK(AA35:AA39)),AND(ISBLANK(AV35:AV39))), "·", bdRateExtend( S35:S39,AA35:AA39, AN35:AN39,AV35:AV39))</f>
        <v>·</v>
      </c>
      <c r="BP35" s="65">
        <f t="shared" si="8"/>
        <v>0</v>
      </c>
      <c r="BQ35" s="65">
        <f t="shared" si="9"/>
        <v>0</v>
      </c>
      <c r="BR35" s="65">
        <f t="shared" si="10"/>
        <v>0</v>
      </c>
      <c r="BS35" s="65">
        <f t="shared" si="11"/>
        <v>0</v>
      </c>
      <c r="BT35" s="65">
        <f t="shared" si="12"/>
        <v>0</v>
      </c>
    </row>
    <row r="36" spans="1:72" ht="15" customHeight="1" outlineLevel="1" x14ac:dyDescent="0.15">
      <c r="A36" s="18"/>
      <c r="B36" s="18" t="s">
        <v>72</v>
      </c>
      <c r="C36" s="20" t="s">
        <v>423</v>
      </c>
      <c r="D36" s="18">
        <v>9000000</v>
      </c>
      <c r="E36" s="19">
        <v>12</v>
      </c>
      <c r="F36" s="20">
        <v>32</v>
      </c>
      <c r="G36" s="20">
        <v>30</v>
      </c>
      <c r="H36" s="20">
        <v>6</v>
      </c>
      <c r="J36" s="69">
        <f t="shared" si="0"/>
        <v>6.1157775000000001</v>
      </c>
      <c r="K36" s="21">
        <f t="shared" si="1"/>
        <v>0.72483288888888886</v>
      </c>
      <c r="L36" s="20">
        <f t="shared" si="2"/>
        <v>6523496</v>
      </c>
      <c r="M36" s="20">
        <f t="shared" si="3"/>
        <v>1803240</v>
      </c>
      <c r="N36" s="27">
        <v>920192</v>
      </c>
      <c r="O36" s="22">
        <v>6523496</v>
      </c>
      <c r="P36" s="22">
        <v>960056</v>
      </c>
      <c r="Q36" s="22">
        <v>0</v>
      </c>
      <c r="R36" s="22">
        <v>843184</v>
      </c>
      <c r="S36" s="22">
        <v>4713184</v>
      </c>
      <c r="T36" s="22">
        <v>7072</v>
      </c>
      <c r="U36" s="28">
        <v>73.172756399999997</v>
      </c>
      <c r="V36" s="28">
        <v>74.791354499999997</v>
      </c>
      <c r="W36" s="28">
        <v>30.235418599999999</v>
      </c>
      <c r="X36" s="28">
        <v>38.8056348</v>
      </c>
      <c r="Y36" s="28">
        <v>38.643869000000002</v>
      </c>
      <c r="Z36" s="28">
        <v>48.273334200000001</v>
      </c>
      <c r="AA36" s="28">
        <v>28.719213799999999</v>
      </c>
      <c r="AB36" s="70">
        <v>758.71078799999998</v>
      </c>
      <c r="AC36" s="70">
        <v>5.9698979999999997</v>
      </c>
      <c r="AE36" s="69" t="str">
        <f t="shared" si="4"/>
        <v>·</v>
      </c>
      <c r="AF36" s="21" t="str">
        <f t="shared" si="5"/>
        <v>·</v>
      </c>
      <c r="AG36" s="20" t="str">
        <f t="shared" si="6"/>
        <v>.</v>
      </c>
      <c r="AH36" s="20" t="str">
        <f t="shared" si="7"/>
        <v>.</v>
      </c>
      <c r="AI36" s="27"/>
      <c r="AJ36" s="22"/>
      <c r="AK36" s="22"/>
      <c r="AL36" s="22"/>
      <c r="AM36" s="22"/>
      <c r="AN36" s="22"/>
      <c r="AO36" s="22"/>
      <c r="AP36" s="28"/>
      <c r="AQ36" s="28"/>
      <c r="AR36" s="28"/>
      <c r="AS36" s="28"/>
      <c r="AT36" s="28"/>
      <c r="AU36" s="28"/>
      <c r="AV36" s="28"/>
      <c r="AW36" s="70"/>
      <c r="AX36" s="70"/>
      <c r="AZ36" s="71"/>
      <c r="BA36" s="71"/>
      <c r="BB36" s="71"/>
      <c r="BC36" s="71"/>
      <c r="BD36" s="71"/>
      <c r="BE36" s="71"/>
      <c r="BF36" s="71"/>
      <c r="BH36" s="71"/>
      <c r="BI36" s="71"/>
      <c r="BJ36" s="71"/>
      <c r="BK36" s="71"/>
      <c r="BL36" s="71"/>
      <c r="BM36" s="71"/>
      <c r="BN36" s="71"/>
      <c r="BP36" s="71">
        <f t="shared" si="8"/>
        <v>0</v>
      </c>
      <c r="BQ36" s="71">
        <f t="shared" si="9"/>
        <v>0</v>
      </c>
      <c r="BR36" s="71">
        <f t="shared" si="10"/>
        <v>0</v>
      </c>
      <c r="BS36" s="71">
        <f t="shared" si="11"/>
        <v>0</v>
      </c>
      <c r="BT36" s="71">
        <f t="shared" si="12"/>
        <v>0</v>
      </c>
    </row>
    <row r="37" spans="1:72" ht="15" customHeight="1" outlineLevel="1" x14ac:dyDescent="0.15">
      <c r="A37" s="8"/>
      <c r="B37" s="8" t="s">
        <v>72</v>
      </c>
      <c r="C37" s="10" t="s">
        <v>424</v>
      </c>
      <c r="D37" s="8">
        <v>9000000</v>
      </c>
      <c r="E37" s="9">
        <v>12</v>
      </c>
      <c r="F37" s="10">
        <v>32</v>
      </c>
      <c r="G37" s="10">
        <v>30</v>
      </c>
      <c r="H37" s="10">
        <v>11</v>
      </c>
      <c r="J37" s="63">
        <f t="shared" si="0"/>
        <v>11.30472</v>
      </c>
      <c r="K37" s="11">
        <f t="shared" si="1"/>
        <v>1.3398186666666667</v>
      </c>
      <c r="L37" s="10">
        <f t="shared" si="2"/>
        <v>12058368</v>
      </c>
      <c r="M37" s="10">
        <f t="shared" si="3"/>
        <v>2289944</v>
      </c>
      <c r="N37" s="25">
        <v>1841440</v>
      </c>
      <c r="O37" s="12">
        <v>12058368</v>
      </c>
      <c r="P37" s="12">
        <v>1626160</v>
      </c>
      <c r="Q37" s="12">
        <v>0</v>
      </c>
      <c r="R37" s="12">
        <v>663784</v>
      </c>
      <c r="S37" s="12">
        <v>9761080</v>
      </c>
      <c r="T37" s="12">
        <v>7344</v>
      </c>
      <c r="U37" s="26">
        <v>74.598658200000003</v>
      </c>
      <c r="V37" s="26">
        <v>76.396926399999998</v>
      </c>
      <c r="W37" s="26">
        <v>31.171381499999999</v>
      </c>
      <c r="X37" s="26">
        <v>39.018049699999999</v>
      </c>
      <c r="Y37" s="26">
        <v>39.200089300000002</v>
      </c>
      <c r="Z37" s="26">
        <v>48.904693799999997</v>
      </c>
      <c r="AA37" s="26">
        <v>30.0581982</v>
      </c>
      <c r="AB37" s="64">
        <v>5791.4487140000001</v>
      </c>
      <c r="AC37" s="64">
        <v>77.507408999999996</v>
      </c>
      <c r="AE37" s="63" t="str">
        <f t="shared" si="4"/>
        <v>·</v>
      </c>
      <c r="AF37" s="11" t="str">
        <f t="shared" si="5"/>
        <v>·</v>
      </c>
      <c r="AG37" s="10" t="str">
        <f t="shared" si="6"/>
        <v>.</v>
      </c>
      <c r="AH37" s="10" t="str">
        <f t="shared" si="7"/>
        <v>.</v>
      </c>
      <c r="AI37" s="25"/>
      <c r="AJ37" s="12"/>
      <c r="AK37" s="12"/>
      <c r="AL37" s="12"/>
      <c r="AM37" s="12"/>
      <c r="AN37" s="12"/>
      <c r="AO37" s="12"/>
      <c r="AP37" s="26"/>
      <c r="AQ37" s="26"/>
      <c r="AR37" s="26"/>
      <c r="AS37" s="26"/>
      <c r="AT37" s="26"/>
      <c r="AU37" s="26"/>
      <c r="AV37" s="26"/>
      <c r="AW37" s="64"/>
      <c r="AX37" s="64"/>
      <c r="AZ37" s="65"/>
      <c r="BA37" s="65"/>
      <c r="BB37" s="65"/>
      <c r="BC37" s="65"/>
      <c r="BD37" s="65"/>
      <c r="BE37" s="65"/>
      <c r="BF37" s="65"/>
      <c r="BH37" s="65"/>
      <c r="BI37" s="65"/>
      <c r="BJ37" s="65"/>
      <c r="BK37" s="65"/>
      <c r="BL37" s="65"/>
      <c r="BM37" s="65"/>
      <c r="BN37" s="65"/>
      <c r="BP37" s="65">
        <f t="shared" si="8"/>
        <v>0</v>
      </c>
      <c r="BQ37" s="65">
        <f t="shared" si="9"/>
        <v>0</v>
      </c>
      <c r="BR37" s="65">
        <f t="shared" si="10"/>
        <v>0</v>
      </c>
      <c r="BS37" s="65">
        <f t="shared" si="11"/>
        <v>0</v>
      </c>
      <c r="BT37" s="65">
        <f t="shared" si="12"/>
        <v>0</v>
      </c>
    </row>
    <row r="38" spans="1:72" ht="15" customHeight="1" outlineLevel="1" x14ac:dyDescent="0.15">
      <c r="A38" s="18"/>
      <c r="B38" s="18" t="s">
        <v>72</v>
      </c>
      <c r="C38" s="20" t="s">
        <v>425</v>
      </c>
      <c r="D38" s="18">
        <v>9000000</v>
      </c>
      <c r="E38" s="19">
        <v>12</v>
      </c>
      <c r="F38" s="20">
        <v>32</v>
      </c>
      <c r="G38" s="20">
        <v>30</v>
      </c>
      <c r="H38" s="20">
        <v>16</v>
      </c>
      <c r="J38" s="69">
        <f t="shared" si="0"/>
        <v>16.510605000000002</v>
      </c>
      <c r="K38" s="21">
        <f t="shared" si="1"/>
        <v>1.9568124444444444</v>
      </c>
      <c r="L38" s="20">
        <f t="shared" si="2"/>
        <v>17611312</v>
      </c>
      <c r="M38" s="20">
        <f t="shared" si="3"/>
        <v>2935800</v>
      </c>
      <c r="N38" s="27">
        <v>1841440</v>
      </c>
      <c r="O38" s="22">
        <v>17611312</v>
      </c>
      <c r="P38" s="22">
        <v>1800040</v>
      </c>
      <c r="Q38" s="22">
        <v>0</v>
      </c>
      <c r="R38" s="22">
        <v>1135760</v>
      </c>
      <c r="S38" s="22">
        <v>14668168</v>
      </c>
      <c r="T38" s="22">
        <v>7344</v>
      </c>
      <c r="U38" s="28">
        <v>76.429223199999996</v>
      </c>
      <c r="V38" s="28">
        <v>78.460196499999995</v>
      </c>
      <c r="W38" s="28">
        <v>31.860462299999998</v>
      </c>
      <c r="X38" s="28">
        <v>39.089494199999997</v>
      </c>
      <c r="Y38" s="28">
        <v>39.320117500000002</v>
      </c>
      <c r="Z38" s="28">
        <v>50.1838695</v>
      </c>
      <c r="AA38" s="28">
        <v>30.7791101</v>
      </c>
      <c r="AB38" s="70">
        <v>5781.3191820000002</v>
      </c>
      <c r="AC38" s="70">
        <v>72.489637999999999</v>
      </c>
      <c r="AE38" s="69" t="str">
        <f t="shared" si="4"/>
        <v>·</v>
      </c>
      <c r="AF38" s="21" t="str">
        <f t="shared" si="5"/>
        <v>·</v>
      </c>
      <c r="AG38" s="20" t="str">
        <f t="shared" si="6"/>
        <v>.</v>
      </c>
      <c r="AH38" s="20" t="str">
        <f t="shared" si="7"/>
        <v>.</v>
      </c>
      <c r="AI38" s="27"/>
      <c r="AJ38" s="22"/>
      <c r="AK38" s="22"/>
      <c r="AL38" s="22"/>
      <c r="AM38" s="22"/>
      <c r="AN38" s="22"/>
      <c r="AO38" s="22"/>
      <c r="AP38" s="28"/>
      <c r="AQ38" s="28"/>
      <c r="AR38" s="28"/>
      <c r="AS38" s="28"/>
      <c r="AT38" s="28"/>
      <c r="AU38" s="28"/>
      <c r="AV38" s="28"/>
      <c r="AW38" s="70"/>
      <c r="AX38" s="70"/>
      <c r="AZ38" s="71"/>
      <c r="BA38" s="71"/>
      <c r="BB38" s="71"/>
      <c r="BC38" s="71"/>
      <c r="BD38" s="71"/>
      <c r="BE38" s="71"/>
      <c r="BF38" s="71"/>
      <c r="BH38" s="71"/>
      <c r="BI38" s="71"/>
      <c r="BJ38" s="71"/>
      <c r="BK38" s="71"/>
      <c r="BL38" s="71"/>
      <c r="BM38" s="71"/>
      <c r="BN38" s="71"/>
      <c r="BP38" s="71">
        <f t="shared" si="8"/>
        <v>0</v>
      </c>
      <c r="BQ38" s="71">
        <f t="shared" si="9"/>
        <v>0</v>
      </c>
      <c r="BR38" s="71">
        <f t="shared" si="10"/>
        <v>0</v>
      </c>
      <c r="BS38" s="71">
        <f t="shared" si="11"/>
        <v>0</v>
      </c>
      <c r="BT38" s="71">
        <f t="shared" si="12"/>
        <v>0</v>
      </c>
    </row>
    <row r="39" spans="1:72" ht="15.75" customHeight="1" outlineLevel="1" thickBot="1" x14ac:dyDescent="0.2">
      <c r="A39" s="8"/>
      <c r="B39" s="29" t="s">
        <v>72</v>
      </c>
      <c r="C39" s="30" t="s">
        <v>426</v>
      </c>
      <c r="D39" s="29">
        <v>9000000</v>
      </c>
      <c r="E39" s="31">
        <v>12</v>
      </c>
      <c r="F39" s="30">
        <v>32</v>
      </c>
      <c r="G39" s="30">
        <v>30</v>
      </c>
      <c r="H39" s="30">
        <v>24</v>
      </c>
      <c r="J39" s="75">
        <f t="shared" si="0"/>
        <v>24.819585</v>
      </c>
      <c r="K39" s="32">
        <f t="shared" si="1"/>
        <v>2.9415804444444444</v>
      </c>
      <c r="L39" s="30">
        <f t="shared" si="2"/>
        <v>26474224</v>
      </c>
      <c r="M39" s="30">
        <f t="shared" si="3"/>
        <v>4173224</v>
      </c>
      <c r="N39" s="33">
        <v>3683456</v>
      </c>
      <c r="O39" s="34">
        <v>26474224</v>
      </c>
      <c r="P39" s="34">
        <v>3148864</v>
      </c>
      <c r="Q39" s="34">
        <v>0</v>
      </c>
      <c r="R39" s="34">
        <v>1024360</v>
      </c>
      <c r="S39" s="34">
        <v>22293656</v>
      </c>
      <c r="T39" s="34">
        <v>7344</v>
      </c>
      <c r="U39" s="35">
        <v>78.684844100000007</v>
      </c>
      <c r="V39" s="35">
        <v>81.187899000000002</v>
      </c>
      <c r="W39" s="35">
        <v>32.693013299999997</v>
      </c>
      <c r="X39" s="35">
        <v>39.173815300000001</v>
      </c>
      <c r="Y39" s="35">
        <v>39.475410199999999</v>
      </c>
      <c r="Z39" s="35">
        <v>51.413178899999998</v>
      </c>
      <c r="AA39" s="35">
        <v>31.6564896</v>
      </c>
      <c r="AB39" s="76">
        <v>6346.9718590000002</v>
      </c>
      <c r="AC39" s="76">
        <v>75.337610999999995</v>
      </c>
      <c r="AE39" s="75" t="str">
        <f t="shared" si="4"/>
        <v>·</v>
      </c>
      <c r="AF39" s="32" t="str">
        <f t="shared" si="5"/>
        <v>·</v>
      </c>
      <c r="AG39" s="30" t="str">
        <f t="shared" si="6"/>
        <v>.</v>
      </c>
      <c r="AH39" s="30" t="str">
        <f t="shared" si="7"/>
        <v>.</v>
      </c>
      <c r="AI39" s="33"/>
      <c r="AJ39" s="34"/>
      <c r="AK39" s="34"/>
      <c r="AL39" s="34"/>
      <c r="AM39" s="34"/>
      <c r="AN39" s="34"/>
      <c r="AO39" s="34"/>
      <c r="AP39" s="35"/>
      <c r="AQ39" s="35"/>
      <c r="AR39" s="35"/>
      <c r="AS39" s="35"/>
      <c r="AT39" s="35"/>
      <c r="AU39" s="35"/>
      <c r="AV39" s="35"/>
      <c r="AW39" s="76"/>
      <c r="AX39" s="76"/>
      <c r="AZ39" s="77"/>
      <c r="BA39" s="77"/>
      <c r="BB39" s="77"/>
      <c r="BC39" s="77"/>
      <c r="BD39" s="77"/>
      <c r="BE39" s="77"/>
      <c r="BF39" s="77"/>
      <c r="BH39" s="77"/>
      <c r="BI39" s="77"/>
      <c r="BJ39" s="77"/>
      <c r="BK39" s="77"/>
      <c r="BL39" s="77"/>
      <c r="BM39" s="77"/>
      <c r="BN39" s="77"/>
      <c r="BP39" s="77">
        <f t="shared" si="8"/>
        <v>0</v>
      </c>
      <c r="BQ39" s="77">
        <f t="shared" si="9"/>
        <v>0</v>
      </c>
      <c r="BR39" s="77">
        <f t="shared" si="10"/>
        <v>0</v>
      </c>
      <c r="BS39" s="77">
        <f t="shared" si="11"/>
        <v>0</v>
      </c>
      <c r="BT39" s="77">
        <f t="shared" si="12"/>
        <v>0</v>
      </c>
    </row>
    <row r="40" spans="1:72" ht="15" customHeight="1" x14ac:dyDescent="0.15">
      <c r="A40" s="18"/>
      <c r="B40" s="18" t="s">
        <v>77</v>
      </c>
      <c r="C40" s="20" t="s">
        <v>422</v>
      </c>
      <c r="D40" s="18">
        <v>9000000</v>
      </c>
      <c r="E40" s="19">
        <v>12</v>
      </c>
      <c r="F40" s="20">
        <v>32</v>
      </c>
      <c r="G40" s="20">
        <v>30</v>
      </c>
      <c r="H40" s="20">
        <v>4</v>
      </c>
      <c r="J40" s="69">
        <f t="shared" si="0"/>
        <v>3.9649575000000001</v>
      </c>
      <c r="K40" s="21">
        <f t="shared" si="1"/>
        <v>0.46992088888888889</v>
      </c>
      <c r="L40" s="20">
        <f t="shared" si="2"/>
        <v>4229288</v>
      </c>
      <c r="M40" s="20">
        <f t="shared" si="3"/>
        <v>1187904</v>
      </c>
      <c r="N40" s="27">
        <v>459760</v>
      </c>
      <c r="O40" s="22">
        <v>4229288</v>
      </c>
      <c r="P40" s="22">
        <v>547672</v>
      </c>
      <c r="Q40" s="22">
        <v>0</v>
      </c>
      <c r="R40" s="22">
        <v>640232</v>
      </c>
      <c r="S40" s="22">
        <v>3034568</v>
      </c>
      <c r="T40" s="22">
        <v>6816</v>
      </c>
      <c r="U40" s="28">
        <v>70.336717199999995</v>
      </c>
      <c r="V40" s="28">
        <v>71.392366100000004</v>
      </c>
      <c r="W40" s="28">
        <v>32.416777099999997</v>
      </c>
      <c r="X40" s="28">
        <v>42.232585100000001</v>
      </c>
      <c r="Y40" s="28">
        <v>42.570286699999997</v>
      </c>
      <c r="Z40" s="28">
        <v>46.517826399999997</v>
      </c>
      <c r="AA40" s="28">
        <v>31.211782100000001</v>
      </c>
      <c r="AB40" s="70">
        <v>1551.370111</v>
      </c>
      <c r="AC40" s="70">
        <v>17.091297999999998</v>
      </c>
      <c r="AE40" s="69" t="str">
        <f t="shared" si="4"/>
        <v>·</v>
      </c>
      <c r="AF40" s="21" t="str">
        <f t="shared" si="5"/>
        <v>·</v>
      </c>
      <c r="AG40" s="20" t="str">
        <f t="shared" si="6"/>
        <v>.</v>
      </c>
      <c r="AH40" s="20" t="str">
        <f t="shared" si="7"/>
        <v>.</v>
      </c>
      <c r="AI40" s="27"/>
      <c r="AJ40" s="22"/>
      <c r="AK40" s="22"/>
      <c r="AL40" s="22"/>
      <c r="AM40" s="22"/>
      <c r="AN40" s="22"/>
      <c r="AO40" s="22"/>
      <c r="AP40" s="28"/>
      <c r="AQ40" s="28"/>
      <c r="AR40" s="28"/>
      <c r="AS40" s="28"/>
      <c r="AT40" s="28"/>
      <c r="AU40" s="28"/>
      <c r="AV40" s="28"/>
      <c r="AW40" s="70"/>
      <c r="AX40" s="70"/>
      <c r="AZ40" s="71" t="str">
        <f t="array" ref="AZ40">IF( OR(AND(ISBLANK(L40:L44)),AND(ISBLANK(AG40:AG44)), AND(ISBLANK(U40:U44)),AND(ISBLANK(AP40:AP44))), "·", bdRateExtend( L40:L44,U40:U44, AG40:AG44,AP40:AP44))</f>
        <v>·</v>
      </c>
      <c r="BA40" s="71" t="str">
        <f t="array" ref="BA40">IF( OR(AND(ISBLANK(L40:L44)),AND(ISBLANK(AG40:AG44)), AND(ISBLANK(V40:V44)),AND(ISBLANK(AQ40:AQ44))), "·", bdRateExtend( L40:L44,V40:V44, AG40:AG44,AQ40:AQ44))</f>
        <v>·</v>
      </c>
      <c r="BB40" s="71" t="str">
        <f t="array" ref="BB40">IF( OR(AND(ISBLANK(L40:L44)),AND(ISBLANK(AG40:AG44)), AND(ISBLANK(W40:W44)),AND(ISBLANK(AR40:AR44))), "·", bdRateExtend( L40:L44,W40:W44, AG40:AG44,AR40:AR44))</f>
        <v>·</v>
      </c>
      <c r="BC40" s="71" t="str">
        <f t="array" ref="BC40">IF( OR(AND(ISBLANK(L40:L44)),AND(ISBLANK(AG40:AG44)), AND(ISBLANK(X40:X44)),AND(ISBLANK(AS40:AS44))), "·", bdRateExtend( L40:L44,X40:X44, AG40:AG44,AS40:AS44))</f>
        <v>·</v>
      </c>
      <c r="BD40" s="71" t="str">
        <f t="array" ref="BD40">IF( OR(AND(ISBLANK(L40:L44)),AND(ISBLANK(AG40:AG44)), AND(ISBLANK(Y40:Y44)),AND(ISBLANK(AT40:AT44))), "·", bdRateExtend( L40:L44,Y40:Y44, AG40:AG44,AT40:AT44))</f>
        <v>·</v>
      </c>
      <c r="BE40" s="71" t="str">
        <f t="array" ref="BE40">IF( OR(AND(ISBLANK(L40:L44)),AND(ISBLANK(AG40:AG44)), AND(ISBLANK(Z40:Z44)),AND(ISBLANK(AU40:AU44))), "·", bdRateExtend( L40:L44,Z40:Z44, AG40:AG44,AU40:AU44))</f>
        <v>·</v>
      </c>
      <c r="BF40" s="71" t="str">
        <f t="array" ref="BF40">IF( OR(AND(ISBLANK(L40:L44)),AND(ISBLANK(AG40:AG44)), AND(ISBLANK(AA40:AA44)),AND(ISBLANK(AV40:AV44))), "·", bdRateExtend( L40:L44,AA40:AA44, AG40:AG44,AV40:AV44))</f>
        <v>·</v>
      </c>
      <c r="BH40" s="71" t="str">
        <f t="array" ref="BH40">IF( OR(AND(ISBLANK(M40:M44)),AND(ISBLANK(AH40:AH44)), AND(ISBLANK(U40:U44)),AND(ISBLANK(AP40:AP44))), "·", bdRateExtend( M40:M44,U40:U44, AH40:AH44,AP40:AP44))</f>
        <v>·</v>
      </c>
      <c r="BI40" s="71" t="str">
        <f t="array" ref="BI40">IF( OR(AND(ISBLANK(M40:M44)),AND(ISBLANK(AH40:AH44)), AND(ISBLANK(V40:V44)),AND(ISBLANK(AQ40:AQ44))), "·", bdRateExtend( M40:M44,V40:V44, AH40:AH44,AQ40:AQ44))</f>
        <v>·</v>
      </c>
      <c r="BJ40" s="71" t="str">
        <f t="array" ref="BJ40">IF( OR(AND(ISBLANK(S40:S44)),AND(ISBLANK(AN40:AN44)), AND(ISBLANK(W40:W44)),AND(ISBLANK(AR40:AR44))), "·", bdRateExtend( S40:S44,W40:W44, AN40:AN44,AR40:AR44))</f>
        <v>·</v>
      </c>
      <c r="BK40" s="71" t="str">
        <f t="array" ref="BK40">IF( OR(AND(ISBLANK(S40:S44)),AND(ISBLANK(AN40:AN44)), AND(ISBLANK(X40:X44)),AND(ISBLANK(AS40:AS44))), "·", bdRateExtend( S40:S44,X40:X44, AN40:AN44,AS40:AS44))</f>
        <v>·</v>
      </c>
      <c r="BL40" s="71" t="str">
        <f t="array" ref="BL40">IF( OR(AND(ISBLANK(S40:S44)),AND(ISBLANK(AN40:AN44)), AND(ISBLANK(Y40:Y44)),AND(ISBLANK(AT40:AT44))), "·", bdRateExtend( S40:S44,Y40:Y44, AN40:AN44,AT40:AT44))</f>
        <v>·</v>
      </c>
      <c r="BM40" s="71" t="str">
        <f t="array" ref="BM40">IF( OR(AND(ISBLANK(M40:M44)),AND(ISBLANK(AH40:AH44)), AND(ISBLANK(Z40:Z44)),AND(ISBLANK(AU40:AU44))), "·", bdRateExtend( M40:M44,Z40:Z44, AH40:AH44,AU40:AU44))</f>
        <v>·</v>
      </c>
      <c r="BN40" s="71" t="str">
        <f t="array" ref="BN40">IF( OR(AND(ISBLANK(S40:S44)),AND(ISBLANK(AN40:AN44)), AND(ISBLANK(AA40:AA44)),AND(ISBLANK(AV40:AV44))), "·", bdRateExtend( S40:S44,AA40:AA44, AN40:AN44,AV40:AV44))</f>
        <v>·</v>
      </c>
      <c r="BP40" s="71">
        <f t="shared" si="8"/>
        <v>0</v>
      </c>
      <c r="BQ40" s="71">
        <f t="shared" si="9"/>
        <v>0</v>
      </c>
      <c r="BR40" s="71">
        <f t="shared" si="10"/>
        <v>0</v>
      </c>
      <c r="BS40" s="71">
        <f t="shared" si="11"/>
        <v>0</v>
      </c>
      <c r="BT40" s="71">
        <f t="shared" si="12"/>
        <v>0</v>
      </c>
    </row>
    <row r="41" spans="1:72" ht="15" customHeight="1" outlineLevel="1" x14ac:dyDescent="0.15">
      <c r="A41" s="8"/>
      <c r="B41" s="8" t="s">
        <v>77</v>
      </c>
      <c r="C41" s="10" t="s">
        <v>423</v>
      </c>
      <c r="D41" s="8">
        <v>9000000</v>
      </c>
      <c r="E41" s="9">
        <v>12</v>
      </c>
      <c r="F41" s="10">
        <v>32</v>
      </c>
      <c r="G41" s="10">
        <v>30</v>
      </c>
      <c r="H41" s="10">
        <v>6</v>
      </c>
      <c r="J41" s="63">
        <f t="shared" si="0"/>
        <v>6.0471824999999999</v>
      </c>
      <c r="K41" s="11">
        <f t="shared" si="1"/>
        <v>0.71670311111111107</v>
      </c>
      <c r="L41" s="10">
        <f t="shared" si="2"/>
        <v>6450328</v>
      </c>
      <c r="M41" s="10">
        <f t="shared" si="3"/>
        <v>1274592</v>
      </c>
      <c r="N41" s="25">
        <v>459760</v>
      </c>
      <c r="O41" s="12">
        <v>6450328</v>
      </c>
      <c r="P41" s="12">
        <v>593256</v>
      </c>
      <c r="Q41" s="12">
        <v>0</v>
      </c>
      <c r="R41" s="12">
        <v>681336</v>
      </c>
      <c r="S41" s="12">
        <v>5168904</v>
      </c>
      <c r="T41" s="12">
        <v>6832</v>
      </c>
      <c r="U41" s="26">
        <v>70.495171400000004</v>
      </c>
      <c r="V41" s="26">
        <v>71.560908800000007</v>
      </c>
      <c r="W41" s="26">
        <v>33.008197500000001</v>
      </c>
      <c r="X41" s="26">
        <v>42.483142299999997</v>
      </c>
      <c r="Y41" s="26">
        <v>42.842985300000002</v>
      </c>
      <c r="Z41" s="26">
        <v>46.488631099999999</v>
      </c>
      <c r="AA41" s="26">
        <v>31.5088747</v>
      </c>
      <c r="AB41" s="64">
        <v>5102.7852510000002</v>
      </c>
      <c r="AC41" s="64">
        <v>85.742198999999999</v>
      </c>
      <c r="AE41" s="63" t="str">
        <f t="shared" si="4"/>
        <v>·</v>
      </c>
      <c r="AF41" s="11" t="str">
        <f t="shared" si="5"/>
        <v>·</v>
      </c>
      <c r="AG41" s="10" t="str">
        <f t="shared" si="6"/>
        <v>.</v>
      </c>
      <c r="AH41" s="10" t="str">
        <f t="shared" si="7"/>
        <v>.</v>
      </c>
      <c r="AI41" s="25"/>
      <c r="AJ41" s="12"/>
      <c r="AK41" s="12"/>
      <c r="AL41" s="12"/>
      <c r="AM41" s="12"/>
      <c r="AN41" s="12"/>
      <c r="AO41" s="12"/>
      <c r="AP41" s="26"/>
      <c r="AQ41" s="26"/>
      <c r="AR41" s="26"/>
      <c r="AS41" s="26"/>
      <c r="AT41" s="26"/>
      <c r="AU41" s="26"/>
      <c r="AV41" s="26"/>
      <c r="AW41" s="64"/>
      <c r="AX41" s="64"/>
      <c r="AZ41" s="65"/>
      <c r="BA41" s="65"/>
      <c r="BB41" s="65"/>
      <c r="BC41" s="65"/>
      <c r="BD41" s="65"/>
      <c r="BE41" s="65"/>
      <c r="BF41" s="65"/>
      <c r="BH41" s="65"/>
      <c r="BI41" s="65"/>
      <c r="BJ41" s="65"/>
      <c r="BK41" s="65"/>
      <c r="BL41" s="65"/>
      <c r="BM41" s="65"/>
      <c r="BN41" s="65"/>
      <c r="BP41" s="65">
        <f t="shared" si="8"/>
        <v>0</v>
      </c>
      <c r="BQ41" s="65">
        <f t="shared" si="9"/>
        <v>0</v>
      </c>
      <c r="BR41" s="65">
        <f t="shared" si="10"/>
        <v>0</v>
      </c>
      <c r="BS41" s="65">
        <f t="shared" si="11"/>
        <v>0</v>
      </c>
      <c r="BT41" s="65">
        <f t="shared" si="12"/>
        <v>0</v>
      </c>
    </row>
    <row r="42" spans="1:72" ht="15" customHeight="1" outlineLevel="1" x14ac:dyDescent="0.15">
      <c r="A42" s="18"/>
      <c r="B42" s="18" t="s">
        <v>77</v>
      </c>
      <c r="C42" s="20" t="s">
        <v>424</v>
      </c>
      <c r="D42" s="18">
        <v>9000000</v>
      </c>
      <c r="E42" s="19">
        <v>12</v>
      </c>
      <c r="F42" s="20">
        <v>32</v>
      </c>
      <c r="G42" s="20">
        <v>30</v>
      </c>
      <c r="H42" s="20">
        <v>11</v>
      </c>
      <c r="J42" s="69">
        <f t="shared" si="0"/>
        <v>11.30697</v>
      </c>
      <c r="K42" s="21">
        <f t="shared" si="1"/>
        <v>1.3400853333333334</v>
      </c>
      <c r="L42" s="20">
        <f t="shared" si="2"/>
        <v>12060768</v>
      </c>
      <c r="M42" s="20">
        <f t="shared" si="3"/>
        <v>2416368</v>
      </c>
      <c r="N42" s="27">
        <v>1842080</v>
      </c>
      <c r="O42" s="22">
        <v>12060768</v>
      </c>
      <c r="P42" s="22">
        <v>1581312</v>
      </c>
      <c r="Q42" s="22">
        <v>0</v>
      </c>
      <c r="R42" s="22">
        <v>835056</v>
      </c>
      <c r="S42" s="22">
        <v>9637056</v>
      </c>
      <c r="T42" s="22">
        <v>7344</v>
      </c>
      <c r="U42" s="28">
        <v>75.847676500000006</v>
      </c>
      <c r="V42" s="28">
        <v>77.570646199999999</v>
      </c>
      <c r="W42" s="28">
        <v>34.160414799999998</v>
      </c>
      <c r="X42" s="28">
        <v>42.8309158</v>
      </c>
      <c r="Y42" s="28">
        <v>43.343883499999997</v>
      </c>
      <c r="Z42" s="28">
        <v>49.906895499999997</v>
      </c>
      <c r="AA42" s="28">
        <v>33.214114899999998</v>
      </c>
      <c r="AB42" s="70">
        <v>5471.3028599999998</v>
      </c>
      <c r="AC42" s="70">
        <v>73.744142999999994</v>
      </c>
      <c r="AE42" s="69" t="str">
        <f t="shared" si="4"/>
        <v>·</v>
      </c>
      <c r="AF42" s="21" t="str">
        <f t="shared" si="5"/>
        <v>·</v>
      </c>
      <c r="AG42" s="20" t="str">
        <f t="shared" si="6"/>
        <v>.</v>
      </c>
      <c r="AH42" s="20" t="str">
        <f t="shared" si="7"/>
        <v>.</v>
      </c>
      <c r="AI42" s="27"/>
      <c r="AJ42" s="22"/>
      <c r="AK42" s="22"/>
      <c r="AL42" s="22"/>
      <c r="AM42" s="22"/>
      <c r="AN42" s="22"/>
      <c r="AO42" s="22"/>
      <c r="AP42" s="28"/>
      <c r="AQ42" s="28"/>
      <c r="AR42" s="28"/>
      <c r="AS42" s="28"/>
      <c r="AT42" s="28"/>
      <c r="AU42" s="28"/>
      <c r="AV42" s="28"/>
      <c r="AW42" s="70"/>
      <c r="AX42" s="70"/>
      <c r="AZ42" s="71"/>
      <c r="BA42" s="71"/>
      <c r="BB42" s="71"/>
      <c r="BC42" s="71"/>
      <c r="BD42" s="71"/>
      <c r="BE42" s="71"/>
      <c r="BF42" s="71"/>
      <c r="BH42" s="71"/>
      <c r="BI42" s="71"/>
      <c r="BJ42" s="71"/>
      <c r="BK42" s="71"/>
      <c r="BL42" s="71"/>
      <c r="BM42" s="71"/>
      <c r="BN42" s="71"/>
      <c r="BP42" s="71">
        <f t="shared" si="8"/>
        <v>0</v>
      </c>
      <c r="BQ42" s="71">
        <f t="shared" si="9"/>
        <v>0</v>
      </c>
      <c r="BR42" s="71">
        <f t="shared" si="10"/>
        <v>0</v>
      </c>
      <c r="BS42" s="71">
        <f t="shared" si="11"/>
        <v>0</v>
      </c>
      <c r="BT42" s="71">
        <f t="shared" si="12"/>
        <v>0</v>
      </c>
    </row>
    <row r="43" spans="1:72" ht="15" customHeight="1" outlineLevel="1" x14ac:dyDescent="0.15">
      <c r="A43" s="8"/>
      <c r="B43" s="8" t="s">
        <v>77</v>
      </c>
      <c r="C43" s="10" t="s">
        <v>425</v>
      </c>
      <c r="D43" s="8">
        <v>9000000</v>
      </c>
      <c r="E43" s="9">
        <v>12</v>
      </c>
      <c r="F43" s="10">
        <v>32</v>
      </c>
      <c r="G43" s="10">
        <v>30</v>
      </c>
      <c r="H43" s="10">
        <v>16</v>
      </c>
      <c r="J43" s="63">
        <f t="shared" si="0"/>
        <v>16.540005000000001</v>
      </c>
      <c r="K43" s="11">
        <f t="shared" si="1"/>
        <v>1.960296888888889</v>
      </c>
      <c r="L43" s="10">
        <f t="shared" si="2"/>
        <v>17642672</v>
      </c>
      <c r="M43" s="10">
        <f t="shared" si="3"/>
        <v>2816768</v>
      </c>
      <c r="N43" s="25">
        <v>1842080</v>
      </c>
      <c r="O43" s="12">
        <v>17642672</v>
      </c>
      <c r="P43" s="12">
        <v>1754240</v>
      </c>
      <c r="Q43" s="12">
        <v>0</v>
      </c>
      <c r="R43" s="12">
        <v>1062528</v>
      </c>
      <c r="S43" s="12">
        <v>14818560</v>
      </c>
      <c r="T43" s="12">
        <v>7344</v>
      </c>
      <c r="U43" s="26">
        <v>76.773834300000004</v>
      </c>
      <c r="V43" s="26">
        <v>78.6486673</v>
      </c>
      <c r="W43" s="26">
        <v>34.851198199999999</v>
      </c>
      <c r="X43" s="26">
        <v>42.963987000000003</v>
      </c>
      <c r="Y43" s="26">
        <v>43.553701099999998</v>
      </c>
      <c r="Z43" s="26">
        <v>50.605446399999998</v>
      </c>
      <c r="AA43" s="26">
        <v>33.8123492</v>
      </c>
      <c r="AB43" s="64">
        <v>5540.4858139999997</v>
      </c>
      <c r="AC43" s="64">
        <v>73.688941999999997</v>
      </c>
      <c r="AE43" s="63" t="str">
        <f t="shared" si="4"/>
        <v>·</v>
      </c>
      <c r="AF43" s="11" t="str">
        <f t="shared" si="5"/>
        <v>·</v>
      </c>
      <c r="AG43" s="10" t="str">
        <f t="shared" si="6"/>
        <v>.</v>
      </c>
      <c r="AH43" s="10" t="str">
        <f t="shared" si="7"/>
        <v>.</v>
      </c>
      <c r="AI43" s="25"/>
      <c r="AJ43" s="12"/>
      <c r="AK43" s="12"/>
      <c r="AL43" s="12"/>
      <c r="AM43" s="12"/>
      <c r="AN43" s="12"/>
      <c r="AO43" s="12"/>
      <c r="AP43" s="26"/>
      <c r="AQ43" s="26"/>
      <c r="AR43" s="26"/>
      <c r="AS43" s="26"/>
      <c r="AT43" s="26"/>
      <c r="AU43" s="26"/>
      <c r="AV43" s="26"/>
      <c r="AW43" s="64"/>
      <c r="AX43" s="64"/>
      <c r="AZ43" s="65"/>
      <c r="BA43" s="65"/>
      <c r="BB43" s="65"/>
      <c r="BC43" s="65"/>
      <c r="BD43" s="65"/>
      <c r="BE43" s="65"/>
      <c r="BF43" s="65"/>
      <c r="BH43" s="65"/>
      <c r="BI43" s="65"/>
      <c r="BJ43" s="65"/>
      <c r="BK43" s="65"/>
      <c r="BL43" s="65"/>
      <c r="BM43" s="65"/>
      <c r="BN43" s="65"/>
      <c r="BP43" s="65">
        <f t="shared" si="8"/>
        <v>0</v>
      </c>
      <c r="BQ43" s="65">
        <f t="shared" si="9"/>
        <v>0</v>
      </c>
      <c r="BR43" s="65">
        <f t="shared" si="10"/>
        <v>0</v>
      </c>
      <c r="BS43" s="65">
        <f t="shared" si="11"/>
        <v>0</v>
      </c>
      <c r="BT43" s="65">
        <f t="shared" si="12"/>
        <v>0</v>
      </c>
    </row>
    <row r="44" spans="1:72" ht="15.75" customHeight="1" outlineLevel="1" thickBot="1" x14ac:dyDescent="0.2">
      <c r="A44" s="13"/>
      <c r="B44" s="13" t="s">
        <v>77</v>
      </c>
      <c r="C44" s="15" t="s">
        <v>426</v>
      </c>
      <c r="D44" s="13">
        <v>9000000</v>
      </c>
      <c r="E44" s="14">
        <v>12</v>
      </c>
      <c r="F44" s="15">
        <v>32</v>
      </c>
      <c r="G44" s="15">
        <v>30</v>
      </c>
      <c r="H44" s="15">
        <v>24</v>
      </c>
      <c r="J44" s="66">
        <f t="shared" si="0"/>
        <v>24.92991</v>
      </c>
      <c r="K44" s="16">
        <f t="shared" si="1"/>
        <v>2.9546559999999999</v>
      </c>
      <c r="L44" s="15">
        <f t="shared" si="2"/>
        <v>26591904</v>
      </c>
      <c r="M44" s="15">
        <f t="shared" si="3"/>
        <v>3980536</v>
      </c>
      <c r="N44" s="36">
        <v>3684832</v>
      </c>
      <c r="O44" s="17">
        <v>26591904</v>
      </c>
      <c r="P44" s="17">
        <v>2721336</v>
      </c>
      <c r="Q44" s="17">
        <v>0</v>
      </c>
      <c r="R44" s="17">
        <v>1259200</v>
      </c>
      <c r="S44" s="17">
        <v>22604024</v>
      </c>
      <c r="T44" s="17">
        <v>7344</v>
      </c>
      <c r="U44" s="37">
        <v>79.230472300000002</v>
      </c>
      <c r="V44" s="37">
        <v>81.6120442</v>
      </c>
      <c r="W44" s="37">
        <v>35.740381399999997</v>
      </c>
      <c r="X44" s="37">
        <v>43.1065757</v>
      </c>
      <c r="Y44" s="37">
        <v>43.764670099999996</v>
      </c>
      <c r="Z44" s="37">
        <v>51.776747200000003</v>
      </c>
      <c r="AA44" s="37">
        <v>34.834524700000003</v>
      </c>
      <c r="AB44" s="67">
        <v>6079.8932860000004</v>
      </c>
      <c r="AC44" s="67">
        <v>73.620304000000004</v>
      </c>
      <c r="AE44" s="66" t="str">
        <f t="shared" si="4"/>
        <v>·</v>
      </c>
      <c r="AF44" s="16" t="str">
        <f t="shared" si="5"/>
        <v>·</v>
      </c>
      <c r="AG44" s="15" t="str">
        <f t="shared" si="6"/>
        <v>.</v>
      </c>
      <c r="AH44" s="15" t="str">
        <f t="shared" si="7"/>
        <v>.</v>
      </c>
      <c r="AI44" s="36"/>
      <c r="AJ44" s="17"/>
      <c r="AK44" s="17"/>
      <c r="AL44" s="17"/>
      <c r="AM44" s="17"/>
      <c r="AN44" s="17"/>
      <c r="AO44" s="17"/>
      <c r="AP44" s="37"/>
      <c r="AQ44" s="37"/>
      <c r="AR44" s="37"/>
      <c r="AS44" s="37"/>
      <c r="AT44" s="37"/>
      <c r="AU44" s="37"/>
      <c r="AV44" s="37"/>
      <c r="AW44" s="67"/>
      <c r="AX44" s="67"/>
      <c r="AZ44" s="68"/>
      <c r="BA44" s="68"/>
      <c r="BB44" s="68"/>
      <c r="BC44" s="68"/>
      <c r="BD44" s="68"/>
      <c r="BE44" s="68"/>
      <c r="BF44" s="68"/>
      <c r="BH44" s="68"/>
      <c r="BI44" s="68"/>
      <c r="BJ44" s="68"/>
      <c r="BK44" s="68"/>
      <c r="BL44" s="68"/>
      <c r="BM44" s="68"/>
      <c r="BN44" s="68"/>
      <c r="BP44" s="68">
        <f t="shared" si="8"/>
        <v>0</v>
      </c>
      <c r="BQ44" s="68">
        <f t="shared" si="9"/>
        <v>0</v>
      </c>
      <c r="BR44" s="68">
        <f t="shared" si="10"/>
        <v>0</v>
      </c>
      <c r="BS44" s="68">
        <f t="shared" si="11"/>
        <v>0</v>
      </c>
      <c r="BT44" s="68">
        <f t="shared" si="12"/>
        <v>0</v>
      </c>
    </row>
    <row r="45" spans="1:72" x14ac:dyDescent="0.15">
      <c r="B45" s="23" t="s">
        <v>7</v>
      </c>
      <c r="K45" s="24">
        <f>AVERAGE(K5:K14)</f>
        <v>1.3262905029861187</v>
      </c>
      <c r="L45" s="24"/>
      <c r="M45" s="24"/>
      <c r="AF45" s="24" t="e">
        <f>AVERAGE(AF5:AF14)</f>
        <v>#DIV/0!</v>
      </c>
      <c r="AG45" s="24"/>
      <c r="AH45" s="24"/>
      <c r="AZ45" s="61" t="e">
        <f t="shared" ref="AZ45:BF45" si="13">AVERAGE(AZ5:AZ14)</f>
        <v>#DIV/0!</v>
      </c>
      <c r="BA45" s="61" t="e">
        <f t="shared" si="13"/>
        <v>#DIV/0!</v>
      </c>
      <c r="BB45" s="61" t="e">
        <f t="shared" si="13"/>
        <v>#DIV/0!</v>
      </c>
      <c r="BC45" s="61" t="e">
        <f t="shared" si="13"/>
        <v>#DIV/0!</v>
      </c>
      <c r="BD45" s="61" t="e">
        <f t="shared" si="13"/>
        <v>#DIV/0!</v>
      </c>
      <c r="BE45" s="61" t="e">
        <f t="shared" si="13"/>
        <v>#DIV/0!</v>
      </c>
      <c r="BF45" s="61" t="e">
        <f t="shared" si="13"/>
        <v>#DIV/0!</v>
      </c>
      <c r="BH45" s="61" t="e">
        <f t="shared" ref="BH45:BN45" si="14">AVERAGE(BH5:BH14)</f>
        <v>#DIV/0!</v>
      </c>
      <c r="BI45" s="61" t="e">
        <f t="shared" si="14"/>
        <v>#DIV/0!</v>
      </c>
      <c r="BJ45" s="61" t="e">
        <f t="shared" si="14"/>
        <v>#DIV/0!</v>
      </c>
      <c r="BK45" s="61" t="e">
        <f t="shared" si="14"/>
        <v>#DIV/0!</v>
      </c>
      <c r="BL45" s="61" t="e">
        <f t="shared" si="14"/>
        <v>#DIV/0!</v>
      </c>
      <c r="BM45" s="61" t="e">
        <f t="shared" si="14"/>
        <v>#DIV/0!</v>
      </c>
      <c r="BN45" s="61" t="e">
        <f t="shared" si="14"/>
        <v>#DIV/0!</v>
      </c>
      <c r="BP45" s="61">
        <f>AVERAGE(BP5:BP14)</f>
        <v>0</v>
      </c>
      <c r="BQ45" s="61">
        <f>AVERAGE(BQ5:BQ14)</f>
        <v>0</v>
      </c>
      <c r="BR45" s="61">
        <f>AVERAGE(BR5:BR14)</f>
        <v>0</v>
      </c>
      <c r="BS45" s="61">
        <f>AVERAGE(BS5:BS14)</f>
        <v>0</v>
      </c>
      <c r="BT45" s="61">
        <f>AVERAGE(BT5:BT14)</f>
        <v>0</v>
      </c>
    </row>
    <row r="46" spans="1:72" x14ac:dyDescent="0.15">
      <c r="B46" s="23" t="s">
        <v>8</v>
      </c>
      <c r="K46" s="24">
        <f>AVERAGE(K15:K24)</f>
        <v>0.96923127493775352</v>
      </c>
      <c r="L46" s="24"/>
      <c r="M46" s="24"/>
      <c r="AF46" s="24" t="e">
        <f>AVERAGE(AF15:AF24)</f>
        <v>#DIV/0!</v>
      </c>
      <c r="AG46" s="24"/>
      <c r="AH46" s="24"/>
      <c r="AZ46" s="61" t="e">
        <f t="shared" ref="AZ46:BF46" si="15">AVERAGE(AZ15:AZ24)</f>
        <v>#DIV/0!</v>
      </c>
      <c r="BA46" s="61" t="e">
        <f t="shared" si="15"/>
        <v>#DIV/0!</v>
      </c>
      <c r="BB46" s="61" t="e">
        <f t="shared" si="15"/>
        <v>#DIV/0!</v>
      </c>
      <c r="BC46" s="61" t="e">
        <f t="shared" si="15"/>
        <v>#DIV/0!</v>
      </c>
      <c r="BD46" s="61" t="e">
        <f t="shared" si="15"/>
        <v>#DIV/0!</v>
      </c>
      <c r="BE46" s="61" t="e">
        <f t="shared" si="15"/>
        <v>#DIV/0!</v>
      </c>
      <c r="BF46" s="61" t="e">
        <f t="shared" si="15"/>
        <v>#DIV/0!</v>
      </c>
      <c r="BH46" s="61" t="e">
        <f t="shared" ref="BH46:BN46" si="16">AVERAGE(BH15:BH24)</f>
        <v>#DIV/0!</v>
      </c>
      <c r="BI46" s="61" t="e">
        <f t="shared" si="16"/>
        <v>#DIV/0!</v>
      </c>
      <c r="BJ46" s="61" t="e">
        <f t="shared" si="16"/>
        <v>#DIV/0!</v>
      </c>
      <c r="BK46" s="61" t="e">
        <f t="shared" si="16"/>
        <v>#DIV/0!</v>
      </c>
      <c r="BL46" s="61" t="e">
        <f t="shared" si="16"/>
        <v>#DIV/0!</v>
      </c>
      <c r="BM46" s="61" t="e">
        <f t="shared" si="16"/>
        <v>#DIV/0!</v>
      </c>
      <c r="BN46" s="61" t="e">
        <f t="shared" si="16"/>
        <v>#DIV/0!</v>
      </c>
      <c r="BP46" s="61">
        <f>AVERAGE(BP15:BP24)</f>
        <v>0</v>
      </c>
      <c r="BQ46" s="61">
        <f>AVERAGE(BQ15:BQ24)</f>
        <v>0</v>
      </c>
      <c r="BR46" s="61">
        <f>AVERAGE(BR15:BR24)</f>
        <v>0</v>
      </c>
      <c r="BS46" s="61">
        <f>AVERAGE(BS15:BS24)</f>
        <v>0</v>
      </c>
      <c r="BT46" s="61">
        <f>AVERAGE(BT15:BT24)</f>
        <v>0</v>
      </c>
    </row>
    <row r="47" spans="1:72" x14ac:dyDescent="0.15">
      <c r="B47" s="23" t="s">
        <v>9</v>
      </c>
      <c r="K47" s="24">
        <f>AVERAGE(K25:K44)</f>
        <v>1.6428215097976977</v>
      </c>
      <c r="L47" s="24"/>
      <c r="M47" s="24"/>
      <c r="AF47" s="24" t="e">
        <f>AVERAGE(AF25:AF44)</f>
        <v>#DIV/0!</v>
      </c>
      <c r="AG47" s="24"/>
      <c r="AH47" s="24"/>
      <c r="AZ47" s="61" t="e">
        <f t="shared" ref="AZ47:BF47" si="17">AVERAGE(AZ25:AZ44)</f>
        <v>#DIV/0!</v>
      </c>
      <c r="BA47" s="61" t="e">
        <f t="shared" si="17"/>
        <v>#DIV/0!</v>
      </c>
      <c r="BB47" s="61" t="e">
        <f t="shared" si="17"/>
        <v>#DIV/0!</v>
      </c>
      <c r="BC47" s="61" t="e">
        <f t="shared" si="17"/>
        <v>#DIV/0!</v>
      </c>
      <c r="BD47" s="61" t="e">
        <f t="shared" si="17"/>
        <v>#DIV/0!</v>
      </c>
      <c r="BE47" s="61" t="e">
        <f t="shared" si="17"/>
        <v>#DIV/0!</v>
      </c>
      <c r="BF47" s="61" t="e">
        <f t="shared" si="17"/>
        <v>#DIV/0!</v>
      </c>
      <c r="BH47" s="61" t="e">
        <f t="shared" ref="BH47:BN47" si="18">AVERAGE(BH25:BH44)</f>
        <v>#DIV/0!</v>
      </c>
      <c r="BI47" s="61" t="e">
        <f t="shared" si="18"/>
        <v>#DIV/0!</v>
      </c>
      <c r="BJ47" s="61" t="e">
        <f t="shared" si="18"/>
        <v>#DIV/0!</v>
      </c>
      <c r="BK47" s="61" t="e">
        <f t="shared" si="18"/>
        <v>#DIV/0!</v>
      </c>
      <c r="BL47" s="61" t="e">
        <f t="shared" si="18"/>
        <v>#DIV/0!</v>
      </c>
      <c r="BM47" s="61" t="e">
        <f t="shared" si="18"/>
        <v>#DIV/0!</v>
      </c>
      <c r="BN47" s="61" t="e">
        <f t="shared" si="18"/>
        <v>#DIV/0!</v>
      </c>
      <c r="BP47" s="61">
        <f>AVERAGE(BP25:BP44)</f>
        <v>0</v>
      </c>
      <c r="BQ47" s="61">
        <f>AVERAGE(BQ25:BQ44)</f>
        <v>0</v>
      </c>
      <c r="BR47" s="61">
        <f>AVERAGE(BR25:BR44)</f>
        <v>0</v>
      </c>
      <c r="BS47" s="61">
        <f>AVERAGE(BS25:BS44)</f>
        <v>0</v>
      </c>
      <c r="BT47" s="61">
        <f>AVERAGE(BT25:BT44)</f>
        <v>0</v>
      </c>
    </row>
    <row r="48" spans="1:72" x14ac:dyDescent="0.15">
      <c r="B48" s="23" t="s">
        <v>10</v>
      </c>
      <c r="K48" s="24">
        <f>AVERAGE(K5:K44)</f>
        <v>1.3952911993798169</v>
      </c>
      <c r="L48" s="24"/>
      <c r="M48" s="24"/>
      <c r="AF48" s="24" t="e">
        <f>AVERAGE(AF5:AF44)</f>
        <v>#DIV/0!</v>
      </c>
      <c r="AG48" s="24"/>
      <c r="AH48" s="24"/>
      <c r="AJ48" s="48"/>
      <c r="AK48" s="48"/>
      <c r="AZ48" s="61" t="e">
        <f t="shared" ref="AZ48:BF48" si="19">AVERAGE(AZ5:AZ44)</f>
        <v>#DIV/0!</v>
      </c>
      <c r="BA48" s="61" t="e">
        <f t="shared" si="19"/>
        <v>#DIV/0!</v>
      </c>
      <c r="BB48" s="61" t="e">
        <f t="shared" si="19"/>
        <v>#DIV/0!</v>
      </c>
      <c r="BC48" s="61" t="e">
        <f t="shared" si="19"/>
        <v>#DIV/0!</v>
      </c>
      <c r="BD48" s="61" t="e">
        <f t="shared" si="19"/>
        <v>#DIV/0!</v>
      </c>
      <c r="BE48" s="61" t="e">
        <f t="shared" si="19"/>
        <v>#DIV/0!</v>
      </c>
      <c r="BF48" s="61" t="e">
        <f t="shared" si="19"/>
        <v>#DIV/0!</v>
      </c>
      <c r="BH48" s="61" t="e">
        <f t="shared" ref="BH48:BN48" si="20">AVERAGE(BH5:BH44)</f>
        <v>#DIV/0!</v>
      </c>
      <c r="BI48" s="61" t="e">
        <f t="shared" si="20"/>
        <v>#DIV/0!</v>
      </c>
      <c r="BJ48" s="61" t="e">
        <f t="shared" si="20"/>
        <v>#DIV/0!</v>
      </c>
      <c r="BK48" s="61" t="e">
        <f t="shared" si="20"/>
        <v>#DIV/0!</v>
      </c>
      <c r="BL48" s="61" t="e">
        <f t="shared" si="20"/>
        <v>#DIV/0!</v>
      </c>
      <c r="BM48" s="61" t="e">
        <f t="shared" si="20"/>
        <v>#DIV/0!</v>
      </c>
      <c r="BN48" s="61" t="e">
        <f t="shared" si="20"/>
        <v>#DIV/0!</v>
      </c>
      <c r="BP48" s="61">
        <f>AVERAGE(BP5:BP44)</f>
        <v>0</v>
      </c>
      <c r="BQ48" s="61">
        <f>AVERAGE(BQ5:BQ44)</f>
        <v>0</v>
      </c>
      <c r="BR48" s="61">
        <f>AVERAGE(BR5:BR44)</f>
        <v>0</v>
      </c>
      <c r="BS48" s="61">
        <f>AVERAGE(BS5:BS44)</f>
        <v>0</v>
      </c>
      <c r="BT48" s="61">
        <f>AVERAGE(BT5:BT44)</f>
        <v>0</v>
      </c>
    </row>
    <row r="49" spans="1:50" x14ac:dyDescent="0.15">
      <c r="A49" s="23" t="s">
        <v>189</v>
      </c>
      <c r="B49" s="23" t="s">
        <v>190</v>
      </c>
      <c r="AB49" s="72">
        <f>SUM(AB5:AB14,AB15:AB24,AB25:AB44)</f>
        <v>111872.530078</v>
      </c>
      <c r="AC49" s="72">
        <f>SUM(AC5:AC14,AC15:AC24,AC25:AC44)</f>
        <v>1451.814026</v>
      </c>
      <c r="AW49" s="72">
        <f>SUM(AW5:AW14,AW15:AW24,AW25:AW44)</f>
        <v>0</v>
      </c>
      <c r="AX49" s="72">
        <f>SUM(AX5:AX14,AX15:AX24,AX25:AX44)</f>
        <v>0</v>
      </c>
    </row>
    <row r="50" spans="1:50" x14ac:dyDescent="0.15">
      <c r="B50" s="23" t="s">
        <v>191</v>
      </c>
      <c r="AW50" s="56">
        <f>AW49/AB49</f>
        <v>0</v>
      </c>
      <c r="AX50" s="56">
        <f>AX49/AC49</f>
        <v>0</v>
      </c>
    </row>
    <row r="53" spans="1:50" ht="15.75" customHeight="1" thickBot="1" x14ac:dyDescent="0.2"/>
    <row r="54" spans="1:50" x14ac:dyDescent="0.15">
      <c r="AG54" s="79" t="e">
        <f t="shared" ref="AG54:AG93" si="21">AG5-L5</f>
        <v>#VALUE!</v>
      </c>
      <c r="AH54" s="79" t="e">
        <f t="shared" ref="AH54:AH93" si="22">AH5-M5</f>
        <v>#VALUE!</v>
      </c>
      <c r="AI54" s="79">
        <f t="shared" ref="AI54:AI93" si="23">AI5-N5</f>
        <v>-603968</v>
      </c>
      <c r="AJ54" s="79">
        <f t="shared" ref="AJ54:AJ93" si="24">AJ5-O5</f>
        <v>-5288320</v>
      </c>
      <c r="AK54" s="79">
        <f t="shared" ref="AK54:AK93" si="25">AK5-P5</f>
        <v>-823144</v>
      </c>
      <c r="AL54" s="79">
        <f t="shared" ref="AL54:AL93" si="26">AL5-Q5</f>
        <v>0</v>
      </c>
      <c r="AM54" s="79">
        <f t="shared" ref="AM54:AM93" si="27">AM5-R5</f>
        <v>-749480</v>
      </c>
      <c r="AN54" s="79">
        <f t="shared" ref="AN54:AN93" si="28">AN5-S5</f>
        <v>-3708624</v>
      </c>
      <c r="AO54" s="79">
        <f t="shared" ref="AO54:AO93" si="29">AO5-T5</f>
        <v>-7072</v>
      </c>
      <c r="AP54" s="79">
        <f t="shared" ref="AP54:AP93" si="30">AP5-U5</f>
        <v>-68.094557399999999</v>
      </c>
      <c r="AQ54" s="80">
        <f t="shared" ref="AQ54:AQ93" si="31">AQ5-V5</f>
        <v>-69.0451312</v>
      </c>
      <c r="AR54" s="80">
        <f t="shared" ref="AR54:AR93" si="32">AR5-W5</f>
        <v>-28.820419600000001</v>
      </c>
      <c r="AS54" s="80">
        <f t="shared" ref="AS54:AS93" si="33">AS5-X5</f>
        <v>-33.974276199999998</v>
      </c>
      <c r="AT54" s="80">
        <f t="shared" ref="AT54:AT93" si="34">AT5-Y5</f>
        <v>-33.414178200000002</v>
      </c>
      <c r="AU54" s="80">
        <f t="shared" ref="AU54:AU93" si="35">AU5-Z5</f>
        <v>-48.6671567</v>
      </c>
      <c r="AV54" s="81">
        <f t="shared" ref="AV54:AV93" si="36">AV5-AA5</f>
        <v>-27.292437799999998</v>
      </c>
    </row>
    <row r="55" spans="1:50" x14ac:dyDescent="0.15">
      <c r="AG55" s="82" t="e">
        <f t="shared" si="21"/>
        <v>#VALUE!</v>
      </c>
      <c r="AH55" s="82" t="e">
        <f t="shared" si="22"/>
        <v>#VALUE!</v>
      </c>
      <c r="AI55" s="82">
        <f t="shared" si="23"/>
        <v>-603968</v>
      </c>
      <c r="AJ55" s="82">
        <f t="shared" si="24"/>
        <v>-9663904</v>
      </c>
      <c r="AK55" s="82">
        <f t="shared" si="25"/>
        <v>-888168</v>
      </c>
      <c r="AL55" s="82">
        <f t="shared" si="26"/>
        <v>0</v>
      </c>
      <c r="AM55" s="82">
        <f t="shared" si="27"/>
        <v>-859600</v>
      </c>
      <c r="AN55" s="82">
        <f t="shared" si="28"/>
        <v>-7909064</v>
      </c>
      <c r="AO55" s="82">
        <f t="shared" si="29"/>
        <v>-7072</v>
      </c>
      <c r="AP55" s="82">
        <f t="shared" si="30"/>
        <v>-68.341740099999996</v>
      </c>
      <c r="AQ55" s="83">
        <f t="shared" si="31"/>
        <v>-69.310378299999996</v>
      </c>
      <c r="AR55" s="83">
        <f t="shared" si="32"/>
        <v>-31.457113700000001</v>
      </c>
      <c r="AS55" s="83">
        <f t="shared" si="33"/>
        <v>-35.1865174</v>
      </c>
      <c r="AT55" s="83">
        <f t="shared" si="34"/>
        <v>-34.7269346</v>
      </c>
      <c r="AU55" s="83">
        <f t="shared" si="35"/>
        <v>-48.759637099999999</v>
      </c>
      <c r="AV55" s="84">
        <f t="shared" si="36"/>
        <v>-28.586654100000001</v>
      </c>
    </row>
    <row r="56" spans="1:50" x14ac:dyDescent="0.15">
      <c r="AG56" s="82" t="e">
        <f t="shared" si="21"/>
        <v>#VALUE!</v>
      </c>
      <c r="AH56" s="82" t="e">
        <f t="shared" si="22"/>
        <v>#VALUE!</v>
      </c>
      <c r="AI56" s="82">
        <f t="shared" si="23"/>
        <v>-1217920</v>
      </c>
      <c r="AJ56" s="82">
        <f t="shared" si="24"/>
        <v>-13168656</v>
      </c>
      <c r="AK56" s="82">
        <f t="shared" si="25"/>
        <v>-1296784</v>
      </c>
      <c r="AL56" s="82">
        <f t="shared" si="26"/>
        <v>0</v>
      </c>
      <c r="AM56" s="82">
        <f t="shared" si="27"/>
        <v>-820064</v>
      </c>
      <c r="AN56" s="82">
        <f t="shared" si="28"/>
        <v>-11044472</v>
      </c>
      <c r="AO56" s="82">
        <f t="shared" si="29"/>
        <v>-7336</v>
      </c>
      <c r="AP56" s="82">
        <f t="shared" si="30"/>
        <v>-70.920882000000006</v>
      </c>
      <c r="AQ56" s="83">
        <f t="shared" si="31"/>
        <v>-72.287915699999999</v>
      </c>
      <c r="AR56" s="83">
        <f t="shared" si="32"/>
        <v>-32.644033499999999</v>
      </c>
      <c r="AS56" s="83">
        <f t="shared" si="33"/>
        <v>-36.916116600000002</v>
      </c>
      <c r="AT56" s="83">
        <f t="shared" si="34"/>
        <v>-36.637000200000003</v>
      </c>
      <c r="AU56" s="83">
        <f t="shared" si="35"/>
        <v>-50.530713200000001</v>
      </c>
      <c r="AV56" s="84">
        <f t="shared" si="36"/>
        <v>-30.175743900000001</v>
      </c>
    </row>
    <row r="57" spans="1:50" x14ac:dyDescent="0.15">
      <c r="AG57" s="82" t="e">
        <f t="shared" si="21"/>
        <v>#VALUE!</v>
      </c>
      <c r="AH57" s="82" t="e">
        <f t="shared" si="22"/>
        <v>#VALUE!</v>
      </c>
      <c r="AI57" s="82">
        <f t="shared" si="23"/>
        <v>-1217920</v>
      </c>
      <c r="AJ57" s="82">
        <f t="shared" si="24"/>
        <v>-16413736</v>
      </c>
      <c r="AK57" s="82">
        <f t="shared" si="25"/>
        <v>-1419208</v>
      </c>
      <c r="AL57" s="82">
        <f t="shared" si="26"/>
        <v>0</v>
      </c>
      <c r="AM57" s="82">
        <f t="shared" si="27"/>
        <v>-1348864</v>
      </c>
      <c r="AN57" s="82">
        <f t="shared" si="28"/>
        <v>-13638328</v>
      </c>
      <c r="AO57" s="82">
        <f t="shared" si="29"/>
        <v>-7336</v>
      </c>
      <c r="AP57" s="82">
        <f t="shared" si="30"/>
        <v>-72.366507499999997</v>
      </c>
      <c r="AQ57" s="83">
        <f t="shared" si="31"/>
        <v>-73.908919100000006</v>
      </c>
      <c r="AR57" s="83">
        <f t="shared" si="32"/>
        <v>-33.580844800000001</v>
      </c>
      <c r="AS57" s="83">
        <f t="shared" si="33"/>
        <v>-37.430510400000003</v>
      </c>
      <c r="AT57" s="83">
        <f t="shared" si="34"/>
        <v>-37.168128600000003</v>
      </c>
      <c r="AU57" s="83">
        <f t="shared" si="35"/>
        <v>-51.146059800000003</v>
      </c>
      <c r="AV57" s="84">
        <f t="shared" si="36"/>
        <v>-31.144371599999999</v>
      </c>
    </row>
    <row r="58" spans="1:50" x14ac:dyDescent="0.15">
      <c r="AG58" s="82" t="e">
        <f t="shared" si="21"/>
        <v>#VALUE!</v>
      </c>
      <c r="AH58" s="82" t="e">
        <f t="shared" si="22"/>
        <v>#VALUE!</v>
      </c>
      <c r="AI58" s="82">
        <f t="shared" si="23"/>
        <v>-2446416</v>
      </c>
      <c r="AJ58" s="82">
        <f t="shared" si="24"/>
        <v>-24083672</v>
      </c>
      <c r="AK58" s="82">
        <f t="shared" si="25"/>
        <v>-2132168</v>
      </c>
      <c r="AL58" s="82">
        <f t="shared" si="26"/>
        <v>0</v>
      </c>
      <c r="AM58" s="82">
        <f t="shared" si="27"/>
        <v>-2470008</v>
      </c>
      <c r="AN58" s="82">
        <f t="shared" si="28"/>
        <v>-19474160</v>
      </c>
      <c r="AO58" s="82">
        <f t="shared" si="29"/>
        <v>-7336</v>
      </c>
      <c r="AP58" s="82">
        <f t="shared" si="30"/>
        <v>-75.592387099999996</v>
      </c>
      <c r="AQ58" s="83">
        <f t="shared" si="31"/>
        <v>-77.739084199999994</v>
      </c>
      <c r="AR58" s="83">
        <f t="shared" si="32"/>
        <v>-35.019127699999999</v>
      </c>
      <c r="AS58" s="83">
        <f t="shared" si="33"/>
        <v>-38.591703099999997</v>
      </c>
      <c r="AT58" s="83">
        <f t="shared" si="34"/>
        <v>-38.310696800000002</v>
      </c>
      <c r="AU58" s="83">
        <f t="shared" si="35"/>
        <v>-53.134980599999999</v>
      </c>
      <c r="AV58" s="84">
        <f t="shared" si="36"/>
        <v>-32.923923199999997</v>
      </c>
    </row>
    <row r="59" spans="1:50" x14ac:dyDescent="0.15">
      <c r="AG59" s="82" t="e">
        <f t="shared" si="21"/>
        <v>#VALUE!</v>
      </c>
      <c r="AH59" s="82" t="e">
        <f t="shared" si="22"/>
        <v>#VALUE!</v>
      </c>
      <c r="AI59" s="82">
        <f t="shared" si="23"/>
        <v>-598416</v>
      </c>
      <c r="AJ59" s="82">
        <f t="shared" si="24"/>
        <v>-5398968</v>
      </c>
      <c r="AK59" s="82">
        <f t="shared" si="25"/>
        <v>-890088</v>
      </c>
      <c r="AL59" s="82">
        <f t="shared" si="26"/>
        <v>0</v>
      </c>
      <c r="AM59" s="82">
        <f t="shared" si="27"/>
        <v>-628936</v>
      </c>
      <c r="AN59" s="82">
        <f t="shared" si="28"/>
        <v>-3872864</v>
      </c>
      <c r="AO59" s="82">
        <f t="shared" si="29"/>
        <v>-7080</v>
      </c>
      <c r="AP59" s="82">
        <f t="shared" si="30"/>
        <v>-64.349290499999995</v>
      </c>
      <c r="AQ59" s="83">
        <f t="shared" si="31"/>
        <v>-64.922006100000004</v>
      </c>
      <c r="AR59" s="83">
        <f t="shared" si="32"/>
        <v>-32.012337899999999</v>
      </c>
      <c r="AS59" s="83">
        <f t="shared" si="33"/>
        <v>-44.821093099999999</v>
      </c>
      <c r="AT59" s="83">
        <f t="shared" si="34"/>
        <v>-45.094386499999999</v>
      </c>
      <c r="AU59" s="83">
        <f t="shared" si="35"/>
        <v>-43.4508419</v>
      </c>
      <c r="AV59" s="84">
        <f t="shared" si="36"/>
        <v>-29.159087799999998</v>
      </c>
    </row>
    <row r="60" spans="1:50" x14ac:dyDescent="0.15">
      <c r="AG60" s="82" t="e">
        <f t="shared" si="21"/>
        <v>#VALUE!</v>
      </c>
      <c r="AH60" s="82" t="e">
        <f t="shared" si="22"/>
        <v>#VALUE!</v>
      </c>
      <c r="AI60" s="82">
        <f t="shared" si="23"/>
        <v>-1211920</v>
      </c>
      <c r="AJ60" s="82">
        <f t="shared" si="24"/>
        <v>-9828120</v>
      </c>
      <c r="AK60" s="82">
        <f t="shared" si="25"/>
        <v>-1408864</v>
      </c>
      <c r="AL60" s="82">
        <f t="shared" si="26"/>
        <v>0</v>
      </c>
      <c r="AM60" s="82">
        <f t="shared" si="27"/>
        <v>-1103792</v>
      </c>
      <c r="AN60" s="82">
        <f t="shared" si="28"/>
        <v>-7308128</v>
      </c>
      <c r="AO60" s="82">
        <f t="shared" si="29"/>
        <v>-7336</v>
      </c>
      <c r="AP60" s="82">
        <f t="shared" si="30"/>
        <v>-69.2228128</v>
      </c>
      <c r="AQ60" s="83">
        <f t="shared" si="31"/>
        <v>-70.409777199999994</v>
      </c>
      <c r="AR60" s="83">
        <f t="shared" si="32"/>
        <v>-34.768453000000001</v>
      </c>
      <c r="AS60" s="83">
        <f t="shared" si="33"/>
        <v>-45.461772799999999</v>
      </c>
      <c r="AT60" s="83">
        <f t="shared" si="34"/>
        <v>-45.867935199999998</v>
      </c>
      <c r="AU60" s="83">
        <f t="shared" si="35"/>
        <v>-46.5722886</v>
      </c>
      <c r="AV60" s="84">
        <f t="shared" si="36"/>
        <v>-31.961362999999999</v>
      </c>
    </row>
    <row r="61" spans="1:50" x14ac:dyDescent="0.15">
      <c r="AG61" s="82" t="e">
        <f t="shared" si="21"/>
        <v>#VALUE!</v>
      </c>
      <c r="AH61" s="82" t="e">
        <f t="shared" si="22"/>
        <v>#VALUE!</v>
      </c>
      <c r="AI61" s="82">
        <f t="shared" si="23"/>
        <v>-1211920</v>
      </c>
      <c r="AJ61" s="82">
        <f t="shared" si="24"/>
        <v>-12529672</v>
      </c>
      <c r="AK61" s="82">
        <f t="shared" si="25"/>
        <v>-1408864</v>
      </c>
      <c r="AL61" s="82">
        <f t="shared" si="26"/>
        <v>0</v>
      </c>
      <c r="AM61" s="82">
        <f t="shared" si="27"/>
        <v>-1894280</v>
      </c>
      <c r="AN61" s="82">
        <f t="shared" si="28"/>
        <v>-9219192</v>
      </c>
      <c r="AO61" s="82">
        <f t="shared" si="29"/>
        <v>-7336</v>
      </c>
      <c r="AP61" s="82">
        <f t="shared" si="30"/>
        <v>-70.409053099999994</v>
      </c>
      <c r="AQ61" s="83">
        <f t="shared" si="31"/>
        <v>-71.716013099999998</v>
      </c>
      <c r="AR61" s="83">
        <f t="shared" si="32"/>
        <v>-35.745931400000003</v>
      </c>
      <c r="AS61" s="83">
        <f t="shared" si="33"/>
        <v>-45.782284699999998</v>
      </c>
      <c r="AT61" s="83">
        <f t="shared" si="34"/>
        <v>-46.223075299999998</v>
      </c>
      <c r="AU61" s="83">
        <f t="shared" si="35"/>
        <v>-46.849651000000001</v>
      </c>
      <c r="AV61" s="84">
        <f t="shared" si="36"/>
        <v>-32.781679599999997</v>
      </c>
    </row>
    <row r="62" spans="1:50" x14ac:dyDescent="0.15">
      <c r="AG62" s="82" t="e">
        <f t="shared" si="21"/>
        <v>#VALUE!</v>
      </c>
      <c r="AH62" s="82" t="e">
        <f t="shared" si="22"/>
        <v>#VALUE!</v>
      </c>
      <c r="AI62" s="82">
        <f t="shared" si="23"/>
        <v>-2440288</v>
      </c>
      <c r="AJ62" s="82">
        <f t="shared" si="24"/>
        <v>-16321816</v>
      </c>
      <c r="AK62" s="82">
        <f t="shared" si="25"/>
        <v>-2309144</v>
      </c>
      <c r="AL62" s="82">
        <f t="shared" si="26"/>
        <v>0</v>
      </c>
      <c r="AM62" s="82">
        <f t="shared" si="27"/>
        <v>-2319312</v>
      </c>
      <c r="AN62" s="82">
        <f t="shared" si="28"/>
        <v>-11686024</v>
      </c>
      <c r="AO62" s="82">
        <f t="shared" si="29"/>
        <v>-7336</v>
      </c>
      <c r="AP62" s="82">
        <f t="shared" si="30"/>
        <v>-73.490890899999997</v>
      </c>
      <c r="AQ62" s="83">
        <f t="shared" si="31"/>
        <v>-75.329556299999993</v>
      </c>
      <c r="AR62" s="83">
        <f t="shared" si="32"/>
        <v>-36.9270554</v>
      </c>
      <c r="AS62" s="83">
        <f t="shared" si="33"/>
        <v>-46.541076199999999</v>
      </c>
      <c r="AT62" s="83">
        <f t="shared" si="34"/>
        <v>-47.094900500000001</v>
      </c>
      <c r="AU62" s="83">
        <f t="shared" si="35"/>
        <v>-48.951491599999997</v>
      </c>
      <c r="AV62" s="84">
        <f t="shared" si="36"/>
        <v>-34.5091392</v>
      </c>
    </row>
    <row r="63" spans="1:50" x14ac:dyDescent="0.15">
      <c r="AG63" s="82" t="e">
        <f t="shared" si="21"/>
        <v>#VALUE!</v>
      </c>
      <c r="AH63" s="82" t="e">
        <f t="shared" si="22"/>
        <v>#VALUE!</v>
      </c>
      <c r="AI63" s="82">
        <f t="shared" si="23"/>
        <v>-2440288</v>
      </c>
      <c r="AJ63" s="82">
        <f t="shared" si="24"/>
        <v>-23812872</v>
      </c>
      <c r="AK63" s="82">
        <f t="shared" si="25"/>
        <v>-2547816</v>
      </c>
      <c r="AL63" s="82">
        <f t="shared" si="26"/>
        <v>0</v>
      </c>
      <c r="AM63" s="82">
        <f t="shared" si="27"/>
        <v>-2958888</v>
      </c>
      <c r="AN63" s="82">
        <f t="shared" si="28"/>
        <v>-18298832</v>
      </c>
      <c r="AO63" s="82">
        <f t="shared" si="29"/>
        <v>-7336</v>
      </c>
      <c r="AP63" s="82">
        <f t="shared" si="30"/>
        <v>-74.184444499999998</v>
      </c>
      <c r="AQ63" s="83">
        <f t="shared" si="31"/>
        <v>-76.140964699999998</v>
      </c>
      <c r="AR63" s="83">
        <f t="shared" si="32"/>
        <v>-38.550648600000002</v>
      </c>
      <c r="AS63" s="83">
        <f t="shared" si="33"/>
        <v>-47.565123</v>
      </c>
      <c r="AT63" s="83">
        <f t="shared" si="34"/>
        <v>-48.229986699999998</v>
      </c>
      <c r="AU63" s="83">
        <f t="shared" si="35"/>
        <v>-49.137879699999999</v>
      </c>
      <c r="AV63" s="84">
        <f t="shared" si="36"/>
        <v>-35.5411383</v>
      </c>
    </row>
    <row r="64" spans="1:50" x14ac:dyDescent="0.15">
      <c r="AG64" s="82" t="e">
        <f t="shared" si="21"/>
        <v>#VALUE!</v>
      </c>
      <c r="AH64" s="82" t="e">
        <f t="shared" si="22"/>
        <v>#VALUE!</v>
      </c>
      <c r="AI64" s="82">
        <f t="shared" si="23"/>
        <v>-604864</v>
      </c>
      <c r="AJ64" s="82">
        <f t="shared" si="24"/>
        <v>-3233672</v>
      </c>
      <c r="AK64" s="82">
        <f t="shared" si="25"/>
        <v>-701736</v>
      </c>
      <c r="AL64" s="82">
        <f t="shared" si="26"/>
        <v>0</v>
      </c>
      <c r="AM64" s="82">
        <f t="shared" si="27"/>
        <v>-527712</v>
      </c>
      <c r="AN64" s="82">
        <f t="shared" si="28"/>
        <v>-1997144</v>
      </c>
      <c r="AO64" s="82">
        <f t="shared" si="29"/>
        <v>-7080</v>
      </c>
      <c r="AP64" s="82">
        <f t="shared" si="30"/>
        <v>-70.557730199999995</v>
      </c>
      <c r="AQ64" s="83">
        <f t="shared" si="31"/>
        <v>-71.687577599999997</v>
      </c>
      <c r="AR64" s="83">
        <f t="shared" si="32"/>
        <v>-35.534829199999997</v>
      </c>
      <c r="AS64" s="83">
        <f t="shared" si="33"/>
        <v>-43.385461300000003</v>
      </c>
      <c r="AT64" s="83">
        <f t="shared" si="34"/>
        <v>-45.053174400000003</v>
      </c>
      <c r="AU64" s="83">
        <f t="shared" si="35"/>
        <v>-45.1331548</v>
      </c>
      <c r="AV64" s="84">
        <f t="shared" si="36"/>
        <v>-31.997724999999999</v>
      </c>
    </row>
    <row r="65" spans="33:48" x14ac:dyDescent="0.15">
      <c r="AG65" s="82" t="e">
        <f t="shared" si="21"/>
        <v>#VALUE!</v>
      </c>
      <c r="AH65" s="82" t="e">
        <f t="shared" si="22"/>
        <v>#VALUE!</v>
      </c>
      <c r="AI65" s="82">
        <f t="shared" si="23"/>
        <v>-604864</v>
      </c>
      <c r="AJ65" s="82">
        <f t="shared" si="24"/>
        <v>-5367056</v>
      </c>
      <c r="AK65" s="82">
        <f t="shared" si="25"/>
        <v>-762840</v>
      </c>
      <c r="AL65" s="82">
        <f t="shared" si="26"/>
        <v>0</v>
      </c>
      <c r="AM65" s="82">
        <f t="shared" si="27"/>
        <v>-744344</v>
      </c>
      <c r="AN65" s="82">
        <f t="shared" si="28"/>
        <v>-3852800</v>
      </c>
      <c r="AO65" s="82">
        <f t="shared" si="29"/>
        <v>-7072</v>
      </c>
      <c r="AP65" s="82">
        <f t="shared" si="30"/>
        <v>-71.710027600000004</v>
      </c>
      <c r="AQ65" s="83">
        <f t="shared" si="31"/>
        <v>-72.935399599999997</v>
      </c>
      <c r="AR65" s="83">
        <f t="shared" si="32"/>
        <v>-38.193553299999998</v>
      </c>
      <c r="AS65" s="83">
        <f t="shared" si="33"/>
        <v>-44.044704000000003</v>
      </c>
      <c r="AT65" s="83">
        <f t="shared" si="34"/>
        <v>-46.304566000000001</v>
      </c>
      <c r="AU65" s="83">
        <f t="shared" si="35"/>
        <v>-45.595488099999997</v>
      </c>
      <c r="AV65" s="84">
        <f t="shared" si="36"/>
        <v>-33.202246299999999</v>
      </c>
    </row>
    <row r="66" spans="33:48" x14ac:dyDescent="0.15">
      <c r="AG66" s="82" t="e">
        <f t="shared" si="21"/>
        <v>#VALUE!</v>
      </c>
      <c r="AH66" s="82" t="e">
        <f t="shared" si="22"/>
        <v>#VALUE!</v>
      </c>
      <c r="AI66" s="82">
        <f t="shared" si="23"/>
        <v>-1210368</v>
      </c>
      <c r="AJ66" s="82">
        <f t="shared" si="24"/>
        <v>-10624504</v>
      </c>
      <c r="AK66" s="82">
        <f t="shared" si="25"/>
        <v>-1271280</v>
      </c>
      <c r="AL66" s="82">
        <f t="shared" si="26"/>
        <v>0</v>
      </c>
      <c r="AM66" s="82">
        <f t="shared" si="27"/>
        <v>-1583472</v>
      </c>
      <c r="AN66" s="82">
        <f t="shared" si="28"/>
        <v>-7762416</v>
      </c>
      <c r="AO66" s="82">
        <f t="shared" si="29"/>
        <v>-7336</v>
      </c>
      <c r="AP66" s="82">
        <f t="shared" si="30"/>
        <v>-76.531136599999996</v>
      </c>
      <c r="AQ66" s="83">
        <f t="shared" si="31"/>
        <v>-78.413520300000002</v>
      </c>
      <c r="AR66" s="83">
        <f t="shared" si="32"/>
        <v>-40.883663499999997</v>
      </c>
      <c r="AS66" s="83">
        <f t="shared" si="33"/>
        <v>-44.956591600000003</v>
      </c>
      <c r="AT66" s="83">
        <f t="shared" si="34"/>
        <v>-48.026786700000002</v>
      </c>
      <c r="AU66" s="83">
        <f t="shared" si="35"/>
        <v>-47.982196999999999</v>
      </c>
      <c r="AV66" s="84">
        <f t="shared" si="36"/>
        <v>-36.380780899999998</v>
      </c>
    </row>
    <row r="67" spans="33:48" x14ac:dyDescent="0.15">
      <c r="AG67" s="82" t="e">
        <f t="shared" si="21"/>
        <v>#VALUE!</v>
      </c>
      <c r="AH67" s="82" t="e">
        <f t="shared" si="22"/>
        <v>#VALUE!</v>
      </c>
      <c r="AI67" s="82">
        <f t="shared" si="23"/>
        <v>-2421136</v>
      </c>
      <c r="AJ67" s="82">
        <f t="shared" si="24"/>
        <v>-15352112</v>
      </c>
      <c r="AK67" s="82">
        <f t="shared" si="25"/>
        <v>-2189576</v>
      </c>
      <c r="AL67" s="82">
        <f t="shared" si="26"/>
        <v>0</v>
      </c>
      <c r="AM67" s="82">
        <f t="shared" si="27"/>
        <v>-1890528</v>
      </c>
      <c r="AN67" s="82">
        <f t="shared" si="28"/>
        <v>-11264672</v>
      </c>
      <c r="AO67" s="82">
        <f t="shared" si="29"/>
        <v>-7336</v>
      </c>
      <c r="AP67" s="82">
        <f t="shared" si="30"/>
        <v>-78.844435700000005</v>
      </c>
      <c r="AQ67" s="83">
        <f t="shared" si="31"/>
        <v>-81.259931199999997</v>
      </c>
      <c r="AR67" s="83">
        <f t="shared" si="32"/>
        <v>-41.917942199999999</v>
      </c>
      <c r="AS67" s="83">
        <f t="shared" si="33"/>
        <v>-45.649467600000001</v>
      </c>
      <c r="AT67" s="83">
        <f t="shared" si="34"/>
        <v>-49.215598900000003</v>
      </c>
      <c r="AU67" s="83">
        <f t="shared" si="35"/>
        <v>-49.486684400000001</v>
      </c>
      <c r="AV67" s="84">
        <f t="shared" si="36"/>
        <v>-38.000662400000003</v>
      </c>
    </row>
    <row r="68" spans="33:48" x14ac:dyDescent="0.15">
      <c r="AG68" s="82" t="e">
        <f t="shared" si="21"/>
        <v>#VALUE!</v>
      </c>
      <c r="AH68" s="82" t="e">
        <f t="shared" si="22"/>
        <v>#VALUE!</v>
      </c>
      <c r="AI68" s="82">
        <f t="shared" si="23"/>
        <v>-2421136</v>
      </c>
      <c r="AJ68" s="82">
        <f t="shared" si="24"/>
        <v>-23018008</v>
      </c>
      <c r="AK68" s="82">
        <f t="shared" si="25"/>
        <v>-2189576</v>
      </c>
      <c r="AL68" s="82">
        <f t="shared" si="26"/>
        <v>0</v>
      </c>
      <c r="AM68" s="82">
        <f t="shared" si="27"/>
        <v>-2097616</v>
      </c>
      <c r="AN68" s="82">
        <f t="shared" si="28"/>
        <v>-18723480</v>
      </c>
      <c r="AO68" s="82">
        <f t="shared" si="29"/>
        <v>-7336</v>
      </c>
      <c r="AP68" s="82">
        <f t="shared" si="30"/>
        <v>-79.162558899999993</v>
      </c>
      <c r="AQ68" s="83">
        <f t="shared" si="31"/>
        <v>-81.685570900000002</v>
      </c>
      <c r="AR68" s="83">
        <f t="shared" si="32"/>
        <v>-42.897338300000001</v>
      </c>
      <c r="AS68" s="83">
        <f t="shared" si="33"/>
        <v>-46.584470099999997</v>
      </c>
      <c r="AT68" s="83">
        <f t="shared" si="34"/>
        <v>-50.537514799999997</v>
      </c>
      <c r="AU68" s="83">
        <f t="shared" si="35"/>
        <v>-49.593182499999998</v>
      </c>
      <c r="AV68" s="84">
        <f t="shared" si="36"/>
        <v>-38.484319399999997</v>
      </c>
    </row>
    <row r="69" spans="33:48" x14ac:dyDescent="0.15">
      <c r="AG69" s="82" t="e">
        <f t="shared" si="21"/>
        <v>#VALUE!</v>
      </c>
      <c r="AH69" s="82" t="e">
        <f t="shared" si="22"/>
        <v>#VALUE!</v>
      </c>
      <c r="AI69" s="82">
        <f t="shared" si="23"/>
        <v>-604496</v>
      </c>
      <c r="AJ69" s="82">
        <f t="shared" si="24"/>
        <v>-3194344</v>
      </c>
      <c r="AK69" s="82">
        <f t="shared" si="25"/>
        <v>-675152</v>
      </c>
      <c r="AL69" s="82">
        <f t="shared" si="26"/>
        <v>0</v>
      </c>
      <c r="AM69" s="82">
        <f t="shared" si="27"/>
        <v>-517768</v>
      </c>
      <c r="AN69" s="82">
        <f t="shared" si="28"/>
        <v>-1994352</v>
      </c>
      <c r="AO69" s="82">
        <f t="shared" si="29"/>
        <v>-7072</v>
      </c>
      <c r="AP69" s="82">
        <f t="shared" si="30"/>
        <v>-70.658992999999995</v>
      </c>
      <c r="AQ69" s="83">
        <f t="shared" si="31"/>
        <v>-71.847679200000002</v>
      </c>
      <c r="AR69" s="83">
        <f t="shared" si="32"/>
        <v>-34.484879399999997</v>
      </c>
      <c r="AS69" s="83">
        <f t="shared" si="33"/>
        <v>-42.798194000000002</v>
      </c>
      <c r="AT69" s="83">
        <f t="shared" si="34"/>
        <v>-44.061753899999999</v>
      </c>
      <c r="AU69" s="83">
        <f t="shared" si="35"/>
        <v>-47.952576999999998</v>
      </c>
      <c r="AV69" s="84">
        <f t="shared" si="36"/>
        <v>-31.037799700000001</v>
      </c>
    </row>
    <row r="70" spans="33:48" x14ac:dyDescent="0.15">
      <c r="AG70" s="82" t="e">
        <f t="shared" si="21"/>
        <v>#VALUE!</v>
      </c>
      <c r="AH70" s="82" t="e">
        <f t="shared" si="22"/>
        <v>#VALUE!</v>
      </c>
      <c r="AI70" s="82">
        <f t="shared" si="23"/>
        <v>-604496</v>
      </c>
      <c r="AJ70" s="82">
        <f t="shared" si="24"/>
        <v>-5389624</v>
      </c>
      <c r="AK70" s="82">
        <f t="shared" si="25"/>
        <v>-675152</v>
      </c>
      <c r="AL70" s="82">
        <f t="shared" si="26"/>
        <v>0</v>
      </c>
      <c r="AM70" s="82">
        <f t="shared" si="27"/>
        <v>-571760</v>
      </c>
      <c r="AN70" s="82">
        <f t="shared" si="28"/>
        <v>-4135632</v>
      </c>
      <c r="AO70" s="82">
        <f t="shared" si="29"/>
        <v>-7080</v>
      </c>
      <c r="AP70" s="82">
        <f t="shared" si="30"/>
        <v>-70.996761399999997</v>
      </c>
      <c r="AQ70" s="83">
        <f t="shared" si="31"/>
        <v>-72.220073799999994</v>
      </c>
      <c r="AR70" s="83">
        <f t="shared" si="32"/>
        <v>-37.228668200000001</v>
      </c>
      <c r="AS70" s="83">
        <f t="shared" si="33"/>
        <v>-44.001441100000001</v>
      </c>
      <c r="AT70" s="83">
        <f t="shared" si="34"/>
        <v>-45.963993700000003</v>
      </c>
      <c r="AU70" s="83">
        <f t="shared" si="35"/>
        <v>-48.095330099999998</v>
      </c>
      <c r="AV70" s="84">
        <f t="shared" si="36"/>
        <v>-32.063695799999998</v>
      </c>
    </row>
    <row r="71" spans="33:48" x14ac:dyDescent="0.15">
      <c r="AG71" s="82" t="e">
        <f t="shared" si="21"/>
        <v>#VALUE!</v>
      </c>
      <c r="AH71" s="82" t="e">
        <f t="shared" si="22"/>
        <v>#VALUE!</v>
      </c>
      <c r="AI71" s="82">
        <f t="shared" si="23"/>
        <v>-1209024</v>
      </c>
      <c r="AJ71" s="82">
        <f t="shared" si="24"/>
        <v>-10729440</v>
      </c>
      <c r="AK71" s="82">
        <f t="shared" si="25"/>
        <v>-1123600</v>
      </c>
      <c r="AL71" s="82">
        <f t="shared" si="26"/>
        <v>0</v>
      </c>
      <c r="AM71" s="82">
        <f t="shared" si="27"/>
        <v>-1588992</v>
      </c>
      <c r="AN71" s="82">
        <f t="shared" si="28"/>
        <v>-8009512</v>
      </c>
      <c r="AO71" s="82">
        <f t="shared" si="29"/>
        <v>-7336</v>
      </c>
      <c r="AP71" s="82">
        <f t="shared" si="30"/>
        <v>-76.398853799999998</v>
      </c>
      <c r="AQ71" s="83">
        <f t="shared" si="31"/>
        <v>-78.415579699999995</v>
      </c>
      <c r="AR71" s="83">
        <f t="shared" si="32"/>
        <v>-40.277685499999997</v>
      </c>
      <c r="AS71" s="83">
        <f t="shared" si="33"/>
        <v>-45.300904799999998</v>
      </c>
      <c r="AT71" s="83">
        <f t="shared" si="34"/>
        <v>-48.016851000000003</v>
      </c>
      <c r="AU71" s="83">
        <f t="shared" si="35"/>
        <v>-50.844054800000002</v>
      </c>
      <c r="AV71" s="84">
        <f t="shared" si="36"/>
        <v>-35.758860200000001</v>
      </c>
    </row>
    <row r="72" spans="33:48" x14ac:dyDescent="0.15">
      <c r="AG72" s="82" t="e">
        <f t="shared" si="21"/>
        <v>#VALUE!</v>
      </c>
      <c r="AH72" s="82" t="e">
        <f t="shared" si="22"/>
        <v>#VALUE!</v>
      </c>
      <c r="AI72" s="82">
        <f t="shared" si="23"/>
        <v>-2418320</v>
      </c>
      <c r="AJ72" s="82">
        <f t="shared" si="24"/>
        <v>-15179136</v>
      </c>
      <c r="AK72" s="82">
        <f t="shared" si="25"/>
        <v>-2371840</v>
      </c>
      <c r="AL72" s="82">
        <f t="shared" si="26"/>
        <v>0</v>
      </c>
      <c r="AM72" s="82">
        <f t="shared" si="27"/>
        <v>-1633528</v>
      </c>
      <c r="AN72" s="82">
        <f t="shared" si="28"/>
        <v>-11166432</v>
      </c>
      <c r="AO72" s="82">
        <f t="shared" si="29"/>
        <v>-7336</v>
      </c>
      <c r="AP72" s="82">
        <f t="shared" si="30"/>
        <v>-78.320527299999995</v>
      </c>
      <c r="AQ72" s="83">
        <f t="shared" si="31"/>
        <v>-80.833959699999994</v>
      </c>
      <c r="AR72" s="83">
        <f t="shared" si="32"/>
        <v>-41.419548399999996</v>
      </c>
      <c r="AS72" s="83">
        <f t="shared" si="33"/>
        <v>-45.809733600000001</v>
      </c>
      <c r="AT72" s="83">
        <f t="shared" si="34"/>
        <v>-48.739070900000002</v>
      </c>
      <c r="AU72" s="83">
        <f t="shared" si="35"/>
        <v>-52.432678099999997</v>
      </c>
      <c r="AV72" s="84">
        <f t="shared" si="36"/>
        <v>-37.291606000000002</v>
      </c>
    </row>
    <row r="73" spans="33:48" x14ac:dyDescent="0.15">
      <c r="AG73" s="82" t="e">
        <f t="shared" si="21"/>
        <v>#VALUE!</v>
      </c>
      <c r="AH73" s="82" t="e">
        <f t="shared" si="22"/>
        <v>#VALUE!</v>
      </c>
      <c r="AI73" s="82">
        <f t="shared" si="23"/>
        <v>-2418320</v>
      </c>
      <c r="AJ73" s="82">
        <f t="shared" si="24"/>
        <v>-22544056</v>
      </c>
      <c r="AK73" s="82">
        <f t="shared" si="25"/>
        <v>-2138624</v>
      </c>
      <c r="AL73" s="82">
        <f t="shared" si="26"/>
        <v>0</v>
      </c>
      <c r="AM73" s="82">
        <f t="shared" si="27"/>
        <v>-2074672</v>
      </c>
      <c r="AN73" s="82">
        <f t="shared" si="28"/>
        <v>-18323424</v>
      </c>
      <c r="AO73" s="82">
        <f t="shared" si="29"/>
        <v>-7336</v>
      </c>
      <c r="AP73" s="82">
        <f t="shared" si="30"/>
        <v>-78.926492499999995</v>
      </c>
      <c r="AQ73" s="83">
        <f t="shared" si="31"/>
        <v>-81.677393499999994</v>
      </c>
      <c r="AR73" s="83">
        <f t="shared" si="32"/>
        <v>-42.392228000000003</v>
      </c>
      <c r="AS73" s="83">
        <f t="shared" si="33"/>
        <v>-46.894560400000003</v>
      </c>
      <c r="AT73" s="83">
        <f t="shared" si="34"/>
        <v>-50.093263899999997</v>
      </c>
      <c r="AU73" s="83">
        <f t="shared" si="35"/>
        <v>-52.721227599999999</v>
      </c>
      <c r="AV73" s="84">
        <f t="shared" si="36"/>
        <v>-37.950688800000002</v>
      </c>
    </row>
    <row r="74" spans="33:48" x14ac:dyDescent="0.15">
      <c r="AG74" s="82" t="e">
        <f t="shared" si="21"/>
        <v>#VALUE!</v>
      </c>
      <c r="AH74" s="82" t="e">
        <f t="shared" si="22"/>
        <v>#VALUE!</v>
      </c>
      <c r="AI74" s="82">
        <f t="shared" si="23"/>
        <v>-2455232</v>
      </c>
      <c r="AJ74" s="82">
        <f t="shared" si="24"/>
        <v>-4381360</v>
      </c>
      <c r="AK74" s="82">
        <f t="shared" si="25"/>
        <v>-695472</v>
      </c>
      <c r="AL74" s="82">
        <f t="shared" si="26"/>
        <v>0</v>
      </c>
      <c r="AM74" s="82">
        <f t="shared" si="27"/>
        <v>-563224</v>
      </c>
      <c r="AN74" s="82">
        <f t="shared" si="28"/>
        <v>-3115320</v>
      </c>
      <c r="AO74" s="82">
        <f t="shared" si="29"/>
        <v>-7344</v>
      </c>
      <c r="AP74" s="82">
        <f t="shared" si="30"/>
        <v>-72.906002299999997</v>
      </c>
      <c r="AQ74" s="83">
        <f t="shared" si="31"/>
        <v>-74.665274299999993</v>
      </c>
      <c r="AR74" s="83">
        <f t="shared" si="32"/>
        <v>-31.452291599999999</v>
      </c>
      <c r="AS74" s="83">
        <f t="shared" si="33"/>
        <v>-40.585773500000002</v>
      </c>
      <c r="AT74" s="83">
        <f t="shared" si="34"/>
        <v>-36.9058207</v>
      </c>
      <c r="AU74" s="83">
        <f t="shared" si="35"/>
        <v>-44.200530899999997</v>
      </c>
      <c r="AV74" s="84">
        <f t="shared" si="36"/>
        <v>-28.450837499999999</v>
      </c>
    </row>
    <row r="75" spans="33:48" x14ac:dyDescent="0.15">
      <c r="AG75" s="82" t="e">
        <f t="shared" si="21"/>
        <v>#VALUE!</v>
      </c>
      <c r="AH75" s="82" t="e">
        <f t="shared" si="22"/>
        <v>#VALUE!</v>
      </c>
      <c r="AI75" s="82">
        <f t="shared" si="23"/>
        <v>-4912768</v>
      </c>
      <c r="AJ75" s="82">
        <f t="shared" si="24"/>
        <v>-8756824</v>
      </c>
      <c r="AK75" s="82">
        <f t="shared" si="25"/>
        <v>-1164264</v>
      </c>
      <c r="AL75" s="82">
        <f t="shared" si="26"/>
        <v>0</v>
      </c>
      <c r="AM75" s="82">
        <f t="shared" si="27"/>
        <v>-906208</v>
      </c>
      <c r="AN75" s="82">
        <f t="shared" si="28"/>
        <v>-6678752</v>
      </c>
      <c r="AO75" s="82">
        <f t="shared" si="29"/>
        <v>-7600</v>
      </c>
      <c r="AP75" s="82">
        <f t="shared" si="30"/>
        <v>-76.343026899999998</v>
      </c>
      <c r="AQ75" s="83">
        <f t="shared" si="31"/>
        <v>-78.716781600000004</v>
      </c>
      <c r="AR75" s="83">
        <f t="shared" si="32"/>
        <v>-33.934368300000003</v>
      </c>
      <c r="AS75" s="83">
        <f t="shared" si="33"/>
        <v>-42.448829500000002</v>
      </c>
      <c r="AT75" s="83">
        <f t="shared" si="34"/>
        <v>-39.803443899999998</v>
      </c>
      <c r="AU75" s="83">
        <f t="shared" si="35"/>
        <v>-45.867615299999997</v>
      </c>
      <c r="AV75" s="84">
        <f t="shared" si="36"/>
        <v>-31.132469</v>
      </c>
    </row>
    <row r="76" spans="33:48" x14ac:dyDescent="0.15">
      <c r="AG76" s="82" t="e">
        <f t="shared" si="21"/>
        <v>#VALUE!</v>
      </c>
      <c r="AH76" s="82" t="e">
        <f t="shared" si="22"/>
        <v>#VALUE!</v>
      </c>
      <c r="AI76" s="82">
        <f t="shared" si="23"/>
        <v>-9827968</v>
      </c>
      <c r="AJ76" s="82">
        <f t="shared" si="24"/>
        <v>-13194624</v>
      </c>
      <c r="AK76" s="82">
        <f t="shared" si="25"/>
        <v>-2194440</v>
      </c>
      <c r="AL76" s="82">
        <f t="shared" si="26"/>
        <v>0</v>
      </c>
      <c r="AM76" s="82">
        <f t="shared" si="27"/>
        <v>-868912</v>
      </c>
      <c r="AN76" s="82">
        <f t="shared" si="28"/>
        <v>-10123400</v>
      </c>
      <c r="AO76" s="82">
        <f t="shared" si="29"/>
        <v>-7872</v>
      </c>
      <c r="AP76" s="82">
        <f t="shared" si="30"/>
        <v>-78.213163899999998</v>
      </c>
      <c r="AQ76" s="83">
        <f t="shared" si="31"/>
        <v>-80.976241099999996</v>
      </c>
      <c r="AR76" s="83">
        <f t="shared" si="32"/>
        <v>-34.871834999999997</v>
      </c>
      <c r="AS76" s="83">
        <f t="shared" si="33"/>
        <v>-43.686140399999999</v>
      </c>
      <c r="AT76" s="83">
        <f t="shared" si="34"/>
        <v>-41.591272099999998</v>
      </c>
      <c r="AU76" s="83">
        <f t="shared" si="35"/>
        <v>-47.442339699999998</v>
      </c>
      <c r="AV76" s="84">
        <f t="shared" si="36"/>
        <v>-32.431133199999998</v>
      </c>
    </row>
    <row r="77" spans="33:48" x14ac:dyDescent="0.15">
      <c r="AG77" s="82" t="e">
        <f t="shared" si="21"/>
        <v>#VALUE!</v>
      </c>
      <c r="AH77" s="82" t="e">
        <f t="shared" si="22"/>
        <v>#VALUE!</v>
      </c>
      <c r="AI77" s="82">
        <f t="shared" si="23"/>
        <v>-19659392</v>
      </c>
      <c r="AJ77" s="82">
        <f t="shared" si="24"/>
        <v>-18480968</v>
      </c>
      <c r="AK77" s="82">
        <f t="shared" si="25"/>
        <v>-4271176</v>
      </c>
      <c r="AL77" s="82">
        <f t="shared" si="26"/>
        <v>0</v>
      </c>
      <c r="AM77" s="82">
        <f t="shared" si="27"/>
        <v>-692752</v>
      </c>
      <c r="AN77" s="82">
        <f t="shared" si="28"/>
        <v>-13509160</v>
      </c>
      <c r="AO77" s="82">
        <f t="shared" si="29"/>
        <v>-7880</v>
      </c>
      <c r="AP77" s="82">
        <f t="shared" si="30"/>
        <v>-80.100082099999995</v>
      </c>
      <c r="AQ77" s="83">
        <f t="shared" si="31"/>
        <v>-83.492118500000004</v>
      </c>
      <c r="AR77" s="83">
        <f t="shared" si="32"/>
        <v>-35.674003900000002</v>
      </c>
      <c r="AS77" s="83">
        <f t="shared" si="33"/>
        <v>-44.001159700000002</v>
      </c>
      <c r="AT77" s="83">
        <f t="shared" si="34"/>
        <v>-42.080876699999997</v>
      </c>
      <c r="AU77" s="83">
        <f t="shared" si="35"/>
        <v>-49.248149599999998</v>
      </c>
      <c r="AV77" s="84">
        <f t="shared" si="36"/>
        <v>-33.636072800000001</v>
      </c>
    </row>
    <row r="78" spans="33:48" x14ac:dyDescent="0.15">
      <c r="AG78" s="82" t="e">
        <f t="shared" si="21"/>
        <v>#VALUE!</v>
      </c>
      <c r="AH78" s="82" t="e">
        <f t="shared" si="22"/>
        <v>#VALUE!</v>
      </c>
      <c r="AI78" s="82">
        <f t="shared" si="23"/>
        <v>-39320512</v>
      </c>
      <c r="AJ78" s="82">
        <f t="shared" si="24"/>
        <v>-27306840</v>
      </c>
      <c r="AK78" s="82">
        <f t="shared" si="25"/>
        <v>-7555040</v>
      </c>
      <c r="AL78" s="82">
        <f t="shared" si="26"/>
        <v>0</v>
      </c>
      <c r="AM78" s="82">
        <f t="shared" si="27"/>
        <v>-478728</v>
      </c>
      <c r="AN78" s="82">
        <f t="shared" si="28"/>
        <v>-19264928</v>
      </c>
      <c r="AO78" s="82">
        <f t="shared" si="29"/>
        <v>-8144</v>
      </c>
      <c r="AP78" s="82">
        <f t="shared" si="30"/>
        <v>-82.628449799999999</v>
      </c>
      <c r="AQ78" s="83">
        <f t="shared" si="31"/>
        <v>-87.210551499999994</v>
      </c>
      <c r="AR78" s="83">
        <f t="shared" si="32"/>
        <v>-36.3951657</v>
      </c>
      <c r="AS78" s="83">
        <f t="shared" si="33"/>
        <v>-44.603425199999997</v>
      </c>
      <c r="AT78" s="83">
        <f t="shared" si="34"/>
        <v>-42.9286557</v>
      </c>
      <c r="AU78" s="83">
        <f t="shared" si="35"/>
        <v>-51.834117999999997</v>
      </c>
      <c r="AV78" s="84">
        <f t="shared" si="36"/>
        <v>-35.056564399999999</v>
      </c>
    </row>
    <row r="79" spans="33:48" x14ac:dyDescent="0.15">
      <c r="AG79" s="82" t="e">
        <f t="shared" si="21"/>
        <v>#VALUE!</v>
      </c>
      <c r="AH79" s="82" t="e">
        <f t="shared" si="22"/>
        <v>#VALUE!</v>
      </c>
      <c r="AI79" s="82">
        <f t="shared" si="23"/>
        <v>-2427520</v>
      </c>
      <c r="AJ79" s="82">
        <f t="shared" si="24"/>
        <v>-4313328</v>
      </c>
      <c r="AK79" s="82">
        <f t="shared" si="25"/>
        <v>-735256</v>
      </c>
      <c r="AL79" s="82">
        <f t="shared" si="26"/>
        <v>0</v>
      </c>
      <c r="AM79" s="82">
        <f t="shared" si="27"/>
        <v>-697984</v>
      </c>
      <c r="AN79" s="82">
        <f t="shared" si="28"/>
        <v>-2872744</v>
      </c>
      <c r="AO79" s="82">
        <f t="shared" si="29"/>
        <v>-7344</v>
      </c>
      <c r="AP79" s="82">
        <f t="shared" si="30"/>
        <v>-73.472838699999997</v>
      </c>
      <c r="AQ79" s="83">
        <f t="shared" si="31"/>
        <v>-75.112922999999995</v>
      </c>
      <c r="AR79" s="83">
        <f t="shared" si="32"/>
        <v>-38.059324099999998</v>
      </c>
      <c r="AS79" s="83">
        <f t="shared" si="33"/>
        <v>-44.219111099999999</v>
      </c>
      <c r="AT79" s="83">
        <f t="shared" si="34"/>
        <v>-42.779282899999998</v>
      </c>
      <c r="AU79" s="83">
        <f t="shared" si="35"/>
        <v>-46.431505100000003</v>
      </c>
      <c r="AV79" s="84">
        <f t="shared" si="36"/>
        <v>-34.641218500000001</v>
      </c>
    </row>
    <row r="80" spans="33:48" x14ac:dyDescent="0.15">
      <c r="AG80" s="82" t="e">
        <f t="shared" si="21"/>
        <v>#VALUE!</v>
      </c>
      <c r="AH80" s="82" t="e">
        <f t="shared" si="22"/>
        <v>#VALUE!</v>
      </c>
      <c r="AI80" s="82">
        <f t="shared" si="23"/>
        <v>-2427520</v>
      </c>
      <c r="AJ80" s="82">
        <f t="shared" si="24"/>
        <v>-8736160</v>
      </c>
      <c r="AK80" s="82">
        <f t="shared" si="25"/>
        <v>-735256</v>
      </c>
      <c r="AL80" s="82">
        <f t="shared" si="26"/>
        <v>0</v>
      </c>
      <c r="AM80" s="82">
        <f t="shared" si="27"/>
        <v>-1284984</v>
      </c>
      <c r="AN80" s="82">
        <f t="shared" si="28"/>
        <v>-6708576</v>
      </c>
      <c r="AO80" s="82">
        <f t="shared" si="29"/>
        <v>-7344</v>
      </c>
      <c r="AP80" s="82">
        <f t="shared" si="30"/>
        <v>-75.691998999999996</v>
      </c>
      <c r="AQ80" s="83">
        <f t="shared" si="31"/>
        <v>-77.611402699999999</v>
      </c>
      <c r="AR80" s="83">
        <f t="shared" si="32"/>
        <v>-40.601440500000002</v>
      </c>
      <c r="AS80" s="83">
        <f t="shared" si="33"/>
        <v>-45.8746127</v>
      </c>
      <c r="AT80" s="83">
        <f t="shared" si="34"/>
        <v>-44.715406100000003</v>
      </c>
      <c r="AU80" s="83">
        <f t="shared" si="35"/>
        <v>-47.839015799999999</v>
      </c>
      <c r="AV80" s="84">
        <f t="shared" si="36"/>
        <v>-36.470020099999999</v>
      </c>
    </row>
    <row r="81" spans="33:48" x14ac:dyDescent="0.15">
      <c r="AG81" s="82" t="e">
        <f t="shared" si="21"/>
        <v>#VALUE!</v>
      </c>
      <c r="AH81" s="82" t="e">
        <f t="shared" si="22"/>
        <v>#VALUE!</v>
      </c>
      <c r="AI81" s="82">
        <f t="shared" si="23"/>
        <v>-2450608</v>
      </c>
      <c r="AJ81" s="82">
        <f t="shared" si="24"/>
        <v>-13034984</v>
      </c>
      <c r="AK81" s="82">
        <f t="shared" si="25"/>
        <v>-1996288</v>
      </c>
      <c r="AL81" s="82">
        <f t="shared" si="26"/>
        <v>0</v>
      </c>
      <c r="AM81" s="82">
        <f t="shared" si="27"/>
        <v>-1244008</v>
      </c>
      <c r="AN81" s="82">
        <f t="shared" si="28"/>
        <v>-9787352</v>
      </c>
      <c r="AO81" s="82">
        <f t="shared" si="29"/>
        <v>-7336</v>
      </c>
      <c r="AP81" s="82">
        <f t="shared" si="30"/>
        <v>-78.591311000000005</v>
      </c>
      <c r="AQ81" s="83">
        <f t="shared" si="31"/>
        <v>-81.084870800000004</v>
      </c>
      <c r="AR81" s="83">
        <f t="shared" si="32"/>
        <v>-41.972023700000001</v>
      </c>
      <c r="AS81" s="83">
        <f t="shared" si="33"/>
        <v>-46.559950000000001</v>
      </c>
      <c r="AT81" s="83">
        <f t="shared" si="34"/>
        <v>-45.546240300000001</v>
      </c>
      <c r="AU81" s="83">
        <f t="shared" si="35"/>
        <v>-49.742427300000003</v>
      </c>
      <c r="AV81" s="84">
        <f t="shared" si="36"/>
        <v>-38.169751099999999</v>
      </c>
    </row>
    <row r="82" spans="33:48" x14ac:dyDescent="0.15">
      <c r="AG82" s="82" t="e">
        <f t="shared" si="21"/>
        <v>#VALUE!</v>
      </c>
      <c r="AH82" s="82" t="e">
        <f t="shared" si="22"/>
        <v>#VALUE!</v>
      </c>
      <c r="AI82" s="82">
        <f t="shared" si="23"/>
        <v>-2450608</v>
      </c>
      <c r="AJ82" s="82">
        <f t="shared" si="24"/>
        <v>-18574784</v>
      </c>
      <c r="AK82" s="82">
        <f t="shared" si="25"/>
        <v>-1996288</v>
      </c>
      <c r="AL82" s="82">
        <f t="shared" si="26"/>
        <v>0</v>
      </c>
      <c r="AM82" s="82">
        <f t="shared" si="27"/>
        <v>-1814752</v>
      </c>
      <c r="AN82" s="82">
        <f t="shared" si="28"/>
        <v>-14756400</v>
      </c>
      <c r="AO82" s="82">
        <f t="shared" si="29"/>
        <v>-7344</v>
      </c>
      <c r="AP82" s="82">
        <f t="shared" si="30"/>
        <v>-79.716879199999994</v>
      </c>
      <c r="AQ82" s="83">
        <f t="shared" si="31"/>
        <v>-82.645829399999997</v>
      </c>
      <c r="AR82" s="83">
        <f t="shared" si="32"/>
        <v>-43.057604900000001</v>
      </c>
      <c r="AS82" s="83">
        <f t="shared" si="33"/>
        <v>-47.6788247</v>
      </c>
      <c r="AT82" s="83">
        <f t="shared" si="34"/>
        <v>-46.881957499999999</v>
      </c>
      <c r="AU82" s="83">
        <f t="shared" si="35"/>
        <v>-50.566854999999997</v>
      </c>
      <c r="AV82" s="84">
        <f t="shared" si="36"/>
        <v>-39.3461876</v>
      </c>
    </row>
    <row r="83" spans="33:48" x14ac:dyDescent="0.15">
      <c r="AG83" s="82" t="e">
        <f t="shared" si="21"/>
        <v>#VALUE!</v>
      </c>
      <c r="AH83" s="82" t="e">
        <f t="shared" si="22"/>
        <v>#VALUE!</v>
      </c>
      <c r="AI83" s="82">
        <f t="shared" si="23"/>
        <v>-7367488</v>
      </c>
      <c r="AJ83" s="82">
        <f t="shared" si="24"/>
        <v>-27213336</v>
      </c>
      <c r="AK83" s="82">
        <f t="shared" si="25"/>
        <v>-4581168</v>
      </c>
      <c r="AL83" s="82">
        <f t="shared" si="26"/>
        <v>0</v>
      </c>
      <c r="AM83" s="82">
        <f t="shared" si="27"/>
        <v>-1699240</v>
      </c>
      <c r="AN83" s="82">
        <f t="shared" si="28"/>
        <v>-20925320</v>
      </c>
      <c r="AO83" s="82">
        <f t="shared" si="29"/>
        <v>-7608</v>
      </c>
      <c r="AP83" s="82">
        <f t="shared" si="30"/>
        <v>-82.481718200000003</v>
      </c>
      <c r="AQ83" s="83">
        <f t="shared" si="31"/>
        <v>-86.526489299999994</v>
      </c>
      <c r="AR83" s="83">
        <f t="shared" si="32"/>
        <v>-44.178062699999998</v>
      </c>
      <c r="AS83" s="83">
        <f t="shared" si="33"/>
        <v>-48.403700800000003</v>
      </c>
      <c r="AT83" s="83">
        <f t="shared" si="34"/>
        <v>-47.708257400000001</v>
      </c>
      <c r="AU83" s="83">
        <f t="shared" si="35"/>
        <v>-52.386246300000003</v>
      </c>
      <c r="AV83" s="84">
        <f t="shared" si="36"/>
        <v>-41.213450399999999</v>
      </c>
    </row>
    <row r="84" spans="33:48" x14ac:dyDescent="0.15">
      <c r="AG84" s="82" t="e">
        <f t="shared" si="21"/>
        <v>#VALUE!</v>
      </c>
      <c r="AH84" s="82" t="e">
        <f t="shared" si="22"/>
        <v>#VALUE!</v>
      </c>
      <c r="AI84" s="82">
        <f t="shared" si="23"/>
        <v>-460240</v>
      </c>
      <c r="AJ84" s="82">
        <f t="shared" si="24"/>
        <v>-4123992</v>
      </c>
      <c r="AK84" s="82">
        <f t="shared" si="25"/>
        <v>-628624</v>
      </c>
      <c r="AL84" s="82">
        <f t="shared" si="26"/>
        <v>0</v>
      </c>
      <c r="AM84" s="82">
        <f t="shared" si="27"/>
        <v>-722648</v>
      </c>
      <c r="AN84" s="82">
        <f t="shared" si="28"/>
        <v>-2765904</v>
      </c>
      <c r="AO84" s="82">
        <f t="shared" si="29"/>
        <v>-6816</v>
      </c>
      <c r="AP84" s="82">
        <f t="shared" si="30"/>
        <v>-69.707156499999996</v>
      </c>
      <c r="AQ84" s="83">
        <f t="shared" si="31"/>
        <v>-70.845885999999993</v>
      </c>
      <c r="AR84" s="83">
        <f t="shared" si="32"/>
        <v>-29.544831299999998</v>
      </c>
      <c r="AS84" s="83">
        <f t="shared" si="33"/>
        <v>-38.629725999999998</v>
      </c>
      <c r="AT84" s="83">
        <f t="shared" si="34"/>
        <v>-38.353686099999997</v>
      </c>
      <c r="AU84" s="83">
        <f t="shared" si="35"/>
        <v>-46.421184400000001</v>
      </c>
      <c r="AV84" s="84">
        <f t="shared" si="36"/>
        <v>-28.0790261</v>
      </c>
    </row>
    <row r="85" spans="33:48" x14ac:dyDescent="0.15">
      <c r="AG85" s="82" t="e">
        <f t="shared" si="21"/>
        <v>#VALUE!</v>
      </c>
      <c r="AH85" s="82" t="e">
        <f t="shared" si="22"/>
        <v>#VALUE!</v>
      </c>
      <c r="AI85" s="82">
        <f t="shared" si="23"/>
        <v>-920192</v>
      </c>
      <c r="AJ85" s="82">
        <f t="shared" si="24"/>
        <v>-6523496</v>
      </c>
      <c r="AK85" s="82">
        <f t="shared" si="25"/>
        <v>-960056</v>
      </c>
      <c r="AL85" s="82">
        <f t="shared" si="26"/>
        <v>0</v>
      </c>
      <c r="AM85" s="82">
        <f t="shared" si="27"/>
        <v>-843184</v>
      </c>
      <c r="AN85" s="82">
        <f t="shared" si="28"/>
        <v>-4713184</v>
      </c>
      <c r="AO85" s="82">
        <f t="shared" si="29"/>
        <v>-7072</v>
      </c>
      <c r="AP85" s="82">
        <f t="shared" si="30"/>
        <v>-73.172756399999997</v>
      </c>
      <c r="AQ85" s="83">
        <f t="shared" si="31"/>
        <v>-74.791354499999997</v>
      </c>
      <c r="AR85" s="83">
        <f t="shared" si="32"/>
        <v>-30.235418599999999</v>
      </c>
      <c r="AS85" s="83">
        <f t="shared" si="33"/>
        <v>-38.8056348</v>
      </c>
      <c r="AT85" s="83">
        <f t="shared" si="34"/>
        <v>-38.643869000000002</v>
      </c>
      <c r="AU85" s="83">
        <f t="shared" si="35"/>
        <v>-48.273334200000001</v>
      </c>
      <c r="AV85" s="84">
        <f t="shared" si="36"/>
        <v>-28.719213799999999</v>
      </c>
    </row>
    <row r="86" spans="33:48" x14ac:dyDescent="0.15">
      <c r="AG86" s="82" t="e">
        <f t="shared" si="21"/>
        <v>#VALUE!</v>
      </c>
      <c r="AH86" s="82" t="e">
        <f t="shared" si="22"/>
        <v>#VALUE!</v>
      </c>
      <c r="AI86" s="82">
        <f t="shared" si="23"/>
        <v>-1841440</v>
      </c>
      <c r="AJ86" s="82">
        <f t="shared" si="24"/>
        <v>-12058368</v>
      </c>
      <c r="AK86" s="82">
        <f t="shared" si="25"/>
        <v>-1626160</v>
      </c>
      <c r="AL86" s="82">
        <f t="shared" si="26"/>
        <v>0</v>
      </c>
      <c r="AM86" s="82">
        <f t="shared" si="27"/>
        <v>-663784</v>
      </c>
      <c r="AN86" s="82">
        <f t="shared" si="28"/>
        <v>-9761080</v>
      </c>
      <c r="AO86" s="82">
        <f t="shared" si="29"/>
        <v>-7344</v>
      </c>
      <c r="AP86" s="82">
        <f t="shared" si="30"/>
        <v>-74.598658200000003</v>
      </c>
      <c r="AQ86" s="83">
        <f t="shared" si="31"/>
        <v>-76.396926399999998</v>
      </c>
      <c r="AR86" s="83">
        <f t="shared" si="32"/>
        <v>-31.171381499999999</v>
      </c>
      <c r="AS86" s="83">
        <f t="shared" si="33"/>
        <v>-39.018049699999999</v>
      </c>
      <c r="AT86" s="83">
        <f t="shared" si="34"/>
        <v>-39.200089300000002</v>
      </c>
      <c r="AU86" s="83">
        <f t="shared" si="35"/>
        <v>-48.904693799999997</v>
      </c>
      <c r="AV86" s="84">
        <f t="shared" si="36"/>
        <v>-30.0581982</v>
      </c>
    </row>
    <row r="87" spans="33:48" x14ac:dyDescent="0.15">
      <c r="AG87" s="82" t="e">
        <f t="shared" si="21"/>
        <v>#VALUE!</v>
      </c>
      <c r="AH87" s="82" t="e">
        <f t="shared" si="22"/>
        <v>#VALUE!</v>
      </c>
      <c r="AI87" s="82">
        <f t="shared" si="23"/>
        <v>-1841440</v>
      </c>
      <c r="AJ87" s="82">
        <f t="shared" si="24"/>
        <v>-17611312</v>
      </c>
      <c r="AK87" s="82">
        <f t="shared" si="25"/>
        <v>-1800040</v>
      </c>
      <c r="AL87" s="82">
        <f t="shared" si="26"/>
        <v>0</v>
      </c>
      <c r="AM87" s="82">
        <f t="shared" si="27"/>
        <v>-1135760</v>
      </c>
      <c r="AN87" s="82">
        <f t="shared" si="28"/>
        <v>-14668168</v>
      </c>
      <c r="AO87" s="82">
        <f t="shared" si="29"/>
        <v>-7344</v>
      </c>
      <c r="AP87" s="82">
        <f t="shared" si="30"/>
        <v>-76.429223199999996</v>
      </c>
      <c r="AQ87" s="83">
        <f t="shared" si="31"/>
        <v>-78.460196499999995</v>
      </c>
      <c r="AR87" s="83">
        <f t="shared" si="32"/>
        <v>-31.860462299999998</v>
      </c>
      <c r="AS87" s="83">
        <f t="shared" si="33"/>
        <v>-39.089494199999997</v>
      </c>
      <c r="AT87" s="83">
        <f t="shared" si="34"/>
        <v>-39.320117500000002</v>
      </c>
      <c r="AU87" s="83">
        <f t="shared" si="35"/>
        <v>-50.1838695</v>
      </c>
      <c r="AV87" s="84">
        <f t="shared" si="36"/>
        <v>-30.7791101</v>
      </c>
    </row>
    <row r="88" spans="33:48" x14ac:dyDescent="0.15">
      <c r="AG88" s="82" t="e">
        <f t="shared" si="21"/>
        <v>#VALUE!</v>
      </c>
      <c r="AH88" s="82" t="e">
        <f t="shared" si="22"/>
        <v>#VALUE!</v>
      </c>
      <c r="AI88" s="82">
        <f t="shared" si="23"/>
        <v>-3683456</v>
      </c>
      <c r="AJ88" s="82">
        <f t="shared" si="24"/>
        <v>-26474224</v>
      </c>
      <c r="AK88" s="82">
        <f t="shared" si="25"/>
        <v>-3148864</v>
      </c>
      <c r="AL88" s="82">
        <f t="shared" si="26"/>
        <v>0</v>
      </c>
      <c r="AM88" s="82">
        <f t="shared" si="27"/>
        <v>-1024360</v>
      </c>
      <c r="AN88" s="82">
        <f t="shared" si="28"/>
        <v>-22293656</v>
      </c>
      <c r="AO88" s="82">
        <f t="shared" si="29"/>
        <v>-7344</v>
      </c>
      <c r="AP88" s="82">
        <f t="shared" si="30"/>
        <v>-78.684844100000007</v>
      </c>
      <c r="AQ88" s="83">
        <f t="shared" si="31"/>
        <v>-81.187899000000002</v>
      </c>
      <c r="AR88" s="83">
        <f t="shared" si="32"/>
        <v>-32.693013299999997</v>
      </c>
      <c r="AS88" s="83">
        <f t="shared" si="33"/>
        <v>-39.173815300000001</v>
      </c>
      <c r="AT88" s="83">
        <f t="shared" si="34"/>
        <v>-39.475410199999999</v>
      </c>
      <c r="AU88" s="83">
        <f t="shared" si="35"/>
        <v>-51.413178899999998</v>
      </c>
      <c r="AV88" s="84">
        <f t="shared" si="36"/>
        <v>-31.6564896</v>
      </c>
    </row>
    <row r="89" spans="33:48" x14ac:dyDescent="0.15">
      <c r="AG89" s="82" t="e">
        <f t="shared" si="21"/>
        <v>#VALUE!</v>
      </c>
      <c r="AH89" s="82" t="e">
        <f t="shared" si="22"/>
        <v>#VALUE!</v>
      </c>
      <c r="AI89" s="82">
        <f t="shared" si="23"/>
        <v>-459760</v>
      </c>
      <c r="AJ89" s="82">
        <f t="shared" si="24"/>
        <v>-4229288</v>
      </c>
      <c r="AK89" s="82">
        <f t="shared" si="25"/>
        <v>-547672</v>
      </c>
      <c r="AL89" s="82">
        <f t="shared" si="26"/>
        <v>0</v>
      </c>
      <c r="AM89" s="82">
        <f t="shared" si="27"/>
        <v>-640232</v>
      </c>
      <c r="AN89" s="82">
        <f t="shared" si="28"/>
        <v>-3034568</v>
      </c>
      <c r="AO89" s="82">
        <f t="shared" si="29"/>
        <v>-6816</v>
      </c>
      <c r="AP89" s="82">
        <f t="shared" si="30"/>
        <v>-70.336717199999995</v>
      </c>
      <c r="AQ89" s="83">
        <f t="shared" si="31"/>
        <v>-71.392366100000004</v>
      </c>
      <c r="AR89" s="83">
        <f t="shared" si="32"/>
        <v>-32.416777099999997</v>
      </c>
      <c r="AS89" s="83">
        <f t="shared" si="33"/>
        <v>-42.232585100000001</v>
      </c>
      <c r="AT89" s="83">
        <f t="shared" si="34"/>
        <v>-42.570286699999997</v>
      </c>
      <c r="AU89" s="83">
        <f t="shared" si="35"/>
        <v>-46.517826399999997</v>
      </c>
      <c r="AV89" s="84">
        <f t="shared" si="36"/>
        <v>-31.211782100000001</v>
      </c>
    </row>
    <row r="90" spans="33:48" x14ac:dyDescent="0.15">
      <c r="AG90" s="82" t="e">
        <f t="shared" si="21"/>
        <v>#VALUE!</v>
      </c>
      <c r="AH90" s="82" t="e">
        <f t="shared" si="22"/>
        <v>#VALUE!</v>
      </c>
      <c r="AI90" s="82">
        <f t="shared" si="23"/>
        <v>-459760</v>
      </c>
      <c r="AJ90" s="82">
        <f t="shared" si="24"/>
        <v>-6450328</v>
      </c>
      <c r="AK90" s="82">
        <f t="shared" si="25"/>
        <v>-593256</v>
      </c>
      <c r="AL90" s="82">
        <f t="shared" si="26"/>
        <v>0</v>
      </c>
      <c r="AM90" s="82">
        <f t="shared" si="27"/>
        <v>-681336</v>
      </c>
      <c r="AN90" s="82">
        <f t="shared" si="28"/>
        <v>-5168904</v>
      </c>
      <c r="AO90" s="82">
        <f t="shared" si="29"/>
        <v>-6832</v>
      </c>
      <c r="AP90" s="82">
        <f t="shared" si="30"/>
        <v>-70.495171400000004</v>
      </c>
      <c r="AQ90" s="83">
        <f t="shared" si="31"/>
        <v>-71.560908800000007</v>
      </c>
      <c r="AR90" s="83">
        <f t="shared" si="32"/>
        <v>-33.008197500000001</v>
      </c>
      <c r="AS90" s="83">
        <f t="shared" si="33"/>
        <v>-42.483142299999997</v>
      </c>
      <c r="AT90" s="83">
        <f t="shared" si="34"/>
        <v>-42.842985300000002</v>
      </c>
      <c r="AU90" s="83">
        <f t="shared" si="35"/>
        <v>-46.488631099999999</v>
      </c>
      <c r="AV90" s="84">
        <f t="shared" si="36"/>
        <v>-31.5088747</v>
      </c>
    </row>
    <row r="91" spans="33:48" x14ac:dyDescent="0.15">
      <c r="AG91" s="82" t="e">
        <f t="shared" si="21"/>
        <v>#VALUE!</v>
      </c>
      <c r="AH91" s="82" t="e">
        <f t="shared" si="22"/>
        <v>#VALUE!</v>
      </c>
      <c r="AI91" s="82">
        <f t="shared" si="23"/>
        <v>-1842080</v>
      </c>
      <c r="AJ91" s="82">
        <f t="shared" si="24"/>
        <v>-12060768</v>
      </c>
      <c r="AK91" s="82">
        <f t="shared" si="25"/>
        <v>-1581312</v>
      </c>
      <c r="AL91" s="82">
        <f t="shared" si="26"/>
        <v>0</v>
      </c>
      <c r="AM91" s="82">
        <f t="shared" si="27"/>
        <v>-835056</v>
      </c>
      <c r="AN91" s="82">
        <f t="shared" si="28"/>
        <v>-9637056</v>
      </c>
      <c r="AO91" s="82">
        <f t="shared" si="29"/>
        <v>-7344</v>
      </c>
      <c r="AP91" s="82">
        <f t="shared" si="30"/>
        <v>-75.847676500000006</v>
      </c>
      <c r="AQ91" s="83">
        <f t="shared" si="31"/>
        <v>-77.570646199999999</v>
      </c>
      <c r="AR91" s="83">
        <f t="shared" si="32"/>
        <v>-34.160414799999998</v>
      </c>
      <c r="AS91" s="83">
        <f t="shared" si="33"/>
        <v>-42.8309158</v>
      </c>
      <c r="AT91" s="83">
        <f t="shared" si="34"/>
        <v>-43.343883499999997</v>
      </c>
      <c r="AU91" s="83">
        <f t="shared" si="35"/>
        <v>-49.906895499999997</v>
      </c>
      <c r="AV91" s="84">
        <f t="shared" si="36"/>
        <v>-33.214114899999998</v>
      </c>
    </row>
    <row r="92" spans="33:48" x14ac:dyDescent="0.15">
      <c r="AG92" s="82" t="e">
        <f t="shared" si="21"/>
        <v>#VALUE!</v>
      </c>
      <c r="AH92" s="82" t="e">
        <f t="shared" si="22"/>
        <v>#VALUE!</v>
      </c>
      <c r="AI92" s="82">
        <f t="shared" si="23"/>
        <v>-1842080</v>
      </c>
      <c r="AJ92" s="82">
        <f t="shared" si="24"/>
        <v>-17642672</v>
      </c>
      <c r="AK92" s="82">
        <f t="shared" si="25"/>
        <v>-1754240</v>
      </c>
      <c r="AL92" s="82">
        <f t="shared" si="26"/>
        <v>0</v>
      </c>
      <c r="AM92" s="82">
        <f t="shared" si="27"/>
        <v>-1062528</v>
      </c>
      <c r="AN92" s="82">
        <f t="shared" si="28"/>
        <v>-14818560</v>
      </c>
      <c r="AO92" s="82">
        <f t="shared" si="29"/>
        <v>-7344</v>
      </c>
      <c r="AP92" s="82">
        <f t="shared" si="30"/>
        <v>-76.773834300000004</v>
      </c>
      <c r="AQ92" s="83">
        <f t="shared" si="31"/>
        <v>-78.6486673</v>
      </c>
      <c r="AR92" s="83">
        <f t="shared" si="32"/>
        <v>-34.851198199999999</v>
      </c>
      <c r="AS92" s="83">
        <f t="shared" si="33"/>
        <v>-42.963987000000003</v>
      </c>
      <c r="AT92" s="83">
        <f t="shared" si="34"/>
        <v>-43.553701099999998</v>
      </c>
      <c r="AU92" s="83">
        <f t="shared" si="35"/>
        <v>-50.605446399999998</v>
      </c>
      <c r="AV92" s="84">
        <f t="shared" si="36"/>
        <v>-33.8123492</v>
      </c>
    </row>
    <row r="93" spans="33:48" ht="15.75" customHeight="1" thickBot="1" x14ac:dyDescent="0.2">
      <c r="AG93" s="85" t="e">
        <f t="shared" si="21"/>
        <v>#VALUE!</v>
      </c>
      <c r="AH93" s="85" t="e">
        <f t="shared" si="22"/>
        <v>#VALUE!</v>
      </c>
      <c r="AI93" s="85">
        <f t="shared" si="23"/>
        <v>-3684832</v>
      </c>
      <c r="AJ93" s="85">
        <f t="shared" si="24"/>
        <v>-26591904</v>
      </c>
      <c r="AK93" s="85">
        <f t="shared" si="25"/>
        <v>-2721336</v>
      </c>
      <c r="AL93" s="85">
        <f t="shared" si="26"/>
        <v>0</v>
      </c>
      <c r="AM93" s="85">
        <f t="shared" si="27"/>
        <v>-1259200</v>
      </c>
      <c r="AN93" s="85">
        <f t="shared" si="28"/>
        <v>-22604024</v>
      </c>
      <c r="AO93" s="85">
        <f t="shared" si="29"/>
        <v>-7344</v>
      </c>
      <c r="AP93" s="85">
        <f t="shared" si="30"/>
        <v>-79.230472300000002</v>
      </c>
      <c r="AQ93" s="86">
        <f t="shared" si="31"/>
        <v>-81.6120442</v>
      </c>
      <c r="AR93" s="86">
        <f t="shared" si="32"/>
        <v>-35.740381399999997</v>
      </c>
      <c r="AS93" s="86">
        <f t="shared" si="33"/>
        <v>-43.1065757</v>
      </c>
      <c r="AT93" s="86">
        <f t="shared" si="34"/>
        <v>-43.764670099999996</v>
      </c>
      <c r="AU93" s="86">
        <f t="shared" si="35"/>
        <v>-51.776747200000003</v>
      </c>
      <c r="AV93" s="87">
        <f t="shared" si="36"/>
        <v>-34.834524700000003</v>
      </c>
    </row>
  </sheetData>
  <mergeCells count="52">
    <mergeCell ref="A1:H1"/>
    <mergeCell ref="Z2:AA2"/>
    <mergeCell ref="U2:Y2"/>
    <mergeCell ref="AE1:AX1"/>
    <mergeCell ref="AO2:AO3"/>
    <mergeCell ref="P2:P3"/>
    <mergeCell ref="N2:N3"/>
    <mergeCell ref="AN2:AN3"/>
    <mergeCell ref="O2:O3"/>
    <mergeCell ref="R2:R3"/>
    <mergeCell ref="L2:L3"/>
    <mergeCell ref="E2:E3"/>
    <mergeCell ref="J1:AC1"/>
    <mergeCell ref="AG2:AG3"/>
    <mergeCell ref="AF2:AF3"/>
    <mergeCell ref="AI2:AI3"/>
    <mergeCell ref="B2:B3"/>
    <mergeCell ref="BN2:BN3"/>
    <mergeCell ref="AH2:AH3"/>
    <mergeCell ref="M2:M3"/>
    <mergeCell ref="BJ2:BL2"/>
    <mergeCell ref="AX2:AX3"/>
    <mergeCell ref="BH2:BI2"/>
    <mergeCell ref="T2:T3"/>
    <mergeCell ref="AJ2:AJ3"/>
    <mergeCell ref="J2:J3"/>
    <mergeCell ref="D2:D3"/>
    <mergeCell ref="A2:A3"/>
    <mergeCell ref="BM2:BM3"/>
    <mergeCell ref="F2:F3"/>
    <mergeCell ref="AL2:AL3"/>
    <mergeCell ref="C2:C3"/>
    <mergeCell ref="AE2:AE3"/>
    <mergeCell ref="AB2:AB3"/>
    <mergeCell ref="AC2:AC3"/>
    <mergeCell ref="BE2:BF2"/>
    <mergeCell ref="AW2:AW3"/>
    <mergeCell ref="Q2:Q3"/>
    <mergeCell ref="AK2:AK3"/>
    <mergeCell ref="H2:H3"/>
    <mergeCell ref="AP2:AT2"/>
    <mergeCell ref="G2:G3"/>
    <mergeCell ref="K2:K3"/>
    <mergeCell ref="BT2:BT3"/>
    <mergeCell ref="AZ2:BD2"/>
    <mergeCell ref="AU2:AV2"/>
    <mergeCell ref="S2:S3"/>
    <mergeCell ref="BS2:BS3"/>
    <mergeCell ref="AM2:AM3"/>
    <mergeCell ref="BR2:BR3"/>
    <mergeCell ref="BQ2:BQ3"/>
    <mergeCell ref="BP2:BP3"/>
  </mergeCells>
  <phoneticPr fontId="2" type="noConversion"/>
  <conditionalFormatting sqref="AZ5:AZ48">
    <cfRule type="cellIs" dxfId="149" priority="33" operator="greaterThanOrEqual">
      <formula>0.03</formula>
    </cfRule>
    <cfRule type="cellIs" dxfId="148" priority="34" operator="lessThanOrEqual">
      <formula>-0.03</formula>
    </cfRule>
  </conditionalFormatting>
  <conditionalFormatting sqref="BA5:BA48">
    <cfRule type="cellIs" dxfId="147" priority="35" operator="greaterThanOrEqual">
      <formula>0.03</formula>
    </cfRule>
    <cfRule type="cellIs" dxfId="146" priority="36" operator="lessThanOrEqual">
      <formula>-0.03</formula>
    </cfRule>
  </conditionalFormatting>
  <conditionalFormatting sqref="BB5:BB48">
    <cfRule type="cellIs" dxfId="145" priority="43" operator="greaterThanOrEqual">
      <formula>0.03</formula>
    </cfRule>
    <cfRule type="cellIs" dxfId="144" priority="44" operator="lessThanOrEqual">
      <formula>-0.03</formula>
    </cfRule>
  </conditionalFormatting>
  <conditionalFormatting sqref="BC5:BC48">
    <cfRule type="cellIs" dxfId="143" priority="45" operator="greaterThanOrEqual">
      <formula>0.03</formula>
    </cfRule>
    <cfRule type="cellIs" dxfId="142" priority="46" operator="lessThanOrEqual">
      <formula>-0.03</formula>
    </cfRule>
  </conditionalFormatting>
  <conditionalFormatting sqref="BD5:BD48">
    <cfRule type="cellIs" dxfId="141" priority="37" operator="greaterThanOrEqual">
      <formula>0.03</formula>
    </cfRule>
    <cfRule type="cellIs" dxfId="140" priority="38" operator="lessThanOrEqual">
      <formula>-0.03</formula>
    </cfRule>
  </conditionalFormatting>
  <conditionalFormatting sqref="BE5:BE48">
    <cfRule type="cellIs" dxfId="139" priority="39" operator="greaterThanOrEqual">
      <formula>0.03</formula>
    </cfRule>
    <cfRule type="cellIs" dxfId="138" priority="40" operator="lessThanOrEqual">
      <formula>-0.03</formula>
    </cfRule>
  </conditionalFormatting>
  <conditionalFormatting sqref="BF5:BF48">
    <cfRule type="cellIs" dxfId="137" priority="41" operator="greaterThanOrEqual">
      <formula>0.03</formula>
    </cfRule>
    <cfRule type="cellIs" dxfId="136" priority="42" operator="lessThanOrEqual">
      <formula>-0.03</formula>
    </cfRule>
  </conditionalFormatting>
  <conditionalFormatting sqref="J5:J45">
    <cfRule type="expression" dxfId="135" priority="32">
      <formula>OR(J5 &lt; H5 * 0.9, J5 &gt; H5)</formula>
    </cfRule>
  </conditionalFormatting>
  <conditionalFormatting sqref="AE5:AE45">
    <cfRule type="expression" dxfId="134" priority="31">
      <formula>OR(AE5 &lt; H5 * 0.9, AE5 &gt; H5)</formula>
    </cfRule>
  </conditionalFormatting>
  <conditionalFormatting sqref="BP5:BP48">
    <cfRule type="cellIs" dxfId="133" priority="29" operator="greaterThanOrEqual">
      <formula>0.001</formula>
    </cfRule>
    <cfRule type="cellIs" dxfId="132" priority="30" operator="lessThanOrEqual">
      <formula>-0.001</formula>
    </cfRule>
  </conditionalFormatting>
  <conditionalFormatting sqref="BQ5:BQ48">
    <cfRule type="cellIs" dxfId="131" priority="27" operator="greaterThanOrEqual">
      <formula>0.001</formula>
    </cfRule>
    <cfRule type="cellIs" dxfId="130" priority="28" operator="lessThanOrEqual">
      <formula>-0.001</formula>
    </cfRule>
  </conditionalFormatting>
  <conditionalFormatting sqref="BR5:BR48">
    <cfRule type="cellIs" dxfId="129" priority="25" operator="greaterThanOrEqual">
      <formula>0.001</formula>
    </cfRule>
    <cfRule type="cellIs" dxfId="128" priority="26" operator="lessThanOrEqual">
      <formula>-0.001</formula>
    </cfRule>
  </conditionalFormatting>
  <conditionalFormatting sqref="BS5:BS48">
    <cfRule type="cellIs" dxfId="127" priority="23" operator="greaterThanOrEqual">
      <formula>0.001</formula>
    </cfRule>
    <cfRule type="cellIs" dxfId="126" priority="24" operator="lessThanOrEqual">
      <formula>-0.001</formula>
    </cfRule>
  </conditionalFormatting>
  <conditionalFormatting sqref="AG54:AQ93">
    <cfRule type="cellIs" dxfId="125" priority="21" operator="lessThan">
      <formula>0</formula>
    </cfRule>
    <cfRule type="cellIs" dxfId="124" priority="22" operator="greaterThan">
      <formula>0</formula>
    </cfRule>
  </conditionalFormatting>
  <conditionalFormatting sqref="AR54:AV93">
    <cfRule type="cellIs" dxfId="123" priority="19" operator="lessThan">
      <formula>0</formula>
    </cfRule>
    <cfRule type="cellIs" dxfId="122" priority="20" operator="greaterThan">
      <formula>0</formula>
    </cfRule>
  </conditionalFormatting>
  <conditionalFormatting sqref="L5:L44">
    <cfRule type="expression" dxfId="121" priority="18">
      <formula>NOT(L5=O5)</formula>
    </cfRule>
  </conditionalFormatting>
  <conditionalFormatting sqref="AG5:AG44">
    <cfRule type="expression" dxfId="120" priority="17">
      <formula>NOT(AG5=AJ5)</formula>
    </cfRule>
  </conditionalFormatting>
  <conditionalFormatting sqref="BH5:BH48">
    <cfRule type="cellIs" dxfId="119" priority="7" operator="greaterThanOrEqual">
      <formula>0.03</formula>
    </cfRule>
    <cfRule type="cellIs" dxfId="118" priority="8" operator="lessThanOrEqual">
      <formula>-0.03</formula>
    </cfRule>
  </conditionalFormatting>
  <conditionalFormatting sqref="BI5:BI48">
    <cfRule type="cellIs" dxfId="117" priority="3" operator="greaterThanOrEqual">
      <formula>0.03</formula>
    </cfRule>
    <cfRule type="cellIs" dxfId="116" priority="4" operator="lessThanOrEqual">
      <formula>-0.03</formula>
    </cfRule>
  </conditionalFormatting>
  <conditionalFormatting sqref="BJ5:BJ48">
    <cfRule type="cellIs" dxfId="115" priority="11" operator="greaterThanOrEqual">
      <formula>0.03</formula>
    </cfRule>
    <cfRule type="cellIs" dxfId="114" priority="12" operator="lessThanOrEqual">
      <formula>-0.03</formula>
    </cfRule>
  </conditionalFormatting>
  <conditionalFormatting sqref="BK5:BK48">
    <cfRule type="cellIs" dxfId="113" priority="13" operator="greaterThanOrEqual">
      <formula>0.03</formula>
    </cfRule>
    <cfRule type="cellIs" dxfId="112" priority="14" operator="lessThanOrEqual">
      <formula>-0.03</formula>
    </cfRule>
  </conditionalFormatting>
  <conditionalFormatting sqref="BL5:BL48">
    <cfRule type="cellIs" dxfId="111" priority="5" operator="greaterThanOrEqual">
      <formula>0.03</formula>
    </cfRule>
    <cfRule type="cellIs" dxfId="110" priority="6" operator="lessThanOrEqual">
      <formula>-0.03</formula>
    </cfRule>
  </conditionalFormatting>
  <conditionalFormatting sqref="BM5:BM48">
    <cfRule type="cellIs" dxfId="109" priority="15" operator="greaterThanOrEqual">
      <formula>0.03</formula>
    </cfRule>
    <cfRule type="cellIs" dxfId="108" priority="16" operator="lessThanOrEqual">
      <formula>-0.03</formula>
    </cfRule>
  </conditionalFormatting>
  <conditionalFormatting sqref="BN5:BN48">
    <cfRule type="cellIs" dxfId="107" priority="9" operator="greaterThanOrEqual">
      <formula>0.03</formula>
    </cfRule>
    <cfRule type="cellIs" dxfId="106" priority="10" operator="lessThanOrEqual">
      <formula>-0.03</formula>
    </cfRule>
  </conditionalFormatting>
  <conditionalFormatting sqref="BT5:BT48">
    <cfRule type="cellIs" dxfId="105" priority="1" operator="greaterThanOrEqual">
      <formula>0.001</formula>
    </cfRule>
    <cfRule type="cellIs" dxfId="104" priority="2" operator="lessThanOrEqual">
      <formula>-0.001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T93"/>
  <sheetViews>
    <sheetView zoomScale="80" zoomScaleNormal="80" workbookViewId="0">
      <pane xSplit="2" ySplit="4" topLeftCell="H8" activePane="bottomRight" state="frozen"/>
      <selection pane="topRight" activeCell="C1" sqref="C1"/>
      <selection pane="bottomLeft" activeCell="A5" sqref="A5"/>
      <selection pane="bottomRight" activeCell="V30" sqref="V30"/>
    </sheetView>
  </sheetViews>
  <sheetFormatPr defaultColWidth="9.125" defaultRowHeight="13.5" outlineLevelRow="1" x14ac:dyDescent="0.15"/>
  <cols>
    <col min="2" max="2" width="24.75" style="52" customWidth="1"/>
    <col min="4" max="5" width="10.75" style="52" customWidth="1"/>
    <col min="9" max="9" width="1.75" style="52" customWidth="1"/>
    <col min="11" max="11" width="10.75" style="52" customWidth="1"/>
    <col min="12" max="13" width="12.5" style="52" customWidth="1"/>
    <col min="14" max="14" width="10.75" style="52" customWidth="1"/>
    <col min="15" max="20" width="12.75" style="52" customWidth="1"/>
    <col min="21" max="27" width="11.75" style="52" customWidth="1"/>
    <col min="30" max="30" width="1.75" style="52" customWidth="1"/>
    <col min="32" max="32" width="10.75" style="52" customWidth="1"/>
    <col min="33" max="34" width="12.5" style="52" customWidth="1"/>
    <col min="35" max="35" width="10.75" style="52" customWidth="1"/>
    <col min="36" max="41" width="12.75" style="52" customWidth="1"/>
    <col min="42" max="48" width="11.75" style="52" customWidth="1"/>
    <col min="51" max="51" width="1.75" style="52" customWidth="1"/>
    <col min="54" max="58" width="11.75" style="52" customWidth="1"/>
    <col min="59" max="59" width="1.75" style="52" customWidth="1"/>
    <col min="62" max="66" width="11.75" style="52" customWidth="1"/>
    <col min="67" max="67" width="1.75" style="52" customWidth="1"/>
  </cols>
  <sheetData>
    <row r="1" spans="1:72" x14ac:dyDescent="0.15">
      <c r="A1" s="119" t="s">
        <v>427</v>
      </c>
      <c r="B1" s="107"/>
      <c r="C1" s="107"/>
      <c r="D1" s="107"/>
      <c r="E1" s="107"/>
      <c r="F1" s="107"/>
      <c r="G1" s="107"/>
      <c r="H1" s="107"/>
      <c r="J1" s="109" t="str">
        <f>Summary!C1</f>
        <v>v6.0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E1" s="115">
        <f>Summary!C2</f>
        <v>0</v>
      </c>
      <c r="AF1" s="107"/>
      <c r="AG1" s="107"/>
      <c r="AH1" s="107"/>
      <c r="AI1" s="107"/>
      <c r="AJ1" s="107"/>
      <c r="AK1" s="107"/>
      <c r="AL1" s="107"/>
      <c r="AM1" s="107"/>
      <c r="AN1" s="107"/>
      <c r="AO1" s="107"/>
      <c r="AP1" s="107"/>
      <c r="AQ1" s="107"/>
      <c r="AR1" s="107"/>
      <c r="AS1" s="107"/>
      <c r="AT1" s="107"/>
      <c r="AU1" s="107"/>
      <c r="AV1" s="107"/>
      <c r="AW1" s="107"/>
      <c r="AX1" s="107"/>
    </row>
    <row r="2" spans="1:72" ht="33" customHeight="1" thickBot="1" x14ac:dyDescent="0.2">
      <c r="A2" s="117" t="s">
        <v>159</v>
      </c>
      <c r="B2" s="118" t="s">
        <v>160</v>
      </c>
      <c r="C2" s="117" t="s">
        <v>378</v>
      </c>
      <c r="D2" s="118" t="s">
        <v>161</v>
      </c>
      <c r="E2" s="117" t="s">
        <v>162</v>
      </c>
      <c r="F2" s="118" t="s">
        <v>163</v>
      </c>
      <c r="G2" s="117" t="s">
        <v>164</v>
      </c>
      <c r="H2" s="118" t="s">
        <v>379</v>
      </c>
      <c r="J2" s="117" t="s">
        <v>129</v>
      </c>
      <c r="K2" s="118" t="s">
        <v>133</v>
      </c>
      <c r="L2" s="123" t="s">
        <v>122</v>
      </c>
      <c r="M2" s="118" t="s">
        <v>380</v>
      </c>
      <c r="N2" s="117" t="s">
        <v>83</v>
      </c>
      <c r="O2" s="118" t="s">
        <v>122</v>
      </c>
      <c r="P2" s="118" t="s">
        <v>381</v>
      </c>
      <c r="Q2" s="118" t="s">
        <v>382</v>
      </c>
      <c r="R2" s="118" t="s">
        <v>383</v>
      </c>
      <c r="S2" s="118" t="s">
        <v>384</v>
      </c>
      <c r="T2" s="118" t="s">
        <v>385</v>
      </c>
      <c r="U2" s="120" t="s">
        <v>386</v>
      </c>
      <c r="V2" s="107"/>
      <c r="W2" s="107"/>
      <c r="X2" s="107"/>
      <c r="Y2" s="107"/>
      <c r="Z2" s="121" t="s">
        <v>387</v>
      </c>
      <c r="AA2" s="107"/>
      <c r="AB2" s="117" t="s">
        <v>124</v>
      </c>
      <c r="AC2" s="118" t="s">
        <v>104</v>
      </c>
      <c r="AE2" s="117" t="s">
        <v>129</v>
      </c>
      <c r="AF2" s="118" t="s">
        <v>133</v>
      </c>
      <c r="AG2" s="123" t="s">
        <v>122</v>
      </c>
      <c r="AH2" s="118" t="s">
        <v>380</v>
      </c>
      <c r="AI2" s="117" t="s">
        <v>83</v>
      </c>
      <c r="AJ2" s="118" t="s">
        <v>122</v>
      </c>
      <c r="AK2" s="118" t="s">
        <v>381</v>
      </c>
      <c r="AL2" s="118" t="s">
        <v>382</v>
      </c>
      <c r="AM2" s="118" t="s">
        <v>383</v>
      </c>
      <c r="AN2" s="118" t="s">
        <v>384</v>
      </c>
      <c r="AO2" s="118" t="s">
        <v>385</v>
      </c>
      <c r="AP2" s="120" t="s">
        <v>386</v>
      </c>
      <c r="AQ2" s="107"/>
      <c r="AR2" s="107"/>
      <c r="AS2" s="107"/>
      <c r="AT2" s="107"/>
      <c r="AU2" s="121" t="s">
        <v>387</v>
      </c>
      <c r="AV2" s="107"/>
      <c r="AW2" s="117" t="s">
        <v>124</v>
      </c>
      <c r="AX2" s="118" t="s">
        <v>104</v>
      </c>
      <c r="AZ2" s="120" t="s">
        <v>15</v>
      </c>
      <c r="BA2" s="107"/>
      <c r="BB2" s="107"/>
      <c r="BC2" s="107"/>
      <c r="BD2" s="107"/>
      <c r="BE2" s="121" t="s">
        <v>16</v>
      </c>
      <c r="BF2" s="107"/>
      <c r="BH2" s="120" t="s">
        <v>388</v>
      </c>
      <c r="BI2" s="107"/>
      <c r="BJ2" s="122" t="s">
        <v>389</v>
      </c>
      <c r="BK2" s="107"/>
      <c r="BL2" s="107"/>
      <c r="BM2" s="117" t="s">
        <v>428</v>
      </c>
      <c r="BN2" s="118" t="s">
        <v>391</v>
      </c>
      <c r="BP2" s="117" t="s">
        <v>392</v>
      </c>
      <c r="BQ2" s="117" t="s">
        <v>393</v>
      </c>
      <c r="BR2" s="117" t="s">
        <v>394</v>
      </c>
      <c r="BS2" s="117" t="s">
        <v>395</v>
      </c>
      <c r="BT2" s="117" t="s">
        <v>396</v>
      </c>
    </row>
    <row r="3" spans="1:72" ht="33" customHeight="1" thickBot="1" x14ac:dyDescent="0.2">
      <c r="A3" s="108"/>
      <c r="B3" s="108"/>
      <c r="C3" s="108"/>
      <c r="D3" s="108"/>
      <c r="E3" s="108"/>
      <c r="F3" s="108"/>
      <c r="G3" s="108"/>
      <c r="H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58" t="s">
        <v>17</v>
      </c>
      <c r="V3" s="58" t="s">
        <v>18</v>
      </c>
      <c r="W3" s="58" t="s">
        <v>19</v>
      </c>
      <c r="X3" s="58" t="s">
        <v>20</v>
      </c>
      <c r="Y3" s="58" t="s">
        <v>21</v>
      </c>
      <c r="Z3" s="59" t="s">
        <v>22</v>
      </c>
      <c r="AA3" s="59" t="s">
        <v>19</v>
      </c>
      <c r="AB3" s="108"/>
      <c r="AC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58" t="s">
        <v>17</v>
      </c>
      <c r="AQ3" s="58" t="s">
        <v>18</v>
      </c>
      <c r="AR3" s="58" t="s">
        <v>19</v>
      </c>
      <c r="AS3" s="58" t="s">
        <v>20</v>
      </c>
      <c r="AT3" s="58" t="s">
        <v>21</v>
      </c>
      <c r="AU3" s="59" t="s">
        <v>22</v>
      </c>
      <c r="AV3" s="59" t="s">
        <v>19</v>
      </c>
      <c r="AW3" s="108"/>
      <c r="AX3" s="108"/>
      <c r="AZ3" s="58" t="s">
        <v>17</v>
      </c>
      <c r="BA3" s="58" t="s">
        <v>18</v>
      </c>
      <c r="BB3" s="58" t="s">
        <v>19</v>
      </c>
      <c r="BC3" s="58" t="s">
        <v>20</v>
      </c>
      <c r="BD3" s="58" t="s">
        <v>21</v>
      </c>
      <c r="BE3" s="59" t="s">
        <v>22</v>
      </c>
      <c r="BF3" s="59" t="s">
        <v>19</v>
      </c>
      <c r="BH3" s="58" t="s">
        <v>17</v>
      </c>
      <c r="BI3" s="58" t="s">
        <v>18</v>
      </c>
      <c r="BJ3" s="39" t="s">
        <v>19</v>
      </c>
      <c r="BK3" s="39" t="s">
        <v>20</v>
      </c>
      <c r="BL3" s="39" t="s">
        <v>21</v>
      </c>
      <c r="BM3" s="108"/>
      <c r="BN3" s="108"/>
      <c r="BP3" s="108"/>
      <c r="BQ3" s="108"/>
      <c r="BR3" s="108"/>
      <c r="BS3" s="108"/>
      <c r="BT3" s="108"/>
    </row>
    <row r="4" spans="1:72" ht="54" hidden="1" customHeight="1" thickBot="1" x14ac:dyDescent="0.2">
      <c r="A4" s="6" t="s">
        <v>169</v>
      </c>
      <c r="B4" s="7" t="s">
        <v>170</v>
      </c>
      <c r="C4" s="6" t="s">
        <v>397</v>
      </c>
      <c r="D4" s="7" t="s">
        <v>171</v>
      </c>
      <c r="E4" s="6" t="s">
        <v>172</v>
      </c>
      <c r="F4" s="7" t="s">
        <v>173</v>
      </c>
      <c r="G4" s="6" t="s">
        <v>174</v>
      </c>
      <c r="H4" s="7" t="s">
        <v>398</v>
      </c>
      <c r="J4" s="6" t="s">
        <v>175</v>
      </c>
      <c r="K4" s="7" t="s">
        <v>176</v>
      </c>
      <c r="L4" s="7"/>
      <c r="M4" s="7"/>
      <c r="N4" s="6" t="s">
        <v>399</v>
      </c>
      <c r="O4" s="7" t="s">
        <v>177</v>
      </c>
      <c r="P4" s="7"/>
      <c r="Q4" s="7"/>
      <c r="R4" s="7"/>
      <c r="S4" s="7"/>
      <c r="T4" s="7"/>
      <c r="U4" s="6" t="s">
        <v>400</v>
      </c>
      <c r="V4" s="6" t="s">
        <v>401</v>
      </c>
      <c r="W4" s="6" t="s">
        <v>402</v>
      </c>
      <c r="X4" s="6" t="s">
        <v>403</v>
      </c>
      <c r="Y4" s="6" t="s">
        <v>404</v>
      </c>
      <c r="Z4" s="7" t="s">
        <v>405</v>
      </c>
      <c r="AA4" s="7" t="s">
        <v>406</v>
      </c>
      <c r="AB4" s="6" t="s">
        <v>178</v>
      </c>
      <c r="AC4" s="7" t="s">
        <v>179</v>
      </c>
      <c r="AE4" s="6" t="s">
        <v>180</v>
      </c>
      <c r="AF4" s="7" t="s">
        <v>181</v>
      </c>
      <c r="AG4" s="7"/>
      <c r="AH4" s="7"/>
      <c r="AI4" s="6" t="s">
        <v>407</v>
      </c>
      <c r="AJ4" s="7" t="s">
        <v>182</v>
      </c>
      <c r="AK4" s="7"/>
      <c r="AL4" s="7"/>
      <c r="AM4" s="7"/>
      <c r="AN4" s="7"/>
      <c r="AO4" s="7"/>
      <c r="AP4" s="6" t="s">
        <v>408</v>
      </c>
      <c r="AQ4" s="6" t="s">
        <v>409</v>
      </c>
      <c r="AR4" s="6" t="s">
        <v>410</v>
      </c>
      <c r="AS4" s="6" t="s">
        <v>411</v>
      </c>
      <c r="AT4" s="6" t="s">
        <v>412</v>
      </c>
      <c r="AU4" s="7" t="s">
        <v>413</v>
      </c>
      <c r="AV4" s="7" t="s">
        <v>414</v>
      </c>
      <c r="AW4" s="6" t="s">
        <v>183</v>
      </c>
      <c r="AX4" s="7" t="s">
        <v>184</v>
      </c>
      <c r="AZ4" s="6" t="s">
        <v>415</v>
      </c>
      <c r="BA4" s="6" t="s">
        <v>416</v>
      </c>
      <c r="BB4" s="6" t="s">
        <v>417</v>
      </c>
      <c r="BC4" s="6" t="s">
        <v>418</v>
      </c>
      <c r="BD4" s="6" t="s">
        <v>419</v>
      </c>
      <c r="BE4" s="7" t="s">
        <v>420</v>
      </c>
      <c r="BF4" s="7" t="s">
        <v>421</v>
      </c>
      <c r="BH4" s="6" t="s">
        <v>415</v>
      </c>
      <c r="BI4" s="6" t="s">
        <v>416</v>
      </c>
      <c r="BJ4" s="6" t="s">
        <v>417</v>
      </c>
      <c r="BK4" s="6" t="s">
        <v>418</v>
      </c>
      <c r="BL4" s="6" t="s">
        <v>419</v>
      </c>
      <c r="BM4" s="7" t="s">
        <v>420</v>
      </c>
      <c r="BN4" s="7" t="s">
        <v>421</v>
      </c>
    </row>
    <row r="5" spans="1:72" ht="15" customHeight="1" x14ac:dyDescent="0.15">
      <c r="A5" s="8" t="s">
        <v>186</v>
      </c>
      <c r="B5" s="8" t="s">
        <v>32</v>
      </c>
      <c r="C5" s="10" t="s">
        <v>422</v>
      </c>
      <c r="D5" s="8">
        <v>11997440</v>
      </c>
      <c r="E5" s="9">
        <v>10</v>
      </c>
      <c r="F5" s="10">
        <v>32</v>
      </c>
      <c r="G5" s="10">
        <v>30</v>
      </c>
      <c r="H5" s="10">
        <v>4</v>
      </c>
      <c r="J5" s="63">
        <f>IF(OR(ISBLANK(O5),ISBLANK(G5)),"·",O5*G5/F5/1000000)</f>
        <v>3.9793949999999998</v>
      </c>
      <c r="K5" s="11">
        <f>IF(ISBLANK(O5),"·",O5/D5)</f>
        <v>0.35379947722180732</v>
      </c>
      <c r="L5" s="10">
        <f>IF(OR(ISBLANK(M5),ISBLANK(S5),ISBLANK(T5)),".",M5+S5+T5)</f>
        <v>4244688</v>
      </c>
      <c r="M5" s="10">
        <f>IF(OR(ISBLANK(Q5),ISBLANK(P5),ISBLANK(R5)),".",P5+Q5+R5)</f>
        <v>1399536</v>
      </c>
      <c r="N5" s="25">
        <v>603968</v>
      </c>
      <c r="O5" s="12">
        <v>4244688</v>
      </c>
      <c r="P5" s="12">
        <v>823144</v>
      </c>
      <c r="Q5" s="12">
        <v>0</v>
      </c>
      <c r="R5" s="12">
        <v>576392</v>
      </c>
      <c r="S5" s="12">
        <v>2838080</v>
      </c>
      <c r="T5" s="12">
        <v>7072</v>
      </c>
      <c r="U5" s="26">
        <v>67.553949099999997</v>
      </c>
      <c r="V5" s="26">
        <v>68.455112</v>
      </c>
      <c r="W5" s="26">
        <v>27.8940439</v>
      </c>
      <c r="X5" s="26">
        <v>33.582960700000001</v>
      </c>
      <c r="Y5" s="26">
        <v>32.973177800000002</v>
      </c>
      <c r="Z5" s="26">
        <v>48.518529899999997</v>
      </c>
      <c r="AA5" s="26">
        <v>26.639871100000001</v>
      </c>
      <c r="AB5" s="64">
        <v>1163.815284</v>
      </c>
      <c r="AC5" s="64">
        <v>3.882142</v>
      </c>
      <c r="AE5" s="63" t="str">
        <f>IF(OR(ISBLANK(AJ5),ISBLANK(G5)),"·",AJ5*G5/F5/1000000)</f>
        <v>·</v>
      </c>
      <c r="AF5" s="11" t="str">
        <f>IF(ISBLANK(AJ5),"·",AJ5/D5)</f>
        <v>·</v>
      </c>
      <c r="AG5" s="10" t="str">
        <f>IF(OR(ISBLANK(AH5),ISBLANK(AN5),ISBLANK(AO5)),".",AH5+AN5+AO5)</f>
        <v>.</v>
      </c>
      <c r="AH5" s="10" t="str">
        <f>IF(OR(ISBLANK(AL5),ISBLANK(AK5),ISBLANK(AM5)),".",AK5+AL5+AM5)</f>
        <v>.</v>
      </c>
      <c r="AI5" s="25"/>
      <c r="AJ5" s="12"/>
      <c r="AK5" s="12"/>
      <c r="AL5" s="12"/>
      <c r="AM5" s="12"/>
      <c r="AN5" s="12"/>
      <c r="AO5" s="12"/>
      <c r="AP5" s="26"/>
      <c r="AQ5" s="26"/>
      <c r="AR5" s="26"/>
      <c r="AS5" s="26"/>
      <c r="AT5" s="26"/>
      <c r="AU5" s="26"/>
      <c r="AV5" s="26"/>
      <c r="AW5" s="64"/>
      <c r="AX5" s="64"/>
      <c r="AZ5" s="65" t="str">
        <f t="array" ref="AZ5">IF( OR(AND(ISBLANK(L5:L9)),AND(ISBLANK(AG5:AG9)), AND(ISBLANK(U5:U9)),AND(ISBLANK(AP5:AP9))), "·", bdRateExtend( L5:L9,U5:U9, AG5:AG9,AP5:AP9))</f>
        <v>·</v>
      </c>
      <c r="BA5" s="65" t="str">
        <f t="array" ref="BA5">IF( OR(AND(ISBLANK(L5:L9)),AND(ISBLANK(AG5:AG9)), AND(ISBLANK(V5:V9)),AND(ISBLANK(AQ5:AQ9))), "·", bdRateExtend( L5:L9,V5:V9, AG5:AG9,AQ5:AQ9))</f>
        <v>·</v>
      </c>
      <c r="BB5" s="65" t="str">
        <f t="array" ref="BB5">IF( OR(AND(ISBLANK(L5:L9)),AND(ISBLANK(AG5:AG9)), AND(ISBLANK(W5:W9)),AND(ISBLANK(AR5:AR9))), "·", bdRateExtend( L5:L9,W5:W9, AG5:AG9,AR5:AR9))</f>
        <v>·</v>
      </c>
      <c r="BC5" s="65" t="str">
        <f t="array" ref="BC5">IF( OR(AND(ISBLANK(L5:L9)),AND(ISBLANK(AG5:AG9)), AND(ISBLANK(X5:X9)),AND(ISBLANK(AS5:AS9))), "·", bdRateExtend( L5:L9,X5:X9, AG5:AG9,AS5:AS9))</f>
        <v>·</v>
      </c>
      <c r="BD5" s="65" t="str">
        <f t="array" ref="BD5">IF( OR(AND(ISBLANK(L5:L9)),AND(ISBLANK(AG5:AG9)), AND(ISBLANK(Y5:Y9)),AND(ISBLANK(AT5:AT9))), "·", bdRateExtend( L5:L9,Y5:Y9, AG5:AG9,AT5:AT9))</f>
        <v>·</v>
      </c>
      <c r="BE5" s="65" t="str">
        <f t="array" ref="BE5">IF( OR(AND(ISBLANK(L5:L9)),AND(ISBLANK(AG5:AG9)), AND(ISBLANK(Z5:Z9)),AND(ISBLANK(AU5:AU9))), "·", bdRateExtend( L5:L9,Z5:Z9, AG5:AG9,AU5:AU9))</f>
        <v>·</v>
      </c>
      <c r="BF5" s="65" t="str">
        <f t="array" ref="BF5">IF( OR(AND(ISBLANK(L5:L9)),AND(ISBLANK(AG5:AG9)), AND(ISBLANK(AA5:AA9)),AND(ISBLANK(AV5:AV9))), "·", bdRateExtend( L5:L9,AA5:AA9, AG5:AG9,AV5:AV9))</f>
        <v>·</v>
      </c>
      <c r="BH5" s="65" t="str">
        <f t="array" ref="BH5">IF( OR(AND(ISBLANK(M5:M9)),AND(ISBLANK(AH5:AH9)), AND(ISBLANK(U5:U9)),AND(ISBLANK(AP5:AP9))), "·", bdRateExtend( M5:M9,U5:U9, AH5:AH9,AP5:AP9))</f>
        <v>·</v>
      </c>
      <c r="BI5" s="65" t="str">
        <f t="array" ref="BI5">IF( OR(AND(ISBLANK(M5:M9)),AND(ISBLANK(AH5:AH9)), AND(ISBLANK(V5:V9)),AND(ISBLANK(AQ5:AQ9))), "·", bdRateExtend( M5:M9,V5:V9, AH5:AH9,AQ5:AQ9))</f>
        <v>·</v>
      </c>
      <c r="BJ5" s="65" t="str">
        <f t="array" ref="BJ5">IF( OR(AND(ISBLANK(S5:S9)),AND(ISBLANK(AN5:AN9)), AND(ISBLANK(W5:W9)),AND(ISBLANK(AR5:AR9))), "·", bdRateExtend( S5:S9,W5:W9, AN5:AN9,AR5:AR9))</f>
        <v>·</v>
      </c>
      <c r="BK5" s="65" t="str">
        <f t="array" ref="BK5">IF( OR(AND(ISBLANK(S5:S9)),AND(ISBLANK(AN5:AN9)), AND(ISBLANK(X5:X9)),AND(ISBLANK(AS5:AS9))), "·", bdRateExtend( S5:S9,X5:X9, AN5:AN9,AS5:AS9))</f>
        <v>·</v>
      </c>
      <c r="BL5" s="65" t="str">
        <f t="array" ref="BL5">IF( OR(AND(ISBLANK(S5:S9)),AND(ISBLANK(AN5:AN9)), AND(ISBLANK(Y5:Y9)),AND(ISBLANK(AT5:AT9))), "·", bdRateExtend( S5:S9,Y5:Y9, AN5:AN9,AT5:AT9))</f>
        <v>·</v>
      </c>
      <c r="BM5" s="65" t="str">
        <f t="array" ref="BM5">IF( OR(AND(ISBLANK(M5:M9)),AND(ISBLANK(AH5:AH9)), AND(ISBLANK(Z5:Z9)),AND(ISBLANK(AU5:AU9))), "·", bdRateExtend( M5:M9,Z5:Z9, AH5:AH9,AU5:AU9))</f>
        <v>·</v>
      </c>
      <c r="BN5" s="65" t="str">
        <f t="array" ref="BN5">IF( OR(AND(ISBLANK(S5:S9)),AND(ISBLANK(AN5:AN9)), AND(ISBLANK(AA5:AA9)),AND(ISBLANK(AV5:AV9))), "·", bdRateExtend( S5:S9,AA5:AA9, AN5:AN9,AV5:AV9))</f>
        <v>·</v>
      </c>
      <c r="BP5" s="65">
        <f>IF(AND(AK5=0,AK5=0),0,AK5/P5-1)</f>
        <v>0</v>
      </c>
      <c r="BQ5" s="65">
        <f>IF(AND(AL5=0,AL5=0),0,AL5/Q5-1)</f>
        <v>0</v>
      </c>
      <c r="BR5" s="65">
        <f>IF(AND(AM5=0,AM5=0),0,AM5/R5-1)</f>
        <v>0</v>
      </c>
      <c r="BS5" s="65">
        <f>IF(AND(AN5=0,AN5=0),0,AN5/S5-1)</f>
        <v>0</v>
      </c>
      <c r="BT5" s="65">
        <f>IF(AND(AO5=0,AO5=0),0,AO5/T5-1)</f>
        <v>0</v>
      </c>
    </row>
    <row r="6" spans="1:72" ht="15" customHeight="1" outlineLevel="1" x14ac:dyDescent="0.15">
      <c r="A6" s="18"/>
      <c r="B6" s="18" t="s">
        <v>32</v>
      </c>
      <c r="C6" s="20" t="s">
        <v>423</v>
      </c>
      <c r="D6" s="18">
        <v>11997440</v>
      </c>
      <c r="E6" s="19">
        <v>10</v>
      </c>
      <c r="F6" s="20">
        <v>32</v>
      </c>
      <c r="G6" s="20">
        <v>30</v>
      </c>
      <c r="H6" s="20">
        <v>8</v>
      </c>
      <c r="J6" s="69">
        <f>IF(OR(ISBLANK(O6),ISBLANK(G6)),"·",O6*G6/F6/1000000)</f>
        <v>7.9523925000000002</v>
      </c>
      <c r="K6" s="21">
        <f>IF(ISBLANK(O6),"·",O6/D6)</f>
        <v>0.7070301664355062</v>
      </c>
      <c r="L6" s="20">
        <f>IF(OR(ISBLANK(M6),ISBLANK(S6),ISBLANK(T6)),".",M6+S6+T6)</f>
        <v>8482552</v>
      </c>
      <c r="M6" s="20">
        <f>IF(OR(ISBLANK(Q6),ISBLANK(P6),ISBLANK(R6)),".",P6+Q6+R6)</f>
        <v>1678704</v>
      </c>
      <c r="N6" s="27">
        <v>603968</v>
      </c>
      <c r="O6" s="22">
        <v>8482552</v>
      </c>
      <c r="P6" s="22">
        <v>823144</v>
      </c>
      <c r="Q6" s="22">
        <v>0</v>
      </c>
      <c r="R6" s="22">
        <v>855560</v>
      </c>
      <c r="S6" s="22">
        <v>6796776</v>
      </c>
      <c r="T6" s="22">
        <v>7072</v>
      </c>
      <c r="U6" s="28">
        <v>68.321956599999993</v>
      </c>
      <c r="V6" s="28">
        <v>69.287425900000002</v>
      </c>
      <c r="W6" s="28">
        <v>31.040346199999998</v>
      </c>
      <c r="X6" s="28">
        <v>34.766222999999997</v>
      </c>
      <c r="Y6" s="28">
        <v>34.279380000000003</v>
      </c>
      <c r="Z6" s="28">
        <v>48.704467299999997</v>
      </c>
      <c r="AA6" s="28">
        <v>28.4235136</v>
      </c>
      <c r="AB6" s="70">
        <v>1248.8485989999999</v>
      </c>
      <c r="AC6" s="70">
        <v>4.3824430000000003</v>
      </c>
      <c r="AE6" s="69" t="str">
        <f>IF(OR(ISBLANK(AJ6),ISBLANK(G6)),"·",AJ6*G6/F6/1000000)</f>
        <v>·</v>
      </c>
      <c r="AF6" s="21" t="str">
        <f>IF(ISBLANK(AJ6),"·",AJ6/D6)</f>
        <v>·</v>
      </c>
      <c r="AG6" s="20" t="str">
        <f>IF(OR(ISBLANK(AH6),ISBLANK(AN6),ISBLANK(AO6)),".",AH6+AN6+AO6)</f>
        <v>.</v>
      </c>
      <c r="AH6" s="20" t="str">
        <f>IF(OR(ISBLANK(AL6),ISBLANK(AK6),ISBLANK(AM6)),".",AK6+AL6+AM6)</f>
        <v>.</v>
      </c>
      <c r="AI6" s="27"/>
      <c r="AJ6" s="22"/>
      <c r="AK6" s="22"/>
      <c r="AL6" s="22"/>
      <c r="AM6" s="22"/>
      <c r="AN6" s="22"/>
      <c r="AO6" s="22"/>
      <c r="AP6" s="28"/>
      <c r="AQ6" s="28"/>
      <c r="AR6" s="28"/>
      <c r="AS6" s="28"/>
      <c r="AT6" s="28"/>
      <c r="AU6" s="28"/>
      <c r="AV6" s="28"/>
      <c r="AW6" s="70"/>
      <c r="AX6" s="70"/>
      <c r="AZ6" s="71"/>
      <c r="BA6" s="71"/>
      <c r="BB6" s="71"/>
      <c r="BC6" s="71"/>
      <c r="BD6" s="71"/>
      <c r="BE6" s="71"/>
      <c r="BF6" s="71"/>
      <c r="BH6" s="73"/>
      <c r="BI6" s="73"/>
      <c r="BJ6" s="73"/>
      <c r="BK6" s="73"/>
      <c r="BL6" s="73"/>
      <c r="BM6" s="73"/>
      <c r="BN6" s="73"/>
      <c r="BP6" s="71">
        <f>IF(AND(AK6=0,AK6=0),0,AK6/P6-1)</f>
        <v>0</v>
      </c>
      <c r="BQ6" s="71">
        <f>IF(AND(AL6=0,AL6=0),0,AL6/Q6-1)</f>
        <v>0</v>
      </c>
      <c r="BR6" s="71">
        <f>IF(AND(AM6=0,AM6=0),0,AM6/R6-1)</f>
        <v>0</v>
      </c>
      <c r="BS6" s="71">
        <f>IF(AND(AN6=0,AN6=0),0,AN6/S6-1)</f>
        <v>0</v>
      </c>
      <c r="BT6" s="71">
        <f>IF(AND(AO6=0,AO6=0),0,AO6/T6-1)</f>
        <v>0</v>
      </c>
    </row>
    <row r="7" spans="1:72" ht="15" customHeight="1" outlineLevel="1" x14ac:dyDescent="0.15">
      <c r="A7" s="8"/>
      <c r="B7" s="8" t="s">
        <v>32</v>
      </c>
      <c r="C7" s="10" t="s">
        <v>424</v>
      </c>
      <c r="D7" s="8">
        <v>11997440</v>
      </c>
      <c r="E7" s="9">
        <v>10</v>
      </c>
      <c r="F7" s="10">
        <v>32</v>
      </c>
      <c r="G7" s="10">
        <v>30</v>
      </c>
      <c r="H7" s="10">
        <v>11</v>
      </c>
      <c r="J7" s="63">
        <f>IF(OR(ISBLANK(O7),ISBLANK(G7)),"·",O7*G7/F7/1000000)</f>
        <v>11.12337</v>
      </c>
      <c r="K7" s="11">
        <f>IF(ISBLANK(O7),"·",O7/D7)</f>
        <v>0.98895497706177316</v>
      </c>
      <c r="L7" s="10">
        <f>IF(OR(ISBLANK(M7),ISBLANK(S7),ISBLANK(T7)),".",M7+S7+T7)</f>
        <v>11864928</v>
      </c>
      <c r="M7" s="10">
        <f>IF(OR(ISBLANK(Q7),ISBLANK(P7),ISBLANK(R7)),".",P7+Q7+R7)</f>
        <v>2321568</v>
      </c>
      <c r="N7" s="25">
        <v>1217920</v>
      </c>
      <c r="O7" s="12">
        <v>11864928</v>
      </c>
      <c r="P7" s="12">
        <v>1296784</v>
      </c>
      <c r="Q7" s="12">
        <v>0</v>
      </c>
      <c r="R7" s="12">
        <v>1024784</v>
      </c>
      <c r="S7" s="12">
        <v>9536024</v>
      </c>
      <c r="T7" s="12">
        <v>7336</v>
      </c>
      <c r="U7" s="26">
        <v>71.585728900000007</v>
      </c>
      <c r="V7" s="26">
        <v>73.035613900000001</v>
      </c>
      <c r="W7" s="26">
        <v>32.280350499999997</v>
      </c>
      <c r="X7" s="26">
        <v>36.439249400000001</v>
      </c>
      <c r="Y7" s="26">
        <v>36.170708699999999</v>
      </c>
      <c r="Z7" s="26">
        <v>50.877635699999999</v>
      </c>
      <c r="AA7" s="26">
        <v>30.2156105</v>
      </c>
      <c r="AB7" s="64">
        <v>3347.8075119999999</v>
      </c>
      <c r="AC7" s="64">
        <v>18.740641</v>
      </c>
      <c r="AE7" s="63" t="str">
        <f>IF(OR(ISBLANK(AJ7),ISBLANK(G7)),"·",AJ7*G7/F7/1000000)</f>
        <v>·</v>
      </c>
      <c r="AF7" s="11" t="str">
        <f>IF(ISBLANK(AJ7),"·",AJ7/D7)</f>
        <v>·</v>
      </c>
      <c r="AG7" s="10" t="str">
        <f>IF(OR(ISBLANK(AH7),ISBLANK(AN7),ISBLANK(AO7)),".",AH7+AN7+AO7)</f>
        <v>.</v>
      </c>
      <c r="AH7" s="10" t="str">
        <f>IF(OR(ISBLANK(AL7),ISBLANK(AK7),ISBLANK(AM7)),".",AK7+AL7+AM7)</f>
        <v>.</v>
      </c>
      <c r="AI7" s="25"/>
      <c r="AJ7" s="12"/>
      <c r="AK7" s="12"/>
      <c r="AL7" s="12"/>
      <c r="AM7" s="12"/>
      <c r="AN7" s="12"/>
      <c r="AO7" s="12"/>
      <c r="AP7" s="26"/>
      <c r="AQ7" s="26"/>
      <c r="AR7" s="26"/>
      <c r="AS7" s="26"/>
      <c r="AT7" s="26"/>
      <c r="AU7" s="26"/>
      <c r="AV7" s="26"/>
      <c r="AW7" s="64"/>
      <c r="AX7" s="64"/>
      <c r="AZ7" s="65"/>
      <c r="BA7" s="65"/>
      <c r="BB7" s="65"/>
      <c r="BC7" s="65"/>
      <c r="BD7" s="65"/>
      <c r="BE7" s="65"/>
      <c r="BF7" s="65"/>
      <c r="BH7" s="74"/>
      <c r="BI7" s="74"/>
      <c r="BJ7" s="74"/>
      <c r="BK7" s="74"/>
      <c r="BL7" s="74"/>
      <c r="BM7" s="74"/>
      <c r="BN7" s="74"/>
      <c r="BP7" s="65">
        <f>IF(AND(AK7=0,AK7=0),0,AK7/P7-1)</f>
        <v>0</v>
      </c>
      <c r="BQ7" s="65">
        <f>IF(AND(AL7=0,AL7=0),0,AL7/Q7-1)</f>
        <v>0</v>
      </c>
      <c r="BR7" s="65">
        <f>IF(AND(AM7=0,AM7=0),0,AM7/R7-1)</f>
        <v>0</v>
      </c>
      <c r="BS7" s="65">
        <f>IF(AND(AN7=0,AN7=0),0,AN7/S7-1)</f>
        <v>0</v>
      </c>
      <c r="BT7" s="65">
        <f>IF(AND(AO7=0,AO7=0),0,AO7/T7-1)</f>
        <v>0</v>
      </c>
    </row>
    <row r="8" spans="1:72" ht="15" customHeight="1" outlineLevel="1" x14ac:dyDescent="0.15">
      <c r="A8" s="18"/>
      <c r="B8" s="18" t="s">
        <v>32</v>
      </c>
      <c r="C8" s="20" t="s">
        <v>425</v>
      </c>
      <c r="D8" s="18">
        <v>11997440</v>
      </c>
      <c r="E8" s="19">
        <v>10</v>
      </c>
      <c r="F8" s="20">
        <v>32</v>
      </c>
      <c r="G8" s="20">
        <v>30</v>
      </c>
      <c r="H8" s="20">
        <v>14</v>
      </c>
      <c r="J8" s="69">
        <f>IF(OR(ISBLANK(O8),ISBLANK(G8)),"·",O8*G8/F8/1000000)</f>
        <v>14.227169999999999</v>
      </c>
      <c r="K8" s="21">
        <f>IF(ISBLANK(O8),"·",O8/D8)</f>
        <v>1.2649071801984424</v>
      </c>
      <c r="L8" s="20">
        <f>IF(OR(ISBLANK(M8),ISBLANK(S8),ISBLANK(T8)),".",M8+S8+T8)</f>
        <v>15175648</v>
      </c>
      <c r="M8" s="20">
        <f>IF(OR(ISBLANK(Q8),ISBLANK(P8),ISBLANK(R8)),".",P8+Q8+R8)</f>
        <v>3019312</v>
      </c>
      <c r="N8" s="27">
        <v>2446416</v>
      </c>
      <c r="O8" s="22">
        <v>15175648</v>
      </c>
      <c r="P8" s="22">
        <v>2132168</v>
      </c>
      <c r="Q8" s="22">
        <v>0</v>
      </c>
      <c r="R8" s="22">
        <v>887144</v>
      </c>
      <c r="S8" s="22">
        <v>12149000</v>
      </c>
      <c r="T8" s="22">
        <v>7336</v>
      </c>
      <c r="U8" s="28">
        <v>72.960979300000005</v>
      </c>
      <c r="V8" s="28">
        <v>74.596857</v>
      </c>
      <c r="W8" s="28">
        <v>33.318973</v>
      </c>
      <c r="X8" s="28">
        <v>37.045885300000002</v>
      </c>
      <c r="Y8" s="28">
        <v>36.782169500000002</v>
      </c>
      <c r="Z8" s="28">
        <v>51.773220299999998</v>
      </c>
      <c r="AA8" s="28">
        <v>31.102628899999999</v>
      </c>
      <c r="AB8" s="70">
        <v>3881.4536779999999</v>
      </c>
      <c r="AC8" s="70">
        <v>16.968591</v>
      </c>
      <c r="AE8" s="69" t="str">
        <f>IF(OR(ISBLANK(AJ8),ISBLANK(G8)),"·",AJ8*G8/F8/1000000)</f>
        <v>·</v>
      </c>
      <c r="AF8" s="21" t="str">
        <f>IF(ISBLANK(AJ8),"·",AJ8/D8)</f>
        <v>·</v>
      </c>
      <c r="AG8" s="20" t="str">
        <f>IF(OR(ISBLANK(AH8),ISBLANK(AN8),ISBLANK(AO8)),".",AH8+AN8+AO8)</f>
        <v>.</v>
      </c>
      <c r="AH8" s="20" t="str">
        <f>IF(OR(ISBLANK(AL8),ISBLANK(AK8),ISBLANK(AM8)),".",AK8+AL8+AM8)</f>
        <v>.</v>
      </c>
      <c r="AI8" s="27"/>
      <c r="AJ8" s="22"/>
      <c r="AK8" s="22"/>
      <c r="AL8" s="22"/>
      <c r="AM8" s="22"/>
      <c r="AN8" s="22"/>
      <c r="AO8" s="22"/>
      <c r="AP8" s="28"/>
      <c r="AQ8" s="28"/>
      <c r="AR8" s="28"/>
      <c r="AS8" s="28"/>
      <c r="AT8" s="28"/>
      <c r="AU8" s="28"/>
      <c r="AV8" s="28"/>
      <c r="AW8" s="70"/>
      <c r="AX8" s="70"/>
      <c r="AZ8" s="71"/>
      <c r="BA8" s="71"/>
      <c r="BB8" s="71"/>
      <c r="BC8" s="71"/>
      <c r="BD8" s="71"/>
      <c r="BE8" s="71"/>
      <c r="BF8" s="71"/>
      <c r="BH8" s="73"/>
      <c r="BI8" s="73"/>
      <c r="BJ8" s="73"/>
      <c r="BK8" s="73"/>
      <c r="BL8" s="73"/>
      <c r="BM8" s="73"/>
      <c r="BN8" s="73"/>
      <c r="BP8" s="71">
        <f>IF(AND(AK8=0,AK8=0),0,AK8/P8-1)</f>
        <v>0</v>
      </c>
      <c r="BQ8" s="71">
        <f>IF(AND(AL8=0,AL8=0),0,AL8/Q8-1)</f>
        <v>0</v>
      </c>
      <c r="BR8" s="71">
        <f>IF(AND(AM8=0,AM8=0),0,AM8/R8-1)</f>
        <v>0</v>
      </c>
      <c r="BS8" s="71">
        <f>IF(AND(AN8=0,AN8=0),0,AN8/S8-1)</f>
        <v>0</v>
      </c>
      <c r="BT8" s="71">
        <f>IF(AND(AO8=0,AO8=0),0,AO8/T8-1)</f>
        <v>0</v>
      </c>
    </row>
    <row r="9" spans="1:72" ht="15.75" customHeight="1" outlineLevel="1" thickBot="1" x14ac:dyDescent="0.2">
      <c r="A9" s="8"/>
      <c r="B9" s="29" t="s">
        <v>32</v>
      </c>
      <c r="C9" s="30" t="s">
        <v>426</v>
      </c>
      <c r="D9" s="29">
        <v>11997440</v>
      </c>
      <c r="E9" s="31">
        <v>10</v>
      </c>
      <c r="F9" s="30">
        <v>32</v>
      </c>
      <c r="G9" s="30">
        <v>30</v>
      </c>
      <c r="H9" s="30">
        <v>21</v>
      </c>
      <c r="J9" s="75">
        <f>IF(OR(ISBLANK(O9),ISBLANK(G9)),"·",O9*G9/F9/1000000)</f>
        <v>21.415230000000001</v>
      </c>
      <c r="K9" s="32">
        <f>IF(ISBLANK(O9),"·",O9/D9)</f>
        <v>1.903982182865678</v>
      </c>
      <c r="L9" s="30">
        <f>IF(OR(ISBLANK(M9),ISBLANK(S9),ISBLANK(T9)),".",M9+S9+T9)</f>
        <v>22842912</v>
      </c>
      <c r="M9" s="30">
        <f>IF(OR(ISBLANK(Q9),ISBLANK(P9),ISBLANK(R9)),".",P9+Q9+R9)</f>
        <v>3739480</v>
      </c>
      <c r="N9" s="33">
        <v>2446416</v>
      </c>
      <c r="O9" s="34">
        <v>22842912</v>
      </c>
      <c r="P9" s="34">
        <v>2132168</v>
      </c>
      <c r="Q9" s="34">
        <v>0</v>
      </c>
      <c r="R9" s="34">
        <v>1607312</v>
      </c>
      <c r="S9" s="34">
        <v>19096096</v>
      </c>
      <c r="T9" s="34">
        <v>7336</v>
      </c>
      <c r="U9" s="35">
        <v>74.4025228</v>
      </c>
      <c r="V9" s="35">
        <v>76.291860099999994</v>
      </c>
      <c r="W9" s="35">
        <v>34.9329617</v>
      </c>
      <c r="X9" s="35">
        <v>38.579171000000002</v>
      </c>
      <c r="Y9" s="35">
        <v>38.293949300000001</v>
      </c>
      <c r="Z9" s="35">
        <v>52.650332200000001</v>
      </c>
      <c r="AA9" s="35">
        <v>32.408012900000003</v>
      </c>
      <c r="AB9" s="76">
        <v>4136.7697189999999</v>
      </c>
      <c r="AC9" s="76">
        <v>22.733201000000001</v>
      </c>
      <c r="AE9" s="75" t="str">
        <f>IF(OR(ISBLANK(AJ9),ISBLANK(G9)),"·",AJ9*G9/F9/1000000)</f>
        <v>·</v>
      </c>
      <c r="AF9" s="32" t="str">
        <f>IF(ISBLANK(AJ9),"·",AJ9/D9)</f>
        <v>·</v>
      </c>
      <c r="AG9" s="30" t="str">
        <f>IF(OR(ISBLANK(AH9),ISBLANK(AN9),ISBLANK(AO9)),".",AH9+AN9+AO9)</f>
        <v>.</v>
      </c>
      <c r="AH9" s="30" t="str">
        <f>IF(OR(ISBLANK(AL9),ISBLANK(AK9),ISBLANK(AM9)),".",AK9+AL9+AM9)</f>
        <v>.</v>
      </c>
      <c r="AI9" s="33"/>
      <c r="AJ9" s="34"/>
      <c r="AK9" s="34"/>
      <c r="AL9" s="34"/>
      <c r="AM9" s="34"/>
      <c r="AN9" s="34"/>
      <c r="AO9" s="34"/>
      <c r="AP9" s="35"/>
      <c r="AQ9" s="35"/>
      <c r="AR9" s="35"/>
      <c r="AS9" s="35"/>
      <c r="AT9" s="35"/>
      <c r="AU9" s="35"/>
      <c r="AV9" s="35"/>
      <c r="AW9" s="76"/>
      <c r="AX9" s="76"/>
      <c r="AZ9" s="77"/>
      <c r="BA9" s="77"/>
      <c r="BB9" s="77"/>
      <c r="BC9" s="77"/>
      <c r="BD9" s="77"/>
      <c r="BE9" s="77"/>
      <c r="BF9" s="77"/>
      <c r="BH9" s="78"/>
      <c r="BI9" s="78"/>
      <c r="BJ9" s="78"/>
      <c r="BK9" s="78"/>
      <c r="BL9" s="78"/>
      <c r="BM9" s="78"/>
      <c r="BN9" s="78"/>
      <c r="BP9" s="77">
        <f>IF(AND(AK9=0,AK9=0),0,AK9/P9-1)</f>
        <v>0</v>
      </c>
      <c r="BQ9" s="77">
        <f>IF(AND(AL9=0,AL9=0),0,AL9/Q9-1)</f>
        <v>0</v>
      </c>
      <c r="BR9" s="77">
        <f>IF(AND(AM9=0,AM9=0),0,AM9/R9-1)</f>
        <v>0</v>
      </c>
      <c r="BS9" s="77">
        <f>IF(AND(AN9=0,AN9=0),0,AN9/S9-1)</f>
        <v>0</v>
      </c>
      <c r="BT9" s="77">
        <f>IF(AND(AO9=0,AO9=0),0,AO9/T9-1)</f>
        <v>0</v>
      </c>
    </row>
    <row r="10" spans="1:72" ht="15" customHeight="1" x14ac:dyDescent="0.15">
      <c r="A10" s="18"/>
      <c r="B10" s="18" t="s">
        <v>47</v>
      </c>
      <c r="C10" s="20" t="s">
        <v>422</v>
      </c>
      <c r="D10" s="18">
        <v>9000000</v>
      </c>
      <c r="E10" s="19">
        <v>10</v>
      </c>
      <c r="F10" s="20">
        <v>32</v>
      </c>
      <c r="G10" s="20">
        <v>30</v>
      </c>
      <c r="H10" s="20">
        <v>4</v>
      </c>
      <c r="J10" s="69">
        <f>IF(OR(ISBLANK(O10),ISBLANK(G10)),"·",O10*G10/F10/1000000)</f>
        <v>3.2617275000000001</v>
      </c>
      <c r="K10" s="21">
        <f>IF(ISBLANK(O10),"·",O10/D10)</f>
        <v>0.38657511111111109</v>
      </c>
      <c r="L10" s="20">
        <f>IF(OR(ISBLANK(M10),ISBLANK(S10),ISBLANK(T10)),".",M10+S10+T10)</f>
        <v>3479176</v>
      </c>
      <c r="M10" s="20">
        <f>IF(OR(ISBLANK(Q10),ISBLANK(P10),ISBLANK(R10)),".",P10+Q10+R10)</f>
        <v>883192</v>
      </c>
      <c r="N10" s="27">
        <v>603136</v>
      </c>
      <c r="O10" s="22">
        <v>3479176</v>
      </c>
      <c r="P10" s="22">
        <v>31312</v>
      </c>
      <c r="Q10" s="22">
        <v>113472</v>
      </c>
      <c r="R10" s="22">
        <v>738408</v>
      </c>
      <c r="S10" s="22">
        <v>2588912</v>
      </c>
      <c r="T10" s="22">
        <v>7072</v>
      </c>
      <c r="U10" s="28">
        <v>64.850249399999996</v>
      </c>
      <c r="V10" s="28">
        <v>65.506005599999995</v>
      </c>
      <c r="W10" s="28">
        <v>35.403167699999997</v>
      </c>
      <c r="X10" s="28">
        <v>46.615388099999997</v>
      </c>
      <c r="Y10" s="28">
        <v>47.050539999999998</v>
      </c>
      <c r="Z10" s="28">
        <v>44.004968599999998</v>
      </c>
      <c r="AA10" s="28">
        <v>30.415072800000001</v>
      </c>
      <c r="AB10" s="70">
        <v>3060.9359140000001</v>
      </c>
      <c r="AC10" s="70">
        <v>15.286887</v>
      </c>
      <c r="AE10" s="69" t="str">
        <f>IF(OR(ISBLANK(AJ10),ISBLANK(G10)),"·",AJ10*G10/F10/1000000)</f>
        <v>·</v>
      </c>
      <c r="AF10" s="21" t="str">
        <f>IF(ISBLANK(AJ10),"·",AJ10/D10)</f>
        <v>·</v>
      </c>
      <c r="AG10" s="20" t="str">
        <f>IF(OR(ISBLANK(AH10),ISBLANK(AN10),ISBLANK(AO10)),".",AH10+AN10+AO10)</f>
        <v>.</v>
      </c>
      <c r="AH10" s="20" t="str">
        <f>IF(OR(ISBLANK(AL10),ISBLANK(AK10),ISBLANK(AM10)),".",AK10+AL10+AM10)</f>
        <v>.</v>
      </c>
      <c r="AI10" s="27"/>
      <c r="AJ10" s="22"/>
      <c r="AK10" s="22"/>
      <c r="AL10" s="22"/>
      <c r="AM10" s="22"/>
      <c r="AN10" s="22"/>
      <c r="AO10" s="22"/>
      <c r="AP10" s="28"/>
      <c r="AQ10" s="28"/>
      <c r="AR10" s="28"/>
      <c r="AS10" s="28"/>
      <c r="AT10" s="28"/>
      <c r="AU10" s="28"/>
      <c r="AV10" s="28"/>
      <c r="AW10" s="70"/>
      <c r="AX10" s="70"/>
      <c r="AZ10" s="71" t="str">
        <f t="array" ref="AZ10">IF( OR(AND(ISBLANK(L10:L14)),AND(ISBLANK(AG10:AG14)), AND(ISBLANK(U10:U14)),AND(ISBLANK(AP10:AP14))), "·", bdRateExtend( L10:L14,U10:U14, AG10:AG14,AP10:AP14))</f>
        <v>·</v>
      </c>
      <c r="BA10" s="71" t="str">
        <f t="array" ref="BA10">IF( OR(AND(ISBLANK(L10:L14)),AND(ISBLANK(AG10:AG14)), AND(ISBLANK(V10:V14)),AND(ISBLANK(AQ10:AQ14))), "·", bdRateExtend( L10:L14,V10:V14, AG10:AG14,AQ10:AQ14))</f>
        <v>·</v>
      </c>
      <c r="BB10" s="71" t="str">
        <f t="array" ref="BB10">IF( OR(AND(ISBLANK(L10:L14)),AND(ISBLANK(AG10:AG14)), AND(ISBLANK(W10:W14)),AND(ISBLANK(AR10:AR14))), "·", bdRateExtend( L10:L14,W10:W14, AG10:AG14,AR10:AR14))</f>
        <v>·</v>
      </c>
      <c r="BC10" s="71" t="str">
        <f t="array" ref="BC10">IF( OR(AND(ISBLANK(L10:L14)),AND(ISBLANK(AG10:AG14)), AND(ISBLANK(X10:X14)),AND(ISBLANK(AS10:AS14))), "·", bdRateExtend( L10:L14,X10:X14, AG10:AG14,AS10:AS14))</f>
        <v>·</v>
      </c>
      <c r="BD10" s="71" t="str">
        <f t="array" ref="BD10">IF( OR(AND(ISBLANK(L10:L14)),AND(ISBLANK(AG10:AG14)), AND(ISBLANK(Y10:Y14)),AND(ISBLANK(AT10:AT14))), "·", bdRateExtend( L10:L14,Y10:Y14, AG10:AG14,AT10:AT14))</f>
        <v>·</v>
      </c>
      <c r="BE10" s="71" t="str">
        <f t="array" ref="BE10">IF( OR(AND(ISBLANK(L10:L14)),AND(ISBLANK(AG10:AG14)), AND(ISBLANK(Z10:Z14)),AND(ISBLANK(AU10:AU14))), "·", bdRateExtend( L10:L14,Z10:Z14, AG10:AG14,AU10:AU14))</f>
        <v>·</v>
      </c>
      <c r="BF10" s="71" t="str">
        <f t="array" ref="BF10">IF( OR(AND(ISBLANK(L10:L14)),AND(ISBLANK(AG10:AG14)), AND(ISBLANK(AA10:AA14)),AND(ISBLANK(AV10:AV14))), "·", bdRateExtend( L10:L14,AA10:AA14, AG10:AG14,AV10:AV14))</f>
        <v>·</v>
      </c>
      <c r="BH10" s="71" t="str">
        <f t="array" ref="BH10">IF( OR(AND(ISBLANK(M10:M14)),AND(ISBLANK(AH10:AH14)), AND(ISBLANK(U10:U14)),AND(ISBLANK(AP10:AP14))), "·", bdRateExtend( M10:M14,U10:U14, AH10:AH14,AP10:AP14))</f>
        <v>·</v>
      </c>
      <c r="BI10" s="71" t="str">
        <f t="array" ref="BI10">IF( OR(AND(ISBLANK(M10:M14)),AND(ISBLANK(AH10:AH14)), AND(ISBLANK(V10:V14)),AND(ISBLANK(AQ10:AQ14))), "·", bdRateExtend( M10:M14,V10:V14, AH10:AH14,AQ10:AQ14))</f>
        <v>·</v>
      </c>
      <c r="BJ10" s="71" t="str">
        <f t="array" ref="BJ10">IF( OR(AND(ISBLANK(S10:S14)),AND(ISBLANK(AN10:AN14)), AND(ISBLANK(W10:W14)),AND(ISBLANK(AR10:AR14))), "·", bdRateExtend( S10:S14,W10:W14, AN10:AN14,AR10:AR14))</f>
        <v>·</v>
      </c>
      <c r="BK10" s="71" t="str">
        <f t="array" ref="BK10">IF( OR(AND(ISBLANK(S10:S14)),AND(ISBLANK(AN10:AN14)), AND(ISBLANK(X10:X14)),AND(ISBLANK(AS10:AS14))), "·", bdRateExtend( S10:S14,X10:X14, AN10:AN14,AS10:AS14))</f>
        <v>·</v>
      </c>
      <c r="BL10" s="71" t="str">
        <f t="array" ref="BL10">IF( OR(AND(ISBLANK(S10:S14)),AND(ISBLANK(AN10:AN14)), AND(ISBLANK(Y10:Y14)),AND(ISBLANK(AT10:AT14))), "·", bdRateExtend( S10:S14,Y10:Y14, AN10:AN14,AT10:AT14))</f>
        <v>·</v>
      </c>
      <c r="BM10" s="71" t="str">
        <f t="array" ref="BM10">IF( OR(AND(ISBLANK(M10:M14)),AND(ISBLANK(AH10:AH14)), AND(ISBLANK(Z10:Z14)),AND(ISBLANK(AU10:AU14))), "·", bdRateExtend( M10:M14,Z10:Z14, AH10:AH14,AU10:AU14))</f>
        <v>·</v>
      </c>
      <c r="BN10" s="71" t="str">
        <f t="array" ref="BN10">IF( OR(AND(ISBLANK(S10:S14)),AND(ISBLANK(AN10:AN14)), AND(ISBLANK(AA10:AA14)),AND(ISBLANK(AV10:AV14))), "·", bdRateExtend( S10:S14,AA10:AA14, AN10:AN14,AV10:AV14))</f>
        <v>·</v>
      </c>
      <c r="BP10" s="71">
        <f>IF(AND(AK10=0,AK10=0),0,AK10/P10-1)</f>
        <v>0</v>
      </c>
      <c r="BQ10" s="71">
        <f>IF(AND(AL10=0,AL10=0),0,AL10/Q10-1)</f>
        <v>0</v>
      </c>
      <c r="BR10" s="71">
        <f>IF(AND(AM10=0,AM10=0),0,AM10/R10-1)</f>
        <v>0</v>
      </c>
      <c r="BS10" s="71">
        <f>IF(AND(AN10=0,AN10=0),0,AN10/S10-1)</f>
        <v>0</v>
      </c>
      <c r="BT10" s="71">
        <f>IF(AND(AO10=0,AO10=0),0,AO10/T10-1)</f>
        <v>0</v>
      </c>
    </row>
    <row r="11" spans="1:72" ht="15" customHeight="1" outlineLevel="1" x14ac:dyDescent="0.15">
      <c r="A11" s="8"/>
      <c r="B11" s="8" t="s">
        <v>47</v>
      </c>
      <c r="C11" s="10" t="s">
        <v>423</v>
      </c>
      <c r="D11" s="8">
        <v>9000000</v>
      </c>
      <c r="E11" s="9">
        <v>10</v>
      </c>
      <c r="F11" s="10">
        <v>32</v>
      </c>
      <c r="G11" s="10">
        <v>30</v>
      </c>
      <c r="H11" s="10">
        <v>8</v>
      </c>
      <c r="J11" s="63">
        <f>IF(OR(ISBLANK(O11),ISBLANK(G11)),"·",O11*G11/F11/1000000)</f>
        <v>7.0066575000000002</v>
      </c>
      <c r="K11" s="11">
        <f>IF(ISBLANK(O11),"·",O11/D11)</f>
        <v>0.83041866666666664</v>
      </c>
      <c r="L11" s="10">
        <f>IF(OR(ISBLANK(M11),ISBLANK(S11),ISBLANK(T11)),".",M11+S11+T11)</f>
        <v>7473768</v>
      </c>
      <c r="M11" s="10">
        <f>IF(OR(ISBLANK(Q11),ISBLANK(P11),ISBLANK(R11)),".",P11+Q11+R11)</f>
        <v>1844768</v>
      </c>
      <c r="N11" s="25">
        <v>1211552</v>
      </c>
      <c r="O11" s="12">
        <v>7473768</v>
      </c>
      <c r="P11" s="12">
        <v>241864</v>
      </c>
      <c r="Q11" s="12">
        <v>71968</v>
      </c>
      <c r="R11" s="12">
        <v>1530936</v>
      </c>
      <c r="S11" s="12">
        <v>5621664</v>
      </c>
      <c r="T11" s="12">
        <v>7336</v>
      </c>
      <c r="U11" s="26">
        <v>69.893523200000004</v>
      </c>
      <c r="V11" s="26">
        <v>71.162021999999993</v>
      </c>
      <c r="W11" s="26">
        <v>37.322314499999997</v>
      </c>
      <c r="X11" s="26">
        <v>47.376329599999998</v>
      </c>
      <c r="Y11" s="26">
        <v>47.978455400000001</v>
      </c>
      <c r="Z11" s="26">
        <v>46.7891762</v>
      </c>
      <c r="AA11" s="26">
        <v>33.342501300000002</v>
      </c>
      <c r="AB11" s="64">
        <v>3896.896033</v>
      </c>
      <c r="AC11" s="64">
        <v>18.623887</v>
      </c>
      <c r="AE11" s="63" t="str">
        <f>IF(OR(ISBLANK(AJ11),ISBLANK(G11)),"·",AJ11*G11/F11/1000000)</f>
        <v>·</v>
      </c>
      <c r="AF11" s="11" t="str">
        <f>IF(ISBLANK(AJ11),"·",AJ11/D11)</f>
        <v>·</v>
      </c>
      <c r="AG11" s="10" t="str">
        <f>IF(OR(ISBLANK(AH11),ISBLANK(AN11),ISBLANK(AO11)),".",AH11+AN11+AO11)</f>
        <v>.</v>
      </c>
      <c r="AH11" s="10" t="str">
        <f>IF(OR(ISBLANK(AL11),ISBLANK(AK11),ISBLANK(AM11)),".",AK11+AL11+AM11)</f>
        <v>.</v>
      </c>
      <c r="AI11" s="25"/>
      <c r="AJ11" s="12"/>
      <c r="AK11" s="12"/>
      <c r="AL11" s="12"/>
      <c r="AM11" s="12"/>
      <c r="AN11" s="12"/>
      <c r="AO11" s="12"/>
      <c r="AP11" s="26"/>
      <c r="AQ11" s="26"/>
      <c r="AR11" s="26"/>
      <c r="AS11" s="26"/>
      <c r="AT11" s="26"/>
      <c r="AU11" s="26"/>
      <c r="AV11" s="26"/>
      <c r="AW11" s="64"/>
      <c r="AX11" s="64"/>
      <c r="AZ11" s="65"/>
      <c r="BA11" s="65"/>
      <c r="BB11" s="65"/>
      <c r="BC11" s="65"/>
      <c r="BD11" s="65"/>
      <c r="BE11" s="65"/>
      <c r="BF11" s="65"/>
      <c r="BH11" s="65"/>
      <c r="BI11" s="65"/>
      <c r="BJ11" s="65"/>
      <c r="BK11" s="65"/>
      <c r="BL11" s="65"/>
      <c r="BM11" s="65"/>
      <c r="BN11" s="65"/>
      <c r="BP11" s="65">
        <f>IF(AND(AK11=0,AK11=0),0,AK11/P11-1)</f>
        <v>0</v>
      </c>
      <c r="BQ11" s="65">
        <f>IF(AND(AL11=0,AL11=0),0,AL11/Q11-1)</f>
        <v>0</v>
      </c>
      <c r="BR11" s="65">
        <f>IF(AND(AM11=0,AM11=0),0,AM11/R11-1)</f>
        <v>0</v>
      </c>
      <c r="BS11" s="65">
        <f>IF(AND(AN11=0,AN11=0),0,AN11/S11-1)</f>
        <v>0</v>
      </c>
      <c r="BT11" s="65">
        <f>IF(AND(AO11=0,AO11=0),0,AO11/T11-1)</f>
        <v>0</v>
      </c>
    </row>
    <row r="12" spans="1:72" ht="15" customHeight="1" outlineLevel="1" x14ac:dyDescent="0.15">
      <c r="A12" s="18"/>
      <c r="B12" s="18" t="s">
        <v>47</v>
      </c>
      <c r="C12" s="20" t="s">
        <v>424</v>
      </c>
      <c r="D12" s="18">
        <v>9000000</v>
      </c>
      <c r="E12" s="19">
        <v>10</v>
      </c>
      <c r="F12" s="20">
        <v>32</v>
      </c>
      <c r="G12" s="20">
        <v>30</v>
      </c>
      <c r="H12" s="20">
        <v>11</v>
      </c>
      <c r="J12" s="69">
        <f>IF(OR(ISBLANK(O12),ISBLANK(G12)),"·",O12*G12/F12/1000000)</f>
        <v>9.4245374999999996</v>
      </c>
      <c r="K12" s="21">
        <f>IF(ISBLANK(O12),"·",O12/D12)</f>
        <v>1.1169822222222223</v>
      </c>
      <c r="L12" s="20">
        <f>IF(OR(ISBLANK(M12),ISBLANK(S12),ISBLANK(T12)),".",M12+S12+T12)</f>
        <v>10052840</v>
      </c>
      <c r="M12" s="20">
        <f>IF(OR(ISBLANK(Q12),ISBLANK(P12),ISBLANK(R12)),".",P12+Q12+R12)</f>
        <v>2025120</v>
      </c>
      <c r="N12" s="27">
        <v>1211552</v>
      </c>
      <c r="O12" s="22">
        <v>10052840</v>
      </c>
      <c r="P12" s="22">
        <v>261392</v>
      </c>
      <c r="Q12" s="22">
        <v>149920</v>
      </c>
      <c r="R12" s="22">
        <v>1613808</v>
      </c>
      <c r="S12" s="22">
        <v>8020384</v>
      </c>
      <c r="T12" s="22">
        <v>7336</v>
      </c>
      <c r="U12" s="28">
        <v>69.970761400000001</v>
      </c>
      <c r="V12" s="28">
        <v>71.242984899999996</v>
      </c>
      <c r="W12" s="28">
        <v>37.992209199999998</v>
      </c>
      <c r="X12" s="28">
        <v>47.703754199999999</v>
      </c>
      <c r="Y12" s="28">
        <v>48.344226200000001</v>
      </c>
      <c r="Z12" s="28">
        <v>46.810603700000001</v>
      </c>
      <c r="AA12" s="28">
        <v>33.580818299999997</v>
      </c>
      <c r="AB12" s="70">
        <v>4107.571637</v>
      </c>
      <c r="AC12" s="70">
        <v>19.605568999999999</v>
      </c>
      <c r="AE12" s="69" t="str">
        <f>IF(OR(ISBLANK(AJ12),ISBLANK(G12)),"·",AJ12*G12/F12/1000000)</f>
        <v>·</v>
      </c>
      <c r="AF12" s="21" t="str">
        <f>IF(ISBLANK(AJ12),"·",AJ12/D12)</f>
        <v>·</v>
      </c>
      <c r="AG12" s="20" t="str">
        <f>IF(OR(ISBLANK(AH12),ISBLANK(AN12),ISBLANK(AO12)),".",AH12+AN12+AO12)</f>
        <v>.</v>
      </c>
      <c r="AH12" s="20" t="str">
        <f>IF(OR(ISBLANK(AL12),ISBLANK(AK12),ISBLANK(AM12)),".",AK12+AL12+AM12)</f>
        <v>.</v>
      </c>
      <c r="AI12" s="27"/>
      <c r="AJ12" s="22"/>
      <c r="AK12" s="22"/>
      <c r="AL12" s="22"/>
      <c r="AM12" s="22"/>
      <c r="AN12" s="22"/>
      <c r="AO12" s="22"/>
      <c r="AP12" s="28"/>
      <c r="AQ12" s="28"/>
      <c r="AR12" s="28"/>
      <c r="AS12" s="28"/>
      <c r="AT12" s="28"/>
      <c r="AU12" s="28"/>
      <c r="AV12" s="28"/>
      <c r="AW12" s="70"/>
      <c r="AX12" s="70"/>
      <c r="AZ12" s="71"/>
      <c r="BA12" s="71"/>
      <c r="BB12" s="71"/>
      <c r="BC12" s="71"/>
      <c r="BD12" s="71"/>
      <c r="BE12" s="71"/>
      <c r="BF12" s="71"/>
      <c r="BH12" s="71"/>
      <c r="BI12" s="71"/>
      <c r="BJ12" s="71"/>
      <c r="BK12" s="71"/>
      <c r="BL12" s="71"/>
      <c r="BM12" s="71"/>
      <c r="BN12" s="71"/>
      <c r="BP12" s="71">
        <f>IF(AND(AK12=0,AK12=0),0,AK12/P12-1)</f>
        <v>0</v>
      </c>
      <c r="BQ12" s="71">
        <f>IF(AND(AL12=0,AL12=0),0,AL12/Q12-1)</f>
        <v>0</v>
      </c>
      <c r="BR12" s="71">
        <f>IF(AND(AM12=0,AM12=0),0,AM12/R12-1)</f>
        <v>0</v>
      </c>
      <c r="BS12" s="71">
        <f>IF(AND(AN12=0,AN12=0),0,AN12/S12-1)</f>
        <v>0</v>
      </c>
      <c r="BT12" s="71">
        <f>IF(AND(AO12=0,AO12=0),0,AO12/T12-1)</f>
        <v>0</v>
      </c>
    </row>
    <row r="13" spans="1:72" ht="15" customHeight="1" outlineLevel="1" x14ac:dyDescent="0.15">
      <c r="A13" s="8"/>
      <c r="B13" s="8" t="s">
        <v>47</v>
      </c>
      <c r="C13" s="10" t="s">
        <v>425</v>
      </c>
      <c r="D13" s="8">
        <v>9000000</v>
      </c>
      <c r="E13" s="9">
        <v>10</v>
      </c>
      <c r="F13" s="10">
        <v>32</v>
      </c>
      <c r="G13" s="10">
        <v>30</v>
      </c>
      <c r="H13" s="10">
        <v>14</v>
      </c>
      <c r="J13" s="63">
        <f>IF(OR(ISBLANK(O13),ISBLANK(G13)),"·",O13*G13/F13/1000000)</f>
        <v>12.796110000000001</v>
      </c>
      <c r="K13" s="11">
        <f>IF(ISBLANK(O13),"·",O13/D13)</f>
        <v>1.5165759999999999</v>
      </c>
      <c r="L13" s="10">
        <f>IF(OR(ISBLANK(M13),ISBLANK(S13),ISBLANK(T13)),".",M13+S13+T13)</f>
        <v>13649184</v>
      </c>
      <c r="M13" s="10">
        <f>IF(OR(ISBLANK(Q13),ISBLANK(P13),ISBLANK(R13)),".",P13+Q13+R13)</f>
        <v>2025120</v>
      </c>
      <c r="N13" s="25">
        <v>1211552</v>
      </c>
      <c r="O13" s="12">
        <v>13649184</v>
      </c>
      <c r="P13" s="12">
        <v>261392</v>
      </c>
      <c r="Q13" s="12">
        <v>149920</v>
      </c>
      <c r="R13" s="12">
        <v>1613808</v>
      </c>
      <c r="S13" s="12">
        <v>11616728</v>
      </c>
      <c r="T13" s="12">
        <v>7336</v>
      </c>
      <c r="U13" s="26">
        <v>69.970761400000001</v>
      </c>
      <c r="V13" s="26">
        <v>71.242984899999996</v>
      </c>
      <c r="W13" s="26">
        <v>38.536137699999998</v>
      </c>
      <c r="X13" s="26">
        <v>48.373939800000002</v>
      </c>
      <c r="Y13" s="26">
        <v>49.076705599999997</v>
      </c>
      <c r="Z13" s="26">
        <v>46.810603700000001</v>
      </c>
      <c r="AA13" s="26">
        <v>33.728241400000002</v>
      </c>
      <c r="AB13" s="64">
        <v>4353.0813099999996</v>
      </c>
      <c r="AC13" s="64">
        <v>18.465244999999999</v>
      </c>
      <c r="AE13" s="63" t="str">
        <f>IF(OR(ISBLANK(AJ13),ISBLANK(G13)),"·",AJ13*G13/F13/1000000)</f>
        <v>·</v>
      </c>
      <c r="AF13" s="11" t="str">
        <f>IF(ISBLANK(AJ13),"·",AJ13/D13)</f>
        <v>·</v>
      </c>
      <c r="AG13" s="10" t="str">
        <f>IF(OR(ISBLANK(AH13),ISBLANK(AN13),ISBLANK(AO13)),".",AH13+AN13+AO13)</f>
        <v>.</v>
      </c>
      <c r="AH13" s="10" t="str">
        <f>IF(OR(ISBLANK(AL13),ISBLANK(AK13),ISBLANK(AM13)),".",AK13+AL13+AM13)</f>
        <v>.</v>
      </c>
      <c r="AI13" s="25"/>
      <c r="AJ13" s="12"/>
      <c r="AK13" s="12"/>
      <c r="AL13" s="12"/>
      <c r="AM13" s="12"/>
      <c r="AN13" s="12"/>
      <c r="AO13" s="12"/>
      <c r="AP13" s="26"/>
      <c r="AQ13" s="26"/>
      <c r="AR13" s="26"/>
      <c r="AS13" s="26"/>
      <c r="AT13" s="26"/>
      <c r="AU13" s="26"/>
      <c r="AV13" s="26"/>
      <c r="AW13" s="64"/>
      <c r="AX13" s="64"/>
      <c r="AZ13" s="65"/>
      <c r="BA13" s="65"/>
      <c r="BB13" s="65"/>
      <c r="BC13" s="65"/>
      <c r="BD13" s="65"/>
      <c r="BE13" s="65"/>
      <c r="BF13" s="65"/>
      <c r="BH13" s="65"/>
      <c r="BI13" s="65"/>
      <c r="BJ13" s="65"/>
      <c r="BK13" s="65"/>
      <c r="BL13" s="65"/>
      <c r="BM13" s="65"/>
      <c r="BN13" s="65"/>
      <c r="BP13" s="65">
        <f>IF(AND(AK13=0,AK13=0),0,AK13/P13-1)</f>
        <v>0</v>
      </c>
      <c r="BQ13" s="65">
        <f>IF(AND(AL13=0,AL13=0),0,AL13/Q13-1)</f>
        <v>0</v>
      </c>
      <c r="BR13" s="65">
        <f>IF(AND(AM13=0,AM13=0),0,AM13/R13-1)</f>
        <v>0</v>
      </c>
      <c r="BS13" s="65">
        <f>IF(AND(AN13=0,AN13=0),0,AN13/S13-1)</f>
        <v>0</v>
      </c>
      <c r="BT13" s="65">
        <f>IF(AND(AO13=0,AO13=0),0,AO13/T13-1)</f>
        <v>0</v>
      </c>
    </row>
    <row r="14" spans="1:72" ht="15.75" customHeight="1" outlineLevel="1" thickBot="1" x14ac:dyDescent="0.2">
      <c r="A14" s="13"/>
      <c r="B14" s="13" t="s">
        <v>47</v>
      </c>
      <c r="C14" s="15" t="s">
        <v>426</v>
      </c>
      <c r="D14" s="13">
        <v>9000000</v>
      </c>
      <c r="E14" s="14">
        <v>10</v>
      </c>
      <c r="F14" s="15">
        <v>32</v>
      </c>
      <c r="G14" s="15">
        <v>30</v>
      </c>
      <c r="H14" s="15">
        <v>21</v>
      </c>
      <c r="J14" s="66">
        <f>IF(OR(ISBLANK(O14),ISBLANK(G14)),"·",O14*G14/F14/1000000)</f>
        <v>22.21707</v>
      </c>
      <c r="K14" s="16">
        <f>IF(ISBLANK(O14),"·",O14/D14)</f>
        <v>2.633134222222222</v>
      </c>
      <c r="L14" s="15">
        <f>IF(OR(ISBLANK(M14),ISBLANK(S14),ISBLANK(T14)),".",M14+S14+T14)</f>
        <v>23698208</v>
      </c>
      <c r="M14" s="15">
        <f>IF(OR(ISBLANK(Q14),ISBLANK(P14),ISBLANK(R14)),".",P14+Q14+R14)</f>
        <v>5209272</v>
      </c>
      <c r="N14" s="36">
        <v>2439648</v>
      </c>
      <c r="O14" s="17">
        <v>23698208</v>
      </c>
      <c r="P14" s="17">
        <v>1923872</v>
      </c>
      <c r="Q14" s="17">
        <v>92576</v>
      </c>
      <c r="R14" s="17">
        <v>3192824</v>
      </c>
      <c r="S14" s="17">
        <v>18481520</v>
      </c>
      <c r="T14" s="17">
        <v>7416</v>
      </c>
      <c r="U14" s="37">
        <v>74.094821800000005</v>
      </c>
      <c r="V14" s="37">
        <v>76.032783300000006</v>
      </c>
      <c r="W14" s="37">
        <v>39.199498699999999</v>
      </c>
      <c r="X14" s="37">
        <v>48.3641924</v>
      </c>
      <c r="Y14" s="37">
        <v>49.050755799999997</v>
      </c>
      <c r="Z14" s="37">
        <v>49.106099299999997</v>
      </c>
      <c r="AA14" s="37">
        <v>35.887503100000004</v>
      </c>
      <c r="AB14" s="67">
        <v>5925.7208149999997</v>
      </c>
      <c r="AC14" s="67">
        <v>19.321361</v>
      </c>
      <c r="AE14" s="66" t="str">
        <f>IF(OR(ISBLANK(AJ14),ISBLANK(G14)),"·",AJ14*G14/F14/1000000)</f>
        <v>·</v>
      </c>
      <c r="AF14" s="16" t="str">
        <f>IF(ISBLANK(AJ14),"·",AJ14/D14)</f>
        <v>·</v>
      </c>
      <c r="AG14" s="15" t="str">
        <f>IF(OR(ISBLANK(AH14),ISBLANK(AN14),ISBLANK(AO14)),".",AH14+AN14+AO14)</f>
        <v>.</v>
      </c>
      <c r="AH14" s="15" t="str">
        <f>IF(OR(ISBLANK(AL14),ISBLANK(AK14),ISBLANK(AM14)),".",AK14+AL14+AM14)</f>
        <v>.</v>
      </c>
      <c r="AI14" s="36"/>
      <c r="AJ14" s="17"/>
      <c r="AK14" s="17"/>
      <c r="AL14" s="17"/>
      <c r="AM14" s="17"/>
      <c r="AN14" s="17"/>
      <c r="AO14" s="17"/>
      <c r="AP14" s="37"/>
      <c r="AQ14" s="37"/>
      <c r="AR14" s="37"/>
      <c r="AS14" s="37"/>
      <c r="AT14" s="37"/>
      <c r="AU14" s="37"/>
      <c r="AV14" s="37"/>
      <c r="AW14" s="67"/>
      <c r="AX14" s="67"/>
      <c r="AZ14" s="68"/>
      <c r="BA14" s="68"/>
      <c r="BB14" s="68"/>
      <c r="BC14" s="68"/>
      <c r="BD14" s="68"/>
      <c r="BE14" s="68"/>
      <c r="BF14" s="68"/>
      <c r="BH14" s="68"/>
      <c r="BI14" s="68"/>
      <c r="BJ14" s="68"/>
      <c r="BK14" s="68"/>
      <c r="BL14" s="68"/>
      <c r="BM14" s="68"/>
      <c r="BN14" s="68"/>
      <c r="BP14" s="68">
        <f>IF(AND(AK14=0,AK14=0),0,AK14/P14-1)</f>
        <v>0</v>
      </c>
      <c r="BQ14" s="68">
        <f>IF(AND(AL14=0,AL14=0),0,AL14/Q14-1)</f>
        <v>0</v>
      </c>
      <c r="BR14" s="68">
        <f>IF(AND(AM14=0,AM14=0),0,AM14/R14-1)</f>
        <v>0</v>
      </c>
      <c r="BS14" s="68">
        <f>IF(AND(AN14=0,AN14=0),0,AN14/S14-1)</f>
        <v>0</v>
      </c>
      <c r="BT14" s="68">
        <f>IF(AND(AO14=0,AO14=0),0,AO14/T14-1)</f>
        <v>0</v>
      </c>
    </row>
    <row r="15" spans="1:72" ht="15" customHeight="1" x14ac:dyDescent="0.15">
      <c r="A15" s="8" t="s">
        <v>187</v>
      </c>
      <c r="B15" s="8" t="s">
        <v>52</v>
      </c>
      <c r="C15" s="10" t="s">
        <v>422</v>
      </c>
      <c r="D15" s="8">
        <v>11842002</v>
      </c>
      <c r="E15" s="9">
        <v>12</v>
      </c>
      <c r="F15" s="10">
        <v>32</v>
      </c>
      <c r="G15" s="10">
        <v>30</v>
      </c>
      <c r="H15" s="10">
        <v>3</v>
      </c>
      <c r="J15" s="63">
        <f>IF(OR(ISBLANK(O15),ISBLANK(G15)),"·",O15*G15/F15/1000000)</f>
        <v>2.9687475000000001</v>
      </c>
      <c r="K15" s="11">
        <f>IF(ISBLANK(O15),"·",O15/D15)</f>
        <v>0.26740951403318458</v>
      </c>
      <c r="L15" s="10">
        <f>IF(OR(ISBLANK(M15),ISBLANK(S15),ISBLANK(T15)),".",M15+S15+T15)</f>
        <v>3166664</v>
      </c>
      <c r="M15" s="10">
        <f>IF(OR(ISBLANK(Q15),ISBLANK(P15),ISBLANK(R15)),".",P15+Q15+R15)</f>
        <v>1222712</v>
      </c>
      <c r="N15" s="25">
        <v>604864</v>
      </c>
      <c r="O15" s="12">
        <v>3166664</v>
      </c>
      <c r="P15" s="12">
        <v>701736</v>
      </c>
      <c r="Q15" s="12">
        <v>0</v>
      </c>
      <c r="R15" s="12">
        <v>520976</v>
      </c>
      <c r="S15" s="12">
        <v>1936872</v>
      </c>
      <c r="T15" s="12">
        <v>7080</v>
      </c>
      <c r="U15" s="26">
        <v>70.557730199999995</v>
      </c>
      <c r="V15" s="26">
        <v>71.687577599999997</v>
      </c>
      <c r="W15" s="26">
        <v>35.521019799999998</v>
      </c>
      <c r="X15" s="26">
        <v>43.431657299999998</v>
      </c>
      <c r="Y15" s="26">
        <v>44.907465199999997</v>
      </c>
      <c r="Z15" s="26">
        <v>45.1331548</v>
      </c>
      <c r="AA15" s="26">
        <v>31.989313200000002</v>
      </c>
      <c r="AB15" s="64">
        <v>2643.6776450000002</v>
      </c>
      <c r="AC15" s="64">
        <v>14.255871000000001</v>
      </c>
      <c r="AE15" s="63" t="str">
        <f>IF(OR(ISBLANK(AJ15),ISBLANK(G15)),"·",AJ15*G15/F15/1000000)</f>
        <v>·</v>
      </c>
      <c r="AF15" s="11" t="str">
        <f>IF(ISBLANK(AJ15),"·",AJ15/D15)</f>
        <v>·</v>
      </c>
      <c r="AG15" s="10" t="str">
        <f>IF(OR(ISBLANK(AH15),ISBLANK(AN15),ISBLANK(AO15)),".",AH15+AN15+AO15)</f>
        <v>.</v>
      </c>
      <c r="AH15" s="10" t="str">
        <f>IF(OR(ISBLANK(AL15),ISBLANK(AK15),ISBLANK(AM15)),".",AK15+AL15+AM15)</f>
        <v>.</v>
      </c>
      <c r="AI15" s="25"/>
      <c r="AJ15" s="12"/>
      <c r="AK15" s="12"/>
      <c r="AL15" s="12"/>
      <c r="AM15" s="12"/>
      <c r="AN15" s="12"/>
      <c r="AO15" s="12"/>
      <c r="AP15" s="26"/>
      <c r="AQ15" s="26"/>
      <c r="AR15" s="26"/>
      <c r="AS15" s="26"/>
      <c r="AT15" s="26"/>
      <c r="AU15" s="26"/>
      <c r="AV15" s="26"/>
      <c r="AW15" s="64"/>
      <c r="AX15" s="64"/>
      <c r="AZ15" s="65" t="str">
        <f t="array" ref="AZ15">IF( OR(AND(ISBLANK(L15:L19)),AND(ISBLANK(AG15:AG19)), AND(ISBLANK(U15:U19)),AND(ISBLANK(AP15:AP19))), "·", bdRateExtend( L15:L19,U15:U19, AG15:AG19,AP15:AP19))</f>
        <v>·</v>
      </c>
      <c r="BA15" s="65" t="str">
        <f t="array" ref="BA15">IF( OR(AND(ISBLANK(L15:L19)),AND(ISBLANK(AG15:AG19)), AND(ISBLANK(V15:V19)),AND(ISBLANK(AQ15:AQ19))), "·", bdRateExtend( L15:L19,V15:V19, AG15:AG19,AQ15:AQ19))</f>
        <v>·</v>
      </c>
      <c r="BB15" s="65" t="str">
        <f t="array" ref="BB15">IF( OR(AND(ISBLANK(L15:L19)),AND(ISBLANK(AG15:AG19)), AND(ISBLANK(W15:W19)),AND(ISBLANK(AR15:AR19))), "·", bdRateExtend( L15:L19,W15:W19, AG15:AG19,AR15:AR19))</f>
        <v>·</v>
      </c>
      <c r="BC15" s="65" t="str">
        <f t="array" ref="BC15">IF( OR(AND(ISBLANK(L15:L19)),AND(ISBLANK(AG15:AG19)), AND(ISBLANK(X15:X19)),AND(ISBLANK(AS15:AS19))), "·", bdRateExtend( L15:L19,X15:X19, AG15:AG19,AS15:AS19))</f>
        <v>·</v>
      </c>
      <c r="BD15" s="65" t="str">
        <f t="array" ref="BD15">IF( OR(AND(ISBLANK(L15:L19)),AND(ISBLANK(AG15:AG19)), AND(ISBLANK(Y15:Y19)),AND(ISBLANK(AT15:AT19))), "·", bdRateExtend( L15:L19,Y15:Y19, AG15:AG19,AT15:AT19))</f>
        <v>·</v>
      </c>
      <c r="BE15" s="65" t="str">
        <f t="array" ref="BE15">IF( OR(AND(ISBLANK(L15:L19)),AND(ISBLANK(AG15:AG19)), AND(ISBLANK(Z15:Z19)),AND(ISBLANK(AU15:AU19))), "·", bdRateExtend( L15:L19,Z15:Z19, AG15:AG19,AU15:AU19))</f>
        <v>·</v>
      </c>
      <c r="BF15" s="65" t="str">
        <f t="array" ref="BF15">IF( OR(AND(ISBLANK(L15:L19)),AND(ISBLANK(AG15:AG19)), AND(ISBLANK(AA15:AA19)),AND(ISBLANK(AV15:AV19))), "·", bdRateExtend( L15:L19,AA15:AA19, AG15:AG19,AV15:AV19))</f>
        <v>·</v>
      </c>
      <c r="BH15" s="65" t="str">
        <f t="array" ref="BH15">IF( OR(AND(ISBLANK(M15:M19)),AND(ISBLANK(AH15:AH19)), AND(ISBLANK(U15:U19)),AND(ISBLANK(AP15:AP19))), "·", bdRateExtend( M15:M19,U15:U19, AH15:AH19,AP15:AP19))</f>
        <v>·</v>
      </c>
      <c r="BI15" s="65" t="str">
        <f t="array" ref="BI15">IF( OR(AND(ISBLANK(M15:M19)),AND(ISBLANK(AH15:AH19)), AND(ISBLANK(V15:V19)),AND(ISBLANK(AQ15:AQ19))), "·", bdRateExtend( M15:M19,V15:V19, AH15:AH19,AQ15:AQ19))</f>
        <v>·</v>
      </c>
      <c r="BJ15" s="65" t="str">
        <f t="array" ref="BJ15">IF( OR(AND(ISBLANK(S15:S19)),AND(ISBLANK(AN15:AN19)), AND(ISBLANK(W15:W19)),AND(ISBLANK(AR15:AR19))), "·", bdRateExtend( S15:S19,W15:W19, AN15:AN19,AR15:AR19))</f>
        <v>·</v>
      </c>
      <c r="BK15" s="65" t="str">
        <f t="array" ref="BK15">IF( OR(AND(ISBLANK(S15:S19)),AND(ISBLANK(AN15:AN19)), AND(ISBLANK(X15:X19)),AND(ISBLANK(AS15:AS19))), "·", bdRateExtend( S15:S19,X15:X19, AN15:AN19,AS15:AS19))</f>
        <v>·</v>
      </c>
      <c r="BL15" s="65" t="str">
        <f t="array" ref="BL15">IF( OR(AND(ISBLANK(S15:S19)),AND(ISBLANK(AN15:AN19)), AND(ISBLANK(Y15:Y19)),AND(ISBLANK(AT15:AT19))), "·", bdRateExtend( S15:S19,Y15:Y19, AN15:AN19,AT15:AT19))</f>
        <v>·</v>
      </c>
      <c r="BM15" s="65" t="str">
        <f t="array" ref="BM15">IF( OR(AND(ISBLANK(M15:M19)),AND(ISBLANK(AH15:AH19)), AND(ISBLANK(Z15:Z19)),AND(ISBLANK(AU15:AU19))), "·", bdRateExtend( M15:M19,Z15:Z19, AH15:AH19,AU15:AU19))</f>
        <v>·</v>
      </c>
      <c r="BN15" s="65" t="str">
        <f t="array" ref="BN15">IF( OR(AND(ISBLANK(S15:S19)),AND(ISBLANK(AN15:AN19)), AND(ISBLANK(AA15:AA19)),AND(ISBLANK(AV15:AV19))), "·", bdRateExtend( S15:S19,AA15:AA19, AN15:AN19,AV15:AV19))</f>
        <v>·</v>
      </c>
      <c r="BP15" s="65">
        <f>IF(AND(AK15=0,AK15=0),0,AK15/P15-1)</f>
        <v>0</v>
      </c>
      <c r="BQ15" s="65">
        <f>IF(AND(AL15=0,AL15=0),0,AL15/Q15-1)</f>
        <v>0</v>
      </c>
      <c r="BR15" s="65">
        <f>IF(AND(AM15=0,AM15=0),0,AM15/R15-1)</f>
        <v>0</v>
      </c>
      <c r="BS15" s="65">
        <f>IF(AND(AN15=0,AN15=0),0,AN15/S15-1)</f>
        <v>0</v>
      </c>
      <c r="BT15" s="65">
        <f>IF(AND(AO15=0,AO15=0),0,AO15/T15-1)</f>
        <v>0</v>
      </c>
    </row>
    <row r="16" spans="1:72" ht="15" customHeight="1" outlineLevel="1" x14ac:dyDescent="0.15">
      <c r="A16" s="18"/>
      <c r="B16" s="18" t="s">
        <v>52</v>
      </c>
      <c r="C16" s="20" t="s">
        <v>423</v>
      </c>
      <c r="D16" s="18">
        <v>11842002</v>
      </c>
      <c r="E16" s="19">
        <v>12</v>
      </c>
      <c r="F16" s="20">
        <v>32</v>
      </c>
      <c r="G16" s="20">
        <v>30</v>
      </c>
      <c r="H16" s="20">
        <v>5</v>
      </c>
      <c r="J16" s="69">
        <f>IF(OR(ISBLANK(O16),ISBLANK(G16)),"·",O16*G16/F16/1000000)</f>
        <v>4.8748649999999998</v>
      </c>
      <c r="K16" s="21">
        <f>IF(ISBLANK(O16),"·",O16/D16)</f>
        <v>0.43910278008735348</v>
      </c>
      <c r="L16" s="20">
        <f>IF(OR(ISBLANK(M16),ISBLANK(S16),ISBLANK(T16)),".",M16+S16+T16)</f>
        <v>5199856</v>
      </c>
      <c r="M16" s="20">
        <f>IF(OR(ISBLANK(Q16),ISBLANK(P16),ISBLANK(R16)),".",P16+Q16+R16)</f>
        <v>1499136</v>
      </c>
      <c r="N16" s="27">
        <v>604864</v>
      </c>
      <c r="O16" s="22">
        <v>5199856</v>
      </c>
      <c r="P16" s="22">
        <v>762840</v>
      </c>
      <c r="Q16" s="22">
        <v>0</v>
      </c>
      <c r="R16" s="22">
        <v>736296</v>
      </c>
      <c r="S16" s="22">
        <v>3693648</v>
      </c>
      <c r="T16" s="22">
        <v>7072</v>
      </c>
      <c r="U16" s="28">
        <v>71.710027600000004</v>
      </c>
      <c r="V16" s="28">
        <v>72.935399599999997</v>
      </c>
      <c r="W16" s="28">
        <v>38.179885499999997</v>
      </c>
      <c r="X16" s="28">
        <v>44.024775599999998</v>
      </c>
      <c r="Y16" s="28">
        <v>46.246709299999999</v>
      </c>
      <c r="Z16" s="28">
        <v>45.595488099999997</v>
      </c>
      <c r="AA16" s="28">
        <v>33.198616600000001</v>
      </c>
      <c r="AB16" s="70">
        <v>2798.2623039999999</v>
      </c>
      <c r="AC16" s="70">
        <v>16.105734999999999</v>
      </c>
      <c r="AE16" s="69" t="str">
        <f>IF(OR(ISBLANK(AJ16),ISBLANK(G16)),"·",AJ16*G16/F16/1000000)</f>
        <v>·</v>
      </c>
      <c r="AF16" s="21" t="str">
        <f>IF(ISBLANK(AJ16),"·",AJ16/D16)</f>
        <v>·</v>
      </c>
      <c r="AG16" s="20" t="str">
        <f>IF(OR(ISBLANK(AH16),ISBLANK(AN16),ISBLANK(AO16)),".",AH16+AN16+AO16)</f>
        <v>.</v>
      </c>
      <c r="AH16" s="20" t="str">
        <f>IF(OR(ISBLANK(AL16),ISBLANK(AK16),ISBLANK(AM16)),".",AK16+AL16+AM16)</f>
        <v>.</v>
      </c>
      <c r="AI16" s="27"/>
      <c r="AJ16" s="22"/>
      <c r="AK16" s="22"/>
      <c r="AL16" s="22"/>
      <c r="AM16" s="22"/>
      <c r="AN16" s="22"/>
      <c r="AO16" s="22"/>
      <c r="AP16" s="28"/>
      <c r="AQ16" s="28"/>
      <c r="AR16" s="28"/>
      <c r="AS16" s="28"/>
      <c r="AT16" s="28"/>
      <c r="AU16" s="28"/>
      <c r="AV16" s="28"/>
      <c r="AW16" s="70"/>
      <c r="AX16" s="70"/>
      <c r="AZ16" s="71"/>
      <c r="BA16" s="71"/>
      <c r="BB16" s="71"/>
      <c r="BC16" s="71"/>
      <c r="BD16" s="71"/>
      <c r="BE16" s="71"/>
      <c r="BF16" s="71"/>
      <c r="BH16" s="71"/>
      <c r="BI16" s="71"/>
      <c r="BJ16" s="71"/>
      <c r="BK16" s="71"/>
      <c r="BL16" s="71"/>
      <c r="BM16" s="71"/>
      <c r="BN16" s="71"/>
      <c r="BP16" s="71">
        <f>IF(AND(AK16=0,AK16=0),0,AK16/P16-1)</f>
        <v>0</v>
      </c>
      <c r="BQ16" s="71">
        <f>IF(AND(AL16=0,AL16=0),0,AL16/Q16-1)</f>
        <v>0</v>
      </c>
      <c r="BR16" s="71">
        <f>IF(AND(AM16=0,AM16=0),0,AM16/R16-1)</f>
        <v>0</v>
      </c>
      <c r="BS16" s="71">
        <f>IF(AND(AN16=0,AN16=0),0,AN16/S16-1)</f>
        <v>0</v>
      </c>
      <c r="BT16" s="71">
        <f>IF(AND(AO16=0,AO16=0),0,AO16/T16-1)</f>
        <v>0</v>
      </c>
    </row>
    <row r="17" spans="1:72" ht="15" customHeight="1" outlineLevel="1" x14ac:dyDescent="0.15">
      <c r="A17" s="8"/>
      <c r="B17" s="8" t="s">
        <v>52</v>
      </c>
      <c r="C17" s="10" t="s">
        <v>424</v>
      </c>
      <c r="D17" s="8">
        <v>11842002</v>
      </c>
      <c r="E17" s="9">
        <v>12</v>
      </c>
      <c r="F17" s="10">
        <v>32</v>
      </c>
      <c r="G17" s="10">
        <v>30</v>
      </c>
      <c r="H17" s="10">
        <v>10</v>
      </c>
      <c r="J17" s="63">
        <f>IF(OR(ISBLANK(O17),ISBLANK(G17)),"·",O17*G17/F17/1000000)</f>
        <v>9.6342149999999993</v>
      </c>
      <c r="K17" s="11">
        <f>IF(ISBLANK(O17),"·",O17/D17)</f>
        <v>0.867800562776463</v>
      </c>
      <c r="L17" s="10">
        <f>IF(OR(ISBLANK(M17),ISBLANK(S17),ISBLANK(T17)),".",M17+S17+T17)</f>
        <v>10276496</v>
      </c>
      <c r="M17" s="10">
        <f>IF(OR(ISBLANK(Q17),ISBLANK(P17),ISBLANK(R17)),".",P17+Q17+R17)</f>
        <v>2845352</v>
      </c>
      <c r="N17" s="25">
        <v>1210368</v>
      </c>
      <c r="O17" s="12">
        <v>10276496</v>
      </c>
      <c r="P17" s="12">
        <v>1271280</v>
      </c>
      <c r="Q17" s="12">
        <v>0</v>
      </c>
      <c r="R17" s="12">
        <v>1574072</v>
      </c>
      <c r="S17" s="12">
        <v>7423808</v>
      </c>
      <c r="T17" s="12">
        <v>7336</v>
      </c>
      <c r="U17" s="26">
        <v>76.531136599999996</v>
      </c>
      <c r="V17" s="26">
        <v>78.413520300000002</v>
      </c>
      <c r="W17" s="26">
        <v>40.876019100000001</v>
      </c>
      <c r="X17" s="26">
        <v>44.962374400000002</v>
      </c>
      <c r="Y17" s="26">
        <v>48.019191999999997</v>
      </c>
      <c r="Z17" s="26">
        <v>47.982196999999999</v>
      </c>
      <c r="AA17" s="26">
        <v>36.378926399999997</v>
      </c>
      <c r="AB17" s="64">
        <v>3181.3304210000001</v>
      </c>
      <c r="AC17" s="64">
        <v>19.268675000000002</v>
      </c>
      <c r="AE17" s="63" t="str">
        <f>IF(OR(ISBLANK(AJ17),ISBLANK(G17)),"·",AJ17*G17/F17/1000000)</f>
        <v>·</v>
      </c>
      <c r="AF17" s="11" t="str">
        <f>IF(ISBLANK(AJ17),"·",AJ17/D17)</f>
        <v>·</v>
      </c>
      <c r="AG17" s="10" t="str">
        <f>IF(OR(ISBLANK(AH17),ISBLANK(AN17),ISBLANK(AO17)),".",AH17+AN17+AO17)</f>
        <v>.</v>
      </c>
      <c r="AH17" s="10" t="str">
        <f>IF(OR(ISBLANK(AL17),ISBLANK(AK17),ISBLANK(AM17)),".",AK17+AL17+AM17)</f>
        <v>.</v>
      </c>
      <c r="AI17" s="25"/>
      <c r="AJ17" s="12"/>
      <c r="AK17" s="12"/>
      <c r="AL17" s="12"/>
      <c r="AM17" s="12"/>
      <c r="AN17" s="12"/>
      <c r="AO17" s="12"/>
      <c r="AP17" s="26"/>
      <c r="AQ17" s="26"/>
      <c r="AR17" s="26"/>
      <c r="AS17" s="26"/>
      <c r="AT17" s="26"/>
      <c r="AU17" s="26"/>
      <c r="AV17" s="26"/>
      <c r="AW17" s="64"/>
      <c r="AX17" s="64"/>
      <c r="AZ17" s="65"/>
      <c r="BA17" s="65"/>
      <c r="BB17" s="65"/>
      <c r="BC17" s="65"/>
      <c r="BD17" s="65"/>
      <c r="BE17" s="65"/>
      <c r="BF17" s="65"/>
      <c r="BH17" s="65"/>
      <c r="BI17" s="65"/>
      <c r="BJ17" s="65"/>
      <c r="BK17" s="65"/>
      <c r="BL17" s="65"/>
      <c r="BM17" s="65"/>
      <c r="BN17" s="65"/>
      <c r="BP17" s="65">
        <f>IF(AND(AK17=0,AK17=0),0,AK17/P17-1)</f>
        <v>0</v>
      </c>
      <c r="BQ17" s="65">
        <f>IF(AND(AL17=0,AL17=0),0,AL17/Q17-1)</f>
        <v>0</v>
      </c>
      <c r="BR17" s="65">
        <f>IF(AND(AM17=0,AM17=0),0,AM17/R17-1)</f>
        <v>0</v>
      </c>
      <c r="BS17" s="65">
        <f>IF(AND(AN17=0,AN17=0),0,AN17/S17-1)</f>
        <v>0</v>
      </c>
      <c r="BT17" s="65">
        <f>IF(AND(AO17=0,AO17=0),0,AO17/T17-1)</f>
        <v>0</v>
      </c>
    </row>
    <row r="18" spans="1:72" ht="15" customHeight="1" outlineLevel="1" x14ac:dyDescent="0.15">
      <c r="A18" s="18"/>
      <c r="B18" s="18" t="s">
        <v>52</v>
      </c>
      <c r="C18" s="20" t="s">
        <v>425</v>
      </c>
      <c r="D18" s="18">
        <v>11842002</v>
      </c>
      <c r="E18" s="19">
        <v>12</v>
      </c>
      <c r="F18" s="20">
        <v>32</v>
      </c>
      <c r="G18" s="20">
        <v>30</v>
      </c>
      <c r="H18" s="20">
        <v>14</v>
      </c>
      <c r="J18" s="69">
        <f>IF(OR(ISBLANK(O18),ISBLANK(G18)),"·",O18*G18/F18/1000000)</f>
        <v>13.928235000000001</v>
      </c>
      <c r="K18" s="21">
        <f>IF(ISBLANK(O18),"·",O18/D18)</f>
        <v>1.2545838110819438</v>
      </c>
      <c r="L18" s="20">
        <f>IF(OR(ISBLANK(M18),ISBLANK(S18),ISBLANK(T18)),".",M18+S18+T18)</f>
        <v>14856784</v>
      </c>
      <c r="M18" s="20">
        <f>IF(OR(ISBLANK(Q18),ISBLANK(P18),ISBLANK(R18)),".",P18+Q18+R18)</f>
        <v>4072800</v>
      </c>
      <c r="N18" s="27">
        <v>2421136</v>
      </c>
      <c r="O18" s="22">
        <v>14856784</v>
      </c>
      <c r="P18" s="22">
        <v>2189576</v>
      </c>
      <c r="Q18" s="22">
        <v>0</v>
      </c>
      <c r="R18" s="22">
        <v>1883224</v>
      </c>
      <c r="S18" s="22">
        <v>10776648</v>
      </c>
      <c r="T18" s="22">
        <v>7336</v>
      </c>
      <c r="U18" s="28">
        <v>78.844435700000005</v>
      </c>
      <c r="V18" s="28">
        <v>81.259931199999997</v>
      </c>
      <c r="W18" s="28">
        <v>41.917637200000001</v>
      </c>
      <c r="X18" s="28">
        <v>45.651961999999997</v>
      </c>
      <c r="Y18" s="28">
        <v>49.214258100000002</v>
      </c>
      <c r="Z18" s="28">
        <v>49.486684400000001</v>
      </c>
      <c r="AA18" s="28">
        <v>38.000630899999997</v>
      </c>
      <c r="AB18" s="70">
        <v>3562.1284000000001</v>
      </c>
      <c r="AC18" s="70">
        <v>18.274736000000001</v>
      </c>
      <c r="AE18" s="69" t="str">
        <f>IF(OR(ISBLANK(AJ18),ISBLANK(G18)),"·",AJ18*G18/F18/1000000)</f>
        <v>·</v>
      </c>
      <c r="AF18" s="21" t="str">
        <f>IF(ISBLANK(AJ18),"·",AJ18/D18)</f>
        <v>·</v>
      </c>
      <c r="AG18" s="20" t="str">
        <f>IF(OR(ISBLANK(AH18),ISBLANK(AN18),ISBLANK(AO18)),".",AH18+AN18+AO18)</f>
        <v>.</v>
      </c>
      <c r="AH18" s="20" t="str">
        <f>IF(OR(ISBLANK(AL18),ISBLANK(AK18),ISBLANK(AM18)),".",AK18+AL18+AM18)</f>
        <v>.</v>
      </c>
      <c r="AI18" s="27"/>
      <c r="AJ18" s="22"/>
      <c r="AK18" s="22"/>
      <c r="AL18" s="22"/>
      <c r="AM18" s="22"/>
      <c r="AN18" s="22"/>
      <c r="AO18" s="22"/>
      <c r="AP18" s="28"/>
      <c r="AQ18" s="28"/>
      <c r="AR18" s="28"/>
      <c r="AS18" s="28"/>
      <c r="AT18" s="28"/>
      <c r="AU18" s="28"/>
      <c r="AV18" s="28"/>
      <c r="AW18" s="70"/>
      <c r="AX18" s="70"/>
      <c r="AZ18" s="71"/>
      <c r="BA18" s="71"/>
      <c r="BB18" s="71"/>
      <c r="BC18" s="71"/>
      <c r="BD18" s="71"/>
      <c r="BE18" s="71"/>
      <c r="BF18" s="71"/>
      <c r="BH18" s="71"/>
      <c r="BI18" s="71"/>
      <c r="BJ18" s="71"/>
      <c r="BK18" s="71"/>
      <c r="BL18" s="71"/>
      <c r="BM18" s="71"/>
      <c r="BN18" s="71"/>
      <c r="BP18" s="71">
        <f>IF(AND(AK18=0,AK18=0),0,AK18/P18-1)</f>
        <v>0</v>
      </c>
      <c r="BQ18" s="71">
        <f>IF(AND(AL18=0,AL18=0),0,AL18/Q18-1)</f>
        <v>0</v>
      </c>
      <c r="BR18" s="71">
        <f>IF(AND(AM18=0,AM18=0),0,AM18/R18-1)</f>
        <v>0</v>
      </c>
      <c r="BS18" s="71">
        <f>IF(AND(AN18=0,AN18=0),0,AN18/S18-1)</f>
        <v>0</v>
      </c>
      <c r="BT18" s="71">
        <f>IF(AND(AO18=0,AO18=0),0,AO18/T18-1)</f>
        <v>0</v>
      </c>
    </row>
    <row r="19" spans="1:72" ht="15.75" customHeight="1" outlineLevel="1" thickBot="1" x14ac:dyDescent="0.2">
      <c r="A19" s="8"/>
      <c r="B19" s="29" t="s">
        <v>52</v>
      </c>
      <c r="C19" s="30" t="s">
        <v>426</v>
      </c>
      <c r="D19" s="29">
        <v>11842002</v>
      </c>
      <c r="E19" s="31">
        <v>12</v>
      </c>
      <c r="F19" s="30">
        <v>32</v>
      </c>
      <c r="G19" s="30">
        <v>30</v>
      </c>
      <c r="H19" s="30">
        <v>21</v>
      </c>
      <c r="J19" s="75">
        <f>IF(OR(ISBLANK(O19),ISBLANK(G19)),"·",O19*G19/F19/1000000)</f>
        <v>20.812987499999998</v>
      </c>
      <c r="K19" s="32">
        <f>IF(ISBLANK(O19),"·",O19/D19)</f>
        <v>1.8747269253965673</v>
      </c>
      <c r="L19" s="30">
        <f>IF(OR(ISBLANK(M19),ISBLANK(S19),ISBLANK(T19)),".",M19+S19+T19)</f>
        <v>22200520</v>
      </c>
      <c r="M19" s="30">
        <f>IF(OR(ISBLANK(Q19),ISBLANK(P19),ISBLANK(R19)),".",P19+Q19+R19)</f>
        <v>4279848</v>
      </c>
      <c r="N19" s="33">
        <v>2421136</v>
      </c>
      <c r="O19" s="34">
        <v>22200520</v>
      </c>
      <c r="P19" s="34">
        <v>2189576</v>
      </c>
      <c r="Q19" s="34">
        <v>0</v>
      </c>
      <c r="R19" s="34">
        <v>2090272</v>
      </c>
      <c r="S19" s="34">
        <v>17913336</v>
      </c>
      <c r="T19" s="34">
        <v>7336</v>
      </c>
      <c r="U19" s="35">
        <v>79.162558899999993</v>
      </c>
      <c r="V19" s="35">
        <v>81.685570900000002</v>
      </c>
      <c r="W19" s="35">
        <v>42.8984229</v>
      </c>
      <c r="X19" s="35">
        <v>46.584854800000002</v>
      </c>
      <c r="Y19" s="35">
        <v>50.528315900000003</v>
      </c>
      <c r="Z19" s="35">
        <v>49.593182499999998</v>
      </c>
      <c r="AA19" s="35">
        <v>38.485236899999997</v>
      </c>
      <c r="AB19" s="76">
        <v>3813.6652770000001</v>
      </c>
      <c r="AC19" s="76">
        <v>22.566393999999999</v>
      </c>
      <c r="AE19" s="75" t="str">
        <f>IF(OR(ISBLANK(AJ19),ISBLANK(G19)),"·",AJ19*G19/F19/1000000)</f>
        <v>·</v>
      </c>
      <c r="AF19" s="32" t="str">
        <f>IF(ISBLANK(AJ19),"·",AJ19/D19)</f>
        <v>·</v>
      </c>
      <c r="AG19" s="30" t="str">
        <f>IF(OR(ISBLANK(AH19),ISBLANK(AN19),ISBLANK(AO19)),".",AH19+AN19+AO19)</f>
        <v>.</v>
      </c>
      <c r="AH19" s="30" t="str">
        <f>IF(OR(ISBLANK(AL19),ISBLANK(AK19),ISBLANK(AM19)),".",AK19+AL19+AM19)</f>
        <v>.</v>
      </c>
      <c r="AI19" s="33"/>
      <c r="AJ19" s="34"/>
      <c r="AK19" s="34"/>
      <c r="AL19" s="34"/>
      <c r="AM19" s="34"/>
      <c r="AN19" s="34"/>
      <c r="AO19" s="34"/>
      <c r="AP19" s="35"/>
      <c r="AQ19" s="35"/>
      <c r="AR19" s="35"/>
      <c r="AS19" s="35"/>
      <c r="AT19" s="35"/>
      <c r="AU19" s="35"/>
      <c r="AV19" s="35"/>
      <c r="AW19" s="76"/>
      <c r="AX19" s="76"/>
      <c r="AZ19" s="77"/>
      <c r="BA19" s="77"/>
      <c r="BB19" s="77"/>
      <c r="BC19" s="77"/>
      <c r="BD19" s="77"/>
      <c r="BE19" s="77"/>
      <c r="BF19" s="77"/>
      <c r="BH19" s="77"/>
      <c r="BI19" s="77"/>
      <c r="BJ19" s="77"/>
      <c r="BK19" s="77"/>
      <c r="BL19" s="77"/>
      <c r="BM19" s="77"/>
      <c r="BN19" s="77"/>
      <c r="BP19" s="77">
        <f>IF(AND(AK19=0,AK19=0),0,AK19/P19-1)</f>
        <v>0</v>
      </c>
      <c r="BQ19" s="77">
        <f>IF(AND(AL19=0,AL19=0),0,AL19/Q19-1)</f>
        <v>0</v>
      </c>
      <c r="BR19" s="77">
        <f>IF(AND(AM19=0,AM19=0),0,AM19/R19-1)</f>
        <v>0</v>
      </c>
      <c r="BS19" s="77">
        <f>IF(AND(AN19=0,AN19=0),0,AN19/S19-1)</f>
        <v>0</v>
      </c>
      <c r="BT19" s="77">
        <f>IF(AND(AO19=0,AO19=0),0,AO19/T19-1)</f>
        <v>0</v>
      </c>
    </row>
    <row r="20" spans="1:72" ht="15" customHeight="1" x14ac:dyDescent="0.15">
      <c r="A20" s="18"/>
      <c r="B20" s="18" t="s">
        <v>57</v>
      </c>
      <c r="C20" s="20" t="s">
        <v>422</v>
      </c>
      <c r="D20" s="18">
        <v>11812090</v>
      </c>
      <c r="E20" s="19">
        <v>12</v>
      </c>
      <c r="F20" s="20">
        <v>32</v>
      </c>
      <c r="G20" s="20">
        <v>30</v>
      </c>
      <c r="H20" s="20">
        <v>3</v>
      </c>
      <c r="J20" s="69">
        <f>IF(OR(ISBLANK(O20),ISBLANK(G20)),"·",O20*G20/F20/1000000)</f>
        <v>2.9603625</v>
      </c>
      <c r="K20" s="21">
        <f>IF(ISBLANK(O20),"·",O20/D20)</f>
        <v>0.26732949037807874</v>
      </c>
      <c r="L20" s="20">
        <f>IF(OR(ISBLANK(M20),ISBLANK(S20),ISBLANK(T20)),".",M20+S20+T20)</f>
        <v>3157720</v>
      </c>
      <c r="M20" s="20">
        <f>IF(OR(ISBLANK(Q20),ISBLANK(P20),ISBLANK(R20)),".",P20+Q20+R20)</f>
        <v>1185400</v>
      </c>
      <c r="N20" s="27">
        <v>604496</v>
      </c>
      <c r="O20" s="22">
        <v>3157720</v>
      </c>
      <c r="P20" s="22">
        <v>675152</v>
      </c>
      <c r="Q20" s="22">
        <v>0</v>
      </c>
      <c r="R20" s="22">
        <v>510248</v>
      </c>
      <c r="S20" s="22">
        <v>1965248</v>
      </c>
      <c r="T20" s="22">
        <v>7072</v>
      </c>
      <c r="U20" s="28">
        <v>70.658992999999995</v>
      </c>
      <c r="V20" s="28">
        <v>71.847679200000002</v>
      </c>
      <c r="W20" s="28">
        <v>34.452942399999998</v>
      </c>
      <c r="X20" s="28">
        <v>42.888601299999998</v>
      </c>
      <c r="Y20" s="28">
        <v>44.155776600000003</v>
      </c>
      <c r="Z20" s="28">
        <v>47.952576999999998</v>
      </c>
      <c r="AA20" s="28">
        <v>31.0258401</v>
      </c>
      <c r="AB20" s="70">
        <v>930.44791099999998</v>
      </c>
      <c r="AC20" s="70">
        <v>4.8770170000000004</v>
      </c>
      <c r="AE20" s="69" t="str">
        <f>IF(OR(ISBLANK(AJ20),ISBLANK(G20)),"·",AJ20*G20/F20/1000000)</f>
        <v>·</v>
      </c>
      <c r="AF20" s="21" t="str">
        <f>IF(ISBLANK(AJ20),"·",AJ20/D20)</f>
        <v>·</v>
      </c>
      <c r="AG20" s="20" t="str">
        <f>IF(OR(ISBLANK(AH20),ISBLANK(AN20),ISBLANK(AO20)),".",AH20+AN20+AO20)</f>
        <v>.</v>
      </c>
      <c r="AH20" s="20" t="str">
        <f>IF(OR(ISBLANK(AL20),ISBLANK(AK20),ISBLANK(AM20)),".",AK20+AL20+AM20)</f>
        <v>.</v>
      </c>
      <c r="AI20" s="27"/>
      <c r="AJ20" s="22"/>
      <c r="AK20" s="22"/>
      <c r="AL20" s="22"/>
      <c r="AM20" s="22"/>
      <c r="AN20" s="22"/>
      <c r="AO20" s="22"/>
      <c r="AP20" s="28"/>
      <c r="AQ20" s="28"/>
      <c r="AR20" s="28"/>
      <c r="AS20" s="28"/>
      <c r="AT20" s="28"/>
      <c r="AU20" s="28"/>
      <c r="AV20" s="28"/>
      <c r="AW20" s="70"/>
      <c r="AX20" s="70"/>
      <c r="AZ20" s="71" t="str">
        <f t="array" ref="AZ20">IF( OR(AND(ISBLANK(L20:L24)),AND(ISBLANK(AG20:AG24)), AND(ISBLANK(U20:U24)),AND(ISBLANK(AP20:AP24))), "·", bdRateExtend( L20:L24,U20:U24, AG20:AG24,AP20:AP24))</f>
        <v>·</v>
      </c>
      <c r="BA20" s="71" t="str">
        <f t="array" ref="BA20">IF( OR(AND(ISBLANK(L20:L24)),AND(ISBLANK(AG20:AG24)), AND(ISBLANK(V20:V24)),AND(ISBLANK(AQ20:AQ24))), "·", bdRateExtend( L20:L24,V20:V24, AG20:AG24,AQ20:AQ24))</f>
        <v>·</v>
      </c>
      <c r="BB20" s="71" t="str">
        <f t="array" ref="BB20">IF( OR(AND(ISBLANK(L20:L24)),AND(ISBLANK(AG20:AG24)), AND(ISBLANK(W20:W24)),AND(ISBLANK(AR20:AR24))), "·", bdRateExtend( L20:L24,W20:W24, AG20:AG24,AR20:AR24))</f>
        <v>·</v>
      </c>
      <c r="BC20" s="71" t="str">
        <f t="array" ref="BC20">IF( OR(AND(ISBLANK(L20:L24)),AND(ISBLANK(AG20:AG24)), AND(ISBLANK(X20:X24)),AND(ISBLANK(AS20:AS24))), "·", bdRateExtend( L20:L24,X20:X24, AG20:AG24,AS20:AS24))</f>
        <v>·</v>
      </c>
      <c r="BD20" s="71" t="str">
        <f t="array" ref="BD20">IF( OR(AND(ISBLANK(L20:L24)),AND(ISBLANK(AG20:AG24)), AND(ISBLANK(Y20:Y24)),AND(ISBLANK(AT20:AT24))), "·", bdRateExtend( L20:L24,Y20:Y24, AG20:AG24,AT20:AT24))</f>
        <v>·</v>
      </c>
      <c r="BE20" s="71" t="str">
        <f t="array" ref="BE20">IF( OR(AND(ISBLANK(L20:L24)),AND(ISBLANK(AG20:AG24)), AND(ISBLANK(Z20:Z24)),AND(ISBLANK(AU20:AU24))), "·", bdRateExtend( L20:L24,Z20:Z24, AG20:AG24,AU20:AU24))</f>
        <v>·</v>
      </c>
      <c r="BF20" s="71" t="str">
        <f t="array" ref="BF20">IF( OR(AND(ISBLANK(L20:L24)),AND(ISBLANK(AG20:AG24)), AND(ISBLANK(AA20:AA24)),AND(ISBLANK(AV20:AV24))), "·", bdRateExtend( L20:L24,AA20:AA24, AG20:AG24,AV20:AV24))</f>
        <v>·</v>
      </c>
      <c r="BH20" s="71" t="str">
        <f t="array" ref="BH20">IF( OR(AND(ISBLANK(M20:M24)),AND(ISBLANK(AH20:AH24)), AND(ISBLANK(U20:U24)),AND(ISBLANK(AP20:AP24))), "·", bdRateExtend( M20:M24,U20:U24, AH20:AH24,AP20:AP24))</f>
        <v>·</v>
      </c>
      <c r="BI20" s="71" t="str">
        <f t="array" ref="BI20">IF( OR(AND(ISBLANK(M20:M24)),AND(ISBLANK(AH20:AH24)), AND(ISBLANK(V20:V24)),AND(ISBLANK(AQ20:AQ24))), "·", bdRateExtend( M20:M24,V20:V24, AH20:AH24,AQ20:AQ24))</f>
        <v>·</v>
      </c>
      <c r="BJ20" s="71" t="str">
        <f t="array" ref="BJ20">IF( OR(AND(ISBLANK(S20:S24)),AND(ISBLANK(AN20:AN24)), AND(ISBLANK(W20:W24)),AND(ISBLANK(AR20:AR24))), "·", bdRateExtend( S20:S24,W20:W24, AN20:AN24,AR20:AR24))</f>
        <v>·</v>
      </c>
      <c r="BK20" s="71" t="str">
        <f t="array" ref="BK20">IF( OR(AND(ISBLANK(S20:S24)),AND(ISBLANK(AN20:AN24)), AND(ISBLANK(X20:X24)),AND(ISBLANK(AS20:AS24))), "·", bdRateExtend( S20:S24,X20:X24, AN20:AN24,AS20:AS24))</f>
        <v>·</v>
      </c>
      <c r="BL20" s="71" t="str">
        <f t="array" ref="BL20">IF( OR(AND(ISBLANK(S20:S24)),AND(ISBLANK(AN20:AN24)), AND(ISBLANK(Y20:Y24)),AND(ISBLANK(AT20:AT24))), "·", bdRateExtend( S20:S24,Y20:Y24, AN20:AN24,AT20:AT24))</f>
        <v>·</v>
      </c>
      <c r="BM20" s="71" t="str">
        <f t="array" ref="BM20">IF( OR(AND(ISBLANK(M20:M24)),AND(ISBLANK(AH20:AH24)), AND(ISBLANK(Z20:Z24)),AND(ISBLANK(AU20:AU24))), "·", bdRateExtend( M20:M24,Z20:Z24, AH20:AH24,AU20:AU24))</f>
        <v>·</v>
      </c>
      <c r="BN20" s="71" t="str">
        <f t="array" ref="BN20">IF( OR(AND(ISBLANK(S20:S24)),AND(ISBLANK(AN20:AN24)), AND(ISBLANK(AA20:AA24)),AND(ISBLANK(AV20:AV24))), "·", bdRateExtend( S20:S24,AA20:AA24, AN20:AN24,AV20:AV24))</f>
        <v>·</v>
      </c>
      <c r="BP20" s="71">
        <f>IF(AND(AK20=0,AK20=0),0,AK20/P20-1)</f>
        <v>0</v>
      </c>
      <c r="BQ20" s="71">
        <f>IF(AND(AL20=0,AL20=0),0,AL20/Q20-1)</f>
        <v>0</v>
      </c>
      <c r="BR20" s="71">
        <f>IF(AND(AM20=0,AM20=0),0,AM20/R20-1)</f>
        <v>0</v>
      </c>
      <c r="BS20" s="71">
        <f>IF(AND(AN20=0,AN20=0),0,AN20/S20-1)</f>
        <v>0</v>
      </c>
      <c r="BT20" s="71">
        <f>IF(AND(AO20=0,AO20=0),0,AO20/T20-1)</f>
        <v>0</v>
      </c>
    </row>
    <row r="21" spans="1:72" ht="15" customHeight="1" outlineLevel="1" x14ac:dyDescent="0.15">
      <c r="A21" s="8"/>
      <c r="B21" s="8" t="s">
        <v>57</v>
      </c>
      <c r="C21" s="10" t="s">
        <v>423</v>
      </c>
      <c r="D21" s="8">
        <v>11812090</v>
      </c>
      <c r="E21" s="9">
        <v>12</v>
      </c>
      <c r="F21" s="10">
        <v>32</v>
      </c>
      <c r="G21" s="10">
        <v>30</v>
      </c>
      <c r="H21" s="10">
        <v>5</v>
      </c>
      <c r="J21" s="63">
        <f>IF(OR(ISBLANK(O21),ISBLANK(G21)),"·",O21*G21/F21/1000000)</f>
        <v>4.9907700000000004</v>
      </c>
      <c r="K21" s="11">
        <f>IF(ISBLANK(O21),"·",O21/D21)</f>
        <v>0.4506812934882819</v>
      </c>
      <c r="L21" s="10">
        <f>IF(OR(ISBLANK(M21),ISBLANK(S21),ISBLANK(T21)),".",M21+S21+T21)</f>
        <v>5323488</v>
      </c>
      <c r="M21" s="10">
        <f>IF(OR(ISBLANK(Q21),ISBLANK(P21),ISBLANK(R21)),".",P21+Q21+R21)</f>
        <v>1296624</v>
      </c>
      <c r="N21" s="25">
        <v>604496</v>
      </c>
      <c r="O21" s="12">
        <v>5323488</v>
      </c>
      <c r="P21" s="12">
        <v>735952</v>
      </c>
      <c r="Q21" s="12">
        <v>0</v>
      </c>
      <c r="R21" s="12">
        <v>560672</v>
      </c>
      <c r="S21" s="12">
        <v>4019784</v>
      </c>
      <c r="T21" s="12">
        <v>7080</v>
      </c>
      <c r="U21" s="26">
        <v>71.023673799999997</v>
      </c>
      <c r="V21" s="26">
        <v>72.249713799999995</v>
      </c>
      <c r="W21" s="26">
        <v>37.2343245</v>
      </c>
      <c r="X21" s="26">
        <v>44.044946400000001</v>
      </c>
      <c r="Y21" s="26">
        <v>45.974607200000001</v>
      </c>
      <c r="Z21" s="26">
        <v>48.096748099999999</v>
      </c>
      <c r="AA21" s="26">
        <v>32.061271099999999</v>
      </c>
      <c r="AB21" s="64">
        <v>2643.6193560000002</v>
      </c>
      <c r="AC21" s="64">
        <v>14.73798</v>
      </c>
      <c r="AE21" s="63" t="str">
        <f>IF(OR(ISBLANK(AJ21),ISBLANK(G21)),"·",AJ21*G21/F21/1000000)</f>
        <v>·</v>
      </c>
      <c r="AF21" s="11" t="str">
        <f>IF(ISBLANK(AJ21),"·",AJ21/D21)</f>
        <v>·</v>
      </c>
      <c r="AG21" s="10" t="str">
        <f>IF(OR(ISBLANK(AH21),ISBLANK(AN21),ISBLANK(AO21)),".",AH21+AN21+AO21)</f>
        <v>.</v>
      </c>
      <c r="AH21" s="10" t="str">
        <f>IF(OR(ISBLANK(AL21),ISBLANK(AK21),ISBLANK(AM21)),".",AK21+AL21+AM21)</f>
        <v>.</v>
      </c>
      <c r="AI21" s="25"/>
      <c r="AJ21" s="12"/>
      <c r="AK21" s="12"/>
      <c r="AL21" s="12"/>
      <c r="AM21" s="12"/>
      <c r="AN21" s="12"/>
      <c r="AO21" s="12"/>
      <c r="AP21" s="26"/>
      <c r="AQ21" s="26"/>
      <c r="AR21" s="26"/>
      <c r="AS21" s="26"/>
      <c r="AT21" s="26"/>
      <c r="AU21" s="26"/>
      <c r="AV21" s="26"/>
      <c r="AW21" s="64"/>
      <c r="AX21" s="64"/>
      <c r="AZ21" s="65"/>
      <c r="BA21" s="65"/>
      <c r="BB21" s="65"/>
      <c r="BC21" s="65"/>
      <c r="BD21" s="65"/>
      <c r="BE21" s="65"/>
      <c r="BF21" s="65"/>
      <c r="BH21" s="65"/>
      <c r="BI21" s="65"/>
      <c r="BJ21" s="65"/>
      <c r="BK21" s="65"/>
      <c r="BL21" s="65"/>
      <c r="BM21" s="65"/>
      <c r="BN21" s="65"/>
      <c r="BP21" s="65">
        <f>IF(AND(AK21=0,AK21=0),0,AK21/P21-1)</f>
        <v>0</v>
      </c>
      <c r="BQ21" s="65">
        <f>IF(AND(AL21=0,AL21=0),0,AL21/Q21-1)</f>
        <v>0</v>
      </c>
      <c r="BR21" s="65">
        <f>IF(AND(AM21=0,AM21=0),0,AM21/R21-1)</f>
        <v>0</v>
      </c>
      <c r="BS21" s="65">
        <f>IF(AND(AN21=0,AN21=0),0,AN21/S21-1)</f>
        <v>0</v>
      </c>
      <c r="BT21" s="65">
        <f>IF(AND(AO21=0,AO21=0),0,AO21/T21-1)</f>
        <v>0</v>
      </c>
    </row>
    <row r="22" spans="1:72" ht="15" customHeight="1" outlineLevel="1" x14ac:dyDescent="0.15">
      <c r="A22" s="18"/>
      <c r="B22" s="18" t="s">
        <v>57</v>
      </c>
      <c r="C22" s="20" t="s">
        <v>424</v>
      </c>
      <c r="D22" s="18">
        <v>11812090</v>
      </c>
      <c r="E22" s="19">
        <v>12</v>
      </c>
      <c r="F22" s="20">
        <v>32</v>
      </c>
      <c r="G22" s="20">
        <v>30</v>
      </c>
      <c r="H22" s="20">
        <v>10</v>
      </c>
      <c r="J22" s="69">
        <f>IF(OR(ISBLANK(O22),ISBLANK(G22)),"·",O22*G22/F22/1000000)</f>
        <v>9.7633799999999997</v>
      </c>
      <c r="K22" s="21">
        <f>IF(ISBLANK(O22),"·",O22/D22)</f>
        <v>0.88166209366843629</v>
      </c>
      <c r="L22" s="20">
        <f>IF(OR(ISBLANK(M22),ISBLANK(S22),ISBLANK(T22)),".",M22+S22+T22)</f>
        <v>10414272</v>
      </c>
      <c r="M22" s="20">
        <f>IF(OR(ISBLANK(Q22),ISBLANK(P22),ISBLANK(R22)),".",P22+Q22+R22)</f>
        <v>2705144</v>
      </c>
      <c r="N22" s="27">
        <v>1209024</v>
      </c>
      <c r="O22" s="22">
        <v>10414272</v>
      </c>
      <c r="P22" s="22">
        <v>1123600</v>
      </c>
      <c r="Q22" s="22">
        <v>0</v>
      </c>
      <c r="R22" s="22">
        <v>1581544</v>
      </c>
      <c r="S22" s="22">
        <v>7701792</v>
      </c>
      <c r="T22" s="22">
        <v>7336</v>
      </c>
      <c r="U22" s="28">
        <v>76.398853799999998</v>
      </c>
      <c r="V22" s="28">
        <v>78.415579699999995</v>
      </c>
      <c r="W22" s="28">
        <v>40.2762843</v>
      </c>
      <c r="X22" s="28">
        <v>45.305727900000001</v>
      </c>
      <c r="Y22" s="28">
        <v>48.014832400000003</v>
      </c>
      <c r="Z22" s="28">
        <v>50.844054800000002</v>
      </c>
      <c r="AA22" s="28">
        <v>35.758081599999997</v>
      </c>
      <c r="AB22" s="70">
        <v>3040.9700429999998</v>
      </c>
      <c r="AC22" s="70">
        <v>18.196314000000001</v>
      </c>
      <c r="AE22" s="69" t="str">
        <f>IF(OR(ISBLANK(AJ22),ISBLANK(G22)),"·",AJ22*G22/F22/1000000)</f>
        <v>·</v>
      </c>
      <c r="AF22" s="21" t="str">
        <f>IF(ISBLANK(AJ22),"·",AJ22/D22)</f>
        <v>·</v>
      </c>
      <c r="AG22" s="20" t="str">
        <f>IF(OR(ISBLANK(AH22),ISBLANK(AN22),ISBLANK(AO22)),".",AH22+AN22+AO22)</f>
        <v>.</v>
      </c>
      <c r="AH22" s="20" t="str">
        <f>IF(OR(ISBLANK(AL22),ISBLANK(AK22),ISBLANK(AM22)),".",AK22+AL22+AM22)</f>
        <v>.</v>
      </c>
      <c r="AI22" s="27"/>
      <c r="AJ22" s="22"/>
      <c r="AK22" s="22"/>
      <c r="AL22" s="22"/>
      <c r="AM22" s="22"/>
      <c r="AN22" s="22"/>
      <c r="AO22" s="22"/>
      <c r="AP22" s="28"/>
      <c r="AQ22" s="28"/>
      <c r="AR22" s="28"/>
      <c r="AS22" s="28"/>
      <c r="AT22" s="28"/>
      <c r="AU22" s="28"/>
      <c r="AV22" s="28"/>
      <c r="AW22" s="70"/>
      <c r="AX22" s="70"/>
      <c r="AZ22" s="71"/>
      <c r="BA22" s="71"/>
      <c r="BB22" s="71"/>
      <c r="BC22" s="71"/>
      <c r="BD22" s="71"/>
      <c r="BE22" s="71"/>
      <c r="BF22" s="71"/>
      <c r="BH22" s="71"/>
      <c r="BI22" s="71"/>
      <c r="BJ22" s="71"/>
      <c r="BK22" s="71"/>
      <c r="BL22" s="71"/>
      <c r="BM22" s="71"/>
      <c r="BN22" s="71"/>
      <c r="BP22" s="71">
        <f>IF(AND(AK22=0,AK22=0),0,AK22/P22-1)</f>
        <v>0</v>
      </c>
      <c r="BQ22" s="71">
        <f>IF(AND(AL22=0,AL22=0),0,AL22/Q22-1)</f>
        <v>0</v>
      </c>
      <c r="BR22" s="71">
        <f>IF(AND(AM22=0,AM22=0),0,AM22/R22-1)</f>
        <v>0</v>
      </c>
      <c r="BS22" s="71">
        <f>IF(AND(AN22=0,AN22=0),0,AN22/S22-1)</f>
        <v>0</v>
      </c>
      <c r="BT22" s="71">
        <f>IF(AND(AO22=0,AO22=0),0,AO22/T22-1)</f>
        <v>0</v>
      </c>
    </row>
    <row r="23" spans="1:72" ht="15" customHeight="1" outlineLevel="1" x14ac:dyDescent="0.15">
      <c r="A23" s="8"/>
      <c r="B23" s="8" t="s">
        <v>57</v>
      </c>
      <c r="C23" s="10" t="s">
        <v>425</v>
      </c>
      <c r="D23" s="8">
        <v>11812090</v>
      </c>
      <c r="E23" s="9">
        <v>12</v>
      </c>
      <c r="F23" s="10">
        <v>32</v>
      </c>
      <c r="G23" s="10">
        <v>30</v>
      </c>
      <c r="H23" s="10">
        <v>14</v>
      </c>
      <c r="J23" s="63">
        <f>IF(OR(ISBLANK(O23),ISBLANK(G23)),"·",O23*G23/F23/1000000)</f>
        <v>13.815405</v>
      </c>
      <c r="K23" s="11">
        <f>IF(ISBLANK(O23),"·",O23/D23)</f>
        <v>1.2475719368883915</v>
      </c>
      <c r="L23" s="10">
        <f>IF(OR(ISBLANK(M23),ISBLANK(S23),ISBLANK(T23)),".",M23+S23+T23)</f>
        <v>14736432</v>
      </c>
      <c r="M23" s="10">
        <f>IF(OR(ISBLANK(Q23),ISBLANK(P23),ISBLANK(R23)),".",P23+Q23+R23)</f>
        <v>3998536</v>
      </c>
      <c r="N23" s="25">
        <v>2418320</v>
      </c>
      <c r="O23" s="12">
        <v>14736432</v>
      </c>
      <c r="P23" s="12">
        <v>2371840</v>
      </c>
      <c r="Q23" s="12">
        <v>0</v>
      </c>
      <c r="R23" s="12">
        <v>1626696</v>
      </c>
      <c r="S23" s="12">
        <v>10730560</v>
      </c>
      <c r="T23" s="12">
        <v>7336</v>
      </c>
      <c r="U23" s="26">
        <v>78.320527299999995</v>
      </c>
      <c r="V23" s="26">
        <v>80.833959699999994</v>
      </c>
      <c r="W23" s="26">
        <v>41.421951399999998</v>
      </c>
      <c r="X23" s="26">
        <v>45.815777599999997</v>
      </c>
      <c r="Y23" s="26">
        <v>48.740526600000003</v>
      </c>
      <c r="Z23" s="26">
        <v>52.432678099999997</v>
      </c>
      <c r="AA23" s="26">
        <v>37.292274499999998</v>
      </c>
      <c r="AB23" s="64">
        <v>3435.919097</v>
      </c>
      <c r="AC23" s="64">
        <v>21.267461999999998</v>
      </c>
      <c r="AE23" s="63" t="str">
        <f>IF(OR(ISBLANK(AJ23),ISBLANK(G23)),"·",AJ23*G23/F23/1000000)</f>
        <v>·</v>
      </c>
      <c r="AF23" s="11" t="str">
        <f>IF(ISBLANK(AJ23),"·",AJ23/D23)</f>
        <v>·</v>
      </c>
      <c r="AG23" s="10" t="str">
        <f>IF(OR(ISBLANK(AH23),ISBLANK(AN23),ISBLANK(AO23)),".",AH23+AN23+AO23)</f>
        <v>.</v>
      </c>
      <c r="AH23" s="10" t="str">
        <f>IF(OR(ISBLANK(AL23),ISBLANK(AK23),ISBLANK(AM23)),".",AK23+AL23+AM23)</f>
        <v>.</v>
      </c>
      <c r="AI23" s="25"/>
      <c r="AJ23" s="12"/>
      <c r="AK23" s="12"/>
      <c r="AL23" s="12"/>
      <c r="AM23" s="12"/>
      <c r="AN23" s="12"/>
      <c r="AO23" s="12"/>
      <c r="AP23" s="26"/>
      <c r="AQ23" s="26"/>
      <c r="AR23" s="26"/>
      <c r="AS23" s="26"/>
      <c r="AT23" s="26"/>
      <c r="AU23" s="26"/>
      <c r="AV23" s="26"/>
      <c r="AW23" s="64"/>
      <c r="AX23" s="64"/>
      <c r="AZ23" s="65"/>
      <c r="BA23" s="65"/>
      <c r="BB23" s="65"/>
      <c r="BC23" s="65"/>
      <c r="BD23" s="65"/>
      <c r="BE23" s="65"/>
      <c r="BF23" s="65"/>
      <c r="BH23" s="65"/>
      <c r="BI23" s="65"/>
      <c r="BJ23" s="65"/>
      <c r="BK23" s="65"/>
      <c r="BL23" s="65"/>
      <c r="BM23" s="65"/>
      <c r="BN23" s="65"/>
      <c r="BP23" s="65">
        <f>IF(AND(AK23=0,AK23=0),0,AK23/P23-1)</f>
        <v>0</v>
      </c>
      <c r="BQ23" s="65">
        <f>IF(AND(AL23=0,AL23=0),0,AL23/Q23-1)</f>
        <v>0</v>
      </c>
      <c r="BR23" s="65">
        <f>IF(AND(AM23=0,AM23=0),0,AM23/R23-1)</f>
        <v>0</v>
      </c>
      <c r="BS23" s="65">
        <f>IF(AND(AN23=0,AN23=0),0,AN23/S23-1)</f>
        <v>0</v>
      </c>
      <c r="BT23" s="65">
        <f>IF(AND(AO23=0,AO23=0),0,AO23/T23-1)</f>
        <v>0</v>
      </c>
    </row>
    <row r="24" spans="1:72" ht="15.75" customHeight="1" outlineLevel="1" thickBot="1" x14ac:dyDescent="0.2">
      <c r="A24" s="13"/>
      <c r="B24" s="13" t="s">
        <v>57</v>
      </c>
      <c r="C24" s="15" t="s">
        <v>426</v>
      </c>
      <c r="D24" s="13">
        <v>11812090</v>
      </c>
      <c r="E24" s="14">
        <v>12</v>
      </c>
      <c r="F24" s="15">
        <v>32</v>
      </c>
      <c r="G24" s="15">
        <v>30</v>
      </c>
      <c r="H24" s="15">
        <v>21</v>
      </c>
      <c r="J24" s="66">
        <f>IF(OR(ISBLANK(O24),ISBLANK(G24)),"·",O24*G24/F24/1000000)</f>
        <v>20.451772500000001</v>
      </c>
      <c r="K24" s="16">
        <f>IF(ISBLANK(O24),"·",O24/D24)</f>
        <v>1.8468555522350405</v>
      </c>
      <c r="L24" s="15">
        <f>IF(OR(ISBLANK(M24),ISBLANK(S24),ISBLANK(T24)),".",M24+S24+T24)</f>
        <v>21815224</v>
      </c>
      <c r="M24" s="15">
        <f>IF(OR(ISBLANK(Q24),ISBLANK(P24),ISBLANK(R24)),".",P24+Q24+R24)</f>
        <v>4205688</v>
      </c>
      <c r="N24" s="36">
        <v>2418320</v>
      </c>
      <c r="O24" s="17">
        <v>21815224</v>
      </c>
      <c r="P24" s="17">
        <v>2138624</v>
      </c>
      <c r="Q24" s="17">
        <v>0</v>
      </c>
      <c r="R24" s="17">
        <v>2067064</v>
      </c>
      <c r="S24" s="17">
        <v>17602200</v>
      </c>
      <c r="T24" s="17">
        <v>7336</v>
      </c>
      <c r="U24" s="37">
        <v>78.926492499999995</v>
      </c>
      <c r="V24" s="37">
        <v>81.677393499999994</v>
      </c>
      <c r="W24" s="37">
        <v>42.393651599999998</v>
      </c>
      <c r="X24" s="37">
        <v>46.896335499999999</v>
      </c>
      <c r="Y24" s="37">
        <v>50.094219600000002</v>
      </c>
      <c r="Z24" s="37">
        <v>52.721227599999999</v>
      </c>
      <c r="AA24" s="37">
        <v>37.950918199999997</v>
      </c>
      <c r="AB24" s="67">
        <v>3675.2824609999998</v>
      </c>
      <c r="AC24" s="67">
        <v>22.421422</v>
      </c>
      <c r="AE24" s="66" t="str">
        <f>IF(OR(ISBLANK(AJ24),ISBLANK(G24)),"·",AJ24*G24/F24/1000000)</f>
        <v>·</v>
      </c>
      <c r="AF24" s="16" t="str">
        <f>IF(ISBLANK(AJ24),"·",AJ24/D24)</f>
        <v>·</v>
      </c>
      <c r="AG24" s="15" t="str">
        <f>IF(OR(ISBLANK(AH24),ISBLANK(AN24),ISBLANK(AO24)),".",AH24+AN24+AO24)</f>
        <v>.</v>
      </c>
      <c r="AH24" s="15" t="str">
        <f>IF(OR(ISBLANK(AL24),ISBLANK(AK24),ISBLANK(AM24)),".",AK24+AL24+AM24)</f>
        <v>.</v>
      </c>
      <c r="AI24" s="36"/>
      <c r="AJ24" s="17"/>
      <c r="AK24" s="17"/>
      <c r="AL24" s="17"/>
      <c r="AM24" s="17"/>
      <c r="AN24" s="17"/>
      <c r="AO24" s="17"/>
      <c r="AP24" s="37"/>
      <c r="AQ24" s="37"/>
      <c r="AR24" s="37"/>
      <c r="AS24" s="37"/>
      <c r="AT24" s="37"/>
      <c r="AU24" s="37"/>
      <c r="AV24" s="37"/>
      <c r="AW24" s="67"/>
      <c r="AX24" s="67"/>
      <c r="AZ24" s="68"/>
      <c r="BA24" s="68"/>
      <c r="BB24" s="68"/>
      <c r="BC24" s="68"/>
      <c r="BD24" s="68"/>
      <c r="BE24" s="68"/>
      <c r="BF24" s="68"/>
      <c r="BH24" s="68"/>
      <c r="BI24" s="68"/>
      <c r="BJ24" s="68"/>
      <c r="BK24" s="68"/>
      <c r="BL24" s="68"/>
      <c r="BM24" s="68"/>
      <c r="BN24" s="68"/>
      <c r="BP24" s="68">
        <f>IF(AND(AK24=0,AK24=0),0,AK24/P24-1)</f>
        <v>0</v>
      </c>
      <c r="BQ24" s="68">
        <f>IF(AND(AL24=0,AL24=0),0,AL24/Q24-1)</f>
        <v>0</v>
      </c>
      <c r="BR24" s="68">
        <f>IF(AND(AM24=0,AM24=0),0,AM24/R24-1)</f>
        <v>0</v>
      </c>
      <c r="BS24" s="68">
        <f>IF(AND(AN24=0,AN24=0),0,AN24/S24-1)</f>
        <v>0</v>
      </c>
      <c r="BT24" s="68">
        <f>IF(AND(AO24=0,AO24=0),0,AO24/T24-1)</f>
        <v>0</v>
      </c>
    </row>
    <row r="25" spans="1:72" ht="15" customHeight="1" x14ac:dyDescent="0.15">
      <c r="A25" s="8" t="s">
        <v>188</v>
      </c>
      <c r="B25" s="8" t="s">
        <v>62</v>
      </c>
      <c r="C25" s="10" t="s">
        <v>422</v>
      </c>
      <c r="D25" s="8">
        <v>12000000</v>
      </c>
      <c r="E25" s="9">
        <v>12</v>
      </c>
      <c r="F25" s="10">
        <v>32</v>
      </c>
      <c r="G25" s="10">
        <v>30</v>
      </c>
      <c r="H25" s="10">
        <v>4</v>
      </c>
      <c r="J25" s="63">
        <f>IF(OR(ISBLANK(O25),ISBLANK(G25)),"·",O25*G25/F25/1000000)</f>
        <v>4.0642050000000003</v>
      </c>
      <c r="K25" s="11">
        <f>IF(ISBLANK(O25),"·",O25/D25)</f>
        <v>0.36126266666666668</v>
      </c>
      <c r="L25" s="10">
        <f>IF(OR(ISBLANK(M25),ISBLANK(S25),ISBLANK(T25)),".",M25+S25+T25)</f>
        <v>4335152</v>
      </c>
      <c r="M25" s="10">
        <f>IF(OR(ISBLANK(Q25),ISBLANK(P25),ISBLANK(R25)),".",P25+Q25+R25)</f>
        <v>1254352</v>
      </c>
      <c r="N25" s="25">
        <v>2455232</v>
      </c>
      <c r="O25" s="12">
        <v>4335152</v>
      </c>
      <c r="P25" s="12">
        <v>695472</v>
      </c>
      <c r="Q25" s="12">
        <v>0</v>
      </c>
      <c r="R25" s="12">
        <v>558880</v>
      </c>
      <c r="S25" s="12">
        <v>3073456</v>
      </c>
      <c r="T25" s="12">
        <v>7344</v>
      </c>
      <c r="U25" s="26">
        <v>72.906002299999997</v>
      </c>
      <c r="V25" s="26">
        <v>74.665274299999993</v>
      </c>
      <c r="W25" s="26">
        <v>31.440588300000002</v>
      </c>
      <c r="X25" s="26">
        <v>40.605242799999999</v>
      </c>
      <c r="Y25" s="26">
        <v>36.907903099999999</v>
      </c>
      <c r="Z25" s="26">
        <v>44.200530899999997</v>
      </c>
      <c r="AA25" s="26">
        <v>28.4451444</v>
      </c>
      <c r="AB25" s="64">
        <v>1166.9572860000001</v>
      </c>
      <c r="AC25" s="64">
        <v>4.715249</v>
      </c>
      <c r="AE25" s="63" t="str">
        <f>IF(OR(ISBLANK(AJ25),ISBLANK(G25)),"·",AJ25*G25/F25/1000000)</f>
        <v>·</v>
      </c>
      <c r="AF25" s="11" t="str">
        <f>IF(ISBLANK(AJ25),"·",AJ25/D25)</f>
        <v>·</v>
      </c>
      <c r="AG25" s="10" t="str">
        <f>IF(OR(ISBLANK(AH25),ISBLANK(AN25),ISBLANK(AO25)),".",AH25+AN25+AO25)</f>
        <v>.</v>
      </c>
      <c r="AH25" s="10" t="str">
        <f>IF(OR(ISBLANK(AL25),ISBLANK(AK25),ISBLANK(AM25)),".",AK25+AL25+AM25)</f>
        <v>.</v>
      </c>
      <c r="AI25" s="25"/>
      <c r="AJ25" s="12"/>
      <c r="AK25" s="12"/>
      <c r="AL25" s="12"/>
      <c r="AM25" s="12"/>
      <c r="AN25" s="12"/>
      <c r="AO25" s="12"/>
      <c r="AP25" s="26"/>
      <c r="AQ25" s="26"/>
      <c r="AR25" s="26"/>
      <c r="AS25" s="26"/>
      <c r="AT25" s="26"/>
      <c r="AU25" s="26"/>
      <c r="AV25" s="26"/>
      <c r="AW25" s="64"/>
      <c r="AX25" s="64"/>
      <c r="AZ25" s="65" t="str">
        <f t="array" ref="AZ25">IF( OR(AND(ISBLANK(L25:L29)),AND(ISBLANK(AG25:AG29)), AND(ISBLANK(U25:U29)),AND(ISBLANK(AP25:AP29))), "·", bdRateExtend( L25:L29,U25:U29, AG25:AG29,AP25:AP29))</f>
        <v>·</v>
      </c>
      <c r="BA25" s="65" t="str">
        <f t="array" ref="BA25">IF( OR(AND(ISBLANK(L25:L29)),AND(ISBLANK(AG25:AG29)), AND(ISBLANK(V25:V29)),AND(ISBLANK(AQ25:AQ29))), "·", bdRateExtend( L25:L29,V25:V29, AG25:AG29,AQ25:AQ29))</f>
        <v>·</v>
      </c>
      <c r="BB25" s="65" t="str">
        <f t="array" ref="BB25">IF( OR(AND(ISBLANK(L25:L29)),AND(ISBLANK(AG25:AG29)), AND(ISBLANK(W25:W29)),AND(ISBLANK(AR25:AR29))), "·", bdRateExtend( L25:L29,W25:W29, AG25:AG29,AR25:AR29))</f>
        <v>·</v>
      </c>
      <c r="BC25" s="65" t="str">
        <f t="array" ref="BC25">IF( OR(AND(ISBLANK(L25:L29)),AND(ISBLANK(AG25:AG29)), AND(ISBLANK(X25:X29)),AND(ISBLANK(AS25:AS29))), "·", bdRateExtend( L25:L29,X25:X29, AG25:AG29,AS25:AS29))</f>
        <v>·</v>
      </c>
      <c r="BD25" s="65" t="str">
        <f t="array" ref="BD25">IF( OR(AND(ISBLANK(L25:L29)),AND(ISBLANK(AG25:AG29)), AND(ISBLANK(Y25:Y29)),AND(ISBLANK(AT25:AT29))), "·", bdRateExtend( L25:L29,Y25:Y29, AG25:AG29,AT25:AT29))</f>
        <v>·</v>
      </c>
      <c r="BE25" s="65" t="str">
        <f t="array" ref="BE25">IF( OR(AND(ISBLANK(L25:L29)),AND(ISBLANK(AG25:AG29)), AND(ISBLANK(Z25:Z29)),AND(ISBLANK(AU25:AU29))), "·", bdRateExtend( L25:L29,Z25:Z29, AG25:AG29,AU25:AU29))</f>
        <v>·</v>
      </c>
      <c r="BF25" s="65" t="str">
        <f t="array" ref="BF25">IF( OR(AND(ISBLANK(L25:L29)),AND(ISBLANK(AG25:AG29)), AND(ISBLANK(AA25:AA29)),AND(ISBLANK(AV25:AV29))), "·", bdRateExtend( L25:L29,AA25:AA29, AG25:AG29,AV25:AV29))</f>
        <v>·</v>
      </c>
      <c r="BH25" s="65" t="str">
        <f t="array" ref="BH25">IF( OR(AND(ISBLANK(M25:M29)),AND(ISBLANK(AH25:AH29)), AND(ISBLANK(U25:U29)),AND(ISBLANK(AP25:AP29))), "·", bdRateExtend( M25:M29,U25:U29, AH25:AH29,AP25:AP29))</f>
        <v>·</v>
      </c>
      <c r="BI25" s="65" t="str">
        <f t="array" ref="BI25">IF( OR(AND(ISBLANK(M25:M29)),AND(ISBLANK(AH25:AH29)), AND(ISBLANK(V25:V29)),AND(ISBLANK(AQ25:AQ29))), "·", bdRateExtend( M25:M29,V25:V29, AH25:AH29,AQ25:AQ29))</f>
        <v>·</v>
      </c>
      <c r="BJ25" s="65" t="str">
        <f t="array" ref="BJ25">IF( OR(AND(ISBLANK(S25:S29)),AND(ISBLANK(AN25:AN29)), AND(ISBLANK(W25:W29)),AND(ISBLANK(AR25:AR29))), "·", bdRateExtend( S25:S29,W25:W29, AN25:AN29,AR25:AR29))</f>
        <v>·</v>
      </c>
      <c r="BK25" s="65" t="str">
        <f t="array" ref="BK25">IF( OR(AND(ISBLANK(S25:S29)),AND(ISBLANK(AN25:AN29)), AND(ISBLANK(X25:X29)),AND(ISBLANK(AS25:AS29))), "·", bdRateExtend( S25:S29,X25:X29, AN25:AN29,AS25:AS29))</f>
        <v>·</v>
      </c>
      <c r="BL25" s="65" t="str">
        <f t="array" ref="BL25">IF( OR(AND(ISBLANK(S25:S29)),AND(ISBLANK(AN25:AN29)), AND(ISBLANK(Y25:Y29)),AND(ISBLANK(AT25:AT29))), "·", bdRateExtend( S25:S29,Y25:Y29, AN25:AN29,AT25:AT29))</f>
        <v>·</v>
      </c>
      <c r="BM25" s="65" t="str">
        <f t="array" ref="BM25">IF( OR(AND(ISBLANK(M25:M29)),AND(ISBLANK(AH25:AH29)), AND(ISBLANK(Z25:Z29)),AND(ISBLANK(AU25:AU29))), "·", bdRateExtend( M25:M29,Z25:Z29, AH25:AH29,AU25:AU29))</f>
        <v>·</v>
      </c>
      <c r="BN25" s="65" t="str">
        <f t="array" ref="BN25">IF( OR(AND(ISBLANK(S25:S29)),AND(ISBLANK(AN25:AN29)), AND(ISBLANK(AA25:AA29)),AND(ISBLANK(AV25:AV29))), "·", bdRateExtend( S25:S29,AA25:AA29, AN25:AN29,AV25:AV29))</f>
        <v>·</v>
      </c>
      <c r="BP25" s="65">
        <f>IF(AND(AK25=0,AK25=0),0,AK25/P25-1)</f>
        <v>0</v>
      </c>
      <c r="BQ25" s="65">
        <f>IF(AND(AL25=0,AL25=0),0,AL25/Q25-1)</f>
        <v>0</v>
      </c>
      <c r="BR25" s="65">
        <f>IF(AND(AM25=0,AM25=0),0,AM25/R25-1)</f>
        <v>0</v>
      </c>
      <c r="BS25" s="65">
        <f>IF(AND(AN25=0,AN25=0),0,AN25/S25-1)</f>
        <v>0</v>
      </c>
      <c r="BT25" s="65">
        <f>IF(AND(AO25=0,AO25=0),0,AO25/T25-1)</f>
        <v>0</v>
      </c>
    </row>
    <row r="26" spans="1:72" ht="15" customHeight="1" outlineLevel="1" x14ac:dyDescent="0.15">
      <c r="A26" s="18"/>
      <c r="B26" s="18" t="s">
        <v>62</v>
      </c>
      <c r="C26" s="20" t="s">
        <v>423</v>
      </c>
      <c r="D26" s="18">
        <v>12000000</v>
      </c>
      <c r="E26" s="19">
        <v>12</v>
      </c>
      <c r="F26" s="20">
        <v>32</v>
      </c>
      <c r="G26" s="20">
        <v>30</v>
      </c>
      <c r="H26" s="20">
        <v>8</v>
      </c>
      <c r="J26" s="69">
        <f>IF(OR(ISBLANK(O26),ISBLANK(G26)),"·",O26*G26/F26/1000000)</f>
        <v>8.0366850000000003</v>
      </c>
      <c r="K26" s="21">
        <f>IF(ISBLANK(O26),"·",O26/D26)</f>
        <v>0.71437200000000001</v>
      </c>
      <c r="L26" s="20">
        <f>IF(OR(ISBLANK(M26),ISBLANK(S26),ISBLANK(T26)),".",M26+S26+T26)</f>
        <v>8572464</v>
      </c>
      <c r="M26" s="20">
        <f>IF(OR(ISBLANK(Q26),ISBLANK(P26),ISBLANK(R26)),".",P26+Q26+R26)</f>
        <v>2063024</v>
      </c>
      <c r="N26" s="27">
        <v>4912768</v>
      </c>
      <c r="O26" s="22">
        <v>8572464</v>
      </c>
      <c r="P26" s="22">
        <v>1164264</v>
      </c>
      <c r="Q26" s="22">
        <v>0</v>
      </c>
      <c r="R26" s="22">
        <v>898760</v>
      </c>
      <c r="S26" s="22">
        <v>6501840</v>
      </c>
      <c r="T26" s="22">
        <v>7600</v>
      </c>
      <c r="U26" s="28">
        <v>76.343026899999998</v>
      </c>
      <c r="V26" s="28">
        <v>78.716781600000004</v>
      </c>
      <c r="W26" s="28">
        <v>33.928410999999997</v>
      </c>
      <c r="X26" s="28">
        <v>42.444591899999999</v>
      </c>
      <c r="Y26" s="28">
        <v>39.797361500000001</v>
      </c>
      <c r="Z26" s="28">
        <v>45.867615299999997</v>
      </c>
      <c r="AA26" s="28">
        <v>31.129221699999999</v>
      </c>
      <c r="AB26" s="70">
        <v>3212.074881</v>
      </c>
      <c r="AC26" s="70">
        <v>25.182062999999999</v>
      </c>
      <c r="AE26" s="69" t="str">
        <f>IF(OR(ISBLANK(AJ26),ISBLANK(G26)),"·",AJ26*G26/F26/1000000)</f>
        <v>·</v>
      </c>
      <c r="AF26" s="21" t="str">
        <f>IF(ISBLANK(AJ26),"·",AJ26/D26)</f>
        <v>·</v>
      </c>
      <c r="AG26" s="20" t="str">
        <f>IF(OR(ISBLANK(AH26),ISBLANK(AN26),ISBLANK(AO26)),".",AH26+AN26+AO26)</f>
        <v>.</v>
      </c>
      <c r="AH26" s="20" t="str">
        <f>IF(OR(ISBLANK(AL26),ISBLANK(AK26),ISBLANK(AM26)),".",AK26+AL26+AM26)</f>
        <v>.</v>
      </c>
      <c r="AI26" s="27"/>
      <c r="AJ26" s="22"/>
      <c r="AK26" s="22"/>
      <c r="AL26" s="22"/>
      <c r="AM26" s="22"/>
      <c r="AN26" s="22"/>
      <c r="AO26" s="22"/>
      <c r="AP26" s="28"/>
      <c r="AQ26" s="28"/>
      <c r="AR26" s="28"/>
      <c r="AS26" s="28"/>
      <c r="AT26" s="28"/>
      <c r="AU26" s="28"/>
      <c r="AV26" s="28"/>
      <c r="AW26" s="70"/>
      <c r="AX26" s="70"/>
      <c r="AZ26" s="71"/>
      <c r="BA26" s="71"/>
      <c r="BB26" s="71"/>
      <c r="BC26" s="71"/>
      <c r="BD26" s="71"/>
      <c r="BE26" s="71"/>
      <c r="BF26" s="71"/>
      <c r="BH26" s="71"/>
      <c r="BI26" s="71"/>
      <c r="BJ26" s="71"/>
      <c r="BK26" s="71"/>
      <c r="BL26" s="71"/>
      <c r="BM26" s="71"/>
      <c r="BN26" s="71"/>
      <c r="BP26" s="71">
        <f>IF(AND(AK26=0,AK26=0),0,AK26/P26-1)</f>
        <v>0</v>
      </c>
      <c r="BQ26" s="71">
        <f>IF(AND(AL26=0,AL26=0),0,AL26/Q26-1)</f>
        <v>0</v>
      </c>
      <c r="BR26" s="71">
        <f>IF(AND(AM26=0,AM26=0),0,AM26/R26-1)</f>
        <v>0</v>
      </c>
      <c r="BS26" s="71">
        <f>IF(AND(AN26=0,AN26=0),0,AN26/S26-1)</f>
        <v>0</v>
      </c>
      <c r="BT26" s="71">
        <f>IF(AND(AO26=0,AO26=0),0,AO26/T26-1)</f>
        <v>0</v>
      </c>
    </row>
    <row r="27" spans="1:72" ht="15" customHeight="1" outlineLevel="1" x14ac:dyDescent="0.15">
      <c r="A27" s="8"/>
      <c r="B27" s="8" t="s">
        <v>62</v>
      </c>
      <c r="C27" s="10" t="s">
        <v>424</v>
      </c>
      <c r="D27" s="8">
        <v>12000000</v>
      </c>
      <c r="E27" s="9">
        <v>12</v>
      </c>
      <c r="F27" s="10">
        <v>32</v>
      </c>
      <c r="G27" s="10">
        <v>30</v>
      </c>
      <c r="H27" s="10">
        <v>12</v>
      </c>
      <c r="J27" s="63">
        <f>IF(OR(ISBLANK(O27),ISBLANK(G27)),"·",O27*G27/F27/1000000)</f>
        <v>11.900992499999999</v>
      </c>
      <c r="K27" s="11">
        <f>IF(ISBLANK(O27),"·",O27/D27)</f>
        <v>1.057866</v>
      </c>
      <c r="L27" s="10">
        <f>IF(OR(ISBLANK(M27),ISBLANK(S27),ISBLANK(T27)),".",M27+S27+T27)</f>
        <v>12694392</v>
      </c>
      <c r="M27" s="10">
        <f>IF(OR(ISBLANK(Q27),ISBLANK(P27),ISBLANK(R27)),".",P27+Q27+R27)</f>
        <v>3053984</v>
      </c>
      <c r="N27" s="25">
        <v>9827968</v>
      </c>
      <c r="O27" s="12">
        <v>12694392</v>
      </c>
      <c r="P27" s="12">
        <v>2194440</v>
      </c>
      <c r="Q27" s="12">
        <v>0</v>
      </c>
      <c r="R27" s="12">
        <v>859544</v>
      </c>
      <c r="S27" s="12">
        <v>9632536</v>
      </c>
      <c r="T27" s="12">
        <v>7872</v>
      </c>
      <c r="U27" s="26">
        <v>78.213163899999998</v>
      </c>
      <c r="V27" s="26">
        <v>80.976241099999996</v>
      </c>
      <c r="W27" s="26">
        <v>34.871825299999998</v>
      </c>
      <c r="X27" s="26">
        <v>43.664241799999999</v>
      </c>
      <c r="Y27" s="26">
        <v>41.586033899999997</v>
      </c>
      <c r="Z27" s="26">
        <v>47.442339699999998</v>
      </c>
      <c r="AA27" s="26">
        <v>32.432871800000001</v>
      </c>
      <c r="AB27" s="64">
        <v>10834.266608</v>
      </c>
      <c r="AC27" s="64">
        <v>73.518009000000006</v>
      </c>
      <c r="AE27" s="63" t="str">
        <f>IF(OR(ISBLANK(AJ27),ISBLANK(G27)),"·",AJ27*G27/F27/1000000)</f>
        <v>·</v>
      </c>
      <c r="AF27" s="11" t="str">
        <f>IF(ISBLANK(AJ27),"·",AJ27/D27)</f>
        <v>·</v>
      </c>
      <c r="AG27" s="10" t="str">
        <f>IF(OR(ISBLANK(AH27),ISBLANK(AN27),ISBLANK(AO27)),".",AH27+AN27+AO27)</f>
        <v>.</v>
      </c>
      <c r="AH27" s="10" t="str">
        <f>IF(OR(ISBLANK(AL27),ISBLANK(AK27),ISBLANK(AM27)),".",AK27+AL27+AM27)</f>
        <v>.</v>
      </c>
      <c r="AI27" s="25"/>
      <c r="AJ27" s="12"/>
      <c r="AK27" s="12"/>
      <c r="AL27" s="12"/>
      <c r="AM27" s="12"/>
      <c r="AN27" s="12"/>
      <c r="AO27" s="12"/>
      <c r="AP27" s="26"/>
      <c r="AQ27" s="26"/>
      <c r="AR27" s="26"/>
      <c r="AS27" s="26"/>
      <c r="AT27" s="26"/>
      <c r="AU27" s="26"/>
      <c r="AV27" s="26"/>
      <c r="AW27" s="64"/>
      <c r="AX27" s="64"/>
      <c r="AZ27" s="65"/>
      <c r="BA27" s="65"/>
      <c r="BB27" s="65"/>
      <c r="BC27" s="65"/>
      <c r="BD27" s="65"/>
      <c r="BE27" s="65"/>
      <c r="BF27" s="65"/>
      <c r="BH27" s="65"/>
      <c r="BI27" s="65"/>
      <c r="BJ27" s="65"/>
      <c r="BK27" s="65"/>
      <c r="BL27" s="65"/>
      <c r="BM27" s="65"/>
      <c r="BN27" s="65"/>
      <c r="BP27" s="65">
        <f>IF(AND(AK27=0,AK27=0),0,AK27/P27-1)</f>
        <v>0</v>
      </c>
      <c r="BQ27" s="65">
        <f>IF(AND(AL27=0,AL27=0),0,AL27/Q27-1)</f>
        <v>0</v>
      </c>
      <c r="BR27" s="65">
        <f>IF(AND(AM27=0,AM27=0),0,AM27/R27-1)</f>
        <v>0</v>
      </c>
      <c r="BS27" s="65">
        <f>IF(AND(AN27=0,AN27=0),0,AN27/S27-1)</f>
        <v>0</v>
      </c>
      <c r="BT27" s="65">
        <f>IF(AND(AO27=0,AO27=0),0,AO27/T27-1)</f>
        <v>0</v>
      </c>
    </row>
    <row r="28" spans="1:72" ht="15" customHeight="1" outlineLevel="1" x14ac:dyDescent="0.15">
      <c r="A28" s="18"/>
      <c r="B28" s="18" t="s">
        <v>62</v>
      </c>
      <c r="C28" s="20" t="s">
        <v>425</v>
      </c>
      <c r="D28" s="18">
        <v>12000000</v>
      </c>
      <c r="E28" s="19">
        <v>12</v>
      </c>
      <c r="F28" s="20">
        <v>32</v>
      </c>
      <c r="G28" s="20">
        <v>30</v>
      </c>
      <c r="H28" s="20">
        <v>17</v>
      </c>
      <c r="J28" s="69">
        <f>IF(OR(ISBLANK(O28),ISBLANK(G28)),"·",O28*G28/F28/1000000)</f>
        <v>16.699717499999998</v>
      </c>
      <c r="K28" s="21">
        <f>IF(ISBLANK(O28),"·",O28/D28)</f>
        <v>1.4844193333333333</v>
      </c>
      <c r="L28" s="20">
        <f>IF(OR(ISBLANK(M28),ISBLANK(S28),ISBLANK(T28)),".",M28+S28+T28)</f>
        <v>17813032</v>
      </c>
      <c r="M28" s="20">
        <f>IF(OR(ISBLANK(Q28),ISBLANK(P28),ISBLANK(R28)),".",P28+Q28+R28)</f>
        <v>4949744</v>
      </c>
      <c r="N28" s="27">
        <v>19659392</v>
      </c>
      <c r="O28" s="22">
        <v>17813032</v>
      </c>
      <c r="P28" s="22">
        <v>4271176</v>
      </c>
      <c r="Q28" s="22">
        <v>0</v>
      </c>
      <c r="R28" s="22">
        <v>678568</v>
      </c>
      <c r="S28" s="22">
        <v>12855408</v>
      </c>
      <c r="T28" s="22">
        <v>7880</v>
      </c>
      <c r="U28" s="28">
        <v>80.100082099999995</v>
      </c>
      <c r="V28" s="28">
        <v>83.492118500000004</v>
      </c>
      <c r="W28" s="28">
        <v>35.673613000000003</v>
      </c>
      <c r="X28" s="28">
        <v>43.972642399999998</v>
      </c>
      <c r="Y28" s="28">
        <v>42.0733411</v>
      </c>
      <c r="Z28" s="28">
        <v>49.248149599999998</v>
      </c>
      <c r="AA28" s="28">
        <v>33.636332199999998</v>
      </c>
      <c r="AB28" s="70">
        <v>12016.495722</v>
      </c>
      <c r="AC28" s="70">
        <v>75.715772000000001</v>
      </c>
      <c r="AE28" s="69" t="str">
        <f>IF(OR(ISBLANK(AJ28),ISBLANK(G28)),"·",AJ28*G28/F28/1000000)</f>
        <v>·</v>
      </c>
      <c r="AF28" s="21" t="str">
        <f>IF(ISBLANK(AJ28),"·",AJ28/D28)</f>
        <v>·</v>
      </c>
      <c r="AG28" s="20" t="str">
        <f>IF(OR(ISBLANK(AH28),ISBLANK(AN28),ISBLANK(AO28)),".",AH28+AN28+AO28)</f>
        <v>.</v>
      </c>
      <c r="AH28" s="20" t="str">
        <f>IF(OR(ISBLANK(AL28),ISBLANK(AK28),ISBLANK(AM28)),".",AK28+AL28+AM28)</f>
        <v>.</v>
      </c>
      <c r="AI28" s="27"/>
      <c r="AJ28" s="22"/>
      <c r="AK28" s="22"/>
      <c r="AL28" s="22"/>
      <c r="AM28" s="22"/>
      <c r="AN28" s="22"/>
      <c r="AO28" s="22"/>
      <c r="AP28" s="28"/>
      <c r="AQ28" s="28"/>
      <c r="AR28" s="28"/>
      <c r="AS28" s="28"/>
      <c r="AT28" s="28"/>
      <c r="AU28" s="28"/>
      <c r="AV28" s="28"/>
      <c r="AW28" s="70"/>
      <c r="AX28" s="70"/>
      <c r="AZ28" s="71"/>
      <c r="BA28" s="71"/>
      <c r="BB28" s="71"/>
      <c r="BC28" s="71"/>
      <c r="BD28" s="71"/>
      <c r="BE28" s="71"/>
      <c r="BF28" s="71"/>
      <c r="BH28" s="71"/>
      <c r="BI28" s="71"/>
      <c r="BJ28" s="71"/>
      <c r="BK28" s="71"/>
      <c r="BL28" s="71"/>
      <c r="BM28" s="71"/>
      <c r="BN28" s="71"/>
      <c r="BP28" s="71">
        <f>IF(AND(AK28=0,AK28=0),0,AK28/P28-1)</f>
        <v>0</v>
      </c>
      <c r="BQ28" s="71">
        <f>IF(AND(AL28=0,AL28=0),0,AL28/Q28-1)</f>
        <v>0</v>
      </c>
      <c r="BR28" s="71">
        <f>IF(AND(AM28=0,AM28=0),0,AM28/R28-1)</f>
        <v>0</v>
      </c>
      <c r="BS28" s="71">
        <f>IF(AND(AN28=0,AN28=0),0,AN28/S28-1)</f>
        <v>0</v>
      </c>
      <c r="BT28" s="71">
        <f>IF(AND(AO28=0,AO28=0),0,AO28/T28-1)</f>
        <v>0</v>
      </c>
    </row>
    <row r="29" spans="1:72" ht="15.75" customHeight="1" outlineLevel="1" thickBot="1" x14ac:dyDescent="0.2">
      <c r="A29" s="8"/>
      <c r="B29" s="29" t="s">
        <v>62</v>
      </c>
      <c r="C29" s="30" t="s">
        <v>426</v>
      </c>
      <c r="D29" s="29">
        <v>12000000</v>
      </c>
      <c r="E29" s="31">
        <v>12</v>
      </c>
      <c r="F29" s="30">
        <v>32</v>
      </c>
      <c r="G29" s="30">
        <v>30</v>
      </c>
      <c r="H29" s="30">
        <v>25</v>
      </c>
      <c r="J29" s="75">
        <f>IF(OR(ISBLANK(O29),ISBLANK(G29)),"·",O29*G29/F29/1000000)</f>
        <v>24.6124425</v>
      </c>
      <c r="K29" s="32">
        <f>IF(ISBLANK(O29),"·",O29/D29)</f>
        <v>2.1877726666666666</v>
      </c>
      <c r="L29" s="30">
        <f>IF(OR(ISBLANK(M29),ISBLANK(S29),ISBLANK(T29)),".",M29+S29+T29)</f>
        <v>26253272</v>
      </c>
      <c r="M29" s="30">
        <f>IF(OR(ISBLANK(Q29),ISBLANK(P29),ISBLANK(R29)),".",P29+Q29+R29)</f>
        <v>10057840</v>
      </c>
      <c r="N29" s="33">
        <v>14745456</v>
      </c>
      <c r="O29" s="34">
        <v>26253272</v>
      </c>
      <c r="P29" s="34">
        <v>9213664</v>
      </c>
      <c r="Q29" s="34">
        <v>0</v>
      </c>
      <c r="R29" s="34">
        <v>844176</v>
      </c>
      <c r="S29" s="34">
        <v>16187568</v>
      </c>
      <c r="T29" s="34">
        <v>7864</v>
      </c>
      <c r="U29" s="35">
        <v>84.744395499999996</v>
      </c>
      <c r="V29" s="35">
        <v>90.105384000000001</v>
      </c>
      <c r="W29" s="35">
        <v>36.406065699999999</v>
      </c>
      <c r="X29" s="35">
        <v>44.294912199999999</v>
      </c>
      <c r="Y29" s="35">
        <v>42.5316945</v>
      </c>
      <c r="Z29" s="35">
        <v>52.961412299999999</v>
      </c>
      <c r="AA29" s="35">
        <v>35.456470299999999</v>
      </c>
      <c r="AB29" s="76">
        <v>15245.806446000001</v>
      </c>
      <c r="AC29" s="76">
        <v>80.500265999999996</v>
      </c>
      <c r="AE29" s="75" t="str">
        <f>IF(OR(ISBLANK(AJ29),ISBLANK(G29)),"·",AJ29*G29/F29/1000000)</f>
        <v>·</v>
      </c>
      <c r="AF29" s="32" t="str">
        <f>IF(ISBLANK(AJ29),"·",AJ29/D29)</f>
        <v>·</v>
      </c>
      <c r="AG29" s="30" t="str">
        <f>IF(OR(ISBLANK(AH29),ISBLANK(AN29),ISBLANK(AO29)),".",AH29+AN29+AO29)</f>
        <v>.</v>
      </c>
      <c r="AH29" s="30" t="str">
        <f>IF(OR(ISBLANK(AL29),ISBLANK(AK29),ISBLANK(AM29)),".",AK29+AL29+AM29)</f>
        <v>.</v>
      </c>
      <c r="AI29" s="33"/>
      <c r="AJ29" s="34"/>
      <c r="AK29" s="34"/>
      <c r="AL29" s="34"/>
      <c r="AM29" s="34"/>
      <c r="AN29" s="34"/>
      <c r="AO29" s="34"/>
      <c r="AP29" s="35"/>
      <c r="AQ29" s="35"/>
      <c r="AR29" s="35"/>
      <c r="AS29" s="35"/>
      <c r="AT29" s="35"/>
      <c r="AU29" s="35"/>
      <c r="AV29" s="35"/>
      <c r="AW29" s="76"/>
      <c r="AX29" s="76"/>
      <c r="AZ29" s="77"/>
      <c r="BA29" s="77"/>
      <c r="BB29" s="77"/>
      <c r="BC29" s="77"/>
      <c r="BD29" s="77"/>
      <c r="BE29" s="77"/>
      <c r="BF29" s="77"/>
      <c r="BH29" s="77"/>
      <c r="BI29" s="77"/>
      <c r="BJ29" s="77"/>
      <c r="BK29" s="77"/>
      <c r="BL29" s="77"/>
      <c r="BM29" s="77"/>
      <c r="BN29" s="77"/>
      <c r="BP29" s="77">
        <f>IF(AND(AK29=0,AK29=0),0,AK29/P29-1)</f>
        <v>0</v>
      </c>
      <c r="BQ29" s="77">
        <f>IF(AND(AL29=0,AL29=0),0,AL29/Q29-1)</f>
        <v>0</v>
      </c>
      <c r="BR29" s="77">
        <f>IF(AND(AM29=0,AM29=0),0,AM29/R29-1)</f>
        <v>0</v>
      </c>
      <c r="BS29" s="77">
        <f>IF(AND(AN29=0,AN29=0),0,AN29/S29-1)</f>
        <v>0</v>
      </c>
      <c r="BT29" s="77">
        <f>IF(AND(AO29=0,AO29=0),0,AO29/T29-1)</f>
        <v>0</v>
      </c>
    </row>
    <row r="30" spans="1:72" ht="15" customHeight="1" x14ac:dyDescent="0.15">
      <c r="A30" s="18"/>
      <c r="B30" s="18" t="s">
        <v>67</v>
      </c>
      <c r="C30" s="20" t="s">
        <v>422</v>
      </c>
      <c r="D30" s="18">
        <v>5997654</v>
      </c>
      <c r="E30" s="19">
        <v>12</v>
      </c>
      <c r="F30" s="20">
        <v>32</v>
      </c>
      <c r="G30" s="20">
        <v>30</v>
      </c>
      <c r="H30" s="20">
        <v>4</v>
      </c>
      <c r="J30" s="69">
        <f>IF(OR(ISBLANK(O30),ISBLANK(G30)),"·",O30*G30/F30/1000000)</f>
        <v>3.5944275000000001</v>
      </c>
      <c r="K30" s="21">
        <f>IF(ISBLANK(O30),"·",O30/D30)</f>
        <v>0.63925928371326524</v>
      </c>
      <c r="L30" s="20">
        <f>IF(OR(ISBLANK(M30),ISBLANK(S30),ISBLANK(T30)),".",M30+S30+T30)</f>
        <v>3834056</v>
      </c>
      <c r="M30" s="20">
        <f>IF(OR(ISBLANK(Q30),ISBLANK(P30),ISBLANK(R30)),".",P30+Q30+R30)</f>
        <v>1061864</v>
      </c>
      <c r="N30" s="27">
        <v>2424832</v>
      </c>
      <c r="O30" s="22">
        <v>3834056</v>
      </c>
      <c r="P30" s="22">
        <v>413768</v>
      </c>
      <c r="Q30" s="22">
        <v>61888</v>
      </c>
      <c r="R30" s="22">
        <v>586208</v>
      </c>
      <c r="S30" s="22">
        <v>2764736</v>
      </c>
      <c r="T30" s="22">
        <v>7456</v>
      </c>
      <c r="U30" s="28">
        <v>73.256559100000004</v>
      </c>
      <c r="V30" s="28">
        <v>74.856068100000002</v>
      </c>
      <c r="W30" s="28">
        <v>38.6929631</v>
      </c>
      <c r="X30" s="28">
        <v>44.535799400000002</v>
      </c>
      <c r="Y30" s="28">
        <v>43.1487768</v>
      </c>
      <c r="Z30" s="28">
        <v>46.396800300000002</v>
      </c>
      <c r="AA30" s="28">
        <v>34.787545700000003</v>
      </c>
      <c r="AB30" s="70">
        <v>2618.1184539999999</v>
      </c>
      <c r="AC30" s="70">
        <v>19.932258000000001</v>
      </c>
      <c r="AE30" s="69" t="str">
        <f>IF(OR(ISBLANK(AJ30),ISBLANK(G30)),"·",AJ30*G30/F30/1000000)</f>
        <v>·</v>
      </c>
      <c r="AF30" s="21" t="str">
        <f>IF(ISBLANK(AJ30),"·",AJ30/D30)</f>
        <v>·</v>
      </c>
      <c r="AG30" s="20" t="str">
        <f>IF(OR(ISBLANK(AH30),ISBLANK(AN30),ISBLANK(AO30)),".",AH30+AN30+AO30)</f>
        <v>.</v>
      </c>
      <c r="AH30" s="20" t="str">
        <f>IF(OR(ISBLANK(AL30),ISBLANK(AK30),ISBLANK(AM30)),".",AK30+AL30+AM30)</f>
        <v>.</v>
      </c>
      <c r="AI30" s="27"/>
      <c r="AJ30" s="22"/>
      <c r="AK30" s="22"/>
      <c r="AL30" s="22"/>
      <c r="AM30" s="22"/>
      <c r="AN30" s="22"/>
      <c r="AO30" s="22"/>
      <c r="AP30" s="28"/>
      <c r="AQ30" s="28"/>
      <c r="AR30" s="28"/>
      <c r="AS30" s="28"/>
      <c r="AT30" s="28"/>
      <c r="AU30" s="28"/>
      <c r="AV30" s="28"/>
      <c r="AW30" s="70"/>
      <c r="AX30" s="70"/>
      <c r="AZ30" s="71" t="str">
        <f t="array" ref="AZ30">IF( OR(AND(ISBLANK(L30:L34)),AND(ISBLANK(AG30:AG34)), AND(ISBLANK(U30:U34)),AND(ISBLANK(AP30:AP34))), "·", bdRateExtend( L30:L34,U30:U34, AG30:AG34,AP30:AP34))</f>
        <v>·</v>
      </c>
      <c r="BA30" s="71" t="str">
        <f t="array" ref="BA30">IF( OR(AND(ISBLANK(L30:L34)),AND(ISBLANK(AG30:AG34)), AND(ISBLANK(V30:V34)),AND(ISBLANK(AQ30:AQ34))), "·", bdRateExtend( L30:L34,V30:V34, AG30:AG34,AQ30:AQ34))</f>
        <v>·</v>
      </c>
      <c r="BB30" s="71" t="str">
        <f t="array" ref="BB30">IF( OR(AND(ISBLANK(L30:L34)),AND(ISBLANK(AG30:AG34)), AND(ISBLANK(W30:W34)),AND(ISBLANK(AR30:AR34))), "·", bdRateExtend( L30:L34,W30:W34, AG30:AG34,AR30:AR34))</f>
        <v>·</v>
      </c>
      <c r="BC30" s="71" t="str">
        <f t="array" ref="BC30">IF( OR(AND(ISBLANK(L30:L34)),AND(ISBLANK(AG30:AG34)), AND(ISBLANK(X30:X34)),AND(ISBLANK(AS30:AS34))), "·", bdRateExtend( L30:L34,X30:X34, AG30:AG34,AS30:AS34))</f>
        <v>·</v>
      </c>
      <c r="BD30" s="71" t="str">
        <f t="array" ref="BD30">IF( OR(AND(ISBLANK(L30:L34)),AND(ISBLANK(AG30:AG34)), AND(ISBLANK(Y30:Y34)),AND(ISBLANK(AT30:AT34))), "·", bdRateExtend( L30:L34,Y30:Y34, AG30:AG34,AT30:AT34))</f>
        <v>·</v>
      </c>
      <c r="BE30" s="71" t="str">
        <f t="array" ref="BE30">IF( OR(AND(ISBLANK(L30:L34)),AND(ISBLANK(AG30:AG34)), AND(ISBLANK(Z30:Z34)),AND(ISBLANK(AU30:AU34))), "·", bdRateExtend( L30:L34,Z30:Z34, AG30:AG34,AU30:AU34))</f>
        <v>·</v>
      </c>
      <c r="BF30" s="71" t="str">
        <f t="array" ref="BF30">IF( OR(AND(ISBLANK(L30:L34)),AND(ISBLANK(AG30:AG34)), AND(ISBLANK(AA30:AA34)),AND(ISBLANK(AV30:AV34))), "·", bdRateExtend( L30:L34,AA30:AA34, AG30:AG34,AV30:AV34))</f>
        <v>·</v>
      </c>
      <c r="BH30" s="71" t="str">
        <f t="array" ref="BH30">IF( OR(AND(ISBLANK(M30:M34)),AND(ISBLANK(AH30:AH34)), AND(ISBLANK(U30:U34)),AND(ISBLANK(AP30:AP34))), "·", bdRateExtend( M30:M34,U30:U34, AH30:AH34,AP30:AP34))</f>
        <v>·</v>
      </c>
      <c r="BI30" s="71" t="str">
        <f t="array" ref="BI30">IF( OR(AND(ISBLANK(M30:M34)),AND(ISBLANK(AH30:AH34)), AND(ISBLANK(V30:V34)),AND(ISBLANK(AQ30:AQ34))), "·", bdRateExtend( M30:M34,V30:V34, AH30:AH34,AQ30:AQ34))</f>
        <v>·</v>
      </c>
      <c r="BJ30" s="71" t="str">
        <f t="array" ref="BJ30">IF( OR(AND(ISBLANK(S30:S34)),AND(ISBLANK(AN30:AN34)), AND(ISBLANK(W30:W34)),AND(ISBLANK(AR30:AR34))), "·", bdRateExtend( S30:S34,W30:W34, AN30:AN34,AR30:AR34))</f>
        <v>·</v>
      </c>
      <c r="BK30" s="71" t="str">
        <f t="array" ref="BK30">IF( OR(AND(ISBLANK(S30:S34)),AND(ISBLANK(AN30:AN34)), AND(ISBLANK(X30:X34)),AND(ISBLANK(AS30:AS34))), "·", bdRateExtend( S30:S34,X30:X34, AN30:AN34,AS30:AS34))</f>
        <v>·</v>
      </c>
      <c r="BL30" s="71" t="str">
        <f t="array" ref="BL30">IF( OR(AND(ISBLANK(S30:S34)),AND(ISBLANK(AN30:AN34)), AND(ISBLANK(Y30:Y34)),AND(ISBLANK(AT30:AT34))), "·", bdRateExtend( S30:S34,Y30:Y34, AN30:AN34,AT30:AT34))</f>
        <v>·</v>
      </c>
      <c r="BM30" s="71" t="str">
        <f t="array" ref="BM30">IF( OR(AND(ISBLANK(M30:M34)),AND(ISBLANK(AH30:AH34)), AND(ISBLANK(Z30:Z34)),AND(ISBLANK(AU30:AU34))), "·", bdRateExtend( M30:M34,Z30:Z34, AH30:AH34,AU30:AU34))</f>
        <v>·</v>
      </c>
      <c r="BN30" s="71" t="str">
        <f t="array" ref="BN30">IF( OR(AND(ISBLANK(S30:S34)),AND(ISBLANK(AN30:AN34)), AND(ISBLANK(AA30:AA34)),AND(ISBLANK(AV30:AV34))), "·", bdRateExtend( S30:S34,AA30:AA34, AN30:AN34,AV30:AV34))</f>
        <v>·</v>
      </c>
      <c r="BP30" s="71">
        <f>IF(AND(AK30=0,AK30=0),0,AK30/P30-1)</f>
        <v>0</v>
      </c>
      <c r="BQ30" s="71">
        <f>IF(AND(AL30=0,AL30=0),0,AL30/Q30-1)</f>
        <v>0</v>
      </c>
      <c r="BR30" s="71">
        <f>IF(AND(AM30=0,AM30=0),0,AM30/R30-1)</f>
        <v>0</v>
      </c>
      <c r="BS30" s="71">
        <f>IF(AND(AN30=0,AN30=0),0,AN30/S30-1)</f>
        <v>0</v>
      </c>
      <c r="BT30" s="71">
        <f>IF(AND(AO30=0,AO30=0),0,AO30/T30-1)</f>
        <v>0</v>
      </c>
    </row>
    <row r="31" spans="1:72" ht="15" customHeight="1" outlineLevel="1" x14ac:dyDescent="0.15">
      <c r="A31" s="8"/>
      <c r="B31" s="8" t="s">
        <v>67</v>
      </c>
      <c r="C31" s="10" t="s">
        <v>423</v>
      </c>
      <c r="D31" s="8">
        <v>5997654</v>
      </c>
      <c r="E31" s="9">
        <v>12</v>
      </c>
      <c r="F31" s="10">
        <v>32</v>
      </c>
      <c r="G31" s="10">
        <v>30</v>
      </c>
      <c r="H31" s="10">
        <v>8</v>
      </c>
      <c r="J31" s="63">
        <f>IF(OR(ISBLANK(O31),ISBLANK(G31)),"·",O31*G31/F31/1000000)</f>
        <v>7.5186824999999997</v>
      </c>
      <c r="K31" s="11">
        <f>IF(ISBLANK(O31),"·",O31/D31)</f>
        <v>1.3371775030703672</v>
      </c>
      <c r="L31" s="10">
        <f>IF(OR(ISBLANK(M31),ISBLANK(S31),ISBLANK(T31)),".",M31+S31+T31)</f>
        <v>8019928</v>
      </c>
      <c r="M31" s="10">
        <f>IF(OR(ISBLANK(Q31),ISBLANK(P31),ISBLANK(R31)),".",P31+Q31+R31)</f>
        <v>1738536</v>
      </c>
      <c r="N31" s="25">
        <v>1220640</v>
      </c>
      <c r="O31" s="12">
        <v>8019928</v>
      </c>
      <c r="P31" s="12">
        <v>783048</v>
      </c>
      <c r="Q31" s="12">
        <v>79504</v>
      </c>
      <c r="R31" s="12">
        <v>875984</v>
      </c>
      <c r="S31" s="12">
        <v>6274056</v>
      </c>
      <c r="T31" s="12">
        <v>7336</v>
      </c>
      <c r="U31" s="26">
        <v>76.274163599999994</v>
      </c>
      <c r="V31" s="26">
        <v>78.284944100000004</v>
      </c>
      <c r="W31" s="26">
        <v>41.125513499999997</v>
      </c>
      <c r="X31" s="26">
        <v>45.917396199999999</v>
      </c>
      <c r="Y31" s="26">
        <v>44.773194699999998</v>
      </c>
      <c r="Z31" s="26">
        <v>48.404525499999998</v>
      </c>
      <c r="AA31" s="26">
        <v>36.816179499999997</v>
      </c>
      <c r="AB31" s="64">
        <v>3336.6404259999999</v>
      </c>
      <c r="AC31" s="64">
        <v>18.246656999999999</v>
      </c>
      <c r="AE31" s="63" t="str">
        <f>IF(OR(ISBLANK(AJ31),ISBLANK(G31)),"·",AJ31*G31/F31/1000000)</f>
        <v>·</v>
      </c>
      <c r="AF31" s="11" t="str">
        <f>IF(ISBLANK(AJ31),"·",AJ31/D31)</f>
        <v>·</v>
      </c>
      <c r="AG31" s="10" t="str">
        <f>IF(OR(ISBLANK(AH31),ISBLANK(AN31),ISBLANK(AO31)),".",AH31+AN31+AO31)</f>
        <v>.</v>
      </c>
      <c r="AH31" s="10" t="str">
        <f>IF(OR(ISBLANK(AL31),ISBLANK(AK31),ISBLANK(AM31)),".",AK31+AL31+AM31)</f>
        <v>.</v>
      </c>
      <c r="AI31" s="25"/>
      <c r="AJ31" s="12"/>
      <c r="AK31" s="12"/>
      <c r="AL31" s="12"/>
      <c r="AM31" s="12"/>
      <c r="AN31" s="12"/>
      <c r="AO31" s="12"/>
      <c r="AP31" s="26"/>
      <c r="AQ31" s="26"/>
      <c r="AR31" s="26"/>
      <c r="AS31" s="26"/>
      <c r="AT31" s="26"/>
      <c r="AU31" s="26"/>
      <c r="AV31" s="26"/>
      <c r="AW31" s="64"/>
      <c r="AX31" s="64"/>
      <c r="AZ31" s="65"/>
      <c r="BA31" s="65"/>
      <c r="BB31" s="65"/>
      <c r="BC31" s="65"/>
      <c r="BD31" s="65"/>
      <c r="BE31" s="65"/>
      <c r="BF31" s="65"/>
      <c r="BH31" s="65"/>
      <c r="BI31" s="65"/>
      <c r="BJ31" s="65"/>
      <c r="BK31" s="65"/>
      <c r="BL31" s="65"/>
      <c r="BM31" s="65"/>
      <c r="BN31" s="65"/>
      <c r="BP31" s="65">
        <f>IF(AND(AK31=0,AK31=0),0,AK31/P31-1)</f>
        <v>0</v>
      </c>
      <c r="BQ31" s="65">
        <f>IF(AND(AL31=0,AL31=0),0,AL31/Q31-1)</f>
        <v>0</v>
      </c>
      <c r="BR31" s="65">
        <f>IF(AND(AM31=0,AM31=0),0,AM31/R31-1)</f>
        <v>0</v>
      </c>
      <c r="BS31" s="65">
        <f>IF(AND(AN31=0,AN31=0),0,AN31/S31-1)</f>
        <v>0</v>
      </c>
      <c r="BT31" s="65">
        <f>IF(AND(AO31=0,AO31=0),0,AO31/T31-1)</f>
        <v>0</v>
      </c>
    </row>
    <row r="32" spans="1:72" ht="15" customHeight="1" outlineLevel="1" x14ac:dyDescent="0.15">
      <c r="A32" s="18"/>
      <c r="B32" s="18" t="s">
        <v>67</v>
      </c>
      <c r="C32" s="20" t="s">
        <v>424</v>
      </c>
      <c r="D32" s="18">
        <v>5997654</v>
      </c>
      <c r="E32" s="19">
        <v>12</v>
      </c>
      <c r="F32" s="20">
        <v>32</v>
      </c>
      <c r="G32" s="20">
        <v>30</v>
      </c>
      <c r="H32" s="20">
        <v>12</v>
      </c>
      <c r="J32" s="69">
        <f>IF(OR(ISBLANK(O32),ISBLANK(G32)),"·",O32*G32/F32/1000000)</f>
        <v>11.4850125</v>
      </c>
      <c r="K32" s="21">
        <f>IF(ISBLANK(O32),"·",O32/D32)</f>
        <v>2.0425786482514665</v>
      </c>
      <c r="L32" s="20">
        <f>IF(OR(ISBLANK(M32),ISBLANK(S32),ISBLANK(T32)),".",M32+S32+T32)</f>
        <v>12250680</v>
      </c>
      <c r="M32" s="20">
        <f>IF(OR(ISBLANK(Q32),ISBLANK(P32),ISBLANK(R32)),".",P32+Q32+R32)</f>
        <v>3469568</v>
      </c>
      <c r="N32" s="27">
        <v>4909152</v>
      </c>
      <c r="O32" s="22">
        <v>12250680</v>
      </c>
      <c r="P32" s="22">
        <v>2422824</v>
      </c>
      <c r="Q32" s="22">
        <v>196616</v>
      </c>
      <c r="R32" s="22">
        <v>850128</v>
      </c>
      <c r="S32" s="22">
        <v>8773512</v>
      </c>
      <c r="T32" s="22">
        <v>7600</v>
      </c>
      <c r="U32" s="28">
        <v>79.610356800000005</v>
      </c>
      <c r="V32" s="28">
        <v>82.360175699999999</v>
      </c>
      <c r="W32" s="28">
        <v>42.264677800000001</v>
      </c>
      <c r="X32" s="28">
        <v>46.668162199999998</v>
      </c>
      <c r="Y32" s="28">
        <v>45.747624999999999</v>
      </c>
      <c r="Z32" s="28">
        <v>50.188371099999998</v>
      </c>
      <c r="AA32" s="28">
        <v>38.870386400000001</v>
      </c>
      <c r="AB32" s="70">
        <v>11043.415546</v>
      </c>
      <c r="AC32" s="70">
        <v>69.315719999999999</v>
      </c>
      <c r="AE32" s="69" t="str">
        <f>IF(OR(ISBLANK(AJ32),ISBLANK(G32)),"·",AJ32*G32/F32/1000000)</f>
        <v>·</v>
      </c>
      <c r="AF32" s="21" t="str">
        <f>IF(ISBLANK(AJ32),"·",AJ32/D32)</f>
        <v>·</v>
      </c>
      <c r="AG32" s="20" t="str">
        <f>IF(OR(ISBLANK(AH32),ISBLANK(AN32),ISBLANK(AO32)),".",AH32+AN32+AO32)</f>
        <v>.</v>
      </c>
      <c r="AH32" s="20" t="str">
        <f>IF(OR(ISBLANK(AL32),ISBLANK(AK32),ISBLANK(AM32)),".",AK32+AL32+AM32)</f>
        <v>.</v>
      </c>
      <c r="AI32" s="27"/>
      <c r="AJ32" s="22"/>
      <c r="AK32" s="22"/>
      <c r="AL32" s="22"/>
      <c r="AM32" s="22"/>
      <c r="AN32" s="22"/>
      <c r="AO32" s="22"/>
      <c r="AP32" s="28"/>
      <c r="AQ32" s="28"/>
      <c r="AR32" s="28"/>
      <c r="AS32" s="28"/>
      <c r="AT32" s="28"/>
      <c r="AU32" s="28"/>
      <c r="AV32" s="28"/>
      <c r="AW32" s="70"/>
      <c r="AX32" s="70"/>
      <c r="AZ32" s="71"/>
      <c r="BA32" s="71"/>
      <c r="BB32" s="71"/>
      <c r="BC32" s="71"/>
      <c r="BD32" s="71"/>
      <c r="BE32" s="71"/>
      <c r="BF32" s="71"/>
      <c r="BH32" s="71"/>
      <c r="BI32" s="71"/>
      <c r="BJ32" s="71"/>
      <c r="BK32" s="71"/>
      <c r="BL32" s="71"/>
      <c r="BM32" s="71"/>
      <c r="BN32" s="71"/>
      <c r="BP32" s="71">
        <f>IF(AND(AK32=0,AK32=0),0,AK32/P32-1)</f>
        <v>0</v>
      </c>
      <c r="BQ32" s="71">
        <f>IF(AND(AL32=0,AL32=0),0,AL32/Q32-1)</f>
        <v>0</v>
      </c>
      <c r="BR32" s="71">
        <f>IF(AND(AM32=0,AM32=0),0,AM32/R32-1)</f>
        <v>0</v>
      </c>
      <c r="BS32" s="71">
        <f>IF(AND(AN32=0,AN32=0),0,AN32/S32-1)</f>
        <v>0</v>
      </c>
      <c r="BT32" s="71">
        <f>IF(AND(AO32=0,AO32=0),0,AO32/T32-1)</f>
        <v>0</v>
      </c>
    </row>
    <row r="33" spans="1:72" ht="15" customHeight="1" outlineLevel="1" x14ac:dyDescent="0.15">
      <c r="A33" s="8"/>
      <c r="B33" s="8" t="s">
        <v>67</v>
      </c>
      <c r="C33" s="10" t="s">
        <v>425</v>
      </c>
      <c r="D33" s="8">
        <v>5997654</v>
      </c>
      <c r="E33" s="9">
        <v>12</v>
      </c>
      <c r="F33" s="10">
        <v>32</v>
      </c>
      <c r="G33" s="10">
        <v>30</v>
      </c>
      <c r="H33" s="10">
        <v>17</v>
      </c>
      <c r="J33" s="63">
        <f>IF(OR(ISBLANK(O33),ISBLANK(G33)),"·",O33*G33/F33/1000000)</f>
        <v>16.14864</v>
      </c>
      <c r="K33" s="11">
        <f>IF(ISBLANK(O33),"·",O33/D33)</f>
        <v>2.8719922823157189</v>
      </c>
      <c r="L33" s="10">
        <f>IF(OR(ISBLANK(M33),ISBLANK(S33),ISBLANK(T33)),".",M33+S33+T33)</f>
        <v>17225216</v>
      </c>
      <c r="M33" s="10">
        <f>IF(OR(ISBLANK(Q33),ISBLANK(P33),ISBLANK(R33)),".",P33+Q33+R33)</f>
        <v>4524848</v>
      </c>
      <c r="N33" s="25">
        <v>4909152</v>
      </c>
      <c r="O33" s="12">
        <v>17225216</v>
      </c>
      <c r="P33" s="12">
        <v>2422824</v>
      </c>
      <c r="Q33" s="12">
        <v>196616</v>
      </c>
      <c r="R33" s="12">
        <v>1905408</v>
      </c>
      <c r="S33" s="12">
        <v>12692768</v>
      </c>
      <c r="T33" s="12">
        <v>7600</v>
      </c>
      <c r="U33" s="26">
        <v>81.370554100000007</v>
      </c>
      <c r="V33" s="26">
        <v>84.968806700000002</v>
      </c>
      <c r="W33" s="26">
        <v>43.3131068</v>
      </c>
      <c r="X33" s="26">
        <v>47.735574</v>
      </c>
      <c r="Y33" s="26">
        <v>46.950521299999998</v>
      </c>
      <c r="Z33" s="26">
        <v>51.620134999999998</v>
      </c>
      <c r="AA33" s="26">
        <v>40.282162100000001</v>
      </c>
      <c r="AB33" s="64">
        <v>11634.081835999999</v>
      </c>
      <c r="AC33" s="64">
        <v>62.589191</v>
      </c>
      <c r="AE33" s="63" t="str">
        <f>IF(OR(ISBLANK(AJ33),ISBLANK(G33)),"·",AJ33*G33/F33/1000000)</f>
        <v>·</v>
      </c>
      <c r="AF33" s="11" t="str">
        <f>IF(ISBLANK(AJ33),"·",AJ33/D33)</f>
        <v>·</v>
      </c>
      <c r="AG33" s="10" t="str">
        <f>IF(OR(ISBLANK(AH33),ISBLANK(AN33),ISBLANK(AO33)),".",AH33+AN33+AO33)</f>
        <v>.</v>
      </c>
      <c r="AH33" s="10" t="str">
        <f>IF(OR(ISBLANK(AL33),ISBLANK(AK33),ISBLANK(AM33)),".",AK33+AL33+AM33)</f>
        <v>.</v>
      </c>
      <c r="AI33" s="25"/>
      <c r="AJ33" s="12"/>
      <c r="AK33" s="12"/>
      <c r="AL33" s="12"/>
      <c r="AM33" s="12"/>
      <c r="AN33" s="12"/>
      <c r="AO33" s="12"/>
      <c r="AP33" s="26"/>
      <c r="AQ33" s="26"/>
      <c r="AR33" s="26"/>
      <c r="AS33" s="26"/>
      <c r="AT33" s="26"/>
      <c r="AU33" s="26"/>
      <c r="AV33" s="26"/>
      <c r="AW33" s="64"/>
      <c r="AX33" s="64"/>
      <c r="AZ33" s="65"/>
      <c r="BA33" s="65"/>
      <c r="BB33" s="65"/>
      <c r="BC33" s="65"/>
      <c r="BD33" s="65"/>
      <c r="BE33" s="65"/>
      <c r="BF33" s="65"/>
      <c r="BH33" s="65"/>
      <c r="BI33" s="65"/>
      <c r="BJ33" s="65"/>
      <c r="BK33" s="65"/>
      <c r="BL33" s="65"/>
      <c r="BM33" s="65"/>
      <c r="BN33" s="65"/>
      <c r="BP33" s="65">
        <f>IF(AND(AK33=0,AK33=0),0,AK33/P33-1)</f>
        <v>0</v>
      </c>
      <c r="BQ33" s="65">
        <f>IF(AND(AL33=0,AL33=0),0,AL33/Q33-1)</f>
        <v>0</v>
      </c>
      <c r="BR33" s="65">
        <f>IF(AND(AM33=0,AM33=0),0,AM33/R33-1)</f>
        <v>0</v>
      </c>
      <c r="BS33" s="65">
        <f>IF(AND(AN33=0,AN33=0),0,AN33/S33-1)</f>
        <v>0</v>
      </c>
      <c r="BT33" s="65">
        <f>IF(AND(AO33=0,AO33=0),0,AO33/T33-1)</f>
        <v>0</v>
      </c>
    </row>
    <row r="34" spans="1:72" ht="15.75" customHeight="1" outlineLevel="1" thickBot="1" x14ac:dyDescent="0.2">
      <c r="A34" s="18"/>
      <c r="B34" s="13" t="s">
        <v>67</v>
      </c>
      <c r="C34" s="15" t="s">
        <v>426</v>
      </c>
      <c r="D34" s="13">
        <v>5997654</v>
      </c>
      <c r="E34" s="14">
        <v>12</v>
      </c>
      <c r="F34" s="15">
        <v>32</v>
      </c>
      <c r="G34" s="15">
        <v>30</v>
      </c>
      <c r="H34" s="15">
        <v>25</v>
      </c>
      <c r="J34" s="66">
        <f>IF(OR(ISBLANK(O34),ISBLANK(G34)),"·",O34*G34/F34/1000000)</f>
        <v>21.482467499999998</v>
      </c>
      <c r="K34" s="16">
        <f>IF(ISBLANK(O34),"·",O34/D34)</f>
        <v>3.8205991876156911</v>
      </c>
      <c r="L34" s="15">
        <f>IF(OR(ISBLANK(M34),ISBLANK(S34),ISBLANK(T34)),".",M34+S34+T34)</f>
        <v>22914632</v>
      </c>
      <c r="M34" s="15">
        <f>IF(OR(ISBLANK(Q34),ISBLANK(P34),ISBLANK(R34)),".",P34+Q34+R34)</f>
        <v>6334376</v>
      </c>
      <c r="N34" s="36">
        <v>12284608</v>
      </c>
      <c r="O34" s="17">
        <v>22914632</v>
      </c>
      <c r="P34" s="17">
        <v>4743168</v>
      </c>
      <c r="Q34" s="17">
        <v>1110960</v>
      </c>
      <c r="R34" s="17">
        <v>480248</v>
      </c>
      <c r="S34" s="17">
        <v>16572392</v>
      </c>
      <c r="T34" s="17">
        <v>7864</v>
      </c>
      <c r="U34" s="37">
        <v>84.798566399999999</v>
      </c>
      <c r="V34" s="37">
        <v>89.1627297</v>
      </c>
      <c r="W34" s="37">
        <v>44.2985313</v>
      </c>
      <c r="X34" s="37">
        <v>48.390863199999998</v>
      </c>
      <c r="Y34" s="37">
        <v>47.709875400000001</v>
      </c>
      <c r="Z34" s="37">
        <v>55.391996800000001</v>
      </c>
      <c r="AA34" s="37">
        <v>42.7426624</v>
      </c>
      <c r="AB34" s="67">
        <v>14212.212307</v>
      </c>
      <c r="AC34" s="67">
        <v>72.455533000000003</v>
      </c>
      <c r="AE34" s="66" t="str">
        <f>IF(OR(ISBLANK(AJ34),ISBLANK(G34)),"·",AJ34*G34/F34/1000000)</f>
        <v>·</v>
      </c>
      <c r="AF34" s="16" t="str">
        <f>IF(ISBLANK(AJ34),"·",AJ34/D34)</f>
        <v>·</v>
      </c>
      <c r="AG34" s="15" t="str">
        <f>IF(OR(ISBLANK(AH34),ISBLANK(AN34),ISBLANK(AO34)),".",AH34+AN34+AO34)</f>
        <v>.</v>
      </c>
      <c r="AH34" s="15" t="str">
        <f>IF(OR(ISBLANK(AL34),ISBLANK(AK34),ISBLANK(AM34)),".",AK34+AL34+AM34)</f>
        <v>.</v>
      </c>
      <c r="AI34" s="36"/>
      <c r="AJ34" s="17"/>
      <c r="AK34" s="17"/>
      <c r="AL34" s="17"/>
      <c r="AM34" s="17"/>
      <c r="AN34" s="17"/>
      <c r="AO34" s="17"/>
      <c r="AP34" s="37"/>
      <c r="AQ34" s="37"/>
      <c r="AR34" s="37"/>
      <c r="AS34" s="37"/>
      <c r="AT34" s="37"/>
      <c r="AU34" s="37"/>
      <c r="AV34" s="37"/>
      <c r="AW34" s="67"/>
      <c r="AX34" s="67"/>
      <c r="AZ34" s="68"/>
      <c r="BA34" s="68"/>
      <c r="BB34" s="68"/>
      <c r="BC34" s="68"/>
      <c r="BD34" s="68"/>
      <c r="BE34" s="68"/>
      <c r="BF34" s="68"/>
      <c r="BH34" s="68"/>
      <c r="BI34" s="68"/>
      <c r="BJ34" s="68"/>
      <c r="BK34" s="68"/>
      <c r="BL34" s="68"/>
      <c r="BM34" s="68"/>
      <c r="BN34" s="68"/>
      <c r="BP34" s="68">
        <f>IF(AND(AK34=0,AK34=0),0,AK34/P34-1)</f>
        <v>0</v>
      </c>
      <c r="BQ34" s="68">
        <f>IF(AND(AL34=0,AL34=0),0,AL34/Q34-1)</f>
        <v>0</v>
      </c>
      <c r="BR34" s="68">
        <f>IF(AND(AM34=0,AM34=0),0,AM34/R34-1)</f>
        <v>0</v>
      </c>
      <c r="BS34" s="68">
        <f>IF(AND(AN34=0,AN34=0),0,AN34/S34-1)</f>
        <v>0</v>
      </c>
      <c r="BT34" s="68">
        <f>IF(AND(AO34=0,AO34=0),0,AO34/T34-1)</f>
        <v>0</v>
      </c>
    </row>
    <row r="35" spans="1:72" ht="15" customHeight="1" x14ac:dyDescent="0.15">
      <c r="A35" s="8"/>
      <c r="B35" s="8" t="s">
        <v>72</v>
      </c>
      <c r="C35" s="10" t="s">
        <v>422</v>
      </c>
      <c r="D35" s="8">
        <v>9000000</v>
      </c>
      <c r="E35" s="9">
        <v>12</v>
      </c>
      <c r="F35" s="10">
        <v>32</v>
      </c>
      <c r="G35" s="10">
        <v>30</v>
      </c>
      <c r="H35" s="10">
        <v>3</v>
      </c>
      <c r="J35" s="63">
        <f>IF(OR(ISBLANK(O35),ISBLANK(G35)),"·",O35*G35/F35/1000000)</f>
        <v>3.1191450000000001</v>
      </c>
      <c r="K35" s="11">
        <f>IF(ISBLANK(O35),"·",O35/D35)</f>
        <v>0.36967644444444442</v>
      </c>
      <c r="L35" s="10">
        <f>IF(OR(ISBLANK(M35),ISBLANK(S35),ISBLANK(T35)),".",M35+S35+T35)</f>
        <v>3327088</v>
      </c>
      <c r="M35" s="10">
        <f>IF(OR(ISBLANK(Q35),ISBLANK(P35),ISBLANK(R35)),".",P35+Q35+R35)</f>
        <v>935424</v>
      </c>
      <c r="N35" s="25">
        <v>920128</v>
      </c>
      <c r="O35" s="12">
        <v>3327088</v>
      </c>
      <c r="P35" s="12">
        <v>459800</v>
      </c>
      <c r="Q35" s="12">
        <v>68432</v>
      </c>
      <c r="R35" s="12">
        <v>407192</v>
      </c>
      <c r="S35" s="12">
        <v>2384432</v>
      </c>
      <c r="T35" s="12">
        <v>7232</v>
      </c>
      <c r="U35" s="26">
        <v>72.402662500000005</v>
      </c>
      <c r="V35" s="26">
        <v>73.947922199999994</v>
      </c>
      <c r="W35" s="26">
        <v>30.095666300000001</v>
      </c>
      <c r="X35" s="26">
        <v>38.825277300000003</v>
      </c>
      <c r="Y35" s="26">
        <v>38.931081599999999</v>
      </c>
      <c r="Z35" s="26">
        <v>47.911830000000002</v>
      </c>
      <c r="AA35" s="26">
        <v>29.094320799999998</v>
      </c>
      <c r="AB35" s="64">
        <v>8183.4592270000003</v>
      </c>
      <c r="AC35" s="64">
        <v>59.548113000000001</v>
      </c>
      <c r="AE35" s="63" t="str">
        <f>IF(OR(ISBLANK(AJ35),ISBLANK(G35)),"·",AJ35*G35/F35/1000000)</f>
        <v>·</v>
      </c>
      <c r="AF35" s="11" t="str">
        <f>IF(ISBLANK(AJ35),"·",AJ35/D35)</f>
        <v>·</v>
      </c>
      <c r="AG35" s="10" t="str">
        <f>IF(OR(ISBLANK(AH35),ISBLANK(AN35),ISBLANK(AO35)),".",AH35+AN35+AO35)</f>
        <v>.</v>
      </c>
      <c r="AH35" s="10" t="str">
        <f>IF(OR(ISBLANK(AL35),ISBLANK(AK35),ISBLANK(AM35)),".",AK35+AL35+AM35)</f>
        <v>.</v>
      </c>
      <c r="AI35" s="25"/>
      <c r="AJ35" s="12"/>
      <c r="AK35" s="12"/>
      <c r="AL35" s="12"/>
      <c r="AM35" s="12"/>
      <c r="AN35" s="12"/>
      <c r="AO35" s="12"/>
      <c r="AP35" s="26"/>
      <c r="AQ35" s="26"/>
      <c r="AR35" s="26"/>
      <c r="AS35" s="26"/>
      <c r="AT35" s="26"/>
      <c r="AU35" s="26"/>
      <c r="AV35" s="26"/>
      <c r="AW35" s="64"/>
      <c r="AX35" s="64"/>
      <c r="AZ35" s="65" t="str">
        <f t="array" ref="AZ35">IF( OR(AND(ISBLANK(L35:L39)),AND(ISBLANK(AG35:AG39)), AND(ISBLANK(U35:U39)),AND(ISBLANK(AP35:AP39))), "·", bdRateExtend( L35:L39,U35:U39, AG35:AG39,AP35:AP39))</f>
        <v>·</v>
      </c>
      <c r="BA35" s="65" t="str">
        <f t="array" ref="BA35">IF( OR(AND(ISBLANK(L35:L39)),AND(ISBLANK(AG35:AG39)), AND(ISBLANK(V35:V39)),AND(ISBLANK(AQ35:AQ39))), "·", bdRateExtend( L35:L39,V35:V39, AG35:AG39,AQ35:AQ39))</f>
        <v>·</v>
      </c>
      <c r="BB35" s="65" t="str">
        <f t="array" ref="BB35">IF( OR(AND(ISBLANK(L35:L39)),AND(ISBLANK(AG35:AG39)), AND(ISBLANK(W35:W39)),AND(ISBLANK(AR35:AR39))), "·", bdRateExtend( L35:L39,W35:W39, AG35:AG39,AR35:AR39))</f>
        <v>·</v>
      </c>
      <c r="BC35" s="65" t="str">
        <f t="array" ref="BC35">IF( OR(AND(ISBLANK(L35:L39)),AND(ISBLANK(AG35:AG39)), AND(ISBLANK(X35:X39)),AND(ISBLANK(AS35:AS39))), "·", bdRateExtend( L35:L39,X35:X39, AG35:AG39,AS35:AS39))</f>
        <v>·</v>
      </c>
      <c r="BD35" s="65" t="str">
        <f t="array" ref="BD35">IF( OR(AND(ISBLANK(L35:L39)),AND(ISBLANK(AG35:AG39)), AND(ISBLANK(Y35:Y39)),AND(ISBLANK(AT35:AT39))), "·", bdRateExtend( L35:L39,Y35:Y39, AG35:AG39,AT35:AT39))</f>
        <v>·</v>
      </c>
      <c r="BE35" s="65" t="str">
        <f t="array" ref="BE35">IF( OR(AND(ISBLANK(L35:L39)),AND(ISBLANK(AG35:AG39)), AND(ISBLANK(Z35:Z39)),AND(ISBLANK(AU35:AU39))), "·", bdRateExtend( L35:L39,Z35:Z39, AG35:AG39,AU35:AU39))</f>
        <v>·</v>
      </c>
      <c r="BF35" s="65" t="str">
        <f t="array" ref="BF35">IF( OR(AND(ISBLANK(L35:L39)),AND(ISBLANK(AG35:AG39)), AND(ISBLANK(AA35:AA39)),AND(ISBLANK(AV35:AV39))), "·", bdRateExtend( L35:L39,AA35:AA39, AG35:AG39,AV35:AV39))</f>
        <v>·</v>
      </c>
      <c r="BH35" s="49" t="str">
        <f t="array" ref="BH35">IF( OR(AND(ISBLANK(M35:M39)),AND(ISBLANK(AH35:AH39)), AND(ISBLANK(U35:U39)),AND(ISBLANK(AP35:AP39))), "·", bdRateExtend( M35:M39,U35:U39, AH35:AH39,AP35:AP39))</f>
        <v>·</v>
      </c>
      <c r="BI35" s="65" t="str">
        <f t="array" ref="BI35">IF( OR(AND(ISBLANK(M35:M39)),AND(ISBLANK(AH35:AH39)), AND(ISBLANK(V35:V39)),AND(ISBLANK(AQ35:AQ39))), "·", bdRateExtend( M35:M39,V35:V39, AH35:AH39,AQ35:AQ39))</f>
        <v>·</v>
      </c>
      <c r="BJ35" s="65" t="str">
        <f t="array" ref="BJ35">IF( OR(AND(ISBLANK(S35:S39)),AND(ISBLANK(AN35:AN39)), AND(ISBLANK(W35:W39)),AND(ISBLANK(AR35:AR39))), "·", bdRateExtend( S35:S39,W35:W39, AN35:AN39,AR35:AR39))</f>
        <v>·</v>
      </c>
      <c r="BK35" s="65" t="str">
        <f t="array" ref="BK35">IF( OR(AND(ISBLANK(S35:S39)),AND(ISBLANK(AN35:AN39)), AND(ISBLANK(X35:X39)),AND(ISBLANK(AS35:AS39))), "·", bdRateExtend( S35:S39,X35:X39, AN35:AN39,AS35:AS39))</f>
        <v>·</v>
      </c>
      <c r="BL35" s="65" t="str">
        <f t="array" ref="BL35">IF( OR(AND(ISBLANK(S35:S39)),AND(ISBLANK(AN35:AN39)), AND(ISBLANK(Y35:Y39)),AND(ISBLANK(AT35:AT39))), "·", bdRateExtend( S35:S39,Y35:Y39, AN35:AN39,AT35:AT39))</f>
        <v>·</v>
      </c>
      <c r="BM35" s="65" t="str">
        <f t="array" ref="BM35">IF( OR(AND(ISBLANK(M35:M39)),AND(ISBLANK(AH35:AH39)), AND(ISBLANK(Z35:Z39)),AND(ISBLANK(AU35:AU39))), "·", bdRateExtend( M35:M39,Z35:Z39, AH35:AH39,AU35:AU39))</f>
        <v>·</v>
      </c>
      <c r="BN35" s="65" t="str">
        <f t="array" ref="BN35">IF( OR(AND(ISBLANK(S35:S39)),AND(ISBLANK(AN35:AN39)), AND(ISBLANK(AA35:AA39)),AND(ISBLANK(AV35:AV39))), "·", bdRateExtend( S35:S39,AA35:AA39, AN35:AN39,AV35:AV39))</f>
        <v>·</v>
      </c>
      <c r="BP35" s="65">
        <f>IF(AND(AK35=0,AK35=0),0,AK35/P35-1)</f>
        <v>0</v>
      </c>
      <c r="BQ35" s="65">
        <f>IF(AND(AL35=0,AL35=0),0,AL35/Q35-1)</f>
        <v>0</v>
      </c>
      <c r="BR35" s="65">
        <f>IF(AND(AM35=0,AM35=0),0,AM35/R35-1)</f>
        <v>0</v>
      </c>
      <c r="BS35" s="65">
        <f>IF(AND(AN35=0,AN35=0),0,AN35/S35-1)</f>
        <v>0</v>
      </c>
      <c r="BT35" s="65">
        <f>IF(AND(AO35=0,AO35=0),0,AO35/T35-1)</f>
        <v>0</v>
      </c>
    </row>
    <row r="36" spans="1:72" ht="15" customHeight="1" outlineLevel="1" x14ac:dyDescent="0.15">
      <c r="A36" s="18"/>
      <c r="B36" s="18" t="s">
        <v>72</v>
      </c>
      <c r="C36" s="20" t="s">
        <v>423</v>
      </c>
      <c r="D36" s="18">
        <v>9000000</v>
      </c>
      <c r="E36" s="19">
        <v>12</v>
      </c>
      <c r="F36" s="20">
        <v>32</v>
      </c>
      <c r="G36" s="20">
        <v>30</v>
      </c>
      <c r="H36" s="20">
        <v>4</v>
      </c>
      <c r="J36" s="69">
        <f>IF(OR(ISBLANK(O36),ISBLANK(G36)),"·",O36*G36/F36/1000000)</f>
        <v>3.9600075000000001</v>
      </c>
      <c r="K36" s="21">
        <f>IF(ISBLANK(O36),"·",O36/D36)</f>
        <v>0.46933422222222221</v>
      </c>
      <c r="L36" s="20">
        <f>IF(OR(ISBLANK(M36),ISBLANK(S36),ISBLANK(T36)),".",M36+S36+T36)</f>
        <v>4224008</v>
      </c>
      <c r="M36" s="20">
        <f>IF(OR(ISBLANK(Q36),ISBLANK(P36),ISBLANK(R36)),".",P36+Q36+R36)</f>
        <v>1018064</v>
      </c>
      <c r="N36" s="27">
        <v>1841248</v>
      </c>
      <c r="O36" s="22">
        <v>4224008</v>
      </c>
      <c r="P36" s="22">
        <v>675624</v>
      </c>
      <c r="Q36" s="22">
        <v>139128</v>
      </c>
      <c r="R36" s="22">
        <v>203312</v>
      </c>
      <c r="S36" s="22">
        <v>3198600</v>
      </c>
      <c r="T36" s="22">
        <v>7344</v>
      </c>
      <c r="U36" s="28">
        <v>73.313706800000006</v>
      </c>
      <c r="V36" s="28">
        <v>74.968942600000005</v>
      </c>
      <c r="W36" s="28">
        <v>30.566923599999999</v>
      </c>
      <c r="X36" s="28">
        <v>38.933313300000002</v>
      </c>
      <c r="Y36" s="28">
        <v>39.0586561</v>
      </c>
      <c r="Z36" s="28">
        <v>48.171831300000001</v>
      </c>
      <c r="AA36" s="28">
        <v>29.479018100000001</v>
      </c>
      <c r="AB36" s="70">
        <v>8386.7064580000006</v>
      </c>
      <c r="AC36" s="70">
        <v>62.881005000000002</v>
      </c>
      <c r="AE36" s="69" t="str">
        <f>IF(OR(ISBLANK(AJ36),ISBLANK(G36)),"·",AJ36*G36/F36/1000000)</f>
        <v>·</v>
      </c>
      <c r="AF36" s="21" t="str">
        <f>IF(ISBLANK(AJ36),"·",AJ36/D36)</f>
        <v>·</v>
      </c>
      <c r="AG36" s="20" t="str">
        <f>IF(OR(ISBLANK(AH36),ISBLANK(AN36),ISBLANK(AO36)),".",AH36+AN36+AO36)</f>
        <v>.</v>
      </c>
      <c r="AH36" s="20" t="str">
        <f>IF(OR(ISBLANK(AL36),ISBLANK(AK36),ISBLANK(AM36)),".",AK36+AL36+AM36)</f>
        <v>.</v>
      </c>
      <c r="AI36" s="27"/>
      <c r="AJ36" s="22"/>
      <c r="AK36" s="22"/>
      <c r="AL36" s="22"/>
      <c r="AM36" s="22"/>
      <c r="AN36" s="22"/>
      <c r="AO36" s="22"/>
      <c r="AP36" s="28"/>
      <c r="AQ36" s="28"/>
      <c r="AR36" s="28"/>
      <c r="AS36" s="28"/>
      <c r="AT36" s="28"/>
      <c r="AU36" s="28"/>
      <c r="AV36" s="28"/>
      <c r="AW36" s="70"/>
      <c r="AX36" s="70"/>
      <c r="AZ36" s="71"/>
      <c r="BA36" s="71"/>
      <c r="BB36" s="71"/>
      <c r="BC36" s="71"/>
      <c r="BD36" s="71"/>
      <c r="BE36" s="71"/>
      <c r="BF36" s="71"/>
      <c r="BH36" s="71"/>
      <c r="BI36" s="71"/>
      <c r="BJ36" s="71"/>
      <c r="BK36" s="71"/>
      <c r="BL36" s="71"/>
      <c r="BM36" s="71"/>
      <c r="BN36" s="71"/>
      <c r="BP36" s="71">
        <f>IF(AND(AK36=0,AK36=0),0,AK36/P36-1)</f>
        <v>0</v>
      </c>
      <c r="BQ36" s="71">
        <f>IF(AND(AL36=0,AL36=0),0,AL36/Q36-1)</f>
        <v>0</v>
      </c>
      <c r="BR36" s="71">
        <f>IF(AND(AM36=0,AM36=0),0,AM36/R36-1)</f>
        <v>0</v>
      </c>
      <c r="BS36" s="71">
        <f>IF(AND(AN36=0,AN36=0),0,AN36/S36-1)</f>
        <v>0</v>
      </c>
      <c r="BT36" s="71">
        <f>IF(AND(AO36=0,AO36=0),0,AO36/T36-1)</f>
        <v>0</v>
      </c>
    </row>
    <row r="37" spans="1:72" ht="15" customHeight="1" outlineLevel="1" x14ac:dyDescent="0.15">
      <c r="A37" s="8"/>
      <c r="B37" s="8" t="s">
        <v>72</v>
      </c>
      <c r="C37" s="10" t="s">
        <v>424</v>
      </c>
      <c r="D37" s="8">
        <v>9000000</v>
      </c>
      <c r="E37" s="9">
        <v>12</v>
      </c>
      <c r="F37" s="10">
        <v>32</v>
      </c>
      <c r="G37" s="10">
        <v>30</v>
      </c>
      <c r="H37" s="10">
        <v>6</v>
      </c>
      <c r="J37" s="63">
        <f>IF(OR(ISBLANK(O37),ISBLANK(G37)),"·",O37*G37/F37/1000000)</f>
        <v>5.9587725000000002</v>
      </c>
      <c r="K37" s="11">
        <f>IF(ISBLANK(O37),"·",O37/D37)</f>
        <v>0.7062248888888889</v>
      </c>
      <c r="L37" s="10">
        <f>IF(OR(ISBLANK(M37),ISBLANK(S37),ISBLANK(T37)),".",M37+S37+T37)</f>
        <v>6356024</v>
      </c>
      <c r="M37" s="10">
        <f>IF(OR(ISBLANK(Q37),ISBLANK(P37),ISBLANK(R37)),".",P37+Q37+R37)</f>
        <v>1443656</v>
      </c>
      <c r="N37" s="25">
        <v>1841248</v>
      </c>
      <c r="O37" s="12">
        <v>6356024</v>
      </c>
      <c r="P37" s="12">
        <v>675624</v>
      </c>
      <c r="Q37" s="12">
        <v>139128</v>
      </c>
      <c r="R37" s="12">
        <v>628904</v>
      </c>
      <c r="S37" s="12">
        <v>4905024</v>
      </c>
      <c r="T37" s="12">
        <v>7344</v>
      </c>
      <c r="U37" s="26">
        <v>75.9692984</v>
      </c>
      <c r="V37" s="26">
        <v>77.932832899999994</v>
      </c>
      <c r="W37" s="26">
        <v>31.2242487</v>
      </c>
      <c r="X37" s="26">
        <v>39.020653500000002</v>
      </c>
      <c r="Y37" s="26">
        <v>39.230779599999998</v>
      </c>
      <c r="Z37" s="26">
        <v>49.954799199999997</v>
      </c>
      <c r="AA37" s="26">
        <v>30.284962700000001</v>
      </c>
      <c r="AB37" s="64">
        <v>8615.9159299999992</v>
      </c>
      <c r="AC37" s="64">
        <v>65.125228000000007</v>
      </c>
      <c r="AE37" s="63" t="str">
        <f>IF(OR(ISBLANK(AJ37),ISBLANK(G37)),"·",AJ37*G37/F37/1000000)</f>
        <v>·</v>
      </c>
      <c r="AF37" s="11" t="str">
        <f>IF(ISBLANK(AJ37),"·",AJ37/D37)</f>
        <v>·</v>
      </c>
      <c r="AG37" s="10" t="str">
        <f>IF(OR(ISBLANK(AH37),ISBLANK(AN37),ISBLANK(AO37)),".",AH37+AN37+AO37)</f>
        <v>.</v>
      </c>
      <c r="AH37" s="10" t="str">
        <f>IF(OR(ISBLANK(AL37),ISBLANK(AK37),ISBLANK(AM37)),".",AK37+AL37+AM37)</f>
        <v>.</v>
      </c>
      <c r="AI37" s="25"/>
      <c r="AJ37" s="12"/>
      <c r="AK37" s="12"/>
      <c r="AL37" s="12"/>
      <c r="AM37" s="12"/>
      <c r="AN37" s="12"/>
      <c r="AO37" s="12"/>
      <c r="AP37" s="26"/>
      <c r="AQ37" s="26"/>
      <c r="AR37" s="26"/>
      <c r="AS37" s="26"/>
      <c r="AT37" s="26"/>
      <c r="AU37" s="26"/>
      <c r="AV37" s="26"/>
      <c r="AW37" s="64"/>
      <c r="AX37" s="64"/>
      <c r="AZ37" s="65"/>
      <c r="BA37" s="65"/>
      <c r="BB37" s="65"/>
      <c r="BC37" s="65"/>
      <c r="BD37" s="65"/>
      <c r="BE37" s="65"/>
      <c r="BF37" s="65"/>
      <c r="BH37" s="65"/>
      <c r="BI37" s="65"/>
      <c r="BJ37" s="65"/>
      <c r="BK37" s="65"/>
      <c r="BL37" s="65"/>
      <c r="BM37" s="65"/>
      <c r="BN37" s="65"/>
      <c r="BP37" s="65">
        <f>IF(AND(AK37=0,AK37=0),0,AK37/P37-1)</f>
        <v>0</v>
      </c>
      <c r="BQ37" s="65">
        <f>IF(AND(AL37=0,AL37=0),0,AL37/Q37-1)</f>
        <v>0</v>
      </c>
      <c r="BR37" s="65">
        <f>IF(AND(AM37=0,AM37=0),0,AM37/R37-1)</f>
        <v>0</v>
      </c>
      <c r="BS37" s="65">
        <f>IF(AND(AN37=0,AN37=0),0,AN37/S37-1)</f>
        <v>0</v>
      </c>
      <c r="BT37" s="65">
        <f>IF(AND(AO37=0,AO37=0),0,AO37/T37-1)</f>
        <v>0</v>
      </c>
    </row>
    <row r="38" spans="1:72" ht="15" customHeight="1" outlineLevel="1" x14ac:dyDescent="0.15">
      <c r="A38" s="18"/>
      <c r="B38" s="18" t="s">
        <v>72</v>
      </c>
      <c r="C38" s="20" t="s">
        <v>425</v>
      </c>
      <c r="D38" s="18">
        <v>9000000</v>
      </c>
      <c r="E38" s="19">
        <v>12</v>
      </c>
      <c r="F38" s="20">
        <v>32</v>
      </c>
      <c r="G38" s="20">
        <v>30</v>
      </c>
      <c r="H38" s="20">
        <v>8</v>
      </c>
      <c r="J38" s="69">
        <f>IF(OR(ISBLANK(O38),ISBLANK(G38)),"·",O38*G38/F38/1000000)</f>
        <v>7.9310999999999998</v>
      </c>
      <c r="K38" s="21">
        <f>IF(ISBLANK(O38),"·",O38/D38)</f>
        <v>0.93998222222222227</v>
      </c>
      <c r="L38" s="20">
        <f>IF(OR(ISBLANK(M38),ISBLANK(S38),ISBLANK(T38)),".",M38+S38+T38)</f>
        <v>8459840</v>
      </c>
      <c r="M38" s="20">
        <f>IF(OR(ISBLANK(Q38),ISBLANK(P38),ISBLANK(R38)),".",P38+Q38+R38)</f>
        <v>2286488</v>
      </c>
      <c r="N38" s="27">
        <v>3683392</v>
      </c>
      <c r="O38" s="22">
        <v>8459840</v>
      </c>
      <c r="P38" s="22">
        <v>1311600</v>
      </c>
      <c r="Q38" s="22">
        <v>327424</v>
      </c>
      <c r="R38" s="22">
        <v>647464</v>
      </c>
      <c r="S38" s="22">
        <v>6165848</v>
      </c>
      <c r="T38" s="22">
        <v>7504</v>
      </c>
      <c r="U38" s="28">
        <v>78.772598599999995</v>
      </c>
      <c r="V38" s="28">
        <v>81.293913599999996</v>
      </c>
      <c r="W38" s="28">
        <v>31.6654467</v>
      </c>
      <c r="X38" s="28">
        <v>39.1080197</v>
      </c>
      <c r="Y38" s="28">
        <v>39.385249299999998</v>
      </c>
      <c r="Z38" s="28">
        <v>51.503922600000003</v>
      </c>
      <c r="AA38" s="28">
        <v>30.939916100000001</v>
      </c>
      <c r="AB38" s="70">
        <v>9311.5966570000001</v>
      </c>
      <c r="AC38" s="70">
        <v>66.824883</v>
      </c>
      <c r="AE38" s="69" t="str">
        <f>IF(OR(ISBLANK(AJ38),ISBLANK(G38)),"·",AJ38*G38/F38/1000000)</f>
        <v>·</v>
      </c>
      <c r="AF38" s="21" t="str">
        <f>IF(ISBLANK(AJ38),"·",AJ38/D38)</f>
        <v>·</v>
      </c>
      <c r="AG38" s="20" t="str">
        <f>IF(OR(ISBLANK(AH38),ISBLANK(AN38),ISBLANK(AO38)),".",AH38+AN38+AO38)</f>
        <v>.</v>
      </c>
      <c r="AH38" s="20" t="str">
        <f>IF(OR(ISBLANK(AL38),ISBLANK(AK38),ISBLANK(AM38)),".",AK38+AL38+AM38)</f>
        <v>.</v>
      </c>
      <c r="AI38" s="27"/>
      <c r="AJ38" s="22"/>
      <c r="AK38" s="22"/>
      <c r="AL38" s="22"/>
      <c r="AM38" s="22"/>
      <c r="AN38" s="22"/>
      <c r="AO38" s="22"/>
      <c r="AP38" s="28"/>
      <c r="AQ38" s="28"/>
      <c r="AR38" s="28"/>
      <c r="AS38" s="28"/>
      <c r="AT38" s="28"/>
      <c r="AU38" s="28"/>
      <c r="AV38" s="28"/>
      <c r="AW38" s="70"/>
      <c r="AX38" s="70"/>
      <c r="AZ38" s="71"/>
      <c r="BA38" s="71"/>
      <c r="BB38" s="71"/>
      <c r="BC38" s="71"/>
      <c r="BD38" s="71"/>
      <c r="BE38" s="71"/>
      <c r="BF38" s="71"/>
      <c r="BH38" s="71"/>
      <c r="BI38" s="71"/>
      <c r="BJ38" s="71"/>
      <c r="BK38" s="71"/>
      <c r="BL38" s="71"/>
      <c r="BM38" s="71"/>
      <c r="BN38" s="71"/>
      <c r="BP38" s="71">
        <f>IF(AND(AK38=0,AK38=0),0,AK38/P38-1)</f>
        <v>0</v>
      </c>
      <c r="BQ38" s="71">
        <f>IF(AND(AL38=0,AL38=0),0,AL38/Q38-1)</f>
        <v>0</v>
      </c>
      <c r="BR38" s="71">
        <f>IF(AND(AM38=0,AM38=0),0,AM38/R38-1)</f>
        <v>0</v>
      </c>
      <c r="BS38" s="71">
        <f>IF(AND(AN38=0,AN38=0),0,AN38/S38-1)</f>
        <v>0</v>
      </c>
      <c r="BT38" s="71">
        <f>IF(AND(AO38=0,AO38=0),0,AO38/T38-1)</f>
        <v>0</v>
      </c>
    </row>
    <row r="39" spans="1:72" ht="15.75" customHeight="1" outlineLevel="1" thickBot="1" x14ac:dyDescent="0.2">
      <c r="A39" s="8"/>
      <c r="B39" s="29" t="s">
        <v>72</v>
      </c>
      <c r="C39" s="30" t="s">
        <v>426</v>
      </c>
      <c r="D39" s="29">
        <v>9000000</v>
      </c>
      <c r="E39" s="31">
        <v>12</v>
      </c>
      <c r="F39" s="30">
        <v>32</v>
      </c>
      <c r="G39" s="30">
        <v>30</v>
      </c>
      <c r="H39" s="30">
        <v>12</v>
      </c>
      <c r="J39" s="75">
        <f>IF(OR(ISBLANK(O39),ISBLANK(G39)),"·",O39*G39/F39/1000000)</f>
        <v>11.810264999999999</v>
      </c>
      <c r="K39" s="32">
        <f>IF(ISBLANK(O39),"·",O39/D39)</f>
        <v>1.3997351111111112</v>
      </c>
      <c r="L39" s="30">
        <f>IF(OR(ISBLANK(M39),ISBLANK(S39),ISBLANK(T39)),".",M39+S39+T39)</f>
        <v>12597616</v>
      </c>
      <c r="M39" s="30">
        <f>IF(OR(ISBLANK(Q39),ISBLANK(P39),ISBLANK(R39)),".",P39+Q39+R39)</f>
        <v>2881128</v>
      </c>
      <c r="N39" s="33">
        <v>5524880</v>
      </c>
      <c r="O39" s="34">
        <v>12597616</v>
      </c>
      <c r="P39" s="34">
        <v>1843888</v>
      </c>
      <c r="Q39" s="34">
        <v>473456</v>
      </c>
      <c r="R39" s="34">
        <v>563784</v>
      </c>
      <c r="S39" s="34">
        <v>9708888</v>
      </c>
      <c r="T39" s="34">
        <v>7600</v>
      </c>
      <c r="U39" s="35">
        <v>80.482316499999996</v>
      </c>
      <c r="V39" s="35">
        <v>83.461340800000002</v>
      </c>
      <c r="W39" s="35">
        <v>32.454973899999999</v>
      </c>
      <c r="X39" s="35">
        <v>39.188744399999997</v>
      </c>
      <c r="Y39" s="35">
        <v>39.5253856</v>
      </c>
      <c r="Z39" s="35">
        <v>52.6034936</v>
      </c>
      <c r="AA39" s="35">
        <v>31.735782799999999</v>
      </c>
      <c r="AB39" s="76">
        <v>10363.804556999999</v>
      </c>
      <c r="AC39" s="76">
        <v>67.779444999999996</v>
      </c>
      <c r="AE39" s="75" t="str">
        <f>IF(OR(ISBLANK(AJ39),ISBLANK(G39)),"·",AJ39*G39/F39/1000000)</f>
        <v>·</v>
      </c>
      <c r="AF39" s="32" t="str">
        <f>IF(ISBLANK(AJ39),"·",AJ39/D39)</f>
        <v>·</v>
      </c>
      <c r="AG39" s="30" t="str">
        <f>IF(OR(ISBLANK(AH39),ISBLANK(AN39),ISBLANK(AO39)),".",AH39+AN39+AO39)</f>
        <v>.</v>
      </c>
      <c r="AH39" s="30" t="str">
        <f>IF(OR(ISBLANK(AL39),ISBLANK(AK39),ISBLANK(AM39)),".",AK39+AL39+AM39)</f>
        <v>.</v>
      </c>
      <c r="AI39" s="33"/>
      <c r="AJ39" s="34"/>
      <c r="AK39" s="34"/>
      <c r="AL39" s="34"/>
      <c r="AM39" s="34"/>
      <c r="AN39" s="34"/>
      <c r="AO39" s="34"/>
      <c r="AP39" s="35"/>
      <c r="AQ39" s="35"/>
      <c r="AR39" s="35"/>
      <c r="AS39" s="35"/>
      <c r="AT39" s="35"/>
      <c r="AU39" s="35"/>
      <c r="AV39" s="35"/>
      <c r="AW39" s="76"/>
      <c r="AX39" s="76"/>
      <c r="AZ39" s="77"/>
      <c r="BA39" s="77"/>
      <c r="BB39" s="77"/>
      <c r="BC39" s="77"/>
      <c r="BD39" s="77"/>
      <c r="BE39" s="77"/>
      <c r="BF39" s="77"/>
      <c r="BH39" s="77"/>
      <c r="BI39" s="77"/>
      <c r="BJ39" s="77"/>
      <c r="BK39" s="77"/>
      <c r="BL39" s="77"/>
      <c r="BM39" s="77"/>
      <c r="BN39" s="77"/>
      <c r="BP39" s="77">
        <f>IF(AND(AK39=0,AK39=0),0,AK39/P39-1)</f>
        <v>0</v>
      </c>
      <c r="BQ39" s="77">
        <f>IF(AND(AL39=0,AL39=0),0,AL39/Q39-1)</f>
        <v>0</v>
      </c>
      <c r="BR39" s="77">
        <f>IF(AND(AM39=0,AM39=0),0,AM39/R39-1)</f>
        <v>0</v>
      </c>
      <c r="BS39" s="77">
        <f>IF(AND(AN39=0,AN39=0),0,AN39/S39-1)</f>
        <v>0</v>
      </c>
      <c r="BT39" s="77">
        <f>IF(AND(AO39=0,AO39=0),0,AO39/T39-1)</f>
        <v>0</v>
      </c>
    </row>
    <row r="40" spans="1:72" ht="15" customHeight="1" x14ac:dyDescent="0.15">
      <c r="A40" s="18"/>
      <c r="B40" s="18" t="s">
        <v>77</v>
      </c>
      <c r="C40" s="20" t="s">
        <v>422</v>
      </c>
      <c r="D40" s="18">
        <v>9000000</v>
      </c>
      <c r="E40" s="19">
        <v>12</v>
      </c>
      <c r="F40" s="20">
        <v>32</v>
      </c>
      <c r="G40" s="20">
        <v>30</v>
      </c>
      <c r="H40" s="20">
        <v>3</v>
      </c>
      <c r="J40" s="69">
        <f>IF(OR(ISBLANK(O40),ISBLANK(G40)),"·",O40*G40/F40/1000000)</f>
        <v>2.9400374999999999</v>
      </c>
      <c r="K40" s="21">
        <f>IF(ISBLANK(O40),"·",O40/D40)</f>
        <v>0.34844888888888886</v>
      </c>
      <c r="L40" s="20">
        <f>IF(OR(ISBLANK(M40),ISBLANK(S40),ISBLANK(T40)),".",M40+S40+T40)</f>
        <v>3136040</v>
      </c>
      <c r="M40" s="20">
        <f>IF(OR(ISBLANK(Q40),ISBLANK(P40),ISBLANK(R40)),".",P40+Q40+R40)</f>
        <v>732760</v>
      </c>
      <c r="N40" s="27">
        <v>920512</v>
      </c>
      <c r="O40" s="22">
        <v>3136040</v>
      </c>
      <c r="P40" s="22">
        <v>347840</v>
      </c>
      <c r="Q40" s="22">
        <v>11984</v>
      </c>
      <c r="R40" s="22">
        <v>372936</v>
      </c>
      <c r="S40" s="22">
        <v>2395512</v>
      </c>
      <c r="T40" s="22">
        <v>7768</v>
      </c>
      <c r="U40" s="28">
        <v>73.216356899999994</v>
      </c>
      <c r="V40" s="28">
        <v>74.634475499999994</v>
      </c>
      <c r="W40" s="28">
        <v>33.265734799999997</v>
      </c>
      <c r="X40" s="28">
        <v>42.541740699999998</v>
      </c>
      <c r="Y40" s="28">
        <v>42.918346800000002</v>
      </c>
      <c r="Z40" s="28">
        <v>48.532935199999997</v>
      </c>
      <c r="AA40" s="28">
        <v>32.189916199999999</v>
      </c>
      <c r="AB40" s="70">
        <v>7359.5385100000003</v>
      </c>
      <c r="AC40" s="70">
        <v>55.972844000000002</v>
      </c>
      <c r="AE40" s="69" t="str">
        <f>IF(OR(ISBLANK(AJ40),ISBLANK(G40)),"·",AJ40*G40/F40/1000000)</f>
        <v>·</v>
      </c>
      <c r="AF40" s="21" t="str">
        <f>IF(ISBLANK(AJ40),"·",AJ40/D40)</f>
        <v>·</v>
      </c>
      <c r="AG40" s="20" t="str">
        <f>IF(OR(ISBLANK(AH40),ISBLANK(AN40),ISBLANK(AO40)),".",AH40+AN40+AO40)</f>
        <v>.</v>
      </c>
      <c r="AH40" s="20" t="str">
        <f>IF(OR(ISBLANK(AL40),ISBLANK(AK40),ISBLANK(AM40)),".",AK40+AL40+AM40)</f>
        <v>.</v>
      </c>
      <c r="AI40" s="27"/>
      <c r="AJ40" s="22"/>
      <c r="AK40" s="22"/>
      <c r="AL40" s="22"/>
      <c r="AM40" s="22"/>
      <c r="AN40" s="22"/>
      <c r="AO40" s="22"/>
      <c r="AP40" s="28"/>
      <c r="AQ40" s="28"/>
      <c r="AR40" s="28"/>
      <c r="AS40" s="28"/>
      <c r="AT40" s="28"/>
      <c r="AU40" s="28"/>
      <c r="AV40" s="28"/>
      <c r="AW40" s="70"/>
      <c r="AX40" s="70"/>
      <c r="AZ40" s="71" t="str">
        <f t="array" ref="AZ40">IF( OR(AND(ISBLANK(L40:L44)),AND(ISBLANK(AG40:AG44)), AND(ISBLANK(U40:U44)),AND(ISBLANK(AP40:AP44))), "·", bdRateExtend( L40:L44,U40:U44, AG40:AG44,AP40:AP44))</f>
        <v>·</v>
      </c>
      <c r="BA40" s="71" t="str">
        <f t="array" ref="BA40">IF( OR(AND(ISBLANK(L40:L44)),AND(ISBLANK(AG40:AG44)), AND(ISBLANK(V40:V44)),AND(ISBLANK(AQ40:AQ44))), "·", bdRateExtend( L40:L44,V40:V44, AG40:AG44,AQ40:AQ44))</f>
        <v>·</v>
      </c>
      <c r="BB40" s="71" t="str">
        <f t="array" ref="BB40">IF( OR(AND(ISBLANK(L40:L44)),AND(ISBLANK(AG40:AG44)), AND(ISBLANK(W40:W44)),AND(ISBLANK(AR40:AR44))), "·", bdRateExtend( L40:L44,W40:W44, AG40:AG44,AR40:AR44))</f>
        <v>·</v>
      </c>
      <c r="BC40" s="71" t="str">
        <f t="array" ref="BC40">IF( OR(AND(ISBLANK(L40:L44)),AND(ISBLANK(AG40:AG44)), AND(ISBLANK(X40:X44)),AND(ISBLANK(AS40:AS44))), "·", bdRateExtend( L40:L44,X40:X44, AG40:AG44,AS40:AS44))</f>
        <v>·</v>
      </c>
      <c r="BD40" s="71" t="str">
        <f t="array" ref="BD40">IF( OR(AND(ISBLANK(L40:L44)),AND(ISBLANK(AG40:AG44)), AND(ISBLANK(Y40:Y44)),AND(ISBLANK(AT40:AT44))), "·", bdRateExtend( L40:L44,Y40:Y44, AG40:AG44,AT40:AT44))</f>
        <v>·</v>
      </c>
      <c r="BE40" s="71" t="str">
        <f t="array" ref="BE40">IF( OR(AND(ISBLANK(L40:L44)),AND(ISBLANK(AG40:AG44)), AND(ISBLANK(Z40:Z44)),AND(ISBLANK(AU40:AU44))), "·", bdRateExtend( L40:L44,Z40:Z44, AG40:AG44,AU40:AU44))</f>
        <v>·</v>
      </c>
      <c r="BF40" s="71" t="str">
        <f t="array" ref="BF40">IF( OR(AND(ISBLANK(L40:L44)),AND(ISBLANK(AG40:AG44)), AND(ISBLANK(AA40:AA44)),AND(ISBLANK(AV40:AV44))), "·", bdRateExtend( L40:L44,AA40:AA44, AG40:AG44,AV40:AV44))</f>
        <v>·</v>
      </c>
      <c r="BH40" s="71" t="str">
        <f t="array" ref="BH40">IF( OR(AND(ISBLANK(M40:M44)),AND(ISBLANK(AH40:AH44)), AND(ISBLANK(U40:U44)),AND(ISBLANK(AP40:AP44))), "·", bdRateExtend( M40:M44,U40:U44, AH40:AH44,AP40:AP44))</f>
        <v>·</v>
      </c>
      <c r="BI40" s="71" t="str">
        <f t="array" ref="BI40">IF( OR(AND(ISBLANK(M40:M44)),AND(ISBLANK(AH40:AH44)), AND(ISBLANK(V40:V44)),AND(ISBLANK(AQ40:AQ44))), "·", bdRateExtend( M40:M44,V40:V44, AH40:AH44,AQ40:AQ44))</f>
        <v>·</v>
      </c>
      <c r="BJ40" s="71" t="str">
        <f t="array" ref="BJ40">IF( OR(AND(ISBLANK(S40:S44)),AND(ISBLANK(AN40:AN44)), AND(ISBLANK(W40:W44)),AND(ISBLANK(AR40:AR44))), "·", bdRateExtend( S40:S44,W40:W44, AN40:AN44,AR40:AR44))</f>
        <v>·</v>
      </c>
      <c r="BK40" s="71" t="str">
        <f t="array" ref="BK40">IF( OR(AND(ISBLANK(S40:S44)),AND(ISBLANK(AN40:AN44)), AND(ISBLANK(X40:X44)),AND(ISBLANK(AS40:AS44))), "·", bdRateExtend( S40:S44,X40:X44, AN40:AN44,AS40:AS44))</f>
        <v>·</v>
      </c>
      <c r="BL40" s="71" t="str">
        <f t="array" ref="BL40">IF( OR(AND(ISBLANK(S40:S44)),AND(ISBLANK(AN40:AN44)), AND(ISBLANK(Y40:Y44)),AND(ISBLANK(AT40:AT44))), "·", bdRateExtend( S40:S44,Y40:Y44, AN40:AN44,AT40:AT44))</f>
        <v>·</v>
      </c>
      <c r="BM40" s="71" t="str">
        <f t="array" ref="BM40">IF( OR(AND(ISBLANK(M40:M44)),AND(ISBLANK(AH40:AH44)), AND(ISBLANK(Z40:Z44)),AND(ISBLANK(AU40:AU44))), "·", bdRateExtend( M40:M44,Z40:Z44, AH40:AH44,AU40:AU44))</f>
        <v>·</v>
      </c>
      <c r="BN40" s="71" t="str">
        <f t="array" ref="BN40">IF( OR(AND(ISBLANK(S40:S44)),AND(ISBLANK(AN40:AN44)), AND(ISBLANK(AA40:AA44)),AND(ISBLANK(AV40:AV44))), "·", bdRateExtend( S40:S44,AA40:AA44, AN40:AN44,AV40:AV44))</f>
        <v>·</v>
      </c>
      <c r="BP40" s="71">
        <f>IF(AND(AK40=0,AK40=0),0,AK40/P40-1)</f>
        <v>0</v>
      </c>
      <c r="BQ40" s="71">
        <f>IF(AND(AL40=0,AL40=0),0,AL40/Q40-1)</f>
        <v>0</v>
      </c>
      <c r="BR40" s="71">
        <f>IF(AND(AM40=0,AM40=0),0,AM40/R40-1)</f>
        <v>0</v>
      </c>
      <c r="BS40" s="71">
        <f>IF(AND(AN40=0,AN40=0),0,AN40/S40-1)</f>
        <v>0</v>
      </c>
      <c r="BT40" s="71">
        <f>IF(AND(AO40=0,AO40=0),0,AO40/T40-1)</f>
        <v>0</v>
      </c>
    </row>
    <row r="41" spans="1:72" ht="15" customHeight="1" outlineLevel="1" x14ac:dyDescent="0.15">
      <c r="A41" s="8"/>
      <c r="B41" s="8" t="s">
        <v>77</v>
      </c>
      <c r="C41" s="10" t="s">
        <v>423</v>
      </c>
      <c r="D41" s="8">
        <v>9000000</v>
      </c>
      <c r="E41" s="9">
        <v>12</v>
      </c>
      <c r="F41" s="10">
        <v>32</v>
      </c>
      <c r="G41" s="10">
        <v>30</v>
      </c>
      <c r="H41" s="10">
        <v>4</v>
      </c>
      <c r="J41" s="63">
        <f>IF(OR(ISBLANK(O41),ISBLANK(G41)),"·",O41*G41/F41/1000000)</f>
        <v>3.8930175</v>
      </c>
      <c r="K41" s="11">
        <f>IF(ISBLANK(O41),"·",O41/D41)</f>
        <v>0.46139466666666668</v>
      </c>
      <c r="L41" s="10">
        <f>IF(OR(ISBLANK(M41),ISBLANK(S41),ISBLANK(T41)),".",M41+S41+T41)</f>
        <v>4152552</v>
      </c>
      <c r="M41" s="10">
        <f>IF(OR(ISBLANK(Q41),ISBLANK(P41),ISBLANK(R41)),".",P41+Q41+R41)</f>
        <v>1217712</v>
      </c>
      <c r="N41" s="25">
        <v>1842256</v>
      </c>
      <c r="O41" s="12">
        <v>4152552</v>
      </c>
      <c r="P41" s="12">
        <v>661096</v>
      </c>
      <c r="Q41" s="12">
        <v>97328</v>
      </c>
      <c r="R41" s="12">
        <v>459288</v>
      </c>
      <c r="S41" s="12">
        <v>2927496</v>
      </c>
      <c r="T41" s="12">
        <v>7344</v>
      </c>
      <c r="U41" s="26">
        <v>75.965316599999994</v>
      </c>
      <c r="V41" s="26">
        <v>77.708016499999999</v>
      </c>
      <c r="W41" s="26">
        <v>33.626717399999997</v>
      </c>
      <c r="X41" s="26">
        <v>42.7177224</v>
      </c>
      <c r="Y41" s="26">
        <v>43.184695599999998</v>
      </c>
      <c r="Z41" s="26">
        <v>49.972440400000004</v>
      </c>
      <c r="AA41" s="26">
        <v>32.881399100000003</v>
      </c>
      <c r="AB41" s="64">
        <v>7690.7529629999999</v>
      </c>
      <c r="AC41" s="64">
        <v>59.372127999999996</v>
      </c>
      <c r="AE41" s="63" t="str">
        <f>IF(OR(ISBLANK(AJ41),ISBLANK(G41)),"·",AJ41*G41/F41/1000000)</f>
        <v>·</v>
      </c>
      <c r="AF41" s="11" t="str">
        <f>IF(ISBLANK(AJ41),"·",AJ41/D41)</f>
        <v>·</v>
      </c>
      <c r="AG41" s="10" t="str">
        <f>IF(OR(ISBLANK(AH41),ISBLANK(AN41),ISBLANK(AO41)),".",AH41+AN41+AO41)</f>
        <v>.</v>
      </c>
      <c r="AH41" s="10" t="str">
        <f>IF(OR(ISBLANK(AL41),ISBLANK(AK41),ISBLANK(AM41)),".",AK41+AL41+AM41)</f>
        <v>.</v>
      </c>
      <c r="AI41" s="25"/>
      <c r="AJ41" s="12"/>
      <c r="AK41" s="12"/>
      <c r="AL41" s="12"/>
      <c r="AM41" s="12"/>
      <c r="AN41" s="12"/>
      <c r="AO41" s="12"/>
      <c r="AP41" s="26"/>
      <c r="AQ41" s="26"/>
      <c r="AR41" s="26"/>
      <c r="AS41" s="26"/>
      <c r="AT41" s="26"/>
      <c r="AU41" s="26"/>
      <c r="AV41" s="26"/>
      <c r="AW41" s="64"/>
      <c r="AX41" s="64"/>
      <c r="AZ41" s="65"/>
      <c r="BA41" s="65"/>
      <c r="BB41" s="65"/>
      <c r="BC41" s="65"/>
      <c r="BD41" s="65"/>
      <c r="BE41" s="65"/>
      <c r="BF41" s="65"/>
      <c r="BH41" s="65"/>
      <c r="BI41" s="65"/>
      <c r="BJ41" s="65"/>
      <c r="BK41" s="65"/>
      <c r="BL41" s="65"/>
      <c r="BM41" s="65"/>
      <c r="BN41" s="65"/>
      <c r="BP41" s="65">
        <f>IF(AND(AK41=0,AK41=0),0,AK41/P41-1)</f>
        <v>0</v>
      </c>
      <c r="BQ41" s="65">
        <f>IF(AND(AL41=0,AL41=0),0,AL41/Q41-1)</f>
        <v>0</v>
      </c>
      <c r="BR41" s="65">
        <f>IF(AND(AM41=0,AM41=0),0,AM41/R41-1)</f>
        <v>0</v>
      </c>
      <c r="BS41" s="65">
        <f>IF(AND(AN41=0,AN41=0),0,AN41/S41-1)</f>
        <v>0</v>
      </c>
      <c r="BT41" s="65">
        <f>IF(AND(AO41=0,AO41=0),0,AO41/T41-1)</f>
        <v>0</v>
      </c>
    </row>
    <row r="42" spans="1:72" ht="15" customHeight="1" outlineLevel="1" x14ac:dyDescent="0.15">
      <c r="A42" s="18"/>
      <c r="B42" s="18" t="s">
        <v>77</v>
      </c>
      <c r="C42" s="20" t="s">
        <v>424</v>
      </c>
      <c r="D42" s="18">
        <v>9000000</v>
      </c>
      <c r="E42" s="19">
        <v>12</v>
      </c>
      <c r="F42" s="20">
        <v>32</v>
      </c>
      <c r="G42" s="20">
        <v>30</v>
      </c>
      <c r="H42" s="20">
        <v>6</v>
      </c>
      <c r="J42" s="69">
        <f>IF(OR(ISBLANK(O42),ISBLANK(G42)),"·",O42*G42/F42/1000000)</f>
        <v>5.9184374999999996</v>
      </c>
      <c r="K42" s="21">
        <f>IF(ISBLANK(O42),"·",O42/D42)</f>
        <v>0.70144444444444443</v>
      </c>
      <c r="L42" s="20">
        <f>IF(OR(ISBLANK(M42),ISBLANK(S42),ISBLANK(T42)),".",M42+S42+T42)</f>
        <v>6313000</v>
      </c>
      <c r="M42" s="20">
        <f>IF(OR(ISBLANK(Q42),ISBLANK(P42),ISBLANK(R42)),".",P42+Q42+R42)</f>
        <v>1709104</v>
      </c>
      <c r="N42" s="27">
        <v>3684896</v>
      </c>
      <c r="O42" s="22">
        <v>6313000</v>
      </c>
      <c r="P42" s="22">
        <v>1171288</v>
      </c>
      <c r="Q42" s="22">
        <v>189680</v>
      </c>
      <c r="R42" s="22">
        <v>348136</v>
      </c>
      <c r="S42" s="22">
        <v>4596384</v>
      </c>
      <c r="T42" s="22">
        <v>7512</v>
      </c>
      <c r="U42" s="28">
        <v>78.225578999999996</v>
      </c>
      <c r="V42" s="28">
        <v>80.347583599999993</v>
      </c>
      <c r="W42" s="28">
        <v>34.266506499999998</v>
      </c>
      <c r="X42" s="28">
        <v>42.867401700000002</v>
      </c>
      <c r="Y42" s="28">
        <v>43.443471600000002</v>
      </c>
      <c r="Z42" s="28">
        <v>51.211579200000003</v>
      </c>
      <c r="AA42" s="28">
        <v>33.599784499999998</v>
      </c>
      <c r="AB42" s="70">
        <v>8560.2073720000008</v>
      </c>
      <c r="AC42" s="70">
        <v>61.956771000000003</v>
      </c>
      <c r="AE42" s="69" t="str">
        <f>IF(OR(ISBLANK(AJ42),ISBLANK(G42)),"·",AJ42*G42/F42/1000000)</f>
        <v>·</v>
      </c>
      <c r="AF42" s="21" t="str">
        <f>IF(ISBLANK(AJ42),"·",AJ42/D42)</f>
        <v>·</v>
      </c>
      <c r="AG42" s="20" t="str">
        <f>IF(OR(ISBLANK(AH42),ISBLANK(AN42),ISBLANK(AO42)),".",AH42+AN42+AO42)</f>
        <v>.</v>
      </c>
      <c r="AH42" s="20" t="str">
        <f>IF(OR(ISBLANK(AL42),ISBLANK(AK42),ISBLANK(AM42)),".",AK42+AL42+AM42)</f>
        <v>.</v>
      </c>
      <c r="AI42" s="27"/>
      <c r="AJ42" s="22"/>
      <c r="AK42" s="22"/>
      <c r="AL42" s="22"/>
      <c r="AM42" s="22"/>
      <c r="AN42" s="22"/>
      <c r="AO42" s="22"/>
      <c r="AP42" s="28"/>
      <c r="AQ42" s="28"/>
      <c r="AR42" s="28"/>
      <c r="AS42" s="28"/>
      <c r="AT42" s="28"/>
      <c r="AU42" s="28"/>
      <c r="AV42" s="28"/>
      <c r="AW42" s="70"/>
      <c r="AX42" s="70"/>
      <c r="AZ42" s="71"/>
      <c r="BA42" s="71"/>
      <c r="BB42" s="71"/>
      <c r="BC42" s="71"/>
      <c r="BD42" s="71"/>
      <c r="BE42" s="71"/>
      <c r="BF42" s="71"/>
      <c r="BH42" s="71"/>
      <c r="BI42" s="71"/>
      <c r="BJ42" s="71"/>
      <c r="BK42" s="71"/>
      <c r="BL42" s="71"/>
      <c r="BM42" s="71"/>
      <c r="BN42" s="71"/>
      <c r="BP42" s="71">
        <f>IF(AND(AK42=0,AK42=0),0,AK42/P42-1)</f>
        <v>0</v>
      </c>
      <c r="BQ42" s="71">
        <f>IF(AND(AL42=0,AL42=0),0,AL42/Q42-1)</f>
        <v>0</v>
      </c>
      <c r="BR42" s="71">
        <f>IF(AND(AM42=0,AM42=0),0,AM42/R42-1)</f>
        <v>0</v>
      </c>
      <c r="BS42" s="71">
        <f>IF(AND(AN42=0,AN42=0),0,AN42/S42-1)</f>
        <v>0</v>
      </c>
      <c r="BT42" s="71">
        <f>IF(AND(AO42=0,AO42=0),0,AO42/T42-1)</f>
        <v>0</v>
      </c>
    </row>
    <row r="43" spans="1:72" ht="15" customHeight="1" outlineLevel="1" x14ac:dyDescent="0.15">
      <c r="A43" s="8"/>
      <c r="B43" s="8" t="s">
        <v>77</v>
      </c>
      <c r="C43" s="10" t="s">
        <v>425</v>
      </c>
      <c r="D43" s="8">
        <v>9000000</v>
      </c>
      <c r="E43" s="9">
        <v>12</v>
      </c>
      <c r="F43" s="10">
        <v>32</v>
      </c>
      <c r="G43" s="10">
        <v>30</v>
      </c>
      <c r="H43" s="10">
        <v>8</v>
      </c>
      <c r="J43" s="63">
        <f>IF(OR(ISBLANK(O43),ISBLANK(G43)),"·",O43*G43/F43/1000000)</f>
        <v>7.9552500000000004</v>
      </c>
      <c r="K43" s="11">
        <f>IF(ISBLANK(O43),"·",O43/D43)</f>
        <v>0.94284444444444448</v>
      </c>
      <c r="L43" s="10">
        <f>IF(OR(ISBLANK(M43),ISBLANK(S43),ISBLANK(T43)),".",M43+S43+T43)</f>
        <v>8485600</v>
      </c>
      <c r="M43" s="10">
        <f>IF(OR(ISBLANK(Q43),ISBLANK(P43),ISBLANK(R43)),".",P43+Q43+R43)</f>
        <v>2086280</v>
      </c>
      <c r="N43" s="25">
        <v>3684896</v>
      </c>
      <c r="O43" s="12">
        <v>8485600</v>
      </c>
      <c r="P43" s="12">
        <v>1171288</v>
      </c>
      <c r="Q43" s="12">
        <v>189680</v>
      </c>
      <c r="R43" s="12">
        <v>725312</v>
      </c>
      <c r="S43" s="12">
        <v>6391816</v>
      </c>
      <c r="T43" s="12">
        <v>7504</v>
      </c>
      <c r="U43" s="26">
        <v>79.434741900000006</v>
      </c>
      <c r="V43" s="26">
        <v>81.841961400000002</v>
      </c>
      <c r="W43" s="26">
        <v>34.362620499999998</v>
      </c>
      <c r="X43" s="26">
        <v>42.996981300000002</v>
      </c>
      <c r="Y43" s="26">
        <v>43.6240053</v>
      </c>
      <c r="Z43" s="26">
        <v>51.916114999999998</v>
      </c>
      <c r="AA43" s="26">
        <v>33.721426800000003</v>
      </c>
      <c r="AB43" s="64">
        <v>3786.3218449999999</v>
      </c>
      <c r="AC43" s="64">
        <v>16.612251000000001</v>
      </c>
      <c r="AE43" s="63" t="str">
        <f>IF(OR(ISBLANK(AJ43),ISBLANK(G43)),"·",AJ43*G43/F43/1000000)</f>
        <v>·</v>
      </c>
      <c r="AF43" s="11" t="str">
        <f>IF(ISBLANK(AJ43),"·",AJ43/D43)</f>
        <v>·</v>
      </c>
      <c r="AG43" s="10" t="str">
        <f>IF(OR(ISBLANK(AH43),ISBLANK(AN43),ISBLANK(AO43)),".",AH43+AN43+AO43)</f>
        <v>.</v>
      </c>
      <c r="AH43" s="10" t="str">
        <f>IF(OR(ISBLANK(AL43),ISBLANK(AK43),ISBLANK(AM43)),".",AK43+AL43+AM43)</f>
        <v>.</v>
      </c>
      <c r="AI43" s="25"/>
      <c r="AJ43" s="12"/>
      <c r="AK43" s="12"/>
      <c r="AL43" s="12"/>
      <c r="AM43" s="12"/>
      <c r="AN43" s="12"/>
      <c r="AO43" s="12"/>
      <c r="AP43" s="26"/>
      <c r="AQ43" s="26"/>
      <c r="AR43" s="26"/>
      <c r="AS43" s="26"/>
      <c r="AT43" s="26"/>
      <c r="AU43" s="26"/>
      <c r="AV43" s="26"/>
      <c r="AW43" s="64"/>
      <c r="AX43" s="64"/>
      <c r="AZ43" s="65"/>
      <c r="BA43" s="65"/>
      <c r="BB43" s="65"/>
      <c r="BC43" s="65"/>
      <c r="BD43" s="65"/>
      <c r="BE43" s="65"/>
      <c r="BF43" s="65"/>
      <c r="BH43" s="65"/>
      <c r="BI43" s="65"/>
      <c r="BJ43" s="65"/>
      <c r="BK43" s="65"/>
      <c r="BL43" s="65"/>
      <c r="BM43" s="65"/>
      <c r="BN43" s="65"/>
      <c r="BP43" s="65">
        <f>IF(AND(AK43=0,AK43=0),0,AK43/P43-1)</f>
        <v>0</v>
      </c>
      <c r="BQ43" s="65">
        <f>IF(AND(AL43=0,AL43=0),0,AL43/Q43-1)</f>
        <v>0</v>
      </c>
      <c r="BR43" s="65">
        <f>IF(AND(AM43=0,AM43=0),0,AM43/R43-1)</f>
        <v>0</v>
      </c>
      <c r="BS43" s="65">
        <f>IF(AND(AN43=0,AN43=0),0,AN43/S43-1)</f>
        <v>0</v>
      </c>
      <c r="BT43" s="65">
        <f>IF(AND(AO43=0,AO43=0),0,AO43/T43-1)</f>
        <v>0</v>
      </c>
    </row>
    <row r="44" spans="1:72" ht="15.75" customHeight="1" outlineLevel="1" thickBot="1" x14ac:dyDescent="0.2">
      <c r="A44" s="13"/>
      <c r="B44" s="13" t="s">
        <v>77</v>
      </c>
      <c r="C44" s="15" t="s">
        <v>426</v>
      </c>
      <c r="D44" s="13">
        <v>9000000</v>
      </c>
      <c r="E44" s="14">
        <v>12</v>
      </c>
      <c r="F44" s="15">
        <v>32</v>
      </c>
      <c r="G44" s="15">
        <v>30</v>
      </c>
      <c r="H44" s="15">
        <v>12</v>
      </c>
      <c r="J44" s="66">
        <f>IF(OR(ISBLANK(O44),ISBLANK(G44)),"·",O44*G44/F44/1000000)</f>
        <v>12.4510275</v>
      </c>
      <c r="K44" s="16">
        <f>IF(ISBLANK(O44),"·",O44/D44)</f>
        <v>1.4756773333333333</v>
      </c>
      <c r="L44" s="15">
        <f>IF(OR(ISBLANK(M44),ISBLANK(S44),ISBLANK(T44)),".",M44+S44+T44)</f>
        <v>13281096</v>
      </c>
      <c r="M44" s="15">
        <f>IF(OR(ISBLANK(Q44),ISBLANK(P44),ISBLANK(R44)),".",P44+Q44+R44)</f>
        <v>2718168</v>
      </c>
      <c r="N44" s="36">
        <v>5527456</v>
      </c>
      <c r="O44" s="17">
        <v>13281096</v>
      </c>
      <c r="P44" s="17">
        <v>1799072</v>
      </c>
      <c r="Q44" s="17">
        <v>260816</v>
      </c>
      <c r="R44" s="17">
        <v>658280</v>
      </c>
      <c r="S44" s="17">
        <v>10555336</v>
      </c>
      <c r="T44" s="17">
        <v>7592</v>
      </c>
      <c r="U44" s="37">
        <v>81.069848199999996</v>
      </c>
      <c r="V44" s="37">
        <v>83.909262499999997</v>
      </c>
      <c r="W44" s="37">
        <v>34.939846299999999</v>
      </c>
      <c r="X44" s="37">
        <v>43.101368899999997</v>
      </c>
      <c r="Y44" s="37">
        <v>43.764460399999997</v>
      </c>
      <c r="Z44" s="37">
        <v>53.127930900000003</v>
      </c>
      <c r="AA44" s="37">
        <v>34.322645700000002</v>
      </c>
      <c r="AB44" s="67">
        <v>4766.722624</v>
      </c>
      <c r="AC44" s="67">
        <v>18.775948</v>
      </c>
      <c r="AE44" s="66" t="str">
        <f>IF(OR(ISBLANK(AJ44),ISBLANK(G44)),"·",AJ44*G44/F44/1000000)</f>
        <v>·</v>
      </c>
      <c r="AF44" s="16" t="str">
        <f>IF(ISBLANK(AJ44),"·",AJ44/D44)</f>
        <v>·</v>
      </c>
      <c r="AG44" s="15" t="str">
        <f>IF(OR(ISBLANK(AH44),ISBLANK(AN44),ISBLANK(AO44)),".",AH44+AN44+AO44)</f>
        <v>.</v>
      </c>
      <c r="AH44" s="15" t="str">
        <f>IF(OR(ISBLANK(AL44),ISBLANK(AK44),ISBLANK(AM44)),".",AK44+AL44+AM44)</f>
        <v>.</v>
      </c>
      <c r="AI44" s="36"/>
      <c r="AJ44" s="17"/>
      <c r="AK44" s="17"/>
      <c r="AL44" s="17"/>
      <c r="AM44" s="17"/>
      <c r="AN44" s="17"/>
      <c r="AO44" s="17"/>
      <c r="AP44" s="37"/>
      <c r="AQ44" s="37"/>
      <c r="AR44" s="37"/>
      <c r="AS44" s="37"/>
      <c r="AT44" s="37"/>
      <c r="AU44" s="37"/>
      <c r="AV44" s="37"/>
      <c r="AW44" s="67"/>
      <c r="AX44" s="67"/>
      <c r="AZ44" s="68"/>
      <c r="BA44" s="68"/>
      <c r="BB44" s="68"/>
      <c r="BC44" s="68"/>
      <c r="BD44" s="68"/>
      <c r="BE44" s="68"/>
      <c r="BF44" s="68"/>
      <c r="BH44" s="68"/>
      <c r="BI44" s="68"/>
      <c r="BJ44" s="68"/>
      <c r="BK44" s="68"/>
      <c r="BL44" s="68"/>
      <c r="BM44" s="68"/>
      <c r="BN44" s="68"/>
      <c r="BP44" s="68">
        <f>IF(AND(AK44=0,AK44=0),0,AK44/P44-1)</f>
        <v>0</v>
      </c>
      <c r="BQ44" s="68">
        <f>IF(AND(AL44=0,AL44=0),0,AL44/Q44-1)</f>
        <v>0</v>
      </c>
      <c r="BR44" s="68">
        <f>IF(AND(AM44=0,AM44=0),0,AM44/R44-1)</f>
        <v>0</v>
      </c>
      <c r="BS44" s="68">
        <f>IF(AND(AN44=0,AN44=0),0,AN44/S44-1)</f>
        <v>0</v>
      </c>
      <c r="BT44" s="68">
        <f>IF(AND(AO44=0,AO44=0),0,AO44/T44-1)</f>
        <v>0</v>
      </c>
    </row>
    <row r="45" spans="1:72" x14ac:dyDescent="0.15">
      <c r="B45" s="23" t="s">
        <v>7</v>
      </c>
      <c r="K45" s="24">
        <f>AVERAGE(K5:K14)</f>
        <v>1.1702360206005431</v>
      </c>
      <c r="L45" s="24"/>
      <c r="M45" s="24"/>
      <c r="T45" s="51"/>
      <c r="AF45" s="24" t="e">
        <f>AVERAGE(AF5:AF14)</f>
        <v>#DIV/0!</v>
      </c>
      <c r="AG45" s="24"/>
      <c r="AH45" s="24"/>
      <c r="AZ45" s="61" t="e">
        <f t="shared" ref="AZ45:BF45" si="0">AVERAGE(AZ5:AZ14)</f>
        <v>#DIV/0!</v>
      </c>
      <c r="BA45" s="61" t="e">
        <f t="shared" si="0"/>
        <v>#DIV/0!</v>
      </c>
      <c r="BB45" s="61" t="e">
        <f t="shared" si="0"/>
        <v>#DIV/0!</v>
      </c>
      <c r="BC45" s="61" t="e">
        <f t="shared" si="0"/>
        <v>#DIV/0!</v>
      </c>
      <c r="BD45" s="61" t="e">
        <f t="shared" si="0"/>
        <v>#DIV/0!</v>
      </c>
      <c r="BE45" s="61" t="e">
        <f t="shared" si="0"/>
        <v>#DIV/0!</v>
      </c>
      <c r="BF45" s="61" t="e">
        <f t="shared" si="0"/>
        <v>#DIV/0!</v>
      </c>
      <c r="BH45" s="61" t="e">
        <f t="shared" ref="BH45:BN45" si="1">AVERAGE(BH5:BH14)</f>
        <v>#DIV/0!</v>
      </c>
      <c r="BI45" s="61" t="e">
        <f t="shared" si="1"/>
        <v>#DIV/0!</v>
      </c>
      <c r="BJ45" s="61" t="e">
        <f t="shared" si="1"/>
        <v>#DIV/0!</v>
      </c>
      <c r="BK45" s="61" t="e">
        <f t="shared" si="1"/>
        <v>#DIV/0!</v>
      </c>
      <c r="BL45" s="61" t="e">
        <f t="shared" si="1"/>
        <v>#DIV/0!</v>
      </c>
      <c r="BM45" s="61" t="e">
        <f t="shared" si="1"/>
        <v>#DIV/0!</v>
      </c>
      <c r="BN45" s="61" t="e">
        <f t="shared" si="1"/>
        <v>#DIV/0!</v>
      </c>
      <c r="BP45" s="61">
        <f>AVERAGE(BP5:BP14)</f>
        <v>0</v>
      </c>
      <c r="BQ45" s="61">
        <f>AVERAGE(BQ5:BQ14)</f>
        <v>0</v>
      </c>
      <c r="BR45" s="61">
        <f>AVERAGE(BR5:BR14)</f>
        <v>0</v>
      </c>
      <c r="BS45" s="61">
        <f>AVERAGE(BS5:BS14)</f>
        <v>0</v>
      </c>
      <c r="BT45" s="61">
        <f>AVERAGE(BT5:BT14)</f>
        <v>0</v>
      </c>
    </row>
    <row r="46" spans="1:72" x14ac:dyDescent="0.15">
      <c r="B46" s="23" t="s">
        <v>8</v>
      </c>
      <c r="K46" s="24">
        <f>AVERAGE(K15:K24)</f>
        <v>0.93977239600337403</v>
      </c>
      <c r="L46" s="24"/>
      <c r="M46" s="24"/>
      <c r="AF46" s="24" t="e">
        <f>AVERAGE(AF15:AF24)</f>
        <v>#DIV/0!</v>
      </c>
      <c r="AG46" s="24"/>
      <c r="AH46" s="24"/>
      <c r="AZ46" s="61" t="e">
        <f t="shared" ref="AZ46:BF46" si="2">AVERAGE(AZ15:AZ24)</f>
        <v>#DIV/0!</v>
      </c>
      <c r="BA46" s="61" t="e">
        <f t="shared" si="2"/>
        <v>#DIV/0!</v>
      </c>
      <c r="BB46" s="61" t="e">
        <f t="shared" si="2"/>
        <v>#DIV/0!</v>
      </c>
      <c r="BC46" s="61" t="e">
        <f t="shared" si="2"/>
        <v>#DIV/0!</v>
      </c>
      <c r="BD46" s="61" t="e">
        <f t="shared" si="2"/>
        <v>#DIV/0!</v>
      </c>
      <c r="BE46" s="61" t="e">
        <f t="shared" si="2"/>
        <v>#DIV/0!</v>
      </c>
      <c r="BF46" s="61" t="e">
        <f t="shared" si="2"/>
        <v>#DIV/0!</v>
      </c>
      <c r="BH46" s="61" t="e">
        <f t="shared" ref="BH46:BN46" si="3">AVERAGE(BH15:BH24)</f>
        <v>#DIV/0!</v>
      </c>
      <c r="BI46" s="61" t="e">
        <f t="shared" si="3"/>
        <v>#DIV/0!</v>
      </c>
      <c r="BJ46" s="61" t="e">
        <f t="shared" si="3"/>
        <v>#DIV/0!</v>
      </c>
      <c r="BK46" s="61" t="e">
        <f t="shared" si="3"/>
        <v>#DIV/0!</v>
      </c>
      <c r="BL46" s="61" t="e">
        <f t="shared" si="3"/>
        <v>#DIV/0!</v>
      </c>
      <c r="BM46" s="61" t="e">
        <f t="shared" si="3"/>
        <v>#DIV/0!</v>
      </c>
      <c r="BN46" s="61" t="e">
        <f t="shared" si="3"/>
        <v>#DIV/0!</v>
      </c>
      <c r="BP46" s="61">
        <f>AVERAGE(BP15:BP24)</f>
        <v>0</v>
      </c>
      <c r="BQ46" s="61">
        <f>AVERAGE(BQ15:BQ24)</f>
        <v>0</v>
      </c>
      <c r="BR46" s="61">
        <f>AVERAGE(BR15:BR24)</f>
        <v>0</v>
      </c>
      <c r="BS46" s="61">
        <f>AVERAGE(BS15:BS24)</f>
        <v>0</v>
      </c>
      <c r="BT46" s="61">
        <f>AVERAGE(BT15:BT24)</f>
        <v>0</v>
      </c>
    </row>
    <row r="47" spans="1:72" x14ac:dyDescent="0.15">
      <c r="B47" s="23" t="s">
        <v>9</v>
      </c>
      <c r="K47" s="24">
        <f>AVERAGE(K25:K44)</f>
        <v>1.2166031119149925</v>
      </c>
      <c r="L47" s="24"/>
      <c r="M47" s="24"/>
      <c r="T47" s="48"/>
      <c r="AF47" s="24" t="e">
        <f>AVERAGE(AF25:AF44)</f>
        <v>#DIV/0!</v>
      </c>
      <c r="AG47" s="24"/>
      <c r="AH47" s="24"/>
      <c r="AZ47" s="61" t="e">
        <f t="shared" ref="AZ47:BF47" si="4">AVERAGE(AZ25:AZ44)</f>
        <v>#DIV/0!</v>
      </c>
      <c r="BA47" s="61" t="e">
        <f t="shared" si="4"/>
        <v>#DIV/0!</v>
      </c>
      <c r="BB47" s="61" t="e">
        <f t="shared" si="4"/>
        <v>#DIV/0!</v>
      </c>
      <c r="BC47" s="61" t="e">
        <f t="shared" si="4"/>
        <v>#DIV/0!</v>
      </c>
      <c r="BD47" s="61" t="e">
        <f t="shared" si="4"/>
        <v>#DIV/0!</v>
      </c>
      <c r="BE47" s="61" t="e">
        <f t="shared" si="4"/>
        <v>#DIV/0!</v>
      </c>
      <c r="BF47" s="61" t="e">
        <f t="shared" si="4"/>
        <v>#DIV/0!</v>
      </c>
      <c r="BH47" s="61" t="e">
        <f t="shared" ref="BH47:BN47" si="5">AVERAGE(BH25:BH44)</f>
        <v>#DIV/0!</v>
      </c>
      <c r="BI47" s="61" t="e">
        <f t="shared" si="5"/>
        <v>#DIV/0!</v>
      </c>
      <c r="BJ47" s="61" t="e">
        <f t="shared" si="5"/>
        <v>#DIV/0!</v>
      </c>
      <c r="BK47" s="61" t="e">
        <f t="shared" si="5"/>
        <v>#DIV/0!</v>
      </c>
      <c r="BL47" s="61" t="e">
        <f t="shared" si="5"/>
        <v>#DIV/0!</v>
      </c>
      <c r="BM47" s="61" t="e">
        <f t="shared" si="5"/>
        <v>#DIV/0!</v>
      </c>
      <c r="BN47" s="61" t="e">
        <f t="shared" si="5"/>
        <v>#DIV/0!</v>
      </c>
      <c r="BP47" s="61">
        <f>AVERAGE(BP25:BP44)</f>
        <v>0</v>
      </c>
      <c r="BQ47" s="61">
        <f>AVERAGE(BQ25:BQ44)</f>
        <v>0</v>
      </c>
      <c r="BR47" s="61">
        <f>AVERAGE(BR25:BR44)</f>
        <v>0</v>
      </c>
      <c r="BS47" s="61">
        <f>AVERAGE(BS25:BS44)</f>
        <v>0</v>
      </c>
      <c r="BT47" s="61">
        <f>AVERAGE(BT25:BT44)</f>
        <v>0</v>
      </c>
    </row>
    <row r="48" spans="1:72" x14ac:dyDescent="0.15">
      <c r="B48" s="23" t="s">
        <v>10</v>
      </c>
      <c r="K48" s="24">
        <f>AVERAGE(K5:K44)</f>
        <v>1.1358036601084751</v>
      </c>
      <c r="L48" s="24"/>
      <c r="M48" s="24"/>
      <c r="AF48" s="24" t="e">
        <f>AVERAGE(AF5:AF44)</f>
        <v>#DIV/0!</v>
      </c>
      <c r="AG48" s="24"/>
      <c r="AH48" s="24"/>
      <c r="AZ48" s="61" t="e">
        <f t="shared" ref="AZ48:BF48" si="6">AVERAGE(AZ5:AZ44)</f>
        <v>#DIV/0!</v>
      </c>
      <c r="BA48" s="61" t="e">
        <f t="shared" si="6"/>
        <v>#DIV/0!</v>
      </c>
      <c r="BB48" s="61" t="e">
        <f t="shared" si="6"/>
        <v>#DIV/0!</v>
      </c>
      <c r="BC48" s="61" t="e">
        <f t="shared" si="6"/>
        <v>#DIV/0!</v>
      </c>
      <c r="BD48" s="61" t="e">
        <f t="shared" si="6"/>
        <v>#DIV/0!</v>
      </c>
      <c r="BE48" s="61" t="e">
        <f t="shared" si="6"/>
        <v>#DIV/0!</v>
      </c>
      <c r="BF48" s="61" t="e">
        <f t="shared" si="6"/>
        <v>#DIV/0!</v>
      </c>
      <c r="BH48" s="61" t="e">
        <f t="shared" ref="BH48:BN48" si="7">AVERAGE(BH5:BH44)</f>
        <v>#DIV/0!</v>
      </c>
      <c r="BI48" s="61" t="e">
        <f t="shared" si="7"/>
        <v>#DIV/0!</v>
      </c>
      <c r="BJ48" s="61" t="e">
        <f t="shared" si="7"/>
        <v>#DIV/0!</v>
      </c>
      <c r="BK48" s="61" t="e">
        <f t="shared" si="7"/>
        <v>#DIV/0!</v>
      </c>
      <c r="BL48" s="61" t="e">
        <f t="shared" si="7"/>
        <v>#DIV/0!</v>
      </c>
      <c r="BM48" s="61" t="e">
        <f t="shared" si="7"/>
        <v>#DIV/0!</v>
      </c>
      <c r="BN48" s="61" t="e">
        <f t="shared" si="7"/>
        <v>#DIV/0!</v>
      </c>
      <c r="BP48" s="61">
        <f>AVERAGE(BP5:BP44)</f>
        <v>0</v>
      </c>
      <c r="BQ48" s="61">
        <f>AVERAGE(BQ5:BQ44)</f>
        <v>0</v>
      </c>
      <c r="BR48" s="61">
        <f>AVERAGE(BR5:BR44)</f>
        <v>0</v>
      </c>
      <c r="BS48" s="61">
        <f>AVERAGE(BS5:BS44)</f>
        <v>0</v>
      </c>
      <c r="BT48" s="61">
        <f>AVERAGE(BT5:BT44)</f>
        <v>0</v>
      </c>
    </row>
    <row r="49" spans="1:50" x14ac:dyDescent="0.15">
      <c r="A49" s="23" t="s">
        <v>189</v>
      </c>
      <c r="B49" s="23" t="s">
        <v>190</v>
      </c>
      <c r="AB49" s="72">
        <f>SUM(AB5:AB14,AB15:AB24,AB25:AB44)</f>
        <v>227193.29907100002</v>
      </c>
      <c r="AC49" s="72">
        <f>SUM(AC5:AC14,AC15:AC24,AC25:AC44)</f>
        <v>1367.0009069999996</v>
      </c>
      <c r="AW49" s="72">
        <f>SUM(AW5:AW14,AW15:AW24,AW25:AW44)</f>
        <v>0</v>
      </c>
      <c r="AX49" s="72">
        <f>SUM(AX5:AX14,AX15:AX24,AX25:AX44)</f>
        <v>0</v>
      </c>
    </row>
    <row r="50" spans="1:50" x14ac:dyDescent="0.15">
      <c r="B50" s="23" t="s">
        <v>191</v>
      </c>
      <c r="AJ50" s="48"/>
      <c r="AW50" s="56">
        <f>AW49/AB49</f>
        <v>0</v>
      </c>
      <c r="AX50" s="56">
        <f>AX49/AC49</f>
        <v>0</v>
      </c>
    </row>
    <row r="51" spans="1:50" x14ac:dyDescent="0.15">
      <c r="AJ51" s="48"/>
    </row>
    <row r="52" spans="1:50" x14ac:dyDescent="0.15">
      <c r="AJ52" s="48"/>
      <c r="AL52" s="50"/>
    </row>
    <row r="53" spans="1:50" ht="15.75" customHeight="1" thickBot="1" x14ac:dyDescent="0.2">
      <c r="AJ53" s="48"/>
    </row>
    <row r="54" spans="1:50" x14ac:dyDescent="0.15">
      <c r="AG54" s="79" t="e">
        <f t="shared" ref="AG54:AG93" si="8">AG5-L5</f>
        <v>#VALUE!</v>
      </c>
      <c r="AH54" s="79" t="e">
        <f t="shared" ref="AH54:AH93" si="9">AH5-M5</f>
        <v>#VALUE!</v>
      </c>
      <c r="AI54" s="79">
        <f>AI5-N5</f>
        <v>-603968</v>
      </c>
      <c r="AJ54" s="79">
        <f>AJ5-O5</f>
        <v>-4244688</v>
      </c>
      <c r="AK54" s="79">
        <f>AK5-P5</f>
        <v>-823144</v>
      </c>
      <c r="AL54" s="79">
        <f>AL5-Q5</f>
        <v>0</v>
      </c>
      <c r="AM54" s="79">
        <f>AM5-R5</f>
        <v>-576392</v>
      </c>
      <c r="AN54" s="79">
        <f>AN5-S5</f>
        <v>-2838080</v>
      </c>
      <c r="AO54" s="79">
        <f>AO5-T5</f>
        <v>-7072</v>
      </c>
      <c r="AP54" s="79">
        <f>AP5-U5</f>
        <v>-67.553949099999997</v>
      </c>
      <c r="AQ54" s="80">
        <f>AQ5-V5</f>
        <v>-68.455112</v>
      </c>
      <c r="AR54" s="80">
        <f>AR5-W5</f>
        <v>-27.8940439</v>
      </c>
      <c r="AS54" s="80">
        <f>AS5-X5</f>
        <v>-33.582960700000001</v>
      </c>
      <c r="AT54" s="80">
        <f>AT5-Y5</f>
        <v>-32.973177800000002</v>
      </c>
      <c r="AU54" s="80">
        <f>AU5-Z5</f>
        <v>-48.518529899999997</v>
      </c>
      <c r="AV54" s="81">
        <f>AV5-AA5</f>
        <v>-26.639871100000001</v>
      </c>
    </row>
    <row r="55" spans="1:50" x14ac:dyDescent="0.15">
      <c r="AG55" s="82" t="e">
        <f t="shared" si="8"/>
        <v>#VALUE!</v>
      </c>
      <c r="AH55" s="82" t="e">
        <f t="shared" si="9"/>
        <v>#VALUE!</v>
      </c>
      <c r="AI55" s="82">
        <f>AI6-N6</f>
        <v>-603968</v>
      </c>
      <c r="AJ55" s="82">
        <f>AJ6-O6</f>
        <v>-8482552</v>
      </c>
      <c r="AK55" s="82">
        <f>AK6-P6</f>
        <v>-823144</v>
      </c>
      <c r="AL55" s="82">
        <f>AL6-Q6</f>
        <v>0</v>
      </c>
      <c r="AM55" s="82">
        <f>AM6-R6</f>
        <v>-855560</v>
      </c>
      <c r="AN55" s="82">
        <f>AN6-S6</f>
        <v>-6796776</v>
      </c>
      <c r="AO55" s="82">
        <f>AO6-T6</f>
        <v>-7072</v>
      </c>
      <c r="AP55" s="82">
        <f>AP6-U6</f>
        <v>-68.321956599999993</v>
      </c>
      <c r="AQ55" s="83">
        <f>AQ6-V6</f>
        <v>-69.287425900000002</v>
      </c>
      <c r="AR55" s="83">
        <f>AR6-W6</f>
        <v>-31.040346199999998</v>
      </c>
      <c r="AS55" s="83">
        <f>AS6-X6</f>
        <v>-34.766222999999997</v>
      </c>
      <c r="AT55" s="83">
        <f>AT6-Y6</f>
        <v>-34.279380000000003</v>
      </c>
      <c r="AU55" s="83">
        <f>AU6-Z6</f>
        <v>-48.704467299999997</v>
      </c>
      <c r="AV55" s="84">
        <f>AV6-AA6</f>
        <v>-28.4235136</v>
      </c>
    </row>
    <row r="56" spans="1:50" x14ac:dyDescent="0.15">
      <c r="AG56" s="82" t="e">
        <f t="shared" si="8"/>
        <v>#VALUE!</v>
      </c>
      <c r="AH56" s="82" t="e">
        <f t="shared" si="9"/>
        <v>#VALUE!</v>
      </c>
      <c r="AI56" s="82">
        <f>AI7-N7</f>
        <v>-1217920</v>
      </c>
      <c r="AJ56" s="82">
        <f>AJ7-O7</f>
        <v>-11864928</v>
      </c>
      <c r="AK56" s="82">
        <f>AK7-P7</f>
        <v>-1296784</v>
      </c>
      <c r="AL56" s="82">
        <f>AL7-Q7</f>
        <v>0</v>
      </c>
      <c r="AM56" s="82">
        <f>AM7-R7</f>
        <v>-1024784</v>
      </c>
      <c r="AN56" s="82">
        <f>AN7-S7</f>
        <v>-9536024</v>
      </c>
      <c r="AO56" s="82">
        <f>AO7-T7</f>
        <v>-7336</v>
      </c>
      <c r="AP56" s="82">
        <f>AP7-U7</f>
        <v>-71.585728900000007</v>
      </c>
      <c r="AQ56" s="83">
        <f>AQ7-V7</f>
        <v>-73.035613900000001</v>
      </c>
      <c r="AR56" s="83">
        <f>AR7-W7</f>
        <v>-32.280350499999997</v>
      </c>
      <c r="AS56" s="83">
        <f>AS7-X7</f>
        <v>-36.439249400000001</v>
      </c>
      <c r="AT56" s="83">
        <f>AT7-Y7</f>
        <v>-36.170708699999999</v>
      </c>
      <c r="AU56" s="83">
        <f>AU7-Z7</f>
        <v>-50.877635699999999</v>
      </c>
      <c r="AV56" s="84">
        <f>AV7-AA7</f>
        <v>-30.2156105</v>
      </c>
    </row>
    <row r="57" spans="1:50" x14ac:dyDescent="0.15">
      <c r="AG57" s="82" t="e">
        <f t="shared" si="8"/>
        <v>#VALUE!</v>
      </c>
      <c r="AH57" s="82" t="e">
        <f t="shared" si="9"/>
        <v>#VALUE!</v>
      </c>
      <c r="AI57" s="82">
        <f>AI8-N8</f>
        <v>-2446416</v>
      </c>
      <c r="AJ57" s="82">
        <f>AJ8-O8</f>
        <v>-15175648</v>
      </c>
      <c r="AK57" s="82">
        <f>AK8-P8</f>
        <v>-2132168</v>
      </c>
      <c r="AL57" s="82">
        <f>AL8-Q8</f>
        <v>0</v>
      </c>
      <c r="AM57" s="82">
        <f>AM8-R8</f>
        <v>-887144</v>
      </c>
      <c r="AN57" s="82">
        <f>AN8-S8</f>
        <v>-12149000</v>
      </c>
      <c r="AO57" s="82">
        <f>AO8-T8</f>
        <v>-7336</v>
      </c>
      <c r="AP57" s="82">
        <f>AP8-U8</f>
        <v>-72.960979300000005</v>
      </c>
      <c r="AQ57" s="83">
        <f>AQ8-V8</f>
        <v>-74.596857</v>
      </c>
      <c r="AR57" s="83">
        <f>AR8-W8</f>
        <v>-33.318973</v>
      </c>
      <c r="AS57" s="83">
        <f>AS8-X8</f>
        <v>-37.045885300000002</v>
      </c>
      <c r="AT57" s="83">
        <f>AT8-Y8</f>
        <v>-36.782169500000002</v>
      </c>
      <c r="AU57" s="83">
        <f>AU8-Z8</f>
        <v>-51.773220299999998</v>
      </c>
      <c r="AV57" s="84">
        <f>AV8-AA8</f>
        <v>-31.102628899999999</v>
      </c>
    </row>
    <row r="58" spans="1:50" x14ac:dyDescent="0.15">
      <c r="AG58" s="82" t="e">
        <f t="shared" si="8"/>
        <v>#VALUE!</v>
      </c>
      <c r="AH58" s="82" t="e">
        <f t="shared" si="9"/>
        <v>#VALUE!</v>
      </c>
      <c r="AI58" s="82">
        <f>AI9-N9</f>
        <v>-2446416</v>
      </c>
      <c r="AJ58" s="82">
        <f>AJ9-O9</f>
        <v>-22842912</v>
      </c>
      <c r="AK58" s="82">
        <f>AK9-P9</f>
        <v>-2132168</v>
      </c>
      <c r="AL58" s="82">
        <f>AL9-Q9</f>
        <v>0</v>
      </c>
      <c r="AM58" s="82">
        <f>AM9-R9</f>
        <v>-1607312</v>
      </c>
      <c r="AN58" s="82">
        <f>AN9-S9</f>
        <v>-19096096</v>
      </c>
      <c r="AO58" s="82">
        <f>AO9-T9</f>
        <v>-7336</v>
      </c>
      <c r="AP58" s="82">
        <f>AP9-U9</f>
        <v>-74.4025228</v>
      </c>
      <c r="AQ58" s="83">
        <f>AQ9-V9</f>
        <v>-76.291860099999994</v>
      </c>
      <c r="AR58" s="83">
        <f>AR9-W9</f>
        <v>-34.9329617</v>
      </c>
      <c r="AS58" s="83">
        <f>AS9-X9</f>
        <v>-38.579171000000002</v>
      </c>
      <c r="AT58" s="83">
        <f>AT9-Y9</f>
        <v>-38.293949300000001</v>
      </c>
      <c r="AU58" s="83">
        <f>AU9-Z9</f>
        <v>-52.650332200000001</v>
      </c>
      <c r="AV58" s="84">
        <f>AV9-AA9</f>
        <v>-32.408012900000003</v>
      </c>
    </row>
    <row r="59" spans="1:50" x14ac:dyDescent="0.15">
      <c r="AG59" s="82" t="e">
        <f t="shared" si="8"/>
        <v>#VALUE!</v>
      </c>
      <c r="AH59" s="82" t="e">
        <f t="shared" si="9"/>
        <v>#VALUE!</v>
      </c>
      <c r="AI59" s="82">
        <f>AI10-N10</f>
        <v>-603136</v>
      </c>
      <c r="AJ59" s="82">
        <f>AJ10-O10</f>
        <v>-3479176</v>
      </c>
      <c r="AK59" s="82">
        <f>AK10-P10</f>
        <v>-31312</v>
      </c>
      <c r="AL59" s="82">
        <f>AL10-Q10</f>
        <v>-113472</v>
      </c>
      <c r="AM59" s="82">
        <f>AM10-R10</f>
        <v>-738408</v>
      </c>
      <c r="AN59" s="82">
        <f>AN10-S10</f>
        <v>-2588912</v>
      </c>
      <c r="AO59" s="82">
        <f>AO10-T10</f>
        <v>-7072</v>
      </c>
      <c r="AP59" s="82">
        <f>AP10-U10</f>
        <v>-64.850249399999996</v>
      </c>
      <c r="AQ59" s="83">
        <f>AQ10-V10</f>
        <v>-65.506005599999995</v>
      </c>
      <c r="AR59" s="83">
        <f>AR10-W10</f>
        <v>-35.403167699999997</v>
      </c>
      <c r="AS59" s="83">
        <f>AS10-X10</f>
        <v>-46.615388099999997</v>
      </c>
      <c r="AT59" s="83">
        <f>AT10-Y10</f>
        <v>-47.050539999999998</v>
      </c>
      <c r="AU59" s="83">
        <f>AU10-Z10</f>
        <v>-44.004968599999998</v>
      </c>
      <c r="AV59" s="84">
        <f>AV10-AA10</f>
        <v>-30.415072800000001</v>
      </c>
    </row>
    <row r="60" spans="1:50" x14ac:dyDescent="0.15">
      <c r="AG60" s="82" t="e">
        <f t="shared" si="8"/>
        <v>#VALUE!</v>
      </c>
      <c r="AH60" s="82" t="e">
        <f t="shared" si="9"/>
        <v>#VALUE!</v>
      </c>
      <c r="AI60" s="82">
        <f>AI11-N11</f>
        <v>-1211552</v>
      </c>
      <c r="AJ60" s="82">
        <f>AJ11-O11</f>
        <v>-7473768</v>
      </c>
      <c r="AK60" s="82">
        <f>AK11-P11</f>
        <v>-241864</v>
      </c>
      <c r="AL60" s="82">
        <f>AL11-Q11</f>
        <v>-71968</v>
      </c>
      <c r="AM60" s="82">
        <f>AM11-R11</f>
        <v>-1530936</v>
      </c>
      <c r="AN60" s="82">
        <f>AN11-S11</f>
        <v>-5621664</v>
      </c>
      <c r="AO60" s="82">
        <f>AO11-T11</f>
        <v>-7336</v>
      </c>
      <c r="AP60" s="82">
        <f>AP11-U11</f>
        <v>-69.893523200000004</v>
      </c>
      <c r="AQ60" s="83">
        <f>AQ11-V11</f>
        <v>-71.162021999999993</v>
      </c>
      <c r="AR60" s="83">
        <f>AR11-W11</f>
        <v>-37.322314499999997</v>
      </c>
      <c r="AS60" s="83">
        <f>AS11-X11</f>
        <v>-47.376329599999998</v>
      </c>
      <c r="AT60" s="83">
        <f>AT11-Y11</f>
        <v>-47.978455400000001</v>
      </c>
      <c r="AU60" s="83">
        <f>AU11-Z11</f>
        <v>-46.7891762</v>
      </c>
      <c r="AV60" s="84">
        <f>AV11-AA11</f>
        <v>-33.342501300000002</v>
      </c>
    </row>
    <row r="61" spans="1:50" x14ac:dyDescent="0.15">
      <c r="AG61" s="82" t="e">
        <f t="shared" si="8"/>
        <v>#VALUE!</v>
      </c>
      <c r="AH61" s="82" t="e">
        <f t="shared" si="9"/>
        <v>#VALUE!</v>
      </c>
      <c r="AI61" s="82">
        <f>AI12-N12</f>
        <v>-1211552</v>
      </c>
      <c r="AJ61" s="82">
        <f>AJ12-O12</f>
        <v>-10052840</v>
      </c>
      <c r="AK61" s="82">
        <f>AK12-P12</f>
        <v>-261392</v>
      </c>
      <c r="AL61" s="82">
        <f>AL12-Q12</f>
        <v>-149920</v>
      </c>
      <c r="AM61" s="82">
        <f>AM12-R12</f>
        <v>-1613808</v>
      </c>
      <c r="AN61" s="82">
        <f>AN12-S12</f>
        <v>-8020384</v>
      </c>
      <c r="AO61" s="82">
        <f>AO12-T12</f>
        <v>-7336</v>
      </c>
      <c r="AP61" s="82">
        <f>AP12-U12</f>
        <v>-69.970761400000001</v>
      </c>
      <c r="AQ61" s="83">
        <f>AQ12-V12</f>
        <v>-71.242984899999996</v>
      </c>
      <c r="AR61" s="83">
        <f>AR12-W12</f>
        <v>-37.992209199999998</v>
      </c>
      <c r="AS61" s="83">
        <f>AS12-X12</f>
        <v>-47.703754199999999</v>
      </c>
      <c r="AT61" s="83">
        <f>AT12-Y12</f>
        <v>-48.344226200000001</v>
      </c>
      <c r="AU61" s="83">
        <f>AU12-Z12</f>
        <v>-46.810603700000001</v>
      </c>
      <c r="AV61" s="84">
        <f>AV12-AA12</f>
        <v>-33.580818299999997</v>
      </c>
    </row>
    <row r="62" spans="1:50" x14ac:dyDescent="0.15">
      <c r="AG62" s="82" t="e">
        <f t="shared" si="8"/>
        <v>#VALUE!</v>
      </c>
      <c r="AH62" s="82" t="e">
        <f t="shared" si="9"/>
        <v>#VALUE!</v>
      </c>
      <c r="AI62" s="82">
        <f>AI13-N13</f>
        <v>-1211552</v>
      </c>
      <c r="AJ62" s="82">
        <f>AJ13-O13</f>
        <v>-13649184</v>
      </c>
      <c r="AK62" s="82">
        <f>AK13-P13</f>
        <v>-261392</v>
      </c>
      <c r="AL62" s="82">
        <f>AL13-Q13</f>
        <v>-149920</v>
      </c>
      <c r="AM62" s="82">
        <f>AM13-R13</f>
        <v>-1613808</v>
      </c>
      <c r="AN62" s="82">
        <f>AN13-S13</f>
        <v>-11616728</v>
      </c>
      <c r="AO62" s="82">
        <f>AO13-T13</f>
        <v>-7336</v>
      </c>
      <c r="AP62" s="82">
        <f>AP13-U13</f>
        <v>-69.970761400000001</v>
      </c>
      <c r="AQ62" s="83">
        <f>AQ13-V13</f>
        <v>-71.242984899999996</v>
      </c>
      <c r="AR62" s="83">
        <f>AR13-W13</f>
        <v>-38.536137699999998</v>
      </c>
      <c r="AS62" s="83">
        <f>AS13-X13</f>
        <v>-48.373939800000002</v>
      </c>
      <c r="AT62" s="83">
        <f>AT13-Y13</f>
        <v>-49.076705599999997</v>
      </c>
      <c r="AU62" s="83">
        <f>AU13-Z13</f>
        <v>-46.810603700000001</v>
      </c>
      <c r="AV62" s="84">
        <f>AV13-AA13</f>
        <v>-33.728241400000002</v>
      </c>
    </row>
    <row r="63" spans="1:50" x14ac:dyDescent="0.15">
      <c r="AG63" s="82" t="e">
        <f t="shared" si="8"/>
        <v>#VALUE!</v>
      </c>
      <c r="AH63" s="82" t="e">
        <f t="shared" si="9"/>
        <v>#VALUE!</v>
      </c>
      <c r="AI63" s="82">
        <f>AI14-N14</f>
        <v>-2439648</v>
      </c>
      <c r="AJ63" s="82">
        <f>AJ14-O14</f>
        <v>-23698208</v>
      </c>
      <c r="AK63" s="82">
        <f>AK14-P14</f>
        <v>-1923872</v>
      </c>
      <c r="AL63" s="82">
        <f>AL14-Q14</f>
        <v>-92576</v>
      </c>
      <c r="AM63" s="82">
        <f>AM14-R14</f>
        <v>-3192824</v>
      </c>
      <c r="AN63" s="82">
        <f>AN14-S14</f>
        <v>-18481520</v>
      </c>
      <c r="AO63" s="82">
        <f>AO14-T14</f>
        <v>-7416</v>
      </c>
      <c r="AP63" s="82">
        <f>AP14-U14</f>
        <v>-74.094821800000005</v>
      </c>
      <c r="AQ63" s="83">
        <f>AQ14-V14</f>
        <v>-76.032783300000006</v>
      </c>
      <c r="AR63" s="83">
        <f>AR14-W14</f>
        <v>-39.199498699999999</v>
      </c>
      <c r="AS63" s="83">
        <f>AS14-X14</f>
        <v>-48.3641924</v>
      </c>
      <c r="AT63" s="83">
        <f>AT14-Y14</f>
        <v>-49.050755799999997</v>
      </c>
      <c r="AU63" s="83">
        <f>AU14-Z14</f>
        <v>-49.106099299999997</v>
      </c>
      <c r="AV63" s="84">
        <f>AV14-AA14</f>
        <v>-35.887503100000004</v>
      </c>
    </row>
    <row r="64" spans="1:50" x14ac:dyDescent="0.15">
      <c r="AG64" s="82" t="e">
        <f t="shared" si="8"/>
        <v>#VALUE!</v>
      </c>
      <c r="AH64" s="82" t="e">
        <f t="shared" si="9"/>
        <v>#VALUE!</v>
      </c>
      <c r="AI64" s="82">
        <f>AI15-N15</f>
        <v>-604864</v>
      </c>
      <c r="AJ64" s="82">
        <f>AJ15-O15</f>
        <v>-3166664</v>
      </c>
      <c r="AK64" s="82">
        <f>AK15-P15</f>
        <v>-701736</v>
      </c>
      <c r="AL64" s="82">
        <f>AL15-Q15</f>
        <v>0</v>
      </c>
      <c r="AM64" s="82">
        <f>AM15-R15</f>
        <v>-520976</v>
      </c>
      <c r="AN64" s="82">
        <f>AN15-S15</f>
        <v>-1936872</v>
      </c>
      <c r="AO64" s="82">
        <f>AO15-T15</f>
        <v>-7080</v>
      </c>
      <c r="AP64" s="82">
        <f>AP15-U15</f>
        <v>-70.557730199999995</v>
      </c>
      <c r="AQ64" s="83">
        <f>AQ15-V15</f>
        <v>-71.687577599999997</v>
      </c>
      <c r="AR64" s="83">
        <f>AR15-W15</f>
        <v>-35.521019799999998</v>
      </c>
      <c r="AS64" s="83">
        <f>AS15-X15</f>
        <v>-43.431657299999998</v>
      </c>
      <c r="AT64" s="83">
        <f>AT15-Y15</f>
        <v>-44.907465199999997</v>
      </c>
      <c r="AU64" s="83">
        <f>AU15-Z15</f>
        <v>-45.1331548</v>
      </c>
      <c r="AV64" s="84">
        <f>AV15-AA15</f>
        <v>-31.989313200000002</v>
      </c>
    </row>
    <row r="65" spans="33:48" x14ac:dyDescent="0.15">
      <c r="AG65" s="82" t="e">
        <f t="shared" si="8"/>
        <v>#VALUE!</v>
      </c>
      <c r="AH65" s="82" t="e">
        <f t="shared" si="9"/>
        <v>#VALUE!</v>
      </c>
      <c r="AI65" s="82">
        <f>AI16-N16</f>
        <v>-604864</v>
      </c>
      <c r="AJ65" s="82">
        <f>AJ16-O16</f>
        <v>-5199856</v>
      </c>
      <c r="AK65" s="82">
        <f>AK16-P16</f>
        <v>-762840</v>
      </c>
      <c r="AL65" s="82">
        <f>AL16-Q16</f>
        <v>0</v>
      </c>
      <c r="AM65" s="82">
        <f>AM16-R16</f>
        <v>-736296</v>
      </c>
      <c r="AN65" s="82">
        <f>AN16-S16</f>
        <v>-3693648</v>
      </c>
      <c r="AO65" s="82">
        <f>AO16-T16</f>
        <v>-7072</v>
      </c>
      <c r="AP65" s="82">
        <f>AP16-U16</f>
        <v>-71.710027600000004</v>
      </c>
      <c r="AQ65" s="83">
        <f>AQ16-V16</f>
        <v>-72.935399599999997</v>
      </c>
      <c r="AR65" s="83">
        <f>AR16-W16</f>
        <v>-38.179885499999997</v>
      </c>
      <c r="AS65" s="83">
        <f>AS16-X16</f>
        <v>-44.024775599999998</v>
      </c>
      <c r="AT65" s="83">
        <f>AT16-Y16</f>
        <v>-46.246709299999999</v>
      </c>
      <c r="AU65" s="83">
        <f>AU16-Z16</f>
        <v>-45.595488099999997</v>
      </c>
      <c r="AV65" s="84">
        <f>AV16-AA16</f>
        <v>-33.198616600000001</v>
      </c>
    </row>
    <row r="66" spans="33:48" x14ac:dyDescent="0.15">
      <c r="AG66" s="82" t="e">
        <f t="shared" si="8"/>
        <v>#VALUE!</v>
      </c>
      <c r="AH66" s="82" t="e">
        <f t="shared" si="9"/>
        <v>#VALUE!</v>
      </c>
      <c r="AI66" s="82">
        <f>AI17-N17</f>
        <v>-1210368</v>
      </c>
      <c r="AJ66" s="82">
        <f>AJ17-O17</f>
        <v>-10276496</v>
      </c>
      <c r="AK66" s="82">
        <f>AK17-P17</f>
        <v>-1271280</v>
      </c>
      <c r="AL66" s="82">
        <f>AL17-Q17</f>
        <v>0</v>
      </c>
      <c r="AM66" s="82">
        <f>AM17-R17</f>
        <v>-1574072</v>
      </c>
      <c r="AN66" s="82">
        <f>AN17-S17</f>
        <v>-7423808</v>
      </c>
      <c r="AO66" s="82">
        <f>AO17-T17</f>
        <v>-7336</v>
      </c>
      <c r="AP66" s="82">
        <f>AP17-U17</f>
        <v>-76.531136599999996</v>
      </c>
      <c r="AQ66" s="83">
        <f>AQ17-V17</f>
        <v>-78.413520300000002</v>
      </c>
      <c r="AR66" s="83">
        <f>AR17-W17</f>
        <v>-40.876019100000001</v>
      </c>
      <c r="AS66" s="83">
        <f>AS17-X17</f>
        <v>-44.962374400000002</v>
      </c>
      <c r="AT66" s="83">
        <f>AT17-Y17</f>
        <v>-48.019191999999997</v>
      </c>
      <c r="AU66" s="83">
        <f>AU17-Z17</f>
        <v>-47.982196999999999</v>
      </c>
      <c r="AV66" s="84">
        <f>AV17-AA17</f>
        <v>-36.378926399999997</v>
      </c>
    </row>
    <row r="67" spans="33:48" x14ac:dyDescent="0.15">
      <c r="AG67" s="82" t="e">
        <f t="shared" si="8"/>
        <v>#VALUE!</v>
      </c>
      <c r="AH67" s="82" t="e">
        <f t="shared" si="9"/>
        <v>#VALUE!</v>
      </c>
      <c r="AI67" s="82">
        <f>AI18-N18</f>
        <v>-2421136</v>
      </c>
      <c r="AJ67" s="82">
        <f>AJ18-O18</f>
        <v>-14856784</v>
      </c>
      <c r="AK67" s="82">
        <f>AK18-P18</f>
        <v>-2189576</v>
      </c>
      <c r="AL67" s="82">
        <f>AL18-Q18</f>
        <v>0</v>
      </c>
      <c r="AM67" s="82">
        <f>AM18-R18</f>
        <v>-1883224</v>
      </c>
      <c r="AN67" s="82">
        <f>AN18-S18</f>
        <v>-10776648</v>
      </c>
      <c r="AO67" s="82">
        <f>AO18-T18</f>
        <v>-7336</v>
      </c>
      <c r="AP67" s="82">
        <f>AP18-U18</f>
        <v>-78.844435700000005</v>
      </c>
      <c r="AQ67" s="83">
        <f>AQ18-V18</f>
        <v>-81.259931199999997</v>
      </c>
      <c r="AR67" s="83">
        <f>AR18-W18</f>
        <v>-41.917637200000001</v>
      </c>
      <c r="AS67" s="83">
        <f>AS18-X18</f>
        <v>-45.651961999999997</v>
      </c>
      <c r="AT67" s="83">
        <f>AT18-Y18</f>
        <v>-49.214258100000002</v>
      </c>
      <c r="AU67" s="83">
        <f>AU18-Z18</f>
        <v>-49.486684400000001</v>
      </c>
      <c r="AV67" s="84">
        <f>AV18-AA18</f>
        <v>-38.000630899999997</v>
      </c>
    </row>
    <row r="68" spans="33:48" x14ac:dyDescent="0.15">
      <c r="AG68" s="82" t="e">
        <f t="shared" si="8"/>
        <v>#VALUE!</v>
      </c>
      <c r="AH68" s="82" t="e">
        <f t="shared" si="9"/>
        <v>#VALUE!</v>
      </c>
      <c r="AI68" s="82">
        <f>AI19-N19</f>
        <v>-2421136</v>
      </c>
      <c r="AJ68" s="82">
        <f>AJ19-O19</f>
        <v>-22200520</v>
      </c>
      <c r="AK68" s="82">
        <f>AK19-P19</f>
        <v>-2189576</v>
      </c>
      <c r="AL68" s="82">
        <f>AL19-Q19</f>
        <v>0</v>
      </c>
      <c r="AM68" s="82">
        <f>AM19-R19</f>
        <v>-2090272</v>
      </c>
      <c r="AN68" s="82">
        <f>AN19-S19</f>
        <v>-17913336</v>
      </c>
      <c r="AO68" s="82">
        <f>AO19-T19</f>
        <v>-7336</v>
      </c>
      <c r="AP68" s="82">
        <f>AP19-U19</f>
        <v>-79.162558899999993</v>
      </c>
      <c r="AQ68" s="83">
        <f>AQ19-V19</f>
        <v>-81.685570900000002</v>
      </c>
      <c r="AR68" s="83">
        <f>AR19-W19</f>
        <v>-42.8984229</v>
      </c>
      <c r="AS68" s="83">
        <f>AS19-X19</f>
        <v>-46.584854800000002</v>
      </c>
      <c r="AT68" s="83">
        <f>AT19-Y19</f>
        <v>-50.528315900000003</v>
      </c>
      <c r="AU68" s="83">
        <f>AU19-Z19</f>
        <v>-49.593182499999998</v>
      </c>
      <c r="AV68" s="84">
        <f>AV19-AA19</f>
        <v>-38.485236899999997</v>
      </c>
    </row>
    <row r="69" spans="33:48" x14ac:dyDescent="0.15">
      <c r="AG69" s="82" t="e">
        <f t="shared" si="8"/>
        <v>#VALUE!</v>
      </c>
      <c r="AH69" s="82" t="e">
        <f t="shared" si="9"/>
        <v>#VALUE!</v>
      </c>
      <c r="AI69" s="82">
        <f>AI20-N20</f>
        <v>-604496</v>
      </c>
      <c r="AJ69" s="82">
        <f>AJ20-O20</f>
        <v>-3157720</v>
      </c>
      <c r="AK69" s="82">
        <f>AK20-P20</f>
        <v>-675152</v>
      </c>
      <c r="AL69" s="82">
        <f>AL20-Q20</f>
        <v>0</v>
      </c>
      <c r="AM69" s="82">
        <f>AM20-R20</f>
        <v>-510248</v>
      </c>
      <c r="AN69" s="82">
        <f>AN20-S20</f>
        <v>-1965248</v>
      </c>
      <c r="AO69" s="82">
        <f>AO20-T20</f>
        <v>-7072</v>
      </c>
      <c r="AP69" s="82">
        <f>AP20-U20</f>
        <v>-70.658992999999995</v>
      </c>
      <c r="AQ69" s="83">
        <f>AQ20-V20</f>
        <v>-71.847679200000002</v>
      </c>
      <c r="AR69" s="83">
        <f>AR20-W20</f>
        <v>-34.452942399999998</v>
      </c>
      <c r="AS69" s="83">
        <f>AS20-X20</f>
        <v>-42.888601299999998</v>
      </c>
      <c r="AT69" s="83">
        <f>AT20-Y20</f>
        <v>-44.155776600000003</v>
      </c>
      <c r="AU69" s="83">
        <f>AU20-Z20</f>
        <v>-47.952576999999998</v>
      </c>
      <c r="AV69" s="84">
        <f>AV20-AA20</f>
        <v>-31.0258401</v>
      </c>
    </row>
    <row r="70" spans="33:48" x14ac:dyDescent="0.15">
      <c r="AG70" s="82" t="e">
        <f t="shared" si="8"/>
        <v>#VALUE!</v>
      </c>
      <c r="AH70" s="82" t="e">
        <f t="shared" si="9"/>
        <v>#VALUE!</v>
      </c>
      <c r="AI70" s="82">
        <f>AI21-N21</f>
        <v>-604496</v>
      </c>
      <c r="AJ70" s="82">
        <f>AJ21-O21</f>
        <v>-5323488</v>
      </c>
      <c r="AK70" s="82">
        <f>AK21-P21</f>
        <v>-735952</v>
      </c>
      <c r="AL70" s="82">
        <f>AL21-Q21</f>
        <v>0</v>
      </c>
      <c r="AM70" s="82">
        <f>AM21-R21</f>
        <v>-560672</v>
      </c>
      <c r="AN70" s="82">
        <f>AN21-S21</f>
        <v>-4019784</v>
      </c>
      <c r="AO70" s="82">
        <f>AO21-T21</f>
        <v>-7080</v>
      </c>
      <c r="AP70" s="82">
        <f>AP21-U21</f>
        <v>-71.023673799999997</v>
      </c>
      <c r="AQ70" s="83">
        <f>AQ21-V21</f>
        <v>-72.249713799999995</v>
      </c>
      <c r="AR70" s="83">
        <f>AR21-W21</f>
        <v>-37.2343245</v>
      </c>
      <c r="AS70" s="83">
        <f>AS21-X21</f>
        <v>-44.044946400000001</v>
      </c>
      <c r="AT70" s="83">
        <f>AT21-Y21</f>
        <v>-45.974607200000001</v>
      </c>
      <c r="AU70" s="83">
        <f>AU21-Z21</f>
        <v>-48.096748099999999</v>
      </c>
      <c r="AV70" s="84">
        <f>AV21-AA21</f>
        <v>-32.061271099999999</v>
      </c>
    </row>
    <row r="71" spans="33:48" x14ac:dyDescent="0.15">
      <c r="AG71" s="82" t="e">
        <f t="shared" si="8"/>
        <v>#VALUE!</v>
      </c>
      <c r="AH71" s="82" t="e">
        <f t="shared" si="9"/>
        <v>#VALUE!</v>
      </c>
      <c r="AI71" s="82">
        <f>AI22-N22</f>
        <v>-1209024</v>
      </c>
      <c r="AJ71" s="82">
        <f>AJ22-O22</f>
        <v>-10414272</v>
      </c>
      <c r="AK71" s="82">
        <f>AK22-P22</f>
        <v>-1123600</v>
      </c>
      <c r="AL71" s="82">
        <f>AL22-Q22</f>
        <v>0</v>
      </c>
      <c r="AM71" s="82">
        <f>AM22-R22</f>
        <v>-1581544</v>
      </c>
      <c r="AN71" s="82">
        <f>AN22-S22</f>
        <v>-7701792</v>
      </c>
      <c r="AO71" s="82">
        <f>AO22-T22</f>
        <v>-7336</v>
      </c>
      <c r="AP71" s="82">
        <f>AP22-U22</f>
        <v>-76.398853799999998</v>
      </c>
      <c r="AQ71" s="83">
        <f>AQ22-V22</f>
        <v>-78.415579699999995</v>
      </c>
      <c r="AR71" s="83">
        <f>AR22-W22</f>
        <v>-40.2762843</v>
      </c>
      <c r="AS71" s="83">
        <f>AS22-X22</f>
        <v>-45.305727900000001</v>
      </c>
      <c r="AT71" s="83">
        <f>AT22-Y22</f>
        <v>-48.014832400000003</v>
      </c>
      <c r="AU71" s="83">
        <f>AU22-Z22</f>
        <v>-50.844054800000002</v>
      </c>
      <c r="AV71" s="84">
        <f>AV22-AA22</f>
        <v>-35.758081599999997</v>
      </c>
    </row>
    <row r="72" spans="33:48" x14ac:dyDescent="0.15">
      <c r="AG72" s="82" t="e">
        <f t="shared" si="8"/>
        <v>#VALUE!</v>
      </c>
      <c r="AH72" s="82" t="e">
        <f t="shared" si="9"/>
        <v>#VALUE!</v>
      </c>
      <c r="AI72" s="82">
        <f>AI23-N23</f>
        <v>-2418320</v>
      </c>
      <c r="AJ72" s="82">
        <f>AJ23-O23</f>
        <v>-14736432</v>
      </c>
      <c r="AK72" s="82">
        <f>AK23-P23</f>
        <v>-2371840</v>
      </c>
      <c r="AL72" s="82">
        <f>AL23-Q23</f>
        <v>0</v>
      </c>
      <c r="AM72" s="82">
        <f>AM23-R23</f>
        <v>-1626696</v>
      </c>
      <c r="AN72" s="82">
        <f>AN23-S23</f>
        <v>-10730560</v>
      </c>
      <c r="AO72" s="82">
        <f>AO23-T23</f>
        <v>-7336</v>
      </c>
      <c r="AP72" s="82">
        <f>AP23-U23</f>
        <v>-78.320527299999995</v>
      </c>
      <c r="AQ72" s="83">
        <f>AQ23-V23</f>
        <v>-80.833959699999994</v>
      </c>
      <c r="AR72" s="83">
        <f>AR23-W23</f>
        <v>-41.421951399999998</v>
      </c>
      <c r="AS72" s="83">
        <f>AS23-X23</f>
        <v>-45.815777599999997</v>
      </c>
      <c r="AT72" s="83">
        <f>AT23-Y23</f>
        <v>-48.740526600000003</v>
      </c>
      <c r="AU72" s="83">
        <f>AU23-Z23</f>
        <v>-52.432678099999997</v>
      </c>
      <c r="AV72" s="84">
        <f>AV23-AA23</f>
        <v>-37.292274499999998</v>
      </c>
    </row>
    <row r="73" spans="33:48" x14ac:dyDescent="0.15">
      <c r="AG73" s="82" t="e">
        <f t="shared" si="8"/>
        <v>#VALUE!</v>
      </c>
      <c r="AH73" s="82" t="e">
        <f t="shared" si="9"/>
        <v>#VALUE!</v>
      </c>
      <c r="AI73" s="82">
        <f>AI24-N24</f>
        <v>-2418320</v>
      </c>
      <c r="AJ73" s="82">
        <f>AJ24-O24</f>
        <v>-21815224</v>
      </c>
      <c r="AK73" s="82">
        <f>AK24-P24</f>
        <v>-2138624</v>
      </c>
      <c r="AL73" s="82">
        <f>AL24-Q24</f>
        <v>0</v>
      </c>
      <c r="AM73" s="82">
        <f>AM24-R24</f>
        <v>-2067064</v>
      </c>
      <c r="AN73" s="82">
        <f>AN24-S24</f>
        <v>-17602200</v>
      </c>
      <c r="AO73" s="82">
        <f>AO24-T24</f>
        <v>-7336</v>
      </c>
      <c r="AP73" s="82">
        <f>AP24-U24</f>
        <v>-78.926492499999995</v>
      </c>
      <c r="AQ73" s="83">
        <f>AQ24-V24</f>
        <v>-81.677393499999994</v>
      </c>
      <c r="AR73" s="83">
        <f>AR24-W24</f>
        <v>-42.393651599999998</v>
      </c>
      <c r="AS73" s="83">
        <f>AS24-X24</f>
        <v>-46.896335499999999</v>
      </c>
      <c r="AT73" s="83">
        <f>AT24-Y24</f>
        <v>-50.094219600000002</v>
      </c>
      <c r="AU73" s="83">
        <f>AU24-Z24</f>
        <v>-52.721227599999999</v>
      </c>
      <c r="AV73" s="84">
        <f>AV24-AA24</f>
        <v>-37.950918199999997</v>
      </c>
    </row>
    <row r="74" spans="33:48" x14ac:dyDescent="0.15">
      <c r="AG74" s="82" t="e">
        <f t="shared" si="8"/>
        <v>#VALUE!</v>
      </c>
      <c r="AH74" s="82" t="e">
        <f t="shared" si="9"/>
        <v>#VALUE!</v>
      </c>
      <c r="AI74" s="82">
        <f>AI25-N25</f>
        <v>-2455232</v>
      </c>
      <c r="AJ74" s="82">
        <f>AJ25-O25</f>
        <v>-4335152</v>
      </c>
      <c r="AK74" s="82">
        <f>AK25-P25</f>
        <v>-695472</v>
      </c>
      <c r="AL74" s="82">
        <f>AL25-Q25</f>
        <v>0</v>
      </c>
      <c r="AM74" s="82">
        <f>AM25-R25</f>
        <v>-558880</v>
      </c>
      <c r="AN74" s="82">
        <f>AN25-S25</f>
        <v>-3073456</v>
      </c>
      <c r="AO74" s="82">
        <f>AO25-T25</f>
        <v>-7344</v>
      </c>
      <c r="AP74" s="82">
        <f>AP25-U25</f>
        <v>-72.906002299999997</v>
      </c>
      <c r="AQ74" s="83">
        <f>AQ25-V25</f>
        <v>-74.665274299999993</v>
      </c>
      <c r="AR74" s="83">
        <f>AR25-W25</f>
        <v>-31.440588300000002</v>
      </c>
      <c r="AS74" s="83">
        <f>AS25-X25</f>
        <v>-40.605242799999999</v>
      </c>
      <c r="AT74" s="83">
        <f>AT25-Y25</f>
        <v>-36.907903099999999</v>
      </c>
      <c r="AU74" s="83">
        <f>AU25-Z25</f>
        <v>-44.200530899999997</v>
      </c>
      <c r="AV74" s="84">
        <f>AV25-AA25</f>
        <v>-28.4451444</v>
      </c>
    </row>
    <row r="75" spans="33:48" x14ac:dyDescent="0.15">
      <c r="AG75" s="82" t="e">
        <f t="shared" si="8"/>
        <v>#VALUE!</v>
      </c>
      <c r="AH75" s="82" t="e">
        <f t="shared" si="9"/>
        <v>#VALUE!</v>
      </c>
      <c r="AI75" s="82">
        <f>AI26-N26</f>
        <v>-4912768</v>
      </c>
      <c r="AJ75" s="82">
        <f>AJ26-O26</f>
        <v>-8572464</v>
      </c>
      <c r="AK75" s="82">
        <f>AK26-P26</f>
        <v>-1164264</v>
      </c>
      <c r="AL75" s="82">
        <f>AL26-Q26</f>
        <v>0</v>
      </c>
      <c r="AM75" s="82">
        <f>AM26-R26</f>
        <v>-898760</v>
      </c>
      <c r="AN75" s="82">
        <f>AN26-S26</f>
        <v>-6501840</v>
      </c>
      <c r="AO75" s="82">
        <f>AO26-T26</f>
        <v>-7600</v>
      </c>
      <c r="AP75" s="82">
        <f>AP26-U26</f>
        <v>-76.343026899999998</v>
      </c>
      <c r="AQ75" s="83">
        <f>AQ26-V26</f>
        <v>-78.716781600000004</v>
      </c>
      <c r="AR75" s="83">
        <f>AR26-W26</f>
        <v>-33.928410999999997</v>
      </c>
      <c r="AS75" s="83">
        <f>AS26-X26</f>
        <v>-42.444591899999999</v>
      </c>
      <c r="AT75" s="83">
        <f>AT26-Y26</f>
        <v>-39.797361500000001</v>
      </c>
      <c r="AU75" s="83">
        <f>AU26-Z26</f>
        <v>-45.867615299999997</v>
      </c>
      <c r="AV75" s="84">
        <f>AV26-AA26</f>
        <v>-31.129221699999999</v>
      </c>
    </row>
    <row r="76" spans="33:48" x14ac:dyDescent="0.15">
      <c r="AG76" s="82" t="e">
        <f t="shared" si="8"/>
        <v>#VALUE!</v>
      </c>
      <c r="AH76" s="82" t="e">
        <f t="shared" si="9"/>
        <v>#VALUE!</v>
      </c>
      <c r="AI76" s="82">
        <f>AI27-N27</f>
        <v>-9827968</v>
      </c>
      <c r="AJ76" s="82">
        <f>AJ27-O27</f>
        <v>-12694392</v>
      </c>
      <c r="AK76" s="82">
        <f>AK27-P27</f>
        <v>-2194440</v>
      </c>
      <c r="AL76" s="82">
        <f>AL27-Q27</f>
        <v>0</v>
      </c>
      <c r="AM76" s="82">
        <f>AM27-R27</f>
        <v>-859544</v>
      </c>
      <c r="AN76" s="82">
        <f>AN27-S27</f>
        <v>-9632536</v>
      </c>
      <c r="AO76" s="82">
        <f>AO27-T27</f>
        <v>-7872</v>
      </c>
      <c r="AP76" s="82">
        <f>AP27-U27</f>
        <v>-78.213163899999998</v>
      </c>
      <c r="AQ76" s="83">
        <f>AQ27-V27</f>
        <v>-80.976241099999996</v>
      </c>
      <c r="AR76" s="83">
        <f>AR27-W27</f>
        <v>-34.871825299999998</v>
      </c>
      <c r="AS76" s="83">
        <f>AS27-X27</f>
        <v>-43.664241799999999</v>
      </c>
      <c r="AT76" s="83">
        <f>AT27-Y27</f>
        <v>-41.586033899999997</v>
      </c>
      <c r="AU76" s="83">
        <f>AU27-Z27</f>
        <v>-47.442339699999998</v>
      </c>
      <c r="AV76" s="84">
        <f>AV27-AA27</f>
        <v>-32.432871800000001</v>
      </c>
    </row>
    <row r="77" spans="33:48" x14ac:dyDescent="0.15">
      <c r="AG77" s="82" t="e">
        <f t="shared" si="8"/>
        <v>#VALUE!</v>
      </c>
      <c r="AH77" s="82" t="e">
        <f t="shared" si="9"/>
        <v>#VALUE!</v>
      </c>
      <c r="AI77" s="82">
        <f>AI28-N28</f>
        <v>-19659392</v>
      </c>
      <c r="AJ77" s="82">
        <f>AJ28-O28</f>
        <v>-17813032</v>
      </c>
      <c r="AK77" s="82">
        <f>AK28-P28</f>
        <v>-4271176</v>
      </c>
      <c r="AL77" s="82">
        <f>AL28-Q28</f>
        <v>0</v>
      </c>
      <c r="AM77" s="82">
        <f>AM28-R28</f>
        <v>-678568</v>
      </c>
      <c r="AN77" s="82">
        <f>AN28-S28</f>
        <v>-12855408</v>
      </c>
      <c r="AO77" s="82">
        <f>AO28-T28</f>
        <v>-7880</v>
      </c>
      <c r="AP77" s="82">
        <f>AP28-U28</f>
        <v>-80.100082099999995</v>
      </c>
      <c r="AQ77" s="83">
        <f>AQ28-V28</f>
        <v>-83.492118500000004</v>
      </c>
      <c r="AR77" s="83">
        <f>AR28-W28</f>
        <v>-35.673613000000003</v>
      </c>
      <c r="AS77" s="83">
        <f>AS28-X28</f>
        <v>-43.972642399999998</v>
      </c>
      <c r="AT77" s="83">
        <f>AT28-Y28</f>
        <v>-42.0733411</v>
      </c>
      <c r="AU77" s="83">
        <f>AU28-Z28</f>
        <v>-49.248149599999998</v>
      </c>
      <c r="AV77" s="84">
        <f>AV28-AA28</f>
        <v>-33.636332199999998</v>
      </c>
    </row>
    <row r="78" spans="33:48" x14ac:dyDescent="0.15">
      <c r="AG78" s="82" t="e">
        <f t="shared" si="8"/>
        <v>#VALUE!</v>
      </c>
      <c r="AH78" s="82" t="e">
        <f t="shared" si="9"/>
        <v>#VALUE!</v>
      </c>
      <c r="AI78" s="82">
        <f>AI29-N29</f>
        <v>-14745456</v>
      </c>
      <c r="AJ78" s="82">
        <f>AJ29-O29</f>
        <v>-26253272</v>
      </c>
      <c r="AK78" s="82">
        <f>AK29-P29</f>
        <v>-9213664</v>
      </c>
      <c r="AL78" s="82">
        <f>AL29-Q29</f>
        <v>0</v>
      </c>
      <c r="AM78" s="82">
        <f>AM29-R29</f>
        <v>-844176</v>
      </c>
      <c r="AN78" s="82">
        <f>AN29-S29</f>
        <v>-16187568</v>
      </c>
      <c r="AO78" s="82">
        <f>AO29-T29</f>
        <v>-7864</v>
      </c>
      <c r="AP78" s="82">
        <f>AP29-U29</f>
        <v>-84.744395499999996</v>
      </c>
      <c r="AQ78" s="83">
        <f>AQ29-V29</f>
        <v>-90.105384000000001</v>
      </c>
      <c r="AR78" s="83">
        <f>AR29-W29</f>
        <v>-36.406065699999999</v>
      </c>
      <c r="AS78" s="83">
        <f>AS29-X29</f>
        <v>-44.294912199999999</v>
      </c>
      <c r="AT78" s="83">
        <f>AT29-Y29</f>
        <v>-42.5316945</v>
      </c>
      <c r="AU78" s="83">
        <f>AU29-Z29</f>
        <v>-52.961412299999999</v>
      </c>
      <c r="AV78" s="84">
        <f>AV29-AA29</f>
        <v>-35.456470299999999</v>
      </c>
    </row>
    <row r="79" spans="33:48" x14ac:dyDescent="0.15">
      <c r="AG79" s="82" t="e">
        <f t="shared" si="8"/>
        <v>#VALUE!</v>
      </c>
      <c r="AH79" s="82" t="e">
        <f t="shared" si="9"/>
        <v>#VALUE!</v>
      </c>
      <c r="AI79" s="82">
        <f>AI30-N30</f>
        <v>-2424832</v>
      </c>
      <c r="AJ79" s="82">
        <f>AJ30-O30</f>
        <v>-3834056</v>
      </c>
      <c r="AK79" s="82">
        <f>AK30-P30</f>
        <v>-413768</v>
      </c>
      <c r="AL79" s="82">
        <f>AL30-Q30</f>
        <v>-61888</v>
      </c>
      <c r="AM79" s="82">
        <f>AM30-R30</f>
        <v>-586208</v>
      </c>
      <c r="AN79" s="82">
        <f>AN30-S30</f>
        <v>-2764736</v>
      </c>
      <c r="AO79" s="82">
        <f>AO30-T30</f>
        <v>-7456</v>
      </c>
      <c r="AP79" s="82">
        <f>AP30-U30</f>
        <v>-73.256559100000004</v>
      </c>
      <c r="AQ79" s="83">
        <f>AQ30-V30</f>
        <v>-74.856068100000002</v>
      </c>
      <c r="AR79" s="83">
        <f>AR30-W30</f>
        <v>-38.6929631</v>
      </c>
      <c r="AS79" s="83">
        <f>AS30-X30</f>
        <v>-44.535799400000002</v>
      </c>
      <c r="AT79" s="83">
        <f>AT30-Y30</f>
        <v>-43.1487768</v>
      </c>
      <c r="AU79" s="83">
        <f>AU30-Z30</f>
        <v>-46.396800300000002</v>
      </c>
      <c r="AV79" s="84">
        <f>AV30-AA30</f>
        <v>-34.787545700000003</v>
      </c>
    </row>
    <row r="80" spans="33:48" x14ac:dyDescent="0.15">
      <c r="AG80" s="82" t="e">
        <f t="shared" si="8"/>
        <v>#VALUE!</v>
      </c>
      <c r="AH80" s="82" t="e">
        <f t="shared" si="9"/>
        <v>#VALUE!</v>
      </c>
      <c r="AI80" s="82">
        <f>AI31-N31</f>
        <v>-1220640</v>
      </c>
      <c r="AJ80" s="82">
        <f>AJ31-O31</f>
        <v>-8019928</v>
      </c>
      <c r="AK80" s="82">
        <f>AK31-P31</f>
        <v>-783048</v>
      </c>
      <c r="AL80" s="82">
        <f>AL31-Q31</f>
        <v>-79504</v>
      </c>
      <c r="AM80" s="82">
        <f>AM31-R31</f>
        <v>-875984</v>
      </c>
      <c r="AN80" s="82">
        <f>AN31-S31</f>
        <v>-6274056</v>
      </c>
      <c r="AO80" s="82">
        <f>AO31-T31</f>
        <v>-7336</v>
      </c>
      <c r="AP80" s="82">
        <f>AP31-U31</f>
        <v>-76.274163599999994</v>
      </c>
      <c r="AQ80" s="83">
        <f>AQ31-V31</f>
        <v>-78.284944100000004</v>
      </c>
      <c r="AR80" s="83">
        <f>AR31-W31</f>
        <v>-41.125513499999997</v>
      </c>
      <c r="AS80" s="83">
        <f>AS31-X31</f>
        <v>-45.917396199999999</v>
      </c>
      <c r="AT80" s="83">
        <f>AT31-Y31</f>
        <v>-44.773194699999998</v>
      </c>
      <c r="AU80" s="83">
        <f>AU31-Z31</f>
        <v>-48.404525499999998</v>
      </c>
      <c r="AV80" s="84">
        <f>AV31-AA31</f>
        <v>-36.816179499999997</v>
      </c>
    </row>
    <row r="81" spans="33:48" x14ac:dyDescent="0.15">
      <c r="AG81" s="82" t="e">
        <f t="shared" si="8"/>
        <v>#VALUE!</v>
      </c>
      <c r="AH81" s="82" t="e">
        <f t="shared" si="9"/>
        <v>#VALUE!</v>
      </c>
      <c r="AI81" s="82">
        <f>AI32-N32</f>
        <v>-4909152</v>
      </c>
      <c r="AJ81" s="82">
        <f>AJ32-O32</f>
        <v>-12250680</v>
      </c>
      <c r="AK81" s="82">
        <f>AK32-P32</f>
        <v>-2422824</v>
      </c>
      <c r="AL81" s="82">
        <f>AL32-Q32</f>
        <v>-196616</v>
      </c>
      <c r="AM81" s="82">
        <f>AM32-R32</f>
        <v>-850128</v>
      </c>
      <c r="AN81" s="82">
        <f>AN32-S32</f>
        <v>-8773512</v>
      </c>
      <c r="AO81" s="82">
        <f>AO32-T32</f>
        <v>-7600</v>
      </c>
      <c r="AP81" s="82">
        <f>AP32-U32</f>
        <v>-79.610356800000005</v>
      </c>
      <c r="AQ81" s="83">
        <f>AQ32-V32</f>
        <v>-82.360175699999999</v>
      </c>
      <c r="AR81" s="83">
        <f>AR32-W32</f>
        <v>-42.264677800000001</v>
      </c>
      <c r="AS81" s="83">
        <f>AS32-X32</f>
        <v>-46.668162199999998</v>
      </c>
      <c r="AT81" s="83">
        <f>AT32-Y32</f>
        <v>-45.747624999999999</v>
      </c>
      <c r="AU81" s="83">
        <f>AU32-Z32</f>
        <v>-50.188371099999998</v>
      </c>
      <c r="AV81" s="84">
        <f>AV32-AA32</f>
        <v>-38.870386400000001</v>
      </c>
    </row>
    <row r="82" spans="33:48" x14ac:dyDescent="0.15">
      <c r="AG82" s="82" t="e">
        <f t="shared" si="8"/>
        <v>#VALUE!</v>
      </c>
      <c r="AH82" s="82" t="e">
        <f t="shared" si="9"/>
        <v>#VALUE!</v>
      </c>
      <c r="AI82" s="82">
        <f>AI33-N33</f>
        <v>-4909152</v>
      </c>
      <c r="AJ82" s="82">
        <f>AJ33-O33</f>
        <v>-17225216</v>
      </c>
      <c r="AK82" s="82">
        <f>AK33-P33</f>
        <v>-2422824</v>
      </c>
      <c r="AL82" s="82">
        <f>AL33-Q33</f>
        <v>-196616</v>
      </c>
      <c r="AM82" s="82">
        <f>AM33-R33</f>
        <v>-1905408</v>
      </c>
      <c r="AN82" s="82">
        <f>AN33-S33</f>
        <v>-12692768</v>
      </c>
      <c r="AO82" s="82">
        <f>AO33-T33</f>
        <v>-7600</v>
      </c>
      <c r="AP82" s="82">
        <f>AP33-U33</f>
        <v>-81.370554100000007</v>
      </c>
      <c r="AQ82" s="83">
        <f>AQ33-V33</f>
        <v>-84.968806700000002</v>
      </c>
      <c r="AR82" s="83">
        <f>AR33-W33</f>
        <v>-43.3131068</v>
      </c>
      <c r="AS82" s="83">
        <f>AS33-X33</f>
        <v>-47.735574</v>
      </c>
      <c r="AT82" s="83">
        <f>AT33-Y33</f>
        <v>-46.950521299999998</v>
      </c>
      <c r="AU82" s="83">
        <f>AU33-Z33</f>
        <v>-51.620134999999998</v>
      </c>
      <c r="AV82" s="84">
        <f>AV33-AA33</f>
        <v>-40.282162100000001</v>
      </c>
    </row>
    <row r="83" spans="33:48" x14ac:dyDescent="0.15">
      <c r="AG83" s="82" t="e">
        <f t="shared" si="8"/>
        <v>#VALUE!</v>
      </c>
      <c r="AH83" s="82" t="e">
        <f t="shared" si="9"/>
        <v>#VALUE!</v>
      </c>
      <c r="AI83" s="82">
        <f>AI34-N34</f>
        <v>-12284608</v>
      </c>
      <c r="AJ83" s="82">
        <f>AJ34-O34</f>
        <v>-22914632</v>
      </c>
      <c r="AK83" s="82">
        <f>AK34-P34</f>
        <v>-4743168</v>
      </c>
      <c r="AL83" s="82">
        <f>AL34-Q34</f>
        <v>-1110960</v>
      </c>
      <c r="AM83" s="82">
        <f>AM34-R34</f>
        <v>-480248</v>
      </c>
      <c r="AN83" s="82">
        <f>AN34-S34</f>
        <v>-16572392</v>
      </c>
      <c r="AO83" s="82">
        <f>AO34-T34</f>
        <v>-7864</v>
      </c>
      <c r="AP83" s="82">
        <f>AP34-U34</f>
        <v>-84.798566399999999</v>
      </c>
      <c r="AQ83" s="83">
        <f>AQ34-V34</f>
        <v>-89.1627297</v>
      </c>
      <c r="AR83" s="83">
        <f>AR34-W34</f>
        <v>-44.2985313</v>
      </c>
      <c r="AS83" s="83">
        <f>AS34-X34</f>
        <v>-48.390863199999998</v>
      </c>
      <c r="AT83" s="83">
        <f>AT34-Y34</f>
        <v>-47.709875400000001</v>
      </c>
      <c r="AU83" s="83">
        <f>AU34-Z34</f>
        <v>-55.391996800000001</v>
      </c>
      <c r="AV83" s="84">
        <f>AV34-AA34</f>
        <v>-42.7426624</v>
      </c>
    </row>
    <row r="84" spans="33:48" x14ac:dyDescent="0.15">
      <c r="AG84" s="82" t="e">
        <f t="shared" si="8"/>
        <v>#VALUE!</v>
      </c>
      <c r="AH84" s="82" t="e">
        <f t="shared" si="9"/>
        <v>#VALUE!</v>
      </c>
      <c r="AI84" s="82">
        <f>AI35-N35</f>
        <v>-920128</v>
      </c>
      <c r="AJ84" s="82">
        <f>AJ35-O35</f>
        <v>-3327088</v>
      </c>
      <c r="AK84" s="82">
        <f>AK35-P35</f>
        <v>-459800</v>
      </c>
      <c r="AL84" s="82">
        <f>AL35-Q35</f>
        <v>-68432</v>
      </c>
      <c r="AM84" s="82">
        <f>AM35-R35</f>
        <v>-407192</v>
      </c>
      <c r="AN84" s="82">
        <f>AN35-S35</f>
        <v>-2384432</v>
      </c>
      <c r="AO84" s="82">
        <f>AO35-T35</f>
        <v>-7232</v>
      </c>
      <c r="AP84" s="82">
        <f>AP35-U35</f>
        <v>-72.402662500000005</v>
      </c>
      <c r="AQ84" s="83">
        <f>AQ35-V35</f>
        <v>-73.947922199999994</v>
      </c>
      <c r="AR84" s="83">
        <f>AR35-W35</f>
        <v>-30.095666300000001</v>
      </c>
      <c r="AS84" s="83">
        <f>AS35-X35</f>
        <v>-38.825277300000003</v>
      </c>
      <c r="AT84" s="83">
        <f>AT35-Y35</f>
        <v>-38.931081599999999</v>
      </c>
      <c r="AU84" s="83">
        <f>AU35-Z35</f>
        <v>-47.911830000000002</v>
      </c>
      <c r="AV84" s="84">
        <f>AV35-AA35</f>
        <v>-29.094320799999998</v>
      </c>
    </row>
    <row r="85" spans="33:48" x14ac:dyDescent="0.15">
      <c r="AG85" s="82" t="e">
        <f t="shared" si="8"/>
        <v>#VALUE!</v>
      </c>
      <c r="AH85" s="82" t="e">
        <f t="shared" si="9"/>
        <v>#VALUE!</v>
      </c>
      <c r="AI85" s="82">
        <f>AI36-N36</f>
        <v>-1841248</v>
      </c>
      <c r="AJ85" s="82">
        <f>AJ36-O36</f>
        <v>-4224008</v>
      </c>
      <c r="AK85" s="82">
        <f>AK36-P36</f>
        <v>-675624</v>
      </c>
      <c r="AL85" s="82">
        <f>AL36-Q36</f>
        <v>-139128</v>
      </c>
      <c r="AM85" s="82">
        <f>AM36-R36</f>
        <v>-203312</v>
      </c>
      <c r="AN85" s="82">
        <f>AN36-S36</f>
        <v>-3198600</v>
      </c>
      <c r="AO85" s="82">
        <f>AO36-T36</f>
        <v>-7344</v>
      </c>
      <c r="AP85" s="82">
        <f>AP36-U36</f>
        <v>-73.313706800000006</v>
      </c>
      <c r="AQ85" s="83">
        <f>AQ36-V36</f>
        <v>-74.968942600000005</v>
      </c>
      <c r="AR85" s="83">
        <f>AR36-W36</f>
        <v>-30.566923599999999</v>
      </c>
      <c r="AS85" s="83">
        <f>AS36-X36</f>
        <v>-38.933313300000002</v>
      </c>
      <c r="AT85" s="83">
        <f>AT36-Y36</f>
        <v>-39.0586561</v>
      </c>
      <c r="AU85" s="83">
        <f>AU36-Z36</f>
        <v>-48.171831300000001</v>
      </c>
      <c r="AV85" s="84">
        <f>AV36-AA36</f>
        <v>-29.479018100000001</v>
      </c>
    </row>
    <row r="86" spans="33:48" x14ac:dyDescent="0.15">
      <c r="AG86" s="82" t="e">
        <f t="shared" si="8"/>
        <v>#VALUE!</v>
      </c>
      <c r="AH86" s="82" t="e">
        <f t="shared" si="9"/>
        <v>#VALUE!</v>
      </c>
      <c r="AI86" s="82">
        <f>AI37-N37</f>
        <v>-1841248</v>
      </c>
      <c r="AJ86" s="82">
        <f>AJ37-O37</f>
        <v>-6356024</v>
      </c>
      <c r="AK86" s="82">
        <f>AK37-P37</f>
        <v>-675624</v>
      </c>
      <c r="AL86" s="82">
        <f>AL37-Q37</f>
        <v>-139128</v>
      </c>
      <c r="AM86" s="82">
        <f>AM37-R37</f>
        <v>-628904</v>
      </c>
      <c r="AN86" s="82">
        <f>AN37-S37</f>
        <v>-4905024</v>
      </c>
      <c r="AO86" s="82">
        <f>AO37-T37</f>
        <v>-7344</v>
      </c>
      <c r="AP86" s="82">
        <f>AP37-U37</f>
        <v>-75.9692984</v>
      </c>
      <c r="AQ86" s="83">
        <f>AQ37-V37</f>
        <v>-77.932832899999994</v>
      </c>
      <c r="AR86" s="83">
        <f>AR37-W37</f>
        <v>-31.2242487</v>
      </c>
      <c r="AS86" s="83">
        <f>AS37-X37</f>
        <v>-39.020653500000002</v>
      </c>
      <c r="AT86" s="83">
        <f>AT37-Y37</f>
        <v>-39.230779599999998</v>
      </c>
      <c r="AU86" s="83">
        <f>AU37-Z37</f>
        <v>-49.954799199999997</v>
      </c>
      <c r="AV86" s="84">
        <f>AV37-AA37</f>
        <v>-30.284962700000001</v>
      </c>
    </row>
    <row r="87" spans="33:48" x14ac:dyDescent="0.15">
      <c r="AG87" s="82" t="e">
        <f t="shared" si="8"/>
        <v>#VALUE!</v>
      </c>
      <c r="AH87" s="82" t="e">
        <f t="shared" si="9"/>
        <v>#VALUE!</v>
      </c>
      <c r="AI87" s="82">
        <f>AI38-N38</f>
        <v>-3683392</v>
      </c>
      <c r="AJ87" s="82">
        <f>AJ38-O38</f>
        <v>-8459840</v>
      </c>
      <c r="AK87" s="82">
        <f>AK38-P38</f>
        <v>-1311600</v>
      </c>
      <c r="AL87" s="82">
        <f>AL38-Q38</f>
        <v>-327424</v>
      </c>
      <c r="AM87" s="82">
        <f>AM38-R38</f>
        <v>-647464</v>
      </c>
      <c r="AN87" s="82">
        <f>AN38-S38</f>
        <v>-6165848</v>
      </c>
      <c r="AO87" s="82">
        <f>AO38-T38</f>
        <v>-7504</v>
      </c>
      <c r="AP87" s="82">
        <f>AP38-U38</f>
        <v>-78.772598599999995</v>
      </c>
      <c r="AQ87" s="83">
        <f>AQ38-V38</f>
        <v>-81.293913599999996</v>
      </c>
      <c r="AR87" s="83">
        <f>AR38-W38</f>
        <v>-31.6654467</v>
      </c>
      <c r="AS87" s="83">
        <f>AS38-X38</f>
        <v>-39.1080197</v>
      </c>
      <c r="AT87" s="83">
        <f>AT38-Y38</f>
        <v>-39.385249299999998</v>
      </c>
      <c r="AU87" s="83">
        <f>AU38-Z38</f>
        <v>-51.503922600000003</v>
      </c>
      <c r="AV87" s="84">
        <f>AV38-AA38</f>
        <v>-30.939916100000001</v>
      </c>
    </row>
    <row r="88" spans="33:48" x14ac:dyDescent="0.15">
      <c r="AG88" s="82" t="e">
        <f t="shared" si="8"/>
        <v>#VALUE!</v>
      </c>
      <c r="AH88" s="82" t="e">
        <f t="shared" si="9"/>
        <v>#VALUE!</v>
      </c>
      <c r="AI88" s="82">
        <f>AI39-N39</f>
        <v>-5524880</v>
      </c>
      <c r="AJ88" s="82">
        <f>AJ39-O39</f>
        <v>-12597616</v>
      </c>
      <c r="AK88" s="82">
        <f>AK39-P39</f>
        <v>-1843888</v>
      </c>
      <c r="AL88" s="82">
        <f>AL39-Q39</f>
        <v>-473456</v>
      </c>
      <c r="AM88" s="82">
        <f>AM39-R39</f>
        <v>-563784</v>
      </c>
      <c r="AN88" s="82">
        <f>AN39-S39</f>
        <v>-9708888</v>
      </c>
      <c r="AO88" s="82">
        <f>AO39-T39</f>
        <v>-7600</v>
      </c>
      <c r="AP88" s="82">
        <f>AP39-U39</f>
        <v>-80.482316499999996</v>
      </c>
      <c r="AQ88" s="83">
        <f>AQ39-V39</f>
        <v>-83.461340800000002</v>
      </c>
      <c r="AR88" s="83">
        <f>AR39-W39</f>
        <v>-32.454973899999999</v>
      </c>
      <c r="AS88" s="83">
        <f>AS39-X39</f>
        <v>-39.188744399999997</v>
      </c>
      <c r="AT88" s="83">
        <f>AT39-Y39</f>
        <v>-39.5253856</v>
      </c>
      <c r="AU88" s="83">
        <f>AU39-Z39</f>
        <v>-52.6034936</v>
      </c>
      <c r="AV88" s="84">
        <f>AV39-AA39</f>
        <v>-31.735782799999999</v>
      </c>
    </row>
    <row r="89" spans="33:48" x14ac:dyDescent="0.15">
      <c r="AG89" s="82" t="e">
        <f t="shared" si="8"/>
        <v>#VALUE!</v>
      </c>
      <c r="AH89" s="82" t="e">
        <f t="shared" si="9"/>
        <v>#VALUE!</v>
      </c>
      <c r="AI89" s="82">
        <f>AI40-N40</f>
        <v>-920512</v>
      </c>
      <c r="AJ89" s="82">
        <f>AJ40-O40</f>
        <v>-3136040</v>
      </c>
      <c r="AK89" s="82">
        <f>AK40-P40</f>
        <v>-347840</v>
      </c>
      <c r="AL89" s="82">
        <f>AL40-Q40</f>
        <v>-11984</v>
      </c>
      <c r="AM89" s="82">
        <f>AM40-R40</f>
        <v>-372936</v>
      </c>
      <c r="AN89" s="82">
        <f>AN40-S40</f>
        <v>-2395512</v>
      </c>
      <c r="AO89" s="82">
        <f>AO40-T40</f>
        <v>-7768</v>
      </c>
      <c r="AP89" s="82">
        <f>AP40-U40</f>
        <v>-73.216356899999994</v>
      </c>
      <c r="AQ89" s="83">
        <f>AQ40-V40</f>
        <v>-74.634475499999994</v>
      </c>
      <c r="AR89" s="83">
        <f>AR40-W40</f>
        <v>-33.265734799999997</v>
      </c>
      <c r="AS89" s="83">
        <f>AS40-X40</f>
        <v>-42.541740699999998</v>
      </c>
      <c r="AT89" s="83">
        <f>AT40-Y40</f>
        <v>-42.918346800000002</v>
      </c>
      <c r="AU89" s="83">
        <f>AU40-Z40</f>
        <v>-48.532935199999997</v>
      </c>
      <c r="AV89" s="84">
        <f>AV40-AA40</f>
        <v>-32.189916199999999</v>
      </c>
    </row>
    <row r="90" spans="33:48" x14ac:dyDescent="0.15">
      <c r="AG90" s="82" t="e">
        <f t="shared" si="8"/>
        <v>#VALUE!</v>
      </c>
      <c r="AH90" s="82" t="e">
        <f t="shared" si="9"/>
        <v>#VALUE!</v>
      </c>
      <c r="AI90" s="82">
        <f>AI41-N41</f>
        <v>-1842256</v>
      </c>
      <c r="AJ90" s="82">
        <f>AJ41-O41</f>
        <v>-4152552</v>
      </c>
      <c r="AK90" s="82">
        <f>AK41-P41</f>
        <v>-661096</v>
      </c>
      <c r="AL90" s="82">
        <f>AL41-Q41</f>
        <v>-97328</v>
      </c>
      <c r="AM90" s="82">
        <f>AM41-R41</f>
        <v>-459288</v>
      </c>
      <c r="AN90" s="82">
        <f>AN41-S41</f>
        <v>-2927496</v>
      </c>
      <c r="AO90" s="82">
        <f>AO41-T41</f>
        <v>-7344</v>
      </c>
      <c r="AP90" s="82">
        <f>AP41-U41</f>
        <v>-75.965316599999994</v>
      </c>
      <c r="AQ90" s="83">
        <f>AQ41-V41</f>
        <v>-77.708016499999999</v>
      </c>
      <c r="AR90" s="83">
        <f>AR41-W41</f>
        <v>-33.626717399999997</v>
      </c>
      <c r="AS90" s="83">
        <f>AS41-X41</f>
        <v>-42.7177224</v>
      </c>
      <c r="AT90" s="83">
        <f>AT41-Y41</f>
        <v>-43.184695599999998</v>
      </c>
      <c r="AU90" s="83">
        <f>AU41-Z41</f>
        <v>-49.972440400000004</v>
      </c>
      <c r="AV90" s="84">
        <f>AV41-AA41</f>
        <v>-32.881399100000003</v>
      </c>
    </row>
    <row r="91" spans="33:48" x14ac:dyDescent="0.15">
      <c r="AG91" s="82" t="e">
        <f t="shared" si="8"/>
        <v>#VALUE!</v>
      </c>
      <c r="AH91" s="82" t="e">
        <f t="shared" si="9"/>
        <v>#VALUE!</v>
      </c>
      <c r="AI91" s="82">
        <f>AI42-N42</f>
        <v>-3684896</v>
      </c>
      <c r="AJ91" s="82">
        <f>AJ42-O42</f>
        <v>-6313000</v>
      </c>
      <c r="AK91" s="82">
        <f>AK42-P42</f>
        <v>-1171288</v>
      </c>
      <c r="AL91" s="82">
        <f>AL42-Q42</f>
        <v>-189680</v>
      </c>
      <c r="AM91" s="82">
        <f>AM42-R42</f>
        <v>-348136</v>
      </c>
      <c r="AN91" s="82">
        <f>AN42-S42</f>
        <v>-4596384</v>
      </c>
      <c r="AO91" s="82">
        <f>AO42-T42</f>
        <v>-7512</v>
      </c>
      <c r="AP91" s="82">
        <f>AP42-U42</f>
        <v>-78.225578999999996</v>
      </c>
      <c r="AQ91" s="83">
        <f>AQ42-V42</f>
        <v>-80.347583599999993</v>
      </c>
      <c r="AR91" s="83">
        <f>AR42-W42</f>
        <v>-34.266506499999998</v>
      </c>
      <c r="AS91" s="83">
        <f>AS42-X42</f>
        <v>-42.867401700000002</v>
      </c>
      <c r="AT91" s="83">
        <f>AT42-Y42</f>
        <v>-43.443471600000002</v>
      </c>
      <c r="AU91" s="83">
        <f>AU42-Z42</f>
        <v>-51.211579200000003</v>
      </c>
      <c r="AV91" s="84">
        <f>AV42-AA42</f>
        <v>-33.599784499999998</v>
      </c>
    </row>
    <row r="92" spans="33:48" x14ac:dyDescent="0.15">
      <c r="AG92" s="82" t="e">
        <f t="shared" si="8"/>
        <v>#VALUE!</v>
      </c>
      <c r="AH92" s="82" t="e">
        <f t="shared" si="9"/>
        <v>#VALUE!</v>
      </c>
      <c r="AI92" s="82">
        <f>AI43-N43</f>
        <v>-3684896</v>
      </c>
      <c r="AJ92" s="82">
        <f>AJ43-O43</f>
        <v>-8485600</v>
      </c>
      <c r="AK92" s="82">
        <f>AK43-P43</f>
        <v>-1171288</v>
      </c>
      <c r="AL92" s="82">
        <f>AL43-Q43</f>
        <v>-189680</v>
      </c>
      <c r="AM92" s="82">
        <f>AM43-R43</f>
        <v>-725312</v>
      </c>
      <c r="AN92" s="82">
        <f>AN43-S43</f>
        <v>-6391816</v>
      </c>
      <c r="AO92" s="82">
        <f>AO43-T43</f>
        <v>-7504</v>
      </c>
      <c r="AP92" s="82">
        <f>AP43-U43</f>
        <v>-79.434741900000006</v>
      </c>
      <c r="AQ92" s="83">
        <f>AQ43-V43</f>
        <v>-81.841961400000002</v>
      </c>
      <c r="AR92" s="83">
        <f>AR43-W43</f>
        <v>-34.362620499999998</v>
      </c>
      <c r="AS92" s="83">
        <f>AS43-X43</f>
        <v>-42.996981300000002</v>
      </c>
      <c r="AT92" s="83">
        <f>AT43-Y43</f>
        <v>-43.6240053</v>
      </c>
      <c r="AU92" s="83">
        <f>AU43-Z43</f>
        <v>-51.916114999999998</v>
      </c>
      <c r="AV92" s="84">
        <f>AV43-AA43</f>
        <v>-33.721426800000003</v>
      </c>
    </row>
    <row r="93" spans="33:48" ht="15.75" customHeight="1" thickBot="1" x14ac:dyDescent="0.2">
      <c r="AG93" s="85" t="e">
        <f t="shared" si="8"/>
        <v>#VALUE!</v>
      </c>
      <c r="AH93" s="85" t="e">
        <f t="shared" si="9"/>
        <v>#VALUE!</v>
      </c>
      <c r="AI93" s="85">
        <f>AI44-N44</f>
        <v>-5527456</v>
      </c>
      <c r="AJ93" s="85">
        <f>AJ44-O44</f>
        <v>-13281096</v>
      </c>
      <c r="AK93" s="85">
        <f>AK44-P44</f>
        <v>-1799072</v>
      </c>
      <c r="AL93" s="85">
        <f>AL44-Q44</f>
        <v>-260816</v>
      </c>
      <c r="AM93" s="85">
        <f>AM44-R44</f>
        <v>-658280</v>
      </c>
      <c r="AN93" s="85">
        <f>AN44-S44</f>
        <v>-10555336</v>
      </c>
      <c r="AO93" s="85">
        <f>AO44-T44</f>
        <v>-7592</v>
      </c>
      <c r="AP93" s="85">
        <f>AP44-U44</f>
        <v>-81.069848199999996</v>
      </c>
      <c r="AQ93" s="86">
        <f>AQ44-V44</f>
        <v>-83.909262499999997</v>
      </c>
      <c r="AR93" s="86">
        <f>AR44-W44</f>
        <v>-34.939846299999999</v>
      </c>
      <c r="AS93" s="86">
        <f>AS44-X44</f>
        <v>-43.101368899999997</v>
      </c>
      <c r="AT93" s="86">
        <f>AT44-Y44</f>
        <v>-43.764460399999997</v>
      </c>
      <c r="AU93" s="86">
        <f>AU44-Z44</f>
        <v>-53.127930900000003</v>
      </c>
      <c r="AV93" s="87">
        <f>AV44-AA44</f>
        <v>-34.322645700000002</v>
      </c>
    </row>
  </sheetData>
  <mergeCells count="52">
    <mergeCell ref="A1:H1"/>
    <mergeCell ref="Z2:AA2"/>
    <mergeCell ref="U2:Y2"/>
    <mergeCell ref="AE1:AX1"/>
    <mergeCell ref="AO2:AO3"/>
    <mergeCell ref="P2:P3"/>
    <mergeCell ref="N2:N3"/>
    <mergeCell ref="AN2:AN3"/>
    <mergeCell ref="O2:O3"/>
    <mergeCell ref="R2:R3"/>
    <mergeCell ref="L2:L3"/>
    <mergeCell ref="E2:E3"/>
    <mergeCell ref="J1:AC1"/>
    <mergeCell ref="AG2:AG3"/>
    <mergeCell ref="AF2:AF3"/>
    <mergeCell ref="AI2:AI3"/>
    <mergeCell ref="B2:B3"/>
    <mergeCell ref="BN2:BN3"/>
    <mergeCell ref="AH2:AH3"/>
    <mergeCell ref="M2:M3"/>
    <mergeCell ref="BJ2:BL2"/>
    <mergeCell ref="AX2:AX3"/>
    <mergeCell ref="BH2:BI2"/>
    <mergeCell ref="T2:T3"/>
    <mergeCell ref="AJ2:AJ3"/>
    <mergeCell ref="J2:J3"/>
    <mergeCell ref="D2:D3"/>
    <mergeCell ref="A2:A3"/>
    <mergeCell ref="BM2:BM3"/>
    <mergeCell ref="F2:F3"/>
    <mergeCell ref="AL2:AL3"/>
    <mergeCell ref="C2:C3"/>
    <mergeCell ref="AE2:AE3"/>
    <mergeCell ref="AB2:AB3"/>
    <mergeCell ref="AC2:AC3"/>
    <mergeCell ref="BE2:BF2"/>
    <mergeCell ref="AW2:AW3"/>
    <mergeCell ref="Q2:Q3"/>
    <mergeCell ref="AK2:AK3"/>
    <mergeCell ref="H2:H3"/>
    <mergeCell ref="AP2:AT2"/>
    <mergeCell ref="G2:G3"/>
    <mergeCell ref="K2:K3"/>
    <mergeCell ref="BT2:BT3"/>
    <mergeCell ref="AZ2:BD2"/>
    <mergeCell ref="AU2:AV2"/>
    <mergeCell ref="S2:S3"/>
    <mergeCell ref="BS2:BS3"/>
    <mergeCell ref="AM2:AM3"/>
    <mergeCell ref="BR2:BR3"/>
    <mergeCell ref="BQ2:BQ3"/>
    <mergeCell ref="BP2:BP3"/>
  </mergeCells>
  <phoneticPr fontId="2" type="noConversion"/>
  <conditionalFormatting sqref="AZ45:AZ48">
    <cfRule type="cellIs" dxfId="103" priority="67" operator="greaterThanOrEqual">
      <formula>0.03</formula>
    </cfRule>
    <cfRule type="cellIs" dxfId="102" priority="68" operator="lessThanOrEqual">
      <formula>-0.03</formula>
    </cfRule>
  </conditionalFormatting>
  <conditionalFormatting sqref="BA45:BA48">
    <cfRule type="cellIs" dxfId="101" priority="63" operator="greaterThanOrEqual">
      <formula>0.03</formula>
    </cfRule>
    <cfRule type="cellIs" dxfId="100" priority="64" operator="lessThanOrEqual">
      <formula>-0.03</formula>
    </cfRule>
  </conditionalFormatting>
  <conditionalFormatting sqref="BB45:BB48">
    <cfRule type="cellIs" dxfId="99" priority="71" operator="greaterThanOrEqual">
      <formula>0.03</formula>
    </cfRule>
    <cfRule type="cellIs" dxfId="98" priority="72" operator="lessThanOrEqual">
      <formula>-0.03</formula>
    </cfRule>
  </conditionalFormatting>
  <conditionalFormatting sqref="BC45:BC48">
    <cfRule type="cellIs" dxfId="97" priority="73" operator="greaterThanOrEqual">
      <formula>0.03</formula>
    </cfRule>
    <cfRule type="cellIs" dxfId="96" priority="74" operator="lessThanOrEqual">
      <formula>-0.03</formula>
    </cfRule>
  </conditionalFormatting>
  <conditionalFormatting sqref="BD45:BD48">
    <cfRule type="cellIs" dxfId="95" priority="65" operator="greaterThanOrEqual">
      <formula>0.03</formula>
    </cfRule>
    <cfRule type="cellIs" dxfId="94" priority="66" operator="lessThanOrEqual">
      <formula>-0.03</formula>
    </cfRule>
  </conditionalFormatting>
  <conditionalFormatting sqref="BE45:BE48">
    <cfRule type="cellIs" dxfId="93" priority="75" operator="greaterThanOrEqual">
      <formula>0.03</formula>
    </cfRule>
    <cfRule type="cellIs" dxfId="92" priority="76" operator="lessThanOrEqual">
      <formula>-0.03</formula>
    </cfRule>
  </conditionalFormatting>
  <conditionalFormatting sqref="BF45:BF48">
    <cfRule type="cellIs" dxfId="91" priority="69" operator="greaterThanOrEqual">
      <formula>0.03</formula>
    </cfRule>
    <cfRule type="cellIs" dxfId="90" priority="70" operator="lessThanOrEqual">
      <formula>-0.03</formula>
    </cfRule>
  </conditionalFormatting>
  <conditionalFormatting sqref="J5:J45">
    <cfRule type="expression" dxfId="89" priority="62">
      <formula>OR(J5 &lt; H5 * 0.9, J5 &gt; H5)</formula>
    </cfRule>
  </conditionalFormatting>
  <conditionalFormatting sqref="AE5:AE45">
    <cfRule type="expression" dxfId="88" priority="61">
      <formula>OR(AE5 &lt; H5 * 0.9, AE5 &gt; H5)</formula>
    </cfRule>
  </conditionalFormatting>
  <conditionalFormatting sqref="BP5:BP48">
    <cfRule type="cellIs" dxfId="87" priority="59" operator="greaterThanOrEqual">
      <formula>0.001</formula>
    </cfRule>
    <cfRule type="cellIs" dxfId="86" priority="60" operator="lessThanOrEqual">
      <formula>-0.001</formula>
    </cfRule>
  </conditionalFormatting>
  <conditionalFormatting sqref="BQ5:BQ48">
    <cfRule type="cellIs" dxfId="85" priority="57" operator="greaterThanOrEqual">
      <formula>0.001</formula>
    </cfRule>
    <cfRule type="cellIs" dxfId="84" priority="58" operator="lessThanOrEqual">
      <formula>-0.001</formula>
    </cfRule>
  </conditionalFormatting>
  <conditionalFormatting sqref="BR5:BR48">
    <cfRule type="cellIs" dxfId="83" priority="55" operator="greaterThanOrEqual">
      <formula>0.001</formula>
    </cfRule>
    <cfRule type="cellIs" dxfId="82" priority="56" operator="lessThanOrEqual">
      <formula>-0.001</formula>
    </cfRule>
  </conditionalFormatting>
  <conditionalFormatting sqref="BS5:BS48">
    <cfRule type="cellIs" dxfId="81" priority="53" operator="greaterThanOrEqual">
      <formula>0.001</formula>
    </cfRule>
    <cfRule type="cellIs" dxfId="80" priority="54" operator="lessThanOrEqual">
      <formula>-0.001</formula>
    </cfRule>
  </conditionalFormatting>
  <conditionalFormatting sqref="AG54:AQ93">
    <cfRule type="cellIs" dxfId="79" priority="51" operator="lessThan">
      <formula>0</formula>
    </cfRule>
    <cfRule type="cellIs" dxfId="78" priority="52" operator="greaterThan">
      <formula>0</formula>
    </cfRule>
  </conditionalFormatting>
  <conditionalFormatting sqref="AR54:AV93">
    <cfRule type="cellIs" dxfId="77" priority="49" operator="lessThan">
      <formula>0</formula>
    </cfRule>
    <cfRule type="cellIs" dxfId="76" priority="50" operator="greaterThan">
      <formula>0</formula>
    </cfRule>
  </conditionalFormatting>
  <conditionalFormatting sqref="L5:L44">
    <cfRule type="expression" dxfId="75" priority="46">
      <formula>NOT(L5=O5)</formula>
    </cfRule>
  </conditionalFormatting>
  <conditionalFormatting sqref="AG5:AG44">
    <cfRule type="expression" dxfId="74" priority="45">
      <formula>NOT(AG5=AJ5)</formula>
    </cfRule>
  </conditionalFormatting>
  <conditionalFormatting sqref="BH45:BH48">
    <cfRule type="cellIs" dxfId="73" priority="35" operator="greaterThanOrEqual">
      <formula>0.03</formula>
    </cfRule>
    <cfRule type="cellIs" dxfId="72" priority="36" operator="lessThanOrEqual">
      <formula>-0.03</formula>
    </cfRule>
  </conditionalFormatting>
  <conditionalFormatting sqref="BI45:BI48">
    <cfRule type="cellIs" dxfId="71" priority="31" operator="greaterThanOrEqual">
      <formula>0.03</formula>
    </cfRule>
    <cfRule type="cellIs" dxfId="70" priority="32" operator="lessThanOrEqual">
      <formula>-0.03</formula>
    </cfRule>
  </conditionalFormatting>
  <conditionalFormatting sqref="BJ45:BJ48">
    <cfRule type="cellIs" dxfId="69" priority="39" operator="greaterThanOrEqual">
      <formula>0.03</formula>
    </cfRule>
    <cfRule type="cellIs" dxfId="68" priority="40" operator="lessThanOrEqual">
      <formula>-0.03</formula>
    </cfRule>
  </conditionalFormatting>
  <conditionalFormatting sqref="BK45:BK48">
    <cfRule type="cellIs" dxfId="67" priority="41" operator="greaterThanOrEqual">
      <formula>0.03</formula>
    </cfRule>
    <cfRule type="cellIs" dxfId="66" priority="42" operator="lessThanOrEqual">
      <formula>-0.03</formula>
    </cfRule>
  </conditionalFormatting>
  <conditionalFormatting sqref="BL45:BL48">
    <cfRule type="cellIs" dxfId="65" priority="33" operator="greaterThanOrEqual">
      <formula>0.03</formula>
    </cfRule>
    <cfRule type="cellIs" dxfId="64" priority="34" operator="lessThanOrEqual">
      <formula>-0.03</formula>
    </cfRule>
  </conditionalFormatting>
  <conditionalFormatting sqref="BM45:BM48">
    <cfRule type="cellIs" dxfId="63" priority="43" operator="greaterThanOrEqual">
      <formula>0.03</formula>
    </cfRule>
    <cfRule type="cellIs" dxfId="62" priority="44" operator="lessThanOrEqual">
      <formula>-0.03</formula>
    </cfRule>
  </conditionalFormatting>
  <conditionalFormatting sqref="BN45:BN48">
    <cfRule type="cellIs" dxfId="61" priority="37" operator="greaterThanOrEqual">
      <formula>0.03</formula>
    </cfRule>
    <cfRule type="cellIs" dxfId="60" priority="38" operator="lessThanOrEqual">
      <formula>-0.03</formula>
    </cfRule>
  </conditionalFormatting>
  <conditionalFormatting sqref="BT5:BT48">
    <cfRule type="cellIs" dxfId="59" priority="29" operator="greaterThanOrEqual">
      <formula>0.001</formula>
    </cfRule>
    <cfRule type="cellIs" dxfId="58" priority="30" operator="lessThanOrEqual">
      <formula>-0.001</formula>
    </cfRule>
  </conditionalFormatting>
  <conditionalFormatting sqref="AZ5:AZ44">
    <cfRule type="cellIs" dxfId="57" priority="15" operator="greaterThanOrEqual">
      <formula>0.03</formula>
    </cfRule>
    <cfRule type="cellIs" dxfId="56" priority="16" operator="lessThanOrEqual">
      <formula>-0.03</formula>
    </cfRule>
  </conditionalFormatting>
  <conditionalFormatting sqref="BA5:BA44">
    <cfRule type="cellIs" dxfId="55" priority="17" operator="greaterThanOrEqual">
      <formula>0.03</formula>
    </cfRule>
    <cfRule type="cellIs" dxfId="54" priority="18" operator="lessThanOrEqual">
      <formula>-0.03</formula>
    </cfRule>
  </conditionalFormatting>
  <conditionalFormatting sqref="BB5:BB44">
    <cfRule type="cellIs" dxfId="53" priority="25" operator="greaterThanOrEqual">
      <formula>0.03</formula>
    </cfRule>
    <cfRule type="cellIs" dxfId="52" priority="26" operator="lessThanOrEqual">
      <formula>-0.03</formula>
    </cfRule>
  </conditionalFormatting>
  <conditionalFormatting sqref="BC5:BC44">
    <cfRule type="cellIs" dxfId="51" priority="27" operator="greaterThanOrEqual">
      <formula>0.03</formula>
    </cfRule>
    <cfRule type="cellIs" dxfId="50" priority="28" operator="lessThanOrEqual">
      <formula>-0.03</formula>
    </cfRule>
  </conditionalFormatting>
  <conditionalFormatting sqref="BD5:BD44">
    <cfRule type="cellIs" dxfId="49" priority="19" operator="greaterThanOrEqual">
      <formula>0.03</formula>
    </cfRule>
    <cfRule type="cellIs" dxfId="48" priority="20" operator="lessThanOrEqual">
      <formula>-0.03</formula>
    </cfRule>
  </conditionalFormatting>
  <conditionalFormatting sqref="BE5:BE44">
    <cfRule type="cellIs" dxfId="47" priority="21" operator="greaterThanOrEqual">
      <formula>0.03</formula>
    </cfRule>
    <cfRule type="cellIs" dxfId="46" priority="22" operator="lessThanOrEqual">
      <formula>-0.03</formula>
    </cfRule>
  </conditionalFormatting>
  <conditionalFormatting sqref="BF5:BF44">
    <cfRule type="cellIs" dxfId="45" priority="23" operator="greaterThanOrEqual">
      <formula>0.03</formula>
    </cfRule>
    <cfRule type="cellIs" dxfId="44" priority="24" operator="lessThanOrEqual">
      <formula>-0.03</formula>
    </cfRule>
  </conditionalFormatting>
  <conditionalFormatting sqref="BH5:BH44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I5:BI44">
    <cfRule type="cellIs" dxfId="41" priority="1" operator="greaterThanOrEqual">
      <formula>0.03</formula>
    </cfRule>
    <cfRule type="cellIs" dxfId="40" priority="2" operator="lessThanOrEqual">
      <formula>-0.03</formula>
    </cfRule>
  </conditionalFormatting>
  <conditionalFormatting sqref="BJ5:BJ44">
    <cfRule type="cellIs" dxfId="39" priority="9" operator="greaterThanOrEqual">
      <formula>0.03</formula>
    </cfRule>
    <cfRule type="cellIs" dxfId="38" priority="10" operator="lessThanOrEqual">
      <formula>-0.03</formula>
    </cfRule>
  </conditionalFormatting>
  <conditionalFormatting sqref="BK5:BK44">
    <cfRule type="cellIs" dxfId="37" priority="11" operator="greaterThanOrEqual">
      <formula>0.03</formula>
    </cfRule>
    <cfRule type="cellIs" dxfId="36" priority="12" operator="lessThanOrEqual">
      <formula>-0.03</formula>
    </cfRule>
  </conditionalFormatting>
  <conditionalFormatting sqref="BL5:BL44">
    <cfRule type="cellIs" dxfId="35" priority="3" operator="greaterThanOrEqual">
      <formula>0.03</formula>
    </cfRule>
    <cfRule type="cellIs" dxfId="34" priority="4" operator="lessThanOrEqual">
      <formula>-0.03</formula>
    </cfRule>
  </conditionalFormatting>
  <conditionalFormatting sqref="BM5:BM44">
    <cfRule type="cellIs" dxfId="33" priority="13" operator="greaterThanOrEqual">
      <formula>0.03</formula>
    </cfRule>
    <cfRule type="cellIs" dxfId="32" priority="14" operator="lessThanOrEqual">
      <formula>-0.03</formula>
    </cfRule>
  </conditionalFormatting>
  <conditionalFormatting sqref="BN5:BN44">
    <cfRule type="cellIs" dxfId="31" priority="7" operator="greaterThanOrEqual">
      <formula>0.03</formula>
    </cfRule>
    <cfRule type="cellIs" dxfId="30" priority="8" operator="lessThanOrEqual">
      <formula>-0.03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7"/>
  <sheetViews>
    <sheetView workbookViewId="0"/>
  </sheetViews>
  <sheetFormatPr defaultRowHeight="13.5" x14ac:dyDescent="0.15"/>
  <sheetData>
    <row r="1" spans="1:16" ht="15.75" customHeight="1" thickBot="1" x14ac:dyDescent="0.2">
      <c r="C1" s="130" t="s">
        <v>377</v>
      </c>
      <c r="D1" s="131"/>
      <c r="E1" s="131"/>
      <c r="F1" s="131"/>
      <c r="G1" s="131"/>
      <c r="H1" s="131"/>
      <c r="I1" s="132"/>
      <c r="J1" s="130" t="s">
        <v>427</v>
      </c>
      <c r="K1" s="131"/>
      <c r="L1" s="131"/>
      <c r="M1" s="131"/>
      <c r="N1" s="131"/>
      <c r="O1" s="131"/>
      <c r="P1" s="132"/>
    </row>
    <row r="2" spans="1:16" ht="15.75" customHeight="1" thickBot="1" x14ac:dyDescent="0.2">
      <c r="A2" s="140" t="s">
        <v>159</v>
      </c>
      <c r="B2" s="124" t="s">
        <v>160</v>
      </c>
      <c r="C2" s="126" t="s">
        <v>15</v>
      </c>
      <c r="D2" s="127"/>
      <c r="E2" s="127"/>
      <c r="F2" s="127"/>
      <c r="G2" s="127"/>
      <c r="H2" s="135" t="s">
        <v>16</v>
      </c>
      <c r="I2" s="136"/>
      <c r="J2" s="126" t="s">
        <v>15</v>
      </c>
      <c r="K2" s="127"/>
      <c r="L2" s="127"/>
      <c r="M2" s="127"/>
      <c r="N2" s="127"/>
      <c r="O2" s="135" t="s">
        <v>16</v>
      </c>
      <c r="P2" s="136"/>
    </row>
    <row r="3" spans="1:16" ht="30.75" customHeight="1" thickBot="1" x14ac:dyDescent="0.2">
      <c r="A3" s="141"/>
      <c r="B3" s="125"/>
      <c r="C3" s="38" t="s">
        <v>17</v>
      </c>
      <c r="D3" s="39" t="s">
        <v>18</v>
      </c>
      <c r="E3" s="39" t="s">
        <v>19</v>
      </c>
      <c r="F3" s="39" t="s">
        <v>20</v>
      </c>
      <c r="G3" s="39" t="s">
        <v>21</v>
      </c>
      <c r="H3" s="39" t="s">
        <v>22</v>
      </c>
      <c r="I3" s="40" t="s">
        <v>19</v>
      </c>
      <c r="J3" s="38" t="s">
        <v>17</v>
      </c>
      <c r="K3" s="39" t="s">
        <v>18</v>
      </c>
      <c r="L3" s="39" t="s">
        <v>19</v>
      </c>
      <c r="M3" s="39" t="s">
        <v>20</v>
      </c>
      <c r="N3" s="39" t="s">
        <v>21</v>
      </c>
      <c r="O3" s="39" t="s">
        <v>22</v>
      </c>
      <c r="P3" s="40" t="s">
        <v>19</v>
      </c>
    </row>
    <row r="4" spans="1:16" x14ac:dyDescent="0.15">
      <c r="A4" s="41" t="s">
        <v>186</v>
      </c>
      <c r="B4" s="42" t="s">
        <v>32</v>
      </c>
      <c r="C4" s="88" t="str">
        <f>'C1 lossy AI'!AZ5</f>
        <v>·</v>
      </c>
      <c r="D4" s="65" t="str">
        <f>'C1 lossy AI'!BA5</f>
        <v>·</v>
      </c>
      <c r="E4" s="65" t="str">
        <f>'C1 lossy AI'!BB5</f>
        <v>·</v>
      </c>
      <c r="F4" s="65" t="str">
        <f>'C1 lossy AI'!BC5</f>
        <v>·</v>
      </c>
      <c r="G4" s="65" t="str">
        <f>'C1 lossy AI'!BD5</f>
        <v>·</v>
      </c>
      <c r="H4" s="65" t="str">
        <f>'C1 lossy AI'!BE5</f>
        <v>·</v>
      </c>
      <c r="I4" s="89" t="str">
        <f>'C1 lossy AI'!BF5</f>
        <v>·</v>
      </c>
      <c r="J4" s="88" t="str">
        <f>'C2 lossy RA'!AZ5</f>
        <v>·</v>
      </c>
      <c r="K4" s="65" t="str">
        <f>'C2 lossy RA'!BA5</f>
        <v>·</v>
      </c>
      <c r="L4" s="65" t="str">
        <f>'C2 lossy RA'!BB5</f>
        <v>·</v>
      </c>
      <c r="M4" s="65" t="str">
        <f>'C2 lossy RA'!BC5</f>
        <v>·</v>
      </c>
      <c r="N4" s="65" t="str">
        <f>'C2 lossy RA'!BD5</f>
        <v>·</v>
      </c>
      <c r="O4" s="65" t="str">
        <f>'C2 lossy RA'!BE5</f>
        <v>·</v>
      </c>
      <c r="P4" s="89" t="str">
        <f>'C2 lossy RA'!BF5</f>
        <v>·</v>
      </c>
    </row>
    <row r="5" spans="1:16" x14ac:dyDescent="0.15">
      <c r="A5" s="43"/>
      <c r="B5" s="44" t="s">
        <v>47</v>
      </c>
      <c r="C5" s="90" t="str">
        <f>'C1 lossy AI'!AZ10</f>
        <v>·</v>
      </c>
      <c r="D5" s="71" t="str">
        <f>'C1 lossy AI'!BA10</f>
        <v>·</v>
      </c>
      <c r="E5" s="71" t="str">
        <f>'C1 lossy AI'!BB10</f>
        <v>·</v>
      </c>
      <c r="F5" s="71" t="str">
        <f>'C1 lossy AI'!BC10</f>
        <v>·</v>
      </c>
      <c r="G5" s="71" t="str">
        <f>'C1 lossy AI'!BD10</f>
        <v>·</v>
      </c>
      <c r="H5" s="71" t="str">
        <f>'C1 lossy AI'!BE10</f>
        <v>·</v>
      </c>
      <c r="I5" s="91" t="str">
        <f>'C1 lossy AI'!BF10</f>
        <v>·</v>
      </c>
      <c r="J5" s="90" t="str">
        <f>'C2 lossy RA'!AZ10</f>
        <v>·</v>
      </c>
      <c r="K5" s="71" t="str">
        <f>'C2 lossy RA'!BA10</f>
        <v>·</v>
      </c>
      <c r="L5" s="71" t="str">
        <f>'C2 lossy RA'!BB10</f>
        <v>·</v>
      </c>
      <c r="M5" s="71" t="str">
        <f>'C2 lossy RA'!BC10</f>
        <v>·</v>
      </c>
      <c r="N5" s="71" t="str">
        <f>'C2 lossy RA'!BD10</f>
        <v>·</v>
      </c>
      <c r="O5" s="71" t="str">
        <f>'C2 lossy RA'!BE10</f>
        <v>·</v>
      </c>
      <c r="P5" s="91" t="str">
        <f>'C2 lossy RA'!BF10</f>
        <v>·</v>
      </c>
    </row>
    <row r="6" spans="1:16" x14ac:dyDescent="0.15">
      <c r="A6" s="41" t="s">
        <v>187</v>
      </c>
      <c r="B6" s="42" t="s">
        <v>52</v>
      </c>
      <c r="C6" s="88" t="str">
        <f>'C1 lossy AI'!AZ15</f>
        <v>·</v>
      </c>
      <c r="D6" s="65" t="str">
        <f>'C1 lossy AI'!BA15</f>
        <v>·</v>
      </c>
      <c r="E6" s="65" t="str">
        <f>'C1 lossy AI'!BB15</f>
        <v>·</v>
      </c>
      <c r="F6" s="65" t="str">
        <f>'C1 lossy AI'!BC15</f>
        <v>·</v>
      </c>
      <c r="G6" s="65" t="str">
        <f>'C1 lossy AI'!BD15</f>
        <v>·</v>
      </c>
      <c r="H6" s="65" t="str">
        <f>'C1 lossy AI'!BE15</f>
        <v>·</v>
      </c>
      <c r="I6" s="89" t="str">
        <f>'C1 lossy AI'!BF15</f>
        <v>·</v>
      </c>
      <c r="J6" s="88" t="str">
        <f>'C2 lossy RA'!AZ15</f>
        <v>·</v>
      </c>
      <c r="K6" s="65" t="str">
        <f>'C2 lossy RA'!BA15</f>
        <v>·</v>
      </c>
      <c r="L6" s="65" t="str">
        <f>'C2 lossy RA'!BB15</f>
        <v>·</v>
      </c>
      <c r="M6" s="65" t="str">
        <f>'C2 lossy RA'!BC15</f>
        <v>·</v>
      </c>
      <c r="N6" s="65" t="str">
        <f>'C2 lossy RA'!BD15</f>
        <v>·</v>
      </c>
      <c r="O6" s="65" t="str">
        <f>'C2 lossy RA'!BE15</f>
        <v>·</v>
      </c>
      <c r="P6" s="89" t="str">
        <f>'C2 lossy RA'!BF15</f>
        <v>·</v>
      </c>
    </row>
    <row r="7" spans="1:16" x14ac:dyDescent="0.15">
      <c r="A7" s="43"/>
      <c r="B7" s="44" t="s">
        <v>57</v>
      </c>
      <c r="C7" s="90" t="str">
        <f>'C1 lossy AI'!AZ20</f>
        <v>·</v>
      </c>
      <c r="D7" s="71" t="str">
        <f>'C1 lossy AI'!BA20</f>
        <v>·</v>
      </c>
      <c r="E7" s="71" t="str">
        <f>'C1 lossy AI'!BB20</f>
        <v>·</v>
      </c>
      <c r="F7" s="71" t="str">
        <f>'C1 lossy AI'!BC20</f>
        <v>·</v>
      </c>
      <c r="G7" s="71" t="str">
        <f>'C1 lossy AI'!BD20</f>
        <v>·</v>
      </c>
      <c r="H7" s="71" t="str">
        <f>'C1 lossy AI'!BE20</f>
        <v>·</v>
      </c>
      <c r="I7" s="91" t="str">
        <f>'C1 lossy AI'!BF20</f>
        <v>·</v>
      </c>
      <c r="J7" s="90" t="str">
        <f>'C2 lossy RA'!AZ20</f>
        <v>·</v>
      </c>
      <c r="K7" s="71" t="str">
        <f>'C2 lossy RA'!BA20</f>
        <v>·</v>
      </c>
      <c r="L7" s="71" t="str">
        <f>'C2 lossy RA'!BB20</f>
        <v>·</v>
      </c>
      <c r="M7" s="71" t="str">
        <f>'C2 lossy RA'!BC20</f>
        <v>·</v>
      </c>
      <c r="N7" s="71" t="str">
        <f>'C2 lossy RA'!BD20</f>
        <v>·</v>
      </c>
      <c r="O7" s="71" t="str">
        <f>'C2 lossy RA'!BE20</f>
        <v>·</v>
      </c>
      <c r="P7" s="91" t="str">
        <f>'C2 lossy RA'!BF20</f>
        <v>·</v>
      </c>
    </row>
    <row r="8" spans="1:16" x14ac:dyDescent="0.15">
      <c r="A8" s="41" t="s">
        <v>188</v>
      </c>
      <c r="B8" s="42" t="s">
        <v>62</v>
      </c>
      <c r="C8" s="88" t="str">
        <f>'C1 lossy AI'!AZ25</f>
        <v>·</v>
      </c>
      <c r="D8" s="65" t="str">
        <f>'C1 lossy AI'!BA25</f>
        <v>·</v>
      </c>
      <c r="E8" s="65" t="str">
        <f>'C1 lossy AI'!BB25</f>
        <v>·</v>
      </c>
      <c r="F8" s="65" t="str">
        <f>'C1 lossy AI'!BC25</f>
        <v>·</v>
      </c>
      <c r="G8" s="65" t="str">
        <f>'C1 lossy AI'!BD25</f>
        <v>·</v>
      </c>
      <c r="H8" s="65" t="str">
        <f>'C1 lossy AI'!BE25</f>
        <v>·</v>
      </c>
      <c r="I8" s="89" t="str">
        <f>'C1 lossy AI'!BF25</f>
        <v>·</v>
      </c>
      <c r="J8" s="88" t="str">
        <f>'C2 lossy RA'!AZ25</f>
        <v>·</v>
      </c>
      <c r="K8" s="65" t="str">
        <f>'C2 lossy RA'!BA25</f>
        <v>·</v>
      </c>
      <c r="L8" s="65" t="str">
        <f>'C2 lossy RA'!BB25</f>
        <v>·</v>
      </c>
      <c r="M8" s="65" t="str">
        <f>'C2 lossy RA'!BC25</f>
        <v>·</v>
      </c>
      <c r="N8" s="65" t="str">
        <f>'C2 lossy RA'!BD25</f>
        <v>·</v>
      </c>
      <c r="O8" s="65" t="str">
        <f>'C2 lossy RA'!BE25</f>
        <v>·</v>
      </c>
      <c r="P8" s="89" t="str">
        <f>'C2 lossy RA'!BF25</f>
        <v>·</v>
      </c>
    </row>
    <row r="9" spans="1:16" x14ac:dyDescent="0.15">
      <c r="A9" s="43"/>
      <c r="B9" s="44" t="s">
        <v>67</v>
      </c>
      <c r="C9" s="90" t="str">
        <f>'C1 lossy AI'!AZ30</f>
        <v>·</v>
      </c>
      <c r="D9" s="71" t="str">
        <f>'C1 lossy AI'!BA30</f>
        <v>·</v>
      </c>
      <c r="E9" s="71" t="str">
        <f>'C1 lossy AI'!BB30</f>
        <v>·</v>
      </c>
      <c r="F9" s="71" t="str">
        <f>'C1 lossy AI'!BC30</f>
        <v>·</v>
      </c>
      <c r="G9" s="71" t="str">
        <f>'C1 lossy AI'!BD30</f>
        <v>·</v>
      </c>
      <c r="H9" s="71" t="str">
        <f>'C1 lossy AI'!BE30</f>
        <v>·</v>
      </c>
      <c r="I9" s="91" t="str">
        <f>'C1 lossy AI'!BF30</f>
        <v>·</v>
      </c>
      <c r="J9" s="90" t="str">
        <f>'C2 lossy RA'!AZ30</f>
        <v>·</v>
      </c>
      <c r="K9" s="71" t="str">
        <f>'C2 lossy RA'!BA30</f>
        <v>·</v>
      </c>
      <c r="L9" s="71" t="str">
        <f>'C2 lossy RA'!BB30</f>
        <v>·</v>
      </c>
      <c r="M9" s="71" t="str">
        <f>'C2 lossy RA'!BC30</f>
        <v>·</v>
      </c>
      <c r="N9" s="71" t="str">
        <f>'C2 lossy RA'!BD30</f>
        <v>·</v>
      </c>
      <c r="O9" s="71" t="str">
        <f>'C2 lossy RA'!BE30</f>
        <v>·</v>
      </c>
      <c r="P9" s="91" t="str">
        <f>'C2 lossy RA'!BF30</f>
        <v>·</v>
      </c>
    </row>
    <row r="10" spans="1:16" x14ac:dyDescent="0.15">
      <c r="A10" s="41"/>
      <c r="B10" s="42" t="s">
        <v>72</v>
      </c>
      <c r="C10" s="88" t="str">
        <f>'C1 lossy AI'!AZ35</f>
        <v>·</v>
      </c>
      <c r="D10" s="65" t="str">
        <f>'C1 lossy AI'!BA35</f>
        <v>·</v>
      </c>
      <c r="E10" s="65" t="str">
        <f>'C1 lossy AI'!BB35</f>
        <v>·</v>
      </c>
      <c r="F10" s="65" t="str">
        <f>'C1 lossy AI'!BC35</f>
        <v>·</v>
      </c>
      <c r="G10" s="65" t="str">
        <f>'C1 lossy AI'!BD35</f>
        <v>·</v>
      </c>
      <c r="H10" s="65" t="str">
        <f>'C1 lossy AI'!BE35</f>
        <v>·</v>
      </c>
      <c r="I10" s="89" t="str">
        <f>'C1 lossy AI'!BF35</f>
        <v>·</v>
      </c>
      <c r="J10" s="88" t="str">
        <f>'C2 lossy RA'!AZ35</f>
        <v>·</v>
      </c>
      <c r="K10" s="65" t="str">
        <f>'C2 lossy RA'!BA35</f>
        <v>·</v>
      </c>
      <c r="L10" s="65" t="str">
        <f>'C2 lossy RA'!BB35</f>
        <v>·</v>
      </c>
      <c r="M10" s="65" t="str">
        <f>'C2 lossy RA'!BC35</f>
        <v>·</v>
      </c>
      <c r="N10" s="65" t="str">
        <f>'C2 lossy RA'!BD35</f>
        <v>·</v>
      </c>
      <c r="O10" s="65" t="str">
        <f>'C2 lossy RA'!BE35</f>
        <v>·</v>
      </c>
      <c r="P10" s="89" t="str">
        <f>'C2 lossy RA'!BF35</f>
        <v>·</v>
      </c>
    </row>
    <row r="11" spans="1:16" ht="15.75" customHeight="1" thickBot="1" x14ac:dyDescent="0.2">
      <c r="A11" s="45"/>
      <c r="B11" s="46" t="s">
        <v>77</v>
      </c>
      <c r="C11" s="92" t="str">
        <f>'C1 lossy AI'!AZ40</f>
        <v>·</v>
      </c>
      <c r="D11" s="68" t="str">
        <f>'C1 lossy AI'!BA40</f>
        <v>·</v>
      </c>
      <c r="E11" s="68" t="str">
        <f>'C1 lossy AI'!BB40</f>
        <v>·</v>
      </c>
      <c r="F11" s="68" t="str">
        <f>'C1 lossy AI'!BC40</f>
        <v>·</v>
      </c>
      <c r="G11" s="68" t="str">
        <f>'C1 lossy AI'!BD40</f>
        <v>·</v>
      </c>
      <c r="H11" s="68" t="str">
        <f>'C1 lossy AI'!BE40</f>
        <v>·</v>
      </c>
      <c r="I11" s="93" t="str">
        <f>'C1 lossy AI'!BF40</f>
        <v>·</v>
      </c>
      <c r="J11" s="92" t="str">
        <f>'C2 lossy RA'!AZ40</f>
        <v>·</v>
      </c>
      <c r="K11" s="68" t="str">
        <f>'C2 lossy RA'!BA40</f>
        <v>·</v>
      </c>
      <c r="L11" s="68" t="str">
        <f>'C2 lossy RA'!BB40</f>
        <v>·</v>
      </c>
      <c r="M11" s="68" t="str">
        <f>'C2 lossy RA'!BC40</f>
        <v>·</v>
      </c>
      <c r="N11" s="68" t="str">
        <f>'C2 lossy RA'!BD40</f>
        <v>·</v>
      </c>
      <c r="O11" s="68" t="str">
        <f>'C2 lossy RA'!BE40</f>
        <v>·</v>
      </c>
      <c r="P11" s="93" t="str">
        <f>'C2 lossy RA'!BF40</f>
        <v>·</v>
      </c>
    </row>
    <row r="12" spans="1:16" x14ac:dyDescent="0.15">
      <c r="A12" s="137" t="str">
        <f>Summary!B19</f>
        <v>Cat1-A average</v>
      </c>
      <c r="B12" s="138"/>
      <c r="C12" s="94" t="e">
        <f>Summary!C19</f>
        <v>#DIV/0!</v>
      </c>
      <c r="D12" s="94" t="e">
        <f>Summary!D19</f>
        <v>#DIV/0!</v>
      </c>
      <c r="E12" s="94" t="e">
        <f>Summary!E19</f>
        <v>#DIV/0!</v>
      </c>
      <c r="F12" s="94" t="e">
        <f>Summary!F19</f>
        <v>#DIV/0!</v>
      </c>
      <c r="G12" s="94" t="e">
        <f>Summary!G19</f>
        <v>#DIV/0!</v>
      </c>
      <c r="H12" s="94" t="e">
        <f>Summary!H19</f>
        <v>#DIV/0!</v>
      </c>
      <c r="I12" s="94" t="e">
        <f>Summary!I19</f>
        <v>#DIV/0!</v>
      </c>
      <c r="J12" s="95" t="e">
        <f>Summary!C31</f>
        <v>#DIV/0!</v>
      </c>
      <c r="K12" s="96" t="e">
        <f>Summary!D31</f>
        <v>#DIV/0!</v>
      </c>
      <c r="L12" s="96" t="e">
        <f>Summary!E31</f>
        <v>#DIV/0!</v>
      </c>
      <c r="M12" s="96" t="e">
        <f>Summary!F31</f>
        <v>#DIV/0!</v>
      </c>
      <c r="N12" s="96" t="e">
        <f>Summary!G31</f>
        <v>#DIV/0!</v>
      </c>
      <c r="O12" s="96" t="e">
        <f>Summary!H31</f>
        <v>#DIV/0!</v>
      </c>
      <c r="P12" s="97" t="e">
        <f>Summary!I31</f>
        <v>#DIV/0!</v>
      </c>
    </row>
    <row r="13" spans="1:16" x14ac:dyDescent="0.15">
      <c r="A13" s="134" t="str">
        <f>Summary!B20</f>
        <v>Cat1-B average</v>
      </c>
      <c r="B13" s="129"/>
      <c r="C13" s="98" t="e">
        <f>Summary!C20</f>
        <v>#DIV/0!</v>
      </c>
      <c r="D13" s="98" t="e">
        <f>Summary!D20</f>
        <v>#DIV/0!</v>
      </c>
      <c r="E13" s="98" t="e">
        <f>Summary!E20</f>
        <v>#DIV/0!</v>
      </c>
      <c r="F13" s="98" t="e">
        <f>Summary!F20</f>
        <v>#DIV/0!</v>
      </c>
      <c r="G13" s="98" t="e">
        <f>Summary!G20</f>
        <v>#DIV/0!</v>
      </c>
      <c r="H13" s="98" t="e">
        <f>Summary!H20</f>
        <v>#DIV/0!</v>
      </c>
      <c r="I13" s="98" t="e">
        <f>Summary!I20</f>
        <v>#DIV/0!</v>
      </c>
      <c r="J13" s="99" t="e">
        <f>Summary!C32</f>
        <v>#DIV/0!</v>
      </c>
      <c r="K13" s="98" t="e">
        <f>Summary!D32</f>
        <v>#DIV/0!</v>
      </c>
      <c r="L13" s="98" t="e">
        <f>Summary!E32</f>
        <v>#DIV/0!</v>
      </c>
      <c r="M13" s="98" t="e">
        <f>Summary!F32</f>
        <v>#DIV/0!</v>
      </c>
      <c r="N13" s="98" t="e">
        <f>Summary!G32</f>
        <v>#DIV/0!</v>
      </c>
      <c r="O13" s="98" t="e">
        <f>Summary!H32</f>
        <v>#DIV/0!</v>
      </c>
      <c r="P13" s="100" t="e">
        <f>Summary!I32</f>
        <v>#DIV/0!</v>
      </c>
    </row>
    <row r="14" spans="1:16" ht="15.75" customHeight="1" thickBot="1" x14ac:dyDescent="0.2">
      <c r="A14" s="128" t="str">
        <f>Summary!B21</f>
        <v>Cat1-C average</v>
      </c>
      <c r="B14" s="129"/>
      <c r="C14" s="94" t="e">
        <f>Summary!C21</f>
        <v>#DIV/0!</v>
      </c>
      <c r="D14" s="94" t="e">
        <f>Summary!D21</f>
        <v>#DIV/0!</v>
      </c>
      <c r="E14" s="94" t="e">
        <f>Summary!E21</f>
        <v>#DIV/0!</v>
      </c>
      <c r="F14" s="94" t="e">
        <f>Summary!F21</f>
        <v>#DIV/0!</v>
      </c>
      <c r="G14" s="94" t="e">
        <f>Summary!G21</f>
        <v>#DIV/0!</v>
      </c>
      <c r="H14" s="94" t="e">
        <f>Summary!H21</f>
        <v>#DIV/0!</v>
      </c>
      <c r="I14" s="94" t="e">
        <f>Summary!I21</f>
        <v>#DIV/0!</v>
      </c>
      <c r="J14" s="101" t="e">
        <f>Summary!C33</f>
        <v>#DIV/0!</v>
      </c>
      <c r="K14" s="94" t="e">
        <f>Summary!D33</f>
        <v>#DIV/0!</v>
      </c>
      <c r="L14" s="94" t="e">
        <f>Summary!E33</f>
        <v>#DIV/0!</v>
      </c>
      <c r="M14" s="94" t="e">
        <f>Summary!F33</f>
        <v>#DIV/0!</v>
      </c>
      <c r="N14" s="94" t="e">
        <f>Summary!G33</f>
        <v>#DIV/0!</v>
      </c>
      <c r="O14" s="94" t="e">
        <f>Summary!H33</f>
        <v>#DIV/0!</v>
      </c>
      <c r="P14" s="102" t="e">
        <f>Summary!I33</f>
        <v>#DIV/0!</v>
      </c>
    </row>
    <row r="15" spans="1:16" ht="15.75" customHeight="1" thickBot="1" x14ac:dyDescent="0.2">
      <c r="A15" s="143" t="str">
        <f>Summary!B22</f>
        <v>Overall average</v>
      </c>
      <c r="B15" s="132"/>
      <c r="C15" s="103" t="e">
        <f>Summary!C22</f>
        <v>#DIV/0!</v>
      </c>
      <c r="D15" s="103" t="e">
        <f>Summary!D22</f>
        <v>#DIV/0!</v>
      </c>
      <c r="E15" s="103" t="e">
        <f>Summary!E22</f>
        <v>#DIV/0!</v>
      </c>
      <c r="F15" s="103" t="e">
        <f>Summary!F22</f>
        <v>#DIV/0!</v>
      </c>
      <c r="G15" s="103" t="e">
        <f>Summary!G22</f>
        <v>#DIV/0!</v>
      </c>
      <c r="H15" s="103" t="e">
        <f>Summary!H22</f>
        <v>#DIV/0!</v>
      </c>
      <c r="I15" s="103" t="e">
        <f>Summary!I22</f>
        <v>#DIV/0!</v>
      </c>
      <c r="J15" s="104" t="e">
        <f>Summary!C34</f>
        <v>#DIV/0!</v>
      </c>
      <c r="K15" s="103" t="e">
        <f>Summary!D34</f>
        <v>#DIV/0!</v>
      </c>
      <c r="L15" s="103" t="e">
        <f>Summary!E34</f>
        <v>#DIV/0!</v>
      </c>
      <c r="M15" s="103" t="e">
        <f>Summary!F34</f>
        <v>#DIV/0!</v>
      </c>
      <c r="N15" s="103" t="e">
        <f>Summary!G34</f>
        <v>#DIV/0!</v>
      </c>
      <c r="O15" s="103" t="e">
        <f>Summary!H34</f>
        <v>#DIV/0!</v>
      </c>
      <c r="P15" s="105" t="e">
        <f>Summary!I34</f>
        <v>#DIV/0!</v>
      </c>
    </row>
    <row r="16" spans="1:16" x14ac:dyDescent="0.15">
      <c r="A16" s="128" t="str">
        <f>Summary!B23</f>
        <v>Avg. Enc Time [%]</v>
      </c>
      <c r="B16" s="129"/>
      <c r="C16" s="139">
        <f>Summary!C23</f>
        <v>0</v>
      </c>
      <c r="D16" s="127"/>
      <c r="E16" s="127"/>
      <c r="F16" s="127"/>
      <c r="G16" s="127"/>
      <c r="H16" s="127"/>
      <c r="I16" s="138"/>
      <c r="J16" s="139">
        <f>Summary!C35</f>
        <v>0</v>
      </c>
      <c r="K16" s="127"/>
      <c r="L16" s="127"/>
      <c r="M16" s="127"/>
      <c r="N16" s="127"/>
      <c r="O16" s="127"/>
      <c r="P16" s="138"/>
    </row>
    <row r="17" spans="1:16" ht="15.75" customHeight="1" thickBot="1" x14ac:dyDescent="0.2">
      <c r="A17" s="142" t="str">
        <f>Summary!B24</f>
        <v>Avg. Dec Time [%]</v>
      </c>
      <c r="B17" s="125"/>
      <c r="C17" s="133">
        <f>Summary!C24</f>
        <v>0</v>
      </c>
      <c r="D17" s="108"/>
      <c r="E17" s="108"/>
      <c r="F17" s="108"/>
      <c r="G17" s="108"/>
      <c r="H17" s="108"/>
      <c r="I17" s="125"/>
      <c r="J17" s="133">
        <f>Summary!C36</f>
        <v>0</v>
      </c>
      <c r="K17" s="108"/>
      <c r="L17" s="108"/>
      <c r="M17" s="108"/>
      <c r="N17" s="108"/>
      <c r="O17" s="108"/>
      <c r="P17" s="125"/>
    </row>
  </sheetData>
  <mergeCells count="18">
    <mergeCell ref="A16:B16"/>
    <mergeCell ref="J16:P16"/>
    <mergeCell ref="B2:B3"/>
    <mergeCell ref="C2:G2"/>
    <mergeCell ref="A14:B14"/>
    <mergeCell ref="J1:P1"/>
    <mergeCell ref="J17:P17"/>
    <mergeCell ref="A13:B13"/>
    <mergeCell ref="C1:I1"/>
    <mergeCell ref="C17:I17"/>
    <mergeCell ref="O2:P2"/>
    <mergeCell ref="A12:B12"/>
    <mergeCell ref="C16:I16"/>
    <mergeCell ref="A2:A3"/>
    <mergeCell ref="H2:I2"/>
    <mergeCell ref="A17:B17"/>
    <mergeCell ref="A15:B15"/>
    <mergeCell ref="J2:N2"/>
  </mergeCells>
  <phoneticPr fontId="2" type="noConversion"/>
  <conditionalFormatting sqref="C4:P11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2:C15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2:D15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2:E15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2:F15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2:G15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2:H15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2:I15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2:J15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2:K15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2:L15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2:M15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2:N15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2:O15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2:P15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sun zhe</cp:lastModifiedBy>
  <dcterms:created xsi:type="dcterms:W3CDTF">2021-10-29T10:34:58Z</dcterms:created>
  <dcterms:modified xsi:type="dcterms:W3CDTF">2023-11-27T00:55:07Z</dcterms:modified>
</cp:coreProperties>
</file>