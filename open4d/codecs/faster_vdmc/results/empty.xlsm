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MEETINGS\147\TMM8.0\mpeg-vmesh-tm_m67494_v8.0_integration\results\"/>
    </mc:Choice>
  </mc:AlternateContent>
  <xr:revisionPtr revIDLastSave="0" documentId="13_ncr:1_{3E3CB174-D92C-49B5-8868-B87E1EC3E484}" xr6:coauthVersionLast="47" xr6:coauthVersionMax="47" xr10:uidLastSave="{00000000-0000-0000-0000-000000000000}"/>
  <bookViews>
    <workbookView xWindow="-110" yWindow="-110" windowWidth="19420" windowHeight="10420" activeTab="6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54" i="6" l="1"/>
  <c r="BR54" i="6"/>
  <c r="BS54" i="6"/>
  <c r="BT54" i="6"/>
  <c r="BP54" i="6"/>
  <c r="BI54" i="6"/>
  <c r="BJ54" i="6"/>
  <c r="BK54" i="6"/>
  <c r="BL54" i="6"/>
  <c r="BM54" i="6"/>
  <c r="BN54" i="6"/>
  <c r="BH54" i="6"/>
  <c r="BA54" i="6"/>
  <c r="BB54" i="6"/>
  <c r="BC54" i="6"/>
  <c r="BD54" i="6"/>
  <c r="BE54" i="6"/>
  <c r="BF54" i="6"/>
  <c r="AZ54" i="6"/>
  <c r="BQ54" i="5"/>
  <c r="BR54" i="5"/>
  <c r="BS54" i="5"/>
  <c r="BT54" i="5"/>
  <c r="BP54" i="5"/>
  <c r="BN54" i="5"/>
  <c r="BM54" i="5"/>
  <c r="BL54" i="5"/>
  <c r="BK54" i="5"/>
  <c r="BJ54" i="5"/>
  <c r="BI54" i="5"/>
  <c r="BH54" i="5"/>
  <c r="BF54" i="5"/>
  <c r="BE54" i="5"/>
  <c r="BD54" i="5"/>
  <c r="BC54" i="5"/>
  <c r="BB54" i="5"/>
  <c r="BA54" i="5"/>
  <c r="AZ54" i="5"/>
  <c r="AX55" i="5"/>
  <c r="AF54" i="5"/>
  <c r="AB55" i="5"/>
  <c r="AC55" i="5"/>
  <c r="K53" i="5"/>
  <c r="AX55" i="6"/>
  <c r="AW55" i="6"/>
  <c r="AF54" i="6"/>
  <c r="AC55" i="6"/>
  <c r="AB55" i="6"/>
  <c r="K54" i="6"/>
  <c r="K54" i="5"/>
  <c r="AW55" i="5"/>
  <c r="P16" i="7"/>
  <c r="P15" i="7"/>
  <c r="O16" i="7"/>
  <c r="O15" i="7"/>
  <c r="N16" i="7"/>
  <c r="N15" i="7"/>
  <c r="M16" i="7"/>
  <c r="M15" i="7"/>
  <c r="L16" i="7"/>
  <c r="L15" i="7"/>
  <c r="K16" i="7"/>
  <c r="K15" i="7"/>
  <c r="J16" i="7"/>
  <c r="J15" i="7"/>
  <c r="I16" i="7"/>
  <c r="I15" i="7"/>
  <c r="H16" i="7"/>
  <c r="H15" i="7"/>
  <c r="G16" i="7"/>
  <c r="G15" i="7"/>
  <c r="F16" i="7"/>
  <c r="F15" i="7"/>
  <c r="E16" i="7"/>
  <c r="E15" i="7"/>
  <c r="D16" i="7"/>
  <c r="D15" i="7"/>
  <c r="C16" i="7"/>
  <c r="C15" i="7"/>
  <c r="A16" i="7"/>
  <c r="A15" i="7"/>
  <c r="P13" i="3"/>
  <c r="X13" i="3"/>
  <c r="I13" i="3"/>
  <c r="I18" i="3"/>
  <c r="P18" i="3"/>
  <c r="P17" i="3"/>
  <c r="I17" i="3"/>
  <c r="X17" i="3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H102" i="6"/>
  <c r="AG102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BT53" i="6"/>
  <c r="BS53" i="6"/>
  <c r="BR53" i="6"/>
  <c r="BQ53" i="6"/>
  <c r="BP53" i="6"/>
  <c r="AF53" i="6"/>
  <c r="K53" i="6"/>
  <c r="BT49" i="6"/>
  <c r="BS49" i="6"/>
  <c r="BR49" i="6"/>
  <c r="BQ49" i="6"/>
  <c r="BP49" i="6"/>
  <c r="AH49" i="6"/>
  <c r="AG49" i="6"/>
  <c r="AF49" i="6"/>
  <c r="AE49" i="6"/>
  <c r="M49" i="6"/>
  <c r="L49" i="6" s="1"/>
  <c r="K49" i="6"/>
  <c r="J49" i="6"/>
  <c r="BT48" i="6"/>
  <c r="BS48" i="6"/>
  <c r="BR48" i="6"/>
  <c r="BQ48" i="6"/>
  <c r="BP48" i="6"/>
  <c r="AH48" i="6"/>
  <c r="AG48" i="6" s="1"/>
  <c r="AF48" i="6"/>
  <c r="AE48" i="6"/>
  <c r="M48" i="6"/>
  <c r="L48" i="6" s="1"/>
  <c r="K48" i="6"/>
  <c r="J48" i="6"/>
  <c r="BT47" i="6"/>
  <c r="BS47" i="6"/>
  <c r="BR47" i="6"/>
  <c r="BQ47" i="6"/>
  <c r="BP47" i="6"/>
  <c r="AH47" i="6"/>
  <c r="AG47" i="6"/>
  <c r="AF47" i="6"/>
  <c r="AE47" i="6"/>
  <c r="M47" i="6"/>
  <c r="L47" i="6" s="1"/>
  <c r="K47" i="6"/>
  <c r="J47" i="6"/>
  <c r="BT46" i="6"/>
  <c r="BS46" i="6"/>
  <c r="BR46" i="6"/>
  <c r="BQ46" i="6"/>
  <c r="BP46" i="6"/>
  <c r="AH46" i="6"/>
  <c r="AG46" i="6" s="1"/>
  <c r="AF46" i="6"/>
  <c r="AE46" i="6"/>
  <c r="M46" i="6"/>
  <c r="L46" i="6" s="1"/>
  <c r="K46" i="6"/>
  <c r="J46" i="6"/>
  <c r="BT45" i="6"/>
  <c r="BS45" i="6"/>
  <c r="BR45" i="6"/>
  <c r="BQ45" i="6"/>
  <c r="BP45" i="6"/>
  <c r="BN45" i="6" a="1"/>
  <c r="BN45" i="6" s="1"/>
  <c r="BN53" i="6" s="1"/>
  <c r="BL45" i="6" a="1"/>
  <c r="BL45" i="6" s="1"/>
  <c r="BL53" i="6" s="1"/>
  <c r="BK45" i="6" a="1"/>
  <c r="BK45" i="6" s="1"/>
  <c r="BK53" i="6" s="1"/>
  <c r="BJ45" i="6" a="1"/>
  <c r="BJ45" i="6" s="1"/>
  <c r="BJ53" i="6" s="1"/>
  <c r="AH45" i="6"/>
  <c r="AG45" i="6"/>
  <c r="AF45" i="6"/>
  <c r="AE45" i="6"/>
  <c r="M45" i="6"/>
  <c r="L45" i="6" s="1"/>
  <c r="K45" i="6"/>
  <c r="J45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G96" i="5"/>
  <c r="AF53" i="5"/>
  <c r="BT49" i="5"/>
  <c r="BS49" i="5"/>
  <c r="BR49" i="5"/>
  <c r="BQ49" i="5"/>
  <c r="BP49" i="5"/>
  <c r="AH49" i="5"/>
  <c r="AG49" i="5"/>
  <c r="AF49" i="5"/>
  <c r="AE49" i="5"/>
  <c r="M49" i="5"/>
  <c r="L49" i="5" s="1"/>
  <c r="AG104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AH103" i="5" s="1"/>
  <c r="K48" i="5"/>
  <c r="J48" i="5"/>
  <c r="BT47" i="5"/>
  <c r="BS47" i="5"/>
  <c r="BR47" i="5"/>
  <c r="BQ47" i="5"/>
  <c r="BP47" i="5"/>
  <c r="AH47" i="5"/>
  <c r="AG47" i="5"/>
  <c r="AF47" i="5"/>
  <c r="AE47" i="5"/>
  <c r="M47" i="5"/>
  <c r="L47" i="5" s="1"/>
  <c r="AG102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AG101" i="5" s="1"/>
  <c r="K46" i="5"/>
  <c r="J46" i="5"/>
  <c r="BT45" i="5"/>
  <c r="BS45" i="5"/>
  <c r="BR45" i="5"/>
  <c r="BQ45" i="5"/>
  <c r="BQ53" i="5" s="1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/>
  <c r="AF45" i="5"/>
  <c r="AE45" i="5"/>
  <c r="M45" i="5"/>
  <c r="BH45" i="5" s="1" a="1"/>
  <c r="BH45" i="5" s="1"/>
  <c r="BH53" i="5" s="1"/>
  <c r="K45" i="5"/>
  <c r="J45" i="5"/>
  <c r="V13" i="3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H1" i="3"/>
  <c r="J1" i="5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94" i="6"/>
  <c r="AJ94" i="6"/>
  <c r="AK94" i="6"/>
  <c r="AL94" i="6"/>
  <c r="AM94" i="6"/>
  <c r="AN94" i="6"/>
  <c r="AO94" i="6"/>
  <c r="AI95" i="6"/>
  <c r="AJ95" i="6"/>
  <c r="AK95" i="6"/>
  <c r="AL95" i="6"/>
  <c r="AM95" i="6"/>
  <c r="AN95" i="6"/>
  <c r="AO95" i="6"/>
  <c r="AI96" i="6"/>
  <c r="AJ96" i="6"/>
  <c r="AK96" i="6"/>
  <c r="AL96" i="6"/>
  <c r="AM96" i="6"/>
  <c r="AN96" i="6"/>
  <c r="AO96" i="6"/>
  <c r="AI97" i="6"/>
  <c r="AJ97" i="6"/>
  <c r="AK97" i="6"/>
  <c r="AL97" i="6"/>
  <c r="AM97" i="6"/>
  <c r="AN97" i="6"/>
  <c r="AO97" i="6"/>
  <c r="AI98" i="6"/>
  <c r="AJ98" i="6"/>
  <c r="AK98" i="6"/>
  <c r="AL98" i="6"/>
  <c r="AM98" i="6"/>
  <c r="AN98" i="6"/>
  <c r="AO98" i="6"/>
  <c r="AI99" i="6"/>
  <c r="AJ99" i="6"/>
  <c r="AK99" i="6"/>
  <c r="AL99" i="6"/>
  <c r="AM99" i="6"/>
  <c r="AN99" i="6"/>
  <c r="AO99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V17" i="3" l="1"/>
  <c r="L45" i="5"/>
  <c r="AG100" i="5" s="1"/>
  <c r="BS53" i="5"/>
  <c r="BP53" i="5"/>
  <c r="BT53" i="5"/>
  <c r="BR53" i="5"/>
  <c r="AH100" i="5"/>
  <c r="AH101" i="5"/>
  <c r="AH102" i="5"/>
  <c r="AH104" i="5"/>
  <c r="BF45" i="6" a="1"/>
  <c r="BF45" i="6" s="1"/>
  <c r="BH45" i="6" a="1"/>
  <c r="BH45" i="6" s="1"/>
  <c r="BH53" i="6" s="1"/>
  <c r="AZ45" i="6" a="1"/>
  <c r="AZ45" i="6" s="1"/>
  <c r="BD45" i="6" a="1"/>
  <c r="BD45" i="6" s="1"/>
  <c r="BI45" i="6" a="1"/>
  <c r="BI45" i="6" s="1"/>
  <c r="BI53" i="6" s="1"/>
  <c r="BM45" i="6" a="1"/>
  <c r="BM45" i="6" s="1"/>
  <c r="BM53" i="6" s="1"/>
  <c r="BB45" i="6" a="1"/>
  <c r="BB45" i="6" s="1"/>
  <c r="BC45" i="6" a="1"/>
  <c r="BC45" i="6" s="1"/>
  <c r="BA45" i="6" a="1"/>
  <c r="BA45" i="6" s="1"/>
  <c r="BE45" i="6" a="1"/>
  <c r="BE45" i="6" s="1"/>
  <c r="BM45" i="5" a="1"/>
  <c r="BM45" i="5" s="1"/>
  <c r="BM53" i="5" s="1"/>
  <c r="L48" i="5"/>
  <c r="BE45" i="5" s="1" a="1"/>
  <c r="BE45" i="5" s="1"/>
  <c r="BI45" i="5" a="1"/>
  <c r="BI45" i="5" s="1"/>
  <c r="BI53" i="5" s="1"/>
  <c r="BN40" i="6" a="1"/>
  <c r="BN40" i="6" s="1"/>
  <c r="BL40" i="6" a="1"/>
  <c r="BL40" i="6" s="1"/>
  <c r="BK40" i="6" a="1"/>
  <c r="BK40" i="6" s="1"/>
  <c r="BJ40" i="6" a="1"/>
  <c r="BJ40" i="6" s="1"/>
  <c r="BN35" i="6" a="1"/>
  <c r="BN35" i="6" s="1"/>
  <c r="BL35" i="6" a="1"/>
  <c r="BL35" i="6" s="1"/>
  <c r="BK35" i="6" a="1"/>
  <c r="BK35" i="6" s="1"/>
  <c r="BJ35" i="6" a="1"/>
  <c r="BJ35" i="6" s="1"/>
  <c r="BN30" i="6" a="1"/>
  <c r="BN30" i="6" s="1"/>
  <c r="BL30" i="6" a="1"/>
  <c r="BL30" i="6" s="1"/>
  <c r="BK30" i="6" a="1"/>
  <c r="BK30" i="6" s="1"/>
  <c r="BJ30" i="6" a="1"/>
  <c r="BJ30" i="6" s="1"/>
  <c r="BN25" i="6" a="1"/>
  <c r="BN25" i="6" s="1"/>
  <c r="BL25" i="6" a="1"/>
  <c r="BL25" i="6" s="1"/>
  <c r="BK25" i="6" a="1"/>
  <c r="BK25" i="6" s="1"/>
  <c r="BJ25" i="6" a="1"/>
  <c r="BJ25" i="6" s="1"/>
  <c r="BN20" i="6" a="1"/>
  <c r="BN20" i="6" s="1"/>
  <c r="BL20" i="6" a="1"/>
  <c r="BL20" i="6" s="1"/>
  <c r="BK20" i="6" a="1"/>
  <c r="BK20" i="6" s="1"/>
  <c r="BJ20" i="6" a="1"/>
  <c r="BJ20" i="6" s="1"/>
  <c r="BN15" i="6" a="1"/>
  <c r="BN15" i="6" s="1"/>
  <c r="BL15" i="6" a="1"/>
  <c r="BL15" i="6" s="1"/>
  <c r="BK15" i="6" a="1"/>
  <c r="BK15" i="6" s="1"/>
  <c r="BJ15" i="6" a="1"/>
  <c r="BJ15" i="6" s="1"/>
  <c r="BN10" i="6" a="1"/>
  <c r="BN10" i="6" s="1"/>
  <c r="BL10" i="6" a="1"/>
  <c r="BL10" i="6" s="1"/>
  <c r="BK10" i="6" a="1"/>
  <c r="BK10" i="6" s="1"/>
  <c r="BJ10" i="6" a="1"/>
  <c r="BJ10" i="6" s="1"/>
  <c r="BN5" i="6" a="1"/>
  <c r="BN5" i="6" s="1"/>
  <c r="BL5" i="6" a="1"/>
  <c r="BL5" i="6" s="1"/>
  <c r="BK5" i="6" a="1"/>
  <c r="BK5" i="6" s="1"/>
  <c r="BJ5" i="6" a="1"/>
  <c r="BJ5" i="6" s="1"/>
  <c r="AZ53" i="6" l="1"/>
  <c r="C36" i="1" s="1"/>
  <c r="J12" i="7"/>
  <c r="P12" i="7"/>
  <c r="BF53" i="6"/>
  <c r="I36" i="1" s="1"/>
  <c r="O12" i="7"/>
  <c r="BE53" i="6"/>
  <c r="H36" i="1" s="1"/>
  <c r="BE53" i="5"/>
  <c r="H23" i="1" s="1"/>
  <c r="H12" i="7"/>
  <c r="BA53" i="6"/>
  <c r="D36" i="1" s="1"/>
  <c r="K12" i="7"/>
  <c r="M12" i="7"/>
  <c r="BC53" i="6"/>
  <c r="F36" i="1" s="1"/>
  <c r="BB53" i="6"/>
  <c r="E36" i="1" s="1"/>
  <c r="L12" i="7"/>
  <c r="N12" i="7"/>
  <c r="BD53" i="6"/>
  <c r="G36" i="1" s="1"/>
  <c r="BB45" i="5" a="1"/>
  <c r="BB45" i="5" s="1"/>
  <c r="AG103" i="5"/>
  <c r="BA45" i="5" a="1"/>
  <c r="BA45" i="5" s="1"/>
  <c r="BD45" i="5" a="1"/>
  <c r="BD45" i="5" s="1"/>
  <c r="AZ45" i="5" a="1"/>
  <c r="AZ45" i="5" s="1"/>
  <c r="BC45" i="5" a="1"/>
  <c r="BC45" i="5" s="1"/>
  <c r="BF45" i="5" a="1"/>
  <c r="BF45" i="5" s="1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N40" i="5" a="1"/>
  <c r="BN40" i="5" s="1"/>
  <c r="BL40" i="5" a="1"/>
  <c r="BL40" i="5" s="1"/>
  <c r="BK40" i="5" a="1"/>
  <c r="BK40" i="5" s="1"/>
  <c r="BJ40" i="5" a="1"/>
  <c r="BJ40" i="5" s="1"/>
  <c r="BN35" i="5" a="1"/>
  <c r="BN35" i="5" s="1"/>
  <c r="BL35" i="5" a="1"/>
  <c r="BL35" i="5" s="1"/>
  <c r="BK35" i="5" a="1"/>
  <c r="BK35" i="5" s="1"/>
  <c r="BJ35" i="5" a="1"/>
  <c r="BJ35" i="5" s="1"/>
  <c r="BN30" i="5" a="1"/>
  <c r="BN30" i="5" s="1"/>
  <c r="BL30" i="5" a="1"/>
  <c r="BL30" i="5" s="1"/>
  <c r="BK30" i="5" a="1"/>
  <c r="BK30" i="5" s="1"/>
  <c r="BJ30" i="5" a="1"/>
  <c r="BJ30" i="5" s="1"/>
  <c r="BN25" i="5" a="1"/>
  <c r="BN25" i="5" s="1"/>
  <c r="BL25" i="5" a="1"/>
  <c r="BL25" i="5" s="1"/>
  <c r="BK25" i="5" a="1"/>
  <c r="BK25" i="5" s="1"/>
  <c r="BJ25" i="5" a="1"/>
  <c r="BJ25" i="5" s="1"/>
  <c r="BN20" i="5" a="1"/>
  <c r="BN20" i="5" s="1"/>
  <c r="BL20" i="5" a="1"/>
  <c r="BL20" i="5" s="1"/>
  <c r="BK20" i="5" a="1"/>
  <c r="BK20" i="5" s="1"/>
  <c r="BJ20" i="5" a="1"/>
  <c r="BJ20" i="5" s="1"/>
  <c r="BN15" i="5" a="1"/>
  <c r="BN15" i="5" s="1"/>
  <c r="BL15" i="5" a="1"/>
  <c r="BL15" i="5" s="1"/>
  <c r="BK15" i="5" a="1"/>
  <c r="BK15" i="5" s="1"/>
  <c r="BJ15" i="5" a="1"/>
  <c r="BJ15" i="5" s="1"/>
  <c r="BN10" i="5" a="1"/>
  <c r="BN10" i="5" s="1"/>
  <c r="BL10" i="5" a="1"/>
  <c r="BL10" i="5" s="1"/>
  <c r="BK10" i="5" a="1"/>
  <c r="BK10" i="5" s="1"/>
  <c r="BJ10" i="5" a="1"/>
  <c r="BJ10" i="5" s="1"/>
  <c r="BN5" i="5" a="1"/>
  <c r="BN5" i="5" s="1"/>
  <c r="BL5" i="5" a="1"/>
  <c r="BL5" i="5" s="1"/>
  <c r="BK5" i="5" a="1"/>
  <c r="BK5" i="5" s="1"/>
  <c r="BJ5" i="5" a="1"/>
  <c r="BJ5" i="5" s="1"/>
  <c r="BN52" i="6"/>
  <c r="BL51" i="6"/>
  <c r="BK51" i="6"/>
  <c r="BJ51" i="6"/>
  <c r="AZ53" i="5" l="1"/>
  <c r="C23" i="1" s="1"/>
  <c r="C12" i="7"/>
  <c r="BF53" i="5"/>
  <c r="I23" i="1" s="1"/>
  <c r="I12" i="7"/>
  <c r="BC53" i="5"/>
  <c r="F23" i="1" s="1"/>
  <c r="F12" i="7"/>
  <c r="BD53" i="5"/>
  <c r="G23" i="1" s="1"/>
  <c r="G12" i="7"/>
  <c r="BA53" i="5"/>
  <c r="D23" i="1" s="1"/>
  <c r="D12" i="7"/>
  <c r="BB53" i="5"/>
  <c r="E23" i="1" s="1"/>
  <c r="E12" i="7"/>
  <c r="BT51" i="5"/>
  <c r="BT51" i="6"/>
  <c r="BT52" i="6"/>
  <c r="BT52" i="5"/>
  <c r="BN51" i="5"/>
  <c r="BJ52" i="5"/>
  <c r="BK52" i="5"/>
  <c r="BT50" i="5"/>
  <c r="BT50" i="6"/>
  <c r="BN51" i="6"/>
  <c r="BL52" i="5"/>
  <c r="BN50" i="5"/>
  <c r="BJ51" i="5"/>
  <c r="BN52" i="5"/>
  <c r="BJ50" i="5"/>
  <c r="BK50" i="5"/>
  <c r="BL50" i="5"/>
  <c r="BK51" i="5"/>
  <c r="BL51" i="5"/>
  <c r="BN50" i="6"/>
  <c r="BJ50" i="6"/>
  <c r="BL50" i="6"/>
  <c r="BK52" i="6"/>
  <c r="BK50" i="6"/>
  <c r="BJ52" i="6"/>
  <c r="BL52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L25" i="6" l="1"/>
  <c r="BH25" i="6" a="1"/>
  <c r="BH25" i="6" s="1"/>
  <c r="BM25" i="6" a="1"/>
  <c r="BM25" i="6" s="1"/>
  <c r="BI25" i="6" a="1"/>
  <c r="BI25" i="6" s="1"/>
  <c r="AH64" i="6"/>
  <c r="AG9" i="6"/>
  <c r="AG64" i="6" s="1"/>
  <c r="AH88" i="6"/>
  <c r="AG33" i="6"/>
  <c r="AG88" i="6" s="1"/>
  <c r="AH96" i="5"/>
  <c r="AG41" i="5"/>
  <c r="AH89" i="6"/>
  <c r="AG34" i="6"/>
  <c r="AG89" i="6" s="1"/>
  <c r="L5" i="6"/>
  <c r="BH5" i="6" a="1"/>
  <c r="BH5" i="6" s="1"/>
  <c r="BM5" i="6" a="1"/>
  <c r="BM5" i="6" s="1"/>
  <c r="BI5" i="6" a="1"/>
  <c r="BI5" i="6" s="1"/>
  <c r="AG5" i="6"/>
  <c r="AH60" i="6"/>
  <c r="AG29" i="6"/>
  <c r="AG84" i="6" s="1"/>
  <c r="AH84" i="6"/>
  <c r="AG21" i="5"/>
  <c r="AG76" i="5" s="1"/>
  <c r="AH76" i="5"/>
  <c r="L40" i="6"/>
  <c r="BM40" i="6" a="1"/>
  <c r="BM40" i="6" s="1"/>
  <c r="BI40" i="6" a="1"/>
  <c r="BI40" i="6" s="1"/>
  <c r="BH40" i="6" a="1"/>
  <c r="BH40" i="6" s="1"/>
  <c r="AH63" i="6"/>
  <c r="AG8" i="6"/>
  <c r="AG63" i="6" s="1"/>
  <c r="AH71" i="6"/>
  <c r="AG16" i="6"/>
  <c r="AG71" i="6" s="1"/>
  <c r="AH79" i="6"/>
  <c r="AG24" i="6"/>
  <c r="AG79" i="6" s="1"/>
  <c r="AH87" i="6"/>
  <c r="AG32" i="6"/>
  <c r="AG87" i="6" s="1"/>
  <c r="AH95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65" i="6"/>
  <c r="AG10" i="6"/>
  <c r="AH65" i="5"/>
  <c r="AG10" i="5"/>
  <c r="AG65" i="5" s="1"/>
  <c r="AH81" i="5"/>
  <c r="AG26" i="5"/>
  <c r="AG81" i="5" s="1"/>
  <c r="AH97" i="5"/>
  <c r="AG42" i="5"/>
  <c r="AG97" i="5" s="1"/>
  <c r="L35" i="6"/>
  <c r="BI35" i="6" a="1"/>
  <c r="BI35" i="6" s="1"/>
  <c r="BH35" i="6" a="1"/>
  <c r="BH35" i="6" s="1"/>
  <c r="BM35" i="6" a="1"/>
  <c r="BM35" i="6" s="1"/>
  <c r="AH66" i="6"/>
  <c r="AG11" i="6"/>
  <c r="AG66" i="6" s="1"/>
  <c r="AH74" i="6"/>
  <c r="AG19" i="6"/>
  <c r="AG74" i="6" s="1"/>
  <c r="AH82" i="6"/>
  <c r="AG27" i="6"/>
  <c r="AG82" i="6" s="1"/>
  <c r="AH90" i="6"/>
  <c r="AG35" i="6"/>
  <c r="AG90" i="6" s="1"/>
  <c r="AH98" i="6"/>
  <c r="AG43" i="6"/>
  <c r="AG98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72" i="6"/>
  <c r="AG17" i="6"/>
  <c r="AG72" i="6" s="1"/>
  <c r="AH72" i="5"/>
  <c r="AG17" i="5"/>
  <c r="AG72" i="5" s="1"/>
  <c r="AH88" i="5"/>
  <c r="AG33" i="5"/>
  <c r="AG88" i="5" s="1"/>
  <c r="AH81" i="6"/>
  <c r="AG26" i="6"/>
  <c r="AG81" i="6" s="1"/>
  <c r="AH73" i="5"/>
  <c r="AG18" i="5"/>
  <c r="AG73" i="5" s="1"/>
  <c r="AH89" i="5"/>
  <c r="AG34" i="5"/>
  <c r="AG89" i="5" s="1"/>
  <c r="L20" i="6"/>
  <c r="BI20" i="6" a="1"/>
  <c r="BI20" i="6" s="1"/>
  <c r="BH20" i="6" a="1"/>
  <c r="BH20" i="6" s="1"/>
  <c r="BM20" i="6" a="1"/>
  <c r="BM20" i="6" s="1"/>
  <c r="AH67" i="6"/>
  <c r="AG12" i="6"/>
  <c r="AG67" i="6" s="1"/>
  <c r="AH75" i="6"/>
  <c r="AG20" i="6"/>
  <c r="AH83" i="6"/>
  <c r="AG28" i="6"/>
  <c r="AG83" i="6" s="1"/>
  <c r="AH91" i="6"/>
  <c r="AG36" i="6"/>
  <c r="AG91" i="6" s="1"/>
  <c r="AH99" i="6"/>
  <c r="AG44" i="6"/>
  <c r="AG99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80" i="6"/>
  <c r="AG25" i="6"/>
  <c r="AG80" i="6" s="1"/>
  <c r="L10" i="6"/>
  <c r="BH10" i="6" a="1"/>
  <c r="BH10" i="6" s="1"/>
  <c r="BM10" i="6" a="1"/>
  <c r="BM10" i="6" s="1"/>
  <c r="BI10" i="6" a="1"/>
  <c r="BI10" i="6" s="1"/>
  <c r="AG37" i="6"/>
  <c r="AG92" i="6" s="1"/>
  <c r="AH92" i="6"/>
  <c r="AG13" i="5"/>
  <c r="AG68" i="5" s="1"/>
  <c r="AH68" i="5"/>
  <c r="AG37" i="5"/>
  <c r="AG92" i="5" s="1"/>
  <c r="AH92" i="5"/>
  <c r="L30" i="6"/>
  <c r="BH30" i="6" a="1"/>
  <c r="BH30" i="6" s="1"/>
  <c r="BM30" i="6" a="1"/>
  <c r="BM30" i="6" s="1"/>
  <c r="BI30" i="6" a="1"/>
  <c r="BI30" i="6" s="1"/>
  <c r="AG6" i="6"/>
  <c r="AG61" i="6" s="1"/>
  <c r="AH61" i="6"/>
  <c r="AG14" i="6"/>
  <c r="AG69" i="6" s="1"/>
  <c r="AH69" i="6"/>
  <c r="AG22" i="6"/>
  <c r="AG77" i="6" s="1"/>
  <c r="AH77" i="6"/>
  <c r="AG30" i="6"/>
  <c r="AH85" i="6"/>
  <c r="AG38" i="6"/>
  <c r="AG93" i="6" s="1"/>
  <c r="AH93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6" i="6"/>
  <c r="AG41" i="6"/>
  <c r="AG96" i="6" s="1"/>
  <c r="AH73" i="6"/>
  <c r="AG18" i="6"/>
  <c r="AG73" i="6" s="1"/>
  <c r="AH97" i="6"/>
  <c r="AG42" i="6"/>
  <c r="AG97" i="6" s="1"/>
  <c r="AG13" i="6"/>
  <c r="AG68" i="6" s="1"/>
  <c r="AH68" i="6"/>
  <c r="AH76" i="6"/>
  <c r="AG21" i="6"/>
  <c r="AG76" i="6" s="1"/>
  <c r="AG5" i="5"/>
  <c r="AG60" i="5" s="1"/>
  <c r="AH60" i="5"/>
  <c r="AG29" i="5"/>
  <c r="AG84" i="5" s="1"/>
  <c r="AH84" i="5"/>
  <c r="L15" i="6"/>
  <c r="BI15" i="6" a="1"/>
  <c r="BI15" i="6" s="1"/>
  <c r="BH15" i="6" a="1"/>
  <c r="BH15" i="6" s="1"/>
  <c r="BM15" i="6" a="1"/>
  <c r="BM15" i="6" s="1"/>
  <c r="AG7" i="6"/>
  <c r="AG62" i="6" s="1"/>
  <c r="AH62" i="6"/>
  <c r="AG15" i="6"/>
  <c r="AH70" i="6"/>
  <c r="AG23" i="6"/>
  <c r="AG78" i="6" s="1"/>
  <c r="AH78" i="6"/>
  <c r="AG31" i="6"/>
  <c r="AG86" i="6" s="1"/>
  <c r="AH86" i="6"/>
  <c r="AG39" i="6"/>
  <c r="AG94" i="6" s="1"/>
  <c r="AH94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BI5" i="5" a="1"/>
  <c r="BI5" i="5" s="1"/>
  <c r="BH5" i="5" a="1"/>
  <c r="BH5" i="5" s="1"/>
  <c r="BM5" i="5" a="1"/>
  <c r="BM5" i="5" s="1"/>
  <c r="BI15" i="5" a="1"/>
  <c r="BI15" i="5" s="1"/>
  <c r="BH15" i="5" a="1"/>
  <c r="BH15" i="5" s="1"/>
  <c r="BM15" i="5" a="1"/>
  <c r="BM15" i="5" s="1"/>
  <c r="BM25" i="5" a="1"/>
  <c r="BM25" i="5" s="1"/>
  <c r="BI25" i="5" a="1"/>
  <c r="BI25" i="5" s="1"/>
  <c r="BH25" i="5" a="1"/>
  <c r="BH25" i="5" s="1"/>
  <c r="BI35" i="5" a="1"/>
  <c r="BI35" i="5" s="1"/>
  <c r="BH35" i="5" a="1"/>
  <c r="BH35" i="5" s="1"/>
  <c r="BM35" i="5" a="1"/>
  <c r="BM35" i="5" s="1"/>
  <c r="BI10" i="5" a="1"/>
  <c r="BI10" i="5" s="1"/>
  <c r="BH10" i="5" a="1"/>
  <c r="BH10" i="5" s="1"/>
  <c r="BM10" i="5" a="1"/>
  <c r="BM10" i="5" s="1"/>
  <c r="BH20" i="5" a="1"/>
  <c r="BH20" i="5" s="1"/>
  <c r="BM20" i="5" a="1"/>
  <c r="BM20" i="5" s="1"/>
  <c r="BI20" i="5" a="1"/>
  <c r="BI20" i="5" s="1"/>
  <c r="BI30" i="5" a="1"/>
  <c r="BI30" i="5" s="1"/>
  <c r="BH30" i="5" a="1"/>
  <c r="BH30" i="5" s="1"/>
  <c r="BM30" i="5" a="1"/>
  <c r="BM30" i="5" s="1"/>
  <c r="BI40" i="5" a="1"/>
  <c r="BI40" i="5" s="1"/>
  <c r="BH40" i="5" a="1"/>
  <c r="BH40" i="5" s="1"/>
  <c r="BM40" i="5" a="1"/>
  <c r="BM40" i="5" s="1"/>
  <c r="A19" i="7"/>
  <c r="A18" i="7"/>
  <c r="A17" i="7"/>
  <c r="A14" i="7"/>
  <c r="A13" i="7"/>
  <c r="AV99" i="6"/>
  <c r="AU99" i="6"/>
  <c r="AT99" i="6"/>
  <c r="AS99" i="6"/>
  <c r="AR99" i="6"/>
  <c r="AQ99" i="6"/>
  <c r="AP99" i="6"/>
  <c r="AV98" i="6"/>
  <c r="AU98" i="6"/>
  <c r="AT98" i="6"/>
  <c r="AS98" i="6"/>
  <c r="AR98" i="6"/>
  <c r="AQ98" i="6"/>
  <c r="AP98" i="6"/>
  <c r="AV97" i="6"/>
  <c r="AU97" i="6"/>
  <c r="AT97" i="6"/>
  <c r="AS97" i="6"/>
  <c r="AR97" i="6"/>
  <c r="AQ97" i="6"/>
  <c r="AP97" i="6"/>
  <c r="AV96" i="6"/>
  <c r="AU96" i="6"/>
  <c r="AT96" i="6"/>
  <c r="AS96" i="6"/>
  <c r="AR96" i="6"/>
  <c r="AQ96" i="6"/>
  <c r="AP96" i="6"/>
  <c r="AV95" i="6"/>
  <c r="AU95" i="6"/>
  <c r="AT95" i="6"/>
  <c r="AS95" i="6"/>
  <c r="AR95" i="6"/>
  <c r="AQ95" i="6"/>
  <c r="AP95" i="6"/>
  <c r="AV94" i="6"/>
  <c r="AU94" i="6"/>
  <c r="AT94" i="6"/>
  <c r="AS94" i="6"/>
  <c r="AR94" i="6"/>
  <c r="AQ94" i="6"/>
  <c r="AP94" i="6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J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I15" i="3" s="1"/>
  <c r="H7" i="3"/>
  <c r="X6" i="3"/>
  <c r="P6" i="3"/>
  <c r="V6" i="3" s="1"/>
  <c r="O6" i="3"/>
  <c r="I6" i="3"/>
  <c r="H6" i="3"/>
  <c r="X5" i="3"/>
  <c r="P5" i="3"/>
  <c r="O5" i="3"/>
  <c r="I5" i="3"/>
  <c r="H5" i="3"/>
  <c r="BH51" i="6" l="1"/>
  <c r="V8" i="3"/>
  <c r="AG65" i="6"/>
  <c r="AG95" i="6"/>
  <c r="AG60" i="6"/>
  <c r="BB5" i="5" a="1"/>
  <c r="BB5" i="5" s="1"/>
  <c r="AZ10" i="5" a="1"/>
  <c r="AZ10" i="5" s="1"/>
  <c r="BA40" i="5" a="1"/>
  <c r="BA40" i="5" s="1"/>
  <c r="BD15" i="5" a="1"/>
  <c r="BD15" i="5" s="1"/>
  <c r="G6" i="7" s="1"/>
  <c r="BF15" i="5" a="1"/>
  <c r="BF15" i="5" s="1"/>
  <c r="BE30" i="5" a="1"/>
  <c r="BE30" i="5" s="1"/>
  <c r="H9" i="7" s="1"/>
  <c r="AZ35" i="5" a="1"/>
  <c r="AZ35" i="5" s="1"/>
  <c r="C10" i="7" s="1"/>
  <c r="BD5" i="5" a="1"/>
  <c r="BD5" i="5" s="1"/>
  <c r="AG75" i="6"/>
  <c r="V7" i="3"/>
  <c r="BA15" i="5" a="1"/>
  <c r="BA15" i="5" s="1"/>
  <c r="AG70" i="6"/>
  <c r="BF5" i="5" a="1"/>
  <c r="BF5" i="5" s="1"/>
  <c r="I4" i="7" s="1"/>
  <c r="BA30" i="5" a="1"/>
  <c r="BA30" i="5" s="1"/>
  <c r="D9" i="7" s="1"/>
  <c r="AG85" i="6"/>
  <c r="BC35" i="5" a="1"/>
  <c r="BC35" i="5" s="1"/>
  <c r="F10" i="7" s="1"/>
  <c r="BC35" i="6" a="1"/>
  <c r="BC35" i="6" s="1"/>
  <c r="M10" i="7" s="1"/>
  <c r="BA35" i="6" a="1"/>
  <c r="BA35" i="6" s="1"/>
  <c r="K10" i="7" s="1"/>
  <c r="AZ35" i="6" a="1"/>
  <c r="AZ35" i="6" s="1"/>
  <c r="J10" i="7" s="1"/>
  <c r="BF35" i="6" a="1"/>
  <c r="BF35" i="6" s="1"/>
  <c r="P10" i="7" s="1"/>
  <c r="BE35" i="6" a="1"/>
  <c r="BE35" i="6" s="1"/>
  <c r="O10" i="7" s="1"/>
  <c r="BD35" i="6" a="1"/>
  <c r="BD35" i="6" s="1"/>
  <c r="N10" i="7" s="1"/>
  <c r="BB35" i="6" a="1"/>
  <c r="BB35" i="6" s="1"/>
  <c r="L10" i="7" s="1"/>
  <c r="BC10" i="5" a="1"/>
  <c r="BC10" i="5" s="1"/>
  <c r="F5" i="7" s="1"/>
  <c r="BC40" i="5" a="1"/>
  <c r="BC40" i="5" s="1"/>
  <c r="F11" i="7" s="1"/>
  <c r="BE20" i="6" a="1"/>
  <c r="BE20" i="6" s="1"/>
  <c r="O7" i="7" s="1"/>
  <c r="BC20" i="6" a="1"/>
  <c r="BC20" i="6" s="1"/>
  <c r="M7" i="7" s="1"/>
  <c r="BB20" i="6" a="1"/>
  <c r="BB20" i="6" s="1"/>
  <c r="L7" i="7" s="1"/>
  <c r="BA20" i="6" a="1"/>
  <c r="BA20" i="6" s="1"/>
  <c r="K7" i="7" s="1"/>
  <c r="AZ20" i="6" a="1"/>
  <c r="AZ20" i="6" s="1"/>
  <c r="J7" i="7" s="1"/>
  <c r="BD20" i="6" a="1"/>
  <c r="BD20" i="6" s="1"/>
  <c r="N7" i="7" s="1"/>
  <c r="BF20" i="6" a="1"/>
  <c r="BF20" i="6" s="1"/>
  <c r="P7" i="7" s="1"/>
  <c r="AZ15" i="5" a="1"/>
  <c r="AZ15" i="5" s="1"/>
  <c r="C6" i="7" s="1"/>
  <c r="V12" i="3"/>
  <c r="BA5" i="5" a="1"/>
  <c r="BA5" i="5" s="1"/>
  <c r="BB30" i="5" a="1"/>
  <c r="BB30" i="5" s="1"/>
  <c r="E9" i="7" s="1"/>
  <c r="BC20" i="5" a="1"/>
  <c r="BC20" i="5" s="1"/>
  <c r="F7" i="7" s="1"/>
  <c r="BD35" i="5" a="1"/>
  <c r="BD35" i="5" s="1"/>
  <c r="G10" i="7" s="1"/>
  <c r="BD10" i="5" a="1"/>
  <c r="BD10" i="5" s="1"/>
  <c r="G5" i="7" s="1"/>
  <c r="BD40" i="5" a="1"/>
  <c r="BD40" i="5" s="1"/>
  <c r="G11" i="7" s="1"/>
  <c r="BE25" i="5" a="1"/>
  <c r="BE25" i="5" s="1"/>
  <c r="H8" i="7" s="1"/>
  <c r="BB15" i="5" a="1"/>
  <c r="BB15" i="5" s="1"/>
  <c r="E6" i="7" s="1"/>
  <c r="BC30" i="5" a="1"/>
  <c r="BC30" i="5" s="1"/>
  <c r="F9" i="7" s="1"/>
  <c r="BA30" i="6" a="1"/>
  <c r="BA30" i="6" s="1"/>
  <c r="K9" i="7" s="1"/>
  <c r="BF30" i="6" a="1"/>
  <c r="BF30" i="6" s="1"/>
  <c r="P9" i="7" s="1"/>
  <c r="BE30" i="6" a="1"/>
  <c r="BE30" i="6" s="1"/>
  <c r="O9" i="7" s="1"/>
  <c r="BD30" i="6" a="1"/>
  <c r="BD30" i="6" s="1"/>
  <c r="N9" i="7" s="1"/>
  <c r="BC30" i="6" a="1"/>
  <c r="BC30" i="6" s="1"/>
  <c r="BB30" i="6" a="1"/>
  <c r="BB30" i="6" s="1"/>
  <c r="AZ30" i="6" a="1"/>
  <c r="AZ30" i="6" s="1"/>
  <c r="BD20" i="5" a="1"/>
  <c r="BD20" i="5" s="1"/>
  <c r="BE35" i="5" a="1"/>
  <c r="BE35" i="5" s="1"/>
  <c r="H10" i="7" s="1"/>
  <c r="BE10" i="5" a="1"/>
  <c r="BE10" i="5" s="1"/>
  <c r="H5" i="7" s="1"/>
  <c r="AZ40" i="5" a="1"/>
  <c r="AZ40" i="5" s="1"/>
  <c r="C11" i="7" s="1"/>
  <c r="BE40" i="6" a="1"/>
  <c r="BE40" i="6" s="1"/>
  <c r="O11" i="7" s="1"/>
  <c r="BD40" i="6" a="1"/>
  <c r="BD40" i="6" s="1"/>
  <c r="N11" i="7" s="1"/>
  <c r="BC40" i="6" a="1"/>
  <c r="BC40" i="6" s="1"/>
  <c r="BB40" i="6" a="1"/>
  <c r="BB40" i="6" s="1"/>
  <c r="L11" i="7" s="1"/>
  <c r="BA40" i="6" a="1"/>
  <c r="BA40" i="6" s="1"/>
  <c r="K11" i="7" s="1"/>
  <c r="AZ40" i="6" a="1"/>
  <c r="AZ40" i="6" s="1"/>
  <c r="J11" i="7" s="1"/>
  <c r="BF40" i="6" a="1"/>
  <c r="BF40" i="6" s="1"/>
  <c r="P11" i="7" s="1"/>
  <c r="BD25" i="5" a="1"/>
  <c r="BD25" i="5" s="1"/>
  <c r="G8" i="7" s="1"/>
  <c r="BA15" i="6" a="1"/>
  <c r="BA15" i="6" s="1"/>
  <c r="K6" i="7" s="1"/>
  <c r="BB15" i="6" a="1"/>
  <c r="BB15" i="6" s="1"/>
  <c r="AZ15" i="6" a="1"/>
  <c r="AZ15" i="6" s="1"/>
  <c r="J6" i="7" s="1"/>
  <c r="BE15" i="6" a="1"/>
  <c r="BE15" i="6" s="1"/>
  <c r="O6" i="7" s="1"/>
  <c r="BF15" i="6" a="1"/>
  <c r="BF15" i="6" s="1"/>
  <c r="P6" i="7" s="1"/>
  <c r="BD15" i="6" a="1"/>
  <c r="BD15" i="6" s="1"/>
  <c r="N6" i="7" s="1"/>
  <c r="BC15" i="6" a="1"/>
  <c r="BC15" i="6" s="1"/>
  <c r="BE15" i="5" a="1"/>
  <c r="BE15" i="5" s="1"/>
  <c r="H6" i="7" s="1"/>
  <c r="AZ5" i="5" a="1"/>
  <c r="AZ5" i="5" s="1"/>
  <c r="BE20" i="5" a="1"/>
  <c r="BE20" i="5" s="1"/>
  <c r="H7" i="7" s="1"/>
  <c r="BF10" i="5" a="1"/>
  <c r="BF10" i="5" s="1"/>
  <c r="I5" i="7" s="1"/>
  <c r="BE40" i="5" a="1"/>
  <c r="BE40" i="5" s="1"/>
  <c r="H11" i="7" s="1"/>
  <c r="BF25" i="5" a="1"/>
  <c r="BF25" i="5" s="1"/>
  <c r="BF30" i="5" a="1"/>
  <c r="BF30" i="5" s="1"/>
  <c r="I9" i="7" s="1"/>
  <c r="BC15" i="5" a="1"/>
  <c r="BC15" i="5" s="1"/>
  <c r="BC5" i="5" a="1"/>
  <c r="BC5" i="5" s="1"/>
  <c r="F4" i="7" s="1"/>
  <c r="BD30" i="5" a="1"/>
  <c r="BD30" i="5" s="1"/>
  <c r="G9" i="7" s="1"/>
  <c r="BA10" i="6" a="1"/>
  <c r="BA10" i="6" s="1"/>
  <c r="K5" i="7" s="1"/>
  <c r="AZ10" i="6" a="1"/>
  <c r="AZ10" i="6" s="1"/>
  <c r="BF10" i="6" a="1"/>
  <c r="BF10" i="6" s="1"/>
  <c r="P5" i="7" s="1"/>
  <c r="BE10" i="6" a="1"/>
  <c r="BE10" i="6" s="1"/>
  <c r="O5" i="7" s="1"/>
  <c r="BD10" i="6" a="1"/>
  <c r="BD10" i="6" s="1"/>
  <c r="N5" i="7" s="1"/>
  <c r="BC10" i="6" a="1"/>
  <c r="BC10" i="6" s="1"/>
  <c r="M5" i="7" s="1"/>
  <c r="BB10" i="6" a="1"/>
  <c r="BB10" i="6" s="1"/>
  <c r="L5" i="7" s="1"/>
  <c r="BF20" i="5" a="1"/>
  <c r="BF20" i="5" s="1"/>
  <c r="I7" i="7" s="1"/>
  <c r="BF35" i="5" a="1"/>
  <c r="BF35" i="5" s="1"/>
  <c r="I10" i="7" s="1"/>
  <c r="BB10" i="5" a="1"/>
  <c r="BB10" i="5" s="1"/>
  <c r="E5" i="7" s="1"/>
  <c r="BF40" i="5" a="1"/>
  <c r="BF40" i="5" s="1"/>
  <c r="I11" i="7" s="1"/>
  <c r="BE5" i="6" a="1"/>
  <c r="BE5" i="6" s="1"/>
  <c r="O4" i="7" s="1"/>
  <c r="BF5" i="6" a="1"/>
  <c r="BF5" i="6" s="1"/>
  <c r="BD5" i="6" a="1"/>
  <c r="BD5" i="6" s="1"/>
  <c r="BC5" i="6" a="1"/>
  <c r="BC5" i="6" s="1"/>
  <c r="BB5" i="6" a="1"/>
  <c r="BB5" i="6" s="1"/>
  <c r="BA5" i="6" a="1"/>
  <c r="BA5" i="6" s="1"/>
  <c r="AZ5" i="6" a="1"/>
  <c r="AZ5" i="6" s="1"/>
  <c r="AZ25" i="5" a="1"/>
  <c r="AZ25" i="5" s="1"/>
  <c r="C8" i="7" s="1"/>
  <c r="BA25" i="5" a="1"/>
  <c r="BA25" i="5" s="1"/>
  <c r="D8" i="7" s="1"/>
  <c r="BB25" i="5" a="1"/>
  <c r="BB25" i="5" s="1"/>
  <c r="E8" i="7" s="1"/>
  <c r="AZ20" i="5" a="1"/>
  <c r="AZ20" i="5" s="1"/>
  <c r="C7" i="7" s="1"/>
  <c r="BA20" i="5" a="1"/>
  <c r="BA20" i="5" s="1"/>
  <c r="D7" i="7" s="1"/>
  <c r="BA35" i="5" a="1"/>
  <c r="BA35" i="5" s="1"/>
  <c r="D10" i="7" s="1"/>
  <c r="BE5" i="5" a="1"/>
  <c r="BE5" i="5" s="1"/>
  <c r="H4" i="7" s="1"/>
  <c r="AZ30" i="5" a="1"/>
  <c r="AZ30" i="5" s="1"/>
  <c r="BB20" i="5" a="1"/>
  <c r="BB20" i="5" s="1"/>
  <c r="E7" i="7" s="1"/>
  <c r="BB35" i="5" a="1"/>
  <c r="BB35" i="5" s="1"/>
  <c r="E10" i="7" s="1"/>
  <c r="BA10" i="5" a="1"/>
  <c r="BA10" i="5" s="1"/>
  <c r="D5" i="7" s="1"/>
  <c r="BB40" i="5" a="1"/>
  <c r="BB40" i="5" s="1"/>
  <c r="E11" i="7" s="1"/>
  <c r="BC25" i="5" a="1"/>
  <c r="BC25" i="5" s="1"/>
  <c r="F8" i="7" s="1"/>
  <c r="BE25" i="6" a="1"/>
  <c r="BE25" i="6" s="1"/>
  <c r="BD25" i="6" a="1"/>
  <c r="BD25" i="6" s="1"/>
  <c r="BC25" i="6" a="1"/>
  <c r="BC25" i="6" s="1"/>
  <c r="M8" i="7" s="1"/>
  <c r="BB25" i="6" a="1"/>
  <c r="BB25" i="6" s="1"/>
  <c r="L8" i="7" s="1"/>
  <c r="BA25" i="6" a="1"/>
  <c r="BA25" i="6" s="1"/>
  <c r="K8" i="7" s="1"/>
  <c r="AZ25" i="6" a="1"/>
  <c r="AZ25" i="6" s="1"/>
  <c r="J8" i="7" s="1"/>
  <c r="BF25" i="6" a="1"/>
  <c r="BF25" i="6" s="1"/>
  <c r="P8" i="7" s="1"/>
  <c r="BM51" i="5"/>
  <c r="BM52" i="5"/>
  <c r="BI51" i="5"/>
  <c r="BI52" i="5"/>
  <c r="BH51" i="5"/>
  <c r="C5" i="7"/>
  <c r="D6" i="7"/>
  <c r="BM50" i="5"/>
  <c r="BH50" i="5"/>
  <c r="BI50" i="5"/>
  <c r="BH52" i="5"/>
  <c r="J9" i="7"/>
  <c r="BM51" i="6"/>
  <c r="BI51" i="6"/>
  <c r="BM50" i="6"/>
  <c r="BI52" i="6"/>
  <c r="BH50" i="6"/>
  <c r="BH52" i="6"/>
  <c r="BI50" i="6"/>
  <c r="BM52" i="6"/>
  <c r="P15" i="3"/>
  <c r="V15" i="3" s="1"/>
  <c r="C10" i="1" s="1"/>
  <c r="X15" i="3"/>
  <c r="V18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50" i="6"/>
  <c r="E4" i="7"/>
  <c r="D4" i="7"/>
  <c r="BP52" i="5"/>
  <c r="BQ51" i="5"/>
  <c r="BR50" i="5"/>
  <c r="BR52" i="5"/>
  <c r="AF52" i="5"/>
  <c r="BP50" i="5"/>
  <c r="K51" i="5"/>
  <c r="BQ52" i="5"/>
  <c r="AF51" i="5"/>
  <c r="BS52" i="5"/>
  <c r="BP51" i="5"/>
  <c r="K52" i="5"/>
  <c r="AW56" i="6"/>
  <c r="C38" i="1" s="1"/>
  <c r="J18" i="7" s="1"/>
  <c r="AX56" i="6"/>
  <c r="C39" i="1" s="1"/>
  <c r="J19" i="7" s="1"/>
  <c r="BR51" i="6"/>
  <c r="K52" i="6"/>
  <c r="K51" i="6"/>
  <c r="BQ52" i="6"/>
  <c r="BR52" i="6"/>
  <c r="BQ51" i="6"/>
  <c r="BQ50" i="6"/>
  <c r="BR50" i="6"/>
  <c r="BS51" i="6"/>
  <c r="AF52" i="6"/>
  <c r="BP52" i="6"/>
  <c r="AF50" i="6"/>
  <c r="AF51" i="6"/>
  <c r="BS52" i="6"/>
  <c r="BP51" i="6"/>
  <c r="G7" i="7"/>
  <c r="I8" i="7"/>
  <c r="M11" i="7"/>
  <c r="L9" i="7"/>
  <c r="M9" i="7"/>
  <c r="J5" i="7"/>
  <c r="D11" i="7"/>
  <c r="C9" i="7"/>
  <c r="X14" i="3"/>
  <c r="V5" i="3"/>
  <c r="V9" i="3"/>
  <c r="K50" i="6"/>
  <c r="BS50" i="6"/>
  <c r="BQ50" i="5"/>
  <c r="I14" i="3"/>
  <c r="BS50" i="5"/>
  <c r="P14" i="3"/>
  <c r="C13" i="1" l="1"/>
  <c r="C12" i="1"/>
  <c r="BB51" i="6"/>
  <c r="E34" i="1" s="1"/>
  <c r="BF51" i="6"/>
  <c r="I34" i="1" s="1"/>
  <c r="V14" i="3"/>
  <c r="C9" i="1" s="1"/>
  <c r="V16" i="3"/>
  <c r="C11" i="1" s="1"/>
  <c r="BF51" i="5"/>
  <c r="I21" i="1" s="1"/>
  <c r="BC51" i="5"/>
  <c r="F21" i="1" s="1"/>
  <c r="F6" i="7"/>
  <c r="BD50" i="5"/>
  <c r="G20" i="1" s="1"/>
  <c r="G13" i="7" s="1"/>
  <c r="C24" i="1"/>
  <c r="C17" i="7" s="1"/>
  <c r="BD51" i="5"/>
  <c r="G21" i="1" s="1"/>
  <c r="BA50" i="5"/>
  <c r="D20" i="1" s="1"/>
  <c r="D13" i="7" s="1"/>
  <c r="E24" i="1"/>
  <c r="E17" i="7" s="1"/>
  <c r="H24" i="1"/>
  <c r="H17" i="7" s="1"/>
  <c r="G4" i="7"/>
  <c r="BD52" i="5"/>
  <c r="G22" i="1" s="1"/>
  <c r="BE52" i="5"/>
  <c r="H22" i="1" s="1"/>
  <c r="AZ51" i="5"/>
  <c r="C21" i="1" s="1"/>
  <c r="AZ50" i="5"/>
  <c r="C20" i="1" s="1"/>
  <c r="C13" i="7" s="1"/>
  <c r="I6" i="7"/>
  <c r="BF52" i="5"/>
  <c r="I22" i="1" s="1"/>
  <c r="G24" i="1"/>
  <c r="G17" i="7" s="1"/>
  <c r="BB50" i="6"/>
  <c r="E33" i="1" s="1"/>
  <c r="L13" i="7" s="1"/>
  <c r="L4" i="7"/>
  <c r="BD50" i="6"/>
  <c r="G33" i="1" s="1"/>
  <c r="N13" i="7" s="1"/>
  <c r="F37" i="1"/>
  <c r="M17" i="7" s="1"/>
  <c r="N4" i="7"/>
  <c r="BE52" i="6"/>
  <c r="H35" i="1" s="1"/>
  <c r="I37" i="1"/>
  <c r="P17" i="7" s="1"/>
  <c r="AZ51" i="6"/>
  <c r="C34" i="1" s="1"/>
  <c r="M4" i="7"/>
  <c r="BD51" i="6"/>
  <c r="G34" i="1" s="1"/>
  <c r="BF50" i="6"/>
  <c r="I33" i="1" s="1"/>
  <c r="P13" i="7" s="1"/>
  <c r="G37" i="1"/>
  <c r="N17" i="7" s="1"/>
  <c r="BE51" i="6"/>
  <c r="H34" i="1" s="1"/>
  <c r="O8" i="7"/>
  <c r="BC52" i="6"/>
  <c r="F35" i="1" s="1"/>
  <c r="BA52" i="6"/>
  <c r="D35" i="1" s="1"/>
  <c r="H37" i="1"/>
  <c r="O17" i="7" s="1"/>
  <c r="BB52" i="6"/>
  <c r="E35" i="1" s="1"/>
  <c r="BE50" i="6"/>
  <c r="H33" i="1" s="1"/>
  <c r="O13" i="7" s="1"/>
  <c r="BD52" i="6"/>
  <c r="G35" i="1" s="1"/>
  <c r="L6" i="7"/>
  <c r="BC51" i="6"/>
  <c r="F34" i="1" s="1"/>
  <c r="BA51" i="6"/>
  <c r="D34" i="1" s="1"/>
  <c r="P4" i="7"/>
  <c r="BB52" i="5"/>
  <c r="E22" i="1" s="1"/>
  <c r="AZ52" i="5"/>
  <c r="C22" i="1" s="1"/>
  <c r="M6" i="7"/>
  <c r="N8" i="7"/>
  <c r="D24" i="1"/>
  <c r="D17" i="7" s="1"/>
  <c r="BE50" i="5"/>
  <c r="H20" i="1" s="1"/>
  <c r="H13" i="7" s="1"/>
  <c r="BE51" i="5"/>
  <c r="H21" i="1" s="1"/>
  <c r="BC52" i="5"/>
  <c r="F22" i="1" s="1"/>
  <c r="BB51" i="5"/>
  <c r="E21" i="1" s="1"/>
  <c r="BF52" i="6"/>
  <c r="I35" i="1" s="1"/>
  <c r="BF50" i="5"/>
  <c r="I20" i="1" s="1"/>
  <c r="I13" i="7" s="1"/>
  <c r="F24" i="1"/>
  <c r="F17" i="7" s="1"/>
  <c r="BA51" i="5"/>
  <c r="D21" i="1" s="1"/>
  <c r="I24" i="1"/>
  <c r="I17" i="7" s="1"/>
  <c r="BC50" i="5"/>
  <c r="F20" i="1" s="1"/>
  <c r="F13" i="7" s="1"/>
  <c r="C4" i="7"/>
  <c r="BC50" i="6"/>
  <c r="F33" i="1" s="1"/>
  <c r="M13" i="7" s="1"/>
  <c r="BA52" i="5"/>
  <c r="D22" i="1" s="1"/>
  <c r="AZ52" i="6"/>
  <c r="C35" i="1" s="1"/>
  <c r="E37" i="1"/>
  <c r="L17" i="7" s="1"/>
  <c r="BB50" i="5"/>
  <c r="E20" i="1" s="1"/>
  <c r="E13" i="7" s="1"/>
  <c r="J14" i="7" l="1"/>
  <c r="I14" i="7"/>
  <c r="K14" i="7"/>
  <c r="N14" i="7"/>
  <c r="H14" i="7"/>
  <c r="M14" i="7"/>
  <c r="E14" i="7"/>
  <c r="F14" i="7"/>
  <c r="D14" i="7"/>
  <c r="O14" i="7"/>
  <c r="G14" i="7"/>
  <c r="P14" i="7"/>
  <c r="C14" i="7"/>
  <c r="L14" i="7"/>
  <c r="K4" i="7"/>
  <c r="D37" i="1"/>
  <c r="K17" i="7" s="1"/>
  <c r="BA50" i="6"/>
  <c r="D33" i="1" s="1"/>
  <c r="K13" i="7" s="1"/>
  <c r="J4" i="7"/>
  <c r="C37" i="1"/>
  <c r="J17" i="7" s="1"/>
  <c r="AZ50" i="6"/>
  <c r="C33" i="1" s="1"/>
  <c r="J1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<sst xmlns="http://schemas.openxmlformats.org/spreadsheetml/2006/main" count="998" uniqueCount="440">
  <si>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</si>
  <si>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</si>
  <si>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</si>
  <si>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</si>
  <si>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</si>
  <si>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</si>
  <si>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</si>
  <si>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</si>
  <si>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</si>
  <si>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</si>
  <si>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</si>
  <si>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</si>
  <si>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</si>
  <si>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</si>
  <si>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</si>
  <si>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</si>
  <si>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</si>
  <si>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</si>
  <si>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</si>
  <si>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</si>
  <si>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</si>
  <si>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</si>
  <si>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</si>
  <si>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</si>
  <si>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</si>
  <si>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</si>
  <si>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</si>
  <si>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</si>
  <si>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</si>
  <si>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</si>
  <si>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</si>
  <si>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</si>
  <si>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</si>
  <si>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</si>
  <si>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</si>
  <si>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</si>
  <si>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</si>
  <si>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</si>
  <si>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</si>
  <si>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</si>
  <si>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</si>
  <si>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</si>
  <si>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</si>
  <si>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</si>
  <si>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</si>
  <si>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</si>
  <si>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</si>
  <si>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</si>
  <si>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</si>
  <si>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</si>
  <si>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</si>
  <si>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</si>
  <si>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</si>
  <si>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</si>
  <si>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</si>
  <si>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</si>
  <si>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</si>
  <si>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</si>
  <si>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</si>
  <si>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</si>
  <si>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</si>
  <si>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</si>
  <si>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</si>
  <si>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</si>
  <si>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</si>
  <si>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</si>
  <si>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</si>
  <si>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</si>
  <si>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</si>
  <si>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</si>
  <si>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</si>
  <si>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</si>
  <si>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</si>
  <si>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</si>
  <si>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</si>
  <si>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</si>
  <si>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</si>
  <si>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</si>
  <si>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</si>
  <si>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</si>
  <si>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</si>
  <si>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</si>
  <si>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</si>
  <si>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</si>
  <si>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</si>
  <si>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</si>
  <si>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</si>
  <si>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</si>
  <si>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</si>
  <si>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</si>
  <si>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</si>
  <si>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</si>
  <si>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</si>
  <si>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</si>
  <si>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</si>
  <si>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</si>
  <si>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</si>
  <si>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</si>
  <si>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</si>
  <si>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</si>
  <si>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</si>
  <si>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</si>
  <si>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</si>
  <si>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</si>
  <si>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</si>
  <si>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</si>
  <si>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</si>
  <si>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</si>
  <si>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</si>
  <si>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</si>
  <si>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</si>
  <si>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</si>
  <si>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</si>
  <si>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</si>
  <si>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</si>
  <si>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</si>
  <si>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</si>
  <si>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</si>
  <si>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</si>
  <si>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</si>
  <si>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</si>
  <si>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</si>
  <si>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</si>
  <si>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</si>
  <si>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</si>
  <si>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</si>
  <si>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</si>
  <si>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</si>
  <si>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</si>
  <si>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</si>
  <si>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</si>
  <si>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</si>
  <si>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</si>
  <si>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</si>
  <si>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</si>
  <si>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</si>
  <si>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</si>
  <si>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</si>
  <si>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</si>
  <si>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</si>
  <si>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</si>
  <si>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</si>
  <si>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</si>
  <si>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</si>
  <si>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</si>
  <si>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</si>
  <si>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</si>
  <si>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</si>
  <si>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</si>
  <si>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anchor</t>
  </si>
  <si>
    <t>proposal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</si>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</sst>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"/>
    <numFmt numFmtId="166" formatCode="[&gt;1000]0;[&gt;100]0.0;0.00"/>
    <numFmt numFmtId="167" formatCode="0.000000"/>
    <numFmt numFmtId="168" formatCode="0.000%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64" fontId="0" fillId="8" borderId="11" xfId="0" applyNumberFormat="1" applyFill="1" applyBorder="1" applyAlignment="1">
      <alignment horizontal="center"/>
    </xf>
    <xf numFmtId="164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64" fontId="0" fillId="10" borderId="11" xfId="0" applyNumberFormat="1" applyFill="1" applyBorder="1" applyAlignment="1">
      <alignment horizontal="center"/>
    </xf>
    <xf numFmtId="164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64" fontId="0" fillId="10" borderId="9" xfId="0" applyNumberFormat="1" applyFill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164" fontId="0" fillId="14" borderId="0" xfId="0" applyNumberFormat="1" applyFill="1" applyAlignment="1">
      <alignment horizontal="center"/>
    </xf>
    <xf numFmtId="164" fontId="0" fillId="14" borderId="7" xfId="0" applyNumberFormat="1" applyFill="1" applyBorder="1" applyAlignment="1">
      <alignment horizontal="center"/>
    </xf>
    <xf numFmtId="164" fontId="0" fillId="14" borderId="2" xfId="0" applyNumberFormat="1" applyFill="1" applyBorder="1" applyAlignment="1">
      <alignment horizontal="center"/>
    </xf>
    <xf numFmtId="164" fontId="0" fillId="14" borderId="8" xfId="0" applyNumberFormat="1" applyFill="1" applyBorder="1" applyAlignment="1">
      <alignment horizontal="center"/>
    </xf>
    <xf numFmtId="164" fontId="0" fillId="15" borderId="0" xfId="0" applyNumberFormat="1" applyFill="1" applyAlignment="1">
      <alignment horizontal="center"/>
    </xf>
    <xf numFmtId="164" fontId="0" fillId="15" borderId="11" xfId="0" applyNumberFormat="1" applyFill="1" applyBorder="1" applyAlignment="1">
      <alignment horizontal="center"/>
    </xf>
    <xf numFmtId="164" fontId="0" fillId="15" borderId="12" xfId="0" applyNumberFormat="1" applyFill="1" applyBorder="1" applyAlignment="1">
      <alignment horizontal="center"/>
    </xf>
    <xf numFmtId="164" fontId="0" fillId="14" borderId="11" xfId="0" applyNumberFormat="1" applyFill="1" applyBorder="1" applyAlignment="1">
      <alignment horizontal="center"/>
    </xf>
    <xf numFmtId="164" fontId="0" fillId="14" borderId="12" xfId="0" applyNumberFormat="1" applyFill="1" applyBorder="1" applyAlignment="1">
      <alignment horizontal="center"/>
    </xf>
    <xf numFmtId="164" fontId="0" fillId="15" borderId="1" xfId="0" applyNumberFormat="1" applyFill="1" applyBorder="1" applyAlignment="1">
      <alignment horizontal="center"/>
    </xf>
    <xf numFmtId="164" fontId="0" fillId="15" borderId="5" xfId="0" applyNumberFormat="1" applyFill="1" applyBorder="1" applyAlignment="1">
      <alignment horizontal="center"/>
    </xf>
    <xf numFmtId="164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67" fontId="0" fillId="0" borderId="7" xfId="0" applyNumberFormat="1" applyBorder="1"/>
    <xf numFmtId="167" fontId="0" fillId="0" borderId="2" xfId="0" applyNumberFormat="1" applyBorder="1"/>
    <xf numFmtId="167" fontId="0" fillId="0" borderId="8" xfId="0" applyNumberFormat="1" applyBorder="1"/>
    <xf numFmtId="167" fontId="0" fillId="0" borderId="11" xfId="0" applyNumberFormat="1" applyBorder="1"/>
    <xf numFmtId="167" fontId="0" fillId="0" borderId="0" xfId="0" applyNumberFormat="1"/>
    <xf numFmtId="167" fontId="0" fillId="0" borderId="12" xfId="0" applyNumberFormat="1" applyBorder="1"/>
    <xf numFmtId="167" fontId="0" fillId="0" borderId="9" xfId="0" applyNumberFormat="1" applyBorder="1"/>
    <xf numFmtId="167" fontId="0" fillId="0" borderId="3" xfId="0" applyNumberFormat="1" applyBorder="1"/>
    <xf numFmtId="167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68" fontId="0" fillId="8" borderId="0" xfId="0" applyNumberFormat="1" applyFill="1" applyAlignment="1">
      <alignment horizontal="center"/>
    </xf>
    <xf numFmtId="168" fontId="0" fillId="10" borderId="0" xfId="0" applyNumberFormat="1" applyFill="1" applyAlignment="1">
      <alignment horizontal="center"/>
    </xf>
    <xf numFmtId="168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66" fontId="0" fillId="11" borderId="18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Normal" xfId="0" builtinId="0"/>
  </cellStyles>
  <dxfs count="19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proposal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topLeftCell="A6" zoomScale="90" zoomScaleNormal="90" workbookViewId="0">
      <selection activeCell="E50" sqref="E50"/>
    </sheetView>
  </sheetViews>
  <sheetFormatPr defaultColWidth="9.1796875" defaultRowHeight="14.5"/>
  <cols>
    <col min="2" max="2" width="16.7265625" customWidth="1"/>
    <col min="3" max="9" width="24.7265625" customWidth="1"/>
  </cols>
  <sheetData>
    <row r="1" spans="2:5">
      <c r="B1" t="s">
        <v>0</v>
      </c>
      <c r="C1" s="112" t="s">
        <v>149</v>
      </c>
      <c r="D1" s="112"/>
      <c r="E1" s="112"/>
    </row>
    <row r="2" spans="2:5">
      <c r="B2" t="s">
        <v>1</v>
      </c>
      <c r="C2" s="113" t="s">
        <v>150</v>
      </c>
      <c r="D2" s="113"/>
      <c r="E2" s="113"/>
    </row>
    <row r="4" spans="2:5" s="1" customFormat="1">
      <c r="B4" s="1" t="s">
        <v>2</v>
      </c>
    </row>
    <row r="6" spans="2:5" ht="45" customHeight="1">
      <c r="B6" s="114" t="s">
        <v>3</v>
      </c>
      <c r="C6" s="2" t="s">
        <v>4</v>
      </c>
    </row>
    <row r="7" spans="2:5">
      <c r="B7" s="115"/>
      <c r="C7" s="3" t="s">
        <v>5</v>
      </c>
    </row>
    <row r="8" spans="2:5">
      <c r="B8" s="116"/>
      <c r="C8" s="4" t="s">
        <v>6</v>
      </c>
    </row>
    <row r="9" spans="2:5">
      <c r="B9" t="s">
        <v>7</v>
      </c>
      <c r="C9" s="5" t="e">
        <f>'C0 lossless AI'!V14</f>
        <v>#DIV/0!</v>
      </c>
    </row>
    <row r="10" spans="2:5">
      <c r="B10" t="s">
        <v>8</v>
      </c>
      <c r="C10" s="5" t="e">
        <f>'C0 lossless AI'!V15</f>
        <v>#DIV/0!</v>
      </c>
    </row>
    <row r="11" spans="2:5">
      <c r="B11" t="s">
        <v>9</v>
      </c>
      <c r="C11" s="5" t="e">
        <f>'C0 lossless AI'!V16</f>
        <v>#DIV/0!</v>
      </c>
    </row>
    <row r="12" spans="2:5">
      <c r="B12" t="s">
        <v>431</v>
      </c>
      <c r="C12" s="5" t="e">
        <f>'C0 lossless AI'!V18</f>
        <v>#DIV/0!</v>
      </c>
    </row>
    <row r="13" spans="2:5">
      <c r="B13" s="6" t="s">
        <v>10</v>
      </c>
      <c r="C13" s="7" t="e">
        <f>'C0 lossless AI'!V18</f>
        <v>#DIV/0!</v>
      </c>
    </row>
    <row r="14" spans="2:5">
      <c r="B14" t="s">
        <v>11</v>
      </c>
      <c r="C14" s="8" t="e">
        <f>'C0 lossless AI'!S20</f>
        <v>#DIV/0!</v>
      </c>
    </row>
    <row r="15" spans="2:5">
      <c r="B15" s="9" t="s">
        <v>12</v>
      </c>
      <c r="C15" s="10" t="e">
        <f>'C0 lossless AI'!T20</f>
        <v>#DIV/0!</v>
      </c>
    </row>
    <row r="17" spans="2:9">
      <c r="B17" s="114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>
      <c r="B18" s="115"/>
      <c r="C18" s="119" t="s">
        <v>15</v>
      </c>
      <c r="D18" s="115"/>
      <c r="E18" s="115"/>
      <c r="F18" s="115"/>
      <c r="G18" s="115"/>
      <c r="H18" s="120" t="s">
        <v>16</v>
      </c>
      <c r="I18" s="115"/>
    </row>
    <row r="19" spans="2:9">
      <c r="B19" s="116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>
      <c r="B23" t="s">
        <v>431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>
      <c r="B25" t="s">
        <v>11</v>
      </c>
      <c r="C25" s="121" t="e">
        <f>'C1 lossy AI'!AW56</f>
        <v>#DIV/0!</v>
      </c>
      <c r="D25" s="115"/>
      <c r="E25" s="115"/>
      <c r="F25" s="115"/>
      <c r="G25" s="115"/>
      <c r="H25" s="115"/>
      <c r="I25" s="115"/>
    </row>
    <row r="26" spans="2:9">
      <c r="B26" s="9" t="s">
        <v>12</v>
      </c>
      <c r="C26" s="122" t="e">
        <f>'C1 lossy AI'!AX56</f>
        <v>#DIV/0!</v>
      </c>
      <c r="D26" s="116"/>
      <c r="E26" s="116"/>
      <c r="F26" s="116"/>
      <c r="G26" s="116"/>
      <c r="H26" s="116"/>
      <c r="I26" s="116"/>
    </row>
    <row r="28" spans="2:9" s="1" customFormat="1">
      <c r="B28" s="1" t="s">
        <v>23</v>
      </c>
    </row>
    <row r="30" spans="2:9">
      <c r="B30" s="114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>
      <c r="B31" s="115"/>
      <c r="C31" s="119" t="s">
        <v>15</v>
      </c>
      <c r="D31" s="115"/>
      <c r="E31" s="115"/>
      <c r="F31" s="115"/>
      <c r="G31" s="115"/>
      <c r="H31" s="120" t="s">
        <v>16</v>
      </c>
      <c r="I31" s="115"/>
    </row>
    <row r="32" spans="2:9">
      <c r="B32" s="116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>
      <c r="B33" t="s">
        <v>7</v>
      </c>
      <c r="C33" s="5" t="e">
        <f>'C2 lossy RA'!$AZ$50:$AZ$50</f>
        <v>#DIV/0!</v>
      </c>
      <c r="D33" s="5" t="e">
        <f>'C2 lossy RA'!$BA$50:$BA$50</f>
        <v>#DIV/0!</v>
      </c>
      <c r="E33" s="5" t="e">
        <f>'C2 lossy RA'!$BB$50:$BB$50</f>
        <v>#DIV/0!</v>
      </c>
      <c r="F33" s="5" t="e">
        <f>'C2 lossy RA'!$BC$50:$BC$50</f>
        <v>#DIV/0!</v>
      </c>
      <c r="G33" s="5" t="e">
        <f>'C2 lossy RA'!$BD$50:$BD$50</f>
        <v>#DIV/0!</v>
      </c>
      <c r="H33" s="5" t="e">
        <f>'C2 lossy RA'!$BE$50:$BE$50</f>
        <v>#DIV/0!</v>
      </c>
      <c r="I33" s="5" t="e">
        <f>'C2 lossy RA'!$BF$50:$BF$50</f>
        <v>#DIV/0!</v>
      </c>
    </row>
    <row r="34" spans="2:9">
      <c r="B34" t="s">
        <v>8</v>
      </c>
      <c r="C34" s="5" t="e">
        <f>'C2 lossy RA'!$AZ$51:$AZ$51</f>
        <v>#DIV/0!</v>
      </c>
      <c r="D34" s="5" t="e">
        <f>'C2 lossy RA'!$BA$51:$BA$51</f>
        <v>#DIV/0!</v>
      </c>
      <c r="E34" s="5" t="e">
        <f>'C2 lossy RA'!$BB$51:$BB$51</f>
        <v>#DIV/0!</v>
      </c>
      <c r="F34" s="5" t="e">
        <f>'C2 lossy RA'!$BC$51:$BC$51</f>
        <v>#DIV/0!</v>
      </c>
      <c r="G34" s="5" t="e">
        <f>'C2 lossy RA'!$BD$51:$BD$51</f>
        <v>#DIV/0!</v>
      </c>
      <c r="H34" s="5" t="e">
        <f>'C2 lossy RA'!$BE$51:$BE$51</f>
        <v>#DIV/0!</v>
      </c>
      <c r="I34" s="5" t="e">
        <f>'C2 lossy RA'!$BF$51:$BF$51</f>
        <v>#DIV/0!</v>
      </c>
    </row>
    <row r="35" spans="2:9">
      <c r="B35" t="s">
        <v>9</v>
      </c>
      <c r="C35" s="5" t="e">
        <f>'C2 lossy RA'!$AZ$52:$AZ$52</f>
        <v>#DIV/0!</v>
      </c>
      <c r="D35" s="5" t="e">
        <f>'C2 lossy RA'!$BA$52:$BA$52</f>
        <v>#DIV/0!</v>
      </c>
      <c r="E35" s="5" t="e">
        <f>'C2 lossy RA'!$BB$52:$BB$52</f>
        <v>#DIV/0!</v>
      </c>
      <c r="F35" s="5" t="e">
        <f>'C2 lossy RA'!$BC$52:$BC$52</f>
        <v>#DIV/0!</v>
      </c>
      <c r="G35" s="5" t="e">
        <f>'C2 lossy RA'!$BD$52:$BD$52</f>
        <v>#DIV/0!</v>
      </c>
      <c r="H35" s="5" t="e">
        <f>'C2 lossy RA'!$BE$52:$BE$52</f>
        <v>#DIV/0!</v>
      </c>
      <c r="I35" s="5" t="e">
        <f>'C2 lossy RA'!$BF$52:$BF$52</f>
        <v>#DIV/0!</v>
      </c>
    </row>
    <row r="36" spans="2:9">
      <c r="B36" t="s">
        <v>431</v>
      </c>
      <c r="C36" s="5" t="e">
        <f>'C2 lossy RA'!$AZ$53:$AZ$53</f>
        <v>#DIV/0!</v>
      </c>
      <c r="D36" s="5" t="e">
        <f>'C2 lossy RA'!$BA$53:$BA$53</f>
        <v>#DIV/0!</v>
      </c>
      <c r="E36" s="5" t="e">
        <f>'C2 lossy RA'!$BB$53:$BB$53</f>
        <v>#DIV/0!</v>
      </c>
      <c r="F36" s="5" t="e">
        <f>'C2 lossy RA'!$BC$53:$BC$53</f>
        <v>#DIV/0!</v>
      </c>
      <c r="G36" s="5" t="e">
        <f>'C2 lossy RA'!$BD$53:$BD$53</f>
        <v>#DIV/0!</v>
      </c>
      <c r="H36" s="5" t="e">
        <f>'C2 lossy RA'!$BE$53:$BE$53</f>
        <v>#DIV/0!</v>
      </c>
      <c r="I36" s="5" t="e">
        <f>'C2 lossy RA'!$BF$53:$BF$53</f>
        <v>#DIV/0!</v>
      </c>
    </row>
    <row r="37" spans="2:9">
      <c r="B37" s="6" t="s">
        <v>10</v>
      </c>
      <c r="C37" s="7" t="e">
        <f>'C2 lossy RA'!$AZ$54:$AZ$54</f>
        <v>#DIV/0!</v>
      </c>
      <c r="D37" s="7" t="e">
        <f>'C2 lossy RA'!$BA$54:$BA$54</f>
        <v>#DIV/0!</v>
      </c>
      <c r="E37" s="7" t="e">
        <f>'C2 lossy RA'!$BB$54:$BB$54</f>
        <v>#DIV/0!</v>
      </c>
      <c r="F37" s="7" t="e">
        <f>'C2 lossy RA'!$BC$54:$BC$54</f>
        <v>#DIV/0!</v>
      </c>
      <c r="G37" s="7" t="e">
        <f>'C2 lossy RA'!$BD$54:$BD$54</f>
        <v>#DIV/0!</v>
      </c>
      <c r="H37" s="7" t="e">
        <f>'C2 lossy RA'!$BE$54:$BE$54</f>
        <v>#DIV/0!</v>
      </c>
      <c r="I37" s="7" t="e">
        <f>'C2 lossy RA'!$BF$54:$BF$54</f>
        <v>#DIV/0!</v>
      </c>
    </row>
    <row r="38" spans="2:9">
      <c r="B38" t="s">
        <v>11</v>
      </c>
      <c r="C38" s="121" t="e">
        <f>'C2 lossy RA'!AW56</f>
        <v>#DIV/0!</v>
      </c>
      <c r="D38" s="115"/>
      <c r="E38" s="115"/>
      <c r="F38" s="115"/>
      <c r="G38" s="115"/>
      <c r="H38" s="115"/>
      <c r="I38" s="115"/>
    </row>
    <row r="39" spans="2:9">
      <c r="B39" s="9" t="s">
        <v>12</v>
      </c>
      <c r="C39" s="122" t="e">
        <f>'C2 lossy RA'!AX56</f>
        <v>#DIV/0!</v>
      </c>
      <c r="D39" s="116"/>
      <c r="E39" s="116"/>
      <c r="F39" s="116"/>
      <c r="G39" s="116"/>
      <c r="H39" s="116"/>
      <c r="I39" s="116"/>
    </row>
  </sheetData>
  <mergeCells count="15">
    <mergeCell ref="C38:I38"/>
    <mergeCell ref="C39:I39"/>
    <mergeCell ref="C25:I25"/>
    <mergeCell ref="C26:I26"/>
    <mergeCell ref="B30:B32"/>
    <mergeCell ref="C30:I30"/>
    <mergeCell ref="C31:G31"/>
    <mergeCell ref="H31:I31"/>
    <mergeCell ref="C1:E1"/>
    <mergeCell ref="C2:E2"/>
    <mergeCell ref="B6:B8"/>
    <mergeCell ref="B17:B19"/>
    <mergeCell ref="C17:I17"/>
    <mergeCell ref="C18:G18"/>
    <mergeCell ref="H18:I18"/>
  </mergeCells>
  <phoneticPr fontId="2" type="noConversion"/>
  <conditionalFormatting sqref="C20:C24">
    <cfRule type="cellIs" dxfId="197" priority="15" operator="greaterThanOrEqual">
      <formula>0.03</formula>
    </cfRule>
    <cfRule type="cellIs" dxfId="196" priority="16" operator="lessThanOrEqual">
      <formula>-0.03</formula>
    </cfRule>
  </conditionalFormatting>
  <conditionalFormatting sqref="C33:C37">
    <cfRule type="cellIs" dxfId="195" priority="17" operator="greaterThanOrEqual">
      <formula>0.03</formula>
    </cfRule>
    <cfRule type="cellIs" dxfId="194" priority="18" operator="lessThanOrEqual">
      <formula>-0.03</formula>
    </cfRule>
  </conditionalFormatting>
  <conditionalFormatting sqref="C9:C13">
    <cfRule type="cellIs" dxfId="193" priority="1" operator="greaterThanOrEqual">
      <formula>1.03</formula>
    </cfRule>
    <cfRule type="cellIs" dxfId="192" priority="2" operator="lessThanOrEqual">
      <formula>0.97</formula>
    </cfRule>
  </conditionalFormatting>
  <conditionalFormatting sqref="D20:D24">
    <cfRule type="cellIs" dxfId="191" priority="11" operator="greaterThanOrEqual">
      <formula>0.03</formula>
    </cfRule>
    <cfRule type="cellIs" dxfId="190" priority="12" operator="lessThanOrEqual">
      <formula>-0.03</formula>
    </cfRule>
  </conditionalFormatting>
  <conditionalFormatting sqref="D33:D37">
    <cfRule type="cellIs" dxfId="189" priority="21" operator="greaterThanOrEqual">
      <formula>0.03</formula>
    </cfRule>
    <cfRule type="cellIs" dxfId="188" priority="22" operator="lessThanOrEqual">
      <formula>-0.03</formula>
    </cfRule>
  </conditionalFormatting>
  <conditionalFormatting sqref="E20:E24">
    <cfRule type="cellIs" dxfId="187" priority="5" operator="greaterThanOrEqual">
      <formula>0.03</formula>
    </cfRule>
    <cfRule type="cellIs" dxfId="186" priority="6" operator="lessThanOrEqual">
      <formula>-0.03</formula>
    </cfRule>
  </conditionalFormatting>
  <conditionalFormatting sqref="E33:E37">
    <cfRule type="cellIs" dxfId="185" priority="25" operator="greaterThanOrEqual">
      <formula>0.03</formula>
    </cfRule>
    <cfRule type="cellIs" dxfId="184" priority="26" operator="lessThanOrEqual">
      <formula>-0.03</formula>
    </cfRule>
  </conditionalFormatting>
  <conditionalFormatting sqref="F20:F24">
    <cfRule type="cellIs" dxfId="183" priority="3" operator="greaterThanOrEqual">
      <formula>0.03</formula>
    </cfRule>
    <cfRule type="cellIs" dxfId="182" priority="4" operator="lessThanOrEqual">
      <formula>-0.03</formula>
    </cfRule>
  </conditionalFormatting>
  <conditionalFormatting sqref="F33:F37">
    <cfRule type="cellIs" dxfId="181" priority="29" operator="greaterThanOrEqual">
      <formula>0.03</formula>
    </cfRule>
    <cfRule type="cellIs" dxfId="180" priority="30" operator="lessThanOrEqual">
      <formula>-0.03</formula>
    </cfRule>
  </conditionalFormatting>
  <conditionalFormatting sqref="G20:G24">
    <cfRule type="cellIs" dxfId="179" priority="13" operator="greaterThanOrEqual">
      <formula>0.03</formula>
    </cfRule>
    <cfRule type="cellIs" dxfId="178" priority="14" operator="lessThanOrEqual">
      <formula>-0.03</formula>
    </cfRule>
  </conditionalFormatting>
  <conditionalFormatting sqref="G33:G37">
    <cfRule type="cellIs" dxfId="177" priority="19" operator="greaterThanOrEqual">
      <formula>0.03</formula>
    </cfRule>
    <cfRule type="cellIs" dxfId="176" priority="20" operator="lessThanOrEqual">
      <formula>-0.03</formula>
    </cfRule>
  </conditionalFormatting>
  <conditionalFormatting sqref="H20:H24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H33:H37">
    <cfRule type="cellIs" dxfId="173" priority="23" operator="greaterThanOrEqual">
      <formula>0.03</formula>
    </cfRule>
    <cfRule type="cellIs" dxfId="172" priority="24" operator="lessThanOrEqual">
      <formula>-0.03</formula>
    </cfRule>
  </conditionalFormatting>
  <conditionalFormatting sqref="I20:I24">
    <cfRule type="cellIs" dxfId="171" priority="7" operator="greaterThanOrEqual">
      <formula>0.03</formula>
    </cfRule>
    <cfRule type="cellIs" dxfId="170" priority="8" operator="lessThanOrEqual">
      <formula>-0.03</formula>
    </cfRule>
  </conditionalFormatting>
  <conditionalFormatting sqref="I33:I37">
    <cfRule type="cellIs" dxfId="169" priority="27" operator="greaterThanOrEqual">
      <formula>0.03</formula>
    </cfRule>
    <cfRule type="cellIs" dxfId="168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796875" defaultRowHeight="14.5"/>
  <cols>
    <col min="1" max="1" width="12.7265625" customWidth="1"/>
    <col min="2" max="2" width="24.7265625" customWidth="1"/>
    <col min="4" max="4" width="24.7265625" customWidth="1"/>
    <col min="9" max="9" width="16.7265625" customWidth="1"/>
  </cols>
  <sheetData>
    <row r="1" spans="1:14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>
      <c r="A2" t="s">
        <v>31</v>
      </c>
      <c r="B2" s="12" t="s">
        <v>430</v>
      </c>
      <c r="C2" t="s">
        <v>33</v>
      </c>
      <c r="I2" t="s">
        <v>34</v>
      </c>
      <c r="J2" t="s">
        <v>35</v>
      </c>
      <c r="M2" t="s">
        <v>438</v>
      </c>
      <c r="N2" t="s">
        <v>439</v>
      </c>
    </row>
    <row r="3" spans="1:14">
      <c r="I3" t="s">
        <v>36</v>
      </c>
      <c r="J3" t="s">
        <v>37</v>
      </c>
      <c r="M3" t="s">
        <v>38</v>
      </c>
      <c r="N3" t="s">
        <v>38</v>
      </c>
    </row>
    <row r="4" spans="1:14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>
      <c r="I11" t="s">
        <v>52</v>
      </c>
      <c r="J11" t="s">
        <v>76</v>
      </c>
      <c r="M11" t="s">
        <v>430</v>
      </c>
      <c r="N11" t="s">
        <v>430</v>
      </c>
    </row>
    <row r="12" spans="1:14">
      <c r="I12" t="s">
        <v>71</v>
      </c>
      <c r="J12" t="s">
        <v>77</v>
      </c>
    </row>
    <row r="13" spans="1:14">
      <c r="I13" t="s">
        <v>78</v>
      </c>
      <c r="J13" t="s">
        <v>79</v>
      </c>
    </row>
    <row r="14" spans="1:14">
      <c r="I14" t="s">
        <v>80</v>
      </c>
      <c r="J14" t="s">
        <v>81</v>
      </c>
    </row>
    <row r="15" spans="1:14">
      <c r="I15" t="s">
        <v>82</v>
      </c>
      <c r="J15" t="s">
        <v>83</v>
      </c>
    </row>
    <row r="16" spans="1:14">
      <c r="I16" t="s">
        <v>84</v>
      </c>
      <c r="J16" t="s">
        <v>85</v>
      </c>
    </row>
    <row r="17" spans="9:10">
      <c r="I17" t="s">
        <v>62</v>
      </c>
      <c r="J17" t="s">
        <v>86</v>
      </c>
    </row>
    <row r="18" spans="9:10">
      <c r="I18" t="s">
        <v>67</v>
      </c>
      <c r="J18" t="s">
        <v>87</v>
      </c>
    </row>
    <row r="19" spans="9:10">
      <c r="I19" t="s">
        <v>42</v>
      </c>
      <c r="J19" t="s">
        <v>88</v>
      </c>
    </row>
    <row r="20" spans="9:10">
      <c r="I20" t="s">
        <v>47</v>
      </c>
      <c r="J20" t="s">
        <v>89</v>
      </c>
    </row>
    <row r="21" spans="9:10">
      <c r="I21" t="s">
        <v>57</v>
      </c>
      <c r="J21" t="s">
        <v>90</v>
      </c>
    </row>
    <row r="22" spans="9:10">
      <c r="I22" t="s">
        <v>91</v>
      </c>
      <c r="J22" t="s">
        <v>92</v>
      </c>
    </row>
    <row r="23" spans="9:10">
      <c r="I23" t="s">
        <v>93</v>
      </c>
      <c r="J23" t="s">
        <v>94</v>
      </c>
    </row>
    <row r="24" spans="9:10">
      <c r="I24" t="s">
        <v>95</v>
      </c>
      <c r="J24" t="s">
        <v>96</v>
      </c>
    </row>
    <row r="25" spans="9:10">
      <c r="I25" t="s">
        <v>97</v>
      </c>
      <c r="J25" t="s">
        <v>98</v>
      </c>
    </row>
    <row r="26" spans="9:10">
      <c r="I26" t="s">
        <v>99</v>
      </c>
      <c r="J26" t="s">
        <v>100</v>
      </c>
    </row>
    <row r="27" spans="9:10">
      <c r="I27" t="s">
        <v>101</v>
      </c>
      <c r="J27" t="s">
        <v>102</v>
      </c>
    </row>
    <row r="28" spans="9:10">
      <c r="I28" t="s">
        <v>103</v>
      </c>
      <c r="J28" t="s">
        <v>104</v>
      </c>
    </row>
    <row r="29" spans="9:10">
      <c r="I29" t="s">
        <v>105</v>
      </c>
      <c r="J29" t="s">
        <v>106</v>
      </c>
    </row>
    <row r="30" spans="9:10">
      <c r="I30" t="s">
        <v>107</v>
      </c>
      <c r="J30" t="s">
        <v>108</v>
      </c>
    </row>
    <row r="31" spans="9:10">
      <c r="I31" t="s">
        <v>109</v>
      </c>
      <c r="J31" t="s">
        <v>110</v>
      </c>
    </row>
    <row r="32" spans="9:10">
      <c r="I32" t="s">
        <v>111</v>
      </c>
      <c r="J32" t="s">
        <v>112</v>
      </c>
    </row>
    <row r="33" spans="9:10">
      <c r="I33" t="s">
        <v>113</v>
      </c>
      <c r="J33" t="s">
        <v>114</v>
      </c>
    </row>
    <row r="34" spans="9:10">
      <c r="I34" t="s">
        <v>115</v>
      </c>
      <c r="J34" t="s">
        <v>116</v>
      </c>
    </row>
    <row r="35" spans="9:10">
      <c r="I35" t="s">
        <v>117</v>
      </c>
      <c r="J35" t="s">
        <v>118</v>
      </c>
    </row>
    <row r="36" spans="9:10">
      <c r="I36" t="s">
        <v>119</v>
      </c>
      <c r="J36" t="s">
        <v>120</v>
      </c>
    </row>
    <row r="37" spans="9:10">
      <c r="I37" t="s">
        <v>121</v>
      </c>
      <c r="J37" t="s">
        <v>122</v>
      </c>
    </row>
    <row r="38" spans="9:10">
      <c r="I38" t="s">
        <v>123</v>
      </c>
      <c r="J38" t="s">
        <v>124</v>
      </c>
    </row>
    <row r="39" spans="9:10">
      <c r="I39" t="s">
        <v>125</v>
      </c>
      <c r="J39" t="s">
        <v>126</v>
      </c>
    </row>
    <row r="40" spans="9:10">
      <c r="I40" t="s">
        <v>40</v>
      </c>
      <c r="J40" t="s">
        <v>127</v>
      </c>
    </row>
    <row r="41" spans="9:10">
      <c r="I41" t="s">
        <v>128</v>
      </c>
      <c r="J41" t="s">
        <v>129</v>
      </c>
    </row>
    <row r="42" spans="9:10">
      <c r="I42" t="s">
        <v>130</v>
      </c>
      <c r="J42" t="s">
        <v>131</v>
      </c>
    </row>
    <row r="43" spans="9:10">
      <c r="I43" t="s">
        <v>132</v>
      </c>
      <c r="J43" t="s">
        <v>133</v>
      </c>
    </row>
    <row r="44" spans="9:10">
      <c r="I44" t="s">
        <v>134</v>
      </c>
      <c r="J44" t="s">
        <v>135</v>
      </c>
    </row>
    <row r="45" spans="9:10">
      <c r="I45" t="s">
        <v>136</v>
      </c>
      <c r="J45" t="s">
        <v>137</v>
      </c>
    </row>
    <row r="46" spans="9:10">
      <c r="I46" t="s">
        <v>138</v>
      </c>
      <c r="J46" t="s">
        <v>139</v>
      </c>
    </row>
    <row r="47" spans="9:10">
      <c r="I47" t="s">
        <v>140</v>
      </c>
      <c r="J47" t="s">
        <v>141</v>
      </c>
    </row>
    <row r="48" spans="9:10">
      <c r="I48" t="s">
        <v>142</v>
      </c>
      <c r="J48" t="s">
        <v>143</v>
      </c>
    </row>
    <row r="49" spans="9:10">
      <c r="I49" t="s">
        <v>144</v>
      </c>
      <c r="J49" t="s">
        <v>145</v>
      </c>
    </row>
    <row r="50" spans="9:10">
      <c r="I50" t="s">
        <v>146</v>
      </c>
      <c r="J50" t="s">
        <v>147</v>
      </c>
    </row>
    <row r="51" spans="9:10">
      <c r="I51" t="s">
        <v>395</v>
      </c>
      <c r="J51" t="s">
        <v>391</v>
      </c>
    </row>
    <row r="52" spans="9:10">
      <c r="I52" t="s">
        <v>396</v>
      </c>
      <c r="J52" t="s">
        <v>392</v>
      </c>
    </row>
    <row r="53" spans="9:10">
      <c r="I53" t="s">
        <v>373</v>
      </c>
      <c r="J53" t="s">
        <v>393</v>
      </c>
    </row>
    <row r="54" spans="9:10">
      <c r="I54" t="s">
        <v>397</v>
      </c>
      <c r="J54" t="s">
        <v>394</v>
      </c>
    </row>
  </sheetData>
  <phoneticPr fontId="2" type="noConversion"/>
  <conditionalFormatting sqref="B2">
    <cfRule type="expression" dxfId="167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66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18" sqref="I18"/>
    </sheetView>
  </sheetViews>
  <sheetFormatPr defaultColWidth="9.1796875" defaultRowHeight="14.5"/>
  <cols>
    <col min="2" max="2" width="24.7265625" customWidth="1"/>
    <col min="3" max="4" width="10.7265625" customWidth="1"/>
    <col min="7" max="7" width="1.7265625" customWidth="1"/>
    <col min="9" max="9" width="10.7265625" customWidth="1"/>
    <col min="10" max="11" width="12.7265625" customWidth="1"/>
    <col min="14" max="14" width="1.7265625" customWidth="1"/>
    <col min="16" max="16" width="10.7265625" customWidth="1"/>
    <col min="17" max="18" width="12.7265625" customWidth="1"/>
    <col min="21" max="21" width="1.7265625" customWidth="1"/>
    <col min="23" max="23" width="1.7265625" customWidth="1"/>
  </cols>
  <sheetData>
    <row r="1" spans="1:24">
      <c r="A1" s="123" t="s">
        <v>148</v>
      </c>
      <c r="B1" s="115"/>
      <c r="C1" s="115"/>
      <c r="D1" s="115"/>
      <c r="E1" s="115"/>
      <c r="F1" s="115"/>
      <c r="H1" s="112" t="str">
        <f>Summary!C1</f>
        <v>anchor</v>
      </c>
      <c r="I1" s="115"/>
      <c r="J1" s="115"/>
      <c r="K1" s="115"/>
      <c r="L1" s="115"/>
      <c r="M1" s="115"/>
      <c r="O1" s="113" t="str">
        <f>Summary!C2</f>
        <v>proposal</v>
      </c>
      <c r="P1" s="115"/>
      <c r="Q1" s="115"/>
      <c r="R1" s="115"/>
      <c r="S1" s="115"/>
      <c r="T1" s="115"/>
    </row>
    <row r="2" spans="1:24" ht="30" customHeight="1" thickBot="1">
      <c r="A2" s="124" t="s">
        <v>151</v>
      </c>
      <c r="B2" s="125" t="s">
        <v>152</v>
      </c>
      <c r="C2" s="124" t="s">
        <v>153</v>
      </c>
      <c r="D2" s="125" t="s">
        <v>154</v>
      </c>
      <c r="E2" s="124" t="s">
        <v>155</v>
      </c>
      <c r="F2" s="125" t="s">
        <v>156</v>
      </c>
      <c r="H2" s="124" t="s">
        <v>127</v>
      </c>
      <c r="I2" s="125" t="s">
        <v>131</v>
      </c>
      <c r="J2" s="124" t="s">
        <v>120</v>
      </c>
      <c r="K2" s="87" t="s">
        <v>157</v>
      </c>
      <c r="L2" s="125" t="s">
        <v>122</v>
      </c>
      <c r="M2" s="124" t="s">
        <v>102</v>
      </c>
      <c r="O2" s="125" t="s">
        <v>127</v>
      </c>
      <c r="P2" s="124" t="s">
        <v>131</v>
      </c>
      <c r="Q2" s="125" t="s">
        <v>120</v>
      </c>
      <c r="R2" s="87" t="s">
        <v>157</v>
      </c>
      <c r="S2" s="124" t="s">
        <v>122</v>
      </c>
      <c r="T2" s="125" t="s">
        <v>102</v>
      </c>
      <c r="V2" s="124" t="s">
        <v>158</v>
      </c>
      <c r="X2" s="124" t="s">
        <v>159</v>
      </c>
    </row>
    <row r="3" spans="1:24" ht="15.75" customHeight="1" thickBot="1">
      <c r="A3" s="116"/>
      <c r="B3" s="116"/>
      <c r="C3" s="116"/>
      <c r="D3" s="116"/>
      <c r="E3" s="116"/>
      <c r="F3" s="116"/>
      <c r="H3" s="116"/>
      <c r="I3" s="116"/>
      <c r="J3" s="116"/>
      <c r="K3" s="13" t="s">
        <v>426</v>
      </c>
      <c r="L3" s="116"/>
      <c r="M3" s="116"/>
      <c r="O3" s="116"/>
      <c r="P3" s="116"/>
      <c r="Q3" s="116"/>
      <c r="R3" s="13" t="s">
        <v>426</v>
      </c>
      <c r="S3" s="116"/>
      <c r="T3" s="116"/>
      <c r="V3" s="116"/>
      <c r="X3" s="116"/>
    </row>
    <row r="4" spans="1:24" ht="48.75" hidden="1" customHeight="1" thickBot="1">
      <c r="A4" s="15" t="s">
        <v>160</v>
      </c>
      <c r="B4" s="16" t="s">
        <v>161</v>
      </c>
      <c r="C4" s="15" t="s">
        <v>162</v>
      </c>
      <c r="D4" s="16" t="s">
        <v>163</v>
      </c>
      <c r="E4" s="15" t="s">
        <v>164</v>
      </c>
      <c r="F4" s="16" t="s">
        <v>165</v>
      </c>
      <c r="H4" s="15" t="s">
        <v>166</v>
      </c>
      <c r="I4" s="16" t="s">
        <v>167</v>
      </c>
      <c r="J4" s="15" t="s">
        <v>168</v>
      </c>
      <c r="K4" s="15"/>
      <c r="L4" s="16" t="s">
        <v>169</v>
      </c>
      <c r="M4" s="15" t="s">
        <v>170</v>
      </c>
      <c r="O4" s="16" t="s">
        <v>171</v>
      </c>
      <c r="P4" s="15" t="s">
        <v>172</v>
      </c>
      <c r="Q4" s="16" t="s">
        <v>173</v>
      </c>
      <c r="R4" s="16"/>
      <c r="S4" s="15" t="s">
        <v>174</v>
      </c>
      <c r="T4" s="16" t="s">
        <v>175</v>
      </c>
      <c r="V4" s="15" t="s">
        <v>176</v>
      </c>
    </row>
    <row r="5" spans="1:24" collapsed="1">
      <c r="A5" s="17" t="s">
        <v>177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 t="str">
        <f t="shared" ref="H5:H13" si="0">IF(OR(ISBLANK(J5),ISBLANK(F5)),"·",J5*F5/E5/1000000)</f>
        <v>·</v>
      </c>
      <c r="I5" s="21" t="str">
        <f t="shared" ref="I5:I13" si="1">IF(ISBLANK(J5),"·",J5/C5)</f>
        <v>·</v>
      </c>
      <c r="J5" s="22"/>
      <c r="K5" s="22"/>
      <c r="L5" s="23"/>
      <c r="M5" s="23"/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 t="str">
        <f t="shared" si="0"/>
        <v>·</v>
      </c>
      <c r="I6" s="29" t="str">
        <f t="shared" si="1"/>
        <v>·</v>
      </c>
      <c r="J6" s="30"/>
      <c r="K6" s="30"/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>
      <c r="A7" s="17" t="s">
        <v>178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 t="str">
        <f t="shared" si="0"/>
        <v>·</v>
      </c>
      <c r="I7" s="21" t="str">
        <f t="shared" si="1"/>
        <v>·</v>
      </c>
      <c r="J7" s="22"/>
      <c r="K7" s="22"/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 t="str">
        <f t="shared" si="0"/>
        <v>·</v>
      </c>
      <c r="I8" s="29" t="str">
        <f t="shared" si="1"/>
        <v>·</v>
      </c>
      <c r="J8" s="30"/>
      <c r="K8" s="30"/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>
      <c r="A9" s="17" t="s">
        <v>179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 t="str">
        <f t="shared" si="0"/>
        <v>·</v>
      </c>
      <c r="I9" s="21" t="str">
        <f t="shared" si="1"/>
        <v>·</v>
      </c>
      <c r="J9" s="22"/>
      <c r="K9" s="22"/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 t="str">
        <f t="shared" si="0"/>
        <v>·</v>
      </c>
      <c r="I10" s="37" t="str">
        <f t="shared" si="1"/>
        <v>·</v>
      </c>
      <c r="J10" s="38"/>
      <c r="K10" s="38"/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 t="str">
        <f t="shared" si="0"/>
        <v>·</v>
      </c>
      <c r="I11" s="21" t="str">
        <f t="shared" si="1"/>
        <v>·</v>
      </c>
      <c r="J11" s="22"/>
      <c r="K11" s="22"/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 t="str">
        <f t="shared" si="0"/>
        <v>·</v>
      </c>
      <c r="I12" s="29" t="str">
        <f t="shared" si="1"/>
        <v>·</v>
      </c>
      <c r="J12" s="30"/>
      <c r="K12" s="30"/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>
      <c r="A13" s="105" t="s">
        <v>429</v>
      </c>
      <c r="B13" s="105" t="s">
        <v>430</v>
      </c>
      <c r="C13" s="105">
        <v>199984</v>
      </c>
      <c r="D13" s="106">
        <v>10</v>
      </c>
      <c r="E13" s="107">
        <v>1</v>
      </c>
      <c r="F13" s="107">
        <v>30</v>
      </c>
      <c r="H13" s="108" t="str">
        <f t="shared" si="0"/>
        <v>·</v>
      </c>
      <c r="I13" s="109" t="str">
        <f t="shared" si="1"/>
        <v>·</v>
      </c>
      <c r="J13" s="110"/>
      <c r="K13" s="110"/>
      <c r="L13" s="111"/>
      <c r="M13" s="111"/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>
      <c r="B14" s="41" t="s">
        <v>7</v>
      </c>
      <c r="I14" s="42" t="e">
        <f>AVERAGE(I5:I6)</f>
        <v>#DIV/0!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>
      <c r="B15" s="41" t="s">
        <v>8</v>
      </c>
      <c r="I15" s="42" t="e">
        <f>AVERAGE(I7:I8)</f>
        <v>#DIV/0!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>
      <c r="B16" s="41" t="s">
        <v>9</v>
      </c>
      <c r="I16" s="42" t="e">
        <f>AVERAGE(I9:I12)</f>
        <v>#DIV/0!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>
      <c r="B17" s="41" t="s">
        <v>431</v>
      </c>
      <c r="I17" s="42" t="e">
        <f>AVERAGE(I13)</f>
        <v>#DIV/0!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>
      <c r="B18" s="41" t="s">
        <v>10</v>
      </c>
      <c r="I18" s="42" t="e">
        <f>AVERAGE(I5:I13)</f>
        <v>#DIV/0!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>
      <c r="A19" s="41" t="s">
        <v>180</v>
      </c>
      <c r="B19" s="41" t="s">
        <v>181</v>
      </c>
      <c r="L19" s="43">
        <f>SUM(L5:L6,L7:L8,L9:L12)</f>
        <v>0</v>
      </c>
      <c r="M19" s="43">
        <f>SUM(M5:M6,M7:M8,M9:M12)</f>
        <v>0</v>
      </c>
      <c r="S19" s="43">
        <f>SUM(S5:S6,S7:S8,S9:S12)</f>
        <v>0</v>
      </c>
      <c r="T19" s="43">
        <f>SUM(T5:T6,T7:T8,T9:T12)</f>
        <v>0</v>
      </c>
    </row>
    <row r="20" spans="1:24">
      <c r="B20" s="41" t="s">
        <v>182</v>
      </c>
      <c r="S20" s="8" t="e">
        <f>S19/L19</f>
        <v>#DIV/0!</v>
      </c>
      <c r="T20" s="8" t="e">
        <f>T19/M19</f>
        <v>#DIV/0!</v>
      </c>
    </row>
    <row r="22" spans="1:24">
      <c r="Q22" s="98">
        <f>Q5-J5</f>
        <v>0</v>
      </c>
      <c r="R22" s="98">
        <f>R5-K5</f>
        <v>0</v>
      </c>
    </row>
    <row r="23" spans="1:24">
      <c r="Q23" s="98">
        <f t="shared" ref="Q23:R23" si="6">Q6-J6</f>
        <v>0</v>
      </c>
      <c r="R23" s="98">
        <f t="shared" si="6"/>
        <v>0</v>
      </c>
    </row>
    <row r="24" spans="1:24">
      <c r="Q24" s="98">
        <f t="shared" ref="Q24:R24" si="7">Q7-J7</f>
        <v>0</v>
      </c>
      <c r="R24" s="98">
        <f t="shared" si="7"/>
        <v>0</v>
      </c>
    </row>
    <row r="25" spans="1:24">
      <c r="Q25" s="98">
        <f t="shared" ref="Q25:R25" si="8">Q8-J8</f>
        <v>0</v>
      </c>
      <c r="R25" s="98">
        <f t="shared" si="8"/>
        <v>0</v>
      </c>
    </row>
    <row r="26" spans="1:24">
      <c r="Q26" s="98">
        <f t="shared" ref="Q26:R26" si="9">Q9-J9</f>
        <v>0</v>
      </c>
      <c r="R26" s="98">
        <f t="shared" si="9"/>
        <v>0</v>
      </c>
    </row>
    <row r="27" spans="1:24">
      <c r="Q27" s="98">
        <f t="shared" ref="Q27:R27" si="10">Q10-J10</f>
        <v>0</v>
      </c>
      <c r="R27" s="98">
        <f t="shared" si="10"/>
        <v>0</v>
      </c>
    </row>
    <row r="28" spans="1:24">
      <c r="Q28" s="98">
        <f t="shared" ref="Q28:R28" si="11">Q11-J11</f>
        <v>0</v>
      </c>
      <c r="R28" s="98">
        <f t="shared" si="11"/>
        <v>0</v>
      </c>
    </row>
    <row r="29" spans="1:24">
      <c r="Q29" s="98">
        <f t="shared" ref="Q29:R29" si="12">Q12-J12</f>
        <v>0</v>
      </c>
      <c r="R29" s="98">
        <f t="shared" si="12"/>
        <v>0</v>
      </c>
    </row>
    <row r="30" spans="1:24">
      <c r="Q30" s="98"/>
      <c r="R30" s="98"/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8">
    <cfRule type="cellIs" dxfId="165" priority="5" operator="greaterThanOrEqual">
      <formula>1.03</formula>
    </cfRule>
    <cfRule type="cellIs" dxfId="164" priority="6" operator="lessThanOrEqual">
      <formula>0.97</formula>
    </cfRule>
  </conditionalFormatting>
  <conditionalFormatting sqref="X5:X13">
    <cfRule type="cellIs" dxfId="163" priority="3" operator="greaterThanOrEqual">
      <formula>0.1%</formula>
    </cfRule>
    <cfRule type="cellIs" dxfId="162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796875" defaultRowHeight="14.5"/>
  <cols>
    <col min="1" max="1" width="41.7265625" bestFit="1" customWidth="1"/>
  </cols>
  <sheetData>
    <row r="1" spans="1:2">
      <c r="A1" t="s">
        <v>183</v>
      </c>
      <c r="B1">
        <v>1</v>
      </c>
    </row>
    <row r="2" spans="1:2">
      <c r="A2" t="s">
        <v>184</v>
      </c>
      <c r="B2">
        <v>2</v>
      </c>
    </row>
    <row r="3" spans="1:2">
      <c r="A3" t="s">
        <v>185</v>
      </c>
      <c r="B3">
        <v>3</v>
      </c>
    </row>
    <row r="4" spans="1:2">
      <c r="A4" t="s">
        <v>186</v>
      </c>
      <c r="B4">
        <v>4</v>
      </c>
    </row>
    <row r="5" spans="1:2">
      <c r="A5" t="s">
        <v>187</v>
      </c>
      <c r="B5">
        <v>5</v>
      </c>
    </row>
    <row r="6" spans="1:2">
      <c r="A6" t="s">
        <v>188</v>
      </c>
      <c r="B6">
        <v>6</v>
      </c>
    </row>
    <row r="7" spans="1:2">
      <c r="A7" t="s">
        <v>189</v>
      </c>
      <c r="B7">
        <v>8</v>
      </c>
    </row>
    <row r="8" spans="1:2">
      <c r="A8" t="s">
        <v>190</v>
      </c>
      <c r="B8">
        <v>9</v>
      </c>
    </row>
    <row r="9" spans="1:2">
      <c r="A9" t="s">
        <v>191</v>
      </c>
      <c r="B9">
        <v>10</v>
      </c>
    </row>
    <row r="10" spans="1:2">
      <c r="A10" t="s">
        <v>192</v>
      </c>
      <c r="B10">
        <v>11</v>
      </c>
    </row>
    <row r="11" spans="1:2">
      <c r="A11" t="s">
        <v>193</v>
      </c>
      <c r="B11">
        <v>12</v>
      </c>
    </row>
    <row r="12" spans="1:2">
      <c r="A12" t="s">
        <v>194</v>
      </c>
      <c r="B12">
        <v>14</v>
      </c>
    </row>
    <row r="13" spans="1:2">
      <c r="A13" t="s">
        <v>195</v>
      </c>
      <c r="B13">
        <v>15</v>
      </c>
    </row>
    <row r="14" spans="1:2">
      <c r="A14" t="s">
        <v>196</v>
      </c>
      <c r="B14">
        <v>16</v>
      </c>
    </row>
    <row r="15" spans="1:2">
      <c r="A15" t="s">
        <v>197</v>
      </c>
      <c r="B15">
        <v>17</v>
      </c>
    </row>
    <row r="16" spans="1:2">
      <c r="A16" t="s">
        <v>198</v>
      </c>
      <c r="B16">
        <v>18</v>
      </c>
    </row>
    <row r="17" spans="1:2">
      <c r="A17" t="s">
        <v>199</v>
      </c>
      <c r="B17">
        <v>20</v>
      </c>
    </row>
    <row r="18" spans="1:2">
      <c r="A18" t="s">
        <v>200</v>
      </c>
      <c r="B18" t="s">
        <v>201</v>
      </c>
    </row>
    <row r="19" spans="1:2">
      <c r="A19" t="s">
        <v>202</v>
      </c>
      <c r="B19" t="s">
        <v>203</v>
      </c>
    </row>
    <row r="20" spans="1:2">
      <c r="A20" t="s">
        <v>204</v>
      </c>
      <c r="B20" t="s">
        <v>205</v>
      </c>
    </row>
    <row r="21" spans="1:2">
      <c r="A21" t="s">
        <v>206</v>
      </c>
      <c r="B21" t="s">
        <v>207</v>
      </c>
    </row>
    <row r="22" spans="1:2">
      <c r="A22" t="s">
        <v>208</v>
      </c>
      <c r="B22" t="s">
        <v>209</v>
      </c>
    </row>
    <row r="23" spans="1:2">
      <c r="A23" t="s">
        <v>210</v>
      </c>
      <c r="B23" t="s">
        <v>211</v>
      </c>
    </row>
    <row r="24" spans="1:2">
      <c r="A24" t="s">
        <v>212</v>
      </c>
      <c r="B24" t="s">
        <v>213</v>
      </c>
    </row>
    <row r="25" spans="1:2">
      <c r="A25" t="s">
        <v>214</v>
      </c>
      <c r="B25" t="s">
        <v>215</v>
      </c>
    </row>
    <row r="26" spans="1:2">
      <c r="A26" t="s">
        <v>216</v>
      </c>
      <c r="B26" t="s">
        <v>217</v>
      </c>
    </row>
    <row r="27" spans="1:2">
      <c r="A27" t="s">
        <v>218</v>
      </c>
      <c r="B27" t="s">
        <v>219</v>
      </c>
    </row>
    <row r="28" spans="1:2">
      <c r="A28" t="s">
        <v>434</v>
      </c>
      <c r="B28" s="97" t="s">
        <v>435</v>
      </c>
    </row>
    <row r="29" spans="1:2">
      <c r="A29" t="s">
        <v>220</v>
      </c>
      <c r="B29">
        <v>1</v>
      </c>
    </row>
    <row r="30" spans="1:2">
      <c r="A30" t="s">
        <v>221</v>
      </c>
      <c r="B30">
        <v>2</v>
      </c>
    </row>
    <row r="31" spans="1:2">
      <c r="A31" t="s">
        <v>222</v>
      </c>
      <c r="B31">
        <v>3</v>
      </c>
    </row>
    <row r="32" spans="1:2">
      <c r="A32" t="s">
        <v>223</v>
      </c>
      <c r="B32">
        <v>4</v>
      </c>
    </row>
    <row r="33" spans="1:2">
      <c r="A33" t="s">
        <v>224</v>
      </c>
      <c r="B33">
        <v>5</v>
      </c>
    </row>
    <row r="34" spans="1:2">
      <c r="A34" t="s">
        <v>225</v>
      </c>
      <c r="B34">
        <v>6</v>
      </c>
    </row>
    <row r="35" spans="1:2">
      <c r="A35" t="s">
        <v>226</v>
      </c>
      <c r="B35">
        <v>7</v>
      </c>
    </row>
    <row r="36" spans="1:2">
      <c r="A36" t="s">
        <v>227</v>
      </c>
      <c r="B36">
        <v>8</v>
      </c>
    </row>
    <row r="37" spans="1:2">
      <c r="A37" t="s">
        <v>228</v>
      </c>
      <c r="B37">
        <v>10</v>
      </c>
    </row>
    <row r="38" spans="1:2">
      <c r="A38" t="s">
        <v>229</v>
      </c>
      <c r="B38">
        <v>11</v>
      </c>
    </row>
    <row r="39" spans="1:2">
      <c r="A39" t="s">
        <v>410</v>
      </c>
      <c r="B39">
        <v>13</v>
      </c>
    </row>
    <row r="40" spans="1:2">
      <c r="A40" t="s">
        <v>230</v>
      </c>
      <c r="B40">
        <v>14</v>
      </c>
    </row>
    <row r="41" spans="1:2">
      <c r="A41" t="s">
        <v>231</v>
      </c>
      <c r="B41">
        <v>15</v>
      </c>
    </row>
    <row r="42" spans="1:2">
      <c r="A42" t="s">
        <v>409</v>
      </c>
      <c r="B42">
        <v>16</v>
      </c>
    </row>
    <row r="43" spans="1:2">
      <c r="A43" t="s">
        <v>408</v>
      </c>
      <c r="B43">
        <v>17</v>
      </c>
    </row>
    <row r="44" spans="1:2">
      <c r="A44" t="s">
        <v>232</v>
      </c>
      <c r="B44">
        <v>18</v>
      </c>
    </row>
    <row r="45" spans="1:2">
      <c r="A45" t="s">
        <v>233</v>
      </c>
      <c r="B45">
        <v>19</v>
      </c>
    </row>
    <row r="46" spans="1:2">
      <c r="A46" t="s">
        <v>375</v>
      </c>
      <c r="B46">
        <v>20</v>
      </c>
    </row>
    <row r="47" spans="1:2">
      <c r="A47" t="s">
        <v>234</v>
      </c>
      <c r="B47">
        <v>21</v>
      </c>
    </row>
    <row r="48" spans="1:2">
      <c r="A48" t="s">
        <v>235</v>
      </c>
      <c r="B48">
        <v>22</v>
      </c>
    </row>
    <row r="49" spans="1:2">
      <c r="A49" t="s">
        <v>236</v>
      </c>
      <c r="B49">
        <v>23</v>
      </c>
    </row>
    <row r="50" spans="1:2">
      <c r="A50" t="s">
        <v>237</v>
      </c>
      <c r="B50">
        <v>24</v>
      </c>
    </row>
    <row r="51" spans="1:2">
      <c r="A51" t="s">
        <v>238</v>
      </c>
      <c r="B51">
        <v>25</v>
      </c>
    </row>
    <row r="52" spans="1:2">
      <c r="A52" t="s">
        <v>239</v>
      </c>
      <c r="B52">
        <v>26</v>
      </c>
    </row>
    <row r="53" spans="1:2">
      <c r="A53" t="s">
        <v>240</v>
      </c>
      <c r="B53">
        <v>27</v>
      </c>
    </row>
    <row r="54" spans="1:2">
      <c r="A54" t="s">
        <v>241</v>
      </c>
      <c r="B54">
        <v>28</v>
      </c>
    </row>
    <row r="55" spans="1:2">
      <c r="A55" t="s">
        <v>242</v>
      </c>
      <c r="B55">
        <v>29</v>
      </c>
    </row>
    <row r="56" spans="1:2">
      <c r="A56" t="s">
        <v>243</v>
      </c>
      <c r="B56">
        <v>31</v>
      </c>
    </row>
    <row r="57" spans="1:2">
      <c r="A57" t="s">
        <v>244</v>
      </c>
      <c r="B57">
        <v>32</v>
      </c>
    </row>
    <row r="58" spans="1:2">
      <c r="A58" t="s">
        <v>404</v>
      </c>
      <c r="B58">
        <v>34</v>
      </c>
    </row>
    <row r="59" spans="1:2">
      <c r="A59" t="s">
        <v>245</v>
      </c>
      <c r="B59">
        <v>35</v>
      </c>
    </row>
    <row r="60" spans="1:2">
      <c r="A60" t="s">
        <v>246</v>
      </c>
      <c r="B60">
        <v>36</v>
      </c>
    </row>
    <row r="61" spans="1:2">
      <c r="A61" t="s">
        <v>405</v>
      </c>
      <c r="B61">
        <v>37</v>
      </c>
    </row>
    <row r="62" spans="1:2">
      <c r="A62" t="s">
        <v>406</v>
      </c>
      <c r="B62">
        <v>38</v>
      </c>
    </row>
    <row r="63" spans="1:2">
      <c r="A63" t="s">
        <v>247</v>
      </c>
      <c r="B63">
        <v>39</v>
      </c>
    </row>
    <row r="64" spans="1:2">
      <c r="A64" t="s">
        <v>248</v>
      </c>
      <c r="B64">
        <v>40</v>
      </c>
    </row>
    <row r="65" spans="1:2">
      <c r="A65" t="s">
        <v>407</v>
      </c>
      <c r="B65">
        <v>41</v>
      </c>
    </row>
    <row r="66" spans="1:2">
      <c r="A66" t="s">
        <v>249</v>
      </c>
      <c r="B66">
        <v>42</v>
      </c>
    </row>
    <row r="67" spans="1:2">
      <c r="A67" t="s">
        <v>250</v>
      </c>
      <c r="B67">
        <v>43</v>
      </c>
    </row>
    <row r="68" spans="1:2">
      <c r="A68" t="s">
        <v>251</v>
      </c>
      <c r="B68">
        <v>44</v>
      </c>
    </row>
    <row r="69" spans="1:2">
      <c r="A69" t="s">
        <v>252</v>
      </c>
      <c r="B69">
        <v>45</v>
      </c>
    </row>
    <row r="70" spans="1:2">
      <c r="A70" t="s">
        <v>253</v>
      </c>
      <c r="B70">
        <v>46</v>
      </c>
    </row>
    <row r="71" spans="1:2">
      <c r="A71" t="s">
        <v>254</v>
      </c>
      <c r="B71">
        <v>47</v>
      </c>
    </row>
    <row r="72" spans="1:2">
      <c r="A72" t="s">
        <v>255</v>
      </c>
      <c r="B72">
        <v>48</v>
      </c>
    </row>
    <row r="73" spans="1:2">
      <c r="A73" t="s">
        <v>256</v>
      </c>
      <c r="B73">
        <v>49</v>
      </c>
    </row>
    <row r="74" spans="1:2">
      <c r="A74" t="s">
        <v>257</v>
      </c>
      <c r="B74">
        <v>50</v>
      </c>
    </row>
    <row r="75" spans="1:2">
      <c r="A75" t="s">
        <v>258</v>
      </c>
      <c r="B75">
        <v>52</v>
      </c>
    </row>
    <row r="76" spans="1:2">
      <c r="A76" t="s">
        <v>259</v>
      </c>
      <c r="B76">
        <v>53</v>
      </c>
    </row>
    <row r="77" spans="1:2">
      <c r="A77" t="s">
        <v>260</v>
      </c>
      <c r="B77">
        <v>54</v>
      </c>
    </row>
    <row r="78" spans="1:2">
      <c r="A78" t="s">
        <v>261</v>
      </c>
      <c r="B78">
        <v>55</v>
      </c>
    </row>
    <row r="79" spans="1:2">
      <c r="A79" t="s">
        <v>262</v>
      </c>
      <c r="B79">
        <v>56</v>
      </c>
    </row>
    <row r="80" spans="1:2">
      <c r="A80" t="s">
        <v>263</v>
      </c>
      <c r="B80">
        <v>57</v>
      </c>
    </row>
    <row r="81" spans="1:19">
      <c r="A81" t="s">
        <v>264</v>
      </c>
      <c r="B81">
        <v>58</v>
      </c>
    </row>
    <row r="82" spans="1:19">
      <c r="A82" t="s">
        <v>265</v>
      </c>
      <c r="B82" t="s">
        <v>266</v>
      </c>
    </row>
    <row r="83" spans="1:19">
      <c r="A83" t="s">
        <v>267</v>
      </c>
      <c r="B83" s="97" t="s">
        <v>427</v>
      </c>
    </row>
    <row r="84" spans="1:19">
      <c r="A84" t="s">
        <v>268</v>
      </c>
      <c r="B84" s="97" t="s">
        <v>384</v>
      </c>
    </row>
    <row r="85" spans="1:19">
      <c r="A85" t="s">
        <v>269</v>
      </c>
      <c r="B85" s="97" t="s">
        <v>385</v>
      </c>
    </row>
    <row r="86" spans="1:19">
      <c r="A86" t="s">
        <v>270</v>
      </c>
      <c r="B86" s="97" t="s">
        <v>386</v>
      </c>
    </row>
    <row r="87" spans="1:19">
      <c r="A87" t="s">
        <v>271</v>
      </c>
      <c r="B87" s="97" t="s">
        <v>387</v>
      </c>
    </row>
    <row r="88" spans="1:19">
      <c r="A88" t="s">
        <v>272</v>
      </c>
      <c r="B88" s="97" t="s">
        <v>388</v>
      </c>
    </row>
    <row r="89" spans="1:19">
      <c r="A89" t="s">
        <v>273</v>
      </c>
      <c r="B89" s="97" t="s">
        <v>374</v>
      </c>
    </row>
    <row r="90" spans="1:19">
      <c r="A90" t="s">
        <v>274</v>
      </c>
      <c r="B90" s="97" t="s">
        <v>389</v>
      </c>
    </row>
    <row r="91" spans="1:19">
      <c r="A91" t="s">
        <v>275</v>
      </c>
      <c r="B91" s="97" t="s">
        <v>390</v>
      </c>
    </row>
    <row r="92" spans="1:19">
      <c r="A92" t="s">
        <v>432</v>
      </c>
      <c r="B92" s="97" t="s">
        <v>433</v>
      </c>
    </row>
    <row r="93" spans="1:19">
      <c r="A93" t="s">
        <v>276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395</v>
      </c>
      <c r="Q93" t="s">
        <v>396</v>
      </c>
      <c r="R93" t="s">
        <v>373</v>
      </c>
      <c r="S93" t="s">
        <v>397</v>
      </c>
    </row>
    <row r="94" spans="1:19">
      <c r="A94" t="s">
        <v>277</v>
      </c>
      <c r="B94">
        <v>1</v>
      </c>
    </row>
    <row r="95" spans="1:19">
      <c r="A95" t="s">
        <v>278</v>
      </c>
      <c r="B95">
        <v>2</v>
      </c>
    </row>
    <row r="96" spans="1:19">
      <c r="A96" t="s">
        <v>279</v>
      </c>
      <c r="B96">
        <v>3</v>
      </c>
    </row>
    <row r="97" spans="1:2">
      <c r="A97" t="s">
        <v>280</v>
      </c>
      <c r="B97">
        <v>4</v>
      </c>
    </row>
    <row r="98" spans="1:2">
      <c r="A98" t="s">
        <v>281</v>
      </c>
      <c r="B98">
        <v>5</v>
      </c>
    </row>
    <row r="99" spans="1:2">
      <c r="A99" t="s">
        <v>282</v>
      </c>
      <c r="B99">
        <v>6</v>
      </c>
    </row>
    <row r="100" spans="1:2">
      <c r="A100" t="s">
        <v>283</v>
      </c>
      <c r="B100">
        <v>7</v>
      </c>
    </row>
    <row r="101" spans="1:2">
      <c r="A101" t="s">
        <v>284</v>
      </c>
      <c r="B101">
        <v>8</v>
      </c>
    </row>
    <row r="102" spans="1:2">
      <c r="A102" t="s">
        <v>285</v>
      </c>
      <c r="B102">
        <v>10</v>
      </c>
    </row>
    <row r="103" spans="1:2">
      <c r="A103" t="s">
        <v>286</v>
      </c>
      <c r="B103">
        <v>11</v>
      </c>
    </row>
    <row r="104" spans="1:2">
      <c r="A104" t="s">
        <v>398</v>
      </c>
      <c r="B104">
        <v>13</v>
      </c>
    </row>
    <row r="105" spans="1:2">
      <c r="A105" t="s">
        <v>287</v>
      </c>
      <c r="B105">
        <v>14</v>
      </c>
    </row>
    <row r="106" spans="1:2">
      <c r="A106" t="s">
        <v>288</v>
      </c>
      <c r="B106">
        <v>15</v>
      </c>
    </row>
    <row r="107" spans="1:2">
      <c r="A107" t="s">
        <v>399</v>
      </c>
      <c r="B107">
        <v>16</v>
      </c>
    </row>
    <row r="108" spans="1:2">
      <c r="A108" t="s">
        <v>400</v>
      </c>
      <c r="B108">
        <v>17</v>
      </c>
    </row>
    <row r="109" spans="1:2">
      <c r="A109" t="s">
        <v>289</v>
      </c>
      <c r="B109">
        <v>18</v>
      </c>
    </row>
    <row r="110" spans="1:2">
      <c r="A110" t="s">
        <v>290</v>
      </c>
      <c r="B110">
        <v>19</v>
      </c>
    </row>
    <row r="111" spans="1:2">
      <c r="A111" t="s">
        <v>371</v>
      </c>
      <c r="B111">
        <v>20</v>
      </c>
    </row>
    <row r="112" spans="1:2">
      <c r="A112" t="s">
        <v>291</v>
      </c>
      <c r="B112">
        <v>21</v>
      </c>
    </row>
    <row r="113" spans="1:2">
      <c r="A113" t="s">
        <v>292</v>
      </c>
      <c r="B113">
        <v>22</v>
      </c>
    </row>
    <row r="114" spans="1:2">
      <c r="A114" t="s">
        <v>293</v>
      </c>
      <c r="B114">
        <v>23</v>
      </c>
    </row>
    <row r="115" spans="1:2">
      <c r="A115" t="s">
        <v>294</v>
      </c>
      <c r="B115">
        <v>24</v>
      </c>
    </row>
    <row r="116" spans="1:2">
      <c r="A116" t="s">
        <v>295</v>
      </c>
      <c r="B116">
        <v>25</v>
      </c>
    </row>
    <row r="117" spans="1:2">
      <c r="A117" t="s">
        <v>296</v>
      </c>
      <c r="B117">
        <v>26</v>
      </c>
    </row>
    <row r="118" spans="1:2">
      <c r="A118" t="s">
        <v>297</v>
      </c>
      <c r="B118">
        <v>27</v>
      </c>
    </row>
    <row r="119" spans="1:2">
      <c r="A119" t="s">
        <v>298</v>
      </c>
      <c r="B119">
        <v>28</v>
      </c>
    </row>
    <row r="120" spans="1:2">
      <c r="A120" t="s">
        <v>299</v>
      </c>
      <c r="B120">
        <v>29</v>
      </c>
    </row>
    <row r="121" spans="1:2">
      <c r="A121" t="s">
        <v>300</v>
      </c>
      <c r="B121">
        <v>31</v>
      </c>
    </row>
    <row r="122" spans="1:2">
      <c r="A122" t="s">
        <v>301</v>
      </c>
      <c r="B122">
        <v>32</v>
      </c>
    </row>
    <row r="123" spans="1:2">
      <c r="A123" t="s">
        <v>401</v>
      </c>
      <c r="B123">
        <v>34</v>
      </c>
    </row>
    <row r="124" spans="1:2">
      <c r="A124" t="s">
        <v>302</v>
      </c>
      <c r="B124">
        <v>35</v>
      </c>
    </row>
    <row r="125" spans="1:2">
      <c r="A125" t="s">
        <v>303</v>
      </c>
      <c r="B125">
        <v>36</v>
      </c>
    </row>
    <row r="126" spans="1:2">
      <c r="A126" t="s">
        <v>402</v>
      </c>
      <c r="B126">
        <v>37</v>
      </c>
    </row>
    <row r="127" spans="1:2">
      <c r="A127" t="s">
        <v>403</v>
      </c>
      <c r="B127">
        <v>38</v>
      </c>
    </row>
    <row r="128" spans="1:2">
      <c r="A128" t="s">
        <v>304</v>
      </c>
      <c r="B128">
        <v>39</v>
      </c>
    </row>
    <row r="129" spans="1:2">
      <c r="A129" t="s">
        <v>305</v>
      </c>
      <c r="B129">
        <v>40</v>
      </c>
    </row>
    <row r="130" spans="1:2">
      <c r="A130" t="s">
        <v>372</v>
      </c>
      <c r="B130">
        <v>41</v>
      </c>
    </row>
    <row r="131" spans="1:2">
      <c r="A131" t="s">
        <v>306</v>
      </c>
      <c r="B131">
        <v>42</v>
      </c>
    </row>
    <row r="132" spans="1:2">
      <c r="A132" t="s">
        <v>307</v>
      </c>
      <c r="B132">
        <v>43</v>
      </c>
    </row>
    <row r="133" spans="1:2">
      <c r="A133" t="s">
        <v>308</v>
      </c>
      <c r="B133">
        <v>44</v>
      </c>
    </row>
    <row r="134" spans="1:2">
      <c r="A134" t="s">
        <v>309</v>
      </c>
      <c r="B134">
        <v>45</v>
      </c>
    </row>
    <row r="135" spans="1:2">
      <c r="A135" t="s">
        <v>310</v>
      </c>
      <c r="B135">
        <v>46</v>
      </c>
    </row>
    <row r="136" spans="1:2">
      <c r="A136" t="s">
        <v>311</v>
      </c>
      <c r="B136">
        <v>47</v>
      </c>
    </row>
    <row r="137" spans="1:2">
      <c r="A137" t="s">
        <v>312</v>
      </c>
      <c r="B137">
        <v>48</v>
      </c>
    </row>
    <row r="138" spans="1:2">
      <c r="A138" t="s">
        <v>313</v>
      </c>
      <c r="B138">
        <v>49</v>
      </c>
    </row>
    <row r="139" spans="1:2">
      <c r="A139" t="s">
        <v>314</v>
      </c>
      <c r="B139">
        <v>50</v>
      </c>
    </row>
    <row r="140" spans="1:2">
      <c r="A140" t="s">
        <v>315</v>
      </c>
      <c r="B140">
        <v>52</v>
      </c>
    </row>
    <row r="141" spans="1:2">
      <c r="A141" t="s">
        <v>316</v>
      </c>
      <c r="B141">
        <v>53</v>
      </c>
    </row>
    <row r="142" spans="1:2">
      <c r="A142" t="s">
        <v>317</v>
      </c>
      <c r="B142">
        <v>54</v>
      </c>
    </row>
    <row r="143" spans="1:2">
      <c r="A143" t="s">
        <v>318</v>
      </c>
      <c r="B143">
        <v>55</v>
      </c>
    </row>
    <row r="144" spans="1:2">
      <c r="A144" t="s">
        <v>319</v>
      </c>
      <c r="B144">
        <v>56</v>
      </c>
    </row>
    <row r="145" spans="1:19">
      <c r="A145" t="s">
        <v>320</v>
      </c>
      <c r="B145">
        <v>57</v>
      </c>
    </row>
    <row r="146" spans="1:19">
      <c r="A146" t="s">
        <v>321</v>
      </c>
      <c r="B146">
        <v>58</v>
      </c>
    </row>
    <row r="147" spans="1:19">
      <c r="A147" t="s">
        <v>322</v>
      </c>
      <c r="B147" t="s">
        <v>323</v>
      </c>
    </row>
    <row r="148" spans="1:19">
      <c r="A148" t="s">
        <v>324</v>
      </c>
      <c r="B148" s="97" t="s">
        <v>428</v>
      </c>
    </row>
    <row r="149" spans="1:19">
      <c r="A149" t="s">
        <v>325</v>
      </c>
      <c r="B149" s="97" t="s">
        <v>376</v>
      </c>
    </row>
    <row r="150" spans="1:19">
      <c r="A150" t="s">
        <v>326</v>
      </c>
      <c r="B150" s="97" t="s">
        <v>377</v>
      </c>
    </row>
    <row r="151" spans="1:19">
      <c r="A151" t="s">
        <v>327</v>
      </c>
      <c r="B151" s="97" t="s">
        <v>378</v>
      </c>
    </row>
    <row r="152" spans="1:19">
      <c r="A152" t="s">
        <v>328</v>
      </c>
      <c r="B152" s="97" t="s">
        <v>379</v>
      </c>
    </row>
    <row r="153" spans="1:19">
      <c r="A153" t="s">
        <v>329</v>
      </c>
      <c r="B153" s="97" t="s">
        <v>380</v>
      </c>
    </row>
    <row r="154" spans="1:19">
      <c r="A154" t="s">
        <v>330</v>
      </c>
      <c r="B154" s="97" t="s">
        <v>381</v>
      </c>
    </row>
    <row r="155" spans="1:19">
      <c r="A155" t="s">
        <v>331</v>
      </c>
      <c r="B155" s="97" t="s">
        <v>382</v>
      </c>
    </row>
    <row r="156" spans="1:19">
      <c r="A156" t="s">
        <v>332</v>
      </c>
      <c r="B156" s="97" t="s">
        <v>383</v>
      </c>
    </row>
    <row r="157" spans="1:19">
      <c r="A157" t="s">
        <v>436</v>
      </c>
      <c r="B157" s="97" t="s">
        <v>437</v>
      </c>
    </row>
    <row r="158" spans="1:19">
      <c r="A158" t="s">
        <v>333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395</v>
      </c>
      <c r="Q158" t="s">
        <v>396</v>
      </c>
      <c r="R158" t="s">
        <v>373</v>
      </c>
      <c r="S158" t="s">
        <v>397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zoomScale="80" zoomScaleNormal="80" workbookViewId="0">
      <pane xSplit="2" ySplit="4" topLeftCell="BC46" activePane="bottomRight" state="frozen"/>
      <selection pane="topRight" activeCell="C1" sqref="C1"/>
      <selection pane="bottomLeft" activeCell="A5" sqref="A5"/>
      <selection pane="bottomRight" activeCell="BT55" sqref="BT55"/>
    </sheetView>
  </sheetViews>
  <sheetFormatPr defaultColWidth="9.1796875" defaultRowHeight="14.5" outlineLevelRow="1"/>
  <cols>
    <col min="2" max="2" width="24.7265625" customWidth="1"/>
    <col min="4" max="5" width="10.7265625" customWidth="1"/>
    <col min="9" max="9" width="1.7265625" customWidth="1"/>
    <col min="11" max="11" width="10.7265625" customWidth="1"/>
    <col min="12" max="13" width="12.54296875" customWidth="1"/>
    <col min="14" max="14" width="10.7265625" customWidth="1"/>
    <col min="15" max="20" width="12.7265625" customWidth="1"/>
    <col min="21" max="27" width="11.7265625" customWidth="1"/>
    <col min="30" max="30" width="1.7265625" customWidth="1"/>
    <col min="32" max="32" width="10.7265625" customWidth="1"/>
    <col min="33" max="34" width="12.54296875" customWidth="1"/>
    <col min="35" max="35" width="10.7265625" customWidth="1"/>
    <col min="36" max="41" width="12.7265625" customWidth="1"/>
    <col min="42" max="48" width="11.7265625" customWidth="1"/>
    <col min="51" max="51" width="1.7265625" customWidth="1"/>
    <col min="54" max="58" width="11.7265625" customWidth="1"/>
    <col min="59" max="59" width="1.7265625" customWidth="1"/>
    <col min="62" max="66" width="11.7265625" customWidth="1"/>
    <col min="67" max="67" width="1.7265625" customWidth="1"/>
  </cols>
  <sheetData>
    <row r="1" spans="1:72">
      <c r="A1" s="123" t="s">
        <v>334</v>
      </c>
      <c r="B1" s="115"/>
      <c r="C1" s="115"/>
      <c r="D1" s="115"/>
      <c r="E1" s="115"/>
      <c r="F1" s="115"/>
      <c r="G1" s="115"/>
      <c r="H1" s="115"/>
      <c r="J1" s="112" t="str">
        <f>Summary!C1</f>
        <v>anchor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 t="str">
        <f>Summary!C2</f>
        <v>proposal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>
      <c r="A2" s="124" t="s">
        <v>151</v>
      </c>
      <c r="B2" s="125" t="s">
        <v>152</v>
      </c>
      <c r="C2" s="124" t="s">
        <v>335</v>
      </c>
      <c r="D2" s="125" t="s">
        <v>153</v>
      </c>
      <c r="E2" s="124" t="s">
        <v>154</v>
      </c>
      <c r="F2" s="125" t="s">
        <v>155</v>
      </c>
      <c r="G2" s="124" t="s">
        <v>156</v>
      </c>
      <c r="H2" s="125" t="s">
        <v>336</v>
      </c>
      <c r="J2" s="124" t="s">
        <v>127</v>
      </c>
      <c r="K2" s="125" t="s">
        <v>131</v>
      </c>
      <c r="L2" s="126" t="s">
        <v>120</v>
      </c>
      <c r="M2" s="125" t="s">
        <v>370</v>
      </c>
      <c r="N2" s="124" t="s">
        <v>81</v>
      </c>
      <c r="O2" s="128" t="s">
        <v>120</v>
      </c>
      <c r="P2" s="128" t="s">
        <v>421</v>
      </c>
      <c r="Q2" s="128" t="s">
        <v>422</v>
      </c>
      <c r="R2" s="128" t="s">
        <v>423</v>
      </c>
      <c r="S2" s="128" t="s">
        <v>424</v>
      </c>
      <c r="T2" s="128" t="s">
        <v>425</v>
      </c>
      <c r="U2" s="129" t="s">
        <v>337</v>
      </c>
      <c r="V2" s="115"/>
      <c r="W2" s="115"/>
      <c r="X2" s="115"/>
      <c r="Y2" s="115"/>
      <c r="Z2" s="128" t="s">
        <v>338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370</v>
      </c>
      <c r="AI2" s="124" t="s">
        <v>81</v>
      </c>
      <c r="AJ2" s="125" t="s">
        <v>120</v>
      </c>
      <c r="AK2" s="128" t="s">
        <v>421</v>
      </c>
      <c r="AL2" s="128" t="s">
        <v>422</v>
      </c>
      <c r="AM2" s="128" t="s">
        <v>423</v>
      </c>
      <c r="AN2" s="128" t="s">
        <v>424</v>
      </c>
      <c r="AO2" s="128" t="s">
        <v>425</v>
      </c>
      <c r="AP2" s="129" t="s">
        <v>337</v>
      </c>
      <c r="AQ2" s="115"/>
      <c r="AR2" s="115"/>
      <c r="AS2" s="115"/>
      <c r="AT2" s="115"/>
      <c r="AU2" s="128" t="s">
        <v>338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411</v>
      </c>
      <c r="BI2" s="129"/>
      <c r="BJ2" s="130" t="s">
        <v>412</v>
      </c>
      <c r="BK2" s="130"/>
      <c r="BL2" s="130"/>
      <c r="BM2" s="124" t="s">
        <v>415</v>
      </c>
      <c r="BN2" s="125" t="s">
        <v>414</v>
      </c>
      <c r="BP2" s="124" t="s">
        <v>416</v>
      </c>
      <c r="BQ2" s="124" t="s">
        <v>417</v>
      </c>
      <c r="BR2" s="124" t="s">
        <v>419</v>
      </c>
      <c r="BS2" s="124" t="s">
        <v>418</v>
      </c>
      <c r="BT2" s="124" t="s">
        <v>420</v>
      </c>
    </row>
    <row r="3" spans="1:72" ht="33" customHeight="1" thickBot="1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25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1.5" hidden="1" customHeight="1" thickBot="1">
      <c r="A4" s="15" t="s">
        <v>160</v>
      </c>
      <c r="B4" s="16" t="s">
        <v>161</v>
      </c>
      <c r="C4" s="15" t="s">
        <v>339</v>
      </c>
      <c r="D4" s="16" t="s">
        <v>162</v>
      </c>
      <c r="E4" s="15" t="s">
        <v>163</v>
      </c>
      <c r="F4" s="16" t="s">
        <v>164</v>
      </c>
      <c r="G4" s="15" t="s">
        <v>165</v>
      </c>
      <c r="H4" s="16" t="s">
        <v>340</v>
      </c>
      <c r="J4" s="15" t="s">
        <v>166</v>
      </c>
      <c r="K4" s="16" t="s">
        <v>167</v>
      </c>
      <c r="L4" s="16"/>
      <c r="M4" s="16"/>
      <c r="N4" s="15" t="s">
        <v>341</v>
      </c>
      <c r="O4" s="16" t="s">
        <v>168</v>
      </c>
      <c r="P4" s="16"/>
      <c r="Q4" s="16"/>
      <c r="R4" s="16"/>
      <c r="S4" s="16"/>
      <c r="T4" s="16"/>
      <c r="U4" s="15" t="s">
        <v>342</v>
      </c>
      <c r="V4" s="15" t="s">
        <v>343</v>
      </c>
      <c r="W4" s="15" t="s">
        <v>344</v>
      </c>
      <c r="X4" s="15" t="s">
        <v>345</v>
      </c>
      <c r="Y4" s="15" t="s">
        <v>346</v>
      </c>
      <c r="Z4" s="16" t="s">
        <v>347</v>
      </c>
      <c r="AA4" s="16" t="s">
        <v>348</v>
      </c>
      <c r="AB4" s="15" t="s">
        <v>169</v>
      </c>
      <c r="AC4" s="16" t="s">
        <v>170</v>
      </c>
      <c r="AE4" s="15" t="s">
        <v>171</v>
      </c>
      <c r="AF4" s="16" t="s">
        <v>172</v>
      </c>
      <c r="AG4" s="16"/>
      <c r="AH4" s="16"/>
      <c r="AI4" s="15" t="s">
        <v>349</v>
      </c>
      <c r="AJ4" s="16" t="s">
        <v>173</v>
      </c>
      <c r="AK4" s="16"/>
      <c r="AL4" s="16"/>
      <c r="AM4" s="16"/>
      <c r="AN4" s="16"/>
      <c r="AO4" s="16"/>
      <c r="AP4" s="15" t="s">
        <v>350</v>
      </c>
      <c r="AQ4" s="15" t="s">
        <v>351</v>
      </c>
      <c r="AR4" s="15" t="s">
        <v>352</v>
      </c>
      <c r="AS4" s="15" t="s">
        <v>353</v>
      </c>
      <c r="AT4" s="15" t="s">
        <v>354</v>
      </c>
      <c r="AU4" s="16" t="s">
        <v>355</v>
      </c>
      <c r="AV4" s="16" t="s">
        <v>356</v>
      </c>
      <c r="AW4" s="15" t="s">
        <v>174</v>
      </c>
      <c r="AX4" s="16" t="s">
        <v>175</v>
      </c>
      <c r="AZ4" s="15" t="s">
        <v>357</v>
      </c>
      <c r="BA4" s="15" t="s">
        <v>358</v>
      </c>
      <c r="BB4" s="15" t="s">
        <v>359</v>
      </c>
      <c r="BC4" s="15" t="s">
        <v>360</v>
      </c>
      <c r="BD4" s="15" t="s">
        <v>361</v>
      </c>
      <c r="BE4" s="16" t="s">
        <v>362</v>
      </c>
      <c r="BF4" s="16" t="s">
        <v>363</v>
      </c>
      <c r="BH4" s="15" t="s">
        <v>357</v>
      </c>
      <c r="BI4" s="15" t="s">
        <v>358</v>
      </c>
      <c r="BJ4" s="15" t="s">
        <v>359</v>
      </c>
      <c r="BK4" s="15" t="s">
        <v>360</v>
      </c>
      <c r="BL4" s="15" t="s">
        <v>361</v>
      </c>
      <c r="BM4" s="16" t="s">
        <v>362</v>
      </c>
      <c r="BN4" s="16" t="s">
        <v>363</v>
      </c>
    </row>
    <row r="5" spans="1:72" ht="15" customHeight="1">
      <c r="A5" s="17" t="s">
        <v>177</v>
      </c>
      <c r="B5" s="17" t="s">
        <v>38</v>
      </c>
      <c r="C5" s="19" t="s">
        <v>364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 t="str">
        <f t="shared" ref="J5:J44" si="0">IF(OR(ISBLANK(O5),ISBLANK(G5)),"·",O5*G5/F5/1000000)</f>
        <v>·</v>
      </c>
      <c r="K5" s="21" t="str">
        <f t="shared" ref="K5:K44" si="1">IF(ISBLANK(O5),"·",O5/D5)</f>
        <v>·</v>
      </c>
      <c r="L5" s="19" t="str">
        <f t="shared" ref="L5:L44" si="2">IF(OR(ISBLANK(M5),ISBLANK(S5),ISBLANK(T5)),".",M5+S5+T5)</f>
        <v>.</v>
      </c>
      <c r="M5" s="19" t="str">
        <f t="shared" ref="M5:M44" si="3">IF(OR(ISBLANK(Q5),ISBLANK(P5),ISBLANK(R5)),".",P5+Q5+R5)</f>
        <v>.</v>
      </c>
      <c r="N5" s="44"/>
      <c r="O5" s="22"/>
      <c r="P5" s="22"/>
      <c r="Q5" s="22"/>
      <c r="R5" s="22"/>
      <c r="S5" s="22"/>
      <c r="T5" s="22"/>
      <c r="U5" s="45"/>
      <c r="V5" s="45"/>
      <c r="W5" s="45"/>
      <c r="X5" s="45"/>
      <c r="Y5" s="45"/>
      <c r="Z5" s="45"/>
      <c r="AA5" s="45"/>
      <c r="AB5" s="23"/>
      <c r="AC5" s="23"/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>
      <c r="A6" s="33"/>
      <c r="B6" s="33" t="s">
        <v>38</v>
      </c>
      <c r="C6" s="35" t="s">
        <v>365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 t="str">
        <f t="shared" si="0"/>
        <v>·</v>
      </c>
      <c r="K6" s="37" t="str">
        <f t="shared" si="1"/>
        <v>·</v>
      </c>
      <c r="L6" s="35" t="str">
        <f t="shared" si="2"/>
        <v>.</v>
      </c>
      <c r="M6" s="35" t="str">
        <f t="shared" si="3"/>
        <v>.</v>
      </c>
      <c r="N6" s="46"/>
      <c r="O6" s="38"/>
      <c r="P6" s="38"/>
      <c r="Q6" s="38"/>
      <c r="R6" s="38"/>
      <c r="S6" s="38"/>
      <c r="T6" s="38"/>
      <c r="U6" s="47"/>
      <c r="V6" s="47"/>
      <c r="W6" s="47"/>
      <c r="X6" s="47"/>
      <c r="Y6" s="47"/>
      <c r="Z6" s="47"/>
      <c r="AA6" s="47"/>
      <c r="AB6" s="39"/>
      <c r="AC6" s="39"/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>
      <c r="A7" s="17"/>
      <c r="B7" s="17" t="s">
        <v>38</v>
      </c>
      <c r="C7" s="19" t="s">
        <v>366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 t="str">
        <f t="shared" si="0"/>
        <v>·</v>
      </c>
      <c r="K7" s="21" t="str">
        <f t="shared" si="1"/>
        <v>·</v>
      </c>
      <c r="L7" s="19" t="str">
        <f t="shared" si="2"/>
        <v>.</v>
      </c>
      <c r="M7" s="19" t="str">
        <f t="shared" si="3"/>
        <v>.</v>
      </c>
      <c r="N7" s="44"/>
      <c r="O7" s="22"/>
      <c r="P7" s="22"/>
      <c r="Q7" s="22"/>
      <c r="R7" s="22"/>
      <c r="S7" s="22"/>
      <c r="T7" s="22"/>
      <c r="U7" s="45"/>
      <c r="V7" s="45"/>
      <c r="W7" s="45"/>
      <c r="X7" s="45"/>
      <c r="Y7" s="45"/>
      <c r="Z7" s="45"/>
      <c r="AA7" s="45"/>
      <c r="AB7" s="23"/>
      <c r="AC7" s="23"/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>
      <c r="A8" s="33"/>
      <c r="B8" s="33" t="s">
        <v>38</v>
      </c>
      <c r="C8" s="35" t="s">
        <v>367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 t="str">
        <f t="shared" si="0"/>
        <v>·</v>
      </c>
      <c r="K8" s="37" t="str">
        <f t="shared" si="1"/>
        <v>·</v>
      </c>
      <c r="L8" s="35" t="str">
        <f t="shared" si="2"/>
        <v>.</v>
      </c>
      <c r="M8" s="35" t="str">
        <f t="shared" si="3"/>
        <v>.</v>
      </c>
      <c r="N8" s="46"/>
      <c r="O8" s="38"/>
      <c r="P8" s="38"/>
      <c r="Q8" s="38"/>
      <c r="R8" s="38"/>
      <c r="S8" s="38"/>
      <c r="T8" s="38"/>
      <c r="U8" s="47"/>
      <c r="V8" s="47"/>
      <c r="W8" s="47"/>
      <c r="X8" s="47"/>
      <c r="Y8" s="47"/>
      <c r="Z8" s="47"/>
      <c r="AA8" s="47"/>
      <c r="AB8" s="39"/>
      <c r="AC8" s="39"/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>
      <c r="A9" s="17"/>
      <c r="B9" s="48" t="s">
        <v>38</v>
      </c>
      <c r="C9" s="49" t="s">
        <v>368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 t="str">
        <f t="shared" si="0"/>
        <v>·</v>
      </c>
      <c r="K9" s="52" t="str">
        <f t="shared" si="1"/>
        <v>·</v>
      </c>
      <c r="L9" s="49" t="str">
        <f t="shared" si="2"/>
        <v>.</v>
      </c>
      <c r="M9" s="49" t="str">
        <f t="shared" si="3"/>
        <v>.</v>
      </c>
      <c r="N9" s="53"/>
      <c r="O9" s="54"/>
      <c r="P9" s="54"/>
      <c r="Q9" s="54"/>
      <c r="R9" s="54"/>
      <c r="S9" s="54"/>
      <c r="T9" s="54"/>
      <c r="U9" s="55"/>
      <c r="V9" s="55"/>
      <c r="W9" s="55"/>
      <c r="X9" s="55"/>
      <c r="Y9" s="55"/>
      <c r="Z9" s="55"/>
      <c r="AA9" s="55"/>
      <c r="AB9" s="56"/>
      <c r="AC9" s="56"/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>
      <c r="A10" s="33"/>
      <c r="B10" s="33" t="s">
        <v>46</v>
      </c>
      <c r="C10" s="35" t="s">
        <v>364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 t="str">
        <f t="shared" si="0"/>
        <v>·</v>
      </c>
      <c r="K10" s="37" t="str">
        <f t="shared" si="1"/>
        <v>·</v>
      </c>
      <c r="L10" s="35" t="str">
        <f t="shared" si="2"/>
        <v>.</v>
      </c>
      <c r="M10" s="35" t="str">
        <f t="shared" si="3"/>
        <v>.</v>
      </c>
      <c r="N10" s="46"/>
      <c r="O10" s="38"/>
      <c r="P10" s="38"/>
      <c r="Q10" s="38"/>
      <c r="R10" s="38"/>
      <c r="S10" s="38"/>
      <c r="T10" s="38"/>
      <c r="U10" s="47"/>
      <c r="V10" s="47"/>
      <c r="W10" s="47"/>
      <c r="X10" s="47"/>
      <c r="Y10" s="47"/>
      <c r="Z10" s="47"/>
      <c r="AA10" s="47"/>
      <c r="AB10" s="39"/>
      <c r="AC10" s="39"/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>
      <c r="A11" s="17"/>
      <c r="B11" s="17" t="s">
        <v>46</v>
      </c>
      <c r="C11" s="19" t="s">
        <v>365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 t="str">
        <f t="shared" si="0"/>
        <v>·</v>
      </c>
      <c r="K11" s="21" t="str">
        <f t="shared" si="1"/>
        <v>·</v>
      </c>
      <c r="L11" s="19" t="str">
        <f t="shared" si="2"/>
        <v>.</v>
      </c>
      <c r="M11" s="19" t="str">
        <f t="shared" si="3"/>
        <v>.</v>
      </c>
      <c r="N11" s="44"/>
      <c r="O11" s="22"/>
      <c r="P11" s="22"/>
      <c r="Q11" s="22"/>
      <c r="R11" s="22"/>
      <c r="S11" s="22"/>
      <c r="T11" s="22"/>
      <c r="U11" s="45"/>
      <c r="V11" s="45"/>
      <c r="W11" s="45"/>
      <c r="X11" s="45"/>
      <c r="Y11" s="45"/>
      <c r="Z11" s="45"/>
      <c r="AA11" s="45"/>
      <c r="AB11" s="23"/>
      <c r="AC11" s="23"/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>
      <c r="A12" s="33"/>
      <c r="B12" s="33" t="s">
        <v>46</v>
      </c>
      <c r="C12" s="35" t="s">
        <v>366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 t="str">
        <f t="shared" si="0"/>
        <v>·</v>
      </c>
      <c r="K12" s="37" t="str">
        <f t="shared" si="1"/>
        <v>·</v>
      </c>
      <c r="L12" s="35" t="str">
        <f t="shared" si="2"/>
        <v>.</v>
      </c>
      <c r="M12" s="35" t="str">
        <f t="shared" si="3"/>
        <v>.</v>
      </c>
      <c r="N12" s="46"/>
      <c r="O12" s="38"/>
      <c r="P12" s="38"/>
      <c r="Q12" s="38"/>
      <c r="R12" s="38"/>
      <c r="S12" s="38"/>
      <c r="T12" s="38"/>
      <c r="U12" s="47"/>
      <c r="V12" s="47"/>
      <c r="W12" s="47"/>
      <c r="X12" s="47"/>
      <c r="Y12" s="47"/>
      <c r="Z12" s="47"/>
      <c r="AA12" s="47"/>
      <c r="AB12" s="39"/>
      <c r="AC12" s="39"/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>
      <c r="A13" s="17"/>
      <c r="B13" s="17" t="s">
        <v>46</v>
      </c>
      <c r="C13" s="19" t="s">
        <v>367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 t="str">
        <f t="shared" si="0"/>
        <v>·</v>
      </c>
      <c r="K13" s="21" t="str">
        <f t="shared" si="1"/>
        <v>·</v>
      </c>
      <c r="L13" s="19" t="str">
        <f t="shared" si="2"/>
        <v>.</v>
      </c>
      <c r="M13" s="19" t="str">
        <f t="shared" si="3"/>
        <v>.</v>
      </c>
      <c r="N13" s="44"/>
      <c r="O13" s="22"/>
      <c r="P13" s="22"/>
      <c r="Q13" s="22"/>
      <c r="R13" s="22"/>
      <c r="S13" s="22"/>
      <c r="T13" s="22"/>
      <c r="U13" s="45"/>
      <c r="V13" s="45"/>
      <c r="W13" s="45"/>
      <c r="X13" s="45"/>
      <c r="Y13" s="45"/>
      <c r="Z13" s="45"/>
      <c r="AA13" s="45"/>
      <c r="AB13" s="23"/>
      <c r="AC13" s="23"/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>
      <c r="A14" s="25"/>
      <c r="B14" s="25" t="s">
        <v>46</v>
      </c>
      <c r="C14" s="27" t="s">
        <v>368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 t="str">
        <f t="shared" si="0"/>
        <v>·</v>
      </c>
      <c r="K14" s="29" t="str">
        <f t="shared" si="1"/>
        <v>·</v>
      </c>
      <c r="L14" s="27" t="str">
        <f t="shared" si="2"/>
        <v>.</v>
      </c>
      <c r="M14" s="27" t="str">
        <f t="shared" si="3"/>
        <v>.</v>
      </c>
      <c r="N14" s="58"/>
      <c r="O14" s="30"/>
      <c r="P14" s="30"/>
      <c r="Q14" s="30"/>
      <c r="R14" s="30"/>
      <c r="S14" s="30"/>
      <c r="T14" s="30"/>
      <c r="U14" s="59"/>
      <c r="V14" s="59"/>
      <c r="W14" s="59"/>
      <c r="X14" s="59"/>
      <c r="Y14" s="59"/>
      <c r="Z14" s="59"/>
      <c r="AA14" s="59"/>
      <c r="AB14" s="31"/>
      <c r="AC14" s="31"/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>
      <c r="A15" s="17" t="s">
        <v>178</v>
      </c>
      <c r="B15" s="17" t="s">
        <v>51</v>
      </c>
      <c r="C15" s="19" t="s">
        <v>364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 t="str">
        <f t="shared" si="0"/>
        <v>·</v>
      </c>
      <c r="K15" s="21" t="str">
        <f t="shared" si="1"/>
        <v>·</v>
      </c>
      <c r="L15" s="19" t="str">
        <f t="shared" si="2"/>
        <v>.</v>
      </c>
      <c r="M15" s="19" t="str">
        <f t="shared" si="3"/>
        <v>.</v>
      </c>
      <c r="N15" s="44"/>
      <c r="O15" s="22"/>
      <c r="P15" s="22"/>
      <c r="Q15" s="22"/>
      <c r="R15" s="22"/>
      <c r="S15" s="22"/>
      <c r="T15" s="22"/>
      <c r="U15" s="45"/>
      <c r="V15" s="45"/>
      <c r="W15" s="45"/>
      <c r="X15" s="45"/>
      <c r="Y15" s="45"/>
      <c r="Z15" s="45"/>
      <c r="AA15" s="45"/>
      <c r="AB15" s="23"/>
      <c r="AC15" s="23"/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>
      <c r="A16" s="33"/>
      <c r="B16" s="33" t="s">
        <v>51</v>
      </c>
      <c r="C16" s="35" t="s">
        <v>365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 t="str">
        <f t="shared" si="0"/>
        <v>·</v>
      </c>
      <c r="K16" s="37" t="str">
        <f t="shared" si="1"/>
        <v>·</v>
      </c>
      <c r="L16" s="35" t="str">
        <f t="shared" si="2"/>
        <v>.</v>
      </c>
      <c r="M16" s="35" t="str">
        <f t="shared" si="3"/>
        <v>.</v>
      </c>
      <c r="N16" s="46"/>
      <c r="O16" s="38"/>
      <c r="P16" s="38"/>
      <c r="Q16" s="38"/>
      <c r="R16" s="38"/>
      <c r="S16" s="38"/>
      <c r="T16" s="38"/>
      <c r="U16" s="47"/>
      <c r="V16" s="47"/>
      <c r="W16" s="47"/>
      <c r="X16" s="47"/>
      <c r="Y16" s="47"/>
      <c r="Z16" s="47"/>
      <c r="AA16" s="47"/>
      <c r="AB16" s="39"/>
      <c r="AC16" s="39"/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>
      <c r="A17" s="17"/>
      <c r="B17" s="17" t="s">
        <v>51</v>
      </c>
      <c r="C17" s="19" t="s">
        <v>366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 t="str">
        <f t="shared" si="0"/>
        <v>·</v>
      </c>
      <c r="K17" s="21" t="str">
        <f t="shared" si="1"/>
        <v>·</v>
      </c>
      <c r="L17" s="19" t="str">
        <f t="shared" si="2"/>
        <v>.</v>
      </c>
      <c r="M17" s="19" t="str">
        <f t="shared" si="3"/>
        <v>.</v>
      </c>
      <c r="N17" s="44"/>
      <c r="O17" s="22"/>
      <c r="P17" s="22"/>
      <c r="Q17" s="22"/>
      <c r="R17" s="22"/>
      <c r="S17" s="22"/>
      <c r="T17" s="22"/>
      <c r="U17" s="45"/>
      <c r="V17" s="45"/>
      <c r="W17" s="45"/>
      <c r="X17" s="45"/>
      <c r="Y17" s="45"/>
      <c r="Z17" s="45"/>
      <c r="AA17" s="45"/>
      <c r="AB17" s="23"/>
      <c r="AC17" s="23"/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>
      <c r="A18" s="33"/>
      <c r="B18" s="33" t="s">
        <v>51</v>
      </c>
      <c r="C18" s="35" t="s">
        <v>367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 t="str">
        <f t="shared" si="0"/>
        <v>·</v>
      </c>
      <c r="K18" s="37" t="str">
        <f t="shared" si="1"/>
        <v>·</v>
      </c>
      <c r="L18" s="35" t="str">
        <f t="shared" si="2"/>
        <v>.</v>
      </c>
      <c r="M18" s="35" t="str">
        <f t="shared" si="3"/>
        <v>.</v>
      </c>
      <c r="N18" s="46"/>
      <c r="O18" s="38"/>
      <c r="P18" s="38"/>
      <c r="Q18" s="38"/>
      <c r="R18" s="38"/>
      <c r="S18" s="38"/>
      <c r="T18" s="38"/>
      <c r="U18" s="47"/>
      <c r="V18" s="47"/>
      <c r="W18" s="47"/>
      <c r="X18" s="47"/>
      <c r="Y18" s="47"/>
      <c r="Z18" s="47"/>
      <c r="AA18" s="47"/>
      <c r="AB18" s="39"/>
      <c r="AC18" s="39"/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>
      <c r="A19" s="17"/>
      <c r="B19" s="48" t="s">
        <v>51</v>
      </c>
      <c r="C19" s="49" t="s">
        <v>368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 t="str">
        <f t="shared" si="0"/>
        <v>·</v>
      </c>
      <c r="K19" s="52" t="str">
        <f t="shared" si="1"/>
        <v>·</v>
      </c>
      <c r="L19" s="49" t="str">
        <f t="shared" si="2"/>
        <v>.</v>
      </c>
      <c r="M19" s="49" t="str">
        <f t="shared" si="3"/>
        <v>.</v>
      </c>
      <c r="N19" s="53"/>
      <c r="O19" s="54"/>
      <c r="P19" s="54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5"/>
      <c r="AB19" s="56"/>
      <c r="AC19" s="56"/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>
      <c r="A20" s="33"/>
      <c r="B20" s="33" t="s">
        <v>56</v>
      </c>
      <c r="C20" s="35" t="s">
        <v>364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 t="str">
        <f t="shared" si="0"/>
        <v>·</v>
      </c>
      <c r="K20" s="37" t="str">
        <f t="shared" si="1"/>
        <v>·</v>
      </c>
      <c r="L20" s="35" t="str">
        <f t="shared" si="2"/>
        <v>.</v>
      </c>
      <c r="M20" s="35" t="str">
        <f t="shared" si="3"/>
        <v>.</v>
      </c>
      <c r="N20" s="46"/>
      <c r="O20" s="38"/>
      <c r="P20" s="38"/>
      <c r="Q20" s="38"/>
      <c r="R20" s="38"/>
      <c r="S20" s="38"/>
      <c r="T20" s="38"/>
      <c r="U20" s="47"/>
      <c r="V20" s="47"/>
      <c r="W20" s="47"/>
      <c r="X20" s="47"/>
      <c r="Y20" s="47"/>
      <c r="Z20" s="47"/>
      <c r="AA20" s="47"/>
      <c r="AB20" s="39"/>
      <c r="AC20" s="39"/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>
      <c r="A21" s="17"/>
      <c r="B21" s="17" t="s">
        <v>56</v>
      </c>
      <c r="C21" s="19" t="s">
        <v>365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 t="str">
        <f t="shared" si="0"/>
        <v>·</v>
      </c>
      <c r="K21" s="21" t="str">
        <f t="shared" si="1"/>
        <v>·</v>
      </c>
      <c r="L21" s="19" t="str">
        <f t="shared" si="2"/>
        <v>.</v>
      </c>
      <c r="M21" s="19" t="str">
        <f t="shared" si="3"/>
        <v>.</v>
      </c>
      <c r="N21" s="44"/>
      <c r="O21" s="22"/>
      <c r="P21" s="22"/>
      <c r="Q21" s="22"/>
      <c r="R21" s="22"/>
      <c r="S21" s="22"/>
      <c r="T21" s="22"/>
      <c r="U21" s="45"/>
      <c r="V21" s="45"/>
      <c r="W21" s="45"/>
      <c r="X21" s="45"/>
      <c r="Y21" s="45"/>
      <c r="Z21" s="45"/>
      <c r="AA21" s="45"/>
      <c r="AB21" s="23"/>
      <c r="AC21" s="23"/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>
      <c r="A22" s="33"/>
      <c r="B22" s="33" t="s">
        <v>56</v>
      </c>
      <c r="C22" s="35" t="s">
        <v>366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 t="str">
        <f t="shared" si="0"/>
        <v>·</v>
      </c>
      <c r="K22" s="37" t="str">
        <f t="shared" si="1"/>
        <v>·</v>
      </c>
      <c r="L22" s="35" t="str">
        <f t="shared" si="2"/>
        <v>.</v>
      </c>
      <c r="M22" s="35" t="str">
        <f t="shared" si="3"/>
        <v>.</v>
      </c>
      <c r="N22" s="46"/>
      <c r="O22" s="38"/>
      <c r="P22" s="38"/>
      <c r="Q22" s="38"/>
      <c r="R22" s="38"/>
      <c r="S22" s="38"/>
      <c r="T22" s="38"/>
      <c r="U22" s="47"/>
      <c r="V22" s="47"/>
      <c r="W22" s="47"/>
      <c r="X22" s="47"/>
      <c r="Y22" s="47"/>
      <c r="Z22" s="47"/>
      <c r="AA22" s="47"/>
      <c r="AB22" s="39"/>
      <c r="AC22" s="39"/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>
      <c r="A23" s="17"/>
      <c r="B23" s="17" t="s">
        <v>56</v>
      </c>
      <c r="C23" s="19" t="s">
        <v>367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 t="str">
        <f t="shared" si="0"/>
        <v>·</v>
      </c>
      <c r="K23" s="21" t="str">
        <f t="shared" si="1"/>
        <v>·</v>
      </c>
      <c r="L23" s="19" t="str">
        <f t="shared" si="2"/>
        <v>.</v>
      </c>
      <c r="M23" s="19" t="str">
        <f t="shared" si="3"/>
        <v>.</v>
      </c>
      <c r="N23" s="44"/>
      <c r="O23" s="22"/>
      <c r="P23" s="22"/>
      <c r="Q23" s="22"/>
      <c r="R23" s="22"/>
      <c r="S23" s="22"/>
      <c r="T23" s="22"/>
      <c r="U23" s="45"/>
      <c r="V23" s="45"/>
      <c r="W23" s="45"/>
      <c r="X23" s="45"/>
      <c r="Y23" s="45"/>
      <c r="Z23" s="45"/>
      <c r="AA23" s="45"/>
      <c r="AB23" s="23"/>
      <c r="AC23" s="23"/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>
      <c r="A24" s="25"/>
      <c r="B24" s="25" t="s">
        <v>56</v>
      </c>
      <c r="C24" s="27" t="s">
        <v>368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 t="str">
        <f t="shared" si="0"/>
        <v>·</v>
      </c>
      <c r="K24" s="29" t="str">
        <f t="shared" si="1"/>
        <v>·</v>
      </c>
      <c r="L24" s="27" t="str">
        <f t="shared" si="2"/>
        <v>.</v>
      </c>
      <c r="M24" s="27" t="str">
        <f t="shared" si="3"/>
        <v>.</v>
      </c>
      <c r="N24" s="58"/>
      <c r="O24" s="30"/>
      <c r="P24" s="30"/>
      <c r="Q24" s="30"/>
      <c r="R24" s="30"/>
      <c r="S24" s="30"/>
      <c r="T24" s="30"/>
      <c r="U24" s="59"/>
      <c r="V24" s="59"/>
      <c r="W24" s="59"/>
      <c r="X24" s="59"/>
      <c r="Y24" s="59"/>
      <c r="Z24" s="59"/>
      <c r="AA24" s="59"/>
      <c r="AB24" s="31"/>
      <c r="AC24" s="31"/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>
      <c r="A25" s="17" t="s">
        <v>179</v>
      </c>
      <c r="B25" s="17" t="s">
        <v>61</v>
      </c>
      <c r="C25" s="19" t="s">
        <v>364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 t="str">
        <f t="shared" si="0"/>
        <v>·</v>
      </c>
      <c r="K25" s="21" t="str">
        <f t="shared" si="1"/>
        <v>·</v>
      </c>
      <c r="L25" s="19" t="str">
        <f t="shared" si="2"/>
        <v>.</v>
      </c>
      <c r="M25" s="19" t="str">
        <f t="shared" si="3"/>
        <v>.</v>
      </c>
      <c r="N25" s="44"/>
      <c r="O25" s="22"/>
      <c r="P25" s="22"/>
      <c r="Q25" s="22"/>
      <c r="R25" s="22"/>
      <c r="S25" s="22"/>
      <c r="T25" s="22"/>
      <c r="U25" s="45"/>
      <c r="V25" s="45"/>
      <c r="W25" s="45"/>
      <c r="X25" s="45"/>
      <c r="Y25" s="45"/>
      <c r="Z25" s="45"/>
      <c r="AA25" s="45"/>
      <c r="AB25" s="23"/>
      <c r="AC25" s="23"/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>
      <c r="A26" s="33"/>
      <c r="B26" s="33" t="s">
        <v>61</v>
      </c>
      <c r="C26" s="35" t="s">
        <v>365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 t="str">
        <f t="shared" si="0"/>
        <v>·</v>
      </c>
      <c r="K26" s="37" t="str">
        <f t="shared" si="1"/>
        <v>·</v>
      </c>
      <c r="L26" s="35" t="str">
        <f t="shared" si="2"/>
        <v>.</v>
      </c>
      <c r="M26" s="35" t="str">
        <f t="shared" si="3"/>
        <v>.</v>
      </c>
      <c r="N26" s="46"/>
      <c r="O26" s="38"/>
      <c r="P26" s="38"/>
      <c r="Q26" s="38"/>
      <c r="R26" s="38"/>
      <c r="S26" s="38"/>
      <c r="T26" s="38"/>
      <c r="U26" s="47"/>
      <c r="V26" s="47"/>
      <c r="W26" s="47"/>
      <c r="X26" s="47"/>
      <c r="Y26" s="47"/>
      <c r="Z26" s="47"/>
      <c r="AA26" s="47"/>
      <c r="AB26" s="39"/>
      <c r="AC26" s="39"/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>
      <c r="A27" s="17"/>
      <c r="B27" s="17" t="s">
        <v>61</v>
      </c>
      <c r="C27" s="19" t="s">
        <v>366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 t="str">
        <f t="shared" si="0"/>
        <v>·</v>
      </c>
      <c r="K27" s="21" t="str">
        <f t="shared" si="1"/>
        <v>·</v>
      </c>
      <c r="L27" s="19" t="str">
        <f t="shared" si="2"/>
        <v>.</v>
      </c>
      <c r="M27" s="19" t="str">
        <f t="shared" si="3"/>
        <v>.</v>
      </c>
      <c r="N27" s="44"/>
      <c r="O27" s="22"/>
      <c r="P27" s="22"/>
      <c r="Q27" s="22"/>
      <c r="R27" s="22"/>
      <c r="S27" s="22"/>
      <c r="T27" s="22"/>
      <c r="U27" s="45"/>
      <c r="V27" s="45"/>
      <c r="W27" s="45"/>
      <c r="X27" s="45"/>
      <c r="Y27" s="45"/>
      <c r="Z27" s="45"/>
      <c r="AA27" s="45"/>
      <c r="AB27" s="23"/>
      <c r="AC27" s="23"/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>
      <c r="A28" s="33"/>
      <c r="B28" s="33" t="s">
        <v>61</v>
      </c>
      <c r="C28" s="35" t="s">
        <v>367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 t="str">
        <f t="shared" si="0"/>
        <v>·</v>
      </c>
      <c r="K28" s="37" t="str">
        <f t="shared" si="1"/>
        <v>·</v>
      </c>
      <c r="L28" s="35" t="str">
        <f t="shared" si="2"/>
        <v>.</v>
      </c>
      <c r="M28" s="35" t="str">
        <f t="shared" si="3"/>
        <v>.</v>
      </c>
      <c r="N28" s="46"/>
      <c r="O28" s="38"/>
      <c r="P28" s="38"/>
      <c r="Q28" s="38"/>
      <c r="R28" s="38"/>
      <c r="S28" s="38"/>
      <c r="T28" s="38"/>
      <c r="U28" s="47"/>
      <c r="V28" s="47"/>
      <c r="W28" s="47"/>
      <c r="X28" s="47"/>
      <c r="Y28" s="47"/>
      <c r="Z28" s="47"/>
      <c r="AA28" s="47"/>
      <c r="AB28" s="39"/>
      <c r="AC28" s="39"/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>
      <c r="A29" s="17"/>
      <c r="B29" s="48" t="s">
        <v>61</v>
      </c>
      <c r="C29" s="49" t="s">
        <v>368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 t="str">
        <f t="shared" si="0"/>
        <v>·</v>
      </c>
      <c r="K29" s="52" t="str">
        <f t="shared" si="1"/>
        <v>·</v>
      </c>
      <c r="L29" s="49" t="str">
        <f t="shared" si="2"/>
        <v>.</v>
      </c>
      <c r="M29" s="49" t="str">
        <f t="shared" si="3"/>
        <v>.</v>
      </c>
      <c r="N29" s="53"/>
      <c r="O29" s="54"/>
      <c r="P29" s="54"/>
      <c r="Q29" s="54"/>
      <c r="R29" s="54"/>
      <c r="S29" s="54"/>
      <c r="T29" s="54"/>
      <c r="U29" s="55"/>
      <c r="V29" s="55"/>
      <c r="W29" s="55"/>
      <c r="X29" s="55"/>
      <c r="Y29" s="55"/>
      <c r="Z29" s="55"/>
      <c r="AA29" s="55"/>
      <c r="AB29" s="56"/>
      <c r="AC29" s="56"/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>
      <c r="A30" s="33"/>
      <c r="B30" s="33" t="s">
        <v>66</v>
      </c>
      <c r="C30" s="35" t="s">
        <v>364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 t="str">
        <f t="shared" si="0"/>
        <v>·</v>
      </c>
      <c r="K30" s="37" t="str">
        <f t="shared" si="1"/>
        <v>·</v>
      </c>
      <c r="L30" s="35" t="str">
        <f t="shared" si="2"/>
        <v>.</v>
      </c>
      <c r="M30" s="35" t="str">
        <f t="shared" si="3"/>
        <v>.</v>
      </c>
      <c r="N30" s="46"/>
      <c r="O30" s="38"/>
      <c r="P30" s="38"/>
      <c r="Q30" s="38"/>
      <c r="R30" s="38"/>
      <c r="S30" s="38"/>
      <c r="T30" s="38"/>
      <c r="U30" s="47"/>
      <c r="V30" s="47"/>
      <c r="W30" s="47"/>
      <c r="X30" s="47"/>
      <c r="Y30" s="47"/>
      <c r="Z30" s="47"/>
      <c r="AA30" s="47"/>
      <c r="AB30" s="39"/>
      <c r="AC30" s="39"/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>
      <c r="A31" s="17"/>
      <c r="B31" s="17" t="s">
        <v>66</v>
      </c>
      <c r="C31" s="19" t="s">
        <v>365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 t="str">
        <f t="shared" si="0"/>
        <v>·</v>
      </c>
      <c r="K31" s="21" t="str">
        <f t="shared" si="1"/>
        <v>·</v>
      </c>
      <c r="L31" s="19" t="str">
        <f t="shared" si="2"/>
        <v>.</v>
      </c>
      <c r="M31" s="19" t="str">
        <f t="shared" si="3"/>
        <v>.</v>
      </c>
      <c r="N31" s="44"/>
      <c r="O31" s="22"/>
      <c r="P31" s="22"/>
      <c r="Q31" s="22"/>
      <c r="R31" s="22"/>
      <c r="S31" s="22"/>
      <c r="T31" s="22"/>
      <c r="U31" s="45"/>
      <c r="V31" s="45"/>
      <c r="W31" s="45"/>
      <c r="X31" s="45"/>
      <c r="Y31" s="45"/>
      <c r="Z31" s="45"/>
      <c r="AA31" s="45"/>
      <c r="AB31" s="23"/>
      <c r="AC31" s="23"/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>
      <c r="A32" s="33"/>
      <c r="B32" s="33" t="s">
        <v>66</v>
      </c>
      <c r="C32" s="35" t="s">
        <v>366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 t="str">
        <f t="shared" si="0"/>
        <v>·</v>
      </c>
      <c r="K32" s="37" t="str">
        <f t="shared" si="1"/>
        <v>·</v>
      </c>
      <c r="L32" s="35" t="str">
        <f t="shared" si="2"/>
        <v>.</v>
      </c>
      <c r="M32" s="35" t="str">
        <f t="shared" si="3"/>
        <v>.</v>
      </c>
      <c r="N32" s="46"/>
      <c r="O32" s="38"/>
      <c r="P32" s="38"/>
      <c r="Q32" s="38"/>
      <c r="R32" s="38"/>
      <c r="S32" s="38"/>
      <c r="T32" s="38"/>
      <c r="U32" s="47"/>
      <c r="V32" s="47"/>
      <c r="W32" s="47"/>
      <c r="X32" s="47"/>
      <c r="Y32" s="47"/>
      <c r="Z32" s="47"/>
      <c r="AA32" s="47"/>
      <c r="AB32" s="39"/>
      <c r="AC32" s="39"/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>
      <c r="A33" s="17"/>
      <c r="B33" s="17" t="s">
        <v>66</v>
      </c>
      <c r="C33" s="19" t="s">
        <v>367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 t="str">
        <f t="shared" si="0"/>
        <v>·</v>
      </c>
      <c r="K33" s="21" t="str">
        <f t="shared" si="1"/>
        <v>·</v>
      </c>
      <c r="L33" s="19" t="str">
        <f t="shared" si="2"/>
        <v>.</v>
      </c>
      <c r="M33" s="19" t="str">
        <f t="shared" si="3"/>
        <v>.</v>
      </c>
      <c r="N33" s="44"/>
      <c r="O33" s="22"/>
      <c r="P33" s="22"/>
      <c r="Q33" s="22"/>
      <c r="R33" s="22"/>
      <c r="S33" s="22"/>
      <c r="T33" s="22"/>
      <c r="U33" s="45"/>
      <c r="V33" s="45"/>
      <c r="W33" s="45"/>
      <c r="X33" s="45"/>
      <c r="Y33" s="45"/>
      <c r="Z33" s="45"/>
      <c r="AA33" s="45"/>
      <c r="AB33" s="23"/>
      <c r="AC33" s="23"/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>
      <c r="A34" s="33"/>
      <c r="B34" s="25" t="s">
        <v>66</v>
      </c>
      <c r="C34" s="27" t="s">
        <v>368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 t="str">
        <f t="shared" si="0"/>
        <v>·</v>
      </c>
      <c r="K34" s="29" t="str">
        <f t="shared" si="1"/>
        <v>·</v>
      </c>
      <c r="L34" s="27" t="str">
        <f t="shared" si="2"/>
        <v>.</v>
      </c>
      <c r="M34" s="27" t="str">
        <f t="shared" si="3"/>
        <v>.</v>
      </c>
      <c r="N34" s="58"/>
      <c r="O34" s="30"/>
      <c r="P34" s="30"/>
      <c r="Q34" s="30"/>
      <c r="R34" s="30"/>
      <c r="S34" s="30"/>
      <c r="T34" s="30"/>
      <c r="U34" s="59"/>
      <c r="V34" s="59"/>
      <c r="W34" s="59"/>
      <c r="X34" s="59"/>
      <c r="Y34" s="59"/>
      <c r="Z34" s="59"/>
      <c r="AA34" s="59"/>
      <c r="AB34" s="31"/>
      <c r="AC34" s="31"/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>
      <c r="A35" s="17"/>
      <c r="B35" s="17" t="s">
        <v>32</v>
      </c>
      <c r="C35" s="19" t="s">
        <v>364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 t="str">
        <f t="shared" si="0"/>
        <v>·</v>
      </c>
      <c r="K35" s="21" t="str">
        <f t="shared" si="1"/>
        <v>·</v>
      </c>
      <c r="L35" s="19" t="str">
        <f t="shared" si="2"/>
        <v>.</v>
      </c>
      <c r="M35" s="19" t="str">
        <f t="shared" si="3"/>
        <v>.</v>
      </c>
      <c r="N35" s="44"/>
      <c r="O35" s="22"/>
      <c r="P35" s="22"/>
      <c r="Q35" s="22"/>
      <c r="R35" s="22"/>
      <c r="S35" s="22"/>
      <c r="T35" s="22"/>
      <c r="U35" s="45"/>
      <c r="V35" s="45"/>
      <c r="W35" s="45"/>
      <c r="X35" s="45"/>
      <c r="Y35" s="45"/>
      <c r="Z35" s="45"/>
      <c r="AA35" s="45"/>
      <c r="AB35" s="23"/>
      <c r="AC35" s="23"/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>
      <c r="A36" s="33"/>
      <c r="B36" s="33" t="s">
        <v>32</v>
      </c>
      <c r="C36" s="35" t="s">
        <v>365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 t="str">
        <f t="shared" si="0"/>
        <v>·</v>
      </c>
      <c r="K36" s="37" t="str">
        <f t="shared" si="1"/>
        <v>·</v>
      </c>
      <c r="L36" s="35" t="str">
        <f t="shared" si="2"/>
        <v>.</v>
      </c>
      <c r="M36" s="35" t="str">
        <f t="shared" si="3"/>
        <v>.</v>
      </c>
      <c r="N36" s="46"/>
      <c r="O36" s="38"/>
      <c r="P36" s="38"/>
      <c r="Q36" s="38"/>
      <c r="R36" s="38"/>
      <c r="S36" s="38"/>
      <c r="T36" s="38"/>
      <c r="U36" s="47"/>
      <c r="V36" s="47"/>
      <c r="W36" s="47"/>
      <c r="X36" s="47"/>
      <c r="Y36" s="47"/>
      <c r="Z36" s="47"/>
      <c r="AA36" s="47"/>
      <c r="AB36" s="39"/>
      <c r="AC36" s="39"/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>
      <c r="A37" s="17"/>
      <c r="B37" s="17" t="s">
        <v>32</v>
      </c>
      <c r="C37" s="19" t="s">
        <v>366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 t="str">
        <f t="shared" si="0"/>
        <v>·</v>
      </c>
      <c r="K37" s="21" t="str">
        <f t="shared" si="1"/>
        <v>·</v>
      </c>
      <c r="L37" s="19" t="str">
        <f t="shared" si="2"/>
        <v>.</v>
      </c>
      <c r="M37" s="19" t="str">
        <f t="shared" si="3"/>
        <v>.</v>
      </c>
      <c r="N37" s="44"/>
      <c r="O37" s="22"/>
      <c r="P37" s="22"/>
      <c r="Q37" s="22"/>
      <c r="R37" s="22"/>
      <c r="S37" s="22"/>
      <c r="T37" s="22"/>
      <c r="U37" s="45"/>
      <c r="V37" s="45"/>
      <c r="W37" s="45"/>
      <c r="X37" s="45"/>
      <c r="Y37" s="45"/>
      <c r="Z37" s="45"/>
      <c r="AA37" s="45"/>
      <c r="AB37" s="23"/>
      <c r="AC37" s="23"/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>
      <c r="A38" s="33"/>
      <c r="B38" s="33" t="s">
        <v>32</v>
      </c>
      <c r="C38" s="35" t="s">
        <v>367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 t="str">
        <f t="shared" si="0"/>
        <v>·</v>
      </c>
      <c r="K38" s="37" t="str">
        <f t="shared" si="1"/>
        <v>·</v>
      </c>
      <c r="L38" s="35" t="str">
        <f t="shared" si="2"/>
        <v>.</v>
      </c>
      <c r="M38" s="35" t="str">
        <f t="shared" si="3"/>
        <v>.</v>
      </c>
      <c r="N38" s="46"/>
      <c r="O38" s="38"/>
      <c r="P38" s="38"/>
      <c r="Q38" s="38"/>
      <c r="R38" s="38"/>
      <c r="S38" s="38"/>
      <c r="T38" s="38"/>
      <c r="U38" s="47"/>
      <c r="V38" s="47"/>
      <c r="W38" s="47"/>
      <c r="X38" s="47"/>
      <c r="Y38" s="47"/>
      <c r="Z38" s="47"/>
      <c r="AA38" s="47"/>
      <c r="AB38" s="39"/>
      <c r="AC38" s="39"/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>
      <c r="A39" s="17"/>
      <c r="B39" s="48" t="s">
        <v>32</v>
      </c>
      <c r="C39" s="49" t="s">
        <v>368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 t="str">
        <f t="shared" si="0"/>
        <v>·</v>
      </c>
      <c r="K39" s="52" t="str">
        <f t="shared" si="1"/>
        <v>·</v>
      </c>
      <c r="L39" s="49" t="str">
        <f t="shared" si="2"/>
        <v>.</v>
      </c>
      <c r="M39" s="49" t="str">
        <f t="shared" si="3"/>
        <v>.</v>
      </c>
      <c r="N39" s="53"/>
      <c r="O39" s="54"/>
      <c r="P39" s="54"/>
      <c r="Q39" s="54"/>
      <c r="R39" s="54"/>
      <c r="S39" s="54"/>
      <c r="T39" s="54"/>
      <c r="U39" s="55"/>
      <c r="V39" s="55"/>
      <c r="W39" s="55"/>
      <c r="X39" s="55"/>
      <c r="Y39" s="55"/>
      <c r="Z39" s="55"/>
      <c r="AA39" s="55"/>
      <c r="AB39" s="56"/>
      <c r="AC39" s="56"/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>
      <c r="A40" s="33"/>
      <c r="B40" s="33" t="s">
        <v>75</v>
      </c>
      <c r="C40" s="35" t="s">
        <v>364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 t="str">
        <f t="shared" si="0"/>
        <v>·</v>
      </c>
      <c r="K40" s="37" t="str">
        <f t="shared" si="1"/>
        <v>·</v>
      </c>
      <c r="L40" s="35" t="str">
        <f t="shared" si="2"/>
        <v>.</v>
      </c>
      <c r="M40" s="35" t="str">
        <f t="shared" si="3"/>
        <v>.</v>
      </c>
      <c r="N40" s="46"/>
      <c r="O40" s="38"/>
      <c r="P40" s="38"/>
      <c r="Q40" s="38"/>
      <c r="R40" s="38"/>
      <c r="S40" s="38"/>
      <c r="T40" s="38"/>
      <c r="U40" s="47"/>
      <c r="V40" s="47"/>
      <c r="W40" s="47"/>
      <c r="X40" s="47"/>
      <c r="Y40" s="47"/>
      <c r="Z40" s="47"/>
      <c r="AA40" s="47"/>
      <c r="AB40" s="39"/>
      <c r="AC40" s="39"/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>
      <c r="A41" s="17"/>
      <c r="B41" s="17" t="s">
        <v>75</v>
      </c>
      <c r="C41" s="19" t="s">
        <v>365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 t="str">
        <f t="shared" si="0"/>
        <v>·</v>
      </c>
      <c r="K41" s="21" t="str">
        <f t="shared" si="1"/>
        <v>·</v>
      </c>
      <c r="L41" s="19" t="str">
        <f t="shared" si="2"/>
        <v>.</v>
      </c>
      <c r="M41" s="19" t="str">
        <f t="shared" si="3"/>
        <v>.</v>
      </c>
      <c r="N41" s="44"/>
      <c r="O41" s="22"/>
      <c r="P41" s="22"/>
      <c r="Q41" s="22"/>
      <c r="R41" s="22"/>
      <c r="S41" s="22"/>
      <c r="T41" s="22"/>
      <c r="U41" s="45"/>
      <c r="V41" s="45"/>
      <c r="W41" s="45"/>
      <c r="X41" s="45"/>
      <c r="Y41" s="45"/>
      <c r="Z41" s="45"/>
      <c r="AA41" s="45"/>
      <c r="AB41" s="23"/>
      <c r="AC41" s="23"/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>
      <c r="A42" s="33"/>
      <c r="B42" s="33" t="s">
        <v>75</v>
      </c>
      <c r="C42" s="35" t="s">
        <v>366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 t="str">
        <f t="shared" si="0"/>
        <v>·</v>
      </c>
      <c r="K42" s="37" t="str">
        <f t="shared" si="1"/>
        <v>·</v>
      </c>
      <c r="L42" s="35" t="str">
        <f t="shared" si="2"/>
        <v>.</v>
      </c>
      <c r="M42" s="35" t="str">
        <f t="shared" si="3"/>
        <v>.</v>
      </c>
      <c r="N42" s="46"/>
      <c r="O42" s="38"/>
      <c r="P42" s="38"/>
      <c r="Q42" s="38"/>
      <c r="R42" s="38"/>
      <c r="S42" s="38"/>
      <c r="T42" s="38"/>
      <c r="U42" s="47"/>
      <c r="V42" s="47"/>
      <c r="W42" s="47"/>
      <c r="X42" s="47"/>
      <c r="Y42" s="47"/>
      <c r="Z42" s="47"/>
      <c r="AA42" s="47"/>
      <c r="AB42" s="39"/>
      <c r="AC42" s="39"/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>
      <c r="A43" s="17"/>
      <c r="B43" s="17" t="s">
        <v>75</v>
      </c>
      <c r="C43" s="19" t="s">
        <v>367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 t="str">
        <f t="shared" si="0"/>
        <v>·</v>
      </c>
      <c r="K43" s="21" t="str">
        <f t="shared" si="1"/>
        <v>·</v>
      </c>
      <c r="L43" s="19" t="str">
        <f t="shared" si="2"/>
        <v>.</v>
      </c>
      <c r="M43" s="19" t="str">
        <f t="shared" si="3"/>
        <v>.</v>
      </c>
      <c r="N43" s="44"/>
      <c r="O43" s="22"/>
      <c r="P43" s="22"/>
      <c r="Q43" s="22"/>
      <c r="R43" s="22"/>
      <c r="S43" s="22"/>
      <c r="T43" s="22"/>
      <c r="U43" s="45"/>
      <c r="V43" s="45"/>
      <c r="W43" s="45"/>
      <c r="X43" s="45"/>
      <c r="Y43" s="45"/>
      <c r="Z43" s="45"/>
      <c r="AA43" s="45"/>
      <c r="AB43" s="23"/>
      <c r="AC43" s="23"/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>
      <c r="A44" s="25"/>
      <c r="B44" s="25" t="s">
        <v>75</v>
      </c>
      <c r="C44" s="27" t="s">
        <v>368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 t="str">
        <f t="shared" si="0"/>
        <v>·</v>
      </c>
      <c r="K44" s="29" t="str">
        <f t="shared" si="1"/>
        <v>·</v>
      </c>
      <c r="L44" s="27" t="str">
        <f t="shared" si="2"/>
        <v>.</v>
      </c>
      <c r="M44" s="27" t="str">
        <f t="shared" si="3"/>
        <v>.</v>
      </c>
      <c r="N44" s="58"/>
      <c r="O44" s="30"/>
      <c r="P44" s="30"/>
      <c r="Q44" s="30"/>
      <c r="R44" s="30"/>
      <c r="S44" s="30"/>
      <c r="T44" s="30"/>
      <c r="U44" s="59"/>
      <c r="V44" s="59"/>
      <c r="W44" s="59"/>
      <c r="X44" s="59"/>
      <c r="Y44" s="59"/>
      <c r="Z44" s="59"/>
      <c r="AA44" s="59"/>
      <c r="AB44" s="31"/>
      <c r="AC44" s="31"/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>
      <c r="A45" s="17" t="s">
        <v>429</v>
      </c>
      <c r="B45" s="17" t="s">
        <v>430</v>
      </c>
      <c r="C45" s="19" t="s">
        <v>364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 t="str">
        <f t="shared" ref="J45:J49" si="12">IF(OR(ISBLANK(O45),ISBLANK(G45)),"·",O45*G45/F45/1000000)</f>
        <v>·</v>
      </c>
      <c r="K45" s="21" t="str">
        <f t="shared" ref="K45:K49" si="13">IF(ISBLANK(O45),"·",O45/D45)</f>
        <v>·</v>
      </c>
      <c r="L45" s="19" t="str">
        <f t="shared" ref="L45:L49" si="14">IF(OR(ISBLANK(M45),ISBLANK(S45),ISBLANK(T45)),".",M45+S45+T45)</f>
        <v>.</v>
      </c>
      <c r="M45" s="19" t="str">
        <f t="shared" ref="M45:M49" si="15">IF(OR(ISBLANK(Q45),ISBLANK(P45),ISBLANK(R45)),".",P45+Q45+R45)</f>
        <v>.</v>
      </c>
      <c r="N45" s="44"/>
      <c r="O45" s="22"/>
      <c r="P45" s="22"/>
      <c r="Q45" s="22"/>
      <c r="R45" s="22"/>
      <c r="S45" s="22"/>
      <c r="T45" s="22"/>
      <c r="U45" s="45"/>
      <c r="V45" s="45"/>
      <c r="W45" s="45"/>
      <c r="X45" s="45"/>
      <c r="Y45" s="45"/>
      <c r="Z45" s="45"/>
      <c r="AA45" s="45"/>
      <c r="AB45" s="23"/>
      <c r="AC45" s="23"/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>
      <c r="A46" s="33"/>
      <c r="B46" s="33" t="s">
        <v>430</v>
      </c>
      <c r="C46" s="35" t="s">
        <v>365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 t="str">
        <f t="shared" si="12"/>
        <v>·</v>
      </c>
      <c r="K46" s="37" t="str">
        <f t="shared" si="13"/>
        <v>·</v>
      </c>
      <c r="L46" s="35" t="str">
        <f t="shared" si="14"/>
        <v>.</v>
      </c>
      <c r="M46" s="35" t="str">
        <f t="shared" si="15"/>
        <v>.</v>
      </c>
      <c r="N46" s="46"/>
      <c r="O46" s="38"/>
      <c r="P46" s="38"/>
      <c r="Q46" s="38"/>
      <c r="R46" s="38"/>
      <c r="S46" s="38"/>
      <c r="T46" s="38"/>
      <c r="U46" s="47"/>
      <c r="V46" s="47"/>
      <c r="W46" s="47"/>
      <c r="X46" s="47"/>
      <c r="Y46" s="47"/>
      <c r="Z46" s="47"/>
      <c r="AA46" s="47"/>
      <c r="AB46" s="39"/>
      <c r="AC46" s="39"/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>
      <c r="A47" s="17"/>
      <c r="B47" s="17" t="s">
        <v>430</v>
      </c>
      <c r="C47" s="19" t="s">
        <v>366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 t="str">
        <f t="shared" si="12"/>
        <v>·</v>
      </c>
      <c r="K47" s="21" t="str">
        <f t="shared" si="13"/>
        <v>·</v>
      </c>
      <c r="L47" s="19" t="str">
        <f t="shared" si="14"/>
        <v>.</v>
      </c>
      <c r="M47" s="19" t="str">
        <f t="shared" si="15"/>
        <v>.</v>
      </c>
      <c r="N47" s="44"/>
      <c r="O47" s="22"/>
      <c r="P47" s="22"/>
      <c r="Q47" s="22"/>
      <c r="R47" s="22"/>
      <c r="S47" s="22"/>
      <c r="T47" s="22"/>
      <c r="U47" s="45"/>
      <c r="V47" s="45"/>
      <c r="W47" s="45"/>
      <c r="X47" s="45"/>
      <c r="Y47" s="45"/>
      <c r="Z47" s="45"/>
      <c r="AA47" s="45"/>
      <c r="AB47" s="23"/>
      <c r="AC47" s="23"/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>
      <c r="A48" s="33"/>
      <c r="B48" s="33" t="s">
        <v>430</v>
      </c>
      <c r="C48" s="35" t="s">
        <v>367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 t="str">
        <f t="shared" si="12"/>
        <v>·</v>
      </c>
      <c r="K48" s="37" t="str">
        <f t="shared" si="13"/>
        <v>·</v>
      </c>
      <c r="L48" s="35" t="str">
        <f t="shared" si="14"/>
        <v>.</v>
      </c>
      <c r="M48" s="35" t="str">
        <f t="shared" si="15"/>
        <v>.</v>
      </c>
      <c r="N48" s="46"/>
      <c r="O48" s="38"/>
      <c r="P48" s="38"/>
      <c r="Q48" s="38"/>
      <c r="R48" s="38"/>
      <c r="S48" s="38"/>
      <c r="T48" s="38"/>
      <c r="U48" s="47"/>
      <c r="V48" s="47"/>
      <c r="W48" s="47"/>
      <c r="X48" s="47"/>
      <c r="Y48" s="47"/>
      <c r="Z48" s="47"/>
      <c r="AA48" s="47"/>
      <c r="AB48" s="39"/>
      <c r="AC48" s="39"/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>
      <c r="A49" s="48"/>
      <c r="B49" s="48" t="s">
        <v>430</v>
      </c>
      <c r="C49" s="49" t="s">
        <v>368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 t="str">
        <f t="shared" si="12"/>
        <v>·</v>
      </c>
      <c r="K49" s="52" t="str">
        <f t="shared" si="13"/>
        <v>·</v>
      </c>
      <c r="L49" s="49" t="str">
        <f t="shared" si="14"/>
        <v>.</v>
      </c>
      <c r="M49" s="49" t="str">
        <f t="shared" si="15"/>
        <v>.</v>
      </c>
      <c r="N49" s="53"/>
      <c r="O49" s="54"/>
      <c r="P49" s="54"/>
      <c r="Q49" s="54"/>
      <c r="R49" s="54"/>
      <c r="S49" s="54"/>
      <c r="T49" s="54"/>
      <c r="U49" s="55"/>
      <c r="V49" s="55"/>
      <c r="W49" s="55"/>
      <c r="X49" s="55"/>
      <c r="Y49" s="55"/>
      <c r="Z49" s="55"/>
      <c r="AA49" s="55"/>
      <c r="AB49" s="56"/>
      <c r="AC49" s="56"/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>
      <c r="B50" s="41" t="s">
        <v>7</v>
      </c>
      <c r="K50" s="42" t="e">
        <f>AVERAGE(K5:K14)</f>
        <v>#DIV/0!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>
      <c r="B51" s="41" t="s">
        <v>8</v>
      </c>
      <c r="K51" s="42" t="e">
        <f>AVERAGE(K15:K24)</f>
        <v>#DIV/0!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>
      <c r="B52" s="41" t="s">
        <v>9</v>
      </c>
      <c r="K52" s="42" t="e">
        <f>AVERAGE(K25:K44)</f>
        <v>#DIV/0!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>
      <c r="B53" s="41" t="s">
        <v>431</v>
      </c>
      <c r="K53" s="42" t="e">
        <f>AVERAGE(K45:K49)</f>
        <v>#DIV/0!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>
      <c r="B54" s="41" t="s">
        <v>10</v>
      </c>
      <c r="K54" s="42" t="e">
        <f>AVERAGE(K5:K49)</f>
        <v>#DIV/0!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>AVERAGE(AZ5:AZ49)</f>
        <v>#DIV/0!</v>
      </c>
      <c r="BA54" s="5" t="e">
        <f>AVERAGE(BA5:BA49)</f>
        <v>#DIV/0!</v>
      </c>
      <c r="BB54" s="5" t="e">
        <f>AVERAGE(BB5:BB49)</f>
        <v>#DIV/0!</v>
      </c>
      <c r="BC54" s="5" t="e">
        <f>AVERAGE(BC5:BC49)</f>
        <v>#DIV/0!</v>
      </c>
      <c r="BD54" s="5" t="e">
        <f>AVERAGE(BD5:BD49)</f>
        <v>#DIV/0!</v>
      </c>
      <c r="BE54" s="5" t="e">
        <f>AVERAGE(BE5:BE49)</f>
        <v>#DIV/0!</v>
      </c>
      <c r="BF54" s="5" t="e">
        <f>AVERAGE(BF5:BF49)</f>
        <v>#DIV/0!</v>
      </c>
      <c r="BH54" s="5" t="e">
        <f>AVERAGE(BH5:BH49)</f>
        <v>#DIV/0!</v>
      </c>
      <c r="BI54" s="5" t="e">
        <f>AVERAGE(BI5:BI49)</f>
        <v>#DIV/0!</v>
      </c>
      <c r="BJ54" s="5" t="e">
        <f>AVERAGE(BJ5:BJ49)</f>
        <v>#DIV/0!</v>
      </c>
      <c r="BK54" s="5" t="e">
        <f>AVERAGE(BK5:BK49)</f>
        <v>#DIV/0!</v>
      </c>
      <c r="BL54" s="5" t="e">
        <f>AVERAGE(BL5:BL49)</f>
        <v>#DIV/0!</v>
      </c>
      <c r="BM54" s="5" t="e">
        <f>AVERAGE(BM5:BM49)</f>
        <v>#DIV/0!</v>
      </c>
      <c r="BN54" s="5" t="e">
        <f>AVERAGE(BN5:BN49)</f>
        <v>#DIV/0!</v>
      </c>
      <c r="BP54" s="5">
        <f>AVERAGE(BP5:BP49)</f>
        <v>0</v>
      </c>
      <c r="BQ54" s="5">
        <f t="shared" ref="BQ54:BT54" si="33">AVERAGE(BQ5:BQ49)</f>
        <v>0</v>
      </c>
      <c r="BR54" s="5">
        <f t="shared" si="33"/>
        <v>0</v>
      </c>
      <c r="BS54" s="5">
        <f t="shared" si="33"/>
        <v>0</v>
      </c>
      <c r="BT54" s="5">
        <f t="shared" si="33"/>
        <v>0</v>
      </c>
    </row>
    <row r="55" spans="1:72">
      <c r="A55" s="41" t="s">
        <v>180</v>
      </c>
      <c r="B55" s="41" t="s">
        <v>181</v>
      </c>
      <c r="AB55" s="43">
        <f>SUM(AB5:AB14,AB15:AB24,AB25:AB44,AB45:AB49)</f>
        <v>0</v>
      </c>
      <c r="AC55" s="43">
        <f>SUM(AC5:AC14,AC15:AC24,AC25:AC44,AC45:AC49)</f>
        <v>0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>
      <c r="B56" s="41" t="s">
        <v>182</v>
      </c>
      <c r="AW56" s="8" t="e">
        <f>AW55/AB55</f>
        <v>#DIV/0!</v>
      </c>
      <c r="AX56" s="8" t="e">
        <f>AX55/AC55</f>
        <v>#DIV/0!</v>
      </c>
    </row>
    <row r="59" spans="1:72" ht="15.75" customHeight="1" thickBot="1"/>
    <row r="60" spans="1:72">
      <c r="AG60" s="88" t="e">
        <f t="shared" ref="AG60:AG98" si="34">AG5-L5</f>
        <v>#VALUE!</v>
      </c>
      <c r="AH60" s="88" t="e">
        <f t="shared" ref="AH60:AH98" si="35">AH5-M5</f>
        <v>#VALUE!</v>
      </c>
      <c r="AI60" s="88">
        <f t="shared" ref="AI60:AI98" si="36">AI5-N5</f>
        <v>0</v>
      </c>
      <c r="AJ60" s="88">
        <f t="shared" ref="AJ60:AJ98" si="37">AJ5-O5</f>
        <v>0</v>
      </c>
      <c r="AK60" s="88">
        <f t="shared" ref="AK60:AK98" si="38">AK5-P5</f>
        <v>0</v>
      </c>
      <c r="AL60" s="88">
        <f t="shared" ref="AL60:AL98" si="39">AL5-Q5</f>
        <v>0</v>
      </c>
      <c r="AM60" s="88">
        <f t="shared" ref="AM60:AM98" si="40">AM5-R5</f>
        <v>0</v>
      </c>
      <c r="AN60" s="88">
        <f t="shared" ref="AN60:AN98" si="41">AN5-S5</f>
        <v>0</v>
      </c>
      <c r="AO60" s="88">
        <f t="shared" ref="AO60:AO98" si="42">AO5-T5</f>
        <v>0</v>
      </c>
      <c r="AP60" s="88">
        <f t="shared" ref="AP60:AP98" si="43">AP5-U5</f>
        <v>0</v>
      </c>
      <c r="AQ60" s="89">
        <f t="shared" ref="AQ60:AQ98" si="44">AQ5-V5</f>
        <v>0</v>
      </c>
      <c r="AR60" s="89">
        <f t="shared" ref="AR60:AR98" si="45">AR5-W5</f>
        <v>0</v>
      </c>
      <c r="AS60" s="89">
        <f t="shared" ref="AS60:AS98" si="46">AS5-X5</f>
        <v>0</v>
      </c>
      <c r="AT60" s="89">
        <f t="shared" ref="AT60:AT98" si="47">AT5-Y5</f>
        <v>0</v>
      </c>
      <c r="AU60" s="89">
        <f t="shared" ref="AU60:AU98" si="48">AU5-Z5</f>
        <v>0</v>
      </c>
      <c r="AV60" s="90">
        <f t="shared" ref="AV60:AV98" si="49">AV5-AA5</f>
        <v>0</v>
      </c>
    </row>
    <row r="61" spans="1:72">
      <c r="AG61" s="91" t="e">
        <f t="shared" si="34"/>
        <v>#VALUE!</v>
      </c>
      <c r="AH61" s="91" t="e">
        <f t="shared" si="35"/>
        <v>#VALUE!</v>
      </c>
      <c r="AI61" s="91">
        <f t="shared" si="36"/>
        <v>0</v>
      </c>
      <c r="AJ61" s="91">
        <f t="shared" si="37"/>
        <v>0</v>
      </c>
      <c r="AK61" s="91">
        <f t="shared" si="38"/>
        <v>0</v>
      </c>
      <c r="AL61" s="91">
        <f t="shared" si="39"/>
        <v>0</v>
      </c>
      <c r="AM61" s="91">
        <f t="shared" si="40"/>
        <v>0</v>
      </c>
      <c r="AN61" s="91">
        <f t="shared" si="41"/>
        <v>0</v>
      </c>
      <c r="AO61" s="91">
        <f t="shared" si="42"/>
        <v>0</v>
      </c>
      <c r="AP61" s="91">
        <f t="shared" si="43"/>
        <v>0</v>
      </c>
      <c r="AQ61" s="92">
        <f t="shared" si="44"/>
        <v>0</v>
      </c>
      <c r="AR61" s="92">
        <f t="shared" si="45"/>
        <v>0</v>
      </c>
      <c r="AS61" s="92">
        <f t="shared" si="46"/>
        <v>0</v>
      </c>
      <c r="AT61" s="92">
        <f t="shared" si="47"/>
        <v>0</v>
      </c>
      <c r="AU61" s="92">
        <f t="shared" si="48"/>
        <v>0</v>
      </c>
      <c r="AV61" s="93">
        <f t="shared" si="49"/>
        <v>0</v>
      </c>
    </row>
    <row r="62" spans="1:72">
      <c r="AG62" s="91" t="e">
        <f t="shared" si="34"/>
        <v>#VALUE!</v>
      </c>
      <c r="AH62" s="91" t="e">
        <f t="shared" si="35"/>
        <v>#VALUE!</v>
      </c>
      <c r="AI62" s="91">
        <f t="shared" si="36"/>
        <v>0</v>
      </c>
      <c r="AJ62" s="91">
        <f t="shared" si="37"/>
        <v>0</v>
      </c>
      <c r="AK62" s="91">
        <f t="shared" si="38"/>
        <v>0</v>
      </c>
      <c r="AL62" s="91">
        <f t="shared" si="39"/>
        <v>0</v>
      </c>
      <c r="AM62" s="91">
        <f t="shared" si="40"/>
        <v>0</v>
      </c>
      <c r="AN62" s="91">
        <f t="shared" si="41"/>
        <v>0</v>
      </c>
      <c r="AO62" s="91">
        <f t="shared" si="42"/>
        <v>0</v>
      </c>
      <c r="AP62" s="91">
        <f t="shared" si="43"/>
        <v>0</v>
      </c>
      <c r="AQ62" s="92">
        <f t="shared" si="44"/>
        <v>0</v>
      </c>
      <c r="AR62" s="92">
        <f t="shared" si="45"/>
        <v>0</v>
      </c>
      <c r="AS62" s="92">
        <f t="shared" si="46"/>
        <v>0</v>
      </c>
      <c r="AT62" s="92">
        <f t="shared" si="47"/>
        <v>0</v>
      </c>
      <c r="AU62" s="92">
        <f t="shared" si="48"/>
        <v>0</v>
      </c>
      <c r="AV62" s="93">
        <f t="shared" si="49"/>
        <v>0</v>
      </c>
    </row>
    <row r="63" spans="1:72">
      <c r="AG63" s="91" t="e">
        <f t="shared" si="34"/>
        <v>#VALUE!</v>
      </c>
      <c r="AH63" s="91" t="e">
        <f t="shared" si="35"/>
        <v>#VALUE!</v>
      </c>
      <c r="AI63" s="91">
        <f t="shared" si="36"/>
        <v>0</v>
      </c>
      <c r="AJ63" s="91">
        <f t="shared" si="37"/>
        <v>0</v>
      </c>
      <c r="AK63" s="91">
        <f t="shared" si="38"/>
        <v>0</v>
      </c>
      <c r="AL63" s="91">
        <f t="shared" si="39"/>
        <v>0</v>
      </c>
      <c r="AM63" s="91">
        <f t="shared" si="40"/>
        <v>0</v>
      </c>
      <c r="AN63" s="91">
        <f t="shared" si="41"/>
        <v>0</v>
      </c>
      <c r="AO63" s="91">
        <f t="shared" si="42"/>
        <v>0</v>
      </c>
      <c r="AP63" s="91">
        <f t="shared" si="43"/>
        <v>0</v>
      </c>
      <c r="AQ63" s="92">
        <f t="shared" si="44"/>
        <v>0</v>
      </c>
      <c r="AR63" s="92">
        <f t="shared" si="45"/>
        <v>0</v>
      </c>
      <c r="AS63" s="92">
        <f t="shared" si="46"/>
        <v>0</v>
      </c>
      <c r="AT63" s="92">
        <f t="shared" si="47"/>
        <v>0</v>
      </c>
      <c r="AU63" s="92">
        <f t="shared" si="48"/>
        <v>0</v>
      </c>
      <c r="AV63" s="93">
        <f t="shared" si="49"/>
        <v>0</v>
      </c>
    </row>
    <row r="64" spans="1:72">
      <c r="AG64" s="91" t="e">
        <f t="shared" si="34"/>
        <v>#VALUE!</v>
      </c>
      <c r="AH64" s="91" t="e">
        <f t="shared" si="35"/>
        <v>#VALUE!</v>
      </c>
      <c r="AI64" s="91">
        <f t="shared" si="36"/>
        <v>0</v>
      </c>
      <c r="AJ64" s="91">
        <f t="shared" si="37"/>
        <v>0</v>
      </c>
      <c r="AK64" s="91">
        <f t="shared" si="38"/>
        <v>0</v>
      </c>
      <c r="AL64" s="91">
        <f t="shared" si="39"/>
        <v>0</v>
      </c>
      <c r="AM64" s="91">
        <f t="shared" si="40"/>
        <v>0</v>
      </c>
      <c r="AN64" s="91">
        <f t="shared" si="41"/>
        <v>0</v>
      </c>
      <c r="AO64" s="91">
        <f t="shared" si="42"/>
        <v>0</v>
      </c>
      <c r="AP64" s="91">
        <f t="shared" si="43"/>
        <v>0</v>
      </c>
      <c r="AQ64" s="92">
        <f t="shared" si="44"/>
        <v>0</v>
      </c>
      <c r="AR64" s="92">
        <f t="shared" si="45"/>
        <v>0</v>
      </c>
      <c r="AS64" s="92">
        <f t="shared" si="46"/>
        <v>0</v>
      </c>
      <c r="AT64" s="92">
        <f t="shared" si="47"/>
        <v>0</v>
      </c>
      <c r="AU64" s="92">
        <f t="shared" si="48"/>
        <v>0</v>
      </c>
      <c r="AV64" s="93">
        <f t="shared" si="49"/>
        <v>0</v>
      </c>
    </row>
    <row r="65" spans="33:48">
      <c r="AG65" s="91" t="e">
        <f t="shared" si="34"/>
        <v>#VALUE!</v>
      </c>
      <c r="AH65" s="91" t="e">
        <f t="shared" si="35"/>
        <v>#VALUE!</v>
      </c>
      <c r="AI65" s="91">
        <f t="shared" si="36"/>
        <v>0</v>
      </c>
      <c r="AJ65" s="91">
        <f t="shared" si="37"/>
        <v>0</v>
      </c>
      <c r="AK65" s="91">
        <f t="shared" si="38"/>
        <v>0</v>
      </c>
      <c r="AL65" s="91">
        <f t="shared" si="39"/>
        <v>0</v>
      </c>
      <c r="AM65" s="91">
        <f t="shared" si="40"/>
        <v>0</v>
      </c>
      <c r="AN65" s="91">
        <f t="shared" si="41"/>
        <v>0</v>
      </c>
      <c r="AO65" s="91">
        <f t="shared" si="42"/>
        <v>0</v>
      </c>
      <c r="AP65" s="91">
        <f t="shared" si="43"/>
        <v>0</v>
      </c>
      <c r="AQ65" s="92">
        <f t="shared" si="44"/>
        <v>0</v>
      </c>
      <c r="AR65" s="92">
        <f t="shared" si="45"/>
        <v>0</v>
      </c>
      <c r="AS65" s="92">
        <f t="shared" si="46"/>
        <v>0</v>
      </c>
      <c r="AT65" s="92">
        <f t="shared" si="47"/>
        <v>0</v>
      </c>
      <c r="AU65" s="92">
        <f t="shared" si="48"/>
        <v>0</v>
      </c>
      <c r="AV65" s="93">
        <f t="shared" si="49"/>
        <v>0</v>
      </c>
    </row>
    <row r="66" spans="33:48">
      <c r="AG66" s="91" t="e">
        <f t="shared" si="34"/>
        <v>#VALUE!</v>
      </c>
      <c r="AH66" s="91" t="e">
        <f t="shared" si="35"/>
        <v>#VALUE!</v>
      </c>
      <c r="AI66" s="91">
        <f t="shared" si="36"/>
        <v>0</v>
      </c>
      <c r="AJ66" s="91">
        <f t="shared" si="37"/>
        <v>0</v>
      </c>
      <c r="AK66" s="91">
        <f t="shared" si="38"/>
        <v>0</v>
      </c>
      <c r="AL66" s="91">
        <f t="shared" si="39"/>
        <v>0</v>
      </c>
      <c r="AM66" s="91">
        <f t="shared" si="40"/>
        <v>0</v>
      </c>
      <c r="AN66" s="91">
        <f t="shared" si="41"/>
        <v>0</v>
      </c>
      <c r="AO66" s="91">
        <f t="shared" si="42"/>
        <v>0</v>
      </c>
      <c r="AP66" s="91">
        <f t="shared" si="43"/>
        <v>0</v>
      </c>
      <c r="AQ66" s="92">
        <f t="shared" si="44"/>
        <v>0</v>
      </c>
      <c r="AR66" s="92">
        <f t="shared" si="45"/>
        <v>0</v>
      </c>
      <c r="AS66" s="92">
        <f t="shared" si="46"/>
        <v>0</v>
      </c>
      <c r="AT66" s="92">
        <f t="shared" si="47"/>
        <v>0</v>
      </c>
      <c r="AU66" s="92">
        <f t="shared" si="48"/>
        <v>0</v>
      </c>
      <c r="AV66" s="93">
        <f t="shared" si="49"/>
        <v>0</v>
      </c>
    </row>
    <row r="67" spans="33:48">
      <c r="AG67" s="91" t="e">
        <f t="shared" si="34"/>
        <v>#VALUE!</v>
      </c>
      <c r="AH67" s="91" t="e">
        <f t="shared" si="35"/>
        <v>#VALUE!</v>
      </c>
      <c r="AI67" s="91">
        <f t="shared" si="36"/>
        <v>0</v>
      </c>
      <c r="AJ67" s="91">
        <f t="shared" si="37"/>
        <v>0</v>
      </c>
      <c r="AK67" s="91">
        <f t="shared" si="38"/>
        <v>0</v>
      </c>
      <c r="AL67" s="91">
        <f t="shared" si="39"/>
        <v>0</v>
      </c>
      <c r="AM67" s="91">
        <f t="shared" si="40"/>
        <v>0</v>
      </c>
      <c r="AN67" s="91">
        <f t="shared" si="41"/>
        <v>0</v>
      </c>
      <c r="AO67" s="91">
        <f t="shared" si="42"/>
        <v>0</v>
      </c>
      <c r="AP67" s="91">
        <f t="shared" si="43"/>
        <v>0</v>
      </c>
      <c r="AQ67" s="92">
        <f t="shared" si="44"/>
        <v>0</v>
      </c>
      <c r="AR67" s="92">
        <f t="shared" si="45"/>
        <v>0</v>
      </c>
      <c r="AS67" s="92">
        <f t="shared" si="46"/>
        <v>0</v>
      </c>
      <c r="AT67" s="92">
        <f t="shared" si="47"/>
        <v>0</v>
      </c>
      <c r="AU67" s="92">
        <f t="shared" si="48"/>
        <v>0</v>
      </c>
      <c r="AV67" s="93">
        <f t="shared" si="49"/>
        <v>0</v>
      </c>
    </row>
    <row r="68" spans="33:48">
      <c r="AG68" s="91" t="e">
        <f t="shared" si="34"/>
        <v>#VALUE!</v>
      </c>
      <c r="AH68" s="91" t="e">
        <f t="shared" si="35"/>
        <v>#VALUE!</v>
      </c>
      <c r="AI68" s="91">
        <f t="shared" si="36"/>
        <v>0</v>
      </c>
      <c r="AJ68" s="91">
        <f t="shared" si="37"/>
        <v>0</v>
      </c>
      <c r="AK68" s="91">
        <f t="shared" si="38"/>
        <v>0</v>
      </c>
      <c r="AL68" s="91">
        <f t="shared" si="39"/>
        <v>0</v>
      </c>
      <c r="AM68" s="91">
        <f t="shared" si="40"/>
        <v>0</v>
      </c>
      <c r="AN68" s="91">
        <f t="shared" si="41"/>
        <v>0</v>
      </c>
      <c r="AO68" s="91">
        <f t="shared" si="42"/>
        <v>0</v>
      </c>
      <c r="AP68" s="91">
        <f t="shared" si="43"/>
        <v>0</v>
      </c>
      <c r="AQ68" s="92">
        <f t="shared" si="44"/>
        <v>0</v>
      </c>
      <c r="AR68" s="92">
        <f t="shared" si="45"/>
        <v>0</v>
      </c>
      <c r="AS68" s="92">
        <f t="shared" si="46"/>
        <v>0</v>
      </c>
      <c r="AT68" s="92">
        <f t="shared" si="47"/>
        <v>0</v>
      </c>
      <c r="AU68" s="92">
        <f t="shared" si="48"/>
        <v>0</v>
      </c>
      <c r="AV68" s="93">
        <f t="shared" si="49"/>
        <v>0</v>
      </c>
    </row>
    <row r="69" spans="33:48">
      <c r="AG69" s="91" t="e">
        <f t="shared" si="34"/>
        <v>#VALUE!</v>
      </c>
      <c r="AH69" s="91" t="e">
        <f t="shared" si="35"/>
        <v>#VALUE!</v>
      </c>
      <c r="AI69" s="91">
        <f t="shared" si="36"/>
        <v>0</v>
      </c>
      <c r="AJ69" s="91">
        <f t="shared" si="37"/>
        <v>0</v>
      </c>
      <c r="AK69" s="91">
        <f t="shared" si="38"/>
        <v>0</v>
      </c>
      <c r="AL69" s="91">
        <f t="shared" si="39"/>
        <v>0</v>
      </c>
      <c r="AM69" s="91">
        <f t="shared" si="40"/>
        <v>0</v>
      </c>
      <c r="AN69" s="91">
        <f t="shared" si="41"/>
        <v>0</v>
      </c>
      <c r="AO69" s="91">
        <f t="shared" si="42"/>
        <v>0</v>
      </c>
      <c r="AP69" s="91">
        <f t="shared" si="43"/>
        <v>0</v>
      </c>
      <c r="AQ69" s="92">
        <f t="shared" si="44"/>
        <v>0</v>
      </c>
      <c r="AR69" s="92">
        <f t="shared" si="45"/>
        <v>0</v>
      </c>
      <c r="AS69" s="92">
        <f t="shared" si="46"/>
        <v>0</v>
      </c>
      <c r="AT69" s="92">
        <f t="shared" si="47"/>
        <v>0</v>
      </c>
      <c r="AU69" s="92">
        <f t="shared" si="48"/>
        <v>0</v>
      </c>
      <c r="AV69" s="93">
        <f t="shared" si="49"/>
        <v>0</v>
      </c>
    </row>
    <row r="70" spans="33:48">
      <c r="AG70" s="91" t="e">
        <f t="shared" si="34"/>
        <v>#VALUE!</v>
      </c>
      <c r="AH70" s="91" t="e">
        <f t="shared" si="35"/>
        <v>#VALUE!</v>
      </c>
      <c r="AI70" s="91">
        <f t="shared" si="36"/>
        <v>0</v>
      </c>
      <c r="AJ70" s="91">
        <f t="shared" si="37"/>
        <v>0</v>
      </c>
      <c r="AK70" s="91">
        <f t="shared" si="38"/>
        <v>0</v>
      </c>
      <c r="AL70" s="91">
        <f t="shared" si="39"/>
        <v>0</v>
      </c>
      <c r="AM70" s="91">
        <f t="shared" si="40"/>
        <v>0</v>
      </c>
      <c r="AN70" s="91">
        <f t="shared" si="41"/>
        <v>0</v>
      </c>
      <c r="AO70" s="91">
        <f t="shared" si="42"/>
        <v>0</v>
      </c>
      <c r="AP70" s="91">
        <f t="shared" si="43"/>
        <v>0</v>
      </c>
      <c r="AQ70" s="92">
        <f t="shared" si="44"/>
        <v>0</v>
      </c>
      <c r="AR70" s="92">
        <f t="shared" si="45"/>
        <v>0</v>
      </c>
      <c r="AS70" s="92">
        <f t="shared" si="46"/>
        <v>0</v>
      </c>
      <c r="AT70" s="92">
        <f t="shared" si="47"/>
        <v>0</v>
      </c>
      <c r="AU70" s="92">
        <f t="shared" si="48"/>
        <v>0</v>
      </c>
      <c r="AV70" s="93">
        <f t="shared" si="49"/>
        <v>0</v>
      </c>
    </row>
    <row r="71" spans="33:48">
      <c r="AG71" s="91" t="e">
        <f t="shared" si="34"/>
        <v>#VALUE!</v>
      </c>
      <c r="AH71" s="91" t="e">
        <f t="shared" si="35"/>
        <v>#VALUE!</v>
      </c>
      <c r="AI71" s="91">
        <f t="shared" si="36"/>
        <v>0</v>
      </c>
      <c r="AJ71" s="91">
        <f t="shared" si="37"/>
        <v>0</v>
      </c>
      <c r="AK71" s="91">
        <f t="shared" si="38"/>
        <v>0</v>
      </c>
      <c r="AL71" s="91">
        <f t="shared" si="39"/>
        <v>0</v>
      </c>
      <c r="AM71" s="91">
        <f t="shared" si="40"/>
        <v>0</v>
      </c>
      <c r="AN71" s="91">
        <f t="shared" si="41"/>
        <v>0</v>
      </c>
      <c r="AO71" s="91">
        <f t="shared" si="42"/>
        <v>0</v>
      </c>
      <c r="AP71" s="91">
        <f t="shared" si="43"/>
        <v>0</v>
      </c>
      <c r="AQ71" s="92">
        <f t="shared" si="44"/>
        <v>0</v>
      </c>
      <c r="AR71" s="92">
        <f t="shared" si="45"/>
        <v>0</v>
      </c>
      <c r="AS71" s="92">
        <f t="shared" si="46"/>
        <v>0</v>
      </c>
      <c r="AT71" s="92">
        <f t="shared" si="47"/>
        <v>0</v>
      </c>
      <c r="AU71" s="92">
        <f t="shared" si="48"/>
        <v>0</v>
      </c>
      <c r="AV71" s="93">
        <f t="shared" si="49"/>
        <v>0</v>
      </c>
    </row>
    <row r="72" spans="33:48">
      <c r="AG72" s="91" t="e">
        <f t="shared" si="34"/>
        <v>#VALUE!</v>
      </c>
      <c r="AH72" s="91" t="e">
        <f t="shared" si="35"/>
        <v>#VALUE!</v>
      </c>
      <c r="AI72" s="91">
        <f t="shared" si="36"/>
        <v>0</v>
      </c>
      <c r="AJ72" s="91">
        <f t="shared" si="37"/>
        <v>0</v>
      </c>
      <c r="AK72" s="91">
        <f t="shared" si="38"/>
        <v>0</v>
      </c>
      <c r="AL72" s="91">
        <f t="shared" si="39"/>
        <v>0</v>
      </c>
      <c r="AM72" s="91">
        <f t="shared" si="40"/>
        <v>0</v>
      </c>
      <c r="AN72" s="91">
        <f t="shared" si="41"/>
        <v>0</v>
      </c>
      <c r="AO72" s="91">
        <f t="shared" si="42"/>
        <v>0</v>
      </c>
      <c r="AP72" s="91">
        <f t="shared" si="43"/>
        <v>0</v>
      </c>
      <c r="AQ72" s="92">
        <f t="shared" si="44"/>
        <v>0</v>
      </c>
      <c r="AR72" s="92">
        <f t="shared" si="45"/>
        <v>0</v>
      </c>
      <c r="AS72" s="92">
        <f t="shared" si="46"/>
        <v>0</v>
      </c>
      <c r="AT72" s="92">
        <f t="shared" si="47"/>
        <v>0</v>
      </c>
      <c r="AU72" s="92">
        <f t="shared" si="48"/>
        <v>0</v>
      </c>
      <c r="AV72" s="93">
        <f t="shared" si="49"/>
        <v>0</v>
      </c>
    </row>
    <row r="73" spans="33:48">
      <c r="AG73" s="91" t="e">
        <f t="shared" si="34"/>
        <v>#VALUE!</v>
      </c>
      <c r="AH73" s="91" t="e">
        <f t="shared" si="35"/>
        <v>#VALUE!</v>
      </c>
      <c r="AI73" s="91">
        <f t="shared" si="36"/>
        <v>0</v>
      </c>
      <c r="AJ73" s="91">
        <f t="shared" si="37"/>
        <v>0</v>
      </c>
      <c r="AK73" s="91">
        <f t="shared" si="38"/>
        <v>0</v>
      </c>
      <c r="AL73" s="91">
        <f t="shared" si="39"/>
        <v>0</v>
      </c>
      <c r="AM73" s="91">
        <f t="shared" si="40"/>
        <v>0</v>
      </c>
      <c r="AN73" s="91">
        <f t="shared" si="41"/>
        <v>0</v>
      </c>
      <c r="AO73" s="91">
        <f t="shared" si="42"/>
        <v>0</v>
      </c>
      <c r="AP73" s="91">
        <f t="shared" si="43"/>
        <v>0</v>
      </c>
      <c r="AQ73" s="92">
        <f t="shared" si="44"/>
        <v>0</v>
      </c>
      <c r="AR73" s="92">
        <f t="shared" si="45"/>
        <v>0</v>
      </c>
      <c r="AS73" s="92">
        <f t="shared" si="46"/>
        <v>0</v>
      </c>
      <c r="AT73" s="92">
        <f t="shared" si="47"/>
        <v>0</v>
      </c>
      <c r="AU73" s="92">
        <f t="shared" si="48"/>
        <v>0</v>
      </c>
      <c r="AV73" s="93">
        <f t="shared" si="49"/>
        <v>0</v>
      </c>
    </row>
    <row r="74" spans="33:48">
      <c r="AG74" s="91" t="e">
        <f t="shared" si="34"/>
        <v>#VALUE!</v>
      </c>
      <c r="AH74" s="91" t="e">
        <f t="shared" si="35"/>
        <v>#VALUE!</v>
      </c>
      <c r="AI74" s="91">
        <f t="shared" si="36"/>
        <v>0</v>
      </c>
      <c r="AJ74" s="91">
        <f t="shared" si="37"/>
        <v>0</v>
      </c>
      <c r="AK74" s="91">
        <f t="shared" si="38"/>
        <v>0</v>
      </c>
      <c r="AL74" s="91">
        <f t="shared" si="39"/>
        <v>0</v>
      </c>
      <c r="AM74" s="91">
        <f t="shared" si="40"/>
        <v>0</v>
      </c>
      <c r="AN74" s="91">
        <f t="shared" si="41"/>
        <v>0</v>
      </c>
      <c r="AO74" s="91">
        <f t="shared" si="42"/>
        <v>0</v>
      </c>
      <c r="AP74" s="91">
        <f t="shared" si="43"/>
        <v>0</v>
      </c>
      <c r="AQ74" s="92">
        <f t="shared" si="44"/>
        <v>0</v>
      </c>
      <c r="AR74" s="92">
        <f t="shared" si="45"/>
        <v>0</v>
      </c>
      <c r="AS74" s="92">
        <f t="shared" si="46"/>
        <v>0</v>
      </c>
      <c r="AT74" s="92">
        <f t="shared" si="47"/>
        <v>0</v>
      </c>
      <c r="AU74" s="92">
        <f t="shared" si="48"/>
        <v>0</v>
      </c>
      <c r="AV74" s="93">
        <f t="shared" si="49"/>
        <v>0</v>
      </c>
    </row>
    <row r="75" spans="33:48">
      <c r="AG75" s="91" t="e">
        <f t="shared" si="34"/>
        <v>#VALUE!</v>
      </c>
      <c r="AH75" s="91" t="e">
        <f t="shared" si="35"/>
        <v>#VALUE!</v>
      </c>
      <c r="AI75" s="91">
        <f t="shared" si="36"/>
        <v>0</v>
      </c>
      <c r="AJ75" s="91">
        <f t="shared" si="37"/>
        <v>0</v>
      </c>
      <c r="AK75" s="91">
        <f t="shared" si="38"/>
        <v>0</v>
      </c>
      <c r="AL75" s="91">
        <f t="shared" si="39"/>
        <v>0</v>
      </c>
      <c r="AM75" s="91">
        <f t="shared" si="40"/>
        <v>0</v>
      </c>
      <c r="AN75" s="91">
        <f t="shared" si="41"/>
        <v>0</v>
      </c>
      <c r="AO75" s="91">
        <f t="shared" si="42"/>
        <v>0</v>
      </c>
      <c r="AP75" s="91">
        <f t="shared" si="43"/>
        <v>0</v>
      </c>
      <c r="AQ75" s="92">
        <f t="shared" si="44"/>
        <v>0</v>
      </c>
      <c r="AR75" s="92">
        <f t="shared" si="45"/>
        <v>0</v>
      </c>
      <c r="AS75" s="92">
        <f t="shared" si="46"/>
        <v>0</v>
      </c>
      <c r="AT75" s="92">
        <f t="shared" si="47"/>
        <v>0</v>
      </c>
      <c r="AU75" s="92">
        <f t="shared" si="48"/>
        <v>0</v>
      </c>
      <c r="AV75" s="93">
        <f t="shared" si="49"/>
        <v>0</v>
      </c>
    </row>
    <row r="76" spans="33:48">
      <c r="AG76" s="91" t="e">
        <f t="shared" si="34"/>
        <v>#VALUE!</v>
      </c>
      <c r="AH76" s="91" t="e">
        <f t="shared" si="35"/>
        <v>#VALUE!</v>
      </c>
      <c r="AI76" s="91">
        <f t="shared" si="36"/>
        <v>0</v>
      </c>
      <c r="AJ76" s="91">
        <f t="shared" si="37"/>
        <v>0</v>
      </c>
      <c r="AK76" s="91">
        <f t="shared" si="38"/>
        <v>0</v>
      </c>
      <c r="AL76" s="91">
        <f t="shared" si="39"/>
        <v>0</v>
      </c>
      <c r="AM76" s="91">
        <f t="shared" si="40"/>
        <v>0</v>
      </c>
      <c r="AN76" s="91">
        <f t="shared" si="41"/>
        <v>0</v>
      </c>
      <c r="AO76" s="91">
        <f t="shared" si="42"/>
        <v>0</v>
      </c>
      <c r="AP76" s="91">
        <f t="shared" si="43"/>
        <v>0</v>
      </c>
      <c r="AQ76" s="92">
        <f t="shared" si="44"/>
        <v>0</v>
      </c>
      <c r="AR76" s="92">
        <f t="shared" si="45"/>
        <v>0</v>
      </c>
      <c r="AS76" s="92">
        <f t="shared" si="46"/>
        <v>0</v>
      </c>
      <c r="AT76" s="92">
        <f t="shared" si="47"/>
        <v>0</v>
      </c>
      <c r="AU76" s="92">
        <f t="shared" si="48"/>
        <v>0</v>
      </c>
      <c r="AV76" s="93">
        <f t="shared" si="49"/>
        <v>0</v>
      </c>
    </row>
    <row r="77" spans="33:48">
      <c r="AG77" s="91" t="e">
        <f t="shared" si="34"/>
        <v>#VALUE!</v>
      </c>
      <c r="AH77" s="91" t="e">
        <f t="shared" si="35"/>
        <v>#VALUE!</v>
      </c>
      <c r="AI77" s="91">
        <f t="shared" si="36"/>
        <v>0</v>
      </c>
      <c r="AJ77" s="91">
        <f t="shared" si="37"/>
        <v>0</v>
      </c>
      <c r="AK77" s="91">
        <f t="shared" si="38"/>
        <v>0</v>
      </c>
      <c r="AL77" s="91">
        <f t="shared" si="39"/>
        <v>0</v>
      </c>
      <c r="AM77" s="91">
        <f t="shared" si="40"/>
        <v>0</v>
      </c>
      <c r="AN77" s="91">
        <f t="shared" si="41"/>
        <v>0</v>
      </c>
      <c r="AO77" s="91">
        <f t="shared" si="42"/>
        <v>0</v>
      </c>
      <c r="AP77" s="91">
        <f t="shared" si="43"/>
        <v>0</v>
      </c>
      <c r="AQ77" s="92">
        <f t="shared" si="44"/>
        <v>0</v>
      </c>
      <c r="AR77" s="92">
        <f t="shared" si="45"/>
        <v>0</v>
      </c>
      <c r="AS77" s="92">
        <f t="shared" si="46"/>
        <v>0</v>
      </c>
      <c r="AT77" s="92">
        <f t="shared" si="47"/>
        <v>0</v>
      </c>
      <c r="AU77" s="92">
        <f t="shared" si="48"/>
        <v>0</v>
      </c>
      <c r="AV77" s="93">
        <f t="shared" si="49"/>
        <v>0</v>
      </c>
    </row>
    <row r="78" spans="33:48">
      <c r="AG78" s="91" t="e">
        <f t="shared" si="34"/>
        <v>#VALUE!</v>
      </c>
      <c r="AH78" s="91" t="e">
        <f t="shared" si="35"/>
        <v>#VALUE!</v>
      </c>
      <c r="AI78" s="91">
        <f t="shared" si="36"/>
        <v>0</v>
      </c>
      <c r="AJ78" s="91">
        <f t="shared" si="37"/>
        <v>0</v>
      </c>
      <c r="AK78" s="91">
        <f t="shared" si="38"/>
        <v>0</v>
      </c>
      <c r="AL78" s="91">
        <f t="shared" si="39"/>
        <v>0</v>
      </c>
      <c r="AM78" s="91">
        <f t="shared" si="40"/>
        <v>0</v>
      </c>
      <c r="AN78" s="91">
        <f t="shared" si="41"/>
        <v>0</v>
      </c>
      <c r="AO78" s="91">
        <f t="shared" si="42"/>
        <v>0</v>
      </c>
      <c r="AP78" s="91">
        <f t="shared" si="43"/>
        <v>0</v>
      </c>
      <c r="AQ78" s="92">
        <f t="shared" si="44"/>
        <v>0</v>
      </c>
      <c r="AR78" s="92">
        <f t="shared" si="45"/>
        <v>0</v>
      </c>
      <c r="AS78" s="92">
        <f t="shared" si="46"/>
        <v>0</v>
      </c>
      <c r="AT78" s="92">
        <f t="shared" si="47"/>
        <v>0</v>
      </c>
      <c r="AU78" s="92">
        <f t="shared" si="48"/>
        <v>0</v>
      </c>
      <c r="AV78" s="93">
        <f t="shared" si="49"/>
        <v>0</v>
      </c>
    </row>
    <row r="79" spans="33:48">
      <c r="AG79" s="91" t="e">
        <f t="shared" si="34"/>
        <v>#VALUE!</v>
      </c>
      <c r="AH79" s="91" t="e">
        <f t="shared" si="35"/>
        <v>#VALUE!</v>
      </c>
      <c r="AI79" s="91">
        <f t="shared" si="36"/>
        <v>0</v>
      </c>
      <c r="AJ79" s="91">
        <f t="shared" si="37"/>
        <v>0</v>
      </c>
      <c r="AK79" s="91">
        <f t="shared" si="38"/>
        <v>0</v>
      </c>
      <c r="AL79" s="91">
        <f t="shared" si="39"/>
        <v>0</v>
      </c>
      <c r="AM79" s="91">
        <f t="shared" si="40"/>
        <v>0</v>
      </c>
      <c r="AN79" s="91">
        <f t="shared" si="41"/>
        <v>0</v>
      </c>
      <c r="AO79" s="91">
        <f t="shared" si="42"/>
        <v>0</v>
      </c>
      <c r="AP79" s="91">
        <f t="shared" si="43"/>
        <v>0</v>
      </c>
      <c r="AQ79" s="92">
        <f t="shared" si="44"/>
        <v>0</v>
      </c>
      <c r="AR79" s="92">
        <f t="shared" si="45"/>
        <v>0</v>
      </c>
      <c r="AS79" s="92">
        <f t="shared" si="46"/>
        <v>0</v>
      </c>
      <c r="AT79" s="92">
        <f t="shared" si="47"/>
        <v>0</v>
      </c>
      <c r="AU79" s="92">
        <f t="shared" si="48"/>
        <v>0</v>
      </c>
      <c r="AV79" s="93">
        <f t="shared" si="49"/>
        <v>0</v>
      </c>
    </row>
    <row r="80" spans="33:48">
      <c r="AG80" s="91" t="e">
        <f t="shared" si="34"/>
        <v>#VALUE!</v>
      </c>
      <c r="AH80" s="91" t="e">
        <f t="shared" si="35"/>
        <v>#VALUE!</v>
      </c>
      <c r="AI80" s="91">
        <f t="shared" si="36"/>
        <v>0</v>
      </c>
      <c r="AJ80" s="91">
        <f t="shared" si="37"/>
        <v>0</v>
      </c>
      <c r="AK80" s="91">
        <f t="shared" si="38"/>
        <v>0</v>
      </c>
      <c r="AL80" s="91">
        <f t="shared" si="39"/>
        <v>0</v>
      </c>
      <c r="AM80" s="91">
        <f t="shared" si="40"/>
        <v>0</v>
      </c>
      <c r="AN80" s="91">
        <f t="shared" si="41"/>
        <v>0</v>
      </c>
      <c r="AO80" s="91">
        <f t="shared" si="42"/>
        <v>0</v>
      </c>
      <c r="AP80" s="91">
        <f t="shared" si="43"/>
        <v>0</v>
      </c>
      <c r="AQ80" s="92">
        <f t="shared" si="44"/>
        <v>0</v>
      </c>
      <c r="AR80" s="92">
        <f t="shared" si="45"/>
        <v>0</v>
      </c>
      <c r="AS80" s="92">
        <f t="shared" si="46"/>
        <v>0</v>
      </c>
      <c r="AT80" s="92">
        <f t="shared" si="47"/>
        <v>0</v>
      </c>
      <c r="AU80" s="92">
        <f t="shared" si="48"/>
        <v>0</v>
      </c>
      <c r="AV80" s="93">
        <f t="shared" si="49"/>
        <v>0</v>
      </c>
    </row>
    <row r="81" spans="33:48">
      <c r="AG81" s="91" t="e">
        <f t="shared" si="34"/>
        <v>#VALUE!</v>
      </c>
      <c r="AH81" s="91" t="e">
        <f t="shared" si="35"/>
        <v>#VALUE!</v>
      </c>
      <c r="AI81" s="91">
        <f t="shared" si="36"/>
        <v>0</v>
      </c>
      <c r="AJ81" s="91">
        <f t="shared" si="37"/>
        <v>0</v>
      </c>
      <c r="AK81" s="91">
        <f t="shared" si="38"/>
        <v>0</v>
      </c>
      <c r="AL81" s="91">
        <f t="shared" si="39"/>
        <v>0</v>
      </c>
      <c r="AM81" s="91">
        <f t="shared" si="40"/>
        <v>0</v>
      </c>
      <c r="AN81" s="91">
        <f t="shared" si="41"/>
        <v>0</v>
      </c>
      <c r="AO81" s="91">
        <f t="shared" si="42"/>
        <v>0</v>
      </c>
      <c r="AP81" s="91">
        <f t="shared" si="43"/>
        <v>0</v>
      </c>
      <c r="AQ81" s="92">
        <f t="shared" si="44"/>
        <v>0</v>
      </c>
      <c r="AR81" s="92">
        <f t="shared" si="45"/>
        <v>0</v>
      </c>
      <c r="AS81" s="92">
        <f t="shared" si="46"/>
        <v>0</v>
      </c>
      <c r="AT81" s="92">
        <f t="shared" si="47"/>
        <v>0</v>
      </c>
      <c r="AU81" s="92">
        <f t="shared" si="48"/>
        <v>0</v>
      </c>
      <c r="AV81" s="93">
        <f t="shared" si="49"/>
        <v>0</v>
      </c>
    </row>
    <row r="82" spans="33:48">
      <c r="AG82" s="91" t="e">
        <f t="shared" si="34"/>
        <v>#VALUE!</v>
      </c>
      <c r="AH82" s="91" t="e">
        <f t="shared" si="35"/>
        <v>#VALUE!</v>
      </c>
      <c r="AI82" s="91">
        <f t="shared" si="36"/>
        <v>0</v>
      </c>
      <c r="AJ82" s="91">
        <f t="shared" si="37"/>
        <v>0</v>
      </c>
      <c r="AK82" s="91">
        <f t="shared" si="38"/>
        <v>0</v>
      </c>
      <c r="AL82" s="91">
        <f t="shared" si="39"/>
        <v>0</v>
      </c>
      <c r="AM82" s="91">
        <f t="shared" si="40"/>
        <v>0</v>
      </c>
      <c r="AN82" s="91">
        <f t="shared" si="41"/>
        <v>0</v>
      </c>
      <c r="AO82" s="91">
        <f t="shared" si="42"/>
        <v>0</v>
      </c>
      <c r="AP82" s="91">
        <f t="shared" si="43"/>
        <v>0</v>
      </c>
      <c r="AQ82" s="92">
        <f t="shared" si="44"/>
        <v>0</v>
      </c>
      <c r="AR82" s="92">
        <f t="shared" si="45"/>
        <v>0</v>
      </c>
      <c r="AS82" s="92">
        <f t="shared" si="46"/>
        <v>0</v>
      </c>
      <c r="AT82" s="92">
        <f t="shared" si="47"/>
        <v>0</v>
      </c>
      <c r="AU82" s="92">
        <f t="shared" si="48"/>
        <v>0</v>
      </c>
      <c r="AV82" s="93">
        <f t="shared" si="49"/>
        <v>0</v>
      </c>
    </row>
    <row r="83" spans="33:48">
      <c r="AG83" s="91" t="e">
        <f t="shared" si="34"/>
        <v>#VALUE!</v>
      </c>
      <c r="AH83" s="91" t="e">
        <f t="shared" si="35"/>
        <v>#VALUE!</v>
      </c>
      <c r="AI83" s="91">
        <f t="shared" si="36"/>
        <v>0</v>
      </c>
      <c r="AJ83" s="91">
        <f t="shared" si="37"/>
        <v>0</v>
      </c>
      <c r="AK83" s="91">
        <f t="shared" si="38"/>
        <v>0</v>
      </c>
      <c r="AL83" s="91">
        <f t="shared" si="39"/>
        <v>0</v>
      </c>
      <c r="AM83" s="91">
        <f t="shared" si="40"/>
        <v>0</v>
      </c>
      <c r="AN83" s="91">
        <f t="shared" si="41"/>
        <v>0</v>
      </c>
      <c r="AO83" s="91">
        <f t="shared" si="42"/>
        <v>0</v>
      </c>
      <c r="AP83" s="91">
        <f t="shared" si="43"/>
        <v>0</v>
      </c>
      <c r="AQ83" s="92">
        <f t="shared" si="44"/>
        <v>0</v>
      </c>
      <c r="AR83" s="92">
        <f t="shared" si="45"/>
        <v>0</v>
      </c>
      <c r="AS83" s="92">
        <f t="shared" si="46"/>
        <v>0</v>
      </c>
      <c r="AT83" s="92">
        <f t="shared" si="47"/>
        <v>0</v>
      </c>
      <c r="AU83" s="92">
        <f t="shared" si="48"/>
        <v>0</v>
      </c>
      <c r="AV83" s="93">
        <f t="shared" si="49"/>
        <v>0</v>
      </c>
    </row>
    <row r="84" spans="33:48">
      <c r="AG84" s="91" t="e">
        <f t="shared" si="34"/>
        <v>#VALUE!</v>
      </c>
      <c r="AH84" s="91" t="e">
        <f t="shared" si="35"/>
        <v>#VALUE!</v>
      </c>
      <c r="AI84" s="91">
        <f t="shared" si="36"/>
        <v>0</v>
      </c>
      <c r="AJ84" s="91">
        <f t="shared" si="37"/>
        <v>0</v>
      </c>
      <c r="AK84" s="91">
        <f t="shared" si="38"/>
        <v>0</v>
      </c>
      <c r="AL84" s="91">
        <f t="shared" si="39"/>
        <v>0</v>
      </c>
      <c r="AM84" s="91">
        <f t="shared" si="40"/>
        <v>0</v>
      </c>
      <c r="AN84" s="91">
        <f t="shared" si="41"/>
        <v>0</v>
      </c>
      <c r="AO84" s="91">
        <f t="shared" si="42"/>
        <v>0</v>
      </c>
      <c r="AP84" s="91">
        <f t="shared" si="43"/>
        <v>0</v>
      </c>
      <c r="AQ84" s="92">
        <f t="shared" si="44"/>
        <v>0</v>
      </c>
      <c r="AR84" s="92">
        <f t="shared" si="45"/>
        <v>0</v>
      </c>
      <c r="AS84" s="92">
        <f t="shared" si="46"/>
        <v>0</v>
      </c>
      <c r="AT84" s="92">
        <f t="shared" si="47"/>
        <v>0</v>
      </c>
      <c r="AU84" s="92">
        <f t="shared" si="48"/>
        <v>0</v>
      </c>
      <c r="AV84" s="93">
        <f t="shared" si="49"/>
        <v>0</v>
      </c>
    </row>
    <row r="85" spans="33:48">
      <c r="AG85" s="91" t="e">
        <f t="shared" si="34"/>
        <v>#VALUE!</v>
      </c>
      <c r="AH85" s="91" t="e">
        <f t="shared" si="35"/>
        <v>#VALUE!</v>
      </c>
      <c r="AI85" s="91">
        <f t="shared" si="36"/>
        <v>0</v>
      </c>
      <c r="AJ85" s="91">
        <f t="shared" si="37"/>
        <v>0</v>
      </c>
      <c r="AK85" s="91">
        <f t="shared" si="38"/>
        <v>0</v>
      </c>
      <c r="AL85" s="91">
        <f t="shared" si="39"/>
        <v>0</v>
      </c>
      <c r="AM85" s="91">
        <f t="shared" si="40"/>
        <v>0</v>
      </c>
      <c r="AN85" s="91">
        <f t="shared" si="41"/>
        <v>0</v>
      </c>
      <c r="AO85" s="91">
        <f t="shared" si="42"/>
        <v>0</v>
      </c>
      <c r="AP85" s="91">
        <f t="shared" si="43"/>
        <v>0</v>
      </c>
      <c r="AQ85" s="92">
        <f t="shared" si="44"/>
        <v>0</v>
      </c>
      <c r="AR85" s="92">
        <f t="shared" si="45"/>
        <v>0</v>
      </c>
      <c r="AS85" s="92">
        <f t="shared" si="46"/>
        <v>0</v>
      </c>
      <c r="AT85" s="92">
        <f t="shared" si="47"/>
        <v>0</v>
      </c>
      <c r="AU85" s="92">
        <f t="shared" si="48"/>
        <v>0</v>
      </c>
      <c r="AV85" s="93">
        <f t="shared" si="49"/>
        <v>0</v>
      </c>
    </row>
    <row r="86" spans="33:48">
      <c r="AG86" s="91" t="e">
        <f t="shared" si="34"/>
        <v>#VALUE!</v>
      </c>
      <c r="AH86" s="91" t="e">
        <f t="shared" si="35"/>
        <v>#VALUE!</v>
      </c>
      <c r="AI86" s="91">
        <f t="shared" si="36"/>
        <v>0</v>
      </c>
      <c r="AJ86" s="91">
        <f t="shared" si="37"/>
        <v>0</v>
      </c>
      <c r="AK86" s="91">
        <f t="shared" si="38"/>
        <v>0</v>
      </c>
      <c r="AL86" s="91">
        <f t="shared" si="39"/>
        <v>0</v>
      </c>
      <c r="AM86" s="91">
        <f t="shared" si="40"/>
        <v>0</v>
      </c>
      <c r="AN86" s="91">
        <f t="shared" si="41"/>
        <v>0</v>
      </c>
      <c r="AO86" s="91">
        <f t="shared" si="42"/>
        <v>0</v>
      </c>
      <c r="AP86" s="91">
        <f t="shared" si="43"/>
        <v>0</v>
      </c>
      <c r="AQ86" s="92">
        <f t="shared" si="44"/>
        <v>0</v>
      </c>
      <c r="AR86" s="92">
        <f t="shared" si="45"/>
        <v>0</v>
      </c>
      <c r="AS86" s="92">
        <f t="shared" si="46"/>
        <v>0</v>
      </c>
      <c r="AT86" s="92">
        <f t="shared" si="47"/>
        <v>0</v>
      </c>
      <c r="AU86" s="92">
        <f t="shared" si="48"/>
        <v>0</v>
      </c>
      <c r="AV86" s="93">
        <f t="shared" si="49"/>
        <v>0</v>
      </c>
    </row>
    <row r="87" spans="33:48">
      <c r="AG87" s="91" t="e">
        <f t="shared" si="34"/>
        <v>#VALUE!</v>
      </c>
      <c r="AH87" s="91" t="e">
        <f t="shared" si="35"/>
        <v>#VALUE!</v>
      </c>
      <c r="AI87" s="91">
        <f t="shared" si="36"/>
        <v>0</v>
      </c>
      <c r="AJ87" s="91">
        <f t="shared" si="37"/>
        <v>0</v>
      </c>
      <c r="AK87" s="91">
        <f t="shared" si="38"/>
        <v>0</v>
      </c>
      <c r="AL87" s="91">
        <f t="shared" si="39"/>
        <v>0</v>
      </c>
      <c r="AM87" s="91">
        <f t="shared" si="40"/>
        <v>0</v>
      </c>
      <c r="AN87" s="91">
        <f t="shared" si="41"/>
        <v>0</v>
      </c>
      <c r="AO87" s="91">
        <f t="shared" si="42"/>
        <v>0</v>
      </c>
      <c r="AP87" s="91">
        <f t="shared" si="43"/>
        <v>0</v>
      </c>
      <c r="AQ87" s="92">
        <f t="shared" si="44"/>
        <v>0</v>
      </c>
      <c r="AR87" s="92">
        <f t="shared" si="45"/>
        <v>0</v>
      </c>
      <c r="AS87" s="92">
        <f t="shared" si="46"/>
        <v>0</v>
      </c>
      <c r="AT87" s="92">
        <f t="shared" si="47"/>
        <v>0</v>
      </c>
      <c r="AU87" s="92">
        <f t="shared" si="48"/>
        <v>0</v>
      </c>
      <c r="AV87" s="93">
        <f t="shared" si="49"/>
        <v>0</v>
      </c>
    </row>
    <row r="88" spans="33:48">
      <c r="AG88" s="91" t="e">
        <f t="shared" si="34"/>
        <v>#VALUE!</v>
      </c>
      <c r="AH88" s="91" t="e">
        <f t="shared" si="35"/>
        <v>#VALUE!</v>
      </c>
      <c r="AI88" s="91">
        <f t="shared" si="36"/>
        <v>0</v>
      </c>
      <c r="AJ88" s="91">
        <f t="shared" si="37"/>
        <v>0</v>
      </c>
      <c r="AK88" s="91">
        <f t="shared" si="38"/>
        <v>0</v>
      </c>
      <c r="AL88" s="91">
        <f t="shared" si="39"/>
        <v>0</v>
      </c>
      <c r="AM88" s="91">
        <f t="shared" si="40"/>
        <v>0</v>
      </c>
      <c r="AN88" s="91">
        <f t="shared" si="41"/>
        <v>0</v>
      </c>
      <c r="AO88" s="91">
        <f t="shared" si="42"/>
        <v>0</v>
      </c>
      <c r="AP88" s="91">
        <f t="shared" si="43"/>
        <v>0</v>
      </c>
      <c r="AQ88" s="92">
        <f t="shared" si="44"/>
        <v>0</v>
      </c>
      <c r="AR88" s="92">
        <f t="shared" si="45"/>
        <v>0</v>
      </c>
      <c r="AS88" s="92">
        <f t="shared" si="46"/>
        <v>0</v>
      </c>
      <c r="AT88" s="92">
        <f t="shared" si="47"/>
        <v>0</v>
      </c>
      <c r="AU88" s="92">
        <f t="shared" si="48"/>
        <v>0</v>
      </c>
      <c r="AV88" s="93">
        <f t="shared" si="49"/>
        <v>0</v>
      </c>
    </row>
    <row r="89" spans="33:48">
      <c r="AG89" s="91" t="e">
        <f t="shared" si="34"/>
        <v>#VALUE!</v>
      </c>
      <c r="AH89" s="91" t="e">
        <f t="shared" si="35"/>
        <v>#VALUE!</v>
      </c>
      <c r="AI89" s="91">
        <f t="shared" si="36"/>
        <v>0</v>
      </c>
      <c r="AJ89" s="91">
        <f t="shared" si="37"/>
        <v>0</v>
      </c>
      <c r="AK89" s="91">
        <f t="shared" si="38"/>
        <v>0</v>
      </c>
      <c r="AL89" s="91">
        <f t="shared" si="39"/>
        <v>0</v>
      </c>
      <c r="AM89" s="91">
        <f t="shared" si="40"/>
        <v>0</v>
      </c>
      <c r="AN89" s="91">
        <f t="shared" si="41"/>
        <v>0</v>
      </c>
      <c r="AO89" s="91">
        <f t="shared" si="42"/>
        <v>0</v>
      </c>
      <c r="AP89" s="91">
        <f t="shared" si="43"/>
        <v>0</v>
      </c>
      <c r="AQ89" s="92">
        <f t="shared" si="44"/>
        <v>0</v>
      </c>
      <c r="AR89" s="92">
        <f t="shared" si="45"/>
        <v>0</v>
      </c>
      <c r="AS89" s="92">
        <f t="shared" si="46"/>
        <v>0</v>
      </c>
      <c r="AT89" s="92">
        <f t="shared" si="47"/>
        <v>0</v>
      </c>
      <c r="AU89" s="92">
        <f t="shared" si="48"/>
        <v>0</v>
      </c>
      <c r="AV89" s="93">
        <f t="shared" si="49"/>
        <v>0</v>
      </c>
    </row>
    <row r="90" spans="33:48">
      <c r="AG90" s="91" t="e">
        <f t="shared" si="34"/>
        <v>#VALUE!</v>
      </c>
      <c r="AH90" s="91" t="e">
        <f t="shared" si="35"/>
        <v>#VALUE!</v>
      </c>
      <c r="AI90" s="91">
        <f t="shared" si="36"/>
        <v>0</v>
      </c>
      <c r="AJ90" s="91">
        <f t="shared" si="37"/>
        <v>0</v>
      </c>
      <c r="AK90" s="91">
        <f t="shared" si="38"/>
        <v>0</v>
      </c>
      <c r="AL90" s="91">
        <f t="shared" si="39"/>
        <v>0</v>
      </c>
      <c r="AM90" s="91">
        <f t="shared" si="40"/>
        <v>0</v>
      </c>
      <c r="AN90" s="91">
        <f t="shared" si="41"/>
        <v>0</v>
      </c>
      <c r="AO90" s="91">
        <f t="shared" si="42"/>
        <v>0</v>
      </c>
      <c r="AP90" s="91">
        <f t="shared" si="43"/>
        <v>0</v>
      </c>
      <c r="AQ90" s="92">
        <f t="shared" si="44"/>
        <v>0</v>
      </c>
      <c r="AR90" s="92">
        <f t="shared" si="45"/>
        <v>0</v>
      </c>
      <c r="AS90" s="92">
        <f t="shared" si="46"/>
        <v>0</v>
      </c>
      <c r="AT90" s="92">
        <f t="shared" si="47"/>
        <v>0</v>
      </c>
      <c r="AU90" s="92">
        <f t="shared" si="48"/>
        <v>0</v>
      </c>
      <c r="AV90" s="93">
        <f t="shared" si="49"/>
        <v>0</v>
      </c>
    </row>
    <row r="91" spans="33:48">
      <c r="AG91" s="91" t="e">
        <f t="shared" si="34"/>
        <v>#VALUE!</v>
      </c>
      <c r="AH91" s="91" t="e">
        <f t="shared" si="35"/>
        <v>#VALUE!</v>
      </c>
      <c r="AI91" s="91">
        <f t="shared" si="36"/>
        <v>0</v>
      </c>
      <c r="AJ91" s="91">
        <f t="shared" si="37"/>
        <v>0</v>
      </c>
      <c r="AK91" s="91">
        <f t="shared" si="38"/>
        <v>0</v>
      </c>
      <c r="AL91" s="91">
        <f t="shared" si="39"/>
        <v>0</v>
      </c>
      <c r="AM91" s="91">
        <f t="shared" si="40"/>
        <v>0</v>
      </c>
      <c r="AN91" s="91">
        <f t="shared" si="41"/>
        <v>0</v>
      </c>
      <c r="AO91" s="91">
        <f t="shared" si="42"/>
        <v>0</v>
      </c>
      <c r="AP91" s="91">
        <f t="shared" si="43"/>
        <v>0</v>
      </c>
      <c r="AQ91" s="92">
        <f t="shared" si="44"/>
        <v>0</v>
      </c>
      <c r="AR91" s="92">
        <f t="shared" si="45"/>
        <v>0</v>
      </c>
      <c r="AS91" s="92">
        <f t="shared" si="46"/>
        <v>0</v>
      </c>
      <c r="AT91" s="92">
        <f t="shared" si="47"/>
        <v>0</v>
      </c>
      <c r="AU91" s="92">
        <f t="shared" si="48"/>
        <v>0</v>
      </c>
      <c r="AV91" s="93">
        <f t="shared" si="49"/>
        <v>0</v>
      </c>
    </row>
    <row r="92" spans="33:48">
      <c r="AG92" s="91" t="e">
        <f t="shared" si="34"/>
        <v>#VALUE!</v>
      </c>
      <c r="AH92" s="91" t="e">
        <f t="shared" si="35"/>
        <v>#VALUE!</v>
      </c>
      <c r="AI92" s="91">
        <f t="shared" si="36"/>
        <v>0</v>
      </c>
      <c r="AJ92" s="91">
        <f t="shared" si="37"/>
        <v>0</v>
      </c>
      <c r="AK92" s="91">
        <f t="shared" si="38"/>
        <v>0</v>
      </c>
      <c r="AL92" s="91">
        <f t="shared" si="39"/>
        <v>0</v>
      </c>
      <c r="AM92" s="91">
        <f t="shared" si="40"/>
        <v>0</v>
      </c>
      <c r="AN92" s="91">
        <f t="shared" si="41"/>
        <v>0</v>
      </c>
      <c r="AO92" s="91">
        <f t="shared" si="42"/>
        <v>0</v>
      </c>
      <c r="AP92" s="91">
        <f t="shared" si="43"/>
        <v>0</v>
      </c>
      <c r="AQ92" s="92">
        <f t="shared" si="44"/>
        <v>0</v>
      </c>
      <c r="AR92" s="92">
        <f t="shared" si="45"/>
        <v>0</v>
      </c>
      <c r="AS92" s="92">
        <f t="shared" si="46"/>
        <v>0</v>
      </c>
      <c r="AT92" s="92">
        <f t="shared" si="47"/>
        <v>0</v>
      </c>
      <c r="AU92" s="92">
        <f t="shared" si="48"/>
        <v>0</v>
      </c>
      <c r="AV92" s="93">
        <f t="shared" si="49"/>
        <v>0</v>
      </c>
    </row>
    <row r="93" spans="33:48">
      <c r="AG93" s="91" t="e">
        <f t="shared" si="34"/>
        <v>#VALUE!</v>
      </c>
      <c r="AH93" s="91" t="e">
        <f t="shared" si="35"/>
        <v>#VALUE!</v>
      </c>
      <c r="AI93" s="91">
        <f t="shared" si="36"/>
        <v>0</v>
      </c>
      <c r="AJ93" s="91">
        <f t="shared" si="37"/>
        <v>0</v>
      </c>
      <c r="AK93" s="91">
        <f t="shared" si="38"/>
        <v>0</v>
      </c>
      <c r="AL93" s="91">
        <f t="shared" si="39"/>
        <v>0</v>
      </c>
      <c r="AM93" s="91">
        <f t="shared" si="40"/>
        <v>0</v>
      </c>
      <c r="AN93" s="91">
        <f t="shared" si="41"/>
        <v>0</v>
      </c>
      <c r="AO93" s="91">
        <f t="shared" si="42"/>
        <v>0</v>
      </c>
      <c r="AP93" s="91">
        <f t="shared" si="43"/>
        <v>0</v>
      </c>
      <c r="AQ93" s="92">
        <f t="shared" si="44"/>
        <v>0</v>
      </c>
      <c r="AR93" s="92">
        <f t="shared" si="45"/>
        <v>0</v>
      </c>
      <c r="AS93" s="92">
        <f t="shared" si="46"/>
        <v>0</v>
      </c>
      <c r="AT93" s="92">
        <f t="shared" si="47"/>
        <v>0</v>
      </c>
      <c r="AU93" s="92">
        <f t="shared" si="48"/>
        <v>0</v>
      </c>
      <c r="AV93" s="93">
        <f t="shared" si="49"/>
        <v>0</v>
      </c>
    </row>
    <row r="94" spans="33:48">
      <c r="AG94" s="91" t="e">
        <f t="shared" si="34"/>
        <v>#VALUE!</v>
      </c>
      <c r="AH94" s="91" t="e">
        <f t="shared" si="35"/>
        <v>#VALUE!</v>
      </c>
      <c r="AI94" s="91">
        <f t="shared" si="36"/>
        <v>0</v>
      </c>
      <c r="AJ94" s="91">
        <f t="shared" si="37"/>
        <v>0</v>
      </c>
      <c r="AK94" s="91">
        <f t="shared" si="38"/>
        <v>0</v>
      </c>
      <c r="AL94" s="91">
        <f t="shared" si="39"/>
        <v>0</v>
      </c>
      <c r="AM94" s="91">
        <f t="shared" si="40"/>
        <v>0</v>
      </c>
      <c r="AN94" s="91">
        <f t="shared" si="41"/>
        <v>0</v>
      </c>
      <c r="AO94" s="91">
        <f t="shared" si="42"/>
        <v>0</v>
      </c>
      <c r="AP94" s="91">
        <f t="shared" si="43"/>
        <v>0</v>
      </c>
      <c r="AQ94" s="92">
        <f t="shared" si="44"/>
        <v>0</v>
      </c>
      <c r="AR94" s="92">
        <f t="shared" si="45"/>
        <v>0</v>
      </c>
      <c r="AS94" s="92">
        <f t="shared" si="46"/>
        <v>0</v>
      </c>
      <c r="AT94" s="92">
        <f t="shared" si="47"/>
        <v>0</v>
      </c>
      <c r="AU94" s="92">
        <f t="shared" si="48"/>
        <v>0</v>
      </c>
      <c r="AV94" s="93">
        <f t="shared" si="49"/>
        <v>0</v>
      </c>
    </row>
    <row r="95" spans="33:48">
      <c r="AG95" s="91" t="e">
        <f t="shared" si="34"/>
        <v>#VALUE!</v>
      </c>
      <c r="AH95" s="91" t="e">
        <f t="shared" si="35"/>
        <v>#VALUE!</v>
      </c>
      <c r="AI95" s="91">
        <f t="shared" si="36"/>
        <v>0</v>
      </c>
      <c r="AJ95" s="91">
        <f t="shared" si="37"/>
        <v>0</v>
      </c>
      <c r="AK95" s="91">
        <f t="shared" si="38"/>
        <v>0</v>
      </c>
      <c r="AL95" s="91">
        <f t="shared" si="39"/>
        <v>0</v>
      </c>
      <c r="AM95" s="91">
        <f t="shared" si="40"/>
        <v>0</v>
      </c>
      <c r="AN95" s="91">
        <f t="shared" si="41"/>
        <v>0</v>
      </c>
      <c r="AO95" s="91">
        <f t="shared" si="42"/>
        <v>0</v>
      </c>
      <c r="AP95" s="91">
        <f t="shared" si="43"/>
        <v>0</v>
      </c>
      <c r="AQ95" s="92">
        <f t="shared" si="44"/>
        <v>0</v>
      </c>
      <c r="AR95" s="92">
        <f t="shared" si="45"/>
        <v>0</v>
      </c>
      <c r="AS95" s="92">
        <f t="shared" si="46"/>
        <v>0</v>
      </c>
      <c r="AT95" s="92">
        <f t="shared" si="47"/>
        <v>0</v>
      </c>
      <c r="AU95" s="92">
        <f t="shared" si="48"/>
        <v>0</v>
      </c>
      <c r="AV95" s="93">
        <f t="shared" si="49"/>
        <v>0</v>
      </c>
    </row>
    <row r="96" spans="33:48">
      <c r="AG96" s="91" t="e">
        <f t="shared" si="34"/>
        <v>#VALUE!</v>
      </c>
      <c r="AH96" s="91" t="e">
        <f t="shared" si="35"/>
        <v>#VALUE!</v>
      </c>
      <c r="AI96" s="91">
        <f t="shared" si="36"/>
        <v>0</v>
      </c>
      <c r="AJ96" s="91">
        <f t="shared" si="37"/>
        <v>0</v>
      </c>
      <c r="AK96" s="91">
        <f t="shared" si="38"/>
        <v>0</v>
      </c>
      <c r="AL96" s="91">
        <f t="shared" si="39"/>
        <v>0</v>
      </c>
      <c r="AM96" s="91">
        <f t="shared" si="40"/>
        <v>0</v>
      </c>
      <c r="AN96" s="91">
        <f t="shared" si="41"/>
        <v>0</v>
      </c>
      <c r="AO96" s="91">
        <f t="shared" si="42"/>
        <v>0</v>
      </c>
      <c r="AP96" s="91">
        <f t="shared" si="43"/>
        <v>0</v>
      </c>
      <c r="AQ96" s="92">
        <f t="shared" si="44"/>
        <v>0</v>
      </c>
      <c r="AR96" s="92">
        <f t="shared" si="45"/>
        <v>0</v>
      </c>
      <c r="AS96" s="92">
        <f t="shared" si="46"/>
        <v>0</v>
      </c>
      <c r="AT96" s="92">
        <f t="shared" si="47"/>
        <v>0</v>
      </c>
      <c r="AU96" s="92">
        <f t="shared" si="48"/>
        <v>0</v>
      </c>
      <c r="AV96" s="93">
        <f t="shared" si="49"/>
        <v>0</v>
      </c>
    </row>
    <row r="97" spans="33:48">
      <c r="AG97" s="91" t="e">
        <f t="shared" si="34"/>
        <v>#VALUE!</v>
      </c>
      <c r="AH97" s="91" t="e">
        <f t="shared" si="35"/>
        <v>#VALUE!</v>
      </c>
      <c r="AI97" s="91">
        <f t="shared" si="36"/>
        <v>0</v>
      </c>
      <c r="AJ97" s="91">
        <f t="shared" si="37"/>
        <v>0</v>
      </c>
      <c r="AK97" s="91">
        <f t="shared" si="38"/>
        <v>0</v>
      </c>
      <c r="AL97" s="91">
        <f t="shared" si="39"/>
        <v>0</v>
      </c>
      <c r="AM97" s="91">
        <f t="shared" si="40"/>
        <v>0</v>
      </c>
      <c r="AN97" s="91">
        <f t="shared" si="41"/>
        <v>0</v>
      </c>
      <c r="AO97" s="91">
        <f t="shared" si="42"/>
        <v>0</v>
      </c>
      <c r="AP97" s="91">
        <f t="shared" si="43"/>
        <v>0</v>
      </c>
      <c r="AQ97" s="92">
        <f t="shared" si="44"/>
        <v>0</v>
      </c>
      <c r="AR97" s="92">
        <f t="shared" si="45"/>
        <v>0</v>
      </c>
      <c r="AS97" s="92">
        <f t="shared" si="46"/>
        <v>0</v>
      </c>
      <c r="AT97" s="92">
        <f t="shared" si="47"/>
        <v>0</v>
      </c>
      <c r="AU97" s="92">
        <f t="shared" si="48"/>
        <v>0</v>
      </c>
      <c r="AV97" s="93">
        <f t="shared" si="49"/>
        <v>0</v>
      </c>
    </row>
    <row r="98" spans="33:48">
      <c r="AG98" s="91" t="e">
        <f t="shared" si="34"/>
        <v>#VALUE!</v>
      </c>
      <c r="AH98" s="91" t="e">
        <f t="shared" si="35"/>
        <v>#VALUE!</v>
      </c>
      <c r="AI98" s="91">
        <f t="shared" si="36"/>
        <v>0</v>
      </c>
      <c r="AJ98" s="91">
        <f t="shared" si="37"/>
        <v>0</v>
      </c>
      <c r="AK98" s="91">
        <f t="shared" si="38"/>
        <v>0</v>
      </c>
      <c r="AL98" s="91">
        <f t="shared" si="39"/>
        <v>0</v>
      </c>
      <c r="AM98" s="91">
        <f t="shared" si="40"/>
        <v>0</v>
      </c>
      <c r="AN98" s="91">
        <f t="shared" si="41"/>
        <v>0</v>
      </c>
      <c r="AO98" s="91">
        <f t="shared" si="42"/>
        <v>0</v>
      </c>
      <c r="AP98" s="91">
        <f t="shared" si="43"/>
        <v>0</v>
      </c>
      <c r="AQ98" s="92">
        <f t="shared" si="44"/>
        <v>0</v>
      </c>
      <c r="AR98" s="92">
        <f t="shared" si="45"/>
        <v>0</v>
      </c>
      <c r="AS98" s="92">
        <f t="shared" si="46"/>
        <v>0</v>
      </c>
      <c r="AT98" s="92">
        <f t="shared" si="47"/>
        <v>0</v>
      </c>
      <c r="AU98" s="92">
        <f t="shared" si="48"/>
        <v>0</v>
      </c>
      <c r="AV98" s="93">
        <f t="shared" si="49"/>
        <v>0</v>
      </c>
    </row>
    <row r="99" spans="33:48" ht="15.75" customHeight="1" thickBot="1">
      <c r="AG99" s="94" t="e">
        <f t="shared" ref="AG99" si="50">AG44-L44</f>
        <v>#VALUE!</v>
      </c>
      <c r="AH99" s="94" t="e">
        <f t="shared" ref="AH99" si="51">AH44-M44</f>
        <v>#VALUE!</v>
      </c>
      <c r="AI99" s="94">
        <f t="shared" ref="AI99" si="52">AI44-N44</f>
        <v>0</v>
      </c>
      <c r="AJ99" s="94">
        <f t="shared" ref="AJ99" si="53">AJ44-O44</f>
        <v>0</v>
      </c>
      <c r="AK99" s="94">
        <f t="shared" ref="AK99" si="54">AK44-P44</f>
        <v>0</v>
      </c>
      <c r="AL99" s="94">
        <f t="shared" ref="AL99" si="55">AL44-Q44</f>
        <v>0</v>
      </c>
      <c r="AM99" s="94">
        <f t="shared" ref="AM99" si="56">AM44-R44</f>
        <v>0</v>
      </c>
      <c r="AN99" s="94">
        <f t="shared" ref="AN99" si="57">AN44-S44</f>
        <v>0</v>
      </c>
      <c r="AO99" s="94">
        <f t="shared" ref="AO99" si="58">AO44-T44</f>
        <v>0</v>
      </c>
      <c r="AP99" s="94">
        <f t="shared" ref="AP99" si="59">AP44-U44</f>
        <v>0</v>
      </c>
      <c r="AQ99" s="95">
        <f t="shared" ref="AQ99" si="60">AQ44-V44</f>
        <v>0</v>
      </c>
      <c r="AR99" s="95">
        <f t="shared" ref="AR99" si="61">AR44-W44</f>
        <v>0</v>
      </c>
      <c r="AS99" s="95">
        <f t="shared" ref="AS99" si="62">AS44-X44</f>
        <v>0</v>
      </c>
      <c r="AT99" s="95">
        <f t="shared" ref="AT99" si="63">AT44-Y44</f>
        <v>0</v>
      </c>
      <c r="AU99" s="95">
        <f t="shared" ref="AU99" si="64">AU44-Z44</f>
        <v>0</v>
      </c>
      <c r="AV99" s="96">
        <f t="shared" ref="AV99" si="65">AV44-AA44</f>
        <v>0</v>
      </c>
    </row>
    <row r="100" spans="33:48">
      <c r="AG100" s="91" t="e">
        <f t="shared" ref="AG100:AV103" si="66">AG45-L45</f>
        <v>#VALUE!</v>
      </c>
      <c r="AH100" s="91" t="e">
        <f t="shared" si="66"/>
        <v>#VALUE!</v>
      </c>
      <c r="AI100" s="91">
        <f t="shared" si="66"/>
        <v>0</v>
      </c>
      <c r="AJ100" s="91">
        <f t="shared" si="66"/>
        <v>0</v>
      </c>
      <c r="AK100" s="91">
        <f t="shared" si="66"/>
        <v>0</v>
      </c>
      <c r="AL100" s="91">
        <f t="shared" si="66"/>
        <v>0</v>
      </c>
      <c r="AM100" s="91">
        <f t="shared" si="66"/>
        <v>0</v>
      </c>
      <c r="AN100" s="91">
        <f t="shared" si="66"/>
        <v>0</v>
      </c>
      <c r="AO100" s="91">
        <f t="shared" si="66"/>
        <v>0</v>
      </c>
      <c r="AP100" s="91">
        <f t="shared" si="66"/>
        <v>0</v>
      </c>
      <c r="AQ100" s="92">
        <f t="shared" si="66"/>
        <v>0</v>
      </c>
      <c r="AR100" s="92">
        <f t="shared" si="66"/>
        <v>0</v>
      </c>
      <c r="AS100" s="92">
        <f t="shared" si="66"/>
        <v>0</v>
      </c>
      <c r="AT100" s="92">
        <f t="shared" si="66"/>
        <v>0</v>
      </c>
      <c r="AU100" s="92">
        <f t="shared" si="66"/>
        <v>0</v>
      </c>
      <c r="AV100" s="93">
        <f t="shared" si="66"/>
        <v>0</v>
      </c>
    </row>
    <row r="101" spans="33:48">
      <c r="AG101" s="91" t="e">
        <f t="shared" si="66"/>
        <v>#VALUE!</v>
      </c>
      <c r="AH101" s="91" t="e">
        <f t="shared" si="66"/>
        <v>#VALUE!</v>
      </c>
      <c r="AI101" s="91">
        <f t="shared" si="66"/>
        <v>0</v>
      </c>
      <c r="AJ101" s="91">
        <f t="shared" si="66"/>
        <v>0</v>
      </c>
      <c r="AK101" s="91">
        <f t="shared" si="66"/>
        <v>0</v>
      </c>
      <c r="AL101" s="91">
        <f t="shared" si="66"/>
        <v>0</v>
      </c>
      <c r="AM101" s="91">
        <f t="shared" si="66"/>
        <v>0</v>
      </c>
      <c r="AN101" s="91">
        <f t="shared" si="66"/>
        <v>0</v>
      </c>
      <c r="AO101" s="91">
        <f t="shared" si="66"/>
        <v>0</v>
      </c>
      <c r="AP101" s="91">
        <f t="shared" si="66"/>
        <v>0</v>
      </c>
      <c r="AQ101" s="92">
        <f t="shared" si="66"/>
        <v>0</v>
      </c>
      <c r="AR101" s="92">
        <f t="shared" si="66"/>
        <v>0</v>
      </c>
      <c r="AS101" s="92">
        <f t="shared" si="66"/>
        <v>0</v>
      </c>
      <c r="AT101" s="92">
        <f t="shared" si="66"/>
        <v>0</v>
      </c>
      <c r="AU101" s="92">
        <f t="shared" si="66"/>
        <v>0</v>
      </c>
      <c r="AV101" s="93">
        <f t="shared" si="66"/>
        <v>0</v>
      </c>
    </row>
    <row r="102" spans="33:48">
      <c r="AG102" s="91" t="e">
        <f t="shared" si="66"/>
        <v>#VALUE!</v>
      </c>
      <c r="AH102" s="91" t="e">
        <f t="shared" si="66"/>
        <v>#VALUE!</v>
      </c>
      <c r="AI102" s="91">
        <f t="shared" si="66"/>
        <v>0</v>
      </c>
      <c r="AJ102" s="91">
        <f t="shared" si="66"/>
        <v>0</v>
      </c>
      <c r="AK102" s="91">
        <f t="shared" si="66"/>
        <v>0</v>
      </c>
      <c r="AL102" s="91">
        <f t="shared" si="66"/>
        <v>0</v>
      </c>
      <c r="AM102" s="91">
        <f t="shared" si="66"/>
        <v>0</v>
      </c>
      <c r="AN102" s="91">
        <f t="shared" si="66"/>
        <v>0</v>
      </c>
      <c r="AO102" s="91">
        <f t="shared" si="66"/>
        <v>0</v>
      </c>
      <c r="AP102" s="91">
        <f t="shared" si="66"/>
        <v>0</v>
      </c>
      <c r="AQ102" s="92">
        <f t="shared" si="66"/>
        <v>0</v>
      </c>
      <c r="AR102" s="92">
        <f t="shared" si="66"/>
        <v>0</v>
      </c>
      <c r="AS102" s="92">
        <f t="shared" si="66"/>
        <v>0</v>
      </c>
      <c r="AT102" s="92">
        <f t="shared" si="66"/>
        <v>0</v>
      </c>
      <c r="AU102" s="92">
        <f t="shared" si="66"/>
        <v>0</v>
      </c>
      <c r="AV102" s="93">
        <f t="shared" si="66"/>
        <v>0</v>
      </c>
    </row>
    <row r="103" spans="33:48">
      <c r="AG103" s="91" t="e">
        <f t="shared" si="66"/>
        <v>#VALUE!</v>
      </c>
      <c r="AH103" s="91" t="e">
        <f t="shared" si="66"/>
        <v>#VALUE!</v>
      </c>
      <c r="AI103" s="91">
        <f t="shared" si="66"/>
        <v>0</v>
      </c>
      <c r="AJ103" s="91">
        <f t="shared" si="66"/>
        <v>0</v>
      </c>
      <c r="AK103" s="91">
        <f t="shared" si="66"/>
        <v>0</v>
      </c>
      <c r="AL103" s="91">
        <f t="shared" si="66"/>
        <v>0</v>
      </c>
      <c r="AM103" s="91">
        <f t="shared" si="66"/>
        <v>0</v>
      </c>
      <c r="AN103" s="91">
        <f t="shared" si="66"/>
        <v>0</v>
      </c>
      <c r="AO103" s="91">
        <f t="shared" si="66"/>
        <v>0</v>
      </c>
      <c r="AP103" s="91">
        <f t="shared" si="66"/>
        <v>0</v>
      </c>
      <c r="AQ103" s="92">
        <f t="shared" si="66"/>
        <v>0</v>
      </c>
      <c r="AR103" s="92">
        <f t="shared" si="66"/>
        <v>0</v>
      </c>
      <c r="AS103" s="92">
        <f t="shared" si="66"/>
        <v>0</v>
      </c>
      <c r="AT103" s="92">
        <f t="shared" si="66"/>
        <v>0</v>
      </c>
      <c r="AU103" s="92">
        <f t="shared" si="66"/>
        <v>0</v>
      </c>
      <c r="AV103" s="93">
        <f t="shared" si="66"/>
        <v>0</v>
      </c>
    </row>
    <row r="104" spans="33:48" ht="15" thickBot="1">
      <c r="AG104" s="94" t="e">
        <f t="shared" ref="AG104" si="67">AG49-L49</f>
        <v>#VALUE!</v>
      </c>
      <c r="AH104" s="94" t="e">
        <f t="shared" ref="AH104" si="68">AH49-M49</f>
        <v>#VALUE!</v>
      </c>
      <c r="AI104" s="94">
        <f t="shared" ref="AI104" si="69">AI49-N49</f>
        <v>0</v>
      </c>
      <c r="AJ104" s="94">
        <f t="shared" ref="AJ104" si="70">AJ49-O49</f>
        <v>0</v>
      </c>
      <c r="AK104" s="94">
        <f t="shared" ref="AK104" si="71">AK49-P49</f>
        <v>0</v>
      </c>
      <c r="AL104" s="94">
        <f t="shared" ref="AL104" si="72">AL49-Q49</f>
        <v>0</v>
      </c>
      <c r="AM104" s="94">
        <f t="shared" ref="AM104" si="73">AM49-R49</f>
        <v>0</v>
      </c>
      <c r="AN104" s="94">
        <f t="shared" ref="AN104" si="74">AN49-S49</f>
        <v>0</v>
      </c>
      <c r="AO104" s="94">
        <f t="shared" ref="AO104" si="75">AO49-T49</f>
        <v>0</v>
      </c>
      <c r="AP104" s="94">
        <f t="shared" ref="AP104" si="76">AP49-U49</f>
        <v>0</v>
      </c>
      <c r="AQ104" s="95">
        <f t="shared" ref="AQ104" si="77">AQ49-V49</f>
        <v>0</v>
      </c>
      <c r="AR104" s="95">
        <f t="shared" ref="AR104" si="78">AR49-W49</f>
        <v>0</v>
      </c>
      <c r="AS104" s="95">
        <f t="shared" ref="AS104" si="79">AS49-X49</f>
        <v>0</v>
      </c>
      <c r="AT104" s="95">
        <f t="shared" ref="AT104" si="80">AT49-Y49</f>
        <v>0</v>
      </c>
      <c r="AU104" s="95">
        <f t="shared" ref="AU104" si="81">AU49-Z49</f>
        <v>0</v>
      </c>
      <c r="AV104" s="96">
        <f t="shared" ref="AV104" si="82">AV49-AA49</f>
        <v>0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54 BA53:BN53">
    <cfRule type="cellIs" dxfId="161" priority="37" operator="greaterThanOrEqual">
      <formula>0.03</formula>
    </cfRule>
    <cfRule type="cellIs" dxfId="160" priority="38" operator="lessThanOrEqual">
      <formula>-0.03</formula>
    </cfRule>
  </conditionalFormatting>
  <conditionalFormatting sqref="BA5:BA52 BA54">
    <cfRule type="cellIs" dxfId="159" priority="39" operator="greaterThanOrEqual">
      <formula>0.03</formula>
    </cfRule>
    <cfRule type="cellIs" dxfId="158" priority="40" operator="lessThanOrEqual">
      <formula>-0.03</formula>
    </cfRule>
  </conditionalFormatting>
  <conditionalFormatting sqref="BB5:BB52 BB54">
    <cfRule type="cellIs" dxfId="157" priority="47" operator="greaterThanOrEqual">
      <formula>0.03</formula>
    </cfRule>
    <cfRule type="cellIs" dxfId="156" priority="48" operator="lessThanOrEqual">
      <formula>-0.03</formula>
    </cfRule>
  </conditionalFormatting>
  <conditionalFormatting sqref="BC5:BC52 BC54">
    <cfRule type="cellIs" dxfId="155" priority="49" operator="greaterThanOrEqual">
      <formula>0.03</formula>
    </cfRule>
    <cfRule type="cellIs" dxfId="154" priority="50" operator="lessThanOrEqual">
      <formula>-0.03</formula>
    </cfRule>
  </conditionalFormatting>
  <conditionalFormatting sqref="BD5:BD52 BD54">
    <cfRule type="cellIs" dxfId="153" priority="41" operator="greaterThanOrEqual">
      <formula>0.03</formula>
    </cfRule>
    <cfRule type="cellIs" dxfId="152" priority="42" operator="lessThanOrEqual">
      <formula>-0.03</formula>
    </cfRule>
  </conditionalFormatting>
  <conditionalFormatting sqref="BE5:BE52 BE54">
    <cfRule type="cellIs" dxfId="151" priority="43" operator="greaterThanOrEqual">
      <formula>0.03</formula>
    </cfRule>
    <cfRule type="cellIs" dxfId="150" priority="44" operator="lessThanOrEqual">
      <formula>-0.03</formula>
    </cfRule>
  </conditionalFormatting>
  <conditionalFormatting sqref="BF5:BF52 BF54">
    <cfRule type="cellIs" dxfId="149" priority="45" operator="greaterThanOrEqual">
      <formula>0.03</formula>
    </cfRule>
    <cfRule type="cellIs" dxfId="148" priority="46" operator="lessThanOrEqual">
      <formula>-0.03</formula>
    </cfRule>
  </conditionalFormatting>
  <conditionalFormatting sqref="J5:J50">
    <cfRule type="expression" dxfId="147" priority="36">
      <formula>OR(J5 &lt; H5 * 0.9, J5 &gt; H5)</formula>
    </cfRule>
  </conditionalFormatting>
  <conditionalFormatting sqref="AE5:AE50">
    <cfRule type="expression" dxfId="146" priority="35">
      <formula>OR(AE5 &lt; H5 * 0.9, AE5 &gt; H5)</formula>
    </cfRule>
  </conditionalFormatting>
  <conditionalFormatting sqref="BP5:BP54 BQ53:BT54">
    <cfRule type="cellIs" dxfId="145" priority="33" operator="greaterThanOrEqual">
      <formula>0.001</formula>
    </cfRule>
    <cfRule type="cellIs" dxfId="144" priority="34" operator="lessThanOrEqual">
      <formula>-0.001</formula>
    </cfRule>
  </conditionalFormatting>
  <conditionalFormatting sqref="BQ5:BQ52">
    <cfRule type="cellIs" dxfId="143" priority="31" operator="greaterThanOrEqual">
      <formula>0.001</formula>
    </cfRule>
    <cfRule type="cellIs" dxfId="142" priority="32" operator="lessThanOrEqual">
      <formula>-0.001</formula>
    </cfRule>
  </conditionalFormatting>
  <conditionalFormatting sqref="BR5:BR52">
    <cfRule type="cellIs" dxfId="141" priority="29" operator="greaterThanOrEqual">
      <formula>0.001</formula>
    </cfRule>
    <cfRule type="cellIs" dxfId="140" priority="30" operator="lessThanOrEqual">
      <formula>-0.001</formula>
    </cfRule>
  </conditionalFormatting>
  <conditionalFormatting sqref="BS5:BS52">
    <cfRule type="cellIs" dxfId="139" priority="27" operator="greaterThanOrEqual">
      <formula>0.001</formula>
    </cfRule>
    <cfRule type="cellIs" dxfId="138" priority="28" operator="lessThanOrEqual">
      <formula>-0.001</formula>
    </cfRule>
  </conditionalFormatting>
  <conditionalFormatting sqref="AG60:AQ99">
    <cfRule type="cellIs" dxfId="137" priority="25" operator="lessThan">
      <formula>0</formula>
    </cfRule>
    <cfRule type="cellIs" dxfId="136" priority="26" operator="greaterThan">
      <formula>0</formula>
    </cfRule>
  </conditionalFormatting>
  <conditionalFormatting sqref="AR60:AV99">
    <cfRule type="cellIs" dxfId="135" priority="23" operator="lessThan">
      <formula>0</formula>
    </cfRule>
    <cfRule type="cellIs" dxfId="134" priority="24" operator="greaterThan">
      <formula>0</formula>
    </cfRule>
  </conditionalFormatting>
  <conditionalFormatting sqref="L5:L49">
    <cfRule type="expression" dxfId="133" priority="22">
      <formula>NOT(L5=O5)</formula>
    </cfRule>
  </conditionalFormatting>
  <conditionalFormatting sqref="AG5:AG49">
    <cfRule type="expression" dxfId="132" priority="21">
      <formula>NOT(AG5=AJ5)</formula>
    </cfRule>
  </conditionalFormatting>
  <conditionalFormatting sqref="BH5:BH52 BH54">
    <cfRule type="cellIs" dxfId="131" priority="11" operator="greaterThanOrEqual">
      <formula>0.03</formula>
    </cfRule>
    <cfRule type="cellIs" dxfId="130" priority="12" operator="lessThanOrEqual">
      <formula>-0.03</formula>
    </cfRule>
  </conditionalFormatting>
  <conditionalFormatting sqref="BI5:BI52 BI54">
    <cfRule type="cellIs" dxfId="129" priority="7" operator="greaterThanOrEqual">
      <formula>0.03</formula>
    </cfRule>
    <cfRule type="cellIs" dxfId="128" priority="8" operator="lessThanOrEqual">
      <formula>-0.03</formula>
    </cfRule>
  </conditionalFormatting>
  <conditionalFormatting sqref="BJ5:BJ52 BJ54">
    <cfRule type="cellIs" dxfId="127" priority="15" operator="greaterThanOrEqual">
      <formula>0.03</formula>
    </cfRule>
    <cfRule type="cellIs" dxfId="126" priority="16" operator="lessThanOrEqual">
      <formula>-0.03</formula>
    </cfRule>
  </conditionalFormatting>
  <conditionalFormatting sqref="BK5:BK52 BK54">
    <cfRule type="cellIs" dxfId="125" priority="17" operator="greaterThanOrEqual">
      <formula>0.03</formula>
    </cfRule>
    <cfRule type="cellIs" dxfId="124" priority="18" operator="lessThanOrEqual">
      <formula>-0.03</formula>
    </cfRule>
  </conditionalFormatting>
  <conditionalFormatting sqref="BL5:BL52 BL54">
    <cfRule type="cellIs" dxfId="123" priority="9" operator="greaterThanOrEqual">
      <formula>0.03</formula>
    </cfRule>
    <cfRule type="cellIs" dxfId="122" priority="10" operator="lessThanOrEqual">
      <formula>-0.03</formula>
    </cfRule>
  </conditionalFormatting>
  <conditionalFormatting sqref="BM5:BM52 BM54">
    <cfRule type="cellIs" dxfId="121" priority="19" operator="greaterThanOrEqual">
      <formula>0.03</formula>
    </cfRule>
    <cfRule type="cellIs" dxfId="120" priority="20" operator="lessThanOrEqual">
      <formula>-0.03</formula>
    </cfRule>
  </conditionalFormatting>
  <conditionalFormatting sqref="BN5:BN52 BN54">
    <cfRule type="cellIs" dxfId="119" priority="13" operator="greaterThanOrEqual">
      <formula>0.03</formula>
    </cfRule>
    <cfRule type="cellIs" dxfId="118" priority="14" operator="lessThanOrEqual">
      <formula>-0.03</formula>
    </cfRule>
  </conditionalFormatting>
  <conditionalFormatting sqref="BT5:BT52">
    <cfRule type="cellIs" dxfId="117" priority="5" operator="greaterThanOrEqual">
      <formula>0.001</formula>
    </cfRule>
    <cfRule type="cellIs" dxfId="116" priority="6" operator="lessThanOrEqual">
      <formula>-0.001</formula>
    </cfRule>
  </conditionalFormatting>
  <conditionalFormatting sqref="AG100:AQ104">
    <cfRule type="cellIs" dxfId="115" priority="3" operator="lessThan">
      <formula>0</formula>
    </cfRule>
    <cfRule type="cellIs" dxfId="114" priority="4" operator="greaterThan">
      <formula>0</formula>
    </cfRule>
  </conditionalFormatting>
  <conditionalFormatting sqref="AR100:AV104">
    <cfRule type="cellIs" dxfId="113" priority="1" operator="lessThan">
      <formula>0</formula>
    </cfRule>
    <cfRule type="cellIs" dxfId="112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104"/>
  <sheetViews>
    <sheetView zoomScale="80" zoomScaleNormal="80" workbookViewId="0">
      <pane xSplit="2" ySplit="4" topLeftCell="BC35" activePane="bottomRight" state="frozen"/>
      <selection pane="topRight" activeCell="C1" sqref="C1"/>
      <selection pane="bottomLeft" activeCell="A5" sqref="A5"/>
      <selection pane="bottomRight" activeCell="BP54" sqref="BP54:BT54"/>
    </sheetView>
  </sheetViews>
  <sheetFormatPr defaultColWidth="9.1796875" defaultRowHeight="14.5" outlineLevelRow="1"/>
  <cols>
    <col min="2" max="2" width="24.7265625" customWidth="1"/>
    <col min="4" max="5" width="10.7265625" customWidth="1"/>
    <col min="9" max="9" width="1.7265625" customWidth="1"/>
    <col min="11" max="11" width="10.7265625" customWidth="1"/>
    <col min="12" max="13" width="12.54296875" customWidth="1"/>
    <col min="14" max="14" width="10.7265625" customWidth="1"/>
    <col min="15" max="20" width="12.7265625" customWidth="1"/>
    <col min="21" max="27" width="11.7265625" customWidth="1"/>
    <col min="30" max="30" width="1.7265625" customWidth="1"/>
    <col min="32" max="32" width="10.7265625" customWidth="1"/>
    <col min="33" max="34" width="12.54296875" customWidth="1"/>
    <col min="35" max="35" width="10.7265625" customWidth="1"/>
    <col min="36" max="41" width="12.7265625" customWidth="1"/>
    <col min="42" max="48" width="11.7265625" customWidth="1"/>
    <col min="51" max="51" width="1.7265625" customWidth="1"/>
    <col min="54" max="58" width="11.7265625" customWidth="1"/>
    <col min="59" max="59" width="1.7265625" customWidth="1"/>
    <col min="62" max="66" width="11.7265625" customWidth="1"/>
    <col min="67" max="67" width="1.7265625" customWidth="1"/>
  </cols>
  <sheetData>
    <row r="1" spans="1:72">
      <c r="A1" s="123" t="s">
        <v>369</v>
      </c>
      <c r="B1" s="115"/>
      <c r="C1" s="115"/>
      <c r="D1" s="115"/>
      <c r="E1" s="115"/>
      <c r="F1" s="115"/>
      <c r="G1" s="115"/>
      <c r="H1" s="115"/>
      <c r="J1" s="112" t="str">
        <f>Summary!C1</f>
        <v>anchor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 t="str">
        <f>Summary!C2</f>
        <v>proposal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>
      <c r="A2" s="124" t="s">
        <v>151</v>
      </c>
      <c r="B2" s="125" t="s">
        <v>152</v>
      </c>
      <c r="C2" s="124" t="s">
        <v>335</v>
      </c>
      <c r="D2" s="125" t="s">
        <v>153</v>
      </c>
      <c r="E2" s="124" t="s">
        <v>154</v>
      </c>
      <c r="F2" s="125" t="s">
        <v>155</v>
      </c>
      <c r="G2" s="124" t="s">
        <v>156</v>
      </c>
      <c r="H2" s="125" t="s">
        <v>336</v>
      </c>
      <c r="J2" s="124" t="s">
        <v>127</v>
      </c>
      <c r="K2" s="125" t="s">
        <v>131</v>
      </c>
      <c r="L2" s="126" t="s">
        <v>120</v>
      </c>
      <c r="M2" s="125" t="s">
        <v>370</v>
      </c>
      <c r="N2" s="124" t="s">
        <v>81</v>
      </c>
      <c r="O2" s="125" t="s">
        <v>120</v>
      </c>
      <c r="P2" s="128" t="s">
        <v>421</v>
      </c>
      <c r="Q2" s="128" t="s">
        <v>422</v>
      </c>
      <c r="R2" s="128" t="s">
        <v>423</v>
      </c>
      <c r="S2" s="128" t="s">
        <v>424</v>
      </c>
      <c r="T2" s="128" t="s">
        <v>425</v>
      </c>
      <c r="U2" s="129" t="s">
        <v>337</v>
      </c>
      <c r="V2" s="115"/>
      <c r="W2" s="115"/>
      <c r="X2" s="115"/>
      <c r="Y2" s="115"/>
      <c r="Z2" s="128" t="s">
        <v>338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370</v>
      </c>
      <c r="AI2" s="124" t="s">
        <v>81</v>
      </c>
      <c r="AJ2" s="125" t="s">
        <v>120</v>
      </c>
      <c r="AK2" s="128" t="s">
        <v>421</v>
      </c>
      <c r="AL2" s="128" t="s">
        <v>422</v>
      </c>
      <c r="AM2" s="128" t="s">
        <v>423</v>
      </c>
      <c r="AN2" s="128" t="s">
        <v>424</v>
      </c>
      <c r="AO2" s="128" t="s">
        <v>425</v>
      </c>
      <c r="AP2" s="129" t="s">
        <v>337</v>
      </c>
      <c r="AQ2" s="115"/>
      <c r="AR2" s="115"/>
      <c r="AS2" s="115"/>
      <c r="AT2" s="115"/>
      <c r="AU2" s="128" t="s">
        <v>338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411</v>
      </c>
      <c r="BI2" s="129"/>
      <c r="BJ2" s="130" t="s">
        <v>412</v>
      </c>
      <c r="BK2" s="130"/>
      <c r="BL2" s="130"/>
      <c r="BM2" s="124" t="s">
        <v>413</v>
      </c>
      <c r="BN2" s="125" t="s">
        <v>414</v>
      </c>
      <c r="BP2" s="124" t="s">
        <v>416</v>
      </c>
      <c r="BQ2" s="124" t="s">
        <v>417</v>
      </c>
      <c r="BR2" s="124" t="s">
        <v>419</v>
      </c>
      <c r="BS2" s="124" t="s">
        <v>418</v>
      </c>
      <c r="BT2" s="124" t="s">
        <v>420</v>
      </c>
    </row>
    <row r="3" spans="1:72" ht="33" customHeight="1" thickBot="1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16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54" hidden="1" customHeight="1" thickBot="1">
      <c r="A4" s="15" t="s">
        <v>160</v>
      </c>
      <c r="B4" s="16" t="s">
        <v>161</v>
      </c>
      <c r="C4" s="15" t="s">
        <v>339</v>
      </c>
      <c r="D4" s="16" t="s">
        <v>162</v>
      </c>
      <c r="E4" s="15" t="s">
        <v>163</v>
      </c>
      <c r="F4" s="16" t="s">
        <v>164</v>
      </c>
      <c r="G4" s="15" t="s">
        <v>165</v>
      </c>
      <c r="H4" s="16" t="s">
        <v>340</v>
      </c>
      <c r="J4" s="15" t="s">
        <v>166</v>
      </c>
      <c r="K4" s="16" t="s">
        <v>167</v>
      </c>
      <c r="L4" s="16"/>
      <c r="M4" s="16"/>
      <c r="N4" s="15" t="s">
        <v>341</v>
      </c>
      <c r="O4" s="16" t="s">
        <v>168</v>
      </c>
      <c r="P4" s="16"/>
      <c r="Q4" s="16"/>
      <c r="R4" s="16"/>
      <c r="S4" s="16"/>
      <c r="T4" s="16"/>
      <c r="U4" s="15" t="s">
        <v>342</v>
      </c>
      <c r="V4" s="15" t="s">
        <v>343</v>
      </c>
      <c r="W4" s="15" t="s">
        <v>344</v>
      </c>
      <c r="X4" s="15" t="s">
        <v>345</v>
      </c>
      <c r="Y4" s="15" t="s">
        <v>346</v>
      </c>
      <c r="Z4" s="16" t="s">
        <v>347</v>
      </c>
      <c r="AA4" s="16" t="s">
        <v>348</v>
      </c>
      <c r="AB4" s="15" t="s">
        <v>169</v>
      </c>
      <c r="AC4" s="16" t="s">
        <v>170</v>
      </c>
      <c r="AE4" s="15" t="s">
        <v>171</v>
      </c>
      <c r="AF4" s="16" t="s">
        <v>172</v>
      </c>
      <c r="AG4" s="16"/>
      <c r="AH4" s="16"/>
      <c r="AI4" s="15" t="s">
        <v>349</v>
      </c>
      <c r="AJ4" s="16" t="s">
        <v>173</v>
      </c>
      <c r="AK4" s="16"/>
      <c r="AL4" s="16"/>
      <c r="AM4" s="16"/>
      <c r="AN4" s="16"/>
      <c r="AO4" s="16"/>
      <c r="AP4" s="15" t="s">
        <v>350</v>
      </c>
      <c r="AQ4" s="15" t="s">
        <v>351</v>
      </c>
      <c r="AR4" s="15" t="s">
        <v>352</v>
      </c>
      <c r="AS4" s="15" t="s">
        <v>353</v>
      </c>
      <c r="AT4" s="15" t="s">
        <v>354</v>
      </c>
      <c r="AU4" s="16" t="s">
        <v>355</v>
      </c>
      <c r="AV4" s="16" t="s">
        <v>356</v>
      </c>
      <c r="AW4" s="15" t="s">
        <v>174</v>
      </c>
      <c r="AX4" s="16" t="s">
        <v>175</v>
      </c>
      <c r="AZ4" s="15" t="s">
        <v>357</v>
      </c>
      <c r="BA4" s="15" t="s">
        <v>358</v>
      </c>
      <c r="BB4" s="15" t="s">
        <v>359</v>
      </c>
      <c r="BC4" s="15" t="s">
        <v>360</v>
      </c>
      <c r="BD4" s="15" t="s">
        <v>361</v>
      </c>
      <c r="BE4" s="16" t="s">
        <v>362</v>
      </c>
      <c r="BF4" s="16" t="s">
        <v>363</v>
      </c>
      <c r="BH4" s="15" t="s">
        <v>357</v>
      </c>
      <c r="BI4" s="15" t="s">
        <v>358</v>
      </c>
      <c r="BJ4" s="15" t="s">
        <v>359</v>
      </c>
      <c r="BK4" s="15" t="s">
        <v>360</v>
      </c>
      <c r="BL4" s="15" t="s">
        <v>361</v>
      </c>
      <c r="BM4" s="16" t="s">
        <v>362</v>
      </c>
      <c r="BN4" s="16" t="s">
        <v>363</v>
      </c>
    </row>
    <row r="5" spans="1:72" ht="15" customHeight="1">
      <c r="A5" s="17" t="s">
        <v>177</v>
      </c>
      <c r="B5" s="17" t="s">
        <v>38</v>
      </c>
      <c r="C5" s="19" t="s">
        <v>364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 t="str">
        <f t="shared" ref="J5:J44" si="0">IF(OR(ISBLANK(O5),ISBLANK(G5)),"·",O5*G5/F5/1000000)</f>
        <v>·</v>
      </c>
      <c r="K5" s="21" t="str">
        <f t="shared" ref="K5:K44" si="1">IF(ISBLANK(O5),"·",O5/D5)</f>
        <v>·</v>
      </c>
      <c r="L5" s="19" t="str">
        <f t="shared" ref="L5:L44" si="2">IF(OR(ISBLANK(M5),ISBLANK(S5),ISBLANK(T5)),".",M5+S5+T5)</f>
        <v>.</v>
      </c>
      <c r="M5" s="19" t="str">
        <f t="shared" ref="M5:M44" si="3">IF(OR(ISBLANK(Q5),ISBLANK(P5),ISBLANK(R5)),".",P5+Q5+R5)</f>
        <v>.</v>
      </c>
      <c r="N5" s="44"/>
      <c r="O5" s="22"/>
      <c r="P5" s="22"/>
      <c r="Q5" s="22"/>
      <c r="R5" s="22"/>
      <c r="S5" s="22"/>
      <c r="T5" s="22"/>
      <c r="U5" s="45"/>
      <c r="V5" s="45"/>
      <c r="W5" s="45"/>
      <c r="X5" s="45"/>
      <c r="Y5" s="45"/>
      <c r="Z5" s="45"/>
      <c r="AA5" s="45"/>
      <c r="AB5" s="23"/>
      <c r="AC5" s="23"/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>
      <c r="A6" s="33"/>
      <c r="B6" s="33" t="s">
        <v>38</v>
      </c>
      <c r="C6" s="35" t="s">
        <v>365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 t="str">
        <f t="shared" si="0"/>
        <v>·</v>
      </c>
      <c r="K6" s="37" t="str">
        <f t="shared" si="1"/>
        <v>·</v>
      </c>
      <c r="L6" s="35" t="str">
        <f t="shared" si="2"/>
        <v>.</v>
      </c>
      <c r="M6" s="35" t="str">
        <f t="shared" si="3"/>
        <v>.</v>
      </c>
      <c r="N6" s="46"/>
      <c r="O6" s="38"/>
      <c r="P6" s="38"/>
      <c r="Q6" s="38"/>
      <c r="R6" s="38"/>
      <c r="S6" s="38"/>
      <c r="T6" s="38"/>
      <c r="U6" s="47"/>
      <c r="V6" s="47"/>
      <c r="W6" s="47"/>
      <c r="X6" s="47"/>
      <c r="Y6" s="47"/>
      <c r="Z6" s="47"/>
      <c r="AA6" s="47"/>
      <c r="AB6" s="39"/>
      <c r="AC6" s="39"/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>
      <c r="A7" s="17"/>
      <c r="B7" s="17" t="s">
        <v>38</v>
      </c>
      <c r="C7" s="19" t="s">
        <v>366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 t="str">
        <f t="shared" si="0"/>
        <v>·</v>
      </c>
      <c r="K7" s="21" t="str">
        <f t="shared" si="1"/>
        <v>·</v>
      </c>
      <c r="L7" s="19" t="str">
        <f t="shared" si="2"/>
        <v>.</v>
      </c>
      <c r="M7" s="19" t="str">
        <f t="shared" si="3"/>
        <v>.</v>
      </c>
      <c r="N7" s="44"/>
      <c r="O7" s="22"/>
      <c r="P7" s="22"/>
      <c r="Q7" s="22"/>
      <c r="R7" s="22"/>
      <c r="S7" s="22"/>
      <c r="T7" s="22"/>
      <c r="U7" s="45"/>
      <c r="V7" s="45"/>
      <c r="W7" s="45"/>
      <c r="X7" s="45"/>
      <c r="Y7" s="45"/>
      <c r="Z7" s="45"/>
      <c r="AA7" s="45"/>
      <c r="AB7" s="23"/>
      <c r="AC7" s="23"/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>
      <c r="A8" s="33"/>
      <c r="B8" s="33" t="s">
        <v>38</v>
      </c>
      <c r="C8" s="35" t="s">
        <v>367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 t="str">
        <f t="shared" si="0"/>
        <v>·</v>
      </c>
      <c r="K8" s="37" t="str">
        <f t="shared" si="1"/>
        <v>·</v>
      </c>
      <c r="L8" s="35" t="str">
        <f t="shared" si="2"/>
        <v>.</v>
      </c>
      <c r="M8" s="35" t="str">
        <f t="shared" si="3"/>
        <v>.</v>
      </c>
      <c r="N8" s="46"/>
      <c r="O8" s="38"/>
      <c r="P8" s="38"/>
      <c r="Q8" s="38"/>
      <c r="R8" s="38"/>
      <c r="S8" s="38"/>
      <c r="T8" s="38"/>
      <c r="U8" s="47"/>
      <c r="V8" s="47"/>
      <c r="W8" s="47"/>
      <c r="X8" s="47"/>
      <c r="Y8" s="47"/>
      <c r="Z8" s="47"/>
      <c r="AA8" s="47"/>
      <c r="AB8" s="39"/>
      <c r="AC8" s="39"/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>
      <c r="A9" s="17"/>
      <c r="B9" s="48" t="s">
        <v>38</v>
      </c>
      <c r="C9" s="49" t="s">
        <v>368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 t="str">
        <f t="shared" si="0"/>
        <v>·</v>
      </c>
      <c r="K9" s="52" t="str">
        <f t="shared" si="1"/>
        <v>·</v>
      </c>
      <c r="L9" s="49" t="str">
        <f t="shared" si="2"/>
        <v>.</v>
      </c>
      <c r="M9" s="49" t="str">
        <f t="shared" si="3"/>
        <v>.</v>
      </c>
      <c r="N9" s="53"/>
      <c r="O9" s="54"/>
      <c r="P9" s="54"/>
      <c r="Q9" s="54"/>
      <c r="R9" s="54"/>
      <c r="S9" s="54"/>
      <c r="T9" s="54"/>
      <c r="U9" s="55"/>
      <c r="V9" s="55"/>
      <c r="W9" s="55"/>
      <c r="X9" s="55"/>
      <c r="Y9" s="55"/>
      <c r="Z9" s="55"/>
      <c r="AA9" s="55"/>
      <c r="AB9" s="56"/>
      <c r="AC9" s="56"/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>
      <c r="A10" s="33"/>
      <c r="B10" s="33" t="s">
        <v>46</v>
      </c>
      <c r="C10" s="35" t="s">
        <v>364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 t="str">
        <f t="shared" si="0"/>
        <v>·</v>
      </c>
      <c r="K10" s="37" t="str">
        <f t="shared" si="1"/>
        <v>·</v>
      </c>
      <c r="L10" s="35" t="str">
        <f t="shared" si="2"/>
        <v>.</v>
      </c>
      <c r="M10" s="35" t="str">
        <f t="shared" si="3"/>
        <v>.</v>
      </c>
      <c r="N10" s="46"/>
      <c r="O10" s="38"/>
      <c r="P10" s="38"/>
      <c r="Q10" s="38"/>
      <c r="R10" s="38"/>
      <c r="S10" s="38"/>
      <c r="T10" s="38"/>
      <c r="U10" s="47"/>
      <c r="V10" s="47"/>
      <c r="W10" s="47"/>
      <c r="X10" s="47"/>
      <c r="Y10" s="47"/>
      <c r="Z10" s="47"/>
      <c r="AA10" s="47"/>
      <c r="AB10" s="39"/>
      <c r="AC10" s="39"/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>
      <c r="A11" s="17"/>
      <c r="B11" s="17" t="s">
        <v>46</v>
      </c>
      <c r="C11" s="19" t="s">
        <v>365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 t="str">
        <f t="shared" si="0"/>
        <v>·</v>
      </c>
      <c r="K11" s="21" t="str">
        <f t="shared" si="1"/>
        <v>·</v>
      </c>
      <c r="L11" s="19" t="str">
        <f t="shared" si="2"/>
        <v>.</v>
      </c>
      <c r="M11" s="19" t="str">
        <f t="shared" si="3"/>
        <v>.</v>
      </c>
      <c r="N11" s="44"/>
      <c r="O11" s="22"/>
      <c r="P11" s="22"/>
      <c r="Q11" s="22"/>
      <c r="R11" s="22"/>
      <c r="S11" s="22"/>
      <c r="T11" s="22"/>
      <c r="U11" s="45"/>
      <c r="V11" s="45"/>
      <c r="W11" s="45"/>
      <c r="X11" s="45"/>
      <c r="Y11" s="45"/>
      <c r="Z11" s="45"/>
      <c r="AA11" s="45"/>
      <c r="AB11" s="23"/>
      <c r="AC11" s="23"/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>
      <c r="A12" s="33"/>
      <c r="B12" s="33" t="s">
        <v>46</v>
      </c>
      <c r="C12" s="35" t="s">
        <v>366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 t="str">
        <f t="shared" si="0"/>
        <v>·</v>
      </c>
      <c r="K12" s="37" t="str">
        <f t="shared" si="1"/>
        <v>·</v>
      </c>
      <c r="L12" s="35" t="str">
        <f t="shared" si="2"/>
        <v>.</v>
      </c>
      <c r="M12" s="35" t="str">
        <f t="shared" si="3"/>
        <v>.</v>
      </c>
      <c r="N12" s="46"/>
      <c r="O12" s="38"/>
      <c r="P12" s="38"/>
      <c r="Q12" s="38"/>
      <c r="R12" s="38"/>
      <c r="S12" s="38"/>
      <c r="T12" s="38"/>
      <c r="U12" s="47"/>
      <c r="V12" s="47"/>
      <c r="W12" s="47"/>
      <c r="X12" s="47"/>
      <c r="Y12" s="47"/>
      <c r="Z12" s="47"/>
      <c r="AA12" s="47"/>
      <c r="AB12" s="39"/>
      <c r="AC12" s="39"/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>
      <c r="A13" s="17"/>
      <c r="B13" s="17" t="s">
        <v>46</v>
      </c>
      <c r="C13" s="19" t="s">
        <v>367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 t="str">
        <f t="shared" si="0"/>
        <v>·</v>
      </c>
      <c r="K13" s="21" t="str">
        <f t="shared" si="1"/>
        <v>·</v>
      </c>
      <c r="L13" s="19" t="str">
        <f t="shared" si="2"/>
        <v>.</v>
      </c>
      <c r="M13" s="19" t="str">
        <f t="shared" si="3"/>
        <v>.</v>
      </c>
      <c r="N13" s="44"/>
      <c r="O13" s="22"/>
      <c r="P13" s="22"/>
      <c r="Q13" s="22"/>
      <c r="R13" s="22"/>
      <c r="S13" s="22"/>
      <c r="T13" s="22"/>
      <c r="U13" s="45"/>
      <c r="V13" s="45"/>
      <c r="W13" s="45"/>
      <c r="X13" s="45"/>
      <c r="Y13" s="45"/>
      <c r="Z13" s="45"/>
      <c r="AA13" s="45"/>
      <c r="AB13" s="23"/>
      <c r="AC13" s="23"/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>
      <c r="A14" s="25"/>
      <c r="B14" s="25" t="s">
        <v>46</v>
      </c>
      <c r="C14" s="27" t="s">
        <v>368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 t="str">
        <f t="shared" si="0"/>
        <v>·</v>
      </c>
      <c r="K14" s="29" t="str">
        <f t="shared" si="1"/>
        <v>·</v>
      </c>
      <c r="L14" s="27" t="str">
        <f t="shared" si="2"/>
        <v>.</v>
      </c>
      <c r="M14" s="27" t="str">
        <f t="shared" si="3"/>
        <v>.</v>
      </c>
      <c r="N14" s="58"/>
      <c r="O14" s="30"/>
      <c r="P14" s="30"/>
      <c r="Q14" s="30"/>
      <c r="R14" s="30"/>
      <c r="S14" s="30"/>
      <c r="T14" s="30"/>
      <c r="U14" s="59"/>
      <c r="V14" s="59"/>
      <c r="W14" s="59"/>
      <c r="X14" s="59"/>
      <c r="Y14" s="59"/>
      <c r="Z14" s="59"/>
      <c r="AA14" s="59"/>
      <c r="AB14" s="31"/>
      <c r="AC14" s="31"/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>
      <c r="A15" s="17" t="s">
        <v>178</v>
      </c>
      <c r="B15" s="17" t="s">
        <v>51</v>
      </c>
      <c r="C15" s="19" t="s">
        <v>364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 t="str">
        <f t="shared" si="0"/>
        <v>·</v>
      </c>
      <c r="K15" s="21" t="str">
        <f t="shared" si="1"/>
        <v>·</v>
      </c>
      <c r="L15" s="19" t="str">
        <f t="shared" si="2"/>
        <v>.</v>
      </c>
      <c r="M15" s="19" t="str">
        <f t="shared" si="3"/>
        <v>.</v>
      </c>
      <c r="N15" s="44"/>
      <c r="O15" s="22"/>
      <c r="P15" s="22"/>
      <c r="Q15" s="22"/>
      <c r="R15" s="22"/>
      <c r="S15" s="22"/>
      <c r="T15" s="22"/>
      <c r="U15" s="45"/>
      <c r="V15" s="45"/>
      <c r="W15" s="45"/>
      <c r="X15" s="45"/>
      <c r="Y15" s="45"/>
      <c r="Z15" s="45"/>
      <c r="AA15" s="45"/>
      <c r="AB15" s="23"/>
      <c r="AC15" s="23"/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>
      <c r="A16" s="33"/>
      <c r="B16" s="33" t="s">
        <v>51</v>
      </c>
      <c r="C16" s="35" t="s">
        <v>365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 t="str">
        <f t="shared" si="0"/>
        <v>·</v>
      </c>
      <c r="K16" s="37" t="str">
        <f t="shared" si="1"/>
        <v>·</v>
      </c>
      <c r="L16" s="35" t="str">
        <f t="shared" si="2"/>
        <v>.</v>
      </c>
      <c r="M16" s="35" t="str">
        <f t="shared" si="3"/>
        <v>.</v>
      </c>
      <c r="N16" s="46"/>
      <c r="O16" s="38"/>
      <c r="P16" s="38"/>
      <c r="Q16" s="38"/>
      <c r="R16" s="38"/>
      <c r="S16" s="38"/>
      <c r="T16" s="38"/>
      <c r="U16" s="47"/>
      <c r="V16" s="47"/>
      <c r="W16" s="47"/>
      <c r="X16" s="47"/>
      <c r="Y16" s="47"/>
      <c r="Z16" s="47"/>
      <c r="AA16" s="47"/>
      <c r="AB16" s="39"/>
      <c r="AC16" s="39"/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>
      <c r="A17" s="17"/>
      <c r="B17" s="17" t="s">
        <v>51</v>
      </c>
      <c r="C17" s="19" t="s">
        <v>366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 t="str">
        <f t="shared" si="0"/>
        <v>·</v>
      </c>
      <c r="K17" s="21" t="str">
        <f t="shared" si="1"/>
        <v>·</v>
      </c>
      <c r="L17" s="19" t="str">
        <f t="shared" si="2"/>
        <v>.</v>
      </c>
      <c r="M17" s="19" t="str">
        <f t="shared" si="3"/>
        <v>.</v>
      </c>
      <c r="N17" s="44"/>
      <c r="O17" s="22"/>
      <c r="P17" s="22"/>
      <c r="Q17" s="22"/>
      <c r="R17" s="22"/>
      <c r="S17" s="22"/>
      <c r="T17" s="22"/>
      <c r="U17" s="45"/>
      <c r="V17" s="45"/>
      <c r="W17" s="45"/>
      <c r="X17" s="45"/>
      <c r="Y17" s="45"/>
      <c r="Z17" s="45"/>
      <c r="AA17" s="45"/>
      <c r="AB17" s="23"/>
      <c r="AC17" s="23"/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>
      <c r="A18" s="33"/>
      <c r="B18" s="33" t="s">
        <v>51</v>
      </c>
      <c r="C18" s="35" t="s">
        <v>367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 t="str">
        <f t="shared" si="0"/>
        <v>·</v>
      </c>
      <c r="K18" s="37" t="str">
        <f t="shared" si="1"/>
        <v>·</v>
      </c>
      <c r="L18" s="35" t="str">
        <f t="shared" si="2"/>
        <v>.</v>
      </c>
      <c r="M18" s="35" t="str">
        <f t="shared" si="3"/>
        <v>.</v>
      </c>
      <c r="N18" s="46"/>
      <c r="O18" s="38"/>
      <c r="P18" s="38"/>
      <c r="Q18" s="38"/>
      <c r="R18" s="38"/>
      <c r="S18" s="38"/>
      <c r="T18" s="38"/>
      <c r="U18" s="47"/>
      <c r="V18" s="47"/>
      <c r="W18" s="47"/>
      <c r="X18" s="47"/>
      <c r="Y18" s="47"/>
      <c r="Z18" s="47"/>
      <c r="AA18" s="47"/>
      <c r="AB18" s="39"/>
      <c r="AC18" s="39"/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>
      <c r="A19" s="17"/>
      <c r="B19" s="48" t="s">
        <v>51</v>
      </c>
      <c r="C19" s="49" t="s">
        <v>368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 t="str">
        <f t="shared" si="0"/>
        <v>·</v>
      </c>
      <c r="K19" s="52" t="str">
        <f t="shared" si="1"/>
        <v>·</v>
      </c>
      <c r="L19" s="49" t="str">
        <f t="shared" si="2"/>
        <v>.</v>
      </c>
      <c r="M19" s="49" t="str">
        <f t="shared" si="3"/>
        <v>.</v>
      </c>
      <c r="N19" s="53"/>
      <c r="O19" s="54"/>
      <c r="P19" s="54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5"/>
      <c r="AB19" s="56"/>
      <c r="AC19" s="56"/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>
      <c r="A20" s="33"/>
      <c r="B20" s="33" t="s">
        <v>56</v>
      </c>
      <c r="C20" s="35" t="s">
        <v>364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 t="str">
        <f t="shared" si="0"/>
        <v>·</v>
      </c>
      <c r="K20" s="37" t="str">
        <f t="shared" si="1"/>
        <v>·</v>
      </c>
      <c r="L20" s="35" t="str">
        <f t="shared" si="2"/>
        <v>.</v>
      </c>
      <c r="M20" s="35" t="str">
        <f t="shared" si="3"/>
        <v>.</v>
      </c>
      <c r="N20" s="46"/>
      <c r="O20" s="38"/>
      <c r="P20" s="38"/>
      <c r="Q20" s="38"/>
      <c r="R20" s="38"/>
      <c r="S20" s="38"/>
      <c r="T20" s="38"/>
      <c r="U20" s="47"/>
      <c r="V20" s="47"/>
      <c r="W20" s="47"/>
      <c r="X20" s="47"/>
      <c r="Y20" s="47"/>
      <c r="Z20" s="47"/>
      <c r="AA20" s="47"/>
      <c r="AB20" s="39"/>
      <c r="AC20" s="39"/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>
      <c r="A21" s="17"/>
      <c r="B21" s="17" t="s">
        <v>56</v>
      </c>
      <c r="C21" s="19" t="s">
        <v>365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 t="str">
        <f t="shared" si="0"/>
        <v>·</v>
      </c>
      <c r="K21" s="21" t="str">
        <f t="shared" si="1"/>
        <v>·</v>
      </c>
      <c r="L21" s="19" t="str">
        <f t="shared" si="2"/>
        <v>.</v>
      </c>
      <c r="M21" s="19" t="str">
        <f t="shared" si="3"/>
        <v>.</v>
      </c>
      <c r="N21" s="44"/>
      <c r="O21" s="22"/>
      <c r="P21" s="22"/>
      <c r="Q21" s="22"/>
      <c r="R21" s="22"/>
      <c r="S21" s="22"/>
      <c r="T21" s="22"/>
      <c r="U21" s="45"/>
      <c r="V21" s="45"/>
      <c r="W21" s="45"/>
      <c r="X21" s="45"/>
      <c r="Y21" s="45"/>
      <c r="Z21" s="45"/>
      <c r="AA21" s="45"/>
      <c r="AB21" s="23"/>
      <c r="AC21" s="23"/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>
      <c r="A22" s="33"/>
      <c r="B22" s="33" t="s">
        <v>56</v>
      </c>
      <c r="C22" s="35" t="s">
        <v>366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 t="str">
        <f t="shared" si="0"/>
        <v>·</v>
      </c>
      <c r="K22" s="37" t="str">
        <f t="shared" si="1"/>
        <v>·</v>
      </c>
      <c r="L22" s="35" t="str">
        <f t="shared" si="2"/>
        <v>.</v>
      </c>
      <c r="M22" s="35" t="str">
        <f t="shared" si="3"/>
        <v>.</v>
      </c>
      <c r="N22" s="46"/>
      <c r="O22" s="38"/>
      <c r="P22" s="38"/>
      <c r="Q22" s="38"/>
      <c r="R22" s="38"/>
      <c r="S22" s="38"/>
      <c r="T22" s="38"/>
      <c r="U22" s="47"/>
      <c r="V22" s="47"/>
      <c r="W22" s="47"/>
      <c r="X22" s="47"/>
      <c r="Y22" s="47"/>
      <c r="Z22" s="47"/>
      <c r="AA22" s="47"/>
      <c r="AB22" s="39"/>
      <c r="AC22" s="39"/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>
      <c r="A23" s="17"/>
      <c r="B23" s="17" t="s">
        <v>56</v>
      </c>
      <c r="C23" s="19" t="s">
        <v>367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 t="str">
        <f t="shared" si="0"/>
        <v>·</v>
      </c>
      <c r="K23" s="21" t="str">
        <f t="shared" si="1"/>
        <v>·</v>
      </c>
      <c r="L23" s="19" t="str">
        <f t="shared" si="2"/>
        <v>.</v>
      </c>
      <c r="M23" s="19" t="str">
        <f t="shared" si="3"/>
        <v>.</v>
      </c>
      <c r="N23" s="44"/>
      <c r="O23" s="22"/>
      <c r="P23" s="22"/>
      <c r="Q23" s="22"/>
      <c r="R23" s="22"/>
      <c r="S23" s="22"/>
      <c r="T23" s="22"/>
      <c r="U23" s="45"/>
      <c r="V23" s="45"/>
      <c r="W23" s="45"/>
      <c r="X23" s="45"/>
      <c r="Y23" s="45"/>
      <c r="Z23" s="45"/>
      <c r="AA23" s="45"/>
      <c r="AB23" s="23"/>
      <c r="AC23" s="23"/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>
      <c r="A24" s="25"/>
      <c r="B24" s="25" t="s">
        <v>56</v>
      </c>
      <c r="C24" s="27" t="s">
        <v>368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 t="str">
        <f t="shared" si="0"/>
        <v>·</v>
      </c>
      <c r="K24" s="29" t="str">
        <f t="shared" si="1"/>
        <v>·</v>
      </c>
      <c r="L24" s="27" t="str">
        <f t="shared" si="2"/>
        <v>.</v>
      </c>
      <c r="M24" s="27" t="str">
        <f t="shared" si="3"/>
        <v>.</v>
      </c>
      <c r="N24" s="58"/>
      <c r="O24" s="30"/>
      <c r="P24" s="30"/>
      <c r="Q24" s="30"/>
      <c r="R24" s="30"/>
      <c r="S24" s="30"/>
      <c r="T24" s="30"/>
      <c r="U24" s="59"/>
      <c r="V24" s="59"/>
      <c r="W24" s="59"/>
      <c r="X24" s="59"/>
      <c r="Y24" s="59"/>
      <c r="Z24" s="59"/>
      <c r="AA24" s="59"/>
      <c r="AB24" s="31"/>
      <c r="AC24" s="31"/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>
      <c r="A25" s="17" t="s">
        <v>179</v>
      </c>
      <c r="B25" s="17" t="s">
        <v>61</v>
      </c>
      <c r="C25" s="19" t="s">
        <v>364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 t="str">
        <f t="shared" si="0"/>
        <v>·</v>
      </c>
      <c r="K25" s="21" t="str">
        <f t="shared" si="1"/>
        <v>·</v>
      </c>
      <c r="L25" s="19" t="str">
        <f t="shared" si="2"/>
        <v>.</v>
      </c>
      <c r="M25" s="19" t="str">
        <f t="shared" si="3"/>
        <v>.</v>
      </c>
      <c r="N25" s="44"/>
      <c r="O25" s="22"/>
      <c r="P25" s="22"/>
      <c r="Q25" s="22"/>
      <c r="R25" s="22"/>
      <c r="S25" s="22"/>
      <c r="T25" s="22"/>
      <c r="U25" s="45"/>
      <c r="V25" s="45"/>
      <c r="W25" s="45"/>
      <c r="X25" s="45"/>
      <c r="Y25" s="45"/>
      <c r="Z25" s="45"/>
      <c r="AA25" s="45"/>
      <c r="AB25" s="23"/>
      <c r="AC25" s="23"/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>
      <c r="A26" s="33"/>
      <c r="B26" s="33" t="s">
        <v>61</v>
      </c>
      <c r="C26" s="35" t="s">
        <v>365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 t="str">
        <f t="shared" si="0"/>
        <v>·</v>
      </c>
      <c r="K26" s="37" t="str">
        <f t="shared" si="1"/>
        <v>·</v>
      </c>
      <c r="L26" s="35" t="str">
        <f t="shared" si="2"/>
        <v>.</v>
      </c>
      <c r="M26" s="35" t="str">
        <f t="shared" si="3"/>
        <v>.</v>
      </c>
      <c r="N26" s="46"/>
      <c r="O26" s="38"/>
      <c r="P26" s="38"/>
      <c r="Q26" s="38"/>
      <c r="R26" s="38"/>
      <c r="S26" s="38"/>
      <c r="T26" s="38"/>
      <c r="U26" s="47"/>
      <c r="V26" s="47"/>
      <c r="W26" s="47"/>
      <c r="X26" s="47"/>
      <c r="Y26" s="47"/>
      <c r="Z26" s="47"/>
      <c r="AA26" s="47"/>
      <c r="AB26" s="39"/>
      <c r="AC26" s="39"/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>
      <c r="A27" s="17"/>
      <c r="B27" s="17" t="s">
        <v>61</v>
      </c>
      <c r="C27" s="19" t="s">
        <v>366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 t="str">
        <f t="shared" si="0"/>
        <v>·</v>
      </c>
      <c r="K27" s="21" t="str">
        <f t="shared" si="1"/>
        <v>·</v>
      </c>
      <c r="L27" s="19" t="str">
        <f t="shared" si="2"/>
        <v>.</v>
      </c>
      <c r="M27" s="19" t="str">
        <f t="shared" si="3"/>
        <v>.</v>
      </c>
      <c r="N27" s="44"/>
      <c r="O27" s="22"/>
      <c r="P27" s="22"/>
      <c r="Q27" s="22"/>
      <c r="R27" s="22"/>
      <c r="S27" s="22"/>
      <c r="T27" s="22"/>
      <c r="U27" s="45"/>
      <c r="V27" s="45"/>
      <c r="W27" s="45"/>
      <c r="X27" s="45"/>
      <c r="Y27" s="45"/>
      <c r="Z27" s="45"/>
      <c r="AA27" s="45"/>
      <c r="AB27" s="23"/>
      <c r="AC27" s="23"/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>
      <c r="A28" s="33"/>
      <c r="B28" s="33" t="s">
        <v>61</v>
      </c>
      <c r="C28" s="35" t="s">
        <v>367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 t="str">
        <f t="shared" si="0"/>
        <v>·</v>
      </c>
      <c r="K28" s="37" t="str">
        <f t="shared" si="1"/>
        <v>·</v>
      </c>
      <c r="L28" s="35" t="str">
        <f t="shared" si="2"/>
        <v>.</v>
      </c>
      <c r="M28" s="35" t="str">
        <f t="shared" si="3"/>
        <v>.</v>
      </c>
      <c r="N28" s="46"/>
      <c r="O28" s="38"/>
      <c r="P28" s="38"/>
      <c r="Q28" s="38"/>
      <c r="R28" s="38"/>
      <c r="S28" s="38"/>
      <c r="T28" s="38"/>
      <c r="U28" s="47"/>
      <c r="V28" s="47"/>
      <c r="W28" s="47"/>
      <c r="X28" s="47"/>
      <c r="Y28" s="47"/>
      <c r="Z28" s="47"/>
      <c r="AA28" s="47"/>
      <c r="AB28" s="39"/>
      <c r="AC28" s="39"/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>
      <c r="A29" s="17"/>
      <c r="B29" s="48" t="s">
        <v>61</v>
      </c>
      <c r="C29" s="49" t="s">
        <v>368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 t="str">
        <f t="shared" si="0"/>
        <v>·</v>
      </c>
      <c r="K29" s="52" t="str">
        <f t="shared" si="1"/>
        <v>·</v>
      </c>
      <c r="L29" s="49" t="str">
        <f t="shared" si="2"/>
        <v>.</v>
      </c>
      <c r="M29" s="49" t="str">
        <f t="shared" si="3"/>
        <v>.</v>
      </c>
      <c r="N29" s="53"/>
      <c r="O29" s="54"/>
      <c r="P29" s="54"/>
      <c r="Q29" s="54"/>
      <c r="R29" s="54"/>
      <c r="S29" s="54"/>
      <c r="T29" s="54"/>
      <c r="U29" s="55"/>
      <c r="V29" s="55"/>
      <c r="W29" s="55"/>
      <c r="X29" s="55"/>
      <c r="Y29" s="55"/>
      <c r="Z29" s="55"/>
      <c r="AA29" s="55"/>
      <c r="AB29" s="56"/>
      <c r="AC29" s="56"/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>
      <c r="A30" s="33"/>
      <c r="B30" s="33" t="s">
        <v>66</v>
      </c>
      <c r="C30" s="35" t="s">
        <v>364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 t="str">
        <f t="shared" si="0"/>
        <v>·</v>
      </c>
      <c r="K30" s="37" t="str">
        <f t="shared" si="1"/>
        <v>·</v>
      </c>
      <c r="L30" s="35" t="str">
        <f t="shared" si="2"/>
        <v>.</v>
      </c>
      <c r="M30" s="35" t="str">
        <f t="shared" si="3"/>
        <v>.</v>
      </c>
      <c r="N30" s="46"/>
      <c r="O30" s="38"/>
      <c r="P30" s="38"/>
      <c r="Q30" s="38"/>
      <c r="R30" s="38"/>
      <c r="S30" s="38"/>
      <c r="T30" s="38"/>
      <c r="U30" s="47"/>
      <c r="V30" s="47"/>
      <c r="W30" s="47"/>
      <c r="X30" s="47"/>
      <c r="Y30" s="47"/>
      <c r="Z30" s="47"/>
      <c r="AA30" s="47"/>
      <c r="AB30" s="39"/>
      <c r="AC30" s="39"/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>
      <c r="A31" s="17"/>
      <c r="B31" s="17" t="s">
        <v>66</v>
      </c>
      <c r="C31" s="19" t="s">
        <v>365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 t="str">
        <f t="shared" si="0"/>
        <v>·</v>
      </c>
      <c r="K31" s="21" t="str">
        <f t="shared" si="1"/>
        <v>·</v>
      </c>
      <c r="L31" s="19" t="str">
        <f t="shared" si="2"/>
        <v>.</v>
      </c>
      <c r="M31" s="19" t="str">
        <f t="shared" si="3"/>
        <v>.</v>
      </c>
      <c r="N31" s="44"/>
      <c r="O31" s="22"/>
      <c r="P31" s="22"/>
      <c r="Q31" s="22"/>
      <c r="R31" s="22"/>
      <c r="S31" s="22"/>
      <c r="T31" s="22"/>
      <c r="U31" s="45"/>
      <c r="V31" s="45"/>
      <c r="W31" s="45"/>
      <c r="X31" s="45"/>
      <c r="Y31" s="45"/>
      <c r="Z31" s="45"/>
      <c r="AA31" s="45"/>
      <c r="AB31" s="23"/>
      <c r="AC31" s="23"/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>
      <c r="A32" s="33"/>
      <c r="B32" s="33" t="s">
        <v>66</v>
      </c>
      <c r="C32" s="35" t="s">
        <v>366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 t="str">
        <f t="shared" si="0"/>
        <v>·</v>
      </c>
      <c r="K32" s="37" t="str">
        <f t="shared" si="1"/>
        <v>·</v>
      </c>
      <c r="L32" s="35" t="str">
        <f t="shared" si="2"/>
        <v>.</v>
      </c>
      <c r="M32" s="35" t="str">
        <f t="shared" si="3"/>
        <v>.</v>
      </c>
      <c r="N32" s="46"/>
      <c r="O32" s="38"/>
      <c r="P32" s="38"/>
      <c r="Q32" s="38"/>
      <c r="R32" s="38"/>
      <c r="S32" s="38"/>
      <c r="T32" s="38"/>
      <c r="U32" s="47"/>
      <c r="V32" s="47"/>
      <c r="W32" s="47"/>
      <c r="X32" s="47"/>
      <c r="Y32" s="47"/>
      <c r="Z32" s="47"/>
      <c r="AA32" s="47"/>
      <c r="AB32" s="39"/>
      <c r="AC32" s="39"/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>
      <c r="A33" s="17"/>
      <c r="B33" s="17" t="s">
        <v>66</v>
      </c>
      <c r="C33" s="19" t="s">
        <v>367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 t="str">
        <f t="shared" si="0"/>
        <v>·</v>
      </c>
      <c r="K33" s="21" t="str">
        <f t="shared" si="1"/>
        <v>·</v>
      </c>
      <c r="L33" s="19" t="str">
        <f t="shared" si="2"/>
        <v>.</v>
      </c>
      <c r="M33" s="19" t="str">
        <f t="shared" si="3"/>
        <v>.</v>
      </c>
      <c r="N33" s="44"/>
      <c r="O33" s="22"/>
      <c r="P33" s="22"/>
      <c r="Q33" s="22"/>
      <c r="R33" s="22"/>
      <c r="S33" s="22"/>
      <c r="T33" s="22"/>
      <c r="U33" s="45"/>
      <c r="V33" s="45"/>
      <c r="W33" s="45"/>
      <c r="X33" s="45"/>
      <c r="Y33" s="45"/>
      <c r="Z33" s="45"/>
      <c r="AA33" s="45"/>
      <c r="AB33" s="23"/>
      <c r="AC33" s="23"/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>
      <c r="A34" s="33"/>
      <c r="B34" s="25" t="s">
        <v>66</v>
      </c>
      <c r="C34" s="27" t="s">
        <v>368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 t="str">
        <f t="shared" si="0"/>
        <v>·</v>
      </c>
      <c r="K34" s="29" t="str">
        <f t="shared" si="1"/>
        <v>·</v>
      </c>
      <c r="L34" s="27" t="str">
        <f t="shared" si="2"/>
        <v>.</v>
      </c>
      <c r="M34" s="27" t="str">
        <f t="shared" si="3"/>
        <v>.</v>
      </c>
      <c r="N34" s="58"/>
      <c r="O34" s="30"/>
      <c r="P34" s="30"/>
      <c r="Q34" s="30"/>
      <c r="R34" s="30"/>
      <c r="S34" s="30"/>
      <c r="T34" s="30"/>
      <c r="U34" s="59"/>
      <c r="V34" s="59"/>
      <c r="W34" s="59"/>
      <c r="X34" s="59"/>
      <c r="Y34" s="59"/>
      <c r="Z34" s="59"/>
      <c r="AA34" s="59"/>
      <c r="AB34" s="31"/>
      <c r="AC34" s="31"/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>
      <c r="A35" s="17"/>
      <c r="B35" s="17" t="s">
        <v>32</v>
      </c>
      <c r="C35" s="19" t="s">
        <v>364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 t="str">
        <f t="shared" si="0"/>
        <v>·</v>
      </c>
      <c r="K35" s="21" t="str">
        <f t="shared" si="1"/>
        <v>·</v>
      </c>
      <c r="L35" s="19" t="str">
        <f t="shared" si="2"/>
        <v>.</v>
      </c>
      <c r="M35" s="19" t="str">
        <f t="shared" si="3"/>
        <v>.</v>
      </c>
      <c r="N35" s="44"/>
      <c r="O35" s="22"/>
      <c r="P35" s="22"/>
      <c r="Q35" s="22"/>
      <c r="R35" s="22"/>
      <c r="S35" s="22"/>
      <c r="T35" s="22"/>
      <c r="U35" s="45"/>
      <c r="V35" s="45"/>
      <c r="W35" s="45"/>
      <c r="X35" s="45"/>
      <c r="Y35" s="45"/>
      <c r="Z35" s="45"/>
      <c r="AA35" s="45"/>
      <c r="AB35" s="23"/>
      <c r="AC35" s="23"/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>
      <c r="A36" s="33"/>
      <c r="B36" s="33" t="s">
        <v>32</v>
      </c>
      <c r="C36" s="35" t="s">
        <v>365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 t="str">
        <f t="shared" si="0"/>
        <v>·</v>
      </c>
      <c r="K36" s="37" t="str">
        <f t="shared" si="1"/>
        <v>·</v>
      </c>
      <c r="L36" s="35" t="str">
        <f t="shared" si="2"/>
        <v>.</v>
      </c>
      <c r="M36" s="35" t="str">
        <f t="shared" si="3"/>
        <v>.</v>
      </c>
      <c r="N36" s="46"/>
      <c r="O36" s="38"/>
      <c r="P36" s="38"/>
      <c r="Q36" s="38"/>
      <c r="R36" s="38"/>
      <c r="S36" s="38"/>
      <c r="T36" s="38"/>
      <c r="U36" s="47"/>
      <c r="V36" s="47"/>
      <c r="W36" s="47"/>
      <c r="X36" s="47"/>
      <c r="Y36" s="47"/>
      <c r="Z36" s="47"/>
      <c r="AA36" s="47"/>
      <c r="AB36" s="39"/>
      <c r="AC36" s="39"/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>
      <c r="A37" s="17"/>
      <c r="B37" s="17" t="s">
        <v>32</v>
      </c>
      <c r="C37" s="19" t="s">
        <v>366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 t="str">
        <f t="shared" si="0"/>
        <v>·</v>
      </c>
      <c r="K37" s="21" t="str">
        <f t="shared" si="1"/>
        <v>·</v>
      </c>
      <c r="L37" s="19" t="str">
        <f t="shared" si="2"/>
        <v>.</v>
      </c>
      <c r="M37" s="19" t="str">
        <f t="shared" si="3"/>
        <v>.</v>
      </c>
      <c r="N37" s="44"/>
      <c r="O37" s="22"/>
      <c r="P37" s="22"/>
      <c r="Q37" s="22"/>
      <c r="R37" s="22"/>
      <c r="S37" s="22"/>
      <c r="T37" s="22"/>
      <c r="U37" s="45"/>
      <c r="V37" s="45"/>
      <c r="W37" s="45"/>
      <c r="X37" s="45"/>
      <c r="Y37" s="45"/>
      <c r="Z37" s="45"/>
      <c r="AA37" s="45"/>
      <c r="AB37" s="23"/>
      <c r="AC37" s="23"/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>
      <c r="A38" s="33"/>
      <c r="B38" s="33" t="s">
        <v>32</v>
      </c>
      <c r="C38" s="35" t="s">
        <v>367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 t="str">
        <f t="shared" si="0"/>
        <v>·</v>
      </c>
      <c r="K38" s="37" t="str">
        <f t="shared" si="1"/>
        <v>·</v>
      </c>
      <c r="L38" s="35" t="str">
        <f t="shared" si="2"/>
        <v>.</v>
      </c>
      <c r="M38" s="35" t="str">
        <f t="shared" si="3"/>
        <v>.</v>
      </c>
      <c r="N38" s="46"/>
      <c r="O38" s="38"/>
      <c r="P38" s="38"/>
      <c r="Q38" s="38"/>
      <c r="R38" s="38"/>
      <c r="S38" s="38"/>
      <c r="T38" s="38"/>
      <c r="U38" s="47"/>
      <c r="V38" s="47"/>
      <c r="W38" s="47"/>
      <c r="X38" s="47"/>
      <c r="Y38" s="47"/>
      <c r="Z38" s="47"/>
      <c r="AA38" s="47"/>
      <c r="AB38" s="39"/>
      <c r="AC38" s="39"/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>
      <c r="A39" s="17"/>
      <c r="B39" s="48" t="s">
        <v>32</v>
      </c>
      <c r="C39" s="49" t="s">
        <v>368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 t="str">
        <f t="shared" si="0"/>
        <v>·</v>
      </c>
      <c r="K39" s="52" t="str">
        <f t="shared" si="1"/>
        <v>·</v>
      </c>
      <c r="L39" s="49" t="str">
        <f t="shared" si="2"/>
        <v>.</v>
      </c>
      <c r="M39" s="49" t="str">
        <f t="shared" si="3"/>
        <v>.</v>
      </c>
      <c r="N39" s="53"/>
      <c r="O39" s="54"/>
      <c r="P39" s="54"/>
      <c r="Q39" s="54"/>
      <c r="R39" s="54"/>
      <c r="S39" s="54"/>
      <c r="T39" s="54"/>
      <c r="U39" s="55"/>
      <c r="V39" s="55"/>
      <c r="W39" s="55"/>
      <c r="X39" s="55"/>
      <c r="Y39" s="55"/>
      <c r="Z39" s="55"/>
      <c r="AA39" s="55"/>
      <c r="AB39" s="56"/>
      <c r="AC39" s="56"/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>
      <c r="A40" s="33"/>
      <c r="B40" s="33" t="s">
        <v>75</v>
      </c>
      <c r="C40" s="35" t="s">
        <v>364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 t="str">
        <f t="shared" si="0"/>
        <v>·</v>
      </c>
      <c r="K40" s="37" t="str">
        <f t="shared" si="1"/>
        <v>·</v>
      </c>
      <c r="L40" s="35" t="str">
        <f t="shared" si="2"/>
        <v>.</v>
      </c>
      <c r="M40" s="35" t="str">
        <f t="shared" si="3"/>
        <v>.</v>
      </c>
      <c r="N40" s="46"/>
      <c r="O40" s="38"/>
      <c r="P40" s="38"/>
      <c r="Q40" s="38"/>
      <c r="R40" s="38"/>
      <c r="S40" s="38"/>
      <c r="T40" s="38"/>
      <c r="U40" s="47"/>
      <c r="V40" s="47"/>
      <c r="W40" s="47"/>
      <c r="X40" s="47"/>
      <c r="Y40" s="47"/>
      <c r="Z40" s="47"/>
      <c r="AA40" s="47"/>
      <c r="AB40" s="39"/>
      <c r="AC40" s="39"/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>
      <c r="A41" s="17"/>
      <c r="B41" s="17" t="s">
        <v>75</v>
      </c>
      <c r="C41" s="19" t="s">
        <v>365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 t="str">
        <f t="shared" si="0"/>
        <v>·</v>
      </c>
      <c r="K41" s="21" t="str">
        <f t="shared" si="1"/>
        <v>·</v>
      </c>
      <c r="L41" s="19" t="str">
        <f t="shared" si="2"/>
        <v>.</v>
      </c>
      <c r="M41" s="19" t="str">
        <f t="shared" si="3"/>
        <v>.</v>
      </c>
      <c r="N41" s="44"/>
      <c r="O41" s="22"/>
      <c r="P41" s="22"/>
      <c r="Q41" s="22"/>
      <c r="R41" s="22"/>
      <c r="S41" s="22"/>
      <c r="T41" s="22"/>
      <c r="U41" s="45"/>
      <c r="V41" s="45"/>
      <c r="W41" s="45"/>
      <c r="X41" s="45"/>
      <c r="Y41" s="45"/>
      <c r="Z41" s="45"/>
      <c r="AA41" s="45"/>
      <c r="AB41" s="23"/>
      <c r="AC41" s="23"/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>
      <c r="A42" s="33"/>
      <c r="B42" s="33" t="s">
        <v>75</v>
      </c>
      <c r="C42" s="35" t="s">
        <v>366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 t="str">
        <f t="shared" si="0"/>
        <v>·</v>
      </c>
      <c r="K42" s="37" t="str">
        <f t="shared" si="1"/>
        <v>·</v>
      </c>
      <c r="L42" s="35" t="str">
        <f t="shared" si="2"/>
        <v>.</v>
      </c>
      <c r="M42" s="35" t="str">
        <f t="shared" si="3"/>
        <v>.</v>
      </c>
      <c r="N42" s="46"/>
      <c r="O42" s="38"/>
      <c r="P42" s="38"/>
      <c r="Q42" s="38"/>
      <c r="R42" s="38"/>
      <c r="S42" s="38"/>
      <c r="T42" s="38"/>
      <c r="U42" s="47"/>
      <c r="V42" s="47"/>
      <c r="W42" s="47"/>
      <c r="X42" s="47"/>
      <c r="Y42" s="47"/>
      <c r="Z42" s="47"/>
      <c r="AA42" s="47"/>
      <c r="AB42" s="39"/>
      <c r="AC42" s="39"/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>
      <c r="A43" s="17"/>
      <c r="B43" s="17" t="s">
        <v>75</v>
      </c>
      <c r="C43" s="19" t="s">
        <v>367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 t="str">
        <f t="shared" si="0"/>
        <v>·</v>
      </c>
      <c r="K43" s="21" t="str">
        <f t="shared" si="1"/>
        <v>·</v>
      </c>
      <c r="L43" s="19" t="str">
        <f t="shared" si="2"/>
        <v>.</v>
      </c>
      <c r="M43" s="19" t="str">
        <f t="shared" si="3"/>
        <v>.</v>
      </c>
      <c r="N43" s="44"/>
      <c r="O43" s="22"/>
      <c r="P43" s="22"/>
      <c r="Q43" s="22"/>
      <c r="R43" s="22"/>
      <c r="S43" s="22"/>
      <c r="T43" s="22"/>
      <c r="U43" s="45"/>
      <c r="V43" s="45"/>
      <c r="W43" s="45"/>
      <c r="X43" s="45"/>
      <c r="Y43" s="45"/>
      <c r="Z43" s="45"/>
      <c r="AA43" s="45"/>
      <c r="AB43" s="23"/>
      <c r="AC43" s="23"/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>
      <c r="A44" s="25"/>
      <c r="B44" s="25" t="s">
        <v>75</v>
      </c>
      <c r="C44" s="27" t="s">
        <v>368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 t="str">
        <f t="shared" si="0"/>
        <v>·</v>
      </c>
      <c r="K44" s="29" t="str">
        <f t="shared" si="1"/>
        <v>·</v>
      </c>
      <c r="L44" s="27" t="str">
        <f t="shared" si="2"/>
        <v>.</v>
      </c>
      <c r="M44" s="27" t="str">
        <f t="shared" si="3"/>
        <v>.</v>
      </c>
      <c r="N44" s="58"/>
      <c r="O44" s="30"/>
      <c r="P44" s="30"/>
      <c r="Q44" s="30"/>
      <c r="R44" s="30"/>
      <c r="S44" s="30"/>
      <c r="T44" s="30"/>
      <c r="U44" s="59"/>
      <c r="V44" s="59"/>
      <c r="W44" s="59"/>
      <c r="X44" s="59"/>
      <c r="Y44" s="59"/>
      <c r="Z44" s="59"/>
      <c r="AA44" s="59"/>
      <c r="AB44" s="31"/>
      <c r="AC44" s="31"/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>
      <c r="A45" s="17" t="s">
        <v>429</v>
      </c>
      <c r="B45" s="17" t="s">
        <v>430</v>
      </c>
      <c r="C45" s="19" t="s">
        <v>364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 t="str">
        <f t="shared" ref="J45:J49" si="12">IF(OR(ISBLANK(O45),ISBLANK(G45)),"·",O45*G45/F45/1000000)</f>
        <v>·</v>
      </c>
      <c r="K45" s="21" t="str">
        <f t="shared" ref="K45:K49" si="13">IF(ISBLANK(O45),"·",O45/D45)</f>
        <v>·</v>
      </c>
      <c r="L45" s="19" t="str">
        <f t="shared" ref="L45:L49" si="14">IF(OR(ISBLANK(M45),ISBLANK(S45),ISBLANK(T45)),".",M45+S45+T45)</f>
        <v>.</v>
      </c>
      <c r="M45" s="19" t="str">
        <f t="shared" ref="M45:M49" si="15">IF(OR(ISBLANK(Q45),ISBLANK(P45),ISBLANK(R45)),".",P45+Q45+R45)</f>
        <v>.</v>
      </c>
      <c r="N45" s="44"/>
      <c r="O45" s="22"/>
      <c r="P45" s="22"/>
      <c r="Q45" s="22"/>
      <c r="R45" s="22"/>
      <c r="S45" s="22"/>
      <c r="T45" s="22"/>
      <c r="U45" s="45"/>
      <c r="V45" s="45"/>
      <c r="W45" s="45"/>
      <c r="X45" s="45"/>
      <c r="Y45" s="45"/>
      <c r="Z45" s="45"/>
      <c r="AA45" s="45"/>
      <c r="AB45" s="23"/>
      <c r="AC45" s="23"/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>
      <c r="A46" s="33"/>
      <c r="B46" s="33" t="s">
        <v>430</v>
      </c>
      <c r="C46" s="35" t="s">
        <v>365</v>
      </c>
      <c r="D46" s="33">
        <v>199984</v>
      </c>
      <c r="E46" s="34">
        <v>10</v>
      </c>
      <c r="F46" s="35">
        <v>1</v>
      </c>
      <c r="G46" s="35">
        <v>30</v>
      </c>
      <c r="H46" s="35">
        <v>8</v>
      </c>
      <c r="J46" s="36" t="str">
        <f t="shared" si="12"/>
        <v>·</v>
      </c>
      <c r="K46" s="37" t="str">
        <f t="shared" si="13"/>
        <v>·</v>
      </c>
      <c r="L46" s="35" t="str">
        <f t="shared" si="14"/>
        <v>.</v>
      </c>
      <c r="M46" s="35" t="str">
        <f t="shared" si="15"/>
        <v>.</v>
      </c>
      <c r="N46" s="46"/>
      <c r="O46" s="38"/>
      <c r="P46" s="38"/>
      <c r="Q46" s="38"/>
      <c r="R46" s="38"/>
      <c r="S46" s="38"/>
      <c r="T46" s="38"/>
      <c r="U46" s="47"/>
      <c r="V46" s="47"/>
      <c r="W46" s="47"/>
      <c r="X46" s="47"/>
      <c r="Y46" s="47"/>
      <c r="Z46" s="47"/>
      <c r="AA46" s="47"/>
      <c r="AB46" s="39"/>
      <c r="AC46" s="39"/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>
      <c r="A47" s="17"/>
      <c r="B47" s="17" t="s">
        <v>430</v>
      </c>
      <c r="C47" s="19" t="s">
        <v>366</v>
      </c>
      <c r="D47" s="17">
        <v>199984</v>
      </c>
      <c r="E47" s="18">
        <v>10</v>
      </c>
      <c r="F47" s="19">
        <v>1</v>
      </c>
      <c r="G47" s="19">
        <v>30</v>
      </c>
      <c r="H47" s="19">
        <v>11</v>
      </c>
      <c r="J47" s="20" t="str">
        <f t="shared" si="12"/>
        <v>·</v>
      </c>
      <c r="K47" s="21" t="str">
        <f t="shared" si="13"/>
        <v>·</v>
      </c>
      <c r="L47" s="19" t="str">
        <f t="shared" si="14"/>
        <v>.</v>
      </c>
      <c r="M47" s="19" t="str">
        <f t="shared" si="15"/>
        <v>.</v>
      </c>
      <c r="N47" s="44"/>
      <c r="O47" s="22"/>
      <c r="P47" s="22"/>
      <c r="Q47" s="22"/>
      <c r="R47" s="22"/>
      <c r="S47" s="22"/>
      <c r="T47" s="22"/>
      <c r="U47" s="45"/>
      <c r="V47" s="45"/>
      <c r="W47" s="45"/>
      <c r="X47" s="45"/>
      <c r="Y47" s="45"/>
      <c r="Z47" s="45"/>
      <c r="AA47" s="45"/>
      <c r="AB47" s="23"/>
      <c r="AC47" s="23"/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>
      <c r="A48" s="33"/>
      <c r="B48" s="33" t="s">
        <v>430</v>
      </c>
      <c r="C48" s="35" t="s">
        <v>367</v>
      </c>
      <c r="D48" s="33">
        <v>199984</v>
      </c>
      <c r="E48" s="34">
        <v>10</v>
      </c>
      <c r="F48" s="35">
        <v>1</v>
      </c>
      <c r="G48" s="35">
        <v>30</v>
      </c>
      <c r="H48" s="35">
        <v>14</v>
      </c>
      <c r="J48" s="36" t="str">
        <f t="shared" si="12"/>
        <v>·</v>
      </c>
      <c r="K48" s="37" t="str">
        <f t="shared" si="13"/>
        <v>·</v>
      </c>
      <c r="L48" s="35" t="str">
        <f t="shared" si="14"/>
        <v>.</v>
      </c>
      <c r="M48" s="35" t="str">
        <f t="shared" si="15"/>
        <v>.</v>
      </c>
      <c r="N48" s="46"/>
      <c r="O48" s="38"/>
      <c r="P48" s="38"/>
      <c r="Q48" s="38"/>
      <c r="R48" s="38"/>
      <c r="S48" s="38"/>
      <c r="T48" s="38"/>
      <c r="U48" s="47"/>
      <c r="V48" s="47"/>
      <c r="W48" s="47"/>
      <c r="X48" s="47"/>
      <c r="Y48" s="47"/>
      <c r="Z48" s="47"/>
      <c r="AA48" s="47"/>
      <c r="AB48" s="39"/>
      <c r="AC48" s="39"/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>
      <c r="A49" s="48"/>
      <c r="B49" s="48" t="s">
        <v>430</v>
      </c>
      <c r="C49" s="49" t="s">
        <v>368</v>
      </c>
      <c r="D49" s="48">
        <v>199984</v>
      </c>
      <c r="E49" s="50">
        <v>10</v>
      </c>
      <c r="F49" s="49">
        <v>1</v>
      </c>
      <c r="G49" s="49">
        <v>30</v>
      </c>
      <c r="H49" s="49">
        <v>21</v>
      </c>
      <c r="J49" s="51" t="str">
        <f t="shared" si="12"/>
        <v>·</v>
      </c>
      <c r="K49" s="52" t="str">
        <f t="shared" si="13"/>
        <v>·</v>
      </c>
      <c r="L49" s="49" t="str">
        <f t="shared" si="14"/>
        <v>.</v>
      </c>
      <c r="M49" s="49" t="str">
        <f t="shared" si="15"/>
        <v>.</v>
      </c>
      <c r="N49" s="53"/>
      <c r="O49" s="54"/>
      <c r="P49" s="54"/>
      <c r="Q49" s="54"/>
      <c r="R49" s="54"/>
      <c r="S49" s="54"/>
      <c r="T49" s="54"/>
      <c r="U49" s="55"/>
      <c r="V49" s="55"/>
      <c r="W49" s="55"/>
      <c r="X49" s="55"/>
      <c r="Y49" s="55"/>
      <c r="Z49" s="55"/>
      <c r="AA49" s="55"/>
      <c r="AB49" s="56"/>
      <c r="AC49" s="56"/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>
      <c r="B50" s="41" t="s">
        <v>7</v>
      </c>
      <c r="K50" s="42" t="e">
        <f>AVERAGE(K5:K14)</f>
        <v>#DIV/0!</v>
      </c>
      <c r="L50" s="42"/>
      <c r="M50" s="42"/>
      <c r="T50" s="104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>
      <c r="B51" s="41" t="s">
        <v>8</v>
      </c>
      <c r="K51" s="42" t="e">
        <f>AVERAGE(K15:K24)</f>
        <v>#DIV/0!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>
      <c r="B52" s="41" t="s">
        <v>9</v>
      </c>
      <c r="K52" s="42" t="e">
        <f>AVERAGE(K25:K44)</f>
        <v>#DIV/0!</v>
      </c>
      <c r="L52" s="42"/>
      <c r="M52" s="42"/>
      <c r="T52" s="98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>
      <c r="B53" s="41" t="s">
        <v>431</v>
      </c>
      <c r="K53" s="42" t="e">
        <f>AVERAGE(K45:K49)</f>
        <v>#DIV/0!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>
      <c r="B54" s="41" t="s">
        <v>10</v>
      </c>
      <c r="K54" s="42" t="e">
        <f>AVERAGE(K5:K49)</f>
        <v>#DIV/0!</v>
      </c>
      <c r="L54" s="42"/>
      <c r="M54" s="42"/>
      <c r="AF54" s="42" t="e">
        <f>AVERAGE(AF5:AF49)</f>
        <v>#DIV/0!</v>
      </c>
      <c r="AG54" s="42"/>
      <c r="AH54" s="42"/>
      <c r="AZ54" s="5" t="e">
        <f>AVERAGE(AZ5:AZ49)</f>
        <v>#DIV/0!</v>
      </c>
      <c r="BA54" s="5" t="e">
        <f t="shared" ref="BA54:BF54" si="33">AVERAGE(BA5:BA49)</f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>AVERAGE(BH5:BH49)</f>
        <v>#DIV/0!</v>
      </c>
      <c r="BI54" s="5" t="e">
        <f t="shared" ref="BI54:BN54" si="34">AVERAGE(BI5:BI49)</f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>
      <c r="A55" s="41" t="s">
        <v>180</v>
      </c>
      <c r="B55" s="41" t="s">
        <v>181</v>
      </c>
      <c r="AB55" s="43">
        <f>SUM(AB5:AB14,AB15:AB24,AB25:AB44,AB45:AB49)</f>
        <v>0</v>
      </c>
      <c r="AC55" s="43">
        <f>SUM(AC5:AC14,AC15:AC24,AC25:AC44,AC45:AC49)</f>
        <v>0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>
      <c r="B56" s="41" t="s">
        <v>182</v>
      </c>
      <c r="AJ56" s="98"/>
      <c r="AW56" s="8" t="e">
        <f>AW55/AB55</f>
        <v>#DIV/0!</v>
      </c>
      <c r="AX56" s="8" t="e">
        <f>AX55/AC55</f>
        <v>#DIV/0!</v>
      </c>
    </row>
    <row r="57" spans="1:72">
      <c r="AJ57" s="98"/>
    </row>
    <row r="58" spans="1:72">
      <c r="AJ58" s="98"/>
      <c r="AL58" s="103"/>
    </row>
    <row r="59" spans="1:72" ht="15.75" customHeight="1" thickBot="1">
      <c r="AJ59" s="98"/>
    </row>
    <row r="60" spans="1:72">
      <c r="AG60" s="88" t="e">
        <f t="shared" ref="AG60:AG99" si="36">AG5-L5</f>
        <v>#VALUE!</v>
      </c>
      <c r="AH60" s="88" t="e">
        <f t="shared" ref="AH60:AH99" si="37">AH5-M5</f>
        <v>#VALUE!</v>
      </c>
      <c r="AI60" s="88">
        <f t="shared" ref="AI60:AI99" si="38">AI5-N5</f>
        <v>0</v>
      </c>
      <c r="AJ60" s="88">
        <f t="shared" ref="AJ60:AJ99" si="39">AJ5-O5</f>
        <v>0</v>
      </c>
      <c r="AK60" s="88">
        <f t="shared" ref="AK60:AK99" si="40">AK5-P5</f>
        <v>0</v>
      </c>
      <c r="AL60" s="88">
        <f t="shared" ref="AL60:AL99" si="41">AL5-Q5</f>
        <v>0</v>
      </c>
      <c r="AM60" s="88">
        <f t="shared" ref="AM60:AM99" si="42">AM5-R5</f>
        <v>0</v>
      </c>
      <c r="AN60" s="88">
        <f t="shared" ref="AN60:AN99" si="43">AN5-S5</f>
        <v>0</v>
      </c>
      <c r="AO60" s="88">
        <f t="shared" ref="AO60:AO99" si="44">AO5-T5</f>
        <v>0</v>
      </c>
      <c r="AP60" s="88">
        <f t="shared" ref="AP60:AP99" si="45">AP5-U5</f>
        <v>0</v>
      </c>
      <c r="AQ60" s="89">
        <f t="shared" ref="AQ60:AQ99" si="46">AQ5-V5</f>
        <v>0</v>
      </c>
      <c r="AR60" s="89">
        <f t="shared" ref="AR60:AR99" si="47">AR5-W5</f>
        <v>0</v>
      </c>
      <c r="AS60" s="89">
        <f t="shared" ref="AS60:AS99" si="48">AS5-X5</f>
        <v>0</v>
      </c>
      <c r="AT60" s="89">
        <f t="shared" ref="AT60:AT99" si="49">AT5-Y5</f>
        <v>0</v>
      </c>
      <c r="AU60" s="89">
        <f t="shared" ref="AU60:AU99" si="50">AU5-Z5</f>
        <v>0</v>
      </c>
      <c r="AV60" s="90">
        <f t="shared" ref="AV60:AV99" si="51">AV5-AA5</f>
        <v>0</v>
      </c>
    </row>
    <row r="61" spans="1:72">
      <c r="AG61" s="91" t="e">
        <f t="shared" si="36"/>
        <v>#VALUE!</v>
      </c>
      <c r="AH61" s="91" t="e">
        <f t="shared" si="37"/>
        <v>#VALUE!</v>
      </c>
      <c r="AI61" s="91">
        <f t="shared" si="38"/>
        <v>0</v>
      </c>
      <c r="AJ61" s="91">
        <f t="shared" si="39"/>
        <v>0</v>
      </c>
      <c r="AK61" s="91">
        <f t="shared" si="40"/>
        <v>0</v>
      </c>
      <c r="AL61" s="91">
        <f t="shared" si="41"/>
        <v>0</v>
      </c>
      <c r="AM61" s="91">
        <f t="shared" si="42"/>
        <v>0</v>
      </c>
      <c r="AN61" s="91">
        <f t="shared" si="43"/>
        <v>0</v>
      </c>
      <c r="AO61" s="91">
        <f t="shared" si="44"/>
        <v>0</v>
      </c>
      <c r="AP61" s="91">
        <f t="shared" si="45"/>
        <v>0</v>
      </c>
      <c r="AQ61" s="92">
        <f t="shared" si="46"/>
        <v>0</v>
      </c>
      <c r="AR61" s="92">
        <f t="shared" si="47"/>
        <v>0</v>
      </c>
      <c r="AS61" s="92">
        <f t="shared" si="48"/>
        <v>0</v>
      </c>
      <c r="AT61" s="92">
        <f t="shared" si="49"/>
        <v>0</v>
      </c>
      <c r="AU61" s="92">
        <f t="shared" si="50"/>
        <v>0</v>
      </c>
      <c r="AV61" s="93">
        <f t="shared" si="51"/>
        <v>0</v>
      </c>
    </row>
    <row r="62" spans="1:72">
      <c r="AG62" s="91" t="e">
        <f t="shared" si="36"/>
        <v>#VALUE!</v>
      </c>
      <c r="AH62" s="91" t="e">
        <f t="shared" si="37"/>
        <v>#VALUE!</v>
      </c>
      <c r="AI62" s="91">
        <f t="shared" si="38"/>
        <v>0</v>
      </c>
      <c r="AJ62" s="91">
        <f t="shared" si="39"/>
        <v>0</v>
      </c>
      <c r="AK62" s="91">
        <f t="shared" si="40"/>
        <v>0</v>
      </c>
      <c r="AL62" s="91">
        <f t="shared" si="41"/>
        <v>0</v>
      </c>
      <c r="AM62" s="91">
        <f t="shared" si="42"/>
        <v>0</v>
      </c>
      <c r="AN62" s="91">
        <f t="shared" si="43"/>
        <v>0</v>
      </c>
      <c r="AO62" s="91">
        <f t="shared" si="44"/>
        <v>0</v>
      </c>
      <c r="AP62" s="91">
        <f t="shared" si="45"/>
        <v>0</v>
      </c>
      <c r="AQ62" s="92">
        <f t="shared" si="46"/>
        <v>0</v>
      </c>
      <c r="AR62" s="92">
        <f t="shared" si="47"/>
        <v>0</v>
      </c>
      <c r="AS62" s="92">
        <f t="shared" si="48"/>
        <v>0</v>
      </c>
      <c r="AT62" s="92">
        <f t="shared" si="49"/>
        <v>0</v>
      </c>
      <c r="AU62" s="92">
        <f t="shared" si="50"/>
        <v>0</v>
      </c>
      <c r="AV62" s="93">
        <f t="shared" si="51"/>
        <v>0</v>
      </c>
    </row>
    <row r="63" spans="1:72">
      <c r="AG63" s="91" t="e">
        <f t="shared" si="36"/>
        <v>#VALUE!</v>
      </c>
      <c r="AH63" s="91" t="e">
        <f t="shared" si="37"/>
        <v>#VALUE!</v>
      </c>
      <c r="AI63" s="91">
        <f t="shared" si="38"/>
        <v>0</v>
      </c>
      <c r="AJ63" s="91">
        <f t="shared" si="39"/>
        <v>0</v>
      </c>
      <c r="AK63" s="91">
        <f t="shared" si="40"/>
        <v>0</v>
      </c>
      <c r="AL63" s="91">
        <f t="shared" si="41"/>
        <v>0</v>
      </c>
      <c r="AM63" s="91">
        <f t="shared" si="42"/>
        <v>0</v>
      </c>
      <c r="AN63" s="91">
        <f t="shared" si="43"/>
        <v>0</v>
      </c>
      <c r="AO63" s="91">
        <f t="shared" si="44"/>
        <v>0</v>
      </c>
      <c r="AP63" s="91">
        <f t="shared" si="45"/>
        <v>0</v>
      </c>
      <c r="AQ63" s="92">
        <f t="shared" si="46"/>
        <v>0</v>
      </c>
      <c r="AR63" s="92">
        <f t="shared" si="47"/>
        <v>0</v>
      </c>
      <c r="AS63" s="92">
        <f t="shared" si="48"/>
        <v>0</v>
      </c>
      <c r="AT63" s="92">
        <f t="shared" si="49"/>
        <v>0</v>
      </c>
      <c r="AU63" s="92">
        <f t="shared" si="50"/>
        <v>0</v>
      </c>
      <c r="AV63" s="93">
        <f t="shared" si="51"/>
        <v>0</v>
      </c>
    </row>
    <row r="64" spans="1:72">
      <c r="AG64" s="91" t="e">
        <f t="shared" si="36"/>
        <v>#VALUE!</v>
      </c>
      <c r="AH64" s="91" t="e">
        <f t="shared" si="37"/>
        <v>#VALUE!</v>
      </c>
      <c r="AI64" s="91">
        <f t="shared" si="38"/>
        <v>0</v>
      </c>
      <c r="AJ64" s="91">
        <f t="shared" si="39"/>
        <v>0</v>
      </c>
      <c r="AK64" s="91">
        <f t="shared" si="40"/>
        <v>0</v>
      </c>
      <c r="AL64" s="91">
        <f t="shared" si="41"/>
        <v>0</v>
      </c>
      <c r="AM64" s="91">
        <f t="shared" si="42"/>
        <v>0</v>
      </c>
      <c r="AN64" s="91">
        <f t="shared" si="43"/>
        <v>0</v>
      </c>
      <c r="AO64" s="91">
        <f t="shared" si="44"/>
        <v>0</v>
      </c>
      <c r="AP64" s="91">
        <f t="shared" si="45"/>
        <v>0</v>
      </c>
      <c r="AQ64" s="92">
        <f t="shared" si="46"/>
        <v>0</v>
      </c>
      <c r="AR64" s="92">
        <f t="shared" si="47"/>
        <v>0</v>
      </c>
      <c r="AS64" s="92">
        <f t="shared" si="48"/>
        <v>0</v>
      </c>
      <c r="AT64" s="92">
        <f t="shared" si="49"/>
        <v>0</v>
      </c>
      <c r="AU64" s="92">
        <f t="shared" si="50"/>
        <v>0</v>
      </c>
      <c r="AV64" s="93">
        <f t="shared" si="51"/>
        <v>0</v>
      </c>
    </row>
    <row r="65" spans="33:48">
      <c r="AG65" s="91" t="e">
        <f t="shared" si="36"/>
        <v>#VALUE!</v>
      </c>
      <c r="AH65" s="91" t="e">
        <f t="shared" si="37"/>
        <v>#VALUE!</v>
      </c>
      <c r="AI65" s="91">
        <f t="shared" si="38"/>
        <v>0</v>
      </c>
      <c r="AJ65" s="91">
        <f t="shared" si="39"/>
        <v>0</v>
      </c>
      <c r="AK65" s="91">
        <f t="shared" si="40"/>
        <v>0</v>
      </c>
      <c r="AL65" s="91">
        <f t="shared" si="41"/>
        <v>0</v>
      </c>
      <c r="AM65" s="91">
        <f t="shared" si="42"/>
        <v>0</v>
      </c>
      <c r="AN65" s="91">
        <f t="shared" si="43"/>
        <v>0</v>
      </c>
      <c r="AO65" s="91">
        <f t="shared" si="44"/>
        <v>0</v>
      </c>
      <c r="AP65" s="91">
        <f t="shared" si="45"/>
        <v>0</v>
      </c>
      <c r="AQ65" s="92">
        <f t="shared" si="46"/>
        <v>0</v>
      </c>
      <c r="AR65" s="92">
        <f t="shared" si="47"/>
        <v>0</v>
      </c>
      <c r="AS65" s="92">
        <f t="shared" si="48"/>
        <v>0</v>
      </c>
      <c r="AT65" s="92">
        <f t="shared" si="49"/>
        <v>0</v>
      </c>
      <c r="AU65" s="92">
        <f t="shared" si="50"/>
        <v>0</v>
      </c>
      <c r="AV65" s="93">
        <f t="shared" si="51"/>
        <v>0</v>
      </c>
    </row>
    <row r="66" spans="33:48">
      <c r="AG66" s="91" t="e">
        <f t="shared" si="36"/>
        <v>#VALUE!</v>
      </c>
      <c r="AH66" s="91" t="e">
        <f t="shared" si="37"/>
        <v>#VALUE!</v>
      </c>
      <c r="AI66" s="91">
        <f t="shared" si="38"/>
        <v>0</v>
      </c>
      <c r="AJ66" s="91">
        <f t="shared" si="39"/>
        <v>0</v>
      </c>
      <c r="AK66" s="91">
        <f t="shared" si="40"/>
        <v>0</v>
      </c>
      <c r="AL66" s="91">
        <f t="shared" si="41"/>
        <v>0</v>
      </c>
      <c r="AM66" s="91">
        <f t="shared" si="42"/>
        <v>0</v>
      </c>
      <c r="AN66" s="91">
        <f t="shared" si="43"/>
        <v>0</v>
      </c>
      <c r="AO66" s="91">
        <f t="shared" si="44"/>
        <v>0</v>
      </c>
      <c r="AP66" s="91">
        <f t="shared" si="45"/>
        <v>0</v>
      </c>
      <c r="AQ66" s="92">
        <f t="shared" si="46"/>
        <v>0</v>
      </c>
      <c r="AR66" s="92">
        <f t="shared" si="47"/>
        <v>0</v>
      </c>
      <c r="AS66" s="92">
        <f t="shared" si="48"/>
        <v>0</v>
      </c>
      <c r="AT66" s="92">
        <f t="shared" si="49"/>
        <v>0</v>
      </c>
      <c r="AU66" s="92">
        <f t="shared" si="50"/>
        <v>0</v>
      </c>
      <c r="AV66" s="93">
        <f t="shared" si="51"/>
        <v>0</v>
      </c>
    </row>
    <row r="67" spans="33:48">
      <c r="AG67" s="91" t="e">
        <f t="shared" si="36"/>
        <v>#VALUE!</v>
      </c>
      <c r="AH67" s="91" t="e">
        <f t="shared" si="37"/>
        <v>#VALUE!</v>
      </c>
      <c r="AI67" s="91">
        <f t="shared" si="38"/>
        <v>0</v>
      </c>
      <c r="AJ67" s="91">
        <f t="shared" si="39"/>
        <v>0</v>
      </c>
      <c r="AK67" s="91">
        <f t="shared" si="40"/>
        <v>0</v>
      </c>
      <c r="AL67" s="91">
        <f t="shared" si="41"/>
        <v>0</v>
      </c>
      <c r="AM67" s="91">
        <f t="shared" si="42"/>
        <v>0</v>
      </c>
      <c r="AN67" s="91">
        <f t="shared" si="43"/>
        <v>0</v>
      </c>
      <c r="AO67" s="91">
        <f t="shared" si="44"/>
        <v>0</v>
      </c>
      <c r="AP67" s="91">
        <f t="shared" si="45"/>
        <v>0</v>
      </c>
      <c r="AQ67" s="92">
        <f t="shared" si="46"/>
        <v>0</v>
      </c>
      <c r="AR67" s="92">
        <f t="shared" si="47"/>
        <v>0</v>
      </c>
      <c r="AS67" s="92">
        <f t="shared" si="48"/>
        <v>0</v>
      </c>
      <c r="AT67" s="92">
        <f t="shared" si="49"/>
        <v>0</v>
      </c>
      <c r="AU67" s="92">
        <f t="shared" si="50"/>
        <v>0</v>
      </c>
      <c r="AV67" s="93">
        <f t="shared" si="51"/>
        <v>0</v>
      </c>
    </row>
    <row r="68" spans="33:48">
      <c r="AG68" s="91" t="e">
        <f t="shared" si="36"/>
        <v>#VALUE!</v>
      </c>
      <c r="AH68" s="91" t="e">
        <f t="shared" si="37"/>
        <v>#VALUE!</v>
      </c>
      <c r="AI68" s="91">
        <f t="shared" si="38"/>
        <v>0</v>
      </c>
      <c r="AJ68" s="91">
        <f t="shared" si="39"/>
        <v>0</v>
      </c>
      <c r="AK68" s="91">
        <f t="shared" si="40"/>
        <v>0</v>
      </c>
      <c r="AL68" s="91">
        <f t="shared" si="41"/>
        <v>0</v>
      </c>
      <c r="AM68" s="91">
        <f t="shared" si="42"/>
        <v>0</v>
      </c>
      <c r="AN68" s="91">
        <f t="shared" si="43"/>
        <v>0</v>
      </c>
      <c r="AO68" s="91">
        <f t="shared" si="44"/>
        <v>0</v>
      </c>
      <c r="AP68" s="91">
        <f t="shared" si="45"/>
        <v>0</v>
      </c>
      <c r="AQ68" s="92">
        <f t="shared" si="46"/>
        <v>0</v>
      </c>
      <c r="AR68" s="92">
        <f t="shared" si="47"/>
        <v>0</v>
      </c>
      <c r="AS68" s="92">
        <f t="shared" si="48"/>
        <v>0</v>
      </c>
      <c r="AT68" s="92">
        <f t="shared" si="49"/>
        <v>0</v>
      </c>
      <c r="AU68" s="92">
        <f t="shared" si="50"/>
        <v>0</v>
      </c>
      <c r="AV68" s="93">
        <f t="shared" si="51"/>
        <v>0</v>
      </c>
    </row>
    <row r="69" spans="33:48">
      <c r="AG69" s="91" t="e">
        <f t="shared" si="36"/>
        <v>#VALUE!</v>
      </c>
      <c r="AH69" s="91" t="e">
        <f t="shared" si="37"/>
        <v>#VALUE!</v>
      </c>
      <c r="AI69" s="91">
        <f t="shared" si="38"/>
        <v>0</v>
      </c>
      <c r="AJ69" s="91">
        <f t="shared" si="39"/>
        <v>0</v>
      </c>
      <c r="AK69" s="91">
        <f t="shared" si="40"/>
        <v>0</v>
      </c>
      <c r="AL69" s="91">
        <f t="shared" si="41"/>
        <v>0</v>
      </c>
      <c r="AM69" s="91">
        <f t="shared" si="42"/>
        <v>0</v>
      </c>
      <c r="AN69" s="91">
        <f t="shared" si="43"/>
        <v>0</v>
      </c>
      <c r="AO69" s="91">
        <f t="shared" si="44"/>
        <v>0</v>
      </c>
      <c r="AP69" s="91">
        <f t="shared" si="45"/>
        <v>0</v>
      </c>
      <c r="AQ69" s="92">
        <f t="shared" si="46"/>
        <v>0</v>
      </c>
      <c r="AR69" s="92">
        <f t="shared" si="47"/>
        <v>0</v>
      </c>
      <c r="AS69" s="92">
        <f t="shared" si="48"/>
        <v>0</v>
      </c>
      <c r="AT69" s="92">
        <f t="shared" si="49"/>
        <v>0</v>
      </c>
      <c r="AU69" s="92">
        <f t="shared" si="50"/>
        <v>0</v>
      </c>
      <c r="AV69" s="93">
        <f t="shared" si="51"/>
        <v>0</v>
      </c>
    </row>
    <row r="70" spans="33:48">
      <c r="AG70" s="91" t="e">
        <f t="shared" si="36"/>
        <v>#VALUE!</v>
      </c>
      <c r="AH70" s="91" t="e">
        <f t="shared" si="37"/>
        <v>#VALUE!</v>
      </c>
      <c r="AI70" s="91">
        <f t="shared" si="38"/>
        <v>0</v>
      </c>
      <c r="AJ70" s="91">
        <f t="shared" si="39"/>
        <v>0</v>
      </c>
      <c r="AK70" s="91">
        <f t="shared" si="40"/>
        <v>0</v>
      </c>
      <c r="AL70" s="91">
        <f t="shared" si="41"/>
        <v>0</v>
      </c>
      <c r="AM70" s="91">
        <f t="shared" si="42"/>
        <v>0</v>
      </c>
      <c r="AN70" s="91">
        <f t="shared" si="43"/>
        <v>0</v>
      </c>
      <c r="AO70" s="91">
        <f t="shared" si="44"/>
        <v>0</v>
      </c>
      <c r="AP70" s="91">
        <f t="shared" si="45"/>
        <v>0</v>
      </c>
      <c r="AQ70" s="92">
        <f t="shared" si="46"/>
        <v>0</v>
      </c>
      <c r="AR70" s="92">
        <f t="shared" si="47"/>
        <v>0</v>
      </c>
      <c r="AS70" s="92">
        <f t="shared" si="48"/>
        <v>0</v>
      </c>
      <c r="AT70" s="92">
        <f t="shared" si="49"/>
        <v>0</v>
      </c>
      <c r="AU70" s="92">
        <f t="shared" si="50"/>
        <v>0</v>
      </c>
      <c r="AV70" s="93">
        <f t="shared" si="51"/>
        <v>0</v>
      </c>
    </row>
    <row r="71" spans="33:48">
      <c r="AG71" s="91" t="e">
        <f t="shared" si="36"/>
        <v>#VALUE!</v>
      </c>
      <c r="AH71" s="91" t="e">
        <f t="shared" si="37"/>
        <v>#VALUE!</v>
      </c>
      <c r="AI71" s="91">
        <f t="shared" si="38"/>
        <v>0</v>
      </c>
      <c r="AJ71" s="91">
        <f t="shared" si="39"/>
        <v>0</v>
      </c>
      <c r="AK71" s="91">
        <f t="shared" si="40"/>
        <v>0</v>
      </c>
      <c r="AL71" s="91">
        <f t="shared" si="41"/>
        <v>0</v>
      </c>
      <c r="AM71" s="91">
        <f t="shared" si="42"/>
        <v>0</v>
      </c>
      <c r="AN71" s="91">
        <f t="shared" si="43"/>
        <v>0</v>
      </c>
      <c r="AO71" s="91">
        <f t="shared" si="44"/>
        <v>0</v>
      </c>
      <c r="AP71" s="91">
        <f t="shared" si="45"/>
        <v>0</v>
      </c>
      <c r="AQ71" s="92">
        <f t="shared" si="46"/>
        <v>0</v>
      </c>
      <c r="AR71" s="92">
        <f t="shared" si="47"/>
        <v>0</v>
      </c>
      <c r="AS71" s="92">
        <f t="shared" si="48"/>
        <v>0</v>
      </c>
      <c r="AT71" s="92">
        <f t="shared" si="49"/>
        <v>0</v>
      </c>
      <c r="AU71" s="92">
        <f t="shared" si="50"/>
        <v>0</v>
      </c>
      <c r="AV71" s="93">
        <f t="shared" si="51"/>
        <v>0</v>
      </c>
    </row>
    <row r="72" spans="33:48">
      <c r="AG72" s="91" t="e">
        <f t="shared" si="36"/>
        <v>#VALUE!</v>
      </c>
      <c r="AH72" s="91" t="e">
        <f t="shared" si="37"/>
        <v>#VALUE!</v>
      </c>
      <c r="AI72" s="91">
        <f t="shared" si="38"/>
        <v>0</v>
      </c>
      <c r="AJ72" s="91">
        <f t="shared" si="39"/>
        <v>0</v>
      </c>
      <c r="AK72" s="91">
        <f t="shared" si="40"/>
        <v>0</v>
      </c>
      <c r="AL72" s="91">
        <f t="shared" si="41"/>
        <v>0</v>
      </c>
      <c r="AM72" s="91">
        <f t="shared" si="42"/>
        <v>0</v>
      </c>
      <c r="AN72" s="91">
        <f t="shared" si="43"/>
        <v>0</v>
      </c>
      <c r="AO72" s="91">
        <f t="shared" si="44"/>
        <v>0</v>
      </c>
      <c r="AP72" s="91">
        <f t="shared" si="45"/>
        <v>0</v>
      </c>
      <c r="AQ72" s="92">
        <f t="shared" si="46"/>
        <v>0</v>
      </c>
      <c r="AR72" s="92">
        <f t="shared" si="47"/>
        <v>0</v>
      </c>
      <c r="AS72" s="92">
        <f t="shared" si="48"/>
        <v>0</v>
      </c>
      <c r="AT72" s="92">
        <f t="shared" si="49"/>
        <v>0</v>
      </c>
      <c r="AU72" s="92">
        <f t="shared" si="50"/>
        <v>0</v>
      </c>
      <c r="AV72" s="93">
        <f t="shared" si="51"/>
        <v>0</v>
      </c>
    </row>
    <row r="73" spans="33:48">
      <c r="AG73" s="91" t="e">
        <f t="shared" si="36"/>
        <v>#VALUE!</v>
      </c>
      <c r="AH73" s="91" t="e">
        <f t="shared" si="37"/>
        <v>#VALUE!</v>
      </c>
      <c r="AI73" s="91">
        <f t="shared" si="38"/>
        <v>0</v>
      </c>
      <c r="AJ73" s="91">
        <f t="shared" si="39"/>
        <v>0</v>
      </c>
      <c r="AK73" s="91">
        <f t="shared" si="40"/>
        <v>0</v>
      </c>
      <c r="AL73" s="91">
        <f t="shared" si="41"/>
        <v>0</v>
      </c>
      <c r="AM73" s="91">
        <f t="shared" si="42"/>
        <v>0</v>
      </c>
      <c r="AN73" s="91">
        <f t="shared" si="43"/>
        <v>0</v>
      </c>
      <c r="AO73" s="91">
        <f t="shared" si="44"/>
        <v>0</v>
      </c>
      <c r="AP73" s="91">
        <f t="shared" si="45"/>
        <v>0</v>
      </c>
      <c r="AQ73" s="92">
        <f t="shared" si="46"/>
        <v>0</v>
      </c>
      <c r="AR73" s="92">
        <f t="shared" si="47"/>
        <v>0</v>
      </c>
      <c r="AS73" s="92">
        <f t="shared" si="48"/>
        <v>0</v>
      </c>
      <c r="AT73" s="92">
        <f t="shared" si="49"/>
        <v>0</v>
      </c>
      <c r="AU73" s="92">
        <f t="shared" si="50"/>
        <v>0</v>
      </c>
      <c r="AV73" s="93">
        <f t="shared" si="51"/>
        <v>0</v>
      </c>
    </row>
    <row r="74" spans="33:48">
      <c r="AG74" s="91" t="e">
        <f t="shared" si="36"/>
        <v>#VALUE!</v>
      </c>
      <c r="AH74" s="91" t="e">
        <f t="shared" si="37"/>
        <v>#VALUE!</v>
      </c>
      <c r="AI74" s="91">
        <f t="shared" si="38"/>
        <v>0</v>
      </c>
      <c r="AJ74" s="91">
        <f t="shared" si="39"/>
        <v>0</v>
      </c>
      <c r="AK74" s="91">
        <f t="shared" si="40"/>
        <v>0</v>
      </c>
      <c r="AL74" s="91">
        <f t="shared" si="41"/>
        <v>0</v>
      </c>
      <c r="AM74" s="91">
        <f t="shared" si="42"/>
        <v>0</v>
      </c>
      <c r="AN74" s="91">
        <f t="shared" si="43"/>
        <v>0</v>
      </c>
      <c r="AO74" s="91">
        <f t="shared" si="44"/>
        <v>0</v>
      </c>
      <c r="AP74" s="91">
        <f t="shared" si="45"/>
        <v>0</v>
      </c>
      <c r="AQ74" s="92">
        <f t="shared" si="46"/>
        <v>0</v>
      </c>
      <c r="AR74" s="92">
        <f t="shared" si="47"/>
        <v>0</v>
      </c>
      <c r="AS74" s="92">
        <f t="shared" si="48"/>
        <v>0</v>
      </c>
      <c r="AT74" s="92">
        <f t="shared" si="49"/>
        <v>0</v>
      </c>
      <c r="AU74" s="92">
        <f t="shared" si="50"/>
        <v>0</v>
      </c>
      <c r="AV74" s="93">
        <f t="shared" si="51"/>
        <v>0</v>
      </c>
    </row>
    <row r="75" spans="33:48">
      <c r="AG75" s="91" t="e">
        <f t="shared" si="36"/>
        <v>#VALUE!</v>
      </c>
      <c r="AH75" s="91" t="e">
        <f t="shared" si="37"/>
        <v>#VALUE!</v>
      </c>
      <c r="AI75" s="91">
        <f t="shared" si="38"/>
        <v>0</v>
      </c>
      <c r="AJ75" s="91">
        <f t="shared" si="39"/>
        <v>0</v>
      </c>
      <c r="AK75" s="91">
        <f t="shared" si="40"/>
        <v>0</v>
      </c>
      <c r="AL75" s="91">
        <f t="shared" si="41"/>
        <v>0</v>
      </c>
      <c r="AM75" s="91">
        <f t="shared" si="42"/>
        <v>0</v>
      </c>
      <c r="AN75" s="91">
        <f t="shared" si="43"/>
        <v>0</v>
      </c>
      <c r="AO75" s="91">
        <f t="shared" si="44"/>
        <v>0</v>
      </c>
      <c r="AP75" s="91">
        <f t="shared" si="45"/>
        <v>0</v>
      </c>
      <c r="AQ75" s="92">
        <f t="shared" si="46"/>
        <v>0</v>
      </c>
      <c r="AR75" s="92">
        <f t="shared" si="47"/>
        <v>0</v>
      </c>
      <c r="AS75" s="92">
        <f t="shared" si="48"/>
        <v>0</v>
      </c>
      <c r="AT75" s="92">
        <f t="shared" si="49"/>
        <v>0</v>
      </c>
      <c r="AU75" s="92">
        <f t="shared" si="50"/>
        <v>0</v>
      </c>
      <c r="AV75" s="93">
        <f t="shared" si="51"/>
        <v>0</v>
      </c>
    </row>
    <row r="76" spans="33:48">
      <c r="AG76" s="91" t="e">
        <f t="shared" si="36"/>
        <v>#VALUE!</v>
      </c>
      <c r="AH76" s="91" t="e">
        <f t="shared" si="37"/>
        <v>#VALUE!</v>
      </c>
      <c r="AI76" s="91">
        <f t="shared" si="38"/>
        <v>0</v>
      </c>
      <c r="AJ76" s="91">
        <f t="shared" si="39"/>
        <v>0</v>
      </c>
      <c r="AK76" s="91">
        <f t="shared" si="40"/>
        <v>0</v>
      </c>
      <c r="AL76" s="91">
        <f t="shared" si="41"/>
        <v>0</v>
      </c>
      <c r="AM76" s="91">
        <f t="shared" si="42"/>
        <v>0</v>
      </c>
      <c r="AN76" s="91">
        <f t="shared" si="43"/>
        <v>0</v>
      </c>
      <c r="AO76" s="91">
        <f t="shared" si="44"/>
        <v>0</v>
      </c>
      <c r="AP76" s="91">
        <f t="shared" si="45"/>
        <v>0</v>
      </c>
      <c r="AQ76" s="92">
        <f t="shared" si="46"/>
        <v>0</v>
      </c>
      <c r="AR76" s="92">
        <f t="shared" si="47"/>
        <v>0</v>
      </c>
      <c r="AS76" s="92">
        <f t="shared" si="48"/>
        <v>0</v>
      </c>
      <c r="AT76" s="92">
        <f t="shared" si="49"/>
        <v>0</v>
      </c>
      <c r="AU76" s="92">
        <f t="shared" si="50"/>
        <v>0</v>
      </c>
      <c r="AV76" s="93">
        <f t="shared" si="51"/>
        <v>0</v>
      </c>
    </row>
    <row r="77" spans="33:48">
      <c r="AG77" s="91" t="e">
        <f t="shared" si="36"/>
        <v>#VALUE!</v>
      </c>
      <c r="AH77" s="91" t="e">
        <f t="shared" si="37"/>
        <v>#VALUE!</v>
      </c>
      <c r="AI77" s="91">
        <f t="shared" si="38"/>
        <v>0</v>
      </c>
      <c r="AJ77" s="91">
        <f t="shared" si="39"/>
        <v>0</v>
      </c>
      <c r="AK77" s="91">
        <f t="shared" si="40"/>
        <v>0</v>
      </c>
      <c r="AL77" s="91">
        <f t="shared" si="41"/>
        <v>0</v>
      </c>
      <c r="AM77" s="91">
        <f t="shared" si="42"/>
        <v>0</v>
      </c>
      <c r="AN77" s="91">
        <f t="shared" si="43"/>
        <v>0</v>
      </c>
      <c r="AO77" s="91">
        <f t="shared" si="44"/>
        <v>0</v>
      </c>
      <c r="AP77" s="91">
        <f t="shared" si="45"/>
        <v>0</v>
      </c>
      <c r="AQ77" s="92">
        <f t="shared" si="46"/>
        <v>0</v>
      </c>
      <c r="AR77" s="92">
        <f t="shared" si="47"/>
        <v>0</v>
      </c>
      <c r="AS77" s="92">
        <f t="shared" si="48"/>
        <v>0</v>
      </c>
      <c r="AT77" s="92">
        <f t="shared" si="49"/>
        <v>0</v>
      </c>
      <c r="AU77" s="92">
        <f t="shared" si="50"/>
        <v>0</v>
      </c>
      <c r="AV77" s="93">
        <f t="shared" si="51"/>
        <v>0</v>
      </c>
    </row>
    <row r="78" spans="33:48">
      <c r="AG78" s="91" t="e">
        <f t="shared" si="36"/>
        <v>#VALUE!</v>
      </c>
      <c r="AH78" s="91" t="e">
        <f t="shared" si="37"/>
        <v>#VALUE!</v>
      </c>
      <c r="AI78" s="91">
        <f t="shared" si="38"/>
        <v>0</v>
      </c>
      <c r="AJ78" s="91">
        <f t="shared" si="39"/>
        <v>0</v>
      </c>
      <c r="AK78" s="91">
        <f t="shared" si="40"/>
        <v>0</v>
      </c>
      <c r="AL78" s="91">
        <f t="shared" si="41"/>
        <v>0</v>
      </c>
      <c r="AM78" s="91">
        <f t="shared" si="42"/>
        <v>0</v>
      </c>
      <c r="AN78" s="91">
        <f t="shared" si="43"/>
        <v>0</v>
      </c>
      <c r="AO78" s="91">
        <f t="shared" si="44"/>
        <v>0</v>
      </c>
      <c r="AP78" s="91">
        <f t="shared" si="45"/>
        <v>0</v>
      </c>
      <c r="AQ78" s="92">
        <f t="shared" si="46"/>
        <v>0</v>
      </c>
      <c r="AR78" s="92">
        <f t="shared" si="47"/>
        <v>0</v>
      </c>
      <c r="AS78" s="92">
        <f t="shared" si="48"/>
        <v>0</v>
      </c>
      <c r="AT78" s="92">
        <f t="shared" si="49"/>
        <v>0</v>
      </c>
      <c r="AU78" s="92">
        <f t="shared" si="50"/>
        <v>0</v>
      </c>
      <c r="AV78" s="93">
        <f t="shared" si="51"/>
        <v>0</v>
      </c>
    </row>
    <row r="79" spans="33:48">
      <c r="AG79" s="91" t="e">
        <f t="shared" si="36"/>
        <v>#VALUE!</v>
      </c>
      <c r="AH79" s="91" t="e">
        <f t="shared" si="37"/>
        <v>#VALUE!</v>
      </c>
      <c r="AI79" s="91">
        <f t="shared" si="38"/>
        <v>0</v>
      </c>
      <c r="AJ79" s="91">
        <f t="shared" si="39"/>
        <v>0</v>
      </c>
      <c r="AK79" s="91">
        <f t="shared" si="40"/>
        <v>0</v>
      </c>
      <c r="AL79" s="91">
        <f t="shared" si="41"/>
        <v>0</v>
      </c>
      <c r="AM79" s="91">
        <f t="shared" si="42"/>
        <v>0</v>
      </c>
      <c r="AN79" s="91">
        <f t="shared" si="43"/>
        <v>0</v>
      </c>
      <c r="AO79" s="91">
        <f t="shared" si="44"/>
        <v>0</v>
      </c>
      <c r="AP79" s="91">
        <f t="shared" si="45"/>
        <v>0</v>
      </c>
      <c r="AQ79" s="92">
        <f t="shared" si="46"/>
        <v>0</v>
      </c>
      <c r="AR79" s="92">
        <f t="shared" si="47"/>
        <v>0</v>
      </c>
      <c r="AS79" s="92">
        <f t="shared" si="48"/>
        <v>0</v>
      </c>
      <c r="AT79" s="92">
        <f t="shared" si="49"/>
        <v>0</v>
      </c>
      <c r="AU79" s="92">
        <f t="shared" si="50"/>
        <v>0</v>
      </c>
      <c r="AV79" s="93">
        <f t="shared" si="51"/>
        <v>0</v>
      </c>
    </row>
    <row r="80" spans="33:48">
      <c r="AG80" s="91" t="e">
        <f t="shared" si="36"/>
        <v>#VALUE!</v>
      </c>
      <c r="AH80" s="91" t="e">
        <f t="shared" si="37"/>
        <v>#VALUE!</v>
      </c>
      <c r="AI80" s="91">
        <f t="shared" si="38"/>
        <v>0</v>
      </c>
      <c r="AJ80" s="91">
        <f t="shared" si="39"/>
        <v>0</v>
      </c>
      <c r="AK80" s="91">
        <f t="shared" si="40"/>
        <v>0</v>
      </c>
      <c r="AL80" s="91">
        <f t="shared" si="41"/>
        <v>0</v>
      </c>
      <c r="AM80" s="91">
        <f t="shared" si="42"/>
        <v>0</v>
      </c>
      <c r="AN80" s="91">
        <f t="shared" si="43"/>
        <v>0</v>
      </c>
      <c r="AO80" s="91">
        <f t="shared" si="44"/>
        <v>0</v>
      </c>
      <c r="AP80" s="91">
        <f t="shared" si="45"/>
        <v>0</v>
      </c>
      <c r="AQ80" s="92">
        <f t="shared" si="46"/>
        <v>0</v>
      </c>
      <c r="AR80" s="92">
        <f t="shared" si="47"/>
        <v>0</v>
      </c>
      <c r="AS80" s="92">
        <f t="shared" si="48"/>
        <v>0</v>
      </c>
      <c r="AT80" s="92">
        <f t="shared" si="49"/>
        <v>0</v>
      </c>
      <c r="AU80" s="92">
        <f t="shared" si="50"/>
        <v>0</v>
      </c>
      <c r="AV80" s="93">
        <f t="shared" si="51"/>
        <v>0</v>
      </c>
    </row>
    <row r="81" spans="33:48">
      <c r="AG81" s="91" t="e">
        <f t="shared" si="36"/>
        <v>#VALUE!</v>
      </c>
      <c r="AH81" s="91" t="e">
        <f t="shared" si="37"/>
        <v>#VALUE!</v>
      </c>
      <c r="AI81" s="91">
        <f t="shared" si="38"/>
        <v>0</v>
      </c>
      <c r="AJ81" s="91">
        <f t="shared" si="39"/>
        <v>0</v>
      </c>
      <c r="AK81" s="91">
        <f t="shared" si="40"/>
        <v>0</v>
      </c>
      <c r="AL81" s="91">
        <f t="shared" si="41"/>
        <v>0</v>
      </c>
      <c r="AM81" s="91">
        <f t="shared" si="42"/>
        <v>0</v>
      </c>
      <c r="AN81" s="91">
        <f t="shared" si="43"/>
        <v>0</v>
      </c>
      <c r="AO81" s="91">
        <f t="shared" si="44"/>
        <v>0</v>
      </c>
      <c r="AP81" s="91">
        <f t="shared" si="45"/>
        <v>0</v>
      </c>
      <c r="AQ81" s="92">
        <f t="shared" si="46"/>
        <v>0</v>
      </c>
      <c r="AR81" s="92">
        <f t="shared" si="47"/>
        <v>0</v>
      </c>
      <c r="AS81" s="92">
        <f t="shared" si="48"/>
        <v>0</v>
      </c>
      <c r="AT81" s="92">
        <f t="shared" si="49"/>
        <v>0</v>
      </c>
      <c r="AU81" s="92">
        <f t="shared" si="50"/>
        <v>0</v>
      </c>
      <c r="AV81" s="93">
        <f t="shared" si="51"/>
        <v>0</v>
      </c>
    </row>
    <row r="82" spans="33:48">
      <c r="AG82" s="91" t="e">
        <f t="shared" si="36"/>
        <v>#VALUE!</v>
      </c>
      <c r="AH82" s="91" t="e">
        <f t="shared" si="37"/>
        <v>#VALUE!</v>
      </c>
      <c r="AI82" s="91">
        <f t="shared" si="38"/>
        <v>0</v>
      </c>
      <c r="AJ82" s="91">
        <f t="shared" si="39"/>
        <v>0</v>
      </c>
      <c r="AK82" s="91">
        <f t="shared" si="40"/>
        <v>0</v>
      </c>
      <c r="AL82" s="91">
        <f t="shared" si="41"/>
        <v>0</v>
      </c>
      <c r="AM82" s="91">
        <f t="shared" si="42"/>
        <v>0</v>
      </c>
      <c r="AN82" s="91">
        <f t="shared" si="43"/>
        <v>0</v>
      </c>
      <c r="AO82" s="91">
        <f t="shared" si="44"/>
        <v>0</v>
      </c>
      <c r="AP82" s="91">
        <f t="shared" si="45"/>
        <v>0</v>
      </c>
      <c r="AQ82" s="92">
        <f t="shared" si="46"/>
        <v>0</v>
      </c>
      <c r="AR82" s="92">
        <f t="shared" si="47"/>
        <v>0</v>
      </c>
      <c r="AS82" s="92">
        <f t="shared" si="48"/>
        <v>0</v>
      </c>
      <c r="AT82" s="92">
        <f t="shared" si="49"/>
        <v>0</v>
      </c>
      <c r="AU82" s="92">
        <f t="shared" si="50"/>
        <v>0</v>
      </c>
      <c r="AV82" s="93">
        <f t="shared" si="51"/>
        <v>0</v>
      </c>
    </row>
    <row r="83" spans="33:48">
      <c r="AG83" s="91" t="e">
        <f t="shared" si="36"/>
        <v>#VALUE!</v>
      </c>
      <c r="AH83" s="91" t="e">
        <f t="shared" si="37"/>
        <v>#VALUE!</v>
      </c>
      <c r="AI83" s="91">
        <f t="shared" si="38"/>
        <v>0</v>
      </c>
      <c r="AJ83" s="91">
        <f t="shared" si="39"/>
        <v>0</v>
      </c>
      <c r="AK83" s="91">
        <f t="shared" si="40"/>
        <v>0</v>
      </c>
      <c r="AL83" s="91">
        <f t="shared" si="41"/>
        <v>0</v>
      </c>
      <c r="AM83" s="91">
        <f t="shared" si="42"/>
        <v>0</v>
      </c>
      <c r="AN83" s="91">
        <f t="shared" si="43"/>
        <v>0</v>
      </c>
      <c r="AO83" s="91">
        <f t="shared" si="44"/>
        <v>0</v>
      </c>
      <c r="AP83" s="91">
        <f t="shared" si="45"/>
        <v>0</v>
      </c>
      <c r="AQ83" s="92">
        <f t="shared" si="46"/>
        <v>0</v>
      </c>
      <c r="AR83" s="92">
        <f t="shared" si="47"/>
        <v>0</v>
      </c>
      <c r="AS83" s="92">
        <f t="shared" si="48"/>
        <v>0</v>
      </c>
      <c r="AT83" s="92">
        <f t="shared" si="49"/>
        <v>0</v>
      </c>
      <c r="AU83" s="92">
        <f t="shared" si="50"/>
        <v>0</v>
      </c>
      <c r="AV83" s="93">
        <f t="shared" si="51"/>
        <v>0</v>
      </c>
    </row>
    <row r="84" spans="33:48">
      <c r="AG84" s="91" t="e">
        <f t="shared" si="36"/>
        <v>#VALUE!</v>
      </c>
      <c r="AH84" s="91" t="e">
        <f t="shared" si="37"/>
        <v>#VALUE!</v>
      </c>
      <c r="AI84" s="91">
        <f t="shared" si="38"/>
        <v>0</v>
      </c>
      <c r="AJ84" s="91">
        <f t="shared" si="39"/>
        <v>0</v>
      </c>
      <c r="AK84" s="91">
        <f t="shared" si="40"/>
        <v>0</v>
      </c>
      <c r="AL84" s="91">
        <f t="shared" si="41"/>
        <v>0</v>
      </c>
      <c r="AM84" s="91">
        <f t="shared" si="42"/>
        <v>0</v>
      </c>
      <c r="AN84" s="91">
        <f t="shared" si="43"/>
        <v>0</v>
      </c>
      <c r="AO84" s="91">
        <f t="shared" si="44"/>
        <v>0</v>
      </c>
      <c r="AP84" s="91">
        <f t="shared" si="45"/>
        <v>0</v>
      </c>
      <c r="AQ84" s="92">
        <f t="shared" si="46"/>
        <v>0</v>
      </c>
      <c r="AR84" s="92">
        <f t="shared" si="47"/>
        <v>0</v>
      </c>
      <c r="AS84" s="92">
        <f t="shared" si="48"/>
        <v>0</v>
      </c>
      <c r="AT84" s="92">
        <f t="shared" si="49"/>
        <v>0</v>
      </c>
      <c r="AU84" s="92">
        <f t="shared" si="50"/>
        <v>0</v>
      </c>
      <c r="AV84" s="93">
        <f t="shared" si="51"/>
        <v>0</v>
      </c>
    </row>
    <row r="85" spans="33:48">
      <c r="AG85" s="91" t="e">
        <f t="shared" si="36"/>
        <v>#VALUE!</v>
      </c>
      <c r="AH85" s="91" t="e">
        <f t="shared" si="37"/>
        <v>#VALUE!</v>
      </c>
      <c r="AI85" s="91">
        <f t="shared" si="38"/>
        <v>0</v>
      </c>
      <c r="AJ85" s="91">
        <f t="shared" si="39"/>
        <v>0</v>
      </c>
      <c r="AK85" s="91">
        <f t="shared" si="40"/>
        <v>0</v>
      </c>
      <c r="AL85" s="91">
        <f t="shared" si="41"/>
        <v>0</v>
      </c>
      <c r="AM85" s="91">
        <f t="shared" si="42"/>
        <v>0</v>
      </c>
      <c r="AN85" s="91">
        <f t="shared" si="43"/>
        <v>0</v>
      </c>
      <c r="AO85" s="91">
        <f t="shared" si="44"/>
        <v>0</v>
      </c>
      <c r="AP85" s="91">
        <f t="shared" si="45"/>
        <v>0</v>
      </c>
      <c r="AQ85" s="92">
        <f t="shared" si="46"/>
        <v>0</v>
      </c>
      <c r="AR85" s="92">
        <f t="shared" si="47"/>
        <v>0</v>
      </c>
      <c r="AS85" s="92">
        <f t="shared" si="48"/>
        <v>0</v>
      </c>
      <c r="AT85" s="92">
        <f t="shared" si="49"/>
        <v>0</v>
      </c>
      <c r="AU85" s="92">
        <f t="shared" si="50"/>
        <v>0</v>
      </c>
      <c r="AV85" s="93">
        <f t="shared" si="51"/>
        <v>0</v>
      </c>
    </row>
    <row r="86" spans="33:48">
      <c r="AG86" s="91" t="e">
        <f t="shared" si="36"/>
        <v>#VALUE!</v>
      </c>
      <c r="AH86" s="91" t="e">
        <f t="shared" si="37"/>
        <v>#VALUE!</v>
      </c>
      <c r="AI86" s="91">
        <f t="shared" si="38"/>
        <v>0</v>
      </c>
      <c r="AJ86" s="91">
        <f t="shared" si="39"/>
        <v>0</v>
      </c>
      <c r="AK86" s="91">
        <f t="shared" si="40"/>
        <v>0</v>
      </c>
      <c r="AL86" s="91">
        <f t="shared" si="41"/>
        <v>0</v>
      </c>
      <c r="AM86" s="91">
        <f t="shared" si="42"/>
        <v>0</v>
      </c>
      <c r="AN86" s="91">
        <f t="shared" si="43"/>
        <v>0</v>
      </c>
      <c r="AO86" s="91">
        <f t="shared" si="44"/>
        <v>0</v>
      </c>
      <c r="AP86" s="91">
        <f t="shared" si="45"/>
        <v>0</v>
      </c>
      <c r="AQ86" s="92">
        <f t="shared" si="46"/>
        <v>0</v>
      </c>
      <c r="AR86" s="92">
        <f t="shared" si="47"/>
        <v>0</v>
      </c>
      <c r="AS86" s="92">
        <f t="shared" si="48"/>
        <v>0</v>
      </c>
      <c r="AT86" s="92">
        <f t="shared" si="49"/>
        <v>0</v>
      </c>
      <c r="AU86" s="92">
        <f t="shared" si="50"/>
        <v>0</v>
      </c>
      <c r="AV86" s="93">
        <f t="shared" si="51"/>
        <v>0</v>
      </c>
    </row>
    <row r="87" spans="33:48">
      <c r="AG87" s="91" t="e">
        <f t="shared" si="36"/>
        <v>#VALUE!</v>
      </c>
      <c r="AH87" s="91" t="e">
        <f t="shared" si="37"/>
        <v>#VALUE!</v>
      </c>
      <c r="AI87" s="91">
        <f t="shared" si="38"/>
        <v>0</v>
      </c>
      <c r="AJ87" s="91">
        <f t="shared" si="39"/>
        <v>0</v>
      </c>
      <c r="AK87" s="91">
        <f t="shared" si="40"/>
        <v>0</v>
      </c>
      <c r="AL87" s="91">
        <f t="shared" si="41"/>
        <v>0</v>
      </c>
      <c r="AM87" s="91">
        <f t="shared" si="42"/>
        <v>0</v>
      </c>
      <c r="AN87" s="91">
        <f t="shared" si="43"/>
        <v>0</v>
      </c>
      <c r="AO87" s="91">
        <f t="shared" si="44"/>
        <v>0</v>
      </c>
      <c r="AP87" s="91">
        <f t="shared" si="45"/>
        <v>0</v>
      </c>
      <c r="AQ87" s="92">
        <f t="shared" si="46"/>
        <v>0</v>
      </c>
      <c r="AR87" s="92">
        <f t="shared" si="47"/>
        <v>0</v>
      </c>
      <c r="AS87" s="92">
        <f t="shared" si="48"/>
        <v>0</v>
      </c>
      <c r="AT87" s="92">
        <f t="shared" si="49"/>
        <v>0</v>
      </c>
      <c r="AU87" s="92">
        <f t="shared" si="50"/>
        <v>0</v>
      </c>
      <c r="AV87" s="93">
        <f t="shared" si="51"/>
        <v>0</v>
      </c>
    </row>
    <row r="88" spans="33:48">
      <c r="AG88" s="91" t="e">
        <f t="shared" si="36"/>
        <v>#VALUE!</v>
      </c>
      <c r="AH88" s="91" t="e">
        <f t="shared" si="37"/>
        <v>#VALUE!</v>
      </c>
      <c r="AI88" s="91">
        <f t="shared" si="38"/>
        <v>0</v>
      </c>
      <c r="AJ88" s="91">
        <f t="shared" si="39"/>
        <v>0</v>
      </c>
      <c r="AK88" s="91">
        <f t="shared" si="40"/>
        <v>0</v>
      </c>
      <c r="AL88" s="91">
        <f t="shared" si="41"/>
        <v>0</v>
      </c>
      <c r="AM88" s="91">
        <f t="shared" si="42"/>
        <v>0</v>
      </c>
      <c r="AN88" s="91">
        <f t="shared" si="43"/>
        <v>0</v>
      </c>
      <c r="AO88" s="91">
        <f t="shared" si="44"/>
        <v>0</v>
      </c>
      <c r="AP88" s="91">
        <f t="shared" si="45"/>
        <v>0</v>
      </c>
      <c r="AQ88" s="92">
        <f t="shared" si="46"/>
        <v>0</v>
      </c>
      <c r="AR88" s="92">
        <f t="shared" si="47"/>
        <v>0</v>
      </c>
      <c r="AS88" s="92">
        <f t="shared" si="48"/>
        <v>0</v>
      </c>
      <c r="AT88" s="92">
        <f t="shared" si="49"/>
        <v>0</v>
      </c>
      <c r="AU88" s="92">
        <f t="shared" si="50"/>
        <v>0</v>
      </c>
      <c r="AV88" s="93">
        <f t="shared" si="51"/>
        <v>0</v>
      </c>
    </row>
    <row r="89" spans="33:48">
      <c r="AG89" s="91" t="e">
        <f t="shared" si="36"/>
        <v>#VALUE!</v>
      </c>
      <c r="AH89" s="91" t="e">
        <f t="shared" si="37"/>
        <v>#VALUE!</v>
      </c>
      <c r="AI89" s="91">
        <f t="shared" si="38"/>
        <v>0</v>
      </c>
      <c r="AJ89" s="91">
        <f t="shared" si="39"/>
        <v>0</v>
      </c>
      <c r="AK89" s="91">
        <f t="shared" si="40"/>
        <v>0</v>
      </c>
      <c r="AL89" s="91">
        <f t="shared" si="41"/>
        <v>0</v>
      </c>
      <c r="AM89" s="91">
        <f t="shared" si="42"/>
        <v>0</v>
      </c>
      <c r="AN89" s="91">
        <f t="shared" si="43"/>
        <v>0</v>
      </c>
      <c r="AO89" s="91">
        <f t="shared" si="44"/>
        <v>0</v>
      </c>
      <c r="AP89" s="91">
        <f t="shared" si="45"/>
        <v>0</v>
      </c>
      <c r="AQ89" s="92">
        <f t="shared" si="46"/>
        <v>0</v>
      </c>
      <c r="AR89" s="92">
        <f t="shared" si="47"/>
        <v>0</v>
      </c>
      <c r="AS89" s="92">
        <f t="shared" si="48"/>
        <v>0</v>
      </c>
      <c r="AT89" s="92">
        <f t="shared" si="49"/>
        <v>0</v>
      </c>
      <c r="AU89" s="92">
        <f t="shared" si="50"/>
        <v>0</v>
      </c>
      <c r="AV89" s="93">
        <f t="shared" si="51"/>
        <v>0</v>
      </c>
    </row>
    <row r="90" spans="33:48">
      <c r="AG90" s="91" t="e">
        <f t="shared" si="36"/>
        <v>#VALUE!</v>
      </c>
      <c r="AH90" s="91" t="e">
        <f t="shared" si="37"/>
        <v>#VALUE!</v>
      </c>
      <c r="AI90" s="91">
        <f t="shared" si="38"/>
        <v>0</v>
      </c>
      <c r="AJ90" s="91">
        <f t="shared" si="39"/>
        <v>0</v>
      </c>
      <c r="AK90" s="91">
        <f t="shared" si="40"/>
        <v>0</v>
      </c>
      <c r="AL90" s="91">
        <f t="shared" si="41"/>
        <v>0</v>
      </c>
      <c r="AM90" s="91">
        <f t="shared" si="42"/>
        <v>0</v>
      </c>
      <c r="AN90" s="91">
        <f t="shared" si="43"/>
        <v>0</v>
      </c>
      <c r="AO90" s="91">
        <f t="shared" si="44"/>
        <v>0</v>
      </c>
      <c r="AP90" s="91">
        <f t="shared" si="45"/>
        <v>0</v>
      </c>
      <c r="AQ90" s="92">
        <f t="shared" si="46"/>
        <v>0</v>
      </c>
      <c r="AR90" s="92">
        <f t="shared" si="47"/>
        <v>0</v>
      </c>
      <c r="AS90" s="92">
        <f t="shared" si="48"/>
        <v>0</v>
      </c>
      <c r="AT90" s="92">
        <f t="shared" si="49"/>
        <v>0</v>
      </c>
      <c r="AU90" s="92">
        <f t="shared" si="50"/>
        <v>0</v>
      </c>
      <c r="AV90" s="93">
        <f t="shared" si="51"/>
        <v>0</v>
      </c>
    </row>
    <row r="91" spans="33:48">
      <c r="AG91" s="91" t="e">
        <f t="shared" si="36"/>
        <v>#VALUE!</v>
      </c>
      <c r="AH91" s="91" t="e">
        <f t="shared" si="37"/>
        <v>#VALUE!</v>
      </c>
      <c r="AI91" s="91">
        <f t="shared" si="38"/>
        <v>0</v>
      </c>
      <c r="AJ91" s="91">
        <f t="shared" si="39"/>
        <v>0</v>
      </c>
      <c r="AK91" s="91">
        <f t="shared" si="40"/>
        <v>0</v>
      </c>
      <c r="AL91" s="91">
        <f t="shared" si="41"/>
        <v>0</v>
      </c>
      <c r="AM91" s="91">
        <f t="shared" si="42"/>
        <v>0</v>
      </c>
      <c r="AN91" s="91">
        <f t="shared" si="43"/>
        <v>0</v>
      </c>
      <c r="AO91" s="91">
        <f t="shared" si="44"/>
        <v>0</v>
      </c>
      <c r="AP91" s="91">
        <f t="shared" si="45"/>
        <v>0</v>
      </c>
      <c r="AQ91" s="92">
        <f t="shared" si="46"/>
        <v>0</v>
      </c>
      <c r="AR91" s="92">
        <f t="shared" si="47"/>
        <v>0</v>
      </c>
      <c r="AS91" s="92">
        <f t="shared" si="48"/>
        <v>0</v>
      </c>
      <c r="AT91" s="92">
        <f t="shared" si="49"/>
        <v>0</v>
      </c>
      <c r="AU91" s="92">
        <f t="shared" si="50"/>
        <v>0</v>
      </c>
      <c r="AV91" s="93">
        <f t="shared" si="51"/>
        <v>0</v>
      </c>
    </row>
    <row r="92" spans="33:48">
      <c r="AG92" s="91" t="e">
        <f t="shared" si="36"/>
        <v>#VALUE!</v>
      </c>
      <c r="AH92" s="91" t="e">
        <f t="shared" si="37"/>
        <v>#VALUE!</v>
      </c>
      <c r="AI92" s="91">
        <f t="shared" si="38"/>
        <v>0</v>
      </c>
      <c r="AJ92" s="91">
        <f t="shared" si="39"/>
        <v>0</v>
      </c>
      <c r="AK92" s="91">
        <f t="shared" si="40"/>
        <v>0</v>
      </c>
      <c r="AL92" s="91">
        <f t="shared" si="41"/>
        <v>0</v>
      </c>
      <c r="AM92" s="91">
        <f t="shared" si="42"/>
        <v>0</v>
      </c>
      <c r="AN92" s="91">
        <f t="shared" si="43"/>
        <v>0</v>
      </c>
      <c r="AO92" s="91">
        <f t="shared" si="44"/>
        <v>0</v>
      </c>
      <c r="AP92" s="91">
        <f t="shared" si="45"/>
        <v>0</v>
      </c>
      <c r="AQ92" s="92">
        <f t="shared" si="46"/>
        <v>0</v>
      </c>
      <c r="AR92" s="92">
        <f t="shared" si="47"/>
        <v>0</v>
      </c>
      <c r="AS92" s="92">
        <f t="shared" si="48"/>
        <v>0</v>
      </c>
      <c r="AT92" s="92">
        <f t="shared" si="49"/>
        <v>0</v>
      </c>
      <c r="AU92" s="92">
        <f t="shared" si="50"/>
        <v>0</v>
      </c>
      <c r="AV92" s="93">
        <f t="shared" si="51"/>
        <v>0</v>
      </c>
    </row>
    <row r="93" spans="33:48">
      <c r="AG93" s="91" t="e">
        <f t="shared" si="36"/>
        <v>#VALUE!</v>
      </c>
      <c r="AH93" s="91" t="e">
        <f t="shared" si="37"/>
        <v>#VALUE!</v>
      </c>
      <c r="AI93" s="91">
        <f t="shared" si="38"/>
        <v>0</v>
      </c>
      <c r="AJ93" s="91">
        <f t="shared" si="39"/>
        <v>0</v>
      </c>
      <c r="AK93" s="91">
        <f t="shared" si="40"/>
        <v>0</v>
      </c>
      <c r="AL93" s="91">
        <f t="shared" si="41"/>
        <v>0</v>
      </c>
      <c r="AM93" s="91">
        <f t="shared" si="42"/>
        <v>0</v>
      </c>
      <c r="AN93" s="91">
        <f t="shared" si="43"/>
        <v>0</v>
      </c>
      <c r="AO93" s="91">
        <f t="shared" si="44"/>
        <v>0</v>
      </c>
      <c r="AP93" s="91">
        <f t="shared" si="45"/>
        <v>0</v>
      </c>
      <c r="AQ93" s="92">
        <f t="shared" si="46"/>
        <v>0</v>
      </c>
      <c r="AR93" s="92">
        <f t="shared" si="47"/>
        <v>0</v>
      </c>
      <c r="AS93" s="92">
        <f t="shared" si="48"/>
        <v>0</v>
      </c>
      <c r="AT93" s="92">
        <f t="shared" si="49"/>
        <v>0</v>
      </c>
      <c r="AU93" s="92">
        <f t="shared" si="50"/>
        <v>0</v>
      </c>
      <c r="AV93" s="93">
        <f t="shared" si="51"/>
        <v>0</v>
      </c>
    </row>
    <row r="94" spans="33:48">
      <c r="AG94" s="91" t="e">
        <f t="shared" si="36"/>
        <v>#VALUE!</v>
      </c>
      <c r="AH94" s="91" t="e">
        <f t="shared" si="37"/>
        <v>#VALUE!</v>
      </c>
      <c r="AI94" s="91">
        <f t="shared" si="38"/>
        <v>0</v>
      </c>
      <c r="AJ94" s="91">
        <f t="shared" si="39"/>
        <v>0</v>
      </c>
      <c r="AK94" s="91">
        <f t="shared" si="40"/>
        <v>0</v>
      </c>
      <c r="AL94" s="91">
        <f t="shared" si="41"/>
        <v>0</v>
      </c>
      <c r="AM94" s="91">
        <f t="shared" si="42"/>
        <v>0</v>
      </c>
      <c r="AN94" s="91">
        <f t="shared" si="43"/>
        <v>0</v>
      </c>
      <c r="AO94" s="91">
        <f t="shared" si="44"/>
        <v>0</v>
      </c>
      <c r="AP94" s="91">
        <f t="shared" si="45"/>
        <v>0</v>
      </c>
      <c r="AQ94" s="92">
        <f t="shared" si="46"/>
        <v>0</v>
      </c>
      <c r="AR94" s="92">
        <f t="shared" si="47"/>
        <v>0</v>
      </c>
      <c r="AS94" s="92">
        <f t="shared" si="48"/>
        <v>0</v>
      </c>
      <c r="AT94" s="92">
        <f t="shared" si="49"/>
        <v>0</v>
      </c>
      <c r="AU94" s="92">
        <f t="shared" si="50"/>
        <v>0</v>
      </c>
      <c r="AV94" s="93">
        <f t="shared" si="51"/>
        <v>0</v>
      </c>
    </row>
    <row r="95" spans="33:48">
      <c r="AG95" s="91" t="e">
        <f t="shared" si="36"/>
        <v>#VALUE!</v>
      </c>
      <c r="AH95" s="91" t="e">
        <f t="shared" si="37"/>
        <v>#VALUE!</v>
      </c>
      <c r="AI95" s="91">
        <f t="shared" si="38"/>
        <v>0</v>
      </c>
      <c r="AJ95" s="91">
        <f t="shared" si="39"/>
        <v>0</v>
      </c>
      <c r="AK95" s="91">
        <f t="shared" si="40"/>
        <v>0</v>
      </c>
      <c r="AL95" s="91">
        <f t="shared" si="41"/>
        <v>0</v>
      </c>
      <c r="AM95" s="91">
        <f t="shared" si="42"/>
        <v>0</v>
      </c>
      <c r="AN95" s="91">
        <f t="shared" si="43"/>
        <v>0</v>
      </c>
      <c r="AO95" s="91">
        <f t="shared" si="44"/>
        <v>0</v>
      </c>
      <c r="AP95" s="91">
        <f t="shared" si="45"/>
        <v>0</v>
      </c>
      <c r="AQ95" s="92">
        <f t="shared" si="46"/>
        <v>0</v>
      </c>
      <c r="AR95" s="92">
        <f t="shared" si="47"/>
        <v>0</v>
      </c>
      <c r="AS95" s="92">
        <f t="shared" si="48"/>
        <v>0</v>
      </c>
      <c r="AT95" s="92">
        <f t="shared" si="49"/>
        <v>0</v>
      </c>
      <c r="AU95" s="92">
        <f t="shared" si="50"/>
        <v>0</v>
      </c>
      <c r="AV95" s="93">
        <f t="shared" si="51"/>
        <v>0</v>
      </c>
    </row>
    <row r="96" spans="33:48">
      <c r="AG96" s="91" t="e">
        <f t="shared" si="36"/>
        <v>#VALUE!</v>
      </c>
      <c r="AH96" s="91" t="e">
        <f t="shared" si="37"/>
        <v>#VALUE!</v>
      </c>
      <c r="AI96" s="91">
        <f t="shared" si="38"/>
        <v>0</v>
      </c>
      <c r="AJ96" s="91">
        <f t="shared" si="39"/>
        <v>0</v>
      </c>
      <c r="AK96" s="91">
        <f t="shared" si="40"/>
        <v>0</v>
      </c>
      <c r="AL96" s="91">
        <f t="shared" si="41"/>
        <v>0</v>
      </c>
      <c r="AM96" s="91">
        <f t="shared" si="42"/>
        <v>0</v>
      </c>
      <c r="AN96" s="91">
        <f t="shared" si="43"/>
        <v>0</v>
      </c>
      <c r="AO96" s="91">
        <f t="shared" si="44"/>
        <v>0</v>
      </c>
      <c r="AP96" s="91">
        <f t="shared" si="45"/>
        <v>0</v>
      </c>
      <c r="AQ96" s="92">
        <f t="shared" si="46"/>
        <v>0</v>
      </c>
      <c r="AR96" s="92">
        <f t="shared" si="47"/>
        <v>0</v>
      </c>
      <c r="AS96" s="92">
        <f t="shared" si="48"/>
        <v>0</v>
      </c>
      <c r="AT96" s="92">
        <f t="shared" si="49"/>
        <v>0</v>
      </c>
      <c r="AU96" s="92">
        <f t="shared" si="50"/>
        <v>0</v>
      </c>
      <c r="AV96" s="93">
        <f t="shared" si="51"/>
        <v>0</v>
      </c>
    </row>
    <row r="97" spans="33:48">
      <c r="AG97" s="91" t="e">
        <f t="shared" si="36"/>
        <v>#VALUE!</v>
      </c>
      <c r="AH97" s="91" t="e">
        <f t="shared" si="37"/>
        <v>#VALUE!</v>
      </c>
      <c r="AI97" s="91">
        <f t="shared" si="38"/>
        <v>0</v>
      </c>
      <c r="AJ97" s="91">
        <f t="shared" si="39"/>
        <v>0</v>
      </c>
      <c r="AK97" s="91">
        <f t="shared" si="40"/>
        <v>0</v>
      </c>
      <c r="AL97" s="91">
        <f t="shared" si="41"/>
        <v>0</v>
      </c>
      <c r="AM97" s="91">
        <f t="shared" si="42"/>
        <v>0</v>
      </c>
      <c r="AN97" s="91">
        <f t="shared" si="43"/>
        <v>0</v>
      </c>
      <c r="AO97" s="91">
        <f t="shared" si="44"/>
        <v>0</v>
      </c>
      <c r="AP97" s="91">
        <f t="shared" si="45"/>
        <v>0</v>
      </c>
      <c r="AQ97" s="92">
        <f t="shared" si="46"/>
        <v>0</v>
      </c>
      <c r="AR97" s="92">
        <f t="shared" si="47"/>
        <v>0</v>
      </c>
      <c r="AS97" s="92">
        <f t="shared" si="48"/>
        <v>0</v>
      </c>
      <c r="AT97" s="92">
        <f t="shared" si="49"/>
        <v>0</v>
      </c>
      <c r="AU97" s="92">
        <f t="shared" si="50"/>
        <v>0</v>
      </c>
      <c r="AV97" s="93">
        <f t="shared" si="51"/>
        <v>0</v>
      </c>
    </row>
    <row r="98" spans="33:48">
      <c r="AG98" s="91" t="e">
        <f t="shared" si="36"/>
        <v>#VALUE!</v>
      </c>
      <c r="AH98" s="91" t="e">
        <f t="shared" si="37"/>
        <v>#VALUE!</v>
      </c>
      <c r="AI98" s="91">
        <f t="shared" si="38"/>
        <v>0</v>
      </c>
      <c r="AJ98" s="91">
        <f t="shared" si="39"/>
        <v>0</v>
      </c>
      <c r="AK98" s="91">
        <f t="shared" si="40"/>
        <v>0</v>
      </c>
      <c r="AL98" s="91">
        <f t="shared" si="41"/>
        <v>0</v>
      </c>
      <c r="AM98" s="91">
        <f t="shared" si="42"/>
        <v>0</v>
      </c>
      <c r="AN98" s="91">
        <f t="shared" si="43"/>
        <v>0</v>
      </c>
      <c r="AO98" s="91">
        <f t="shared" si="44"/>
        <v>0</v>
      </c>
      <c r="AP98" s="91">
        <f t="shared" si="45"/>
        <v>0</v>
      </c>
      <c r="AQ98" s="92">
        <f t="shared" si="46"/>
        <v>0</v>
      </c>
      <c r="AR98" s="92">
        <f t="shared" si="47"/>
        <v>0</v>
      </c>
      <c r="AS98" s="92">
        <f t="shared" si="48"/>
        <v>0</v>
      </c>
      <c r="AT98" s="92">
        <f t="shared" si="49"/>
        <v>0</v>
      </c>
      <c r="AU98" s="92">
        <f t="shared" si="50"/>
        <v>0</v>
      </c>
      <c r="AV98" s="93">
        <f t="shared" si="51"/>
        <v>0</v>
      </c>
    </row>
    <row r="99" spans="33:48" ht="15.75" customHeight="1" thickBot="1">
      <c r="AG99" s="94" t="e">
        <f t="shared" si="36"/>
        <v>#VALUE!</v>
      </c>
      <c r="AH99" s="94" t="e">
        <f t="shared" si="37"/>
        <v>#VALUE!</v>
      </c>
      <c r="AI99" s="94">
        <f t="shared" si="38"/>
        <v>0</v>
      </c>
      <c r="AJ99" s="94">
        <f t="shared" si="39"/>
        <v>0</v>
      </c>
      <c r="AK99" s="94">
        <f t="shared" si="40"/>
        <v>0</v>
      </c>
      <c r="AL99" s="94">
        <f t="shared" si="41"/>
        <v>0</v>
      </c>
      <c r="AM99" s="94">
        <f t="shared" si="42"/>
        <v>0</v>
      </c>
      <c r="AN99" s="94">
        <f t="shared" si="43"/>
        <v>0</v>
      </c>
      <c r="AO99" s="94">
        <f t="shared" si="44"/>
        <v>0</v>
      </c>
      <c r="AP99" s="94">
        <f t="shared" si="45"/>
        <v>0</v>
      </c>
      <c r="AQ99" s="95">
        <f t="shared" si="46"/>
        <v>0</v>
      </c>
      <c r="AR99" s="95">
        <f t="shared" si="47"/>
        <v>0</v>
      </c>
      <c r="AS99" s="95">
        <f t="shared" si="48"/>
        <v>0</v>
      </c>
      <c r="AT99" s="95">
        <f t="shared" si="49"/>
        <v>0</v>
      </c>
      <c r="AU99" s="95">
        <f t="shared" si="50"/>
        <v>0</v>
      </c>
      <c r="AV99" s="96">
        <f t="shared" si="51"/>
        <v>0</v>
      </c>
    </row>
    <row r="100" spans="33:48">
      <c r="AG100" s="91" t="e">
        <f t="shared" ref="AG100:AV103" si="52">AG45-L45</f>
        <v>#VALUE!</v>
      </c>
      <c r="AH100" s="91" t="e">
        <f t="shared" si="52"/>
        <v>#VALUE!</v>
      </c>
      <c r="AI100" s="91">
        <f t="shared" si="52"/>
        <v>0</v>
      </c>
      <c r="AJ100" s="91">
        <f t="shared" si="52"/>
        <v>0</v>
      </c>
      <c r="AK100" s="91">
        <f t="shared" si="52"/>
        <v>0</v>
      </c>
      <c r="AL100" s="91">
        <f t="shared" si="52"/>
        <v>0</v>
      </c>
      <c r="AM100" s="91">
        <f t="shared" si="52"/>
        <v>0</v>
      </c>
      <c r="AN100" s="91">
        <f t="shared" si="52"/>
        <v>0</v>
      </c>
      <c r="AO100" s="91">
        <f t="shared" si="52"/>
        <v>0</v>
      </c>
      <c r="AP100" s="91">
        <f t="shared" si="52"/>
        <v>0</v>
      </c>
      <c r="AQ100" s="92">
        <f t="shared" si="52"/>
        <v>0</v>
      </c>
      <c r="AR100" s="92">
        <f t="shared" si="52"/>
        <v>0</v>
      </c>
      <c r="AS100" s="92">
        <f t="shared" si="52"/>
        <v>0</v>
      </c>
      <c r="AT100" s="92">
        <f t="shared" si="52"/>
        <v>0</v>
      </c>
      <c r="AU100" s="92">
        <f t="shared" si="52"/>
        <v>0</v>
      </c>
      <c r="AV100" s="93">
        <f t="shared" si="52"/>
        <v>0</v>
      </c>
    </row>
    <row r="101" spans="33:48">
      <c r="AG101" s="91" t="e">
        <f t="shared" si="52"/>
        <v>#VALUE!</v>
      </c>
      <c r="AH101" s="91" t="e">
        <f t="shared" si="52"/>
        <v>#VALUE!</v>
      </c>
      <c r="AI101" s="91">
        <f t="shared" si="52"/>
        <v>0</v>
      </c>
      <c r="AJ101" s="91">
        <f t="shared" si="52"/>
        <v>0</v>
      </c>
      <c r="AK101" s="91">
        <f t="shared" si="52"/>
        <v>0</v>
      </c>
      <c r="AL101" s="91">
        <f t="shared" si="52"/>
        <v>0</v>
      </c>
      <c r="AM101" s="91">
        <f t="shared" si="52"/>
        <v>0</v>
      </c>
      <c r="AN101" s="91">
        <f t="shared" si="52"/>
        <v>0</v>
      </c>
      <c r="AO101" s="91">
        <f t="shared" si="52"/>
        <v>0</v>
      </c>
      <c r="AP101" s="91">
        <f t="shared" si="52"/>
        <v>0</v>
      </c>
      <c r="AQ101" s="92">
        <f t="shared" si="52"/>
        <v>0</v>
      </c>
      <c r="AR101" s="92">
        <f t="shared" si="52"/>
        <v>0</v>
      </c>
      <c r="AS101" s="92">
        <f t="shared" si="52"/>
        <v>0</v>
      </c>
      <c r="AT101" s="92">
        <f t="shared" si="52"/>
        <v>0</v>
      </c>
      <c r="AU101" s="92">
        <f t="shared" si="52"/>
        <v>0</v>
      </c>
      <c r="AV101" s="93">
        <f t="shared" si="52"/>
        <v>0</v>
      </c>
    </row>
    <row r="102" spans="33:48">
      <c r="AG102" s="91" t="e">
        <f t="shared" si="52"/>
        <v>#VALUE!</v>
      </c>
      <c r="AH102" s="91" t="e">
        <f t="shared" si="52"/>
        <v>#VALUE!</v>
      </c>
      <c r="AI102" s="91">
        <f t="shared" si="52"/>
        <v>0</v>
      </c>
      <c r="AJ102" s="91">
        <f t="shared" si="52"/>
        <v>0</v>
      </c>
      <c r="AK102" s="91">
        <f t="shared" si="52"/>
        <v>0</v>
      </c>
      <c r="AL102" s="91">
        <f t="shared" si="52"/>
        <v>0</v>
      </c>
      <c r="AM102" s="91">
        <f t="shared" si="52"/>
        <v>0</v>
      </c>
      <c r="AN102" s="91">
        <f t="shared" si="52"/>
        <v>0</v>
      </c>
      <c r="AO102" s="91">
        <f t="shared" si="52"/>
        <v>0</v>
      </c>
      <c r="AP102" s="91">
        <f t="shared" si="52"/>
        <v>0</v>
      </c>
      <c r="AQ102" s="92">
        <f t="shared" si="52"/>
        <v>0</v>
      </c>
      <c r="AR102" s="92">
        <f t="shared" si="52"/>
        <v>0</v>
      </c>
      <c r="AS102" s="92">
        <f t="shared" si="52"/>
        <v>0</v>
      </c>
      <c r="AT102" s="92">
        <f t="shared" si="52"/>
        <v>0</v>
      </c>
      <c r="AU102" s="92">
        <f t="shared" si="52"/>
        <v>0</v>
      </c>
      <c r="AV102" s="93">
        <f t="shared" si="52"/>
        <v>0</v>
      </c>
    </row>
    <row r="103" spans="33:48">
      <c r="AG103" s="91" t="e">
        <f t="shared" si="52"/>
        <v>#VALUE!</v>
      </c>
      <c r="AH103" s="91" t="e">
        <f t="shared" si="52"/>
        <v>#VALUE!</v>
      </c>
      <c r="AI103" s="91">
        <f t="shared" si="52"/>
        <v>0</v>
      </c>
      <c r="AJ103" s="91">
        <f t="shared" si="52"/>
        <v>0</v>
      </c>
      <c r="AK103" s="91">
        <f t="shared" si="52"/>
        <v>0</v>
      </c>
      <c r="AL103" s="91">
        <f t="shared" si="52"/>
        <v>0</v>
      </c>
      <c r="AM103" s="91">
        <f t="shared" si="52"/>
        <v>0</v>
      </c>
      <c r="AN103" s="91">
        <f t="shared" si="52"/>
        <v>0</v>
      </c>
      <c r="AO103" s="91">
        <f t="shared" si="52"/>
        <v>0</v>
      </c>
      <c r="AP103" s="91">
        <f t="shared" si="52"/>
        <v>0</v>
      </c>
      <c r="AQ103" s="92">
        <f t="shared" si="52"/>
        <v>0</v>
      </c>
      <c r="AR103" s="92">
        <f t="shared" si="52"/>
        <v>0</v>
      </c>
      <c r="AS103" s="92">
        <f t="shared" si="52"/>
        <v>0</v>
      </c>
      <c r="AT103" s="92">
        <f t="shared" si="52"/>
        <v>0</v>
      </c>
      <c r="AU103" s="92">
        <f t="shared" si="52"/>
        <v>0</v>
      </c>
      <c r="AV103" s="93">
        <f t="shared" si="52"/>
        <v>0</v>
      </c>
    </row>
    <row r="104" spans="33:48" ht="15" thickBot="1">
      <c r="AG104" s="94" t="e">
        <f t="shared" ref="AG104:AV104" si="53">AG49-L49</f>
        <v>#VALUE!</v>
      </c>
      <c r="AH104" s="94" t="e">
        <f t="shared" si="53"/>
        <v>#VALUE!</v>
      </c>
      <c r="AI104" s="94">
        <f t="shared" si="53"/>
        <v>0</v>
      </c>
      <c r="AJ104" s="94">
        <f t="shared" si="53"/>
        <v>0</v>
      </c>
      <c r="AK104" s="94">
        <f t="shared" si="53"/>
        <v>0</v>
      </c>
      <c r="AL104" s="94">
        <f t="shared" si="53"/>
        <v>0</v>
      </c>
      <c r="AM104" s="94">
        <f t="shared" si="53"/>
        <v>0</v>
      </c>
      <c r="AN104" s="94">
        <f t="shared" si="53"/>
        <v>0</v>
      </c>
      <c r="AO104" s="94">
        <f t="shared" si="53"/>
        <v>0</v>
      </c>
      <c r="AP104" s="94">
        <f t="shared" si="53"/>
        <v>0</v>
      </c>
      <c r="AQ104" s="95">
        <f t="shared" si="53"/>
        <v>0</v>
      </c>
      <c r="AR104" s="95">
        <f t="shared" si="53"/>
        <v>0</v>
      </c>
      <c r="AS104" s="95">
        <f t="shared" si="53"/>
        <v>0</v>
      </c>
      <c r="AT104" s="95">
        <f t="shared" si="53"/>
        <v>0</v>
      </c>
      <c r="AU104" s="95">
        <f t="shared" si="53"/>
        <v>0</v>
      </c>
      <c r="AV104" s="96">
        <f t="shared" si="53"/>
        <v>0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0:AZ52 AZ54:BF54">
    <cfRule type="cellIs" dxfId="111" priority="75" operator="greaterThanOrEqual">
      <formula>0.03</formula>
    </cfRule>
    <cfRule type="cellIs" dxfId="110" priority="76" operator="lessThanOrEqual">
      <formula>-0.03</formula>
    </cfRule>
  </conditionalFormatting>
  <conditionalFormatting sqref="BA50:BA52">
    <cfRule type="cellIs" dxfId="109" priority="71" operator="greaterThanOrEqual">
      <formula>0.03</formula>
    </cfRule>
    <cfRule type="cellIs" dxfId="108" priority="72" operator="lessThanOrEqual">
      <formula>-0.03</formula>
    </cfRule>
  </conditionalFormatting>
  <conditionalFormatting sqref="BB50:BB52">
    <cfRule type="cellIs" dxfId="107" priority="79" operator="greaterThanOrEqual">
      <formula>0.03</formula>
    </cfRule>
    <cfRule type="cellIs" dxfId="106" priority="80" operator="lessThanOrEqual">
      <formula>-0.03</formula>
    </cfRule>
  </conditionalFormatting>
  <conditionalFormatting sqref="BC50:BC52">
    <cfRule type="cellIs" dxfId="105" priority="81" operator="greaterThanOrEqual">
      <formula>0.03</formula>
    </cfRule>
    <cfRule type="cellIs" dxfId="104" priority="82" operator="lessThanOrEqual">
      <formula>-0.03</formula>
    </cfRule>
  </conditionalFormatting>
  <conditionalFormatting sqref="BD50:BD52">
    <cfRule type="cellIs" dxfId="103" priority="73" operator="greaterThanOrEqual">
      <formula>0.03</formula>
    </cfRule>
    <cfRule type="cellIs" dxfId="102" priority="74" operator="lessThanOrEqual">
      <formula>-0.03</formula>
    </cfRule>
  </conditionalFormatting>
  <conditionalFormatting sqref="BE50:BE52">
    <cfRule type="cellIs" dxfId="101" priority="83" operator="greaterThanOrEqual">
      <formula>0.03</formula>
    </cfRule>
    <cfRule type="cellIs" dxfId="100" priority="84" operator="lessThanOrEqual">
      <formula>-0.03</formula>
    </cfRule>
  </conditionalFormatting>
  <conditionalFormatting sqref="BF50:BF52">
    <cfRule type="cellIs" dxfId="99" priority="77" operator="greaterThanOrEqual">
      <formula>0.03</formula>
    </cfRule>
    <cfRule type="cellIs" dxfId="98" priority="78" operator="lessThanOrEqual">
      <formula>-0.03</formula>
    </cfRule>
  </conditionalFormatting>
  <conditionalFormatting sqref="J5:J50">
    <cfRule type="expression" dxfId="97" priority="70">
      <formula>OR(J5 &lt; H5 * 0.9, J5 &gt; H5)</formula>
    </cfRule>
  </conditionalFormatting>
  <conditionalFormatting sqref="AE5:AE50">
    <cfRule type="expression" dxfId="96" priority="69">
      <formula>OR(AE5 &lt; H5 * 0.9, AE5 &gt; H5)</formula>
    </cfRule>
  </conditionalFormatting>
  <conditionalFormatting sqref="BP5:BP52 BP54:BT54">
    <cfRule type="cellIs" dxfId="95" priority="67" operator="greaterThanOrEqual">
      <formula>0.001</formula>
    </cfRule>
    <cfRule type="cellIs" dxfId="94" priority="68" operator="lessThanOrEqual">
      <formula>-0.001</formula>
    </cfRule>
  </conditionalFormatting>
  <conditionalFormatting sqref="BQ5:BQ52">
    <cfRule type="cellIs" dxfId="93" priority="65" operator="greaterThanOrEqual">
      <formula>0.001</formula>
    </cfRule>
    <cfRule type="cellIs" dxfId="92" priority="66" operator="lessThanOrEqual">
      <formula>-0.001</formula>
    </cfRule>
  </conditionalFormatting>
  <conditionalFormatting sqref="BR5:BR52">
    <cfRule type="cellIs" dxfId="91" priority="63" operator="greaterThanOrEqual">
      <formula>0.001</formula>
    </cfRule>
    <cfRule type="cellIs" dxfId="90" priority="64" operator="lessThanOrEqual">
      <formula>-0.001</formula>
    </cfRule>
  </conditionalFormatting>
  <conditionalFormatting sqref="BS5:BS52">
    <cfRule type="cellIs" dxfId="89" priority="61" operator="greaterThanOrEqual">
      <formula>0.001</formula>
    </cfRule>
    <cfRule type="cellIs" dxfId="88" priority="62" operator="lessThanOrEqual">
      <formula>-0.001</formula>
    </cfRule>
  </conditionalFormatting>
  <conditionalFormatting sqref="AG60:AQ99">
    <cfRule type="cellIs" dxfId="87" priority="59" operator="lessThan">
      <formula>0</formula>
    </cfRule>
    <cfRule type="cellIs" dxfId="86" priority="60" operator="greaterThan">
      <formula>0</formula>
    </cfRule>
  </conditionalFormatting>
  <conditionalFormatting sqref="AR60:AV99">
    <cfRule type="cellIs" dxfId="85" priority="57" operator="lessThan">
      <formula>0</formula>
    </cfRule>
    <cfRule type="cellIs" dxfId="84" priority="58" operator="greaterThan">
      <formula>0</formula>
    </cfRule>
  </conditionalFormatting>
  <conditionalFormatting sqref="L5:L49">
    <cfRule type="expression" dxfId="83" priority="54">
      <formula>NOT(L5=O5)</formula>
    </cfRule>
  </conditionalFormatting>
  <conditionalFormatting sqref="AG5:AG49">
    <cfRule type="expression" dxfId="82" priority="53">
      <formula>NOT(AG5=AJ5)</formula>
    </cfRule>
  </conditionalFormatting>
  <conditionalFormatting sqref="BH50:BH52 BH54:BN54">
    <cfRule type="cellIs" dxfId="81" priority="43" operator="greaterThanOrEqual">
      <formula>0.03</formula>
    </cfRule>
    <cfRule type="cellIs" dxfId="80" priority="44" operator="lessThanOrEqual">
      <formula>-0.03</formula>
    </cfRule>
  </conditionalFormatting>
  <conditionalFormatting sqref="BI50:BI52">
    <cfRule type="cellIs" dxfId="79" priority="39" operator="greaterThanOrEqual">
      <formula>0.03</formula>
    </cfRule>
    <cfRule type="cellIs" dxfId="78" priority="40" operator="lessThanOrEqual">
      <formula>-0.03</formula>
    </cfRule>
  </conditionalFormatting>
  <conditionalFormatting sqref="BJ50:BJ52">
    <cfRule type="cellIs" dxfId="77" priority="47" operator="greaterThanOrEqual">
      <formula>0.03</formula>
    </cfRule>
    <cfRule type="cellIs" dxfId="76" priority="48" operator="lessThanOrEqual">
      <formula>-0.03</formula>
    </cfRule>
  </conditionalFormatting>
  <conditionalFormatting sqref="BK50:BK52">
    <cfRule type="cellIs" dxfId="75" priority="49" operator="greaterThanOrEqual">
      <formula>0.03</formula>
    </cfRule>
    <cfRule type="cellIs" dxfId="74" priority="50" operator="lessThanOrEqual">
      <formula>-0.03</formula>
    </cfRule>
  </conditionalFormatting>
  <conditionalFormatting sqref="BL50:BL5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BM50:BM52">
    <cfRule type="cellIs" dxfId="71" priority="51" operator="greaterThanOrEqual">
      <formula>0.03</formula>
    </cfRule>
    <cfRule type="cellIs" dxfId="70" priority="52" operator="lessThanOrEqual">
      <formula>-0.03</formula>
    </cfRule>
  </conditionalFormatting>
  <conditionalFormatting sqref="BN50:BN52">
    <cfRule type="cellIs" dxfId="69" priority="45" operator="greaterThanOrEqual">
      <formula>0.03</formula>
    </cfRule>
    <cfRule type="cellIs" dxfId="68" priority="46" operator="lessThanOrEqual">
      <formula>-0.03</formula>
    </cfRule>
  </conditionalFormatting>
  <conditionalFormatting sqref="BT5:BT52">
    <cfRule type="cellIs" dxfId="67" priority="37" operator="greaterThanOrEqual">
      <formula>0.001</formula>
    </cfRule>
    <cfRule type="cellIs" dxfId="66" priority="38" operator="lessThanOrEqual">
      <formula>-0.001</formula>
    </cfRule>
  </conditionalFormatting>
  <conditionalFormatting sqref="AZ5:AZ49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BA5:BA49">
    <cfRule type="cellIs" dxfId="63" priority="25" operator="greaterThanOrEqual">
      <formula>0.03</formula>
    </cfRule>
    <cfRule type="cellIs" dxfId="62" priority="26" operator="lessThanOrEqual">
      <formula>-0.03</formula>
    </cfRule>
  </conditionalFormatting>
  <conditionalFormatting sqref="BB5:BB49">
    <cfRule type="cellIs" dxfId="61" priority="33" operator="greaterThanOrEqual">
      <formula>0.03</formula>
    </cfRule>
    <cfRule type="cellIs" dxfId="60" priority="34" operator="lessThanOrEqual">
      <formula>-0.03</formula>
    </cfRule>
  </conditionalFormatting>
  <conditionalFormatting sqref="BC5:BC4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BD5:BD49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BE5:BE49">
    <cfRule type="cellIs" dxfId="55" priority="29" operator="greaterThanOrEqual">
      <formula>0.03</formula>
    </cfRule>
    <cfRule type="cellIs" dxfId="54" priority="30" operator="lessThanOrEqual">
      <formula>-0.03</formula>
    </cfRule>
  </conditionalFormatting>
  <conditionalFormatting sqref="BF5:BF49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H5:BH49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I5:BI49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conditionalFormatting sqref="BJ5:BJ49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K5:BK49">
    <cfRule type="cellIs" dxfId="45" priority="19" operator="greaterThanOrEqual">
      <formula>0.03</formula>
    </cfRule>
    <cfRule type="cellIs" dxfId="44" priority="20" operator="lessThanOrEqual">
      <formula>-0.03</formula>
    </cfRule>
  </conditionalFormatting>
  <conditionalFormatting sqref="BL5:BL49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BM5:BM49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N5:BN49">
    <cfRule type="cellIs" dxfId="39" priority="15" operator="greaterThanOrEqual">
      <formula>0.03</formula>
    </cfRule>
    <cfRule type="cellIs" dxfId="38" priority="16" operator="lessThanOrEqual">
      <formula>-0.03</formula>
    </cfRule>
  </conditionalFormatting>
  <conditionalFormatting sqref="AZ53:BN53">
    <cfRule type="cellIs" dxfId="37" priority="7" operator="greaterThanOrEqual">
      <formula>0.03</formula>
    </cfRule>
    <cfRule type="cellIs" dxfId="36" priority="8" operator="lessThanOrEqual">
      <formula>-0.03</formula>
    </cfRule>
  </conditionalFormatting>
  <conditionalFormatting sqref="BP53:BT53">
    <cfRule type="cellIs" dxfId="35" priority="5" operator="greaterThanOrEqual">
      <formula>0.001</formula>
    </cfRule>
    <cfRule type="cellIs" dxfId="34" priority="6" operator="lessThanOrEqual">
      <formula>-0.001</formula>
    </cfRule>
  </conditionalFormatting>
  <conditionalFormatting sqref="AG100:AQ104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100:AV104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tabSelected="1" workbookViewId="0">
      <selection activeCell="D17" sqref="D17"/>
    </sheetView>
  </sheetViews>
  <sheetFormatPr defaultRowHeight="14.5"/>
  <sheetData>
    <row r="1" spans="1:16" ht="15.75" customHeight="1" thickBot="1">
      <c r="C1" s="143" t="s">
        <v>334</v>
      </c>
      <c r="D1" s="144"/>
      <c r="E1" s="144"/>
      <c r="F1" s="144"/>
      <c r="G1" s="144"/>
      <c r="H1" s="144"/>
      <c r="I1" s="142"/>
      <c r="J1" s="143" t="s">
        <v>369</v>
      </c>
      <c r="K1" s="144"/>
      <c r="L1" s="144"/>
      <c r="M1" s="144"/>
      <c r="N1" s="144"/>
      <c r="O1" s="144"/>
      <c r="P1" s="142"/>
    </row>
    <row r="2" spans="1:16" ht="15.75" customHeight="1" thickBot="1">
      <c r="A2" s="145" t="s">
        <v>151</v>
      </c>
      <c r="B2" s="147" t="s">
        <v>152</v>
      </c>
      <c r="C2" s="148" t="s">
        <v>15</v>
      </c>
      <c r="D2" s="132"/>
      <c r="E2" s="132"/>
      <c r="F2" s="132"/>
      <c r="G2" s="132"/>
      <c r="H2" s="149" t="s">
        <v>16</v>
      </c>
      <c r="I2" s="150"/>
      <c r="J2" s="148" t="s">
        <v>15</v>
      </c>
      <c r="K2" s="132"/>
      <c r="L2" s="132"/>
      <c r="M2" s="132"/>
      <c r="N2" s="132"/>
      <c r="O2" s="149" t="s">
        <v>16</v>
      </c>
      <c r="P2" s="150"/>
    </row>
    <row r="3" spans="1:16" ht="30.75" customHeight="1" thickBot="1">
      <c r="A3" s="146"/>
      <c r="B3" s="135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>
      <c r="A4" s="63" t="s">
        <v>177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>
      <c r="A6" s="63" t="s">
        <v>178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>
      <c r="A8" s="63" t="s">
        <v>179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5" thickBot="1">
      <c r="A12" s="63" t="s">
        <v>429</v>
      </c>
      <c r="B12" s="64" t="s">
        <v>430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 t="str">
        <f>'C2 lossy RA'!AZ45</f>
        <v>·</v>
      </c>
      <c r="K12" s="32" t="str">
        <f>'C2 lossy RA'!BA45</f>
        <v>·</v>
      </c>
      <c r="L12" s="32" t="str">
        <f>'C2 lossy RA'!BB45</f>
        <v>·</v>
      </c>
      <c r="M12" s="32" t="str">
        <f>'C2 lossy RA'!BC45</f>
        <v>·</v>
      </c>
      <c r="N12" s="32" t="str">
        <f>'C2 lossy RA'!BD45</f>
        <v>·</v>
      </c>
      <c r="O12" s="32" t="str">
        <f>'C2 lossy RA'!BE45</f>
        <v>·</v>
      </c>
      <c r="P12" s="74" t="str">
        <f>'C2 lossy RA'!BF45</f>
        <v>·</v>
      </c>
    </row>
    <row r="13" spans="1:16">
      <c r="A13" s="137" t="str">
        <f>Summary!B20</f>
        <v>Cat1-A average</v>
      </c>
      <c r="B13" s="13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>
      <c r="A14" s="138" t="str">
        <f>Summary!B21</f>
        <v>Cat1-B average</v>
      </c>
      <c r="B14" s="139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>
      <c r="A15" s="140" t="str">
        <f>Summary!B22</f>
        <v>Cat1-C average</v>
      </c>
      <c r="B15" s="139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>
      <c r="A16" s="140" t="str">
        <f>Summary!B23</f>
        <v>Cat1-D average</v>
      </c>
      <c r="B16" s="139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 t="e">
        <f>Summary!C36</f>
        <v>#DIV/0!</v>
      </c>
      <c r="K16" s="75" t="e">
        <f>Summary!D36</f>
        <v>#DIV/0!</v>
      </c>
      <c r="L16" s="75" t="e">
        <f>Summary!E36</f>
        <v>#DIV/0!</v>
      </c>
      <c r="M16" s="75" t="e">
        <f>Summary!F36</f>
        <v>#DIV/0!</v>
      </c>
      <c r="N16" s="75" t="e">
        <f>Summary!G36</f>
        <v>#DIV/0!</v>
      </c>
      <c r="O16" s="75" t="e">
        <f>Summary!H36</f>
        <v>#DIV/0!</v>
      </c>
      <c r="P16" s="83" t="e">
        <f>Summary!I36</f>
        <v>#DIV/0!</v>
      </c>
    </row>
    <row r="17" spans="1:16" ht="15.75" customHeight="1" thickBot="1">
      <c r="A17" s="141" t="str">
        <f>Summary!B24</f>
        <v>Overall average</v>
      </c>
      <c r="B17" s="142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>
      <c r="A18" s="140" t="str">
        <f>Summary!B25</f>
        <v>Avg. Enc Time [%]</v>
      </c>
      <c r="B18" s="139"/>
      <c r="C18" s="131" t="e">
        <f>Summary!C25</f>
        <v>#DIV/0!</v>
      </c>
      <c r="D18" s="132"/>
      <c r="E18" s="132"/>
      <c r="F18" s="132"/>
      <c r="G18" s="132"/>
      <c r="H18" s="132"/>
      <c r="I18" s="133"/>
      <c r="J18" s="131" t="e">
        <f>Summary!C38</f>
        <v>#DIV/0!</v>
      </c>
      <c r="K18" s="132"/>
      <c r="L18" s="132"/>
      <c r="M18" s="132"/>
      <c r="N18" s="132"/>
      <c r="O18" s="132"/>
      <c r="P18" s="133"/>
    </row>
    <row r="19" spans="1:16" ht="15.75" customHeight="1" thickBot="1">
      <c r="A19" s="134" t="str">
        <f>Summary!B26</f>
        <v>Avg. Dec Time [%]</v>
      </c>
      <c r="B19" s="135"/>
      <c r="C19" s="136" t="e">
        <f>Summary!C26</f>
        <v>#DIV/0!</v>
      </c>
      <c r="D19" s="116"/>
      <c r="E19" s="116"/>
      <c r="F19" s="116"/>
      <c r="G19" s="116"/>
      <c r="H19" s="116"/>
      <c r="I19" s="135"/>
      <c r="J19" s="136" t="e">
        <f>Summary!C39</f>
        <v>#DIV/0!</v>
      </c>
      <c r="K19" s="116"/>
      <c r="L19" s="116"/>
      <c r="M19" s="116"/>
      <c r="N19" s="116"/>
      <c r="O19" s="116"/>
      <c r="P19" s="135"/>
    </row>
  </sheetData>
  <mergeCells count="19">
    <mergeCell ref="C1:I1"/>
    <mergeCell ref="J1:P1"/>
    <mergeCell ref="A2:A3"/>
    <mergeCell ref="B2:B3"/>
    <mergeCell ref="C2:G2"/>
    <mergeCell ref="H2:I2"/>
    <mergeCell ref="J2:N2"/>
    <mergeCell ref="O2:P2"/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Graziosi, Danillo</cp:lastModifiedBy>
  <dcterms:created xsi:type="dcterms:W3CDTF">2021-10-29T10:34:58Z</dcterms:created>
  <dcterms:modified xsi:type="dcterms:W3CDTF">2024-05-21T20:08:14Z</dcterms:modified>
</cp:coreProperties>
</file>