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1" defaultThemeVersion="124226"/>
  <mc:AlternateContent xmlns:mc="http://schemas.openxmlformats.org/markup-compatibility/2006">
    <mc:Choice Requires="x15">
      <x15ac:absPath xmlns:x15ac="http://schemas.microsoft.com/office/spreadsheetml/2010/11/ac" url="C:\Users\Jay\Desktop\"/>
    </mc:Choice>
  </mc:AlternateContent>
  <bookViews>
    <workbookView xWindow="-105" yWindow="-105" windowWidth="19425" windowHeight="10425" activeTab="5"/>
  </bookViews>
  <sheets>
    <sheet name="Summary" sheetId="1" r:id="rId1"/>
    <sheet name="Graphs" sheetId="2" r:id="rId2"/>
    <sheet name="C0 lossless AI" sheetId="3" r:id="rId3"/>
    <sheet name="names" sheetId="4" state="hidden" r:id="rId4"/>
    <sheet name="C1 lossy AI" sheetId="5" r:id="rId5"/>
    <sheet name="C2 lossy RA" sheetId="6" r:id="rId6"/>
    <sheet name="Results" sheetId="7" r:id="rId7"/>
  </sheets>
  <functionGroups builtInGroupCount="18"/>
  <definedNames>
    <definedName name="all_cols" localSheetId="1">Graphs!$I$2:$I$54</definedName>
    <definedName name="filter_cols" localSheetId="1">IF(ISREF(Graphs!filter_cols_),Graphs!filter_cols_,Graphs!all_cols)</definedName>
    <definedName name="filter_cols_" localSheetId="1">INDIRECT(HLOOKUP(Graphs!$B$1,Graphs!$M$1:$ZZ$2,2,0))</definedName>
    <definedName name="graph_a_A_title" localSheetId="1">INDIRECT(VLOOKUP("name.A."&amp;Graphs!$B$1,names!$A:$B,2,0))</definedName>
    <definedName name="graph_a_B_title" localSheetId="1">INDIRECT(VLOOKUP("name.B."&amp;Graphs!$B$1,names!$A:$B,2,0))</definedName>
    <definedName name="graph_a_title" localSheetId="1">CONCATENATE(Graphs!graph_a_y_title, " (Graph a)")</definedName>
    <definedName name="graph_a_x_range_A" localSheetId="1">IF(ISREF(Graphs!graph_a_x_range_A_),Graphs!graph_a_x_range_A_,{0})</definedName>
    <definedName name="graph_a_x_range_A_" localSheetId="1">INDEX(INDIRECT(VLOOKUP("range." &amp; Graphs!$B$1 &amp;"."&amp; Graphs!$B$2, names!$A:$B,2,0)), 0, VLOOKUP("col."&amp; Graphs!$B$1 &amp;".A."&amp; Graphs!$B$4, names!$A:$B,2,0))</definedName>
    <definedName name="graph_a_x_range_B" localSheetId="1">IF(ISREF(Graphs!graph_a_x_range_B_),Graphs!graph_a_x_range_B_,{0})</definedName>
    <definedName name="graph_a_x_range_B_" localSheetId="1">INDEX(INDIRECT(VLOOKUP("range." &amp; Graphs!$B$1 &amp;"."&amp; Graphs!$B$2, names!$A:$B,2,0)), 0, VLOOKUP("col."&amp; Graphs!$B$1 &amp;".B."&amp; Graphs!$B$4, names!$A:$B,2,0))</definedName>
    <definedName name="graph_a_x_title" localSheetId="1">OFFSET(Graphs!all_cols, MATCH(Graphs!$B$4, Graphs!all_cols, 0)-1,1,1,1)</definedName>
    <definedName name="graph_a_y_range_A" localSheetId="1">IF(ISREF(Graphs!graph_a_y_range_A_),Graphs!graph_a_y_range_A_,{0})</definedName>
    <definedName name="graph_a_y_range_A_" localSheetId="1">INDEX(INDIRECT(VLOOKUP("range." &amp; Graphs!$B$1 &amp;"."&amp; Graphs!$B$2, names!$A:$B,2,0)), 0, VLOOKUP("col."&amp; Graphs!$B$1 &amp;".A."&amp; Graphs!$D$4, names!$A:$B,2,0))</definedName>
    <definedName name="graph_a_y_range_B" localSheetId="1">IF(ISREF(Graphs!graph_a_y_range_B_),Graphs!graph_a_y_range_B_,{0})</definedName>
    <definedName name="graph_a_y_range_B_" localSheetId="1">INDEX(INDIRECT(VLOOKUP("range." &amp; Graphs!$B$1 &amp;"."&amp; Graphs!$B$2, names!$A:$B,2,0)), 0, VLOOKUP("col."&amp; Graphs!$B$1 &amp;".B."&amp; Graphs!$D$4, names!$A:$B,2,0))</definedName>
    <definedName name="graph_a_y_title" localSheetId="1">OFFSET(Graphs!all_cols, MATCH(Graphs!$D$4, Graphs!all_cols, 0)-1,1,1,1)</definedName>
    <definedName name="graph_b_A_title" localSheetId="1">INDIRECT(VLOOKUP("name.A."&amp;Graphs!$B$1,names!$A:$B,2,0))</definedName>
    <definedName name="graph_b_B_title" localSheetId="1">INDIRECT(VLOOKUP("name.B."&amp;Graphs!$B$1,names!$A:$B,2,0))</definedName>
    <definedName name="graph_b_title" localSheetId="1">CONCATENATE(Graphs!graph_b_y_title, " (Graph b)")</definedName>
    <definedName name="graph_b_x_range_A" localSheetId="1">IF(ISREF(Graphs!graph_b_x_range_A_),Graphs!graph_b_x_range_A_,{0})</definedName>
    <definedName name="graph_b_x_range_A_" localSheetId="1">INDEX(INDIRECT(VLOOKUP("range." &amp; Graphs!$B$1 &amp;"."&amp; Graphs!$B$2, names!$A:$B,2,0)), 0, VLOOKUP("col."&amp; Graphs!$B$1 &amp;".A."&amp; Graphs!$B$5, names!$A:$B,2,0))</definedName>
    <definedName name="graph_b_x_range_B" localSheetId="1">IF(ISREF(Graphs!graph_b_x_range_B_),Graphs!graph_b_x_range_B_,{0})</definedName>
    <definedName name="graph_b_x_range_B_" localSheetId="1">INDEX(INDIRECT(VLOOKUP("range." &amp; Graphs!$B$1 &amp;"."&amp; Graphs!$B$2, names!$A:$B,2,0)), 0, VLOOKUP("col."&amp; Graphs!$B$1 &amp;".B."&amp; Graphs!$B$5, names!$A:$B,2,0))</definedName>
    <definedName name="graph_b_x_title" localSheetId="1">OFFSET(Graphs!all_cols, MATCH(Graphs!$B$5, Graphs!all_cols, 0)-1,1,1,1)</definedName>
    <definedName name="graph_b_y_range_A" localSheetId="1">IF(ISREF(Graphs!graph_b_y_range_A_),Graphs!graph_b_y_range_A_,{0})</definedName>
    <definedName name="graph_b_y_range_A_" localSheetId="1">INDEX(INDIRECT(VLOOKUP("range." &amp; Graphs!$B$1 &amp;"."&amp; Graphs!$B$2, names!$A:$B,2,0)), 0, VLOOKUP("col."&amp; Graphs!$B$1 &amp;".A."&amp; Graphs!$D$5, names!$A:$B,2,0))</definedName>
    <definedName name="graph_b_y_range_B" localSheetId="1">IF(ISREF(Graphs!graph_b_y_range_B_),Graphs!graph_b_y_range_B_,{0})</definedName>
    <definedName name="graph_b_y_range_B_" localSheetId="1">INDEX(INDIRECT(VLOOKUP("range." &amp; Graphs!$B$1 &amp;"."&amp; Graphs!$B$2, names!$A:$B,2,0)), 0, VLOOKUP("col."&amp; Graphs!$B$1 &amp;".B."&amp; Graphs!$D$5, names!$A:$B,2,0))</definedName>
    <definedName name="graph_b_y_title" localSheetId="1">OFFSET(Graphs!all_cols, MATCH(Graphs!$D$5, Graphs!all_cols, 0)-1,1,1,1)</definedName>
    <definedName name="graph_c_A_title" localSheetId="1">INDIRECT(VLOOKUP("name.A."&amp;Graphs!$B$1,names!$A:$B,2,0))</definedName>
    <definedName name="graph_c_B_title" localSheetId="1">INDIRECT(VLOOKUP("name.B."&amp;Graphs!$B$1,names!$A:$B,2,0))</definedName>
    <definedName name="graph_c_title" localSheetId="1">CONCATENATE(Graphs!graph_c_y_title, " (Graph c)")</definedName>
    <definedName name="graph_c_x_range_A" localSheetId="1">IF(ISREF(Graphs!graph_c_x_range_A_),Graphs!graph_c_x_range_A_,{0})</definedName>
    <definedName name="graph_c_x_range_A_" localSheetId="1">INDEX(INDIRECT(VLOOKUP("range." &amp; Graphs!$B$1 &amp;"."&amp; Graphs!$B$2, names!$A:$B,2,0)), 0, VLOOKUP("col."&amp; Graphs!$B$1 &amp;".A."&amp; Graphs!$B$6, names!$A:$B,2,0))</definedName>
    <definedName name="graph_c_x_range_B" localSheetId="1">IF(ISREF(Graphs!graph_c_x_range_B_),Graphs!graph_c_x_range_B_,{0})</definedName>
    <definedName name="graph_c_x_range_B_" localSheetId="1">INDEX(INDIRECT(VLOOKUP("range." &amp; Graphs!$B$1 &amp;"."&amp; Graphs!$B$2, names!$A:$B,2,0)), 0, VLOOKUP("col."&amp; Graphs!$B$1 &amp;".B."&amp; Graphs!$B$6, names!$A:$B,2,0))</definedName>
    <definedName name="graph_c_x_title" localSheetId="1">OFFSET(Graphs!all_cols, MATCH(Graphs!$B$6, Graphs!all_cols, 0)-1,1,1,1)</definedName>
    <definedName name="graph_c_y_range_A" localSheetId="1">IF(ISREF(Graphs!graph_c_y_range_A_),Graphs!graph_c_y_range_A_,{0})</definedName>
    <definedName name="graph_c_y_range_A_" localSheetId="1">INDEX(INDIRECT(VLOOKUP("range." &amp; Graphs!$B$1 &amp;"."&amp; Graphs!$B$2, names!$A:$B,2,0)), 0, VLOOKUP("col."&amp; Graphs!$B$1 &amp;".A."&amp; Graphs!$D$6, names!$A:$B,2,0))</definedName>
    <definedName name="graph_c_y_range_B" localSheetId="1">IF(ISREF(Graphs!graph_c_y_range_B_),Graphs!graph_c_y_range_B_,{0})</definedName>
    <definedName name="graph_c_y_range_B_" localSheetId="1">INDEX(INDIRECT(VLOOKUP("range." &amp; Graphs!$B$1 &amp;"."&amp; Graphs!$B$2, names!$A:$B,2,0)), 0, VLOOKUP("col."&amp; Graphs!$B$1 &amp;".B."&amp; Graphs!$D$6, names!$A:$B,2,0))</definedName>
    <definedName name="graph_c_y_title" localSheetId="1">OFFSET(Graphs!all_cols, MATCH(Graphs!$D$6, Graphs!all_cols, 0)-1,1,1,1)</definedName>
    <definedName name="graph_d_A_title" localSheetId="1">INDIRECT(VLOOKUP("name.A."&amp;Graphs!$B$1,names!$A:$B,2,0))</definedName>
    <definedName name="graph_d_B_title" localSheetId="1">INDIRECT(VLOOKUP("name.B."&amp;Graphs!$B$1,names!$A:$B,2,0))</definedName>
    <definedName name="graph_d_title" localSheetId="1">CONCATENATE(Graphs!graph_d_y_title, " (Graph d)")</definedName>
    <definedName name="graph_d_x_range_A" localSheetId="1">IF(ISREF(Graphs!graph_d_x_range_A_),Graphs!graph_d_x_range_A_,{0})</definedName>
    <definedName name="graph_d_x_range_A_" localSheetId="1">INDEX(INDIRECT(VLOOKUP("range." &amp; Graphs!$B$1 &amp;"."&amp; Graphs!$B$2, names!$A:$B,2,0)), 0, VLOOKUP("col."&amp; Graphs!$B$1 &amp;".A."&amp; Graphs!$B$7, names!$A:$B,2,0))</definedName>
    <definedName name="graph_d_x_range_B" localSheetId="1">IF(ISREF(Graphs!graph_d_x_range_B_),Graphs!graph_d_x_range_B_,{0})</definedName>
    <definedName name="graph_d_x_range_B_" localSheetId="1">INDEX(INDIRECT(VLOOKUP("range." &amp; Graphs!$B$1 &amp;"."&amp; Graphs!$B$2, names!$A:$B,2,0)), 0, VLOOKUP("col."&amp; Graphs!$B$1 &amp;".B."&amp; Graphs!$B$7, names!$A:$B,2,0))</definedName>
    <definedName name="graph_d_x_title" localSheetId="1">OFFSET(Graphs!all_cols, MATCH(Graphs!$B$7, Graphs!all_cols, 0)-1,1,1,1)</definedName>
    <definedName name="graph_d_y_range_A" localSheetId="1">IF(ISREF(Graphs!graph_d_y_range_A_),Graphs!graph_d_y_range_A_,{0})</definedName>
    <definedName name="graph_d_y_range_A_" localSheetId="1">INDEX(INDIRECT(VLOOKUP("range." &amp; Graphs!$B$1 &amp;"."&amp; Graphs!$B$2, names!$A:$B,2,0)), 0, VLOOKUP("col."&amp; Graphs!$B$1 &amp;".A."&amp; Graphs!$D$7, names!$A:$B,2,0))</definedName>
    <definedName name="graph_d_y_range_B" localSheetId="1">IF(ISREF(Graphs!graph_d_y_range_B_),Graphs!graph_d_y_range_B_,{0})</definedName>
    <definedName name="graph_d_y_range_B_" localSheetId="1">INDEX(INDIRECT(VLOOKUP("range." &amp; Graphs!$B$1 &amp;"."&amp; Graphs!$B$2, names!$A:$B,2,0)), 0, VLOOKUP("col."&amp; Graphs!$B$1 &amp;".B."&amp; Graphs!$D$7, names!$A:$B,2,0))</definedName>
    <definedName name="graph_d_y_title" localSheetId="1">OFFSET(Graphs!all_cols, MATCH(Graphs!$D$7, Graphs!all_cols, 0)-1,1,1,1)</definedName>
    <definedName name="graph_e_A_title" localSheetId="1">INDIRECT(VLOOKUP("name.A."&amp;Graphs!$B$1,names!$A:$B,2,0))</definedName>
    <definedName name="graph_e_B_title" localSheetId="1">INDIRECT(VLOOKUP("name.B."&amp;Graphs!$B$1,names!$A:$B,2,0))</definedName>
    <definedName name="graph_e_title" localSheetId="1">CONCATENATE(Graphs!graph_e_y_title, " (Graph e)")</definedName>
    <definedName name="graph_e_x_range_A" localSheetId="1">IF(ISREF(Graphs!graph_e_x_range_A_),Graphs!graph_e_x_range_A_,{0})</definedName>
    <definedName name="graph_e_x_range_A_" localSheetId="1">INDEX(INDIRECT(VLOOKUP("range." &amp; Graphs!$B$1 &amp;"."&amp; Graphs!$B$2, names!$A:$B,2,0)), 0, VLOOKUP("col."&amp; Graphs!$B$1 &amp;".A."&amp; Graphs!$B$8, names!$A:$B,2,0))</definedName>
    <definedName name="graph_e_x_range_B" localSheetId="1">IF(ISREF(Graphs!graph_e_x_range_B_),Graphs!graph_e_x_range_B_,{0})</definedName>
    <definedName name="graph_e_x_range_B_" localSheetId="1">INDEX(INDIRECT(VLOOKUP("range." &amp; Graphs!$B$1 &amp;"."&amp; Graphs!$B$2, names!$A:$B,2,0)), 0, VLOOKUP("col."&amp; Graphs!$B$1 &amp;".B."&amp; Graphs!$B$8, names!$A:$B,2,0))</definedName>
    <definedName name="graph_e_x_title" localSheetId="1">OFFSET(Graphs!all_cols, MATCH(Graphs!$B$8, Graphs!all_cols, 0)-1,1,1,1)</definedName>
    <definedName name="graph_e_y_range_A" localSheetId="1">IF(ISREF(Graphs!graph_e_y_range_A_),Graphs!graph_e_y_range_A_,{0})</definedName>
    <definedName name="graph_e_y_range_A_" localSheetId="1">INDEX(INDIRECT(VLOOKUP("range." &amp; Graphs!$B$1 &amp;"."&amp; Graphs!$B$2, names!$A:$B,2,0)), 0, VLOOKUP("col."&amp; Graphs!$B$1 &amp;".A."&amp; Graphs!$D$8, names!$A:$B,2,0))</definedName>
    <definedName name="graph_e_y_range_B" localSheetId="1">IF(ISREF(Graphs!graph_e_y_range_B_),Graphs!graph_e_y_range_B_,{0})</definedName>
    <definedName name="graph_e_y_range_B_" localSheetId="1">INDEX(INDIRECT(VLOOKUP("range." &amp; Graphs!$B$1 &amp;"."&amp; Graphs!$B$2, names!$A:$B,2,0)), 0, VLOOKUP("col."&amp; Graphs!$B$1 &amp;".B."&amp; Graphs!$D$8, names!$A:$B,2,0))</definedName>
    <definedName name="graph_e_y_title" localSheetId="1">OFFSET(Graphs!all_cols, MATCH(Graphs!$D$8, Graphs!all_cols, 0)-1,1,1,1)</definedName>
    <definedName name="graph_f_A_title" localSheetId="1">INDIRECT(VLOOKUP("name.A."&amp;Graphs!$B$1,names!$A:$B,2,0))</definedName>
    <definedName name="graph_f_B_title" localSheetId="1">INDIRECT(VLOOKUP("name.B."&amp;Graphs!$B$1,names!$A:$B,2,0))</definedName>
    <definedName name="graph_f_title" localSheetId="1">CONCATENATE(Graphs!graph_f_y_title, " (Graph f)")</definedName>
    <definedName name="graph_f_x_range_A" localSheetId="1">IF(ISREF(Graphs!graph_f_x_range_A_),Graphs!graph_f_x_range_A_,{0})</definedName>
    <definedName name="graph_f_x_range_A_" localSheetId="1">INDEX(INDIRECT(VLOOKUP("range." &amp; Graphs!$B$1 &amp;"."&amp; Graphs!$B$2, names!$A:$B,2,0)), 0, VLOOKUP("col."&amp; Graphs!$B$1 &amp;".A."&amp; Graphs!$B$9, names!$A:$B,2,0))</definedName>
    <definedName name="graph_f_x_range_B" localSheetId="1">IF(ISREF(Graphs!graph_f_x_range_B_),Graphs!graph_f_x_range_B_,{0})</definedName>
    <definedName name="graph_f_x_range_B_" localSheetId="1">INDEX(INDIRECT(VLOOKUP("range." &amp; Graphs!$B$1 &amp;"."&amp; Graphs!$B$2, names!$A:$B,2,0)), 0, VLOOKUP("col."&amp; Graphs!$B$1 &amp;".B."&amp; Graphs!$B$9, names!$A:$B,2,0))</definedName>
    <definedName name="graph_f_x_title" localSheetId="1">OFFSET(Graphs!all_cols, MATCH(Graphs!$B$9, Graphs!all_cols, 0)-1,1,1,1)</definedName>
    <definedName name="graph_f_y_range_A" localSheetId="1">IF(ISREF(Graphs!graph_f_y_range_A_),Graphs!graph_f_y_range_A_,{0})</definedName>
    <definedName name="graph_f_y_range_A_" localSheetId="1">INDEX(INDIRECT(VLOOKUP("range." &amp; Graphs!$B$1 &amp;"."&amp; Graphs!$B$2, names!$A:$B,2,0)), 0, VLOOKUP("col."&amp; Graphs!$B$1 &amp;".A."&amp; Graphs!$D$9, names!$A:$B,2,0))</definedName>
    <definedName name="graph_f_y_range_B" localSheetId="1">IF(ISREF(Graphs!graph_f_y_range_B_),Graphs!graph_f_y_range_B_,{0})</definedName>
    <definedName name="graph_f_y_range_B_" localSheetId="1">INDEX(INDIRECT(VLOOKUP("range." &amp; Graphs!$B$1 &amp;"."&amp; Graphs!$B$2, names!$A:$B,2,0)), 0, VLOOKUP("col."&amp; Graphs!$B$1 &amp;".B."&amp; Graphs!$D$9, names!$A:$B,2,0))</definedName>
    <definedName name="graph_f_y_title" localSheetId="1">OFFSET(Graphs!all_cols, MATCH(Graphs!$D$9, Graphs!all_cols, 0)-1,1,1,1)</definedName>
    <definedName name="graph_g_A_title" localSheetId="1">INDIRECT(VLOOKUP("name.A."&amp;Graphs!$B$1,names!$A:$B,2,0))</definedName>
    <definedName name="graph_g_B_title" localSheetId="1">INDIRECT(VLOOKUP("name.B."&amp;Graphs!$B$1,names!$A:$B,2,0))</definedName>
    <definedName name="graph_g_title" localSheetId="1">CONCATENATE(Graphs!graph_g_y_title, " (Graph g)")</definedName>
    <definedName name="graph_g_x_range_A" localSheetId="1">IF(ISREF(Graphs!graph_g_x_range_A_),Graphs!graph_g_x_range_A_,{0})</definedName>
    <definedName name="graph_g_x_range_A_" localSheetId="1">INDEX(INDIRECT(VLOOKUP("range." &amp; Graphs!$B$1 &amp;"."&amp; Graphs!$B$2, names!$A:$B,2,0)), 0, VLOOKUP("col."&amp; Graphs!$B$1 &amp;".A."&amp; Graphs!$B$10, names!$A:$B,2,0))</definedName>
    <definedName name="graph_g_x_range_B" localSheetId="1">IF(ISREF(Graphs!graph_g_x_range_B_),Graphs!graph_g_x_range_B_,{0})</definedName>
    <definedName name="graph_g_x_range_B_" localSheetId="1">INDEX(INDIRECT(VLOOKUP("range." &amp; Graphs!$B$1 &amp;"."&amp; Graphs!$B$2, names!$A:$B,2,0)), 0, VLOOKUP("col."&amp; Graphs!$B$1 &amp;".B."&amp; Graphs!$B$10, names!$A:$B,2,0))</definedName>
    <definedName name="graph_g_x_title" localSheetId="1">OFFSET(Graphs!all_cols, MATCH(Graphs!$B$10, Graphs!all_cols, 0)-1,1,1,1)</definedName>
    <definedName name="graph_g_y_range_A" localSheetId="1">IF(ISREF(Graphs!graph_g_y_range_A_),Graphs!graph_g_y_range_A_,{0})</definedName>
    <definedName name="graph_g_y_range_A_" localSheetId="1">INDEX(INDIRECT(VLOOKUP("range." &amp; Graphs!$B$1 &amp;"."&amp; Graphs!$B$2, names!$A:$B,2,0)), 0, VLOOKUP("col."&amp; Graphs!$B$1 &amp;".A."&amp; Graphs!$D$10, names!$A:$B,2,0))</definedName>
    <definedName name="graph_g_y_range_B" localSheetId="1">IF(ISREF(Graphs!graph_g_y_range_B_),Graphs!graph_g_y_range_B_,{0})</definedName>
    <definedName name="graph_g_y_range_B_" localSheetId="1">INDEX(INDIRECT(VLOOKUP("range." &amp; Graphs!$B$1 &amp;"."&amp; Graphs!$B$2, names!$A:$B,2,0)), 0, VLOOKUP("col."&amp; Graphs!$B$1 &amp;".B."&amp; Graphs!$D$10, names!$A:$B,2,0))</definedName>
    <definedName name="graph_g_y_title" localSheetId="1">OFFSET(Graphs!all_cols, MATCH(Graphs!$D$10, Graphs!all_cols, 0)-1,1,1,1)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X55" i="5" l="1"/>
  <c r="AF54" i="5"/>
  <c r="AB55" i="5"/>
  <c r="AC55" i="5"/>
  <c r="AX55" i="6"/>
  <c r="AW55" i="6"/>
  <c r="AF54" i="6"/>
  <c r="AC55" i="6"/>
  <c r="AB55" i="6"/>
  <c r="AW55" i="5"/>
  <c r="A16" i="7"/>
  <c r="A15" i="7"/>
  <c r="P13" i="3"/>
  <c r="X13" i="3"/>
  <c r="I13" i="3"/>
  <c r="V13" i="3" s="1"/>
  <c r="P18" i="3"/>
  <c r="P17" i="3"/>
  <c r="AV104" i="6"/>
  <c r="AU104" i="6"/>
  <c r="AT104" i="6"/>
  <c r="AS104" i="6"/>
  <c r="AR104" i="6"/>
  <c r="AQ104" i="6"/>
  <c r="AP104" i="6"/>
  <c r="AO104" i="6"/>
  <c r="AN104" i="6"/>
  <c r="AM104" i="6"/>
  <c r="AL104" i="6"/>
  <c r="AK104" i="6"/>
  <c r="AJ104" i="6"/>
  <c r="AI104" i="6"/>
  <c r="AH104" i="6"/>
  <c r="AG104" i="6"/>
  <c r="AV103" i="6"/>
  <c r="AU103" i="6"/>
  <c r="AT103" i="6"/>
  <c r="AS103" i="6"/>
  <c r="AR103" i="6"/>
  <c r="AQ103" i="6"/>
  <c r="AP103" i="6"/>
  <c r="AO103" i="6"/>
  <c r="AN103" i="6"/>
  <c r="AM103" i="6"/>
  <c r="AL103" i="6"/>
  <c r="AK103" i="6"/>
  <c r="AJ103" i="6"/>
  <c r="AI103" i="6"/>
  <c r="AH103" i="6"/>
  <c r="AG103" i="6"/>
  <c r="AV102" i="6"/>
  <c r="AU102" i="6"/>
  <c r="AT102" i="6"/>
  <c r="AS102" i="6"/>
  <c r="AR102" i="6"/>
  <c r="AQ102" i="6"/>
  <c r="AP102" i="6"/>
  <c r="AO102" i="6"/>
  <c r="AN102" i="6"/>
  <c r="AM102" i="6"/>
  <c r="AL102" i="6"/>
  <c r="AK102" i="6"/>
  <c r="AJ102" i="6"/>
  <c r="AI102" i="6"/>
  <c r="AV101" i="6"/>
  <c r="AU101" i="6"/>
  <c r="AT101" i="6"/>
  <c r="AS101" i="6"/>
  <c r="AR101" i="6"/>
  <c r="AQ101" i="6"/>
  <c r="AP101" i="6"/>
  <c r="AO101" i="6"/>
  <c r="AN101" i="6"/>
  <c r="AM101" i="6"/>
  <c r="AL101" i="6"/>
  <c r="AK101" i="6"/>
  <c r="AJ101" i="6"/>
  <c r="AI101" i="6"/>
  <c r="AH101" i="6"/>
  <c r="AG101" i="6"/>
  <c r="AV100" i="6"/>
  <c r="AU100" i="6"/>
  <c r="AT100" i="6"/>
  <c r="AS100" i="6"/>
  <c r="AR100" i="6"/>
  <c r="AQ100" i="6"/>
  <c r="AP100" i="6"/>
  <c r="AO100" i="6"/>
  <c r="AN100" i="6"/>
  <c r="AM100" i="6"/>
  <c r="AL100" i="6"/>
  <c r="AK100" i="6"/>
  <c r="AJ100" i="6"/>
  <c r="AI100" i="6"/>
  <c r="AH100" i="6"/>
  <c r="AG100" i="6"/>
  <c r="AF53" i="6"/>
  <c r="K53" i="6"/>
  <c r="BT49" i="6"/>
  <c r="BS49" i="6"/>
  <c r="BR49" i="6"/>
  <c r="BQ49" i="6"/>
  <c r="BP49" i="6"/>
  <c r="AH49" i="6"/>
  <c r="AG49" i="6"/>
  <c r="AF49" i="6"/>
  <c r="AE49" i="6"/>
  <c r="M49" i="6"/>
  <c r="L49" i="6" s="1"/>
  <c r="K49" i="6"/>
  <c r="J49" i="6"/>
  <c r="BT48" i="6"/>
  <c r="BS48" i="6"/>
  <c r="BR48" i="6"/>
  <c r="BQ48" i="6"/>
  <c r="BP48" i="6"/>
  <c r="AH48" i="6"/>
  <c r="AG48" i="6" s="1"/>
  <c r="AF48" i="6"/>
  <c r="AE48" i="6"/>
  <c r="M48" i="6"/>
  <c r="L48" i="6" s="1"/>
  <c r="K48" i="6"/>
  <c r="J48" i="6"/>
  <c r="BT47" i="6"/>
  <c r="BS47" i="6"/>
  <c r="BR47" i="6"/>
  <c r="BQ47" i="6"/>
  <c r="BP47" i="6"/>
  <c r="AH47" i="6"/>
  <c r="AG47" i="6"/>
  <c r="AF47" i="6"/>
  <c r="AE47" i="6"/>
  <c r="M47" i="6"/>
  <c r="L47" i="6" s="1"/>
  <c r="AG102" i="6" s="1"/>
  <c r="K47" i="6"/>
  <c r="J47" i="6"/>
  <c r="BT46" i="6"/>
  <c r="BS46" i="6"/>
  <c r="BR46" i="6"/>
  <c r="BQ46" i="6"/>
  <c r="BP46" i="6"/>
  <c r="AH46" i="6"/>
  <c r="AG46" i="6" s="1"/>
  <c r="AF46" i="6"/>
  <c r="AE46" i="6"/>
  <c r="M46" i="6"/>
  <c r="L46" i="6" s="1"/>
  <c r="K46" i="6"/>
  <c r="J46" i="6"/>
  <c r="BT45" i="6"/>
  <c r="BT53" i="6" s="1"/>
  <c r="BS45" i="6"/>
  <c r="BS53" i="6" s="1"/>
  <c r="BR45" i="6"/>
  <c r="BR53" i="6" s="1"/>
  <c r="BQ45" i="6"/>
  <c r="BQ53" i="6" s="1"/>
  <c r="BP45" i="6"/>
  <c r="BP53" i="6" s="1"/>
  <c r="BN45" i="6" a="1"/>
  <c r="BN45" i="6" s="1"/>
  <c r="BN53" i="6" s="1"/>
  <c r="BL45" i="6" a="1"/>
  <c r="BL45" i="6" s="1"/>
  <c r="BL53" i="6" s="1"/>
  <c r="BK45" i="6" a="1"/>
  <c r="BK45" i="6" s="1"/>
  <c r="BK53" i="6" s="1"/>
  <c r="BJ45" i="6" a="1"/>
  <c r="BJ45" i="6" s="1"/>
  <c r="BJ53" i="6" s="1"/>
  <c r="AH45" i="6"/>
  <c r="AG45" i="6"/>
  <c r="AF45" i="6"/>
  <c r="AE45" i="6"/>
  <c r="M45" i="6"/>
  <c r="L45" i="6" s="1"/>
  <c r="K45" i="6"/>
  <c r="J45" i="6"/>
  <c r="AV104" i="5"/>
  <c r="AU104" i="5"/>
  <c r="AT104" i="5"/>
  <c r="AS104" i="5"/>
  <c r="AR104" i="5"/>
  <c r="AQ104" i="5"/>
  <c r="AP104" i="5"/>
  <c r="AO104" i="5"/>
  <c r="AN104" i="5"/>
  <c r="AM104" i="5"/>
  <c r="AL104" i="5"/>
  <c r="AK104" i="5"/>
  <c r="AJ104" i="5"/>
  <c r="AI104" i="5"/>
  <c r="AV103" i="5"/>
  <c r="AU103" i="5"/>
  <c r="AT103" i="5"/>
  <c r="AS103" i="5"/>
  <c r="AR103" i="5"/>
  <c r="AQ103" i="5"/>
  <c r="AP103" i="5"/>
  <c r="AO103" i="5"/>
  <c r="AN103" i="5"/>
  <c r="AM103" i="5"/>
  <c r="AL103" i="5"/>
  <c r="AK103" i="5"/>
  <c r="AJ103" i="5"/>
  <c r="AI103" i="5"/>
  <c r="AV102" i="5"/>
  <c r="AU102" i="5"/>
  <c r="AT102" i="5"/>
  <c r="AS102" i="5"/>
  <c r="AR102" i="5"/>
  <c r="AQ102" i="5"/>
  <c r="AP102" i="5"/>
  <c r="AO102" i="5"/>
  <c r="AN102" i="5"/>
  <c r="AM102" i="5"/>
  <c r="AL102" i="5"/>
  <c r="AK102" i="5"/>
  <c r="AJ102" i="5"/>
  <c r="AI102" i="5"/>
  <c r="AV101" i="5"/>
  <c r="AU101" i="5"/>
  <c r="AT101" i="5"/>
  <c r="AS101" i="5"/>
  <c r="AR101" i="5"/>
  <c r="AQ101" i="5"/>
  <c r="AP101" i="5"/>
  <c r="AO101" i="5"/>
  <c r="AN101" i="5"/>
  <c r="AM101" i="5"/>
  <c r="AL101" i="5"/>
  <c r="AK101" i="5"/>
  <c r="AJ101" i="5"/>
  <c r="AI101" i="5"/>
  <c r="AV100" i="5"/>
  <c r="AU100" i="5"/>
  <c r="AT100" i="5"/>
  <c r="AS100" i="5"/>
  <c r="AR100" i="5"/>
  <c r="AQ100" i="5"/>
  <c r="AP100" i="5"/>
  <c r="AO100" i="5"/>
  <c r="AN100" i="5"/>
  <c r="AM100" i="5"/>
  <c r="AL100" i="5"/>
  <c r="AK100" i="5"/>
  <c r="AJ100" i="5"/>
  <c r="AI100" i="5"/>
  <c r="AF53" i="5"/>
  <c r="BT49" i="5"/>
  <c r="BS49" i="5"/>
  <c r="BR49" i="5"/>
  <c r="BQ49" i="5"/>
  <c r="BP49" i="5"/>
  <c r="AH49" i="5"/>
  <c r="AG49" i="5"/>
  <c r="AF49" i="5"/>
  <c r="AE49" i="5"/>
  <c r="M49" i="5"/>
  <c r="L49" i="5" s="1"/>
  <c r="AG104" i="5" s="1"/>
  <c r="K49" i="5"/>
  <c r="J49" i="5"/>
  <c r="BT48" i="5"/>
  <c r="BS48" i="5"/>
  <c r="BR48" i="5"/>
  <c r="BQ48" i="5"/>
  <c r="BP48" i="5"/>
  <c r="AH48" i="5"/>
  <c r="AG48" i="5" s="1"/>
  <c r="AF48" i="5"/>
  <c r="AE48" i="5"/>
  <c r="M48" i="5"/>
  <c r="AH103" i="5" s="1"/>
  <c r="K48" i="5"/>
  <c r="J48" i="5"/>
  <c r="BT47" i="5"/>
  <c r="BS47" i="5"/>
  <c r="BR47" i="5"/>
  <c r="BQ47" i="5"/>
  <c r="BP47" i="5"/>
  <c r="AH47" i="5"/>
  <c r="AG47" i="5"/>
  <c r="AF47" i="5"/>
  <c r="AE47" i="5"/>
  <c r="M47" i="5"/>
  <c r="L47" i="5" s="1"/>
  <c r="AG102" i="5" s="1"/>
  <c r="K47" i="5"/>
  <c r="J47" i="5"/>
  <c r="BT46" i="5"/>
  <c r="BS46" i="5"/>
  <c r="BR46" i="5"/>
  <c r="BQ46" i="5"/>
  <c r="BP46" i="5"/>
  <c r="AH46" i="5"/>
  <c r="AG46" i="5" s="1"/>
  <c r="AF46" i="5"/>
  <c r="AE46" i="5"/>
  <c r="M46" i="5"/>
  <c r="L46" i="5" s="1"/>
  <c r="AG101" i="5" s="1"/>
  <c r="K46" i="5"/>
  <c r="J46" i="5"/>
  <c r="BT45" i="5"/>
  <c r="BS45" i="5"/>
  <c r="BR45" i="5"/>
  <c r="BQ45" i="5"/>
  <c r="BP45" i="5"/>
  <c r="BN45" i="5" a="1"/>
  <c r="BN45" i="5" s="1"/>
  <c r="BN53" i="5" s="1"/>
  <c r="BL45" i="5" a="1"/>
  <c r="BL45" i="5" s="1"/>
  <c r="BL53" i="5" s="1"/>
  <c r="BK45" i="5" a="1"/>
  <c r="BK45" i="5" s="1"/>
  <c r="BK53" i="5" s="1"/>
  <c r="BJ45" i="5" a="1"/>
  <c r="BJ45" i="5" s="1"/>
  <c r="BJ53" i="5" s="1"/>
  <c r="AH45" i="5"/>
  <c r="AG45" i="5"/>
  <c r="AF45" i="5"/>
  <c r="AE45" i="5"/>
  <c r="M45" i="5"/>
  <c r="K45" i="5"/>
  <c r="K53" i="5" s="1"/>
  <c r="J45" i="5"/>
  <c r="H13" i="3"/>
  <c r="O13" i="3"/>
  <c r="Q23" i="3"/>
  <c r="R23" i="3"/>
  <c r="Q24" i="3"/>
  <c r="R24" i="3"/>
  <c r="Q25" i="3"/>
  <c r="R25" i="3"/>
  <c r="Q26" i="3"/>
  <c r="R26" i="3"/>
  <c r="Q27" i="3"/>
  <c r="R27" i="3"/>
  <c r="Q28" i="3"/>
  <c r="R28" i="3"/>
  <c r="Q29" i="3"/>
  <c r="R29" i="3"/>
  <c r="R22" i="3"/>
  <c r="Q22" i="3"/>
  <c r="O1" i="3"/>
  <c r="AE1" i="5"/>
  <c r="H1" i="3"/>
  <c r="J1" i="5"/>
  <c r="AI60" i="6"/>
  <c r="AJ60" i="6"/>
  <c r="AK60" i="6"/>
  <c r="AL60" i="6"/>
  <c r="AM60" i="6"/>
  <c r="AN60" i="6"/>
  <c r="AO60" i="6"/>
  <c r="AI61" i="6"/>
  <c r="AJ61" i="6"/>
  <c r="AK61" i="6"/>
  <c r="AL61" i="6"/>
  <c r="AM61" i="6"/>
  <c r="AN61" i="6"/>
  <c r="AO61" i="6"/>
  <c r="AI62" i="6"/>
  <c r="AJ62" i="6"/>
  <c r="AK62" i="6"/>
  <c r="AL62" i="6"/>
  <c r="AM62" i="6"/>
  <c r="AN62" i="6"/>
  <c r="AO62" i="6"/>
  <c r="AI63" i="6"/>
  <c r="AJ63" i="6"/>
  <c r="AK63" i="6"/>
  <c r="AL63" i="6"/>
  <c r="AM63" i="6"/>
  <c r="AN63" i="6"/>
  <c r="AO63" i="6"/>
  <c r="AI64" i="6"/>
  <c r="AJ64" i="6"/>
  <c r="AK64" i="6"/>
  <c r="AL64" i="6"/>
  <c r="AM64" i="6"/>
  <c r="AN64" i="6"/>
  <c r="AO64" i="6"/>
  <c r="AI65" i="6"/>
  <c r="AJ65" i="6"/>
  <c r="AK65" i="6"/>
  <c r="AL65" i="6"/>
  <c r="AM65" i="6"/>
  <c r="AN65" i="6"/>
  <c r="AO65" i="6"/>
  <c r="AI66" i="6"/>
  <c r="AJ66" i="6"/>
  <c r="AK66" i="6"/>
  <c r="AL66" i="6"/>
  <c r="AM66" i="6"/>
  <c r="AN66" i="6"/>
  <c r="AO66" i="6"/>
  <c r="AI67" i="6"/>
  <c r="AJ67" i="6"/>
  <c r="AK67" i="6"/>
  <c r="AL67" i="6"/>
  <c r="AM67" i="6"/>
  <c r="AN67" i="6"/>
  <c r="AO67" i="6"/>
  <c r="AI68" i="6"/>
  <c r="AJ68" i="6"/>
  <c r="AK68" i="6"/>
  <c r="AL68" i="6"/>
  <c r="AM68" i="6"/>
  <c r="AN68" i="6"/>
  <c r="AO68" i="6"/>
  <c r="AI69" i="6"/>
  <c r="AJ69" i="6"/>
  <c r="AK69" i="6"/>
  <c r="AL69" i="6"/>
  <c r="AM69" i="6"/>
  <c r="AN69" i="6"/>
  <c r="AO69" i="6"/>
  <c r="AI70" i="6"/>
  <c r="AJ70" i="6"/>
  <c r="AK70" i="6"/>
  <c r="AL70" i="6"/>
  <c r="AM70" i="6"/>
  <c r="AN70" i="6"/>
  <c r="AO70" i="6"/>
  <c r="AI71" i="6"/>
  <c r="AJ71" i="6"/>
  <c r="AK71" i="6"/>
  <c r="AL71" i="6"/>
  <c r="AM71" i="6"/>
  <c r="AN71" i="6"/>
  <c r="AO71" i="6"/>
  <c r="AI72" i="6"/>
  <c r="AJ72" i="6"/>
  <c r="AK72" i="6"/>
  <c r="AL72" i="6"/>
  <c r="AM72" i="6"/>
  <c r="AN72" i="6"/>
  <c r="AO72" i="6"/>
  <c r="AI73" i="6"/>
  <c r="AJ73" i="6"/>
  <c r="AK73" i="6"/>
  <c r="AL73" i="6"/>
  <c r="AM73" i="6"/>
  <c r="AN73" i="6"/>
  <c r="AO73" i="6"/>
  <c r="AI74" i="6"/>
  <c r="AJ74" i="6"/>
  <c r="AK74" i="6"/>
  <c r="AL74" i="6"/>
  <c r="AM74" i="6"/>
  <c r="AN74" i="6"/>
  <c r="AO74" i="6"/>
  <c r="AI75" i="6"/>
  <c r="AJ75" i="6"/>
  <c r="AK75" i="6"/>
  <c r="AL75" i="6"/>
  <c r="AM75" i="6"/>
  <c r="AN75" i="6"/>
  <c r="AO75" i="6"/>
  <c r="AI76" i="6"/>
  <c r="AJ76" i="6"/>
  <c r="AK76" i="6"/>
  <c r="AL76" i="6"/>
  <c r="AM76" i="6"/>
  <c r="AN76" i="6"/>
  <c r="AO76" i="6"/>
  <c r="AI77" i="6"/>
  <c r="AJ77" i="6"/>
  <c r="AK77" i="6"/>
  <c r="AL77" i="6"/>
  <c r="AM77" i="6"/>
  <c r="AN77" i="6"/>
  <c r="AO77" i="6"/>
  <c r="AI78" i="6"/>
  <c r="AJ78" i="6"/>
  <c r="AK78" i="6"/>
  <c r="AL78" i="6"/>
  <c r="AM78" i="6"/>
  <c r="AN78" i="6"/>
  <c r="AO78" i="6"/>
  <c r="AI79" i="6"/>
  <c r="AJ79" i="6"/>
  <c r="AK79" i="6"/>
  <c r="AL79" i="6"/>
  <c r="AM79" i="6"/>
  <c r="AN79" i="6"/>
  <c r="AO79" i="6"/>
  <c r="AI80" i="6"/>
  <c r="AJ80" i="6"/>
  <c r="AK80" i="6"/>
  <c r="AL80" i="6"/>
  <c r="AM80" i="6"/>
  <c r="AN80" i="6"/>
  <c r="AO80" i="6"/>
  <c r="AI81" i="6"/>
  <c r="AJ81" i="6"/>
  <c r="AK81" i="6"/>
  <c r="AL81" i="6"/>
  <c r="AM81" i="6"/>
  <c r="AN81" i="6"/>
  <c r="AO81" i="6"/>
  <c r="AI82" i="6"/>
  <c r="AJ82" i="6"/>
  <c r="AK82" i="6"/>
  <c r="AL82" i="6"/>
  <c r="AM82" i="6"/>
  <c r="AN82" i="6"/>
  <c r="AO82" i="6"/>
  <c r="AI83" i="6"/>
  <c r="AJ83" i="6"/>
  <c r="AK83" i="6"/>
  <c r="AL83" i="6"/>
  <c r="AM83" i="6"/>
  <c r="AN83" i="6"/>
  <c r="AO83" i="6"/>
  <c r="AI84" i="6"/>
  <c r="AJ84" i="6"/>
  <c r="AK84" i="6"/>
  <c r="AL84" i="6"/>
  <c r="AM84" i="6"/>
  <c r="AN84" i="6"/>
  <c r="AO84" i="6"/>
  <c r="AI85" i="6"/>
  <c r="AJ85" i="6"/>
  <c r="AK85" i="6"/>
  <c r="AL85" i="6"/>
  <c r="AM85" i="6"/>
  <c r="AN85" i="6"/>
  <c r="AO85" i="6"/>
  <c r="AI86" i="6"/>
  <c r="AJ86" i="6"/>
  <c r="AK86" i="6"/>
  <c r="AL86" i="6"/>
  <c r="AM86" i="6"/>
  <c r="AN86" i="6"/>
  <c r="AO86" i="6"/>
  <c r="AI87" i="6"/>
  <c r="AJ87" i="6"/>
  <c r="AK87" i="6"/>
  <c r="AL87" i="6"/>
  <c r="AM87" i="6"/>
  <c r="AN87" i="6"/>
  <c r="AO87" i="6"/>
  <c r="AI88" i="6"/>
  <c r="AJ88" i="6"/>
  <c r="AK88" i="6"/>
  <c r="AL88" i="6"/>
  <c r="AM88" i="6"/>
  <c r="AN88" i="6"/>
  <c r="AO88" i="6"/>
  <c r="AI89" i="6"/>
  <c r="AJ89" i="6"/>
  <c r="AK89" i="6"/>
  <c r="AL89" i="6"/>
  <c r="AM89" i="6"/>
  <c r="AN89" i="6"/>
  <c r="AO89" i="6"/>
  <c r="AI90" i="6"/>
  <c r="AJ90" i="6"/>
  <c r="AK90" i="6"/>
  <c r="AL90" i="6"/>
  <c r="AM90" i="6"/>
  <c r="AN90" i="6"/>
  <c r="AO90" i="6"/>
  <c r="AI91" i="6"/>
  <c r="AJ91" i="6"/>
  <c r="AK91" i="6"/>
  <c r="AL91" i="6"/>
  <c r="AM91" i="6"/>
  <c r="AN91" i="6"/>
  <c r="AO91" i="6"/>
  <c r="AI92" i="6"/>
  <c r="AJ92" i="6"/>
  <c r="AK92" i="6"/>
  <c r="AL92" i="6"/>
  <c r="AM92" i="6"/>
  <c r="AN92" i="6"/>
  <c r="AO92" i="6"/>
  <c r="AI93" i="6"/>
  <c r="AJ93" i="6"/>
  <c r="AK93" i="6"/>
  <c r="AL93" i="6"/>
  <c r="AM93" i="6"/>
  <c r="AN93" i="6"/>
  <c r="AO93" i="6"/>
  <c r="AI94" i="6"/>
  <c r="AJ94" i="6"/>
  <c r="AK94" i="6"/>
  <c r="AL94" i="6"/>
  <c r="AM94" i="6"/>
  <c r="AN94" i="6"/>
  <c r="AO94" i="6"/>
  <c r="AI95" i="6"/>
  <c r="AJ95" i="6"/>
  <c r="AK95" i="6"/>
  <c r="AL95" i="6"/>
  <c r="AM95" i="6"/>
  <c r="AN95" i="6"/>
  <c r="AO95" i="6"/>
  <c r="AI96" i="6"/>
  <c r="AJ96" i="6"/>
  <c r="AK96" i="6"/>
  <c r="AL96" i="6"/>
  <c r="AM96" i="6"/>
  <c r="AN96" i="6"/>
  <c r="AO96" i="6"/>
  <c r="AI97" i="6"/>
  <c r="AJ97" i="6"/>
  <c r="AK97" i="6"/>
  <c r="AL97" i="6"/>
  <c r="AM97" i="6"/>
  <c r="AN97" i="6"/>
  <c r="AO97" i="6"/>
  <c r="AI98" i="6"/>
  <c r="AJ98" i="6"/>
  <c r="AK98" i="6"/>
  <c r="AL98" i="6"/>
  <c r="AM98" i="6"/>
  <c r="AN98" i="6"/>
  <c r="AO98" i="6"/>
  <c r="AI99" i="6"/>
  <c r="AJ99" i="6"/>
  <c r="AK99" i="6"/>
  <c r="AL99" i="6"/>
  <c r="AM99" i="6"/>
  <c r="AN99" i="6"/>
  <c r="AO99" i="6"/>
  <c r="AI60" i="5"/>
  <c r="AJ60" i="5"/>
  <c r="AK60" i="5"/>
  <c r="AL60" i="5"/>
  <c r="AM60" i="5"/>
  <c r="AN60" i="5"/>
  <c r="AO60" i="5"/>
  <c r="AI61" i="5"/>
  <c r="AJ61" i="5"/>
  <c r="AK61" i="5"/>
  <c r="AL61" i="5"/>
  <c r="AM61" i="5"/>
  <c r="AN61" i="5"/>
  <c r="AO61" i="5"/>
  <c r="AI62" i="5"/>
  <c r="AJ62" i="5"/>
  <c r="AK62" i="5"/>
  <c r="AL62" i="5"/>
  <c r="AM62" i="5"/>
  <c r="AN62" i="5"/>
  <c r="AO62" i="5"/>
  <c r="AI63" i="5"/>
  <c r="AJ63" i="5"/>
  <c r="AK63" i="5"/>
  <c r="AL63" i="5"/>
  <c r="AM63" i="5"/>
  <c r="AN63" i="5"/>
  <c r="AO63" i="5"/>
  <c r="AI64" i="5"/>
  <c r="AJ64" i="5"/>
  <c r="AK64" i="5"/>
  <c r="AL64" i="5"/>
  <c r="AM64" i="5"/>
  <c r="AN64" i="5"/>
  <c r="AO64" i="5"/>
  <c r="AI65" i="5"/>
  <c r="AJ65" i="5"/>
  <c r="AK65" i="5"/>
  <c r="AL65" i="5"/>
  <c r="AM65" i="5"/>
  <c r="AN65" i="5"/>
  <c r="AO65" i="5"/>
  <c r="AI66" i="5"/>
  <c r="AJ66" i="5"/>
  <c r="AK66" i="5"/>
  <c r="AL66" i="5"/>
  <c r="AM66" i="5"/>
  <c r="AN66" i="5"/>
  <c r="AO66" i="5"/>
  <c r="AI67" i="5"/>
  <c r="AJ67" i="5"/>
  <c r="AK67" i="5"/>
  <c r="AL67" i="5"/>
  <c r="AM67" i="5"/>
  <c r="AN67" i="5"/>
  <c r="AO67" i="5"/>
  <c r="AI68" i="5"/>
  <c r="AJ68" i="5"/>
  <c r="AK68" i="5"/>
  <c r="AL68" i="5"/>
  <c r="AM68" i="5"/>
  <c r="AN68" i="5"/>
  <c r="AO68" i="5"/>
  <c r="AI69" i="5"/>
  <c r="AJ69" i="5"/>
  <c r="AK69" i="5"/>
  <c r="AL69" i="5"/>
  <c r="AM69" i="5"/>
  <c r="AN69" i="5"/>
  <c r="AO69" i="5"/>
  <c r="AI70" i="5"/>
  <c r="AJ70" i="5"/>
  <c r="AK70" i="5"/>
  <c r="AL70" i="5"/>
  <c r="AM70" i="5"/>
  <c r="AN70" i="5"/>
  <c r="AO70" i="5"/>
  <c r="AI71" i="5"/>
  <c r="AJ71" i="5"/>
  <c r="AK71" i="5"/>
  <c r="AL71" i="5"/>
  <c r="AM71" i="5"/>
  <c r="AN71" i="5"/>
  <c r="AO71" i="5"/>
  <c r="AI72" i="5"/>
  <c r="AJ72" i="5"/>
  <c r="AK72" i="5"/>
  <c r="AL72" i="5"/>
  <c r="AM72" i="5"/>
  <c r="AN72" i="5"/>
  <c r="AO72" i="5"/>
  <c r="AI73" i="5"/>
  <c r="AJ73" i="5"/>
  <c r="AK73" i="5"/>
  <c r="AL73" i="5"/>
  <c r="AM73" i="5"/>
  <c r="AN73" i="5"/>
  <c r="AO73" i="5"/>
  <c r="AI74" i="5"/>
  <c r="AJ74" i="5"/>
  <c r="AK74" i="5"/>
  <c r="AL74" i="5"/>
  <c r="AM74" i="5"/>
  <c r="AN74" i="5"/>
  <c r="AO74" i="5"/>
  <c r="AI75" i="5"/>
  <c r="AJ75" i="5"/>
  <c r="AK75" i="5"/>
  <c r="AL75" i="5"/>
  <c r="AM75" i="5"/>
  <c r="AN75" i="5"/>
  <c r="AO75" i="5"/>
  <c r="AI76" i="5"/>
  <c r="AJ76" i="5"/>
  <c r="AK76" i="5"/>
  <c r="AL76" i="5"/>
  <c r="AM76" i="5"/>
  <c r="AN76" i="5"/>
  <c r="AO76" i="5"/>
  <c r="AI77" i="5"/>
  <c r="AJ77" i="5"/>
  <c r="AK77" i="5"/>
  <c r="AL77" i="5"/>
  <c r="AM77" i="5"/>
  <c r="AN77" i="5"/>
  <c r="AO77" i="5"/>
  <c r="AI78" i="5"/>
  <c r="AJ78" i="5"/>
  <c r="AK78" i="5"/>
  <c r="AL78" i="5"/>
  <c r="AM78" i="5"/>
  <c r="AN78" i="5"/>
  <c r="AO78" i="5"/>
  <c r="AI79" i="5"/>
  <c r="AJ79" i="5"/>
  <c r="AK79" i="5"/>
  <c r="AL79" i="5"/>
  <c r="AM79" i="5"/>
  <c r="AN79" i="5"/>
  <c r="AO79" i="5"/>
  <c r="AI80" i="5"/>
  <c r="AJ80" i="5"/>
  <c r="AK80" i="5"/>
  <c r="AL80" i="5"/>
  <c r="AM80" i="5"/>
  <c r="AN80" i="5"/>
  <c r="AO80" i="5"/>
  <c r="AI81" i="5"/>
  <c r="AJ81" i="5"/>
  <c r="AK81" i="5"/>
  <c r="AL81" i="5"/>
  <c r="AM81" i="5"/>
  <c r="AN81" i="5"/>
  <c r="AO81" i="5"/>
  <c r="AI82" i="5"/>
  <c r="AJ82" i="5"/>
  <c r="AK82" i="5"/>
  <c r="AL82" i="5"/>
  <c r="AM82" i="5"/>
  <c r="AN82" i="5"/>
  <c r="AO82" i="5"/>
  <c r="AI83" i="5"/>
  <c r="AJ83" i="5"/>
  <c r="AK83" i="5"/>
  <c r="AL83" i="5"/>
  <c r="AM83" i="5"/>
  <c r="AN83" i="5"/>
  <c r="AO83" i="5"/>
  <c r="AI84" i="5"/>
  <c r="AJ84" i="5"/>
  <c r="AK84" i="5"/>
  <c r="AL84" i="5"/>
  <c r="AM84" i="5"/>
  <c r="AN84" i="5"/>
  <c r="AO84" i="5"/>
  <c r="AI85" i="5"/>
  <c r="AJ85" i="5"/>
  <c r="AK85" i="5"/>
  <c r="AL85" i="5"/>
  <c r="AM85" i="5"/>
  <c r="AN85" i="5"/>
  <c r="AO85" i="5"/>
  <c r="AI86" i="5"/>
  <c r="AJ86" i="5"/>
  <c r="AK86" i="5"/>
  <c r="AL86" i="5"/>
  <c r="AM86" i="5"/>
  <c r="AN86" i="5"/>
  <c r="AO86" i="5"/>
  <c r="AI87" i="5"/>
  <c r="AJ87" i="5"/>
  <c r="AK87" i="5"/>
  <c r="AL87" i="5"/>
  <c r="AM87" i="5"/>
  <c r="AN87" i="5"/>
  <c r="AO87" i="5"/>
  <c r="AI88" i="5"/>
  <c r="AJ88" i="5"/>
  <c r="AK88" i="5"/>
  <c r="AL88" i="5"/>
  <c r="AM88" i="5"/>
  <c r="AN88" i="5"/>
  <c r="AO88" i="5"/>
  <c r="AI89" i="5"/>
  <c r="AJ89" i="5"/>
  <c r="AK89" i="5"/>
  <c r="AL89" i="5"/>
  <c r="AM89" i="5"/>
  <c r="AN89" i="5"/>
  <c r="AO89" i="5"/>
  <c r="AI90" i="5"/>
  <c r="AJ90" i="5"/>
  <c r="AK90" i="5"/>
  <c r="AL90" i="5"/>
  <c r="AM90" i="5"/>
  <c r="AN90" i="5"/>
  <c r="AO90" i="5"/>
  <c r="AI91" i="5"/>
  <c r="AJ91" i="5"/>
  <c r="AK91" i="5"/>
  <c r="AL91" i="5"/>
  <c r="AM91" i="5"/>
  <c r="AN91" i="5"/>
  <c r="AO91" i="5"/>
  <c r="AI92" i="5"/>
  <c r="AJ92" i="5"/>
  <c r="AK92" i="5"/>
  <c r="AL92" i="5"/>
  <c r="AM92" i="5"/>
  <c r="AN92" i="5"/>
  <c r="AO92" i="5"/>
  <c r="AI93" i="5"/>
  <c r="AJ93" i="5"/>
  <c r="AK93" i="5"/>
  <c r="AL93" i="5"/>
  <c r="AM93" i="5"/>
  <c r="AN93" i="5"/>
  <c r="AO93" i="5"/>
  <c r="AI94" i="5"/>
  <c r="AJ94" i="5"/>
  <c r="AK94" i="5"/>
  <c r="AL94" i="5"/>
  <c r="AM94" i="5"/>
  <c r="AN94" i="5"/>
  <c r="AO94" i="5"/>
  <c r="AI95" i="5"/>
  <c r="AJ95" i="5"/>
  <c r="AK95" i="5"/>
  <c r="AL95" i="5"/>
  <c r="AM95" i="5"/>
  <c r="AN95" i="5"/>
  <c r="AO95" i="5"/>
  <c r="AI96" i="5"/>
  <c r="AJ96" i="5"/>
  <c r="AK96" i="5"/>
  <c r="AL96" i="5"/>
  <c r="AM96" i="5"/>
  <c r="AN96" i="5"/>
  <c r="AO96" i="5"/>
  <c r="AI97" i="5"/>
  <c r="AJ97" i="5"/>
  <c r="AK97" i="5"/>
  <c r="AL97" i="5"/>
  <c r="AM97" i="5"/>
  <c r="AN97" i="5"/>
  <c r="AO97" i="5"/>
  <c r="AI98" i="5"/>
  <c r="AJ98" i="5"/>
  <c r="AK98" i="5"/>
  <c r="AL98" i="5"/>
  <c r="AM98" i="5"/>
  <c r="AN98" i="5"/>
  <c r="AO98" i="5"/>
  <c r="AI99" i="5"/>
  <c r="AJ99" i="5"/>
  <c r="AK99" i="5"/>
  <c r="AL99" i="5"/>
  <c r="AM99" i="5"/>
  <c r="AN99" i="5"/>
  <c r="AO99" i="5"/>
  <c r="AH102" i="6" l="1"/>
  <c r="BH45" i="5" a="1"/>
  <c r="BH45" i="5" s="1"/>
  <c r="BH53" i="5" s="1"/>
  <c r="BQ53" i="5"/>
  <c r="I17" i="3"/>
  <c r="V17" i="3" s="1"/>
  <c r="L45" i="5"/>
  <c r="AG100" i="5" s="1"/>
  <c r="BS53" i="5"/>
  <c r="BP53" i="5"/>
  <c r="BT53" i="5"/>
  <c r="BR53" i="5"/>
  <c r="AH100" i="5"/>
  <c r="AH101" i="5"/>
  <c r="AH102" i="5"/>
  <c r="AH104" i="5"/>
  <c r="BF45" i="6" a="1"/>
  <c r="BF45" i="6" s="1"/>
  <c r="BH45" i="6" a="1"/>
  <c r="BH45" i="6" s="1"/>
  <c r="BH53" i="6" s="1"/>
  <c r="AZ45" i="6" a="1"/>
  <c r="AZ45" i="6" s="1"/>
  <c r="BD45" i="6" a="1"/>
  <c r="BD45" i="6" s="1"/>
  <c r="BI45" i="6" a="1"/>
  <c r="BI45" i="6" s="1"/>
  <c r="BI53" i="6" s="1"/>
  <c r="BM45" i="6" a="1"/>
  <c r="BM45" i="6" s="1"/>
  <c r="BM53" i="6" s="1"/>
  <c r="BB45" i="6" a="1"/>
  <c r="BB45" i="6" s="1"/>
  <c r="BC45" i="6" a="1"/>
  <c r="BC45" i="6" s="1"/>
  <c r="BA45" i="6" a="1"/>
  <c r="BA45" i="6" s="1"/>
  <c r="BE45" i="6" a="1"/>
  <c r="BE45" i="6" s="1"/>
  <c r="BM45" i="5" a="1"/>
  <c r="BM45" i="5" s="1"/>
  <c r="BM53" i="5" s="1"/>
  <c r="L48" i="5"/>
  <c r="BE45" i="5" s="1" a="1"/>
  <c r="BE45" i="5" s="1"/>
  <c r="BI45" i="5" a="1"/>
  <c r="BI45" i="5" s="1"/>
  <c r="BI53" i="5" s="1"/>
  <c r="BN40" i="6" a="1"/>
  <c r="BN40" i="6" s="1"/>
  <c r="BL40" i="6" a="1"/>
  <c r="BL40" i="6" s="1"/>
  <c r="BK40" i="6" a="1"/>
  <c r="BK40" i="6" s="1"/>
  <c r="BJ40" i="6" a="1"/>
  <c r="BJ40" i="6" s="1"/>
  <c r="BN35" i="6" a="1"/>
  <c r="BN35" i="6" s="1"/>
  <c r="BL35" i="6" a="1"/>
  <c r="BL35" i="6" s="1"/>
  <c r="BK35" i="6" a="1"/>
  <c r="BK35" i="6" s="1"/>
  <c r="BJ35" i="6" a="1"/>
  <c r="BJ35" i="6" s="1"/>
  <c r="BN30" i="6" a="1"/>
  <c r="BN30" i="6" s="1"/>
  <c r="BL30" i="6" a="1"/>
  <c r="BL30" i="6" s="1"/>
  <c r="BK30" i="6" a="1"/>
  <c r="BK30" i="6" s="1"/>
  <c r="BJ30" i="6" a="1"/>
  <c r="BJ30" i="6" s="1"/>
  <c r="BN25" i="6" a="1"/>
  <c r="BN25" i="6" s="1"/>
  <c r="BL25" i="6" a="1"/>
  <c r="BL25" i="6" s="1"/>
  <c r="BK25" i="6" a="1"/>
  <c r="BK25" i="6" s="1"/>
  <c r="BJ25" i="6" a="1"/>
  <c r="BJ25" i="6" s="1"/>
  <c r="BN20" i="6" a="1"/>
  <c r="BN20" i="6" s="1"/>
  <c r="BL20" i="6" a="1"/>
  <c r="BL20" i="6" s="1"/>
  <c r="BK20" i="6" a="1"/>
  <c r="BK20" i="6" s="1"/>
  <c r="BJ20" i="6" a="1"/>
  <c r="BJ20" i="6" s="1"/>
  <c r="BN15" i="6" a="1"/>
  <c r="BN15" i="6" s="1"/>
  <c r="BL15" i="6" a="1"/>
  <c r="BL15" i="6" s="1"/>
  <c r="BK15" i="6" a="1"/>
  <c r="BK15" i="6" s="1"/>
  <c r="BJ15" i="6" a="1"/>
  <c r="BJ15" i="6" s="1"/>
  <c r="BN10" i="6" a="1"/>
  <c r="BN10" i="6" s="1"/>
  <c r="BL10" i="6" a="1"/>
  <c r="BL10" i="6" s="1"/>
  <c r="BK10" i="6" a="1"/>
  <c r="BK10" i="6" s="1"/>
  <c r="BJ10" i="6" a="1"/>
  <c r="BJ10" i="6" s="1"/>
  <c r="BN5" i="6" a="1"/>
  <c r="BN5" i="6" s="1"/>
  <c r="BN54" i="6" s="1"/>
  <c r="BL5" i="6" a="1"/>
  <c r="BL5" i="6" s="1"/>
  <c r="BL54" i="6" s="1"/>
  <c r="BK5" i="6" a="1"/>
  <c r="BK5" i="6" s="1"/>
  <c r="BK54" i="6" s="1"/>
  <c r="BJ5" i="6" a="1"/>
  <c r="BJ5" i="6" s="1"/>
  <c r="BJ54" i="6" s="1"/>
  <c r="AZ53" i="6" l="1"/>
  <c r="C36" i="1" s="1"/>
  <c r="J16" i="7" s="1"/>
  <c r="J12" i="7"/>
  <c r="P12" i="7"/>
  <c r="BF53" i="6"/>
  <c r="I36" i="1" s="1"/>
  <c r="P16" i="7" s="1"/>
  <c r="O12" i="7"/>
  <c r="BE53" i="6"/>
  <c r="H36" i="1" s="1"/>
  <c r="O16" i="7" s="1"/>
  <c r="BE53" i="5"/>
  <c r="H23" i="1" s="1"/>
  <c r="H16" i="7" s="1"/>
  <c r="H12" i="7"/>
  <c r="BA53" i="6"/>
  <c r="D36" i="1" s="1"/>
  <c r="K16" i="7" s="1"/>
  <c r="K12" i="7"/>
  <c r="M12" i="7"/>
  <c r="BC53" i="6"/>
  <c r="F36" i="1" s="1"/>
  <c r="M16" i="7" s="1"/>
  <c r="BB53" i="6"/>
  <c r="E36" i="1" s="1"/>
  <c r="L16" i="7" s="1"/>
  <c r="L12" i="7"/>
  <c r="N12" i="7"/>
  <c r="BD53" i="6"/>
  <c r="G36" i="1" s="1"/>
  <c r="N16" i="7" s="1"/>
  <c r="BB45" i="5" a="1"/>
  <c r="BB45" i="5" s="1"/>
  <c r="AG103" i="5"/>
  <c r="BA45" i="5" a="1"/>
  <c r="BA45" i="5" s="1"/>
  <c r="BD45" i="5" a="1"/>
  <c r="BD45" i="5" s="1"/>
  <c r="AZ45" i="5" a="1"/>
  <c r="AZ45" i="5" s="1"/>
  <c r="BC45" i="5" a="1"/>
  <c r="BC45" i="5" s="1"/>
  <c r="BF45" i="5" a="1"/>
  <c r="BF45" i="5" s="1"/>
  <c r="BT44" i="5"/>
  <c r="BT43" i="5"/>
  <c r="BT42" i="5"/>
  <c r="BT41" i="5"/>
  <c r="BT40" i="5"/>
  <c r="BT39" i="5"/>
  <c r="BT38" i="5"/>
  <c r="BT37" i="5"/>
  <c r="BT36" i="5"/>
  <c r="BT35" i="5"/>
  <c r="BT34" i="5"/>
  <c r="BT33" i="5"/>
  <c r="BT32" i="5"/>
  <c r="BT31" i="5"/>
  <c r="BT30" i="5"/>
  <c r="BT29" i="5"/>
  <c r="BT28" i="5"/>
  <c r="BT27" i="5"/>
  <c r="BT26" i="5"/>
  <c r="BT25" i="5"/>
  <c r="BT24" i="5"/>
  <c r="BT23" i="5"/>
  <c r="BT22" i="5"/>
  <c r="BT21" i="5"/>
  <c r="BT20" i="5"/>
  <c r="BT19" i="5"/>
  <c r="BT18" i="5"/>
  <c r="BT17" i="5"/>
  <c r="BT16" i="5"/>
  <c r="BT15" i="5"/>
  <c r="BT14" i="5"/>
  <c r="BT13" i="5"/>
  <c r="BT12" i="5"/>
  <c r="BT11" i="5"/>
  <c r="BT10" i="5"/>
  <c r="BT9" i="5"/>
  <c r="BT8" i="5"/>
  <c r="BT7" i="5"/>
  <c r="BT6" i="5"/>
  <c r="BT5" i="5"/>
  <c r="BT54" i="5" s="1"/>
  <c r="BT44" i="6"/>
  <c r="BT43" i="6"/>
  <c r="BT42" i="6"/>
  <c r="BT41" i="6"/>
  <c r="BT40" i="6"/>
  <c r="BT39" i="6"/>
  <c r="BT38" i="6"/>
  <c r="BT37" i="6"/>
  <c r="BT36" i="6"/>
  <c r="BT35" i="6"/>
  <c r="BT34" i="6"/>
  <c r="BT33" i="6"/>
  <c r="BT32" i="6"/>
  <c r="BT31" i="6"/>
  <c r="BT30" i="6"/>
  <c r="BT29" i="6"/>
  <c r="BT28" i="6"/>
  <c r="BT27" i="6"/>
  <c r="BT26" i="6"/>
  <c r="BT25" i="6"/>
  <c r="BT24" i="6"/>
  <c r="BT23" i="6"/>
  <c r="BT22" i="6"/>
  <c r="BT21" i="6"/>
  <c r="BT20" i="6"/>
  <c r="BT19" i="6"/>
  <c r="BT18" i="6"/>
  <c r="BT17" i="6"/>
  <c r="BT16" i="6"/>
  <c r="BT15" i="6"/>
  <c r="BT14" i="6"/>
  <c r="BT13" i="6"/>
  <c r="BT12" i="6"/>
  <c r="BT11" i="6"/>
  <c r="BT10" i="6"/>
  <c r="BT9" i="6"/>
  <c r="BT8" i="6"/>
  <c r="BT7" i="6"/>
  <c r="BT6" i="6"/>
  <c r="BT5" i="6"/>
  <c r="BN40" i="5" a="1"/>
  <c r="BN40" i="5" s="1"/>
  <c r="BL40" i="5" a="1"/>
  <c r="BL40" i="5" s="1"/>
  <c r="BK40" i="5" a="1"/>
  <c r="BK40" i="5" s="1"/>
  <c r="BJ40" i="5" a="1"/>
  <c r="BJ40" i="5" s="1"/>
  <c r="BN35" i="5" a="1"/>
  <c r="BN35" i="5" s="1"/>
  <c r="BL35" i="5" a="1"/>
  <c r="BL35" i="5" s="1"/>
  <c r="BK35" i="5" a="1"/>
  <c r="BK35" i="5" s="1"/>
  <c r="BJ35" i="5" a="1"/>
  <c r="BJ35" i="5" s="1"/>
  <c r="BN30" i="5" a="1"/>
  <c r="BN30" i="5" s="1"/>
  <c r="BL30" i="5" a="1"/>
  <c r="BL30" i="5" s="1"/>
  <c r="BK30" i="5" a="1"/>
  <c r="BK30" i="5" s="1"/>
  <c r="BJ30" i="5" a="1"/>
  <c r="BJ30" i="5" s="1"/>
  <c r="BN25" i="5" a="1"/>
  <c r="BN25" i="5" s="1"/>
  <c r="BL25" i="5" a="1"/>
  <c r="BL25" i="5" s="1"/>
  <c r="BK25" i="5" a="1"/>
  <c r="BK25" i="5" s="1"/>
  <c r="BJ25" i="5" a="1"/>
  <c r="BJ25" i="5" s="1"/>
  <c r="BN20" i="5" a="1"/>
  <c r="BN20" i="5" s="1"/>
  <c r="BL20" i="5" a="1"/>
  <c r="BL20" i="5" s="1"/>
  <c r="BK20" i="5" a="1"/>
  <c r="BK20" i="5" s="1"/>
  <c r="BJ20" i="5" a="1"/>
  <c r="BJ20" i="5" s="1"/>
  <c r="BN15" i="5" a="1"/>
  <c r="BN15" i="5" s="1"/>
  <c r="BL15" i="5" a="1"/>
  <c r="BL15" i="5" s="1"/>
  <c r="BK15" i="5" a="1"/>
  <c r="BK15" i="5" s="1"/>
  <c r="BJ15" i="5" a="1"/>
  <c r="BJ15" i="5" s="1"/>
  <c r="BN10" i="5" a="1"/>
  <c r="BN10" i="5" s="1"/>
  <c r="BL10" i="5" a="1"/>
  <c r="BL10" i="5" s="1"/>
  <c r="BK10" i="5" a="1"/>
  <c r="BK10" i="5" s="1"/>
  <c r="BJ10" i="5" a="1"/>
  <c r="BJ10" i="5" s="1"/>
  <c r="BN5" i="5" a="1"/>
  <c r="BN5" i="5" s="1"/>
  <c r="BL5" i="5" a="1"/>
  <c r="BL5" i="5" s="1"/>
  <c r="BL54" i="5" s="1"/>
  <c r="BK5" i="5" a="1"/>
  <c r="BK5" i="5" s="1"/>
  <c r="BK54" i="5" s="1"/>
  <c r="BJ5" i="5" a="1"/>
  <c r="BJ5" i="5" s="1"/>
  <c r="BJ54" i="5" s="1"/>
  <c r="BN52" i="6"/>
  <c r="BL51" i="6"/>
  <c r="BK51" i="6"/>
  <c r="BJ51" i="6"/>
  <c r="BT54" i="6" l="1"/>
  <c r="BN54" i="5"/>
  <c r="AZ53" i="5"/>
  <c r="C23" i="1" s="1"/>
  <c r="C16" i="7" s="1"/>
  <c r="C12" i="7"/>
  <c r="BF53" i="5"/>
  <c r="I23" i="1" s="1"/>
  <c r="I16" i="7" s="1"/>
  <c r="I12" i="7"/>
  <c r="BC53" i="5"/>
  <c r="F23" i="1" s="1"/>
  <c r="F16" i="7" s="1"/>
  <c r="F12" i="7"/>
  <c r="BD53" i="5"/>
  <c r="G23" i="1" s="1"/>
  <c r="G16" i="7" s="1"/>
  <c r="G12" i="7"/>
  <c r="BA53" i="5"/>
  <c r="D23" i="1" s="1"/>
  <c r="D16" i="7" s="1"/>
  <c r="D12" i="7"/>
  <c r="BB53" i="5"/>
  <c r="E23" i="1" s="1"/>
  <c r="E16" i="7" s="1"/>
  <c r="E12" i="7"/>
  <c r="BT51" i="5"/>
  <c r="BT51" i="6"/>
  <c r="BT52" i="6"/>
  <c r="BT52" i="5"/>
  <c r="BN51" i="5"/>
  <c r="BJ52" i="5"/>
  <c r="BK52" i="5"/>
  <c r="BT50" i="5"/>
  <c r="BT50" i="6"/>
  <c r="BN51" i="6"/>
  <c r="BL52" i="5"/>
  <c r="BN50" i="5"/>
  <c r="BJ51" i="5"/>
  <c r="BN52" i="5"/>
  <c r="BJ50" i="5"/>
  <c r="BK50" i="5"/>
  <c r="BL50" i="5"/>
  <c r="BK51" i="5"/>
  <c r="BL51" i="5"/>
  <c r="BN50" i="6"/>
  <c r="BJ50" i="6"/>
  <c r="BL50" i="6"/>
  <c r="BK52" i="6"/>
  <c r="BK50" i="6"/>
  <c r="BJ52" i="6"/>
  <c r="BL52" i="6"/>
  <c r="AH44" i="5"/>
  <c r="AH43" i="5"/>
  <c r="AH42" i="5"/>
  <c r="AH41" i="5"/>
  <c r="AH40" i="5"/>
  <c r="AH39" i="5"/>
  <c r="AH38" i="5"/>
  <c r="AH37" i="5"/>
  <c r="AH36" i="5"/>
  <c r="AH35" i="5"/>
  <c r="AH34" i="5"/>
  <c r="AH33" i="5"/>
  <c r="AH32" i="5"/>
  <c r="AH31" i="5"/>
  <c r="AH30" i="5"/>
  <c r="AH29" i="5"/>
  <c r="AH28" i="5"/>
  <c r="AH27" i="5"/>
  <c r="AH26" i="5"/>
  <c r="AH25" i="5"/>
  <c r="AH24" i="5"/>
  <c r="AH23" i="5"/>
  <c r="AH22" i="5"/>
  <c r="AH21" i="5"/>
  <c r="AH20" i="5"/>
  <c r="AH19" i="5"/>
  <c r="AH18" i="5"/>
  <c r="AH17" i="5"/>
  <c r="AH16" i="5"/>
  <c r="AH15" i="5"/>
  <c r="AH14" i="5"/>
  <c r="AH13" i="5"/>
  <c r="AH12" i="5"/>
  <c r="AH11" i="5"/>
  <c r="AH10" i="5"/>
  <c r="AH9" i="5"/>
  <c r="AH8" i="5"/>
  <c r="AH7" i="5"/>
  <c r="AH6" i="5"/>
  <c r="AH5" i="5"/>
  <c r="M44" i="5"/>
  <c r="L44" i="5" s="1"/>
  <c r="M43" i="5"/>
  <c r="L43" i="5" s="1"/>
  <c r="M42" i="5"/>
  <c r="L42" i="5" s="1"/>
  <c r="M41" i="5"/>
  <c r="L41" i="5" s="1"/>
  <c r="AG96" i="5" s="1"/>
  <c r="M40" i="5"/>
  <c r="L40" i="5" s="1"/>
  <c r="M39" i="5"/>
  <c r="L39" i="5" s="1"/>
  <c r="M38" i="5"/>
  <c r="L38" i="5" s="1"/>
  <c r="M37" i="5"/>
  <c r="L37" i="5" s="1"/>
  <c r="M36" i="5"/>
  <c r="L36" i="5" s="1"/>
  <c r="M35" i="5"/>
  <c r="L35" i="5" s="1"/>
  <c r="M34" i="5"/>
  <c r="L34" i="5" s="1"/>
  <c r="M33" i="5"/>
  <c r="L33" i="5" s="1"/>
  <c r="M32" i="5"/>
  <c r="L32" i="5" s="1"/>
  <c r="M31" i="5"/>
  <c r="L31" i="5" s="1"/>
  <c r="M30" i="5"/>
  <c r="L30" i="5" s="1"/>
  <c r="M29" i="5"/>
  <c r="L29" i="5" s="1"/>
  <c r="M28" i="5"/>
  <c r="L28" i="5" s="1"/>
  <c r="M27" i="5"/>
  <c r="L27" i="5" s="1"/>
  <c r="M26" i="5"/>
  <c r="L26" i="5" s="1"/>
  <c r="M25" i="5"/>
  <c r="L25" i="5" s="1"/>
  <c r="M24" i="5"/>
  <c r="L24" i="5" s="1"/>
  <c r="M23" i="5"/>
  <c r="L23" i="5" s="1"/>
  <c r="M22" i="5"/>
  <c r="L22" i="5" s="1"/>
  <c r="M21" i="5"/>
  <c r="L21" i="5" s="1"/>
  <c r="M20" i="5"/>
  <c r="L20" i="5" s="1"/>
  <c r="M19" i="5"/>
  <c r="L19" i="5" s="1"/>
  <c r="M18" i="5"/>
  <c r="L18" i="5" s="1"/>
  <c r="M17" i="5"/>
  <c r="L17" i="5" s="1"/>
  <c r="M16" i="5"/>
  <c r="L16" i="5" s="1"/>
  <c r="M15" i="5"/>
  <c r="L15" i="5" s="1"/>
  <c r="M14" i="5"/>
  <c r="L14" i="5" s="1"/>
  <c r="M13" i="5"/>
  <c r="L13" i="5" s="1"/>
  <c r="M12" i="5"/>
  <c r="L12" i="5" s="1"/>
  <c r="M11" i="5"/>
  <c r="L11" i="5" s="1"/>
  <c r="M10" i="5"/>
  <c r="L10" i="5" s="1"/>
  <c r="M9" i="5"/>
  <c r="L9" i="5" s="1"/>
  <c r="M8" i="5"/>
  <c r="L8" i="5" s="1"/>
  <c r="M7" i="5"/>
  <c r="L7" i="5" s="1"/>
  <c r="M6" i="5"/>
  <c r="L6" i="5" s="1"/>
  <c r="M5" i="5"/>
  <c r="L5" i="5" s="1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AH8" i="6"/>
  <c r="AH7" i="6"/>
  <c r="AH6" i="6"/>
  <c r="AH5" i="6"/>
  <c r="M44" i="6"/>
  <c r="L44" i="6" s="1"/>
  <c r="M43" i="6"/>
  <c r="L43" i="6" s="1"/>
  <c r="M42" i="6"/>
  <c r="L42" i="6" s="1"/>
  <c r="M41" i="6"/>
  <c r="L41" i="6" s="1"/>
  <c r="M40" i="6"/>
  <c r="M39" i="6"/>
  <c r="L39" i="6" s="1"/>
  <c r="M38" i="6"/>
  <c r="L38" i="6" s="1"/>
  <c r="M37" i="6"/>
  <c r="L37" i="6" s="1"/>
  <c r="M36" i="6"/>
  <c r="L36" i="6" s="1"/>
  <c r="M35" i="6"/>
  <c r="M34" i="6"/>
  <c r="L34" i="6" s="1"/>
  <c r="M33" i="6"/>
  <c r="L33" i="6" s="1"/>
  <c r="M32" i="6"/>
  <c r="L32" i="6" s="1"/>
  <c r="M31" i="6"/>
  <c r="L31" i="6" s="1"/>
  <c r="M30" i="6"/>
  <c r="M29" i="6"/>
  <c r="L29" i="6" s="1"/>
  <c r="M28" i="6"/>
  <c r="L28" i="6" s="1"/>
  <c r="M27" i="6"/>
  <c r="L27" i="6" s="1"/>
  <c r="M26" i="6"/>
  <c r="L26" i="6" s="1"/>
  <c r="M25" i="6"/>
  <c r="M24" i="6"/>
  <c r="L24" i="6" s="1"/>
  <c r="M23" i="6"/>
  <c r="L23" i="6" s="1"/>
  <c r="M22" i="6"/>
  <c r="L22" i="6" s="1"/>
  <c r="M21" i="6"/>
  <c r="L21" i="6" s="1"/>
  <c r="M20" i="6"/>
  <c r="M19" i="6"/>
  <c r="L19" i="6" s="1"/>
  <c r="M18" i="6"/>
  <c r="L18" i="6" s="1"/>
  <c r="M17" i="6"/>
  <c r="L17" i="6" s="1"/>
  <c r="M16" i="6"/>
  <c r="L16" i="6" s="1"/>
  <c r="M15" i="6"/>
  <c r="M14" i="6"/>
  <c r="L14" i="6" s="1"/>
  <c r="M13" i="6"/>
  <c r="L13" i="6" s="1"/>
  <c r="M12" i="6"/>
  <c r="L12" i="6" s="1"/>
  <c r="M11" i="6"/>
  <c r="L11" i="6" s="1"/>
  <c r="M10" i="6"/>
  <c r="M9" i="6"/>
  <c r="L9" i="6" s="1"/>
  <c r="M8" i="6"/>
  <c r="L8" i="6" s="1"/>
  <c r="M7" i="6"/>
  <c r="L7" i="6" s="1"/>
  <c r="M6" i="6"/>
  <c r="L6" i="6" s="1"/>
  <c r="M5" i="6"/>
  <c r="L25" i="6" l="1"/>
  <c r="BH25" i="6" a="1"/>
  <c r="BH25" i="6" s="1"/>
  <c r="BM25" i="6" a="1"/>
  <c r="BM25" i="6" s="1"/>
  <c r="BI25" i="6" a="1"/>
  <c r="BI25" i="6" s="1"/>
  <c r="AH64" i="6"/>
  <c r="AG9" i="6"/>
  <c r="AG64" i="6" s="1"/>
  <c r="AH88" i="6"/>
  <c r="AG33" i="6"/>
  <c r="AG88" i="6" s="1"/>
  <c r="AH96" i="5"/>
  <c r="AG41" i="5"/>
  <c r="AH89" i="6"/>
  <c r="AG34" i="6"/>
  <c r="AG89" i="6" s="1"/>
  <c r="L5" i="6"/>
  <c r="BH5" i="6" a="1"/>
  <c r="BH5" i="6" s="1"/>
  <c r="BH54" i="6" s="1"/>
  <c r="BM5" i="6" a="1"/>
  <c r="BM5" i="6" s="1"/>
  <c r="BI5" i="6" a="1"/>
  <c r="BI5" i="6" s="1"/>
  <c r="AG5" i="6"/>
  <c r="AH60" i="6"/>
  <c r="AG29" i="6"/>
  <c r="AG84" i="6" s="1"/>
  <c r="AH84" i="6"/>
  <c r="AG21" i="5"/>
  <c r="AG76" i="5" s="1"/>
  <c r="AH76" i="5"/>
  <c r="L40" i="6"/>
  <c r="BM40" i="6" a="1"/>
  <c r="BM40" i="6" s="1"/>
  <c r="BI40" i="6" a="1"/>
  <c r="BI40" i="6" s="1"/>
  <c r="BH40" i="6" a="1"/>
  <c r="BH40" i="6" s="1"/>
  <c r="AH63" i="6"/>
  <c r="AG8" i="6"/>
  <c r="AG63" i="6" s="1"/>
  <c r="AH71" i="6"/>
  <c r="AG16" i="6"/>
  <c r="AG71" i="6" s="1"/>
  <c r="AH79" i="6"/>
  <c r="AG24" i="6"/>
  <c r="AG79" i="6" s="1"/>
  <c r="AH87" i="6"/>
  <c r="AG32" i="6"/>
  <c r="AG87" i="6" s="1"/>
  <c r="AH95" i="6"/>
  <c r="AG40" i="6"/>
  <c r="AH63" i="5"/>
  <c r="AG8" i="5"/>
  <c r="AG63" i="5" s="1"/>
  <c r="AH71" i="5"/>
  <c r="AG16" i="5"/>
  <c r="AG71" i="5" s="1"/>
  <c r="AH79" i="5"/>
  <c r="AG24" i="5"/>
  <c r="AG79" i="5" s="1"/>
  <c r="AH87" i="5"/>
  <c r="AG32" i="5"/>
  <c r="AG87" i="5" s="1"/>
  <c r="AH95" i="5"/>
  <c r="AG40" i="5"/>
  <c r="AG95" i="5" s="1"/>
  <c r="AH64" i="5"/>
  <c r="AG9" i="5"/>
  <c r="AG64" i="5" s="1"/>
  <c r="AH80" i="5"/>
  <c r="AG25" i="5"/>
  <c r="AG80" i="5" s="1"/>
  <c r="AH65" i="6"/>
  <c r="AG10" i="6"/>
  <c r="AH65" i="5"/>
  <c r="AG10" i="5"/>
  <c r="AG65" i="5" s="1"/>
  <c r="AH81" i="5"/>
  <c r="AG26" i="5"/>
  <c r="AG81" i="5" s="1"/>
  <c r="AH97" i="5"/>
  <c r="AG42" i="5"/>
  <c r="AG97" i="5" s="1"/>
  <c r="L35" i="6"/>
  <c r="BI35" i="6" a="1"/>
  <c r="BI35" i="6" s="1"/>
  <c r="BH35" i="6" a="1"/>
  <c r="BH35" i="6" s="1"/>
  <c r="BM35" i="6" a="1"/>
  <c r="BM35" i="6" s="1"/>
  <c r="AH66" i="6"/>
  <c r="AG11" i="6"/>
  <c r="AG66" i="6" s="1"/>
  <c r="AH74" i="6"/>
  <c r="AG19" i="6"/>
  <c r="AG74" i="6" s="1"/>
  <c r="AH82" i="6"/>
  <c r="AG27" i="6"/>
  <c r="AG82" i="6" s="1"/>
  <c r="AH90" i="6"/>
  <c r="AG35" i="6"/>
  <c r="AG90" i="6" s="1"/>
  <c r="AH98" i="6"/>
  <c r="AG43" i="6"/>
  <c r="AG98" i="6" s="1"/>
  <c r="AH66" i="5"/>
  <c r="AG11" i="5"/>
  <c r="AG66" i="5" s="1"/>
  <c r="AH74" i="5"/>
  <c r="AG19" i="5"/>
  <c r="AG74" i="5" s="1"/>
  <c r="AH82" i="5"/>
  <c r="AG27" i="5"/>
  <c r="AG82" i="5" s="1"/>
  <c r="AH90" i="5"/>
  <c r="AG35" i="5"/>
  <c r="AG90" i="5" s="1"/>
  <c r="AH98" i="5"/>
  <c r="AG43" i="5"/>
  <c r="AG98" i="5" s="1"/>
  <c r="AH72" i="6"/>
  <c r="AG17" i="6"/>
  <c r="AG72" i="6" s="1"/>
  <c r="AH72" i="5"/>
  <c r="AG17" i="5"/>
  <c r="AG72" i="5" s="1"/>
  <c r="AH88" i="5"/>
  <c r="AG33" i="5"/>
  <c r="AG88" i="5" s="1"/>
  <c r="AH81" i="6"/>
  <c r="AG26" i="6"/>
  <c r="AG81" i="6" s="1"/>
  <c r="AH73" i="5"/>
  <c r="AG18" i="5"/>
  <c r="AG73" i="5" s="1"/>
  <c r="AH89" i="5"/>
  <c r="AG34" i="5"/>
  <c r="AG89" i="5" s="1"/>
  <c r="L20" i="6"/>
  <c r="BI20" i="6" a="1"/>
  <c r="BI20" i="6" s="1"/>
  <c r="BH20" i="6" a="1"/>
  <c r="BH20" i="6" s="1"/>
  <c r="BM20" i="6" a="1"/>
  <c r="BM20" i="6" s="1"/>
  <c r="AH67" i="6"/>
  <c r="AG12" i="6"/>
  <c r="AG67" i="6" s="1"/>
  <c r="AH75" i="6"/>
  <c r="AG20" i="6"/>
  <c r="AH83" i="6"/>
  <c r="AG28" i="6"/>
  <c r="AG83" i="6" s="1"/>
  <c r="AH91" i="6"/>
  <c r="AG36" i="6"/>
  <c r="AG91" i="6" s="1"/>
  <c r="AH99" i="6"/>
  <c r="AG44" i="6"/>
  <c r="AG99" i="6" s="1"/>
  <c r="AH67" i="5"/>
  <c r="AG12" i="5"/>
  <c r="AG67" i="5" s="1"/>
  <c r="AH75" i="5"/>
  <c r="AG20" i="5"/>
  <c r="AG75" i="5" s="1"/>
  <c r="AH83" i="5"/>
  <c r="AG28" i="5"/>
  <c r="AG83" i="5" s="1"/>
  <c r="AH91" i="5"/>
  <c r="AG36" i="5"/>
  <c r="AG91" i="5" s="1"/>
  <c r="AH99" i="5"/>
  <c r="AG44" i="5"/>
  <c r="AG99" i="5" s="1"/>
  <c r="AH80" i="6"/>
  <c r="AG25" i="6"/>
  <c r="AG80" i="6" s="1"/>
  <c r="L10" i="6"/>
  <c r="BH10" i="6" a="1"/>
  <c r="BH10" i="6" s="1"/>
  <c r="BM10" i="6" a="1"/>
  <c r="BM10" i="6" s="1"/>
  <c r="BI10" i="6" a="1"/>
  <c r="BI10" i="6" s="1"/>
  <c r="AG37" i="6"/>
  <c r="AG92" i="6" s="1"/>
  <c r="AH92" i="6"/>
  <c r="AG13" i="5"/>
  <c r="AG68" i="5" s="1"/>
  <c r="AH68" i="5"/>
  <c r="AG37" i="5"/>
  <c r="AG92" i="5" s="1"/>
  <c r="AH92" i="5"/>
  <c r="L30" i="6"/>
  <c r="BH30" i="6" a="1"/>
  <c r="BH30" i="6" s="1"/>
  <c r="BM30" i="6" a="1"/>
  <c r="BM30" i="6" s="1"/>
  <c r="BI30" i="6" a="1"/>
  <c r="BI30" i="6" s="1"/>
  <c r="AG6" i="6"/>
  <c r="AG61" i="6" s="1"/>
  <c r="AH61" i="6"/>
  <c r="AG14" i="6"/>
  <c r="AG69" i="6" s="1"/>
  <c r="AH69" i="6"/>
  <c r="AG22" i="6"/>
  <c r="AG77" i="6" s="1"/>
  <c r="AH77" i="6"/>
  <c r="AG30" i="6"/>
  <c r="AH85" i="6"/>
  <c r="AG38" i="6"/>
  <c r="AG93" i="6" s="1"/>
  <c r="AH93" i="6"/>
  <c r="AG6" i="5"/>
  <c r="AG61" i="5" s="1"/>
  <c r="AH61" i="5"/>
  <c r="AG14" i="5"/>
  <c r="AG69" i="5" s="1"/>
  <c r="AH69" i="5"/>
  <c r="AG22" i="5"/>
  <c r="AG77" i="5" s="1"/>
  <c r="AH77" i="5"/>
  <c r="AG30" i="5"/>
  <c r="AG85" i="5" s="1"/>
  <c r="AH85" i="5"/>
  <c r="AG38" i="5"/>
  <c r="AG93" i="5" s="1"/>
  <c r="AH93" i="5"/>
  <c r="AH96" i="6"/>
  <c r="AG41" i="6"/>
  <c r="AG96" i="6" s="1"/>
  <c r="AH73" i="6"/>
  <c r="AG18" i="6"/>
  <c r="AG73" i="6" s="1"/>
  <c r="AH97" i="6"/>
  <c r="AG42" i="6"/>
  <c r="AG97" i="6" s="1"/>
  <c r="AG13" i="6"/>
  <c r="AG68" i="6" s="1"/>
  <c r="AH68" i="6"/>
  <c r="AH76" i="6"/>
  <c r="AG21" i="6"/>
  <c r="AG76" i="6" s="1"/>
  <c r="AG5" i="5"/>
  <c r="AG60" i="5" s="1"/>
  <c r="AH60" i="5"/>
  <c r="AG29" i="5"/>
  <c r="AG84" i="5" s="1"/>
  <c r="AH84" i="5"/>
  <c r="L15" i="6"/>
  <c r="BI15" i="6" a="1"/>
  <c r="BI15" i="6" s="1"/>
  <c r="BH15" i="6" a="1"/>
  <c r="BH15" i="6" s="1"/>
  <c r="BM15" i="6" a="1"/>
  <c r="BM15" i="6" s="1"/>
  <c r="AG7" i="6"/>
  <c r="AG62" i="6" s="1"/>
  <c r="AH62" i="6"/>
  <c r="AG15" i="6"/>
  <c r="AH70" i="6"/>
  <c r="AG23" i="6"/>
  <c r="AG78" i="6" s="1"/>
  <c r="AH78" i="6"/>
  <c r="AG31" i="6"/>
  <c r="AG86" i="6" s="1"/>
  <c r="AH86" i="6"/>
  <c r="AG39" i="6"/>
  <c r="AG94" i="6" s="1"/>
  <c r="AH94" i="6"/>
  <c r="AG7" i="5"/>
  <c r="AG62" i="5" s="1"/>
  <c r="AH62" i="5"/>
  <c r="AG15" i="5"/>
  <c r="AG70" i="5" s="1"/>
  <c r="AH70" i="5"/>
  <c r="AG23" i="5"/>
  <c r="AG78" i="5" s="1"/>
  <c r="AH78" i="5"/>
  <c r="AG31" i="5"/>
  <c r="AG86" i="5" s="1"/>
  <c r="AH86" i="5"/>
  <c r="AG39" i="5"/>
  <c r="AG94" i="5" s="1"/>
  <c r="AH94" i="5"/>
  <c r="BI5" i="5" a="1"/>
  <c r="BI5" i="5" s="1"/>
  <c r="BH5" i="5" a="1"/>
  <c r="BH5" i="5" s="1"/>
  <c r="BM5" i="5" a="1"/>
  <c r="BM5" i="5" s="1"/>
  <c r="BI15" i="5" a="1"/>
  <c r="BI15" i="5" s="1"/>
  <c r="BH15" i="5" a="1"/>
  <c r="BH15" i="5" s="1"/>
  <c r="BM15" i="5" a="1"/>
  <c r="BM15" i="5" s="1"/>
  <c r="BM25" i="5" a="1"/>
  <c r="BM25" i="5" s="1"/>
  <c r="BI25" i="5" a="1"/>
  <c r="BI25" i="5" s="1"/>
  <c r="BH25" i="5" a="1"/>
  <c r="BH25" i="5" s="1"/>
  <c r="BI35" i="5" a="1"/>
  <c r="BI35" i="5" s="1"/>
  <c r="BH35" i="5" a="1"/>
  <c r="BH35" i="5" s="1"/>
  <c r="BM35" i="5" a="1"/>
  <c r="BM35" i="5" s="1"/>
  <c r="BI10" i="5" a="1"/>
  <c r="BI10" i="5" s="1"/>
  <c r="BH10" i="5" a="1"/>
  <c r="BH10" i="5" s="1"/>
  <c r="BM10" i="5" a="1"/>
  <c r="BM10" i="5" s="1"/>
  <c r="BH20" i="5" a="1"/>
  <c r="BH20" i="5" s="1"/>
  <c r="BM20" i="5" a="1"/>
  <c r="BM20" i="5" s="1"/>
  <c r="BI20" i="5" a="1"/>
  <c r="BI20" i="5" s="1"/>
  <c r="BI30" i="5" a="1"/>
  <c r="BI30" i="5" s="1"/>
  <c r="BH30" i="5" a="1"/>
  <c r="BH30" i="5" s="1"/>
  <c r="BM30" i="5" a="1"/>
  <c r="BM30" i="5" s="1"/>
  <c r="BI40" i="5" a="1"/>
  <c r="BI40" i="5" s="1"/>
  <c r="BH40" i="5" a="1"/>
  <c r="BH40" i="5" s="1"/>
  <c r="BM40" i="5" a="1"/>
  <c r="BM40" i="5" s="1"/>
  <c r="A19" i="7"/>
  <c r="A18" i="7"/>
  <c r="A17" i="7"/>
  <c r="A14" i="7"/>
  <c r="A13" i="7"/>
  <c r="AV99" i="6"/>
  <c r="AU99" i="6"/>
  <c r="AT99" i="6"/>
  <c r="AS99" i="6"/>
  <c r="AR99" i="6"/>
  <c r="AQ99" i="6"/>
  <c r="AP99" i="6"/>
  <c r="AV98" i="6"/>
  <c r="AU98" i="6"/>
  <c r="AT98" i="6"/>
  <c r="AS98" i="6"/>
  <c r="AR98" i="6"/>
  <c r="AQ98" i="6"/>
  <c r="AP98" i="6"/>
  <c r="AV97" i="6"/>
  <c r="AU97" i="6"/>
  <c r="AT97" i="6"/>
  <c r="AS97" i="6"/>
  <c r="AR97" i="6"/>
  <c r="AQ97" i="6"/>
  <c r="AP97" i="6"/>
  <c r="AV96" i="6"/>
  <c r="AU96" i="6"/>
  <c r="AT96" i="6"/>
  <c r="AS96" i="6"/>
  <c r="AR96" i="6"/>
  <c r="AQ96" i="6"/>
  <c r="AP96" i="6"/>
  <c r="AV95" i="6"/>
  <c r="AU95" i="6"/>
  <c r="AT95" i="6"/>
  <c r="AS95" i="6"/>
  <c r="AR95" i="6"/>
  <c r="AQ95" i="6"/>
  <c r="AP95" i="6"/>
  <c r="AV94" i="6"/>
  <c r="AU94" i="6"/>
  <c r="AT94" i="6"/>
  <c r="AS94" i="6"/>
  <c r="AR94" i="6"/>
  <c r="AQ94" i="6"/>
  <c r="AP94" i="6"/>
  <c r="AV93" i="6"/>
  <c r="AU93" i="6"/>
  <c r="AT93" i="6"/>
  <c r="AS93" i="6"/>
  <c r="AR93" i="6"/>
  <c r="AQ93" i="6"/>
  <c r="AP93" i="6"/>
  <c r="AV92" i="6"/>
  <c r="AU92" i="6"/>
  <c r="AT92" i="6"/>
  <c r="AS92" i="6"/>
  <c r="AR92" i="6"/>
  <c r="AQ92" i="6"/>
  <c r="AP92" i="6"/>
  <c r="AV91" i="6"/>
  <c r="AU91" i="6"/>
  <c r="AT91" i="6"/>
  <c r="AS91" i="6"/>
  <c r="AR91" i="6"/>
  <c r="AQ91" i="6"/>
  <c r="AP91" i="6"/>
  <c r="AV90" i="6"/>
  <c r="AU90" i="6"/>
  <c r="AT90" i="6"/>
  <c r="AS90" i="6"/>
  <c r="AR90" i="6"/>
  <c r="AQ90" i="6"/>
  <c r="AP90" i="6"/>
  <c r="AV89" i="6"/>
  <c r="AU89" i="6"/>
  <c r="AT89" i="6"/>
  <c r="AS89" i="6"/>
  <c r="AR89" i="6"/>
  <c r="AQ89" i="6"/>
  <c r="AP89" i="6"/>
  <c r="AV88" i="6"/>
  <c r="AU88" i="6"/>
  <c r="AT88" i="6"/>
  <c r="AS88" i="6"/>
  <c r="AR88" i="6"/>
  <c r="AQ88" i="6"/>
  <c r="AP88" i="6"/>
  <c r="AV87" i="6"/>
  <c r="AU87" i="6"/>
  <c r="AT87" i="6"/>
  <c r="AS87" i="6"/>
  <c r="AR87" i="6"/>
  <c r="AQ87" i="6"/>
  <c r="AP87" i="6"/>
  <c r="AV86" i="6"/>
  <c r="AU86" i="6"/>
  <c r="AT86" i="6"/>
  <c r="AS86" i="6"/>
  <c r="AR86" i="6"/>
  <c r="AQ86" i="6"/>
  <c r="AP86" i="6"/>
  <c r="AV85" i="6"/>
  <c r="AU85" i="6"/>
  <c r="AT85" i="6"/>
  <c r="AS85" i="6"/>
  <c r="AR85" i="6"/>
  <c r="AQ85" i="6"/>
  <c r="AP85" i="6"/>
  <c r="AV84" i="6"/>
  <c r="AU84" i="6"/>
  <c r="AT84" i="6"/>
  <c r="AS84" i="6"/>
  <c r="AR84" i="6"/>
  <c r="AQ84" i="6"/>
  <c r="AP84" i="6"/>
  <c r="AV83" i="6"/>
  <c r="AU83" i="6"/>
  <c r="AT83" i="6"/>
  <c r="AS83" i="6"/>
  <c r="AR83" i="6"/>
  <c r="AQ83" i="6"/>
  <c r="AP83" i="6"/>
  <c r="AV82" i="6"/>
  <c r="AU82" i="6"/>
  <c r="AT82" i="6"/>
  <c r="AS82" i="6"/>
  <c r="AR82" i="6"/>
  <c r="AQ82" i="6"/>
  <c r="AP82" i="6"/>
  <c r="AV81" i="6"/>
  <c r="AU81" i="6"/>
  <c r="AT81" i="6"/>
  <c r="AS81" i="6"/>
  <c r="AR81" i="6"/>
  <c r="AQ81" i="6"/>
  <c r="AP81" i="6"/>
  <c r="AV80" i="6"/>
  <c r="AU80" i="6"/>
  <c r="AT80" i="6"/>
  <c r="AS80" i="6"/>
  <c r="AR80" i="6"/>
  <c r="AQ80" i="6"/>
  <c r="AP80" i="6"/>
  <c r="AV79" i="6"/>
  <c r="AU79" i="6"/>
  <c r="AT79" i="6"/>
  <c r="AS79" i="6"/>
  <c r="AR79" i="6"/>
  <c r="AQ79" i="6"/>
  <c r="AP79" i="6"/>
  <c r="AV78" i="6"/>
  <c r="AU78" i="6"/>
  <c r="AT78" i="6"/>
  <c r="AS78" i="6"/>
  <c r="AR78" i="6"/>
  <c r="AQ78" i="6"/>
  <c r="AP78" i="6"/>
  <c r="AV77" i="6"/>
  <c r="AU77" i="6"/>
  <c r="AT77" i="6"/>
  <c r="AS77" i="6"/>
  <c r="AR77" i="6"/>
  <c r="AQ77" i="6"/>
  <c r="AP77" i="6"/>
  <c r="AV76" i="6"/>
  <c r="AU76" i="6"/>
  <c r="AT76" i="6"/>
  <c r="AS76" i="6"/>
  <c r="AR76" i="6"/>
  <c r="AQ76" i="6"/>
  <c r="AP76" i="6"/>
  <c r="AV75" i="6"/>
  <c r="AU75" i="6"/>
  <c r="AT75" i="6"/>
  <c r="AS75" i="6"/>
  <c r="AR75" i="6"/>
  <c r="AQ75" i="6"/>
  <c r="AP75" i="6"/>
  <c r="AV74" i="6"/>
  <c r="AU74" i="6"/>
  <c r="AT74" i="6"/>
  <c r="AS74" i="6"/>
  <c r="AR74" i="6"/>
  <c r="AQ74" i="6"/>
  <c r="AP74" i="6"/>
  <c r="AV73" i="6"/>
  <c r="AU73" i="6"/>
  <c r="AT73" i="6"/>
  <c r="AS73" i="6"/>
  <c r="AR73" i="6"/>
  <c r="AQ73" i="6"/>
  <c r="AP73" i="6"/>
  <c r="AV72" i="6"/>
  <c r="AU72" i="6"/>
  <c r="AT72" i="6"/>
  <c r="AS72" i="6"/>
  <c r="AR72" i="6"/>
  <c r="AQ72" i="6"/>
  <c r="AP72" i="6"/>
  <c r="AV71" i="6"/>
  <c r="AU71" i="6"/>
  <c r="AT71" i="6"/>
  <c r="AS71" i="6"/>
  <c r="AR71" i="6"/>
  <c r="AQ71" i="6"/>
  <c r="AP71" i="6"/>
  <c r="AV70" i="6"/>
  <c r="AU70" i="6"/>
  <c r="AT70" i="6"/>
  <c r="AS70" i="6"/>
  <c r="AR70" i="6"/>
  <c r="AQ70" i="6"/>
  <c r="AP70" i="6"/>
  <c r="AV69" i="6"/>
  <c r="AU69" i="6"/>
  <c r="AT69" i="6"/>
  <c r="AS69" i="6"/>
  <c r="AR69" i="6"/>
  <c r="AQ69" i="6"/>
  <c r="AP69" i="6"/>
  <c r="AV68" i="6"/>
  <c r="AU68" i="6"/>
  <c r="AT68" i="6"/>
  <c r="AS68" i="6"/>
  <c r="AR68" i="6"/>
  <c r="AQ68" i="6"/>
  <c r="AP68" i="6"/>
  <c r="AV67" i="6"/>
  <c r="AU67" i="6"/>
  <c r="AT67" i="6"/>
  <c r="AS67" i="6"/>
  <c r="AR67" i="6"/>
  <c r="AQ67" i="6"/>
  <c r="AP67" i="6"/>
  <c r="AV66" i="6"/>
  <c r="AU66" i="6"/>
  <c r="AT66" i="6"/>
  <c r="AS66" i="6"/>
  <c r="AR66" i="6"/>
  <c r="AQ66" i="6"/>
  <c r="AP66" i="6"/>
  <c r="AV65" i="6"/>
  <c r="AU65" i="6"/>
  <c r="AT65" i="6"/>
  <c r="AS65" i="6"/>
  <c r="AR65" i="6"/>
  <c r="AQ65" i="6"/>
  <c r="AP65" i="6"/>
  <c r="AV64" i="6"/>
  <c r="AU64" i="6"/>
  <c r="AT64" i="6"/>
  <c r="AS64" i="6"/>
  <c r="AR64" i="6"/>
  <c r="AQ64" i="6"/>
  <c r="AP64" i="6"/>
  <c r="AV63" i="6"/>
  <c r="AU63" i="6"/>
  <c r="AT63" i="6"/>
  <c r="AS63" i="6"/>
  <c r="AR63" i="6"/>
  <c r="AQ63" i="6"/>
  <c r="AP63" i="6"/>
  <c r="AV62" i="6"/>
  <c r="AU62" i="6"/>
  <c r="AT62" i="6"/>
  <c r="AS62" i="6"/>
  <c r="AR62" i="6"/>
  <c r="AQ62" i="6"/>
  <c r="AP62" i="6"/>
  <c r="AV61" i="6"/>
  <c r="AU61" i="6"/>
  <c r="AT61" i="6"/>
  <c r="AS61" i="6"/>
  <c r="AR61" i="6"/>
  <c r="AQ61" i="6"/>
  <c r="AP61" i="6"/>
  <c r="AV60" i="6"/>
  <c r="AU60" i="6"/>
  <c r="AT60" i="6"/>
  <c r="AS60" i="6"/>
  <c r="AR60" i="6"/>
  <c r="AQ60" i="6"/>
  <c r="AP60" i="6"/>
  <c r="BS44" i="6"/>
  <c r="BR44" i="6"/>
  <c r="BQ44" i="6"/>
  <c r="BP44" i="6"/>
  <c r="AF44" i="6"/>
  <c r="AE44" i="6"/>
  <c r="K44" i="6"/>
  <c r="J44" i="6"/>
  <c r="BS43" i="6"/>
  <c r="BR43" i="6"/>
  <c r="BQ43" i="6"/>
  <c r="BP43" i="6"/>
  <c r="AF43" i="6"/>
  <c r="AE43" i="6"/>
  <c r="K43" i="6"/>
  <c r="J43" i="6"/>
  <c r="BS42" i="6"/>
  <c r="BR42" i="6"/>
  <c r="BQ42" i="6"/>
  <c r="BP42" i="6"/>
  <c r="AF42" i="6"/>
  <c r="AE42" i="6"/>
  <c r="K42" i="6"/>
  <c r="J42" i="6"/>
  <c r="BS41" i="6"/>
  <c r="BR41" i="6"/>
  <c r="BQ41" i="6"/>
  <c r="BP41" i="6"/>
  <c r="AF41" i="6"/>
  <c r="AE41" i="6"/>
  <c r="K41" i="6"/>
  <c r="J41" i="6"/>
  <c r="BS40" i="6"/>
  <c r="BR40" i="6"/>
  <c r="BQ40" i="6"/>
  <c r="BP40" i="6"/>
  <c r="AF40" i="6"/>
  <c r="AE40" i="6"/>
  <c r="K40" i="6"/>
  <c r="J40" i="6"/>
  <c r="BS39" i="6"/>
  <c r="BR39" i="6"/>
  <c r="BQ39" i="6"/>
  <c r="BP39" i="6"/>
  <c r="AF39" i="6"/>
  <c r="AE39" i="6"/>
  <c r="K39" i="6"/>
  <c r="J39" i="6"/>
  <c r="BS38" i="6"/>
  <c r="BR38" i="6"/>
  <c r="BQ38" i="6"/>
  <c r="BP38" i="6"/>
  <c r="AF38" i="6"/>
  <c r="AE38" i="6"/>
  <c r="K38" i="6"/>
  <c r="J38" i="6"/>
  <c r="BS37" i="6"/>
  <c r="BR37" i="6"/>
  <c r="BQ37" i="6"/>
  <c r="BP37" i="6"/>
  <c r="AF37" i="6"/>
  <c r="AE37" i="6"/>
  <c r="K37" i="6"/>
  <c r="J37" i="6"/>
  <c r="BS36" i="6"/>
  <c r="BR36" i="6"/>
  <c r="BQ36" i="6"/>
  <c r="BP36" i="6"/>
  <c r="AF36" i="6"/>
  <c r="AE36" i="6"/>
  <c r="K36" i="6"/>
  <c r="J36" i="6"/>
  <c r="BS35" i="6"/>
  <c r="BR35" i="6"/>
  <c r="BQ35" i="6"/>
  <c r="BP35" i="6"/>
  <c r="AF35" i="6"/>
  <c r="AE35" i="6"/>
  <c r="K35" i="6"/>
  <c r="J35" i="6"/>
  <c r="BS34" i="6"/>
  <c r="BR34" i="6"/>
  <c r="BQ34" i="6"/>
  <c r="BP34" i="6"/>
  <c r="AF34" i="6"/>
  <c r="AE34" i="6"/>
  <c r="K34" i="6"/>
  <c r="J34" i="6"/>
  <c r="BS33" i="6"/>
  <c r="BR33" i="6"/>
  <c r="BQ33" i="6"/>
  <c r="BP33" i="6"/>
  <c r="AF33" i="6"/>
  <c r="AE33" i="6"/>
  <c r="K33" i="6"/>
  <c r="J33" i="6"/>
  <c r="BS32" i="6"/>
  <c r="BR32" i="6"/>
  <c r="BQ32" i="6"/>
  <c r="BP32" i="6"/>
  <c r="AF32" i="6"/>
  <c r="AE32" i="6"/>
  <c r="K32" i="6"/>
  <c r="J32" i="6"/>
  <c r="BS31" i="6"/>
  <c r="BR31" i="6"/>
  <c r="BQ31" i="6"/>
  <c r="BP31" i="6"/>
  <c r="AF31" i="6"/>
  <c r="AE31" i="6"/>
  <c r="K31" i="6"/>
  <c r="J31" i="6"/>
  <c r="BS30" i="6"/>
  <c r="BR30" i="6"/>
  <c r="BQ30" i="6"/>
  <c r="BP30" i="6"/>
  <c r="AF30" i="6"/>
  <c r="AE30" i="6"/>
  <c r="K30" i="6"/>
  <c r="J30" i="6"/>
  <c r="BS29" i="6"/>
  <c r="BR29" i="6"/>
  <c r="BQ29" i="6"/>
  <c r="BP29" i="6"/>
  <c r="AF29" i="6"/>
  <c r="AE29" i="6"/>
  <c r="K29" i="6"/>
  <c r="J29" i="6"/>
  <c r="BS28" i="6"/>
  <c r="BR28" i="6"/>
  <c r="BQ28" i="6"/>
  <c r="BP28" i="6"/>
  <c r="AF28" i="6"/>
  <c r="AE28" i="6"/>
  <c r="K28" i="6"/>
  <c r="J28" i="6"/>
  <c r="BS27" i="6"/>
  <c r="BR27" i="6"/>
  <c r="BQ27" i="6"/>
  <c r="BP27" i="6"/>
  <c r="AF27" i="6"/>
  <c r="AE27" i="6"/>
  <c r="K27" i="6"/>
  <c r="J27" i="6"/>
  <c r="BS26" i="6"/>
  <c r="BR26" i="6"/>
  <c r="BQ26" i="6"/>
  <c r="BP26" i="6"/>
  <c r="AF26" i="6"/>
  <c r="AE26" i="6"/>
  <c r="K26" i="6"/>
  <c r="J26" i="6"/>
  <c r="BS25" i="6"/>
  <c r="BR25" i="6"/>
  <c r="BQ25" i="6"/>
  <c r="BP25" i="6"/>
  <c r="AF25" i="6"/>
  <c r="AE25" i="6"/>
  <c r="K25" i="6"/>
  <c r="J25" i="6"/>
  <c r="BS24" i="6"/>
  <c r="BR24" i="6"/>
  <c r="BQ24" i="6"/>
  <c r="BP24" i="6"/>
  <c r="AF24" i="6"/>
  <c r="AE24" i="6"/>
  <c r="K24" i="6"/>
  <c r="J24" i="6"/>
  <c r="BS23" i="6"/>
  <c r="BR23" i="6"/>
  <c r="BQ23" i="6"/>
  <c r="BP23" i="6"/>
  <c r="AF23" i="6"/>
  <c r="AE23" i="6"/>
  <c r="K23" i="6"/>
  <c r="J23" i="6"/>
  <c r="BS22" i="6"/>
  <c r="BR22" i="6"/>
  <c r="BQ22" i="6"/>
  <c r="BP22" i="6"/>
  <c r="AF22" i="6"/>
  <c r="AE22" i="6"/>
  <c r="K22" i="6"/>
  <c r="J22" i="6"/>
  <c r="BS21" i="6"/>
  <c r="BR21" i="6"/>
  <c r="BQ21" i="6"/>
  <c r="BP21" i="6"/>
  <c r="AF21" i="6"/>
  <c r="AE21" i="6"/>
  <c r="K21" i="6"/>
  <c r="J21" i="6"/>
  <c r="BS20" i="6"/>
  <c r="BR20" i="6"/>
  <c r="BQ20" i="6"/>
  <c r="BP20" i="6"/>
  <c r="AF20" i="6"/>
  <c r="AE20" i="6"/>
  <c r="K20" i="6"/>
  <c r="J20" i="6"/>
  <c r="BS19" i="6"/>
  <c r="BR19" i="6"/>
  <c r="BQ19" i="6"/>
  <c r="BP19" i="6"/>
  <c r="AF19" i="6"/>
  <c r="AE19" i="6"/>
  <c r="K19" i="6"/>
  <c r="J19" i="6"/>
  <c r="BS18" i="6"/>
  <c r="BR18" i="6"/>
  <c r="BQ18" i="6"/>
  <c r="BP18" i="6"/>
  <c r="AF18" i="6"/>
  <c r="AE18" i="6"/>
  <c r="K18" i="6"/>
  <c r="J18" i="6"/>
  <c r="BS17" i="6"/>
  <c r="BR17" i="6"/>
  <c r="BQ17" i="6"/>
  <c r="BP17" i="6"/>
  <c r="AF17" i="6"/>
  <c r="AE17" i="6"/>
  <c r="K17" i="6"/>
  <c r="J17" i="6"/>
  <c r="BS16" i="6"/>
  <c r="BR16" i="6"/>
  <c r="BQ16" i="6"/>
  <c r="BP16" i="6"/>
  <c r="AF16" i="6"/>
  <c r="AE16" i="6"/>
  <c r="K16" i="6"/>
  <c r="J16" i="6"/>
  <c r="BS15" i="6"/>
  <c r="BR15" i="6"/>
  <c r="BQ15" i="6"/>
  <c r="BP15" i="6"/>
  <c r="AF15" i="6"/>
  <c r="AE15" i="6"/>
  <c r="K15" i="6"/>
  <c r="J15" i="6"/>
  <c r="BS14" i="6"/>
  <c r="BR14" i="6"/>
  <c r="BQ14" i="6"/>
  <c r="BP14" i="6"/>
  <c r="AF14" i="6"/>
  <c r="AE14" i="6"/>
  <c r="K14" i="6"/>
  <c r="J14" i="6"/>
  <c r="BS13" i="6"/>
  <c r="BR13" i="6"/>
  <c r="BQ13" i="6"/>
  <c r="BP13" i="6"/>
  <c r="AF13" i="6"/>
  <c r="AE13" i="6"/>
  <c r="K13" i="6"/>
  <c r="J13" i="6"/>
  <c r="BS12" i="6"/>
  <c r="BR12" i="6"/>
  <c r="BQ12" i="6"/>
  <c r="BP12" i="6"/>
  <c r="AF12" i="6"/>
  <c r="AE12" i="6"/>
  <c r="K12" i="6"/>
  <c r="J12" i="6"/>
  <c r="BS11" i="6"/>
  <c r="BR11" i="6"/>
  <c r="BQ11" i="6"/>
  <c r="BP11" i="6"/>
  <c r="AF11" i="6"/>
  <c r="AE11" i="6"/>
  <c r="K11" i="6"/>
  <c r="J11" i="6"/>
  <c r="BS10" i="6"/>
  <c r="BR10" i="6"/>
  <c r="BQ10" i="6"/>
  <c r="BP10" i="6"/>
  <c r="AF10" i="6"/>
  <c r="AE10" i="6"/>
  <c r="K10" i="6"/>
  <c r="J10" i="6"/>
  <c r="BS9" i="6"/>
  <c r="BR9" i="6"/>
  <c r="BQ9" i="6"/>
  <c r="BP9" i="6"/>
  <c r="AF9" i="6"/>
  <c r="AE9" i="6"/>
  <c r="K9" i="6"/>
  <c r="J9" i="6"/>
  <c r="BS8" i="6"/>
  <c r="BR8" i="6"/>
  <c r="BQ8" i="6"/>
  <c r="BP8" i="6"/>
  <c r="AF8" i="6"/>
  <c r="AE8" i="6"/>
  <c r="K8" i="6"/>
  <c r="J8" i="6"/>
  <c r="BS7" i="6"/>
  <c r="BR7" i="6"/>
  <c r="BQ7" i="6"/>
  <c r="BP7" i="6"/>
  <c r="AF7" i="6"/>
  <c r="AE7" i="6"/>
  <c r="K7" i="6"/>
  <c r="J7" i="6"/>
  <c r="BS6" i="6"/>
  <c r="BR6" i="6"/>
  <c r="BQ6" i="6"/>
  <c r="BP6" i="6"/>
  <c r="AF6" i="6"/>
  <c r="AE6" i="6"/>
  <c r="K6" i="6"/>
  <c r="J6" i="6"/>
  <c r="BS5" i="6"/>
  <c r="BS54" i="6" s="1"/>
  <c r="BR5" i="6"/>
  <c r="BR54" i="6" s="1"/>
  <c r="BQ5" i="6"/>
  <c r="BP5" i="6"/>
  <c r="BP54" i="6" s="1"/>
  <c r="AF5" i="6"/>
  <c r="AE5" i="6"/>
  <c r="K5" i="6"/>
  <c r="J5" i="6"/>
  <c r="AE1" i="6"/>
  <c r="J1" i="6"/>
  <c r="AV99" i="5"/>
  <c r="AU99" i="5"/>
  <c r="AT99" i="5"/>
  <c r="AS99" i="5"/>
  <c r="AR99" i="5"/>
  <c r="AQ99" i="5"/>
  <c r="AP99" i="5"/>
  <c r="AV98" i="5"/>
  <c r="AU98" i="5"/>
  <c r="AT98" i="5"/>
  <c r="AS98" i="5"/>
  <c r="AR98" i="5"/>
  <c r="AQ98" i="5"/>
  <c r="AP98" i="5"/>
  <c r="AV97" i="5"/>
  <c r="AU97" i="5"/>
  <c r="AT97" i="5"/>
  <c r="AS97" i="5"/>
  <c r="AR97" i="5"/>
  <c r="AQ97" i="5"/>
  <c r="AP97" i="5"/>
  <c r="AV96" i="5"/>
  <c r="AU96" i="5"/>
  <c r="AT96" i="5"/>
  <c r="AS96" i="5"/>
  <c r="AR96" i="5"/>
  <c r="AQ96" i="5"/>
  <c r="AP96" i="5"/>
  <c r="AV95" i="5"/>
  <c r="AU95" i="5"/>
  <c r="AT95" i="5"/>
  <c r="AS95" i="5"/>
  <c r="AR95" i="5"/>
  <c r="AQ95" i="5"/>
  <c r="AP95" i="5"/>
  <c r="AV94" i="5"/>
  <c r="AU94" i="5"/>
  <c r="AT94" i="5"/>
  <c r="AS94" i="5"/>
  <c r="AR94" i="5"/>
  <c r="AQ94" i="5"/>
  <c r="AP94" i="5"/>
  <c r="AV93" i="5"/>
  <c r="AU93" i="5"/>
  <c r="AT93" i="5"/>
  <c r="AS93" i="5"/>
  <c r="AR93" i="5"/>
  <c r="AQ93" i="5"/>
  <c r="AP93" i="5"/>
  <c r="AV92" i="5"/>
  <c r="AU92" i="5"/>
  <c r="AT92" i="5"/>
  <c r="AS92" i="5"/>
  <c r="AR92" i="5"/>
  <c r="AQ92" i="5"/>
  <c r="AP92" i="5"/>
  <c r="AV91" i="5"/>
  <c r="AU91" i="5"/>
  <c r="AT91" i="5"/>
  <c r="AS91" i="5"/>
  <c r="AR91" i="5"/>
  <c r="AQ91" i="5"/>
  <c r="AP91" i="5"/>
  <c r="AV90" i="5"/>
  <c r="AU90" i="5"/>
  <c r="AT90" i="5"/>
  <c r="AS90" i="5"/>
  <c r="AR90" i="5"/>
  <c r="AQ90" i="5"/>
  <c r="AP90" i="5"/>
  <c r="AV89" i="5"/>
  <c r="AU89" i="5"/>
  <c r="AT89" i="5"/>
  <c r="AS89" i="5"/>
  <c r="AR89" i="5"/>
  <c r="AQ89" i="5"/>
  <c r="AP89" i="5"/>
  <c r="AV88" i="5"/>
  <c r="AU88" i="5"/>
  <c r="AT88" i="5"/>
  <c r="AS88" i="5"/>
  <c r="AR88" i="5"/>
  <c r="AQ88" i="5"/>
  <c r="AP88" i="5"/>
  <c r="AV87" i="5"/>
  <c r="AU87" i="5"/>
  <c r="AT87" i="5"/>
  <c r="AS87" i="5"/>
  <c r="AR87" i="5"/>
  <c r="AQ87" i="5"/>
  <c r="AP87" i="5"/>
  <c r="AV86" i="5"/>
  <c r="AU86" i="5"/>
  <c r="AT86" i="5"/>
  <c r="AS86" i="5"/>
  <c r="AR86" i="5"/>
  <c r="AQ86" i="5"/>
  <c r="AP86" i="5"/>
  <c r="AV85" i="5"/>
  <c r="AU85" i="5"/>
  <c r="AT85" i="5"/>
  <c r="AS85" i="5"/>
  <c r="AR85" i="5"/>
  <c r="AQ85" i="5"/>
  <c r="AP85" i="5"/>
  <c r="AV84" i="5"/>
  <c r="AU84" i="5"/>
  <c r="AT84" i="5"/>
  <c r="AS84" i="5"/>
  <c r="AR84" i="5"/>
  <c r="AQ84" i="5"/>
  <c r="AP84" i="5"/>
  <c r="AV83" i="5"/>
  <c r="AU83" i="5"/>
  <c r="AT83" i="5"/>
  <c r="AS83" i="5"/>
  <c r="AR83" i="5"/>
  <c r="AQ83" i="5"/>
  <c r="AP83" i="5"/>
  <c r="AV82" i="5"/>
  <c r="AU82" i="5"/>
  <c r="AT82" i="5"/>
  <c r="AS82" i="5"/>
  <c r="AR82" i="5"/>
  <c r="AQ82" i="5"/>
  <c r="AP82" i="5"/>
  <c r="AV81" i="5"/>
  <c r="AU81" i="5"/>
  <c r="AT81" i="5"/>
  <c r="AS81" i="5"/>
  <c r="AR81" i="5"/>
  <c r="AQ81" i="5"/>
  <c r="AP81" i="5"/>
  <c r="AV80" i="5"/>
  <c r="AU80" i="5"/>
  <c r="AT80" i="5"/>
  <c r="AS80" i="5"/>
  <c r="AR80" i="5"/>
  <c r="AQ80" i="5"/>
  <c r="AP80" i="5"/>
  <c r="AV79" i="5"/>
  <c r="AU79" i="5"/>
  <c r="AT79" i="5"/>
  <c r="AS79" i="5"/>
  <c r="AR79" i="5"/>
  <c r="AQ79" i="5"/>
  <c r="AP79" i="5"/>
  <c r="AV78" i="5"/>
  <c r="AU78" i="5"/>
  <c r="AT78" i="5"/>
  <c r="AS78" i="5"/>
  <c r="AR78" i="5"/>
  <c r="AQ78" i="5"/>
  <c r="AP78" i="5"/>
  <c r="AV77" i="5"/>
  <c r="AU77" i="5"/>
  <c r="AT77" i="5"/>
  <c r="AS77" i="5"/>
  <c r="AR77" i="5"/>
  <c r="AQ77" i="5"/>
  <c r="AP77" i="5"/>
  <c r="AV76" i="5"/>
  <c r="AU76" i="5"/>
  <c r="AT76" i="5"/>
  <c r="AS76" i="5"/>
  <c r="AR76" i="5"/>
  <c r="AQ76" i="5"/>
  <c r="AP76" i="5"/>
  <c r="AV75" i="5"/>
  <c r="AU75" i="5"/>
  <c r="AT75" i="5"/>
  <c r="AS75" i="5"/>
  <c r="AR75" i="5"/>
  <c r="AQ75" i="5"/>
  <c r="AP75" i="5"/>
  <c r="AV74" i="5"/>
  <c r="AU74" i="5"/>
  <c r="AT74" i="5"/>
  <c r="AS74" i="5"/>
  <c r="AR74" i="5"/>
  <c r="AQ74" i="5"/>
  <c r="AP74" i="5"/>
  <c r="AV73" i="5"/>
  <c r="AU73" i="5"/>
  <c r="AT73" i="5"/>
  <c r="AS73" i="5"/>
  <c r="AR73" i="5"/>
  <c r="AQ73" i="5"/>
  <c r="AP73" i="5"/>
  <c r="AV72" i="5"/>
  <c r="AU72" i="5"/>
  <c r="AT72" i="5"/>
  <c r="AS72" i="5"/>
  <c r="AR72" i="5"/>
  <c r="AQ72" i="5"/>
  <c r="AP72" i="5"/>
  <c r="AV71" i="5"/>
  <c r="AU71" i="5"/>
  <c r="AT71" i="5"/>
  <c r="AS71" i="5"/>
  <c r="AR71" i="5"/>
  <c r="AQ71" i="5"/>
  <c r="AP71" i="5"/>
  <c r="AV70" i="5"/>
  <c r="AU70" i="5"/>
  <c r="AT70" i="5"/>
  <c r="AS70" i="5"/>
  <c r="AR70" i="5"/>
  <c r="AQ70" i="5"/>
  <c r="AP70" i="5"/>
  <c r="AV69" i="5"/>
  <c r="AU69" i="5"/>
  <c r="AT69" i="5"/>
  <c r="AS69" i="5"/>
  <c r="AR69" i="5"/>
  <c r="AQ69" i="5"/>
  <c r="AP69" i="5"/>
  <c r="AV68" i="5"/>
  <c r="AU68" i="5"/>
  <c r="AT68" i="5"/>
  <c r="AS68" i="5"/>
  <c r="AR68" i="5"/>
  <c r="AQ68" i="5"/>
  <c r="AP68" i="5"/>
  <c r="AV67" i="5"/>
  <c r="AU67" i="5"/>
  <c r="AT67" i="5"/>
  <c r="AS67" i="5"/>
  <c r="AR67" i="5"/>
  <c r="AQ67" i="5"/>
  <c r="AP67" i="5"/>
  <c r="AV66" i="5"/>
  <c r="AU66" i="5"/>
  <c r="AT66" i="5"/>
  <c r="AS66" i="5"/>
  <c r="AR66" i="5"/>
  <c r="AQ66" i="5"/>
  <c r="AP66" i="5"/>
  <c r="AV65" i="5"/>
  <c r="AU65" i="5"/>
  <c r="AT65" i="5"/>
  <c r="AS65" i="5"/>
  <c r="AR65" i="5"/>
  <c r="AQ65" i="5"/>
  <c r="AP65" i="5"/>
  <c r="AV64" i="5"/>
  <c r="AU64" i="5"/>
  <c r="AT64" i="5"/>
  <c r="AS64" i="5"/>
  <c r="AR64" i="5"/>
  <c r="AQ64" i="5"/>
  <c r="AP64" i="5"/>
  <c r="AV63" i="5"/>
  <c r="AU63" i="5"/>
  <c r="AT63" i="5"/>
  <c r="AS63" i="5"/>
  <c r="AR63" i="5"/>
  <c r="AQ63" i="5"/>
  <c r="AP63" i="5"/>
  <c r="AV62" i="5"/>
  <c r="AU62" i="5"/>
  <c r="AT62" i="5"/>
  <c r="AS62" i="5"/>
  <c r="AR62" i="5"/>
  <c r="AQ62" i="5"/>
  <c r="AP62" i="5"/>
  <c r="AV61" i="5"/>
  <c r="AU61" i="5"/>
  <c r="AT61" i="5"/>
  <c r="AS61" i="5"/>
  <c r="AR61" i="5"/>
  <c r="AQ61" i="5"/>
  <c r="AP61" i="5"/>
  <c r="AV60" i="5"/>
  <c r="AU60" i="5"/>
  <c r="AT60" i="5"/>
  <c r="AS60" i="5"/>
  <c r="AR60" i="5"/>
  <c r="AQ60" i="5"/>
  <c r="AP60" i="5"/>
  <c r="BS44" i="5"/>
  <c r="BR44" i="5"/>
  <c r="BQ44" i="5"/>
  <c r="BP44" i="5"/>
  <c r="AF44" i="5"/>
  <c r="AE44" i="5"/>
  <c r="K44" i="5"/>
  <c r="J44" i="5"/>
  <c r="BS43" i="5"/>
  <c r="BR43" i="5"/>
  <c r="BQ43" i="5"/>
  <c r="BP43" i="5"/>
  <c r="AF43" i="5"/>
  <c r="AE43" i="5"/>
  <c r="K43" i="5"/>
  <c r="J43" i="5"/>
  <c r="BS42" i="5"/>
  <c r="BR42" i="5"/>
  <c r="BQ42" i="5"/>
  <c r="BP42" i="5"/>
  <c r="AF42" i="5"/>
  <c r="AE42" i="5"/>
  <c r="K42" i="5"/>
  <c r="J42" i="5"/>
  <c r="BS41" i="5"/>
  <c r="BR41" i="5"/>
  <c r="BQ41" i="5"/>
  <c r="BP41" i="5"/>
  <c r="AF41" i="5"/>
  <c r="AE41" i="5"/>
  <c r="K41" i="5"/>
  <c r="J41" i="5"/>
  <c r="BS40" i="5"/>
  <c r="BR40" i="5"/>
  <c r="BQ40" i="5"/>
  <c r="BP40" i="5"/>
  <c r="AF40" i="5"/>
  <c r="AE40" i="5"/>
  <c r="K40" i="5"/>
  <c r="J40" i="5"/>
  <c r="BS39" i="5"/>
  <c r="BR39" i="5"/>
  <c r="BQ39" i="5"/>
  <c r="BP39" i="5"/>
  <c r="AF39" i="5"/>
  <c r="AE39" i="5"/>
  <c r="K39" i="5"/>
  <c r="J39" i="5"/>
  <c r="BS38" i="5"/>
  <c r="BR38" i="5"/>
  <c r="BQ38" i="5"/>
  <c r="BP38" i="5"/>
  <c r="AF38" i="5"/>
  <c r="AE38" i="5"/>
  <c r="K38" i="5"/>
  <c r="J38" i="5"/>
  <c r="BS37" i="5"/>
  <c r="BR37" i="5"/>
  <c r="BQ37" i="5"/>
  <c r="BP37" i="5"/>
  <c r="AF37" i="5"/>
  <c r="AE37" i="5"/>
  <c r="K37" i="5"/>
  <c r="J37" i="5"/>
  <c r="BS36" i="5"/>
  <c r="BR36" i="5"/>
  <c r="BQ36" i="5"/>
  <c r="BP36" i="5"/>
  <c r="AF36" i="5"/>
  <c r="AE36" i="5"/>
  <c r="K36" i="5"/>
  <c r="J36" i="5"/>
  <c r="BS35" i="5"/>
  <c r="BR35" i="5"/>
  <c r="BQ35" i="5"/>
  <c r="BP35" i="5"/>
  <c r="AF35" i="5"/>
  <c r="AE35" i="5"/>
  <c r="K35" i="5"/>
  <c r="J35" i="5"/>
  <c r="BS34" i="5"/>
  <c r="BR34" i="5"/>
  <c r="BQ34" i="5"/>
  <c r="BP34" i="5"/>
  <c r="AF34" i="5"/>
  <c r="AE34" i="5"/>
  <c r="K34" i="5"/>
  <c r="J34" i="5"/>
  <c r="BS33" i="5"/>
  <c r="BR33" i="5"/>
  <c r="BQ33" i="5"/>
  <c r="BP33" i="5"/>
  <c r="AF33" i="5"/>
  <c r="AE33" i="5"/>
  <c r="K33" i="5"/>
  <c r="J33" i="5"/>
  <c r="BS32" i="5"/>
  <c r="BR32" i="5"/>
  <c r="BQ32" i="5"/>
  <c r="BP32" i="5"/>
  <c r="AF32" i="5"/>
  <c r="AE32" i="5"/>
  <c r="K32" i="5"/>
  <c r="J32" i="5"/>
  <c r="BS31" i="5"/>
  <c r="BR31" i="5"/>
  <c r="BQ31" i="5"/>
  <c r="BP31" i="5"/>
  <c r="AF31" i="5"/>
  <c r="AE31" i="5"/>
  <c r="K31" i="5"/>
  <c r="J31" i="5"/>
  <c r="BS30" i="5"/>
  <c r="BR30" i="5"/>
  <c r="BQ30" i="5"/>
  <c r="BP30" i="5"/>
  <c r="AF30" i="5"/>
  <c r="AE30" i="5"/>
  <c r="K30" i="5"/>
  <c r="J30" i="5"/>
  <c r="BS29" i="5"/>
  <c r="BR29" i="5"/>
  <c r="BQ29" i="5"/>
  <c r="BP29" i="5"/>
  <c r="AF29" i="5"/>
  <c r="AE29" i="5"/>
  <c r="K29" i="5"/>
  <c r="J29" i="5"/>
  <c r="BS28" i="5"/>
  <c r="BR28" i="5"/>
  <c r="BQ28" i="5"/>
  <c r="BP28" i="5"/>
  <c r="AF28" i="5"/>
  <c r="AE28" i="5"/>
  <c r="K28" i="5"/>
  <c r="J28" i="5"/>
  <c r="BS27" i="5"/>
  <c r="BR27" i="5"/>
  <c r="BQ27" i="5"/>
  <c r="BP27" i="5"/>
  <c r="AF27" i="5"/>
  <c r="AE27" i="5"/>
  <c r="K27" i="5"/>
  <c r="J27" i="5"/>
  <c r="BS26" i="5"/>
  <c r="BR26" i="5"/>
  <c r="BQ26" i="5"/>
  <c r="BP26" i="5"/>
  <c r="AF26" i="5"/>
  <c r="AE26" i="5"/>
  <c r="K26" i="5"/>
  <c r="J26" i="5"/>
  <c r="BS25" i="5"/>
  <c r="BR25" i="5"/>
  <c r="BQ25" i="5"/>
  <c r="BP25" i="5"/>
  <c r="AF25" i="5"/>
  <c r="AE25" i="5"/>
  <c r="K25" i="5"/>
  <c r="J25" i="5"/>
  <c r="BS24" i="5"/>
  <c r="BR24" i="5"/>
  <c r="BQ24" i="5"/>
  <c r="BP24" i="5"/>
  <c r="AF24" i="5"/>
  <c r="AE24" i="5"/>
  <c r="K24" i="5"/>
  <c r="J24" i="5"/>
  <c r="BS23" i="5"/>
  <c r="BR23" i="5"/>
  <c r="BQ23" i="5"/>
  <c r="BP23" i="5"/>
  <c r="AF23" i="5"/>
  <c r="AE23" i="5"/>
  <c r="K23" i="5"/>
  <c r="J23" i="5"/>
  <c r="BS22" i="5"/>
  <c r="BR22" i="5"/>
  <c r="BQ22" i="5"/>
  <c r="BP22" i="5"/>
  <c r="AF22" i="5"/>
  <c r="AE22" i="5"/>
  <c r="K22" i="5"/>
  <c r="J22" i="5"/>
  <c r="BS21" i="5"/>
  <c r="BR21" i="5"/>
  <c r="BQ21" i="5"/>
  <c r="BP21" i="5"/>
  <c r="AF21" i="5"/>
  <c r="AE21" i="5"/>
  <c r="K21" i="5"/>
  <c r="J21" i="5"/>
  <c r="BS20" i="5"/>
  <c r="BR20" i="5"/>
  <c r="BQ20" i="5"/>
  <c r="BP20" i="5"/>
  <c r="AF20" i="5"/>
  <c r="AE20" i="5"/>
  <c r="K20" i="5"/>
  <c r="J20" i="5"/>
  <c r="BS19" i="5"/>
  <c r="BR19" i="5"/>
  <c r="BQ19" i="5"/>
  <c r="BP19" i="5"/>
  <c r="AF19" i="5"/>
  <c r="AE19" i="5"/>
  <c r="K19" i="5"/>
  <c r="J19" i="5"/>
  <c r="BS18" i="5"/>
  <c r="BR18" i="5"/>
  <c r="BQ18" i="5"/>
  <c r="BP18" i="5"/>
  <c r="AF18" i="5"/>
  <c r="AE18" i="5"/>
  <c r="K18" i="5"/>
  <c r="J18" i="5"/>
  <c r="BS17" i="5"/>
  <c r="BR17" i="5"/>
  <c r="BQ17" i="5"/>
  <c r="BP17" i="5"/>
  <c r="AF17" i="5"/>
  <c r="AE17" i="5"/>
  <c r="K17" i="5"/>
  <c r="J17" i="5"/>
  <c r="BS16" i="5"/>
  <c r="BR16" i="5"/>
  <c r="BQ16" i="5"/>
  <c r="BP16" i="5"/>
  <c r="AF16" i="5"/>
  <c r="AE16" i="5"/>
  <c r="K16" i="5"/>
  <c r="J16" i="5"/>
  <c r="BS15" i="5"/>
  <c r="BR15" i="5"/>
  <c r="BQ15" i="5"/>
  <c r="BP15" i="5"/>
  <c r="AF15" i="5"/>
  <c r="AE15" i="5"/>
  <c r="K15" i="5"/>
  <c r="J15" i="5"/>
  <c r="BS14" i="5"/>
  <c r="BR14" i="5"/>
  <c r="BQ14" i="5"/>
  <c r="BP14" i="5"/>
  <c r="AF14" i="5"/>
  <c r="AE14" i="5"/>
  <c r="K14" i="5"/>
  <c r="J14" i="5"/>
  <c r="BS13" i="5"/>
  <c r="BR13" i="5"/>
  <c r="BQ13" i="5"/>
  <c r="BP13" i="5"/>
  <c r="AF13" i="5"/>
  <c r="AE13" i="5"/>
  <c r="K13" i="5"/>
  <c r="J13" i="5"/>
  <c r="BS12" i="5"/>
  <c r="BR12" i="5"/>
  <c r="BQ12" i="5"/>
  <c r="BP12" i="5"/>
  <c r="AF12" i="5"/>
  <c r="AE12" i="5"/>
  <c r="K12" i="5"/>
  <c r="J12" i="5"/>
  <c r="BS11" i="5"/>
  <c r="BR11" i="5"/>
  <c r="BQ11" i="5"/>
  <c r="BP11" i="5"/>
  <c r="AF11" i="5"/>
  <c r="AE11" i="5"/>
  <c r="K11" i="5"/>
  <c r="J11" i="5"/>
  <c r="BS10" i="5"/>
  <c r="BR10" i="5"/>
  <c r="BQ10" i="5"/>
  <c r="BP10" i="5"/>
  <c r="AF10" i="5"/>
  <c r="AE10" i="5"/>
  <c r="K10" i="5"/>
  <c r="J10" i="5"/>
  <c r="BS9" i="5"/>
  <c r="BR9" i="5"/>
  <c r="BQ9" i="5"/>
  <c r="BP9" i="5"/>
  <c r="AF9" i="5"/>
  <c r="AE9" i="5"/>
  <c r="K9" i="5"/>
  <c r="J9" i="5"/>
  <c r="BS8" i="5"/>
  <c r="BR8" i="5"/>
  <c r="BQ8" i="5"/>
  <c r="BP8" i="5"/>
  <c r="AF8" i="5"/>
  <c r="AE8" i="5"/>
  <c r="K8" i="5"/>
  <c r="J8" i="5"/>
  <c r="BS7" i="5"/>
  <c r="BR7" i="5"/>
  <c r="BQ7" i="5"/>
  <c r="BP7" i="5"/>
  <c r="AF7" i="5"/>
  <c r="AE7" i="5"/>
  <c r="K7" i="5"/>
  <c r="J7" i="5"/>
  <c r="BS6" i="5"/>
  <c r="BR6" i="5"/>
  <c r="BQ6" i="5"/>
  <c r="BP6" i="5"/>
  <c r="AF6" i="5"/>
  <c r="AE6" i="5"/>
  <c r="K6" i="5"/>
  <c r="J6" i="5"/>
  <c r="BS5" i="5"/>
  <c r="BS54" i="5" s="1"/>
  <c r="BR5" i="5"/>
  <c r="BR54" i="5" s="1"/>
  <c r="BQ5" i="5"/>
  <c r="BQ54" i="5" s="1"/>
  <c r="BP5" i="5"/>
  <c r="AF5" i="5"/>
  <c r="AE5" i="5"/>
  <c r="K5" i="5"/>
  <c r="K54" i="5" s="1"/>
  <c r="J5" i="5"/>
  <c r="T19" i="3"/>
  <c r="S19" i="3"/>
  <c r="M19" i="3"/>
  <c r="L19" i="3"/>
  <c r="X12" i="3"/>
  <c r="P12" i="3"/>
  <c r="O12" i="3"/>
  <c r="I12" i="3"/>
  <c r="H12" i="3"/>
  <c r="X11" i="3"/>
  <c r="P11" i="3"/>
  <c r="O11" i="3"/>
  <c r="I11" i="3"/>
  <c r="H11" i="3"/>
  <c r="X10" i="3"/>
  <c r="P10" i="3"/>
  <c r="O10" i="3"/>
  <c r="I10" i="3"/>
  <c r="H10" i="3"/>
  <c r="X9" i="3"/>
  <c r="P9" i="3"/>
  <c r="O9" i="3"/>
  <c r="I9" i="3"/>
  <c r="H9" i="3"/>
  <c r="X8" i="3"/>
  <c r="P8" i="3"/>
  <c r="O8" i="3"/>
  <c r="I8" i="3"/>
  <c r="H8" i="3"/>
  <c r="X7" i="3"/>
  <c r="P7" i="3"/>
  <c r="O7" i="3"/>
  <c r="I7" i="3"/>
  <c r="I15" i="3" s="1"/>
  <c r="H7" i="3"/>
  <c r="X6" i="3"/>
  <c r="P6" i="3"/>
  <c r="V6" i="3" s="1"/>
  <c r="O6" i="3"/>
  <c r="I6" i="3"/>
  <c r="H6" i="3"/>
  <c r="X5" i="3"/>
  <c r="P5" i="3"/>
  <c r="O5" i="3"/>
  <c r="I5" i="3"/>
  <c r="H5" i="3"/>
  <c r="BI54" i="6" l="1"/>
  <c r="K54" i="6"/>
  <c r="BQ54" i="6"/>
  <c r="BM54" i="6"/>
  <c r="BP54" i="5"/>
  <c r="BM54" i="5"/>
  <c r="BH54" i="5"/>
  <c r="BI54" i="5"/>
  <c r="X17" i="3"/>
  <c r="I18" i="3"/>
  <c r="BH51" i="6"/>
  <c r="V8" i="3"/>
  <c r="AG65" i="6"/>
  <c r="AG95" i="6"/>
  <c r="AG60" i="6"/>
  <c r="BB5" i="5" a="1"/>
  <c r="BB5" i="5" s="1"/>
  <c r="AZ10" i="5" a="1"/>
  <c r="AZ10" i="5" s="1"/>
  <c r="BA40" i="5" a="1"/>
  <c r="BA40" i="5" s="1"/>
  <c r="BD15" i="5" a="1"/>
  <c r="BD15" i="5" s="1"/>
  <c r="G6" i="7" s="1"/>
  <c r="BF15" i="5" a="1"/>
  <c r="BF15" i="5" s="1"/>
  <c r="BE30" i="5" a="1"/>
  <c r="BE30" i="5" s="1"/>
  <c r="H9" i="7" s="1"/>
  <c r="AZ35" i="5" a="1"/>
  <c r="AZ35" i="5" s="1"/>
  <c r="C10" i="7" s="1"/>
  <c r="BD5" i="5" a="1"/>
  <c r="BD5" i="5" s="1"/>
  <c r="AG75" i="6"/>
  <c r="V7" i="3"/>
  <c r="BA15" i="5" a="1"/>
  <c r="BA15" i="5" s="1"/>
  <c r="AG70" i="6"/>
  <c r="BF5" i="5" a="1"/>
  <c r="BF5" i="5" s="1"/>
  <c r="BA30" i="5" a="1"/>
  <c r="BA30" i="5" s="1"/>
  <c r="D9" i="7" s="1"/>
  <c r="AG85" i="6"/>
  <c r="BC35" i="5" a="1"/>
  <c r="BC35" i="5" s="1"/>
  <c r="F10" i="7" s="1"/>
  <c r="BC35" i="6" a="1"/>
  <c r="BC35" i="6" s="1"/>
  <c r="M10" i="7" s="1"/>
  <c r="BA35" i="6" a="1"/>
  <c r="BA35" i="6" s="1"/>
  <c r="K10" i="7" s="1"/>
  <c r="AZ35" i="6" a="1"/>
  <c r="AZ35" i="6" s="1"/>
  <c r="J10" i="7" s="1"/>
  <c r="BF35" i="6" a="1"/>
  <c r="BF35" i="6" s="1"/>
  <c r="P10" i="7" s="1"/>
  <c r="BE35" i="6" a="1"/>
  <c r="BE35" i="6" s="1"/>
  <c r="O10" i="7" s="1"/>
  <c r="BD35" i="6" a="1"/>
  <c r="BD35" i="6" s="1"/>
  <c r="N10" i="7" s="1"/>
  <c r="BB35" i="6" a="1"/>
  <c r="BB35" i="6" s="1"/>
  <c r="L10" i="7" s="1"/>
  <c r="BC10" i="5" a="1"/>
  <c r="BC10" i="5" s="1"/>
  <c r="F5" i="7" s="1"/>
  <c r="BC40" i="5" a="1"/>
  <c r="BC40" i="5" s="1"/>
  <c r="F11" i="7" s="1"/>
  <c r="BE20" i="6" a="1"/>
  <c r="BE20" i="6" s="1"/>
  <c r="O7" i="7" s="1"/>
  <c r="BC20" i="6" a="1"/>
  <c r="BC20" i="6" s="1"/>
  <c r="M7" i="7" s="1"/>
  <c r="BB20" i="6" a="1"/>
  <c r="BB20" i="6" s="1"/>
  <c r="L7" i="7" s="1"/>
  <c r="BA20" i="6" a="1"/>
  <c r="BA20" i="6" s="1"/>
  <c r="K7" i="7" s="1"/>
  <c r="AZ20" i="6" a="1"/>
  <c r="AZ20" i="6" s="1"/>
  <c r="J7" i="7" s="1"/>
  <c r="BD20" i="6" a="1"/>
  <c r="BD20" i="6" s="1"/>
  <c r="N7" i="7" s="1"/>
  <c r="BF20" i="6" a="1"/>
  <c r="BF20" i="6" s="1"/>
  <c r="P7" i="7" s="1"/>
  <c r="AZ15" i="5" a="1"/>
  <c r="AZ15" i="5" s="1"/>
  <c r="C6" i="7" s="1"/>
  <c r="V12" i="3"/>
  <c r="BA5" i="5" a="1"/>
  <c r="BA5" i="5" s="1"/>
  <c r="BB30" i="5" a="1"/>
  <c r="BB30" i="5" s="1"/>
  <c r="E9" i="7" s="1"/>
  <c r="BC20" i="5" a="1"/>
  <c r="BC20" i="5" s="1"/>
  <c r="F7" i="7" s="1"/>
  <c r="BD35" i="5" a="1"/>
  <c r="BD35" i="5" s="1"/>
  <c r="G10" i="7" s="1"/>
  <c r="BD10" i="5" a="1"/>
  <c r="BD10" i="5" s="1"/>
  <c r="G5" i="7" s="1"/>
  <c r="BD40" i="5" a="1"/>
  <c r="BD40" i="5" s="1"/>
  <c r="G11" i="7" s="1"/>
  <c r="BE25" i="5" a="1"/>
  <c r="BE25" i="5" s="1"/>
  <c r="H8" i="7" s="1"/>
  <c r="BB15" i="5" a="1"/>
  <c r="BB15" i="5" s="1"/>
  <c r="E6" i="7" s="1"/>
  <c r="BC30" i="5" a="1"/>
  <c r="BC30" i="5" s="1"/>
  <c r="F9" i="7" s="1"/>
  <c r="BA30" i="6" a="1"/>
  <c r="BA30" i="6" s="1"/>
  <c r="K9" i="7" s="1"/>
  <c r="BF30" i="6" a="1"/>
  <c r="BF30" i="6" s="1"/>
  <c r="P9" i="7" s="1"/>
  <c r="BE30" i="6" a="1"/>
  <c r="BE30" i="6" s="1"/>
  <c r="O9" i="7" s="1"/>
  <c r="BD30" i="6" a="1"/>
  <c r="BD30" i="6" s="1"/>
  <c r="N9" i="7" s="1"/>
  <c r="BC30" i="6" a="1"/>
  <c r="BC30" i="6" s="1"/>
  <c r="M9" i="7" s="1"/>
  <c r="BB30" i="6" a="1"/>
  <c r="BB30" i="6" s="1"/>
  <c r="L9" i="7" s="1"/>
  <c r="AZ30" i="6" a="1"/>
  <c r="AZ30" i="6" s="1"/>
  <c r="BD20" i="5" a="1"/>
  <c r="BD20" i="5" s="1"/>
  <c r="BE35" i="5" a="1"/>
  <c r="BE35" i="5" s="1"/>
  <c r="H10" i="7" s="1"/>
  <c r="BE10" i="5" a="1"/>
  <c r="BE10" i="5" s="1"/>
  <c r="H5" i="7" s="1"/>
  <c r="AZ40" i="5" a="1"/>
  <c r="AZ40" i="5" s="1"/>
  <c r="C11" i="7" s="1"/>
  <c r="BE40" i="6" a="1"/>
  <c r="BE40" i="6" s="1"/>
  <c r="O11" i="7" s="1"/>
  <c r="BD40" i="6" a="1"/>
  <c r="BD40" i="6" s="1"/>
  <c r="N11" i="7" s="1"/>
  <c r="BC40" i="6" a="1"/>
  <c r="BC40" i="6" s="1"/>
  <c r="M11" i="7" s="1"/>
  <c r="BB40" i="6" a="1"/>
  <c r="BB40" i="6" s="1"/>
  <c r="L11" i="7" s="1"/>
  <c r="BA40" i="6" a="1"/>
  <c r="BA40" i="6" s="1"/>
  <c r="K11" i="7" s="1"/>
  <c r="AZ40" i="6" a="1"/>
  <c r="AZ40" i="6" s="1"/>
  <c r="J11" i="7" s="1"/>
  <c r="BF40" i="6" a="1"/>
  <c r="BF40" i="6" s="1"/>
  <c r="P11" i="7" s="1"/>
  <c r="BD25" i="5" a="1"/>
  <c r="BD25" i="5" s="1"/>
  <c r="G8" i="7" s="1"/>
  <c r="BA15" i="6" a="1"/>
  <c r="BA15" i="6" s="1"/>
  <c r="K6" i="7" s="1"/>
  <c r="BB15" i="6" a="1"/>
  <c r="BB15" i="6" s="1"/>
  <c r="AZ15" i="6" a="1"/>
  <c r="AZ15" i="6" s="1"/>
  <c r="J6" i="7" s="1"/>
  <c r="BE15" i="6" a="1"/>
  <c r="BE15" i="6" s="1"/>
  <c r="O6" i="7" s="1"/>
  <c r="BF15" i="6" a="1"/>
  <c r="BF15" i="6" s="1"/>
  <c r="P6" i="7" s="1"/>
  <c r="BD15" i="6" a="1"/>
  <c r="BD15" i="6" s="1"/>
  <c r="N6" i="7" s="1"/>
  <c r="BC15" i="6" a="1"/>
  <c r="BC15" i="6" s="1"/>
  <c r="BE15" i="5" a="1"/>
  <c r="BE15" i="5" s="1"/>
  <c r="H6" i="7" s="1"/>
  <c r="AZ5" i="5" a="1"/>
  <c r="AZ5" i="5" s="1"/>
  <c r="AZ54" i="5" s="1"/>
  <c r="BE20" i="5" a="1"/>
  <c r="BE20" i="5" s="1"/>
  <c r="H7" i="7" s="1"/>
  <c r="BF10" i="5" a="1"/>
  <c r="BF10" i="5" s="1"/>
  <c r="I5" i="7" s="1"/>
  <c r="BE40" i="5" a="1"/>
  <c r="BE40" i="5" s="1"/>
  <c r="H11" i="7" s="1"/>
  <c r="BF25" i="5" a="1"/>
  <c r="BF25" i="5" s="1"/>
  <c r="BF30" i="5" a="1"/>
  <c r="BF30" i="5" s="1"/>
  <c r="I9" i="7" s="1"/>
  <c r="BC15" i="5" a="1"/>
  <c r="BC15" i="5" s="1"/>
  <c r="BC5" i="5" a="1"/>
  <c r="BC5" i="5" s="1"/>
  <c r="BD30" i="5" a="1"/>
  <c r="BD30" i="5" s="1"/>
  <c r="G9" i="7" s="1"/>
  <c r="BA10" i="6" a="1"/>
  <c r="BA10" i="6" s="1"/>
  <c r="K5" i="7" s="1"/>
  <c r="AZ10" i="6" a="1"/>
  <c r="AZ10" i="6" s="1"/>
  <c r="J5" i="7" s="1"/>
  <c r="BF10" i="6" a="1"/>
  <c r="BF10" i="6" s="1"/>
  <c r="P5" i="7" s="1"/>
  <c r="BE10" i="6" a="1"/>
  <c r="BE10" i="6" s="1"/>
  <c r="O5" i="7" s="1"/>
  <c r="BD10" i="6" a="1"/>
  <c r="BD10" i="6" s="1"/>
  <c r="N5" i="7" s="1"/>
  <c r="BC10" i="6" a="1"/>
  <c r="BC10" i="6" s="1"/>
  <c r="M5" i="7" s="1"/>
  <c r="BB10" i="6" a="1"/>
  <c r="BB10" i="6" s="1"/>
  <c r="L5" i="7" s="1"/>
  <c r="BF20" i="5" a="1"/>
  <c r="BF20" i="5" s="1"/>
  <c r="I7" i="7" s="1"/>
  <c r="BF35" i="5" a="1"/>
  <c r="BF35" i="5" s="1"/>
  <c r="I10" i="7" s="1"/>
  <c r="BB10" i="5" a="1"/>
  <c r="BB10" i="5" s="1"/>
  <c r="E5" i="7" s="1"/>
  <c r="BF40" i="5" a="1"/>
  <c r="BF40" i="5" s="1"/>
  <c r="I11" i="7" s="1"/>
  <c r="BE5" i="6" a="1"/>
  <c r="BE5" i="6" s="1"/>
  <c r="BF5" i="6" a="1"/>
  <c r="BF5" i="6" s="1"/>
  <c r="BD5" i="6" a="1"/>
  <c r="BD5" i="6" s="1"/>
  <c r="BC5" i="6" a="1"/>
  <c r="BC5" i="6" s="1"/>
  <c r="BB5" i="6" a="1"/>
  <c r="BB5" i="6" s="1"/>
  <c r="BA5" i="6" a="1"/>
  <c r="BA5" i="6" s="1"/>
  <c r="BA54" i="6" s="1"/>
  <c r="AZ5" i="6" a="1"/>
  <c r="AZ5" i="6" s="1"/>
  <c r="AZ54" i="6" s="1"/>
  <c r="AZ25" i="5" a="1"/>
  <c r="AZ25" i="5" s="1"/>
  <c r="C8" i="7" s="1"/>
  <c r="BA25" i="5" a="1"/>
  <c r="BA25" i="5" s="1"/>
  <c r="D8" i="7" s="1"/>
  <c r="BB25" i="5" a="1"/>
  <c r="BB25" i="5" s="1"/>
  <c r="E8" i="7" s="1"/>
  <c r="AZ20" i="5" a="1"/>
  <c r="AZ20" i="5" s="1"/>
  <c r="C7" i="7" s="1"/>
  <c r="BA20" i="5" a="1"/>
  <c r="BA20" i="5" s="1"/>
  <c r="D7" i="7" s="1"/>
  <c r="BA35" i="5" a="1"/>
  <c r="BA35" i="5" s="1"/>
  <c r="D10" i="7" s="1"/>
  <c r="BE5" i="5" a="1"/>
  <c r="BE5" i="5" s="1"/>
  <c r="AZ30" i="5" a="1"/>
  <c r="AZ30" i="5" s="1"/>
  <c r="BB20" i="5" a="1"/>
  <c r="BB20" i="5" s="1"/>
  <c r="E7" i="7" s="1"/>
  <c r="BB35" i="5" a="1"/>
  <c r="BB35" i="5" s="1"/>
  <c r="E10" i="7" s="1"/>
  <c r="BA10" i="5" a="1"/>
  <c r="BA10" i="5" s="1"/>
  <c r="D5" i="7" s="1"/>
  <c r="BB40" i="5" a="1"/>
  <c r="BB40" i="5" s="1"/>
  <c r="E11" i="7" s="1"/>
  <c r="BC25" i="5" a="1"/>
  <c r="BC25" i="5" s="1"/>
  <c r="F8" i="7" s="1"/>
  <c r="BE25" i="6" a="1"/>
  <c r="BE25" i="6" s="1"/>
  <c r="BD25" i="6" a="1"/>
  <c r="BD25" i="6" s="1"/>
  <c r="BC25" i="6" a="1"/>
  <c r="BC25" i="6" s="1"/>
  <c r="M8" i="7" s="1"/>
  <c r="BB25" i="6" a="1"/>
  <c r="BB25" i="6" s="1"/>
  <c r="L8" i="7" s="1"/>
  <c r="BA25" i="6" a="1"/>
  <c r="BA25" i="6" s="1"/>
  <c r="K8" i="7" s="1"/>
  <c r="AZ25" i="6" a="1"/>
  <c r="AZ25" i="6" s="1"/>
  <c r="J8" i="7" s="1"/>
  <c r="BF25" i="6" a="1"/>
  <c r="BF25" i="6" s="1"/>
  <c r="P8" i="7" s="1"/>
  <c r="BM51" i="5"/>
  <c r="BM52" i="5"/>
  <c r="BI51" i="5"/>
  <c r="BI52" i="5"/>
  <c r="BH51" i="5"/>
  <c r="C5" i="7"/>
  <c r="D6" i="7"/>
  <c r="BM50" i="5"/>
  <c r="BH50" i="5"/>
  <c r="BI50" i="5"/>
  <c r="BH52" i="5"/>
  <c r="J9" i="7"/>
  <c r="BM51" i="6"/>
  <c r="BI51" i="6"/>
  <c r="BM50" i="6"/>
  <c r="BI52" i="6"/>
  <c r="BH50" i="6"/>
  <c r="BH52" i="6"/>
  <c r="BI50" i="6"/>
  <c r="BM52" i="6"/>
  <c r="P15" i="3"/>
  <c r="V15" i="3" s="1"/>
  <c r="C10" i="1" s="1"/>
  <c r="X15" i="3"/>
  <c r="V18" i="3"/>
  <c r="T20" i="3"/>
  <c r="C15" i="1" s="1"/>
  <c r="P16" i="3"/>
  <c r="X16" i="3"/>
  <c r="X18" i="3"/>
  <c r="V10" i="3"/>
  <c r="S20" i="3"/>
  <c r="C14" i="1" s="1"/>
  <c r="I16" i="3"/>
  <c r="V11" i="3"/>
  <c r="BR51" i="5"/>
  <c r="K50" i="5"/>
  <c r="BS51" i="5"/>
  <c r="AF50" i="5"/>
  <c r="AX56" i="5"/>
  <c r="C26" i="1" s="1"/>
  <c r="C19" i="7" s="1"/>
  <c r="AW56" i="5"/>
  <c r="C25" i="1" s="1"/>
  <c r="C18" i="7" s="1"/>
  <c r="BP50" i="6"/>
  <c r="E4" i="7"/>
  <c r="D4" i="7"/>
  <c r="BP52" i="5"/>
  <c r="BQ51" i="5"/>
  <c r="BR50" i="5"/>
  <c r="BR52" i="5"/>
  <c r="AF52" i="5"/>
  <c r="BP50" i="5"/>
  <c r="K51" i="5"/>
  <c r="BQ52" i="5"/>
  <c r="AF51" i="5"/>
  <c r="BS52" i="5"/>
  <c r="BP51" i="5"/>
  <c r="K52" i="5"/>
  <c r="AW56" i="6"/>
  <c r="C38" i="1" s="1"/>
  <c r="J18" i="7" s="1"/>
  <c r="AX56" i="6"/>
  <c r="C39" i="1" s="1"/>
  <c r="J19" i="7" s="1"/>
  <c r="BR51" i="6"/>
  <c r="K52" i="6"/>
  <c r="K51" i="6"/>
  <c r="BQ52" i="6"/>
  <c r="BR52" i="6"/>
  <c r="BQ51" i="6"/>
  <c r="BQ50" i="6"/>
  <c r="BR50" i="6"/>
  <c r="BS51" i="6"/>
  <c r="AF52" i="6"/>
  <c r="BP52" i="6"/>
  <c r="AF50" i="6"/>
  <c r="AF51" i="6"/>
  <c r="BS52" i="6"/>
  <c r="BP51" i="6"/>
  <c r="G7" i="7"/>
  <c r="I8" i="7"/>
  <c r="D11" i="7"/>
  <c r="C9" i="7"/>
  <c r="X14" i="3"/>
  <c r="V5" i="3"/>
  <c r="V9" i="3"/>
  <c r="K50" i="6"/>
  <c r="BS50" i="6"/>
  <c r="BQ50" i="5"/>
  <c r="I14" i="3"/>
  <c r="BS50" i="5"/>
  <c r="P14" i="3"/>
  <c r="BB54" i="6" l="1"/>
  <c r="BC54" i="6"/>
  <c r="BF54" i="6"/>
  <c r="O4" i="7"/>
  <c r="BE54" i="6"/>
  <c r="BD54" i="6"/>
  <c r="I4" i="7"/>
  <c r="BF54" i="5"/>
  <c r="I24" i="1" s="1"/>
  <c r="I17" i="7" s="1"/>
  <c r="BA54" i="5"/>
  <c r="D24" i="1" s="1"/>
  <c r="D17" i="7" s="1"/>
  <c r="F4" i="7"/>
  <c r="BC54" i="5"/>
  <c r="F24" i="1" s="1"/>
  <c r="F17" i="7" s="1"/>
  <c r="BB54" i="5"/>
  <c r="E24" i="1" s="1"/>
  <c r="E17" i="7" s="1"/>
  <c r="BD54" i="5"/>
  <c r="G24" i="1" s="1"/>
  <c r="G17" i="7" s="1"/>
  <c r="H4" i="7"/>
  <c r="BE54" i="5"/>
  <c r="C13" i="1"/>
  <c r="C12" i="1"/>
  <c r="BB51" i="6"/>
  <c r="E34" i="1" s="1"/>
  <c r="BF51" i="6"/>
  <c r="I34" i="1" s="1"/>
  <c r="V14" i="3"/>
  <c r="C9" i="1" s="1"/>
  <c r="V16" i="3"/>
  <c r="C11" i="1" s="1"/>
  <c r="BF51" i="5"/>
  <c r="I21" i="1" s="1"/>
  <c r="BC51" i="5"/>
  <c r="F21" i="1" s="1"/>
  <c r="F6" i="7"/>
  <c r="BD50" i="5"/>
  <c r="G20" i="1" s="1"/>
  <c r="G13" i="7" s="1"/>
  <c r="C24" i="1"/>
  <c r="C17" i="7" s="1"/>
  <c r="BD51" i="5"/>
  <c r="G21" i="1" s="1"/>
  <c r="BA50" i="5"/>
  <c r="D20" i="1" s="1"/>
  <c r="D13" i="7" s="1"/>
  <c r="H24" i="1"/>
  <c r="H17" i="7" s="1"/>
  <c r="G4" i="7"/>
  <c r="BD52" i="5"/>
  <c r="G22" i="1" s="1"/>
  <c r="G15" i="7" s="1"/>
  <c r="BE52" i="5"/>
  <c r="H22" i="1" s="1"/>
  <c r="H15" i="7" s="1"/>
  <c r="AZ51" i="5"/>
  <c r="C21" i="1" s="1"/>
  <c r="AZ50" i="5"/>
  <c r="C20" i="1" s="1"/>
  <c r="C13" i="7" s="1"/>
  <c r="I6" i="7"/>
  <c r="BF52" i="5"/>
  <c r="I22" i="1" s="1"/>
  <c r="I15" i="7" s="1"/>
  <c r="BB50" i="6"/>
  <c r="E33" i="1" s="1"/>
  <c r="L13" i="7" s="1"/>
  <c r="L4" i="7"/>
  <c r="BD50" i="6"/>
  <c r="G33" i="1" s="1"/>
  <c r="N13" i="7" s="1"/>
  <c r="F37" i="1"/>
  <c r="M17" i="7" s="1"/>
  <c r="N4" i="7"/>
  <c r="BE52" i="6"/>
  <c r="H35" i="1" s="1"/>
  <c r="O15" i="7" s="1"/>
  <c r="I37" i="1"/>
  <c r="P17" i="7" s="1"/>
  <c r="AZ51" i="6"/>
  <c r="C34" i="1" s="1"/>
  <c r="M4" i="7"/>
  <c r="BD51" i="6"/>
  <c r="G34" i="1" s="1"/>
  <c r="BF50" i="6"/>
  <c r="I33" i="1" s="1"/>
  <c r="P13" i="7" s="1"/>
  <c r="G37" i="1"/>
  <c r="N17" i="7" s="1"/>
  <c r="BE51" i="6"/>
  <c r="H34" i="1" s="1"/>
  <c r="O8" i="7"/>
  <c r="BC52" i="6"/>
  <c r="F35" i="1" s="1"/>
  <c r="M15" i="7" s="1"/>
  <c r="BA52" i="6"/>
  <c r="D35" i="1" s="1"/>
  <c r="K15" i="7" s="1"/>
  <c r="H37" i="1"/>
  <c r="O17" i="7" s="1"/>
  <c r="BB52" i="6"/>
  <c r="E35" i="1" s="1"/>
  <c r="L15" i="7" s="1"/>
  <c r="BE50" i="6"/>
  <c r="H33" i="1" s="1"/>
  <c r="O13" i="7" s="1"/>
  <c r="BD52" i="6"/>
  <c r="G35" i="1" s="1"/>
  <c r="N15" i="7" s="1"/>
  <c r="L6" i="7"/>
  <c r="BC51" i="6"/>
  <c r="F34" i="1" s="1"/>
  <c r="BA51" i="6"/>
  <c r="D34" i="1" s="1"/>
  <c r="P4" i="7"/>
  <c r="BB52" i="5"/>
  <c r="E22" i="1" s="1"/>
  <c r="E15" i="7" s="1"/>
  <c r="AZ52" i="5"/>
  <c r="C22" i="1" s="1"/>
  <c r="C15" i="7" s="1"/>
  <c r="M6" i="7"/>
  <c r="N8" i="7"/>
  <c r="BE50" i="5"/>
  <c r="H20" i="1" s="1"/>
  <c r="H13" i="7" s="1"/>
  <c r="BE51" i="5"/>
  <c r="H21" i="1" s="1"/>
  <c r="BC52" i="5"/>
  <c r="F22" i="1" s="1"/>
  <c r="F15" i="7" s="1"/>
  <c r="BB51" i="5"/>
  <c r="E21" i="1" s="1"/>
  <c r="BF52" i="6"/>
  <c r="I35" i="1" s="1"/>
  <c r="P15" i="7" s="1"/>
  <c r="BF50" i="5"/>
  <c r="I20" i="1" s="1"/>
  <c r="I13" i="7" s="1"/>
  <c r="BA51" i="5"/>
  <c r="D21" i="1" s="1"/>
  <c r="BC50" i="5"/>
  <c r="F20" i="1" s="1"/>
  <c r="F13" i="7" s="1"/>
  <c r="C4" i="7"/>
  <c r="BC50" i="6"/>
  <c r="F33" i="1" s="1"/>
  <c r="M13" i="7" s="1"/>
  <c r="BA52" i="5"/>
  <c r="D22" i="1" s="1"/>
  <c r="D15" i="7" s="1"/>
  <c r="AZ52" i="6"/>
  <c r="C35" i="1" s="1"/>
  <c r="J15" i="7" s="1"/>
  <c r="E37" i="1"/>
  <c r="L17" i="7" s="1"/>
  <c r="BB50" i="5"/>
  <c r="E20" i="1" s="1"/>
  <c r="E13" i="7" s="1"/>
  <c r="J14" i="7" l="1"/>
  <c r="I14" i="7"/>
  <c r="K14" i="7"/>
  <c r="N14" i="7"/>
  <c r="H14" i="7"/>
  <c r="M14" i="7"/>
  <c r="E14" i="7"/>
  <c r="F14" i="7"/>
  <c r="D14" i="7"/>
  <c r="O14" i="7"/>
  <c r="G14" i="7"/>
  <c r="P14" i="7"/>
  <c r="C14" i="7"/>
  <c r="L14" i="7"/>
  <c r="K4" i="7"/>
  <c r="D37" i="1"/>
  <c r="K17" i="7" s="1"/>
  <c r="BA50" i="6"/>
  <c r="D33" i="1" s="1"/>
  <c r="K13" i="7" s="1"/>
  <c r="J4" i="7"/>
  <c r="C37" i="1"/>
  <c r="J17" i="7" s="1"/>
  <c r="AZ50" i="6"/>
  <c r="C33" i="1" s="1"/>
  <c r="J13" i="7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<sst xmlns="http://schemas.openxmlformats.org/spreadsheetml/2006/main" count="997" uniqueCount="439">
  <si>
    <t>Reference:</t>
  </si>
  <si>
    <t>Tested:</t>
  </si>
  <si>
    <t>All Intra</t>
  </si>
  <si>
    <t>C0_ai</t>
  </si>
  <si>
    <t>lossless geometry, lossless attributes [all intra]</t>
  </si>
  <si>
    <t>bpif ratio [%]</t>
  </si>
  <si>
    <t>Total</t>
  </si>
  <si>
    <t>Cat1-A average</t>
  </si>
  <si>
    <t>Cat1-B average</t>
  </si>
  <si>
    <t>Cat1-C average</t>
  </si>
  <si>
    <t>Overall average</t>
  </si>
  <si>
    <t>Avg. Enc Time [%]</t>
  </si>
  <si>
    <t>Avg. Dec Time [%]</t>
  </si>
  <si>
    <t>C1_ai</t>
  </si>
  <si>
    <t>lossy geometry, lossy attributes [all intra]</t>
  </si>
  <si>
    <t>Pointcloud-based BD‑Rate [%]</t>
  </si>
  <si>
    <t>Image-based BD‑Rate [%]</t>
  </si>
  <si>
    <t>D1</t>
  </si>
  <si>
    <t>D2</t>
  </si>
  <si>
    <t>Luma</t>
  </si>
  <si>
    <t>Chroma Cb</t>
  </si>
  <si>
    <t>Chroma Cr</t>
  </si>
  <si>
    <t>Geom</t>
  </si>
  <si>
    <t>Inter, Random Access</t>
  </si>
  <si>
    <t>C2_ra</t>
  </si>
  <si>
    <t>lossy geometry, lossy attributes [inter, random access]</t>
  </si>
  <si>
    <t>Condition:</t>
  </si>
  <si>
    <t>← Select this …</t>
  </si>
  <si>
    <t>Columns</t>
  </si>
  <si>
    <t>C1 lossy AI</t>
  </si>
  <si>
    <t>C2 lossy RA</t>
  </si>
  <si>
    <t>Sequence:</t>
  </si>
  <si>
    <t>mitch_voxelised</t>
  </si>
  <si>
    <t>← … then this</t>
  </si>
  <si>
    <t>dec.cb-hpsnr</t>
  </si>
  <si>
    <t>Chroma Cb EtE Hausdorff PSNR [dB]</t>
  </si>
  <si>
    <t>dec.cb-psnr</t>
  </si>
  <si>
    <t>Chroma Cb End-to-end PSNR [dB]</t>
  </si>
  <si>
    <t>longdress_voxelised</t>
  </si>
  <si>
    <t>X:</t>
  </si>
  <si>
    <t>eqn.bitrate</t>
  </si>
  <si>
    <t>Y:</t>
  </si>
  <si>
    <t>dec.pc-d1-psnr</t>
  </si>
  <si>
    <t>← settings for graph a</t>
  </si>
  <si>
    <t>dec.cr-hpsnr</t>
  </si>
  <si>
    <t>Chroma Cr EtE Hausdorff PSNR [dB]</t>
  </si>
  <si>
    <t>soldier_voxelised</t>
  </si>
  <si>
    <t>dec.pc-d2-psnr</t>
  </si>
  <si>
    <t>← settings for graph b</t>
  </si>
  <si>
    <t>dec.cr-psnr</t>
  </si>
  <si>
    <t>Chroma Cr End-to-end PSNR [dB]</t>
  </si>
  <si>
    <t>basketball_player_voxelised</t>
  </si>
  <si>
    <t>dec.img-geom-psnr</t>
  </si>
  <si>
    <t>← settings for graph c</t>
  </si>
  <si>
    <t>dec.d1-mse</t>
  </si>
  <si>
    <t>D1 Geometry MSE</t>
  </si>
  <si>
    <t>dancer_voxelised</t>
  </si>
  <si>
    <t>dec.pc-y-psnr</t>
  </si>
  <si>
    <t>← settings for graph d</t>
  </si>
  <si>
    <t>dec.d1-psnr</t>
  </si>
  <si>
    <t>D1 Geometry PSNR [dB]</t>
  </si>
  <si>
    <t>football_voxelised</t>
  </si>
  <si>
    <t>dec.pc-cb-psnr</t>
  </si>
  <si>
    <t>← settings for graph e</t>
  </si>
  <si>
    <t>dec.d2-mse</t>
  </si>
  <si>
    <t>D2 Geometry MSE</t>
  </si>
  <si>
    <t>levi_voxelised</t>
  </si>
  <si>
    <t>dec.pc-cr-psnr</t>
  </si>
  <si>
    <t>← settings for graph f</t>
  </si>
  <si>
    <t>dec.d2-psnr</t>
  </si>
  <si>
    <t>D2 Geometry PSNR [dB]</t>
  </si>
  <si>
    <t>dec.img-y-psnr</t>
  </si>
  <si>
    <t>← settings for graph g</t>
  </si>
  <si>
    <t>dec.geom-psnr</t>
  </si>
  <si>
    <t>Geo Geometry PSNR [dB]</t>
  </si>
  <si>
    <t>thomas_voxelised</t>
  </si>
  <si>
    <t>Geom Image-based PSNR [dB]</t>
  </si>
  <si>
    <t>Luma Image-based PSNR [dB]</t>
  </si>
  <si>
    <t>dec.numduppoints.mean</t>
  </si>
  <si>
    <t>Mean duplicate points</t>
  </si>
  <si>
    <t>dec.numfaces</t>
  </si>
  <si>
    <t>№ output faces</t>
  </si>
  <si>
    <t>dec.numpoints</t>
  </si>
  <si>
    <t>№ output points</t>
  </si>
  <si>
    <t>dec.numpoints.mean</t>
  </si>
  <si>
    <t>Mean output points</t>
  </si>
  <si>
    <t>Chroma Cb Pointcloud-based PSNR [dB]</t>
  </si>
  <si>
    <t>Chroma Cr Pointcloud-based PSNR [dB]</t>
  </si>
  <si>
    <t>D1 Pointcloud-based PSNR [dB]</t>
  </si>
  <si>
    <t>D2 Pointcloud-based PSNR [dB]</t>
  </si>
  <si>
    <t>Luma Pointcloud-based PSNR [dB]</t>
  </si>
  <si>
    <t>dec.post-recolour.cb-psnr</t>
  </si>
  <si>
    <t>Chroma Cb Post recolour PSNR [dB]</t>
  </si>
  <si>
    <t>dec.post-recolour.cr-psnr</t>
  </si>
  <si>
    <t>Chroma Cr Post recolour PSNR [dB]</t>
  </si>
  <si>
    <t>dec.post-recolour.y-psnr</t>
  </si>
  <si>
    <t>Luma Post recolour PSNR [dB]</t>
  </si>
  <si>
    <t>dec.reflectance-hpsnr</t>
  </si>
  <si>
    <t>Reflectance EtE Hausdorff PSNR [dB]</t>
  </si>
  <si>
    <t>dec.reflectance-psnr</t>
  </si>
  <si>
    <t>Reflectance End-to-end PSNR [dB]</t>
  </si>
  <si>
    <t>dec.utime</t>
  </si>
  <si>
    <t>User Decoder runtime [s]</t>
  </si>
  <si>
    <t>dec.utime.children</t>
  </si>
  <si>
    <t>Child Decoder runtime [s]</t>
  </si>
  <si>
    <t>dec.utime.self</t>
  </si>
  <si>
    <t>Self Decoder runtime [s]</t>
  </si>
  <si>
    <t>dec.y-hpsnr</t>
  </si>
  <si>
    <t>Luma EtE Hausdorff PSNR [dB]</t>
  </si>
  <si>
    <t>dec.y-psnr</t>
  </si>
  <si>
    <t>Luma End-to-end PSNR [dB]</t>
  </si>
  <si>
    <t>enc.bits.colour</t>
  </si>
  <si>
    <t>Colour Bitstream [bits]</t>
  </si>
  <si>
    <t>enc.bits.geometry</t>
  </si>
  <si>
    <t>Geometry Bitstream [bits]</t>
  </si>
  <si>
    <t>enc.bits.occ+patch</t>
  </si>
  <si>
    <t>Occ+Patch Bitstream [bits]</t>
  </si>
  <si>
    <t>enc.bits.reflectance</t>
  </si>
  <si>
    <t>Reflectance Bitstream [bits]</t>
  </si>
  <si>
    <t>enc.ext.bits</t>
  </si>
  <si>
    <t>Total Bitstream [bits]</t>
  </si>
  <si>
    <t>enc.utime</t>
  </si>
  <si>
    <t>User Encoder runtime [s]</t>
  </si>
  <si>
    <t>enc.utime.children</t>
  </si>
  <si>
    <t>Child Encoder runtime [s]</t>
  </si>
  <si>
    <t>enc.utime.self</t>
  </si>
  <si>
    <t>Self Encoder runtime [s]</t>
  </si>
  <si>
    <t>Rate [Mbps]</t>
  </si>
  <si>
    <t>eqn.bits.totalgeometry</t>
  </si>
  <si>
    <t>eqn.bits.totalgeometry Bitstream [bits]</t>
  </si>
  <si>
    <t>eqn.bpf</t>
  </si>
  <si>
    <t>Total Bits per input face [bpif]</t>
  </si>
  <si>
    <t>eqn.bpop</t>
  </si>
  <si>
    <t>Total Bits per output point [bpop]</t>
  </si>
  <si>
    <t>eqn.bpp</t>
  </si>
  <si>
    <t>Total Bits per input point [bpip]</t>
  </si>
  <si>
    <t>eqn.bpp.colour</t>
  </si>
  <si>
    <t>Colour  Bits per input point [bpip]</t>
  </si>
  <si>
    <t>eqn.bpp.geometry</t>
  </si>
  <si>
    <t>Geometry Bits per input point [bpip]</t>
  </si>
  <si>
    <t>eqn.bpp.geometry+occ+patch</t>
  </si>
  <si>
    <t>Tot.Geom Bits per input point [bpip]</t>
  </si>
  <si>
    <t>eqn.bpp.reflectance</t>
  </si>
  <si>
    <t>Reflectance Bits per input point [bpip]</t>
  </si>
  <si>
    <t>eqn.compratio</t>
  </si>
  <si>
    <t>Comp. ratio [%]</t>
  </si>
  <si>
    <t>enc.disp.bytes</t>
  </si>
  <si>
    <t>Displacement Bitstream [bytes]</t>
  </si>
  <si>
    <t>C0_ai — lossless geometry, lossless attributes [all intra]</t>
  </si>
  <si>
    <t>Class</t>
  </si>
  <si>
    <t>Sequence</t>
  </si>
  <si>
    <t>№ input faces</t>
  </si>
  <si>
    <t>Geometry precision [bits]</t>
  </si>
  <si>
    <t>№ frames</t>
  </si>
  <si>
    <t>Frame rate [fps]</t>
  </si>
  <si>
    <t>Bmesh</t>
  </si>
  <si>
    <t>Total bpif ratio [%]</t>
  </si>
  <si>
    <t>Total bmesh ratio [%]</t>
  </si>
  <si>
    <t>class</t>
  </si>
  <si>
    <t>sequence</t>
  </si>
  <si>
    <t>src.numfaces</t>
  </si>
  <si>
    <t>src.geometry-precision</t>
  </si>
  <si>
    <t>src.framecount</t>
  </si>
  <si>
    <t>src.framerate</t>
  </si>
  <si>
    <t>A.eqn.bitrate</t>
  </si>
  <si>
    <t>A.eqn.bpf</t>
  </si>
  <si>
    <t>A.enc.ext.bits</t>
  </si>
  <si>
    <t>A.enc.utime</t>
  </si>
  <si>
    <t>A.dec.utime</t>
  </si>
  <si>
    <t>B.eqn.bitrate</t>
  </si>
  <si>
    <t>B.eqn.bpf</t>
  </si>
  <si>
    <t>B.enc.ext.bits</t>
  </si>
  <si>
    <t>B.enc.utime</t>
  </si>
  <si>
    <t>B.dec.utime</t>
  </si>
  <si>
    <t>eqn.ab.ratio-bpf</t>
  </si>
  <si>
    <t>cat1-A</t>
  </si>
  <si>
    <t>cat1-B</t>
  </si>
  <si>
    <t>cat1-C</t>
  </si>
  <si>
    <t>Overall</t>
  </si>
  <si>
    <t>Total time [s]</t>
  </si>
  <si>
    <t>Total time [%]</t>
  </si>
  <si>
    <t>col.C0 lossless AI.class</t>
  </si>
  <si>
    <t>col.C0 lossless AI.sequence</t>
  </si>
  <si>
    <t>col.C0 lossless AI.src.numfaces</t>
  </si>
  <si>
    <t>col.C0 lossless AI.src.geometry-precision</t>
  </si>
  <si>
    <t>col.C0 lossless AI.src.framecount</t>
  </si>
  <si>
    <t>col.C0 lossless AI.src.framerate</t>
  </si>
  <si>
    <t>col.C0 lossless AI.A.eqn.bitrate</t>
  </si>
  <si>
    <t>col.C0 lossless AI.A.eqn.bpf</t>
  </si>
  <si>
    <t>col.C0 lossless AI.A.enc.ext.bits</t>
  </si>
  <si>
    <t>col.C0 lossless AI.A.enc.utime</t>
  </si>
  <si>
    <t>col.C0 lossless AI.A.dec.utime</t>
  </si>
  <si>
    <t>col.C0 lossless AI.B.eqn.bitrate</t>
  </si>
  <si>
    <t>col.C0 lossless AI.B.eqn.bpf</t>
  </si>
  <si>
    <t>col.C0 lossless AI.B.enc.ext.bits</t>
  </si>
  <si>
    <t>col.C0 lossless AI.B.enc.utime</t>
  </si>
  <si>
    <t>col.C0 lossless AI.B.dec.utime</t>
  </si>
  <si>
    <t>col.C0 lossless AI.eqn.ab.ratio-bpf</t>
  </si>
  <si>
    <t>name.A.C0 lossless AI</t>
  </si>
  <si>
    <t>'C0 lossless AI'!$H$1</t>
  </si>
  <si>
    <t>name.B.C0 lossless AI</t>
  </si>
  <si>
    <t>'C0 lossless AI'!$N$1</t>
  </si>
  <si>
    <t>range.C0 lossless AI.longdress_voxelised</t>
  </si>
  <si>
    <t>'C0 lossless AI'!$A$5:$T$5</t>
  </si>
  <si>
    <t>range.C0 lossless AI.soldier_voxelised</t>
  </si>
  <si>
    <t>'C0 lossless AI'!$A$6:$T$6</t>
  </si>
  <si>
    <t>range.C0 lossless AI.basketball_player_voxelised</t>
  </si>
  <si>
    <t>'C0 lossless AI'!$A$7:$T$7</t>
  </si>
  <si>
    <t>range.C0 lossless AI.dancer_voxelised</t>
  </si>
  <si>
    <t>'C0 lossless AI'!$A$8:$T$8</t>
  </si>
  <si>
    <t>range.C0 lossless AI.football_voxelised</t>
  </si>
  <si>
    <t>'C0 lossless AI'!$A$9:$T$9</t>
  </si>
  <si>
    <t>range.C0 lossless AI.levi_voxelised</t>
  </si>
  <si>
    <t>'C0 lossless AI'!$A$10:$T$10</t>
  </si>
  <si>
    <t>range.C0 lossless AI.mitch_voxelised</t>
  </si>
  <si>
    <t>'C0 lossless AI'!$A$11:$T$11</t>
  </si>
  <si>
    <t>range.C0 lossless AI.thomas_voxelised</t>
  </si>
  <si>
    <t>'C0 lossless AI'!$A$12:$T$12</t>
  </si>
  <si>
    <t>col.C1 lossy AI.class</t>
  </si>
  <si>
    <t>col.C1 lossy AI.sequence</t>
  </si>
  <si>
    <t>col.C1 lossy AI.variant</t>
  </si>
  <si>
    <t>col.C1 lossy AI.src.numfaces</t>
  </si>
  <si>
    <t>col.C1 lossy AI.src.geometry-precision</t>
  </si>
  <si>
    <t>col.C1 lossy AI.src.framecount</t>
  </si>
  <si>
    <t>col.C1 lossy AI.src.framerate</t>
  </si>
  <si>
    <t>col.C1 lossy AI.ctc.targetrate</t>
  </si>
  <si>
    <t>col.C1 lossy AI.A.eqn.bitrate</t>
  </si>
  <si>
    <t>col.C1 lossy AI.A.eqn.bpf</t>
  </si>
  <si>
    <t>col.C1 lossy AI.A.dec.numfaces</t>
  </si>
  <si>
    <t>col.C1 lossy AI.A.enc.ext.bits</t>
  </si>
  <si>
    <t>col.C1 lossy AI.A.enc.disp.bytes</t>
  </si>
  <si>
    <t>col.C1 lossy AI.A.enc.texture.bytes</t>
  </si>
  <si>
    <t>col.C1 lossy AI.A.dec.pc-d1-psnr</t>
  </si>
  <si>
    <t>col.C1 lossy AI.A.dec.pc-d2-psnr</t>
  </si>
  <si>
    <t>col.C1 lossy AI.A.dec.pc-y-psnr</t>
  </si>
  <si>
    <t>col.C1 lossy AI.A.dec.pc-cb-psnr</t>
  </si>
  <si>
    <t>col.C1 lossy AI.A.dec.pc-cr-psnr</t>
  </si>
  <si>
    <t>col.C1 lossy AI.A.dec.img-geom-psnr</t>
  </si>
  <si>
    <t>col.C1 lossy AI.A.dec.img-y-psnr</t>
  </si>
  <si>
    <t>col.C1 lossy AI.A.enc.utime</t>
  </si>
  <si>
    <t>col.C1 lossy AI.A.dec.utime</t>
  </si>
  <si>
    <t>col.C1 lossy AI.B.eqn.bitrate</t>
  </si>
  <si>
    <t>col.C1 lossy AI.B.eqn.bpf</t>
  </si>
  <si>
    <t>col.C1 lossy AI.B.dec.numfaces</t>
  </si>
  <si>
    <t>col.C1 lossy AI.B.enc.ext.bits</t>
  </si>
  <si>
    <t>col.C1 lossy AI.B.enc.disp.bytes</t>
  </si>
  <si>
    <t>col.C1 lossy AI.B.enc.texture.bytes</t>
  </si>
  <si>
    <t>col.C1 lossy AI.B.dec.pc-d1-psnr</t>
  </si>
  <si>
    <t>col.C1 lossy AI.B.dec.pc-d2-psnr</t>
  </si>
  <si>
    <t>col.C1 lossy AI.B.dec.pc-y-psnr</t>
  </si>
  <si>
    <t>col.C1 lossy AI.B.dec.pc-cb-psnr</t>
  </si>
  <si>
    <t>col.C1 lossy AI.B.dec.pc-cr-psnr</t>
  </si>
  <si>
    <t>col.C1 lossy AI.B.dec.img-geom-psnr</t>
  </si>
  <si>
    <t>col.C1 lossy AI.B.dec.img-y-psnr</t>
  </si>
  <si>
    <t>col.C1 lossy AI.B.enc.utime</t>
  </si>
  <si>
    <t>col.C1 lossy AI.B.dec.utime</t>
  </si>
  <si>
    <t>col.C1 lossy AI.eqn.ab.bdrate-pc-d1</t>
  </si>
  <si>
    <t>col.C1 lossy AI.eqn.ab.bdrate-pc-d2</t>
  </si>
  <si>
    <t>col.C1 lossy AI.eqn.ab.bdrate-pc-y</t>
  </si>
  <si>
    <t>col.C1 lossy AI.eqn.ab.bdrate-pc-cb</t>
  </si>
  <si>
    <t>col.C1 lossy AI.eqn.ab.bdrate-pc-cr</t>
  </si>
  <si>
    <t>col.C1 lossy AI.eqn.ab.bdrate-img-geom</t>
  </si>
  <si>
    <t>col.C1 lossy AI.eqn.ab.bdrate-img-y</t>
  </si>
  <si>
    <t>name.A.C1 lossy AI</t>
  </si>
  <si>
    <t>'C1 lossy AI'!$J$1</t>
  </si>
  <si>
    <t>name.B.C1 lossy AI</t>
  </si>
  <si>
    <t>range.C1 lossy AI.longdress_voxelised</t>
  </si>
  <si>
    <t>range.C1 lossy AI.soldier_voxelised</t>
  </si>
  <si>
    <t>range.C1 lossy AI.basketball_player_voxelised</t>
  </si>
  <si>
    <t>range.C1 lossy AI.dancer_voxelised</t>
  </si>
  <si>
    <t>range.C1 lossy AI.football_voxelised</t>
  </si>
  <si>
    <t>range.C1 lossy AI.levi_voxelised</t>
  </si>
  <si>
    <t>range.C1 lossy AI.mitch_voxelised</t>
  </si>
  <si>
    <t>range.C1 lossy AI.thomas_voxelised</t>
  </si>
  <si>
    <t>cols.C1 lossy AI</t>
  </si>
  <si>
    <t>col.C2 lossy RA.class</t>
  </si>
  <si>
    <t>col.C2 lossy RA.sequence</t>
  </si>
  <si>
    <t>col.C2 lossy RA.variant</t>
  </si>
  <si>
    <t>col.C2 lossy RA.src.numfaces</t>
  </si>
  <si>
    <t>col.C2 lossy RA.src.geometry-precision</t>
  </si>
  <si>
    <t>col.C2 lossy RA.src.framecount</t>
  </si>
  <si>
    <t>col.C2 lossy RA.src.framerate</t>
  </si>
  <si>
    <t>col.C2 lossy RA.ctc.targetrate</t>
  </si>
  <si>
    <t>col.C2 lossy RA.A.eqn.bitrate</t>
  </si>
  <si>
    <t>col.C2 lossy RA.A.eqn.bpf</t>
  </si>
  <si>
    <t>col.C2 lossy RA.A.dec.numfaces</t>
  </si>
  <si>
    <t>col.C2 lossy RA.A.enc.ext.bits</t>
  </si>
  <si>
    <t>col.C2 lossy RA.A.enc.disp.bytes</t>
  </si>
  <si>
    <t>col.C2 lossy RA.A.enc.texture.bytes</t>
  </si>
  <si>
    <t>col.C2 lossy RA.A.dec.pc-d1-psnr</t>
  </si>
  <si>
    <t>col.C2 lossy RA.A.dec.pc-d2-psnr</t>
  </si>
  <si>
    <t>col.C2 lossy RA.A.dec.pc-y-psnr</t>
  </si>
  <si>
    <t>col.C2 lossy RA.A.dec.pc-cb-psnr</t>
  </si>
  <si>
    <t>col.C2 lossy RA.A.dec.pc-cr-psnr</t>
  </si>
  <si>
    <t>col.C2 lossy RA.A.dec.img-geom-psnr</t>
  </si>
  <si>
    <t>col.C2 lossy RA.A.dec.img-y-psnr</t>
  </si>
  <si>
    <t>col.C2 lossy RA.A.enc.utime</t>
  </si>
  <si>
    <t>col.C2 lossy RA.A.dec.utime</t>
  </si>
  <si>
    <t>col.C2 lossy RA.B.eqn.bitrate</t>
  </si>
  <si>
    <t>col.C2 lossy RA.B.eqn.bpf</t>
  </si>
  <si>
    <t>col.C2 lossy RA.B.dec.numfaces</t>
  </si>
  <si>
    <t>col.C2 lossy RA.B.enc.ext.bits</t>
  </si>
  <si>
    <t>col.C2 lossy RA.B.enc.disp.bytes</t>
  </si>
  <si>
    <t>col.C2 lossy RA.B.enc.texture.bytes</t>
  </si>
  <si>
    <t>col.C2 lossy RA.B.dec.pc-d1-psnr</t>
  </si>
  <si>
    <t>col.C2 lossy RA.B.dec.pc-d2-psnr</t>
  </si>
  <si>
    <t>col.C2 lossy RA.B.dec.pc-y-psnr</t>
  </si>
  <si>
    <t>col.C2 lossy RA.B.dec.pc-cb-psnr</t>
  </si>
  <si>
    <t>col.C2 lossy RA.B.dec.pc-cr-psnr</t>
  </si>
  <si>
    <t>col.C2 lossy RA.B.dec.img-geom-psnr</t>
  </si>
  <si>
    <t>col.C2 lossy RA.B.dec.img-y-psnr</t>
  </si>
  <si>
    <t>col.C2 lossy RA.B.enc.utime</t>
  </si>
  <si>
    <t>col.C2 lossy RA.B.dec.utime</t>
  </si>
  <si>
    <t>col.C2 lossy RA.eqn.ab.bdrate-pc-d1</t>
  </si>
  <si>
    <t>col.C2 lossy RA.eqn.ab.bdrate-pc-d2</t>
  </si>
  <si>
    <t>col.C2 lossy RA.eqn.ab.bdrate-pc-y</t>
  </si>
  <si>
    <t>col.C2 lossy RA.eqn.ab.bdrate-pc-cb</t>
  </si>
  <si>
    <t>col.C2 lossy RA.eqn.ab.bdrate-pc-cr</t>
  </si>
  <si>
    <t>col.C2 lossy RA.eqn.ab.bdrate-img-geom</t>
  </si>
  <si>
    <t>col.C2 lossy RA.eqn.ab.bdrate-img-y</t>
  </si>
  <si>
    <t>name.A.C2 lossy RA</t>
  </si>
  <si>
    <t>'C2 lossy RA'!$J$1</t>
  </si>
  <si>
    <t>name.B.C2 lossy RA</t>
  </si>
  <si>
    <t>range.C2 lossy RA.longdress_voxelised</t>
  </si>
  <si>
    <t>range.C2 lossy RA.soldier_voxelised</t>
  </si>
  <si>
    <t>range.C2 lossy RA.basketball_player_voxelised</t>
  </si>
  <si>
    <t>range.C2 lossy RA.dancer_voxelised</t>
  </si>
  <si>
    <t>range.C2 lossy RA.football_voxelised</t>
  </si>
  <si>
    <t>range.C2 lossy RA.levi_voxelised</t>
  </si>
  <si>
    <t>range.C2 lossy RA.mitch_voxelised</t>
  </si>
  <si>
    <t>range.C2 lossy RA.thomas_voxelised</t>
  </si>
  <si>
    <t>cols.C2 lossy RA</t>
  </si>
  <si>
    <t>C1_ai — lossy geometry, lossy attributes [all intra]</t>
  </si>
  <si>
    <t>Variant</t>
  </si>
  <si>
    <t>Target rate [Mbps]</t>
  </si>
  <si>
    <t>Pointcloud-based PSNR [dB]</t>
  </si>
  <si>
    <t>Image-based PSNR [dB]</t>
  </si>
  <si>
    <t>variant</t>
  </si>
  <si>
    <t>ctc.targetrate</t>
  </si>
  <si>
    <t>A.dec.numfaces</t>
  </si>
  <si>
    <t>A.dec.pc-d1-psnr</t>
  </si>
  <si>
    <t>A.dec.pc-d2-psnr</t>
  </si>
  <si>
    <t>A.dec.pc-y-psnr</t>
  </si>
  <si>
    <t>A.dec.pc-cb-psnr</t>
  </si>
  <si>
    <t>A.dec.pc-cr-psnr</t>
  </si>
  <si>
    <t>A.dec.img-geom-psnr</t>
  </si>
  <si>
    <t>A.dec.img-y-psnr</t>
  </si>
  <si>
    <t>B.dec.numfaces</t>
  </si>
  <si>
    <t>B.dec.pc-d1-psnr</t>
  </si>
  <si>
    <t>B.dec.pc-d2-psnr</t>
  </si>
  <si>
    <t>B.dec.pc-y-psnr</t>
  </si>
  <si>
    <t>B.dec.pc-cb-psnr</t>
  </si>
  <si>
    <t>B.dec.pc-cr-psnr</t>
  </si>
  <si>
    <t>B.dec.img-geom-psnr</t>
  </si>
  <si>
    <t>B.dec.img-y-psnr</t>
  </si>
  <si>
    <t>eqn.ab.bdrate-pc-d1</t>
  </si>
  <si>
    <t>eqn.ab.bdrate-pc-d2</t>
  </si>
  <si>
    <t>eqn.ab.bdrate-pc-y</t>
  </si>
  <si>
    <t>eqn.ab.bdrate-pc-cb</t>
  </si>
  <si>
    <t>eqn.ab.bdrate-pc-cr</t>
  </si>
  <si>
    <t>eqn.ab.bdrate-img-geom</t>
  </si>
  <si>
    <t>eqn.ab.bdrate-img-y</t>
  </si>
  <si>
    <t>r01</t>
  </si>
  <si>
    <t>r02</t>
  </si>
  <si>
    <t>r03</t>
  </si>
  <si>
    <t>r04</t>
  </si>
  <si>
    <t>r05</t>
  </si>
  <si>
    <t>C2_ra — lossy geometry, lossy attributes [inter, random access]</t>
  </si>
  <si>
    <t>Total Geo Bitstream [bits]</t>
  </si>
  <si>
    <t>col.C2 lossy RA.A.enc.meta.bits</t>
  </si>
  <si>
    <t>col.C2 lossy RA.B.enc.meta.bits</t>
  </si>
  <si>
    <t>enc.meta.bits</t>
  </si>
  <si>
    <t>'C1 lossy AI'!$A$30:$BD$34</t>
  </si>
  <si>
    <t>col.C2 lossy AI.A.enc.meta.bits</t>
  </si>
  <si>
    <t>'C2 lossy RA'!$A$5:$BD$9</t>
  </si>
  <si>
    <t>'C2 lossy RA'!$A$10:$BD$14</t>
  </si>
  <si>
    <t>'C2 lossy RA'!$A$15:$BD$19</t>
  </si>
  <si>
    <t>'C2 lossy RA'!$A$20:$BD$24</t>
  </si>
  <si>
    <t>'C2 lossy RA'!$A$25:$BD$29</t>
  </si>
  <si>
    <t>'C2 lossy RA'!$A$30:$BD$34</t>
  </si>
  <si>
    <t>'C2 lossy RA'!$A$35:$BD$39</t>
  </si>
  <si>
    <t>'C2 lossy RA'!$A$40:$BD$44</t>
  </si>
  <si>
    <t>'C1 lossy AI'!$A$5:$BD$9</t>
  </si>
  <si>
    <t>'C1 lossy AI'!$A$10:$BD$14</t>
  </si>
  <si>
    <t>'C1 lossy AI'!$A$15:$BD$19</t>
  </si>
  <si>
    <t>'C1 lossy AI'!$A$20:$BD$24</t>
  </si>
  <si>
    <t>'C1 lossy AI'!$A$25:$BD$29</t>
  </si>
  <si>
    <t>'C1 lossy AI'!$A$35:$BD$39</t>
  </si>
  <si>
    <t>'C1 lossy AI'!$A$40:$BD$44</t>
  </si>
  <si>
    <t>BaseMesh Static Bitstream [bytes]</t>
  </si>
  <si>
    <t>BaseMesh Motion Bitstream [bytes]</t>
  </si>
  <si>
    <t>Meta Bitstream [bytes]</t>
  </si>
  <si>
    <t>Total Geometry Bistream [bits]</t>
  </si>
  <si>
    <t>enc.bmesh.intra.bytes</t>
  </si>
  <si>
    <t>enc.bmesh.inter.bytes</t>
  </si>
  <si>
    <t>eqn.geo.bits</t>
  </si>
  <si>
    <t>col.C2 lossy RA.A.eqn.geo.bits</t>
  </si>
  <si>
    <t>col.C2 lossy RA.A.enc.bmesh.intra.bytes</t>
  </si>
  <si>
    <t>col.C2 lossy RA.A.enc.bmesh.inter.bytes</t>
  </si>
  <si>
    <t>col.C2 lossy RA.B.eqn.geo.bits</t>
  </si>
  <si>
    <t>col.C2 lossy RA.B.enc.bmesh.intra.bytes</t>
  </si>
  <si>
    <t>col.C2 lossy RA.B.enc.bmesh.inter.bytes</t>
  </si>
  <si>
    <t>col.C1 lossy AI.B.eqn.geo.bits</t>
  </si>
  <si>
    <t>col.C1 lossy AI.B.enc.bmesh.intra.bytes</t>
  </si>
  <si>
    <t>col.C1 lossy AI.B.enc.bmesh.inter.bytes</t>
  </si>
  <si>
    <t>col.C1 lossy AI.B.enc.meta.bits</t>
  </si>
  <si>
    <t>col.C1 lossy AI.A.enc.bmesh.inter.bytes</t>
  </si>
  <si>
    <t>col.C1 lossy AI.A.enc.bmesh.intra.bytes</t>
  </si>
  <si>
    <t>col.C1 lossy AI.A.eqn.geo.bits</t>
  </si>
  <si>
    <t>Pointcloud-based BD‑TotGeoRate [%]</t>
  </si>
  <si>
    <t>Pointcloud-based BD‑AttrRate [%]</t>
  </si>
  <si>
    <t>Geom Image-based BD‑TotGemRate [%]</t>
  </si>
  <si>
    <t>Luma Image-based BD‑AttrRate [%]</t>
  </si>
  <si>
    <t>Geom Image-based BD‑TotGeoRate [%]</t>
  </si>
  <si>
    <t>Bmesh intra ratio [%]</t>
  </si>
  <si>
    <t>Bmesh inter ratio [%]</t>
  </si>
  <si>
    <t>Texture ratio
[%]</t>
  </si>
  <si>
    <t>Disp ratio
[%]</t>
  </si>
  <si>
    <t>Meta ratio
[%]</t>
  </si>
  <si>
    <t>Bmesh
Intra
[bits]</t>
  </si>
  <si>
    <t>Bmesh
Inter
[bits]</t>
  </si>
  <si>
    <t>Disp
[bits]</t>
  </si>
  <si>
    <t>Texture
[bits]</t>
  </si>
  <si>
    <t>MetaData
[bits]</t>
  </si>
  <si>
    <t>[bits]</t>
  </si>
  <si>
    <t>'C1 lossy AI'!$AE$1</t>
  </si>
  <si>
    <t>'C2 lossy RA'!$AE$1</t>
  </si>
  <si>
    <t>cat1-D</t>
  </si>
  <si>
    <t>rwtt422_voxelised</t>
  </si>
  <si>
    <t>Cat1-D average</t>
  </si>
  <si>
    <t>range.C1 lossy AI.rwtt422_voxelised</t>
  </si>
  <si>
    <t>'C1 lossy AI'!$A$45:$BD$49</t>
  </si>
  <si>
    <t>range.C0 lossless AI.rwtt422_voxelised</t>
  </si>
  <si>
    <t>C0 lossless AI'!$A$13:$T$13</t>
  </si>
  <si>
    <t>range.C2 lossy RA.rwtt422_voxelised</t>
  </si>
  <si>
    <t>'C2 lossy RA'!$A$45:$BD$49</t>
  </si>
  <si>
    <t>names!$B$93:$S$93</t>
  </si>
  <si>
    <t>names!$B$158:$S$158</t>
  </si>
  <si>
    <t>F300_v8.0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</si>
</sst>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76" formatCode="0.0%"/>
    <numFmt numFmtId="177" formatCode="0.000"/>
    <numFmt numFmtId="178" formatCode="[&gt;1000]0;[&gt;100]0.0;0.00"/>
    <numFmt numFmtId="179" formatCode="0.000000"/>
    <numFmt numFmtId="180" formatCode="0.000%"/>
  </numFmts>
  <fonts count="3" x14ac:knownFonts="1">
    <font>
      <sz val="11"/>
      <color theme="1"/>
      <name val="宋体"/>
      <family val="2"/>
      <scheme val="minor"/>
    </font>
    <font>
      <b/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DA9694"/>
        <bgColor auto="1"/>
      </patternFill>
    </fill>
    <fill>
      <patternFill patternType="solid">
        <fgColor rgb="FFC4D796"/>
        <bgColor auto="1"/>
      </patternFill>
    </fill>
    <fill>
      <patternFill patternType="solid">
        <fgColor rgb="FFBFBFBF"/>
        <bgColor auto="1"/>
      </patternFill>
    </fill>
    <fill>
      <patternFill patternType="solid">
        <fgColor rgb="FFA6A6A6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C4BF97"/>
        <bgColor auto="1"/>
      </patternFill>
    </fill>
    <fill>
      <patternFill patternType="solid">
        <fgColor rgb="FFF2F2F2"/>
        <bgColor auto="1"/>
      </patternFill>
    </fill>
    <fill>
      <patternFill patternType="solid">
        <fgColor rgb="FFDCE6F1"/>
        <bgColor auto="1"/>
      </patternFill>
    </fill>
    <fill>
      <patternFill patternType="solid">
        <fgColor rgb="FFD9D9D9"/>
        <bgColor auto="1"/>
      </patternFill>
    </fill>
    <fill>
      <patternFill patternType="solid">
        <fgColor rgb="FFB8CCE4"/>
        <bgColor auto="1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20">
    <border>
      <left/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auto="1"/>
      </bottom>
      <diagonal/>
    </border>
    <border>
      <left/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/>
      <right/>
      <top style="medium">
        <color indexed="64"/>
      </top>
      <bottom style="medium">
        <color auto="1"/>
      </bottom>
      <diagonal/>
    </border>
    <border>
      <left/>
      <right style="medium">
        <color indexed="64"/>
      </right>
      <top style="medium">
        <color auto="1"/>
      </top>
      <bottom/>
      <diagonal/>
    </border>
  </borders>
  <cellStyleXfs count="1">
    <xf numFmtId="0" fontId="0" fillId="0" borderId="0"/>
  </cellStyleXfs>
  <cellXfs count="151">
    <xf numFmtId="0" fontId="0" fillId="0" borderId="0" xfId="0"/>
    <xf numFmtId="0" fontId="1" fillId="4" borderId="0" xfId="0" applyFont="1" applyFill="1"/>
    <xf numFmtId="0" fontId="1" fillId="4" borderId="2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3" xfId="0" applyFont="1" applyFill="1" applyBorder="1" applyAlignment="1">
      <alignment horizontal="center" vertical="center" wrapText="1"/>
    </xf>
    <xf numFmtId="176" fontId="0" fillId="0" borderId="0" xfId="0" applyNumberFormat="1" applyAlignment="1">
      <alignment horizontal="center"/>
    </xf>
    <xf numFmtId="0" fontId="1" fillId="0" borderId="4" xfId="0" applyFont="1" applyBorder="1"/>
    <xf numFmtId="176" fontId="0" fillId="0" borderId="4" xfId="0" applyNumberFormat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3" xfId="0" applyBorder="1"/>
    <xf numFmtId="9" fontId="0" fillId="0" borderId="3" xfId="0" applyNumberFormat="1" applyBorder="1" applyAlignment="1">
      <alignment horizontal="center"/>
    </xf>
    <xf numFmtId="0" fontId="1" fillId="5" borderId="3" xfId="0" applyFont="1" applyFill="1" applyBorder="1" applyAlignment="1">
      <alignment horizontal="center" vertical="center" wrapText="1"/>
    </xf>
    <xf numFmtId="0" fontId="0" fillId="6" borderId="0" xfId="0" applyFill="1"/>
    <xf numFmtId="0" fontId="1" fillId="5" borderId="3" xfId="0" applyFont="1" applyFill="1" applyBorder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textRotation="90" wrapText="1"/>
    </xf>
    <xf numFmtId="0" fontId="1" fillId="4" borderId="3" xfId="0" applyFont="1" applyFill="1" applyBorder="1" applyAlignment="1">
      <alignment horizontal="center" textRotation="90" wrapText="1"/>
    </xf>
    <xf numFmtId="0" fontId="0" fillId="8" borderId="0" xfId="0" applyFill="1"/>
    <xf numFmtId="1" fontId="0" fillId="8" borderId="0" xfId="0" applyNumberFormat="1" applyFill="1" applyAlignment="1">
      <alignment horizontal="center"/>
    </xf>
    <xf numFmtId="0" fontId="0" fillId="8" borderId="0" xfId="0" applyFill="1" applyAlignment="1">
      <alignment horizontal="center"/>
    </xf>
    <xf numFmtId="177" fontId="0" fillId="8" borderId="0" xfId="0" applyNumberFormat="1" applyFill="1" applyAlignment="1">
      <alignment horizontal="center"/>
    </xf>
    <xf numFmtId="2" fontId="0" fillId="8" borderId="0" xfId="0" applyNumberFormat="1" applyFill="1" applyAlignment="1">
      <alignment horizontal="center"/>
    </xf>
    <xf numFmtId="1" fontId="0" fillId="9" borderId="0" xfId="0" applyNumberFormat="1" applyFill="1" applyAlignment="1">
      <alignment horizontal="center"/>
    </xf>
    <xf numFmtId="178" fontId="0" fillId="9" borderId="0" xfId="0" applyNumberFormat="1" applyFill="1" applyAlignment="1">
      <alignment horizontal="center"/>
    </xf>
    <xf numFmtId="176" fontId="0" fillId="8" borderId="0" xfId="0" applyNumberFormat="1" applyFill="1" applyAlignment="1">
      <alignment horizontal="center"/>
    </xf>
    <xf numFmtId="0" fontId="0" fillId="10" borderId="3" xfId="0" applyFill="1" applyBorder="1"/>
    <xf numFmtId="1" fontId="0" fillId="10" borderId="3" xfId="0" applyNumberForma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177" fontId="0" fillId="10" borderId="3" xfId="0" applyNumberFormat="1" applyFill="1" applyBorder="1" applyAlignment="1">
      <alignment horizontal="center"/>
    </xf>
    <xf numFmtId="2" fontId="0" fillId="10" borderId="3" xfId="0" applyNumberFormat="1" applyFill="1" applyBorder="1" applyAlignment="1">
      <alignment horizontal="center"/>
    </xf>
    <xf numFmtId="1" fontId="0" fillId="11" borderId="3" xfId="0" applyNumberFormat="1" applyFill="1" applyBorder="1" applyAlignment="1">
      <alignment horizontal="center"/>
    </xf>
    <xf numFmtId="178" fontId="0" fillId="11" borderId="3" xfId="0" applyNumberFormat="1" applyFill="1" applyBorder="1" applyAlignment="1">
      <alignment horizontal="center"/>
    </xf>
    <xf numFmtId="176" fontId="0" fillId="10" borderId="3" xfId="0" applyNumberFormat="1" applyFill="1" applyBorder="1" applyAlignment="1">
      <alignment horizontal="center"/>
    </xf>
    <xf numFmtId="0" fontId="0" fillId="10" borderId="0" xfId="0" applyFill="1"/>
    <xf numFmtId="1" fontId="0" fillId="10" borderId="0" xfId="0" applyNumberFormat="1" applyFill="1" applyAlignment="1">
      <alignment horizontal="center"/>
    </xf>
    <xf numFmtId="0" fontId="0" fillId="10" borderId="0" xfId="0" applyFill="1" applyAlignment="1">
      <alignment horizontal="center"/>
    </xf>
    <xf numFmtId="177" fontId="0" fillId="10" borderId="0" xfId="0" applyNumberFormat="1" applyFill="1" applyAlignment="1">
      <alignment horizontal="center"/>
    </xf>
    <xf numFmtId="2" fontId="0" fillId="10" borderId="0" xfId="0" applyNumberFormat="1" applyFill="1" applyAlignment="1">
      <alignment horizontal="center"/>
    </xf>
    <xf numFmtId="1" fontId="0" fillId="11" borderId="0" xfId="0" applyNumberFormat="1" applyFill="1" applyAlignment="1">
      <alignment horizontal="center"/>
    </xf>
    <xf numFmtId="178" fontId="0" fillId="11" borderId="0" xfId="0" applyNumberFormat="1" applyFill="1" applyAlignment="1">
      <alignment horizontal="center"/>
    </xf>
    <xf numFmtId="176" fontId="0" fillId="10" borderId="0" xfId="0" applyNumberFormat="1" applyFill="1" applyAlignment="1">
      <alignment horizontal="center"/>
    </xf>
    <xf numFmtId="0" fontId="1" fillId="0" borderId="0" xfId="0" applyFont="1" applyAlignment="1">
      <alignment wrapText="1"/>
    </xf>
    <xf numFmtId="2" fontId="0" fillId="0" borderId="0" xfId="0" applyNumberFormat="1" applyAlignment="1">
      <alignment horizontal="center"/>
    </xf>
    <xf numFmtId="178" fontId="0" fillId="0" borderId="0" xfId="0" applyNumberFormat="1" applyAlignment="1">
      <alignment horizontal="center"/>
    </xf>
    <xf numFmtId="0" fontId="0" fillId="9" borderId="0" xfId="0" applyFill="1"/>
    <xf numFmtId="2" fontId="0" fillId="9" borderId="0" xfId="0" applyNumberFormat="1" applyFill="1" applyAlignment="1">
      <alignment horizontal="center"/>
    </xf>
    <xf numFmtId="0" fontId="0" fillId="11" borderId="0" xfId="0" applyFill="1"/>
    <xf numFmtId="2" fontId="0" fillId="11" borderId="0" xfId="0" applyNumberFormat="1" applyFill="1" applyAlignment="1">
      <alignment horizontal="center"/>
    </xf>
    <xf numFmtId="0" fontId="0" fillId="8" borderId="3" xfId="0" applyFill="1" applyBorder="1"/>
    <xf numFmtId="0" fontId="0" fillId="8" borderId="3" xfId="0" applyFill="1" applyBorder="1" applyAlignment="1">
      <alignment horizontal="center"/>
    </xf>
    <xf numFmtId="1" fontId="0" fillId="8" borderId="3" xfId="0" applyNumberFormat="1" applyFill="1" applyBorder="1" applyAlignment="1">
      <alignment horizontal="center"/>
    </xf>
    <xf numFmtId="177" fontId="0" fillId="8" borderId="3" xfId="0" applyNumberFormat="1" applyFill="1" applyBorder="1" applyAlignment="1">
      <alignment horizontal="center"/>
    </xf>
    <xf numFmtId="2" fontId="0" fillId="8" borderId="3" xfId="0" applyNumberFormat="1" applyFill="1" applyBorder="1" applyAlignment="1">
      <alignment horizontal="center"/>
    </xf>
    <xf numFmtId="0" fontId="0" fillId="9" borderId="3" xfId="0" applyFill="1" applyBorder="1"/>
    <xf numFmtId="1" fontId="0" fillId="9" borderId="3" xfId="0" applyNumberFormat="1" applyFill="1" applyBorder="1" applyAlignment="1">
      <alignment horizontal="center"/>
    </xf>
    <xf numFmtId="2" fontId="0" fillId="9" borderId="3" xfId="0" applyNumberFormat="1" applyFill="1" applyBorder="1" applyAlignment="1">
      <alignment horizontal="center"/>
    </xf>
    <xf numFmtId="178" fontId="0" fillId="9" borderId="3" xfId="0" applyNumberFormat="1" applyFill="1" applyBorder="1" applyAlignment="1">
      <alignment horizontal="center"/>
    </xf>
    <xf numFmtId="176" fontId="0" fillId="8" borderId="3" xfId="0" applyNumberFormat="1" applyFill="1" applyBorder="1" applyAlignment="1">
      <alignment horizontal="center"/>
    </xf>
    <xf numFmtId="0" fontId="0" fillId="11" borderId="3" xfId="0" applyFill="1" applyBorder="1"/>
    <xf numFmtId="2" fontId="0" fillId="11" borderId="3" xfId="0" applyNumberFormat="1" applyFill="1" applyBorder="1" applyAlignment="1">
      <alignment horizontal="center"/>
    </xf>
    <xf numFmtId="0" fontId="1" fillId="13" borderId="9" xfId="0" applyFont="1" applyFill="1" applyBorder="1" applyAlignment="1">
      <alignment horizontal="center" wrapText="1"/>
    </xf>
    <xf numFmtId="0" fontId="1" fillId="13" borderId="3" xfId="0" applyFont="1" applyFill="1" applyBorder="1" applyAlignment="1">
      <alignment horizontal="center" wrapText="1"/>
    </xf>
    <xf numFmtId="0" fontId="1" fillId="13" borderId="10" xfId="0" applyFont="1" applyFill="1" applyBorder="1" applyAlignment="1">
      <alignment horizontal="center" wrapText="1"/>
    </xf>
    <xf numFmtId="0" fontId="0" fillId="8" borderId="11" xfId="0" applyFill="1" applyBorder="1"/>
    <xf numFmtId="0" fontId="0" fillId="8" borderId="12" xfId="0" applyFill="1" applyBorder="1"/>
    <xf numFmtId="176" fontId="0" fillId="8" borderId="11" xfId="0" applyNumberFormat="1" applyFill="1" applyBorder="1" applyAlignment="1">
      <alignment horizontal="center"/>
    </xf>
    <xf numFmtId="176" fontId="0" fillId="8" borderId="12" xfId="0" applyNumberFormat="1" applyFill="1" applyBorder="1" applyAlignment="1">
      <alignment horizontal="center"/>
    </xf>
    <xf numFmtId="0" fontId="0" fillId="10" borderId="11" xfId="0" applyFill="1" applyBorder="1"/>
    <xf numFmtId="0" fontId="0" fillId="10" borderId="12" xfId="0" applyFill="1" applyBorder="1"/>
    <xf numFmtId="176" fontId="0" fillId="10" borderId="11" xfId="0" applyNumberFormat="1" applyFill="1" applyBorder="1" applyAlignment="1">
      <alignment horizontal="center"/>
    </xf>
    <xf numFmtId="176" fontId="0" fillId="10" borderId="12" xfId="0" applyNumberFormat="1" applyFill="1" applyBorder="1" applyAlignment="1">
      <alignment horizontal="center"/>
    </xf>
    <xf numFmtId="0" fontId="0" fillId="10" borderId="9" xfId="0" applyFill="1" applyBorder="1"/>
    <xf numFmtId="0" fontId="0" fillId="10" borderId="10" xfId="0" applyFill="1" applyBorder="1"/>
    <xf numFmtId="176" fontId="0" fillId="10" borderId="9" xfId="0" applyNumberFormat="1" applyFill="1" applyBorder="1" applyAlignment="1">
      <alignment horizontal="center"/>
    </xf>
    <xf numFmtId="176" fontId="0" fillId="10" borderId="10" xfId="0" applyNumberFormat="1" applyFill="1" applyBorder="1" applyAlignment="1">
      <alignment horizontal="center"/>
    </xf>
    <xf numFmtId="176" fontId="0" fillId="14" borderId="0" xfId="0" applyNumberFormat="1" applyFill="1" applyAlignment="1">
      <alignment horizontal="center"/>
    </xf>
    <xf numFmtId="176" fontId="0" fillId="14" borderId="7" xfId="0" applyNumberFormat="1" applyFill="1" applyBorder="1" applyAlignment="1">
      <alignment horizontal="center"/>
    </xf>
    <xf numFmtId="176" fontId="0" fillId="14" borderId="2" xfId="0" applyNumberFormat="1" applyFill="1" applyBorder="1" applyAlignment="1">
      <alignment horizontal="center"/>
    </xf>
    <xf numFmtId="176" fontId="0" fillId="14" borderId="8" xfId="0" applyNumberFormat="1" applyFill="1" applyBorder="1" applyAlignment="1">
      <alignment horizontal="center"/>
    </xf>
    <xf numFmtId="176" fontId="0" fillId="15" borderId="0" xfId="0" applyNumberFormat="1" applyFill="1" applyAlignment="1">
      <alignment horizontal="center"/>
    </xf>
    <xf numFmtId="176" fontId="0" fillId="15" borderId="11" xfId="0" applyNumberFormat="1" applyFill="1" applyBorder="1" applyAlignment="1">
      <alignment horizontal="center"/>
    </xf>
    <xf numFmtId="176" fontId="0" fillId="15" borderId="12" xfId="0" applyNumberFormat="1" applyFill="1" applyBorder="1" applyAlignment="1">
      <alignment horizontal="center"/>
    </xf>
    <xf numFmtId="176" fontId="0" fillId="14" borderId="11" xfId="0" applyNumberFormat="1" applyFill="1" applyBorder="1" applyAlignment="1">
      <alignment horizontal="center"/>
    </xf>
    <xf numFmtId="176" fontId="0" fillId="14" borderId="12" xfId="0" applyNumberFormat="1" applyFill="1" applyBorder="1" applyAlignment="1">
      <alignment horizontal="center"/>
    </xf>
    <xf numFmtId="176" fontId="0" fillId="15" borderId="1" xfId="0" applyNumberFormat="1" applyFill="1" applyBorder="1" applyAlignment="1">
      <alignment horizontal="center"/>
    </xf>
    <xf numFmtId="176" fontId="0" fillId="15" borderId="5" xfId="0" applyNumberFormat="1" applyFill="1" applyBorder="1" applyAlignment="1">
      <alignment horizontal="center"/>
    </xf>
    <xf numFmtId="176" fontId="0" fillId="15" borderId="6" xfId="0" applyNumberFormat="1" applyFill="1" applyBorder="1" applyAlignment="1">
      <alignment horizontal="center"/>
    </xf>
    <xf numFmtId="0" fontId="1" fillId="5" borderId="0" xfId="0" applyFont="1" applyFill="1" applyAlignment="1">
      <alignment horizontal="center" wrapText="1"/>
    </xf>
    <xf numFmtId="179" fontId="0" fillId="0" borderId="7" xfId="0" applyNumberFormat="1" applyBorder="1"/>
    <xf numFmtId="179" fontId="0" fillId="0" borderId="2" xfId="0" applyNumberFormat="1" applyBorder="1"/>
    <xf numFmtId="179" fontId="0" fillId="0" borderId="8" xfId="0" applyNumberFormat="1" applyBorder="1"/>
    <xf numFmtId="179" fontId="0" fillId="0" borderId="11" xfId="0" applyNumberFormat="1" applyBorder="1"/>
    <xf numFmtId="179" fontId="0" fillId="0" borderId="0" xfId="0" applyNumberFormat="1"/>
    <xf numFmtId="179" fontId="0" fillId="0" borderId="12" xfId="0" applyNumberFormat="1" applyBorder="1"/>
    <xf numFmtId="179" fontId="0" fillId="0" borderId="9" xfId="0" applyNumberFormat="1" applyBorder="1"/>
    <xf numFmtId="179" fontId="0" fillId="0" borderId="3" xfId="0" applyNumberFormat="1" applyBorder="1"/>
    <xf numFmtId="179" fontId="0" fillId="0" borderId="10" xfId="0" applyNumberFormat="1" applyBorder="1"/>
    <xf numFmtId="0" fontId="0" fillId="0" borderId="0" xfId="0" quotePrefix="1"/>
    <xf numFmtId="1" fontId="0" fillId="0" borderId="0" xfId="0" applyNumberFormat="1"/>
    <xf numFmtId="10" fontId="0" fillId="8" borderId="0" xfId="0" applyNumberFormat="1" applyFill="1" applyAlignment="1">
      <alignment horizontal="center"/>
    </xf>
    <xf numFmtId="180" fontId="0" fillId="8" borderId="0" xfId="0" applyNumberFormat="1" applyFill="1" applyAlignment="1">
      <alignment horizontal="center"/>
    </xf>
    <xf numFmtId="180" fontId="0" fillId="10" borderId="0" xfId="0" applyNumberFormat="1" applyFill="1" applyAlignment="1">
      <alignment horizontal="center"/>
    </xf>
    <xf numFmtId="180" fontId="0" fillId="8" borderId="3" xfId="0" applyNumberFormat="1" applyFill="1" applyBorder="1" applyAlignment="1">
      <alignment horizontal="center"/>
    </xf>
    <xf numFmtId="10" fontId="0" fillId="0" borderId="0" xfId="0" applyNumberFormat="1"/>
    <xf numFmtId="1" fontId="0" fillId="0" borderId="0" xfId="0" applyNumberFormat="1" applyAlignment="1">
      <alignment horizontal="center"/>
    </xf>
    <xf numFmtId="0" fontId="0" fillId="10" borderId="18" xfId="0" applyFill="1" applyBorder="1"/>
    <xf numFmtId="1" fontId="0" fillId="10" borderId="18" xfId="0" applyNumberFormat="1" applyFill="1" applyBorder="1" applyAlignment="1">
      <alignment horizontal="center"/>
    </xf>
    <xf numFmtId="0" fontId="0" fillId="10" borderId="18" xfId="0" applyFill="1" applyBorder="1" applyAlignment="1">
      <alignment horizontal="center"/>
    </xf>
    <xf numFmtId="177" fontId="0" fillId="10" borderId="18" xfId="0" applyNumberFormat="1" applyFill="1" applyBorder="1" applyAlignment="1">
      <alignment horizontal="center"/>
    </xf>
    <xf numFmtId="2" fontId="0" fillId="10" borderId="18" xfId="0" applyNumberFormat="1" applyFill="1" applyBorder="1" applyAlignment="1">
      <alignment horizontal="center"/>
    </xf>
    <xf numFmtId="1" fontId="0" fillId="11" borderId="18" xfId="0" applyNumberFormat="1" applyFill="1" applyBorder="1" applyAlignment="1">
      <alignment horizontal="center"/>
    </xf>
    <xf numFmtId="178" fontId="0" fillId="11" borderId="18" xfId="0" applyNumberFormat="1" applyFill="1" applyBorder="1" applyAlignment="1">
      <alignment horizontal="center"/>
    </xf>
    <xf numFmtId="9" fontId="0" fillId="0" borderId="0" xfId="0" applyNumberFormat="1" applyAlignment="1">
      <alignment horizontal="center"/>
    </xf>
    <xf numFmtId="0" fontId="0" fillId="0" borderId="0" xfId="0"/>
    <xf numFmtId="9" fontId="0" fillId="0" borderId="3" xfId="0" applyNumberFormat="1" applyBorder="1" applyAlignment="1">
      <alignment horizontal="center"/>
    </xf>
    <xf numFmtId="0" fontId="0" fillId="0" borderId="3" xfId="0" applyBorder="1"/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0" fillId="0" borderId="2" xfId="0" applyBorder="1"/>
    <xf numFmtId="0" fontId="1" fillId="4" borderId="0" xfId="0" applyFont="1" applyFill="1" applyAlignment="1">
      <alignment horizontal="center" vertical="center" wrapText="1"/>
    </xf>
    <xf numFmtId="0" fontId="1" fillId="5" borderId="0" xfId="0" applyFont="1" applyFill="1" applyAlignment="1">
      <alignment horizontal="center" vertical="center" wrapText="1"/>
    </xf>
    <xf numFmtId="0" fontId="1" fillId="2" borderId="0" xfId="0" applyFont="1" applyFill="1" applyAlignment="1">
      <alignment horizontal="center" wrapText="1"/>
    </xf>
    <xf numFmtId="0" fontId="1" fillId="3" borderId="0" xfId="0" applyFont="1" applyFill="1" applyAlignment="1">
      <alignment horizontal="center" wrapText="1"/>
    </xf>
    <xf numFmtId="0" fontId="1" fillId="4" borderId="3" xfId="0" applyFont="1" applyFill="1" applyBorder="1" applyAlignment="1">
      <alignment horizontal="center" wrapText="1"/>
    </xf>
    <xf numFmtId="0" fontId="1" fillId="5" borderId="3" xfId="0" applyFont="1" applyFill="1" applyBorder="1" applyAlignment="1">
      <alignment horizontal="center" wrapText="1"/>
    </xf>
    <xf numFmtId="0" fontId="1" fillId="7" borderId="0" xfId="0" applyFont="1" applyFill="1" applyAlignment="1">
      <alignment horizontal="left" vertical="top"/>
    </xf>
    <xf numFmtId="0" fontId="1" fillId="5" borderId="0" xfId="0" applyFont="1" applyFill="1" applyAlignment="1">
      <alignment horizontal="center" wrapText="1"/>
    </xf>
    <xf numFmtId="0" fontId="1" fillId="4" borderId="0" xfId="0" applyFont="1" applyFill="1" applyAlignment="1">
      <alignment horizontal="center" wrapText="1"/>
    </xf>
    <xf numFmtId="0" fontId="1" fillId="13" borderId="0" xfId="0" applyFont="1" applyFill="1" applyAlignment="1">
      <alignment horizontal="center" wrapText="1"/>
    </xf>
    <xf numFmtId="0" fontId="1" fillId="12" borderId="3" xfId="0" applyFont="1" applyFill="1" applyBorder="1" applyAlignment="1">
      <alignment horizontal="center" wrapText="1"/>
    </xf>
    <xf numFmtId="0" fontId="0" fillId="12" borderId="3" xfId="0" applyFill="1" applyBorder="1"/>
    <xf numFmtId="0" fontId="1" fillId="12" borderId="17" xfId="0" applyFont="1" applyFill="1" applyBorder="1" applyAlignment="1">
      <alignment horizontal="center" vertical="top"/>
    </xf>
    <xf numFmtId="0" fontId="0" fillId="0" borderId="18" xfId="0" applyBorder="1"/>
    <xf numFmtId="0" fontId="0" fillId="0" borderId="6" xfId="0" applyBorder="1"/>
    <xf numFmtId="0" fontId="1" fillId="13" borderId="5" xfId="0" applyFont="1" applyFill="1" applyBorder="1" applyAlignment="1">
      <alignment horizontal="center" wrapText="1"/>
    </xf>
    <xf numFmtId="0" fontId="0" fillId="0" borderId="9" xfId="0" applyBorder="1"/>
    <xf numFmtId="0" fontId="1" fillId="13" borderId="6" xfId="0" applyFont="1" applyFill="1" applyBorder="1" applyAlignment="1">
      <alignment horizontal="center" wrapText="1"/>
    </xf>
    <xf numFmtId="0" fontId="0" fillId="0" borderId="10" xfId="0" applyBorder="1"/>
    <xf numFmtId="0" fontId="1" fillId="13" borderId="7" xfId="0" applyFont="1" applyFill="1" applyBorder="1" applyAlignment="1">
      <alignment horizontal="center" wrapText="1"/>
    </xf>
    <xf numFmtId="0" fontId="0" fillId="0" borderId="14" xfId="0" applyBorder="1"/>
    <xf numFmtId="0" fontId="1" fillId="13" borderId="19" xfId="0" applyFont="1" applyFill="1" applyBorder="1" applyAlignment="1">
      <alignment horizontal="center" wrapText="1"/>
    </xf>
    <xf numFmtId="0" fontId="0" fillId="0" borderId="19" xfId="0" applyBorder="1"/>
    <xf numFmtId="9" fontId="0" fillId="14" borderId="13" xfId="0" applyNumberFormat="1" applyFill="1" applyBorder="1" applyAlignment="1">
      <alignment horizontal="center"/>
    </xf>
    <xf numFmtId="0" fontId="0" fillId="0" borderId="8" xfId="0" applyBorder="1"/>
    <xf numFmtId="0" fontId="0" fillId="15" borderId="15" xfId="0" applyFill="1" applyBorder="1" applyAlignment="1">
      <alignment horizontal="left"/>
    </xf>
    <xf numFmtId="9" fontId="0" fillId="15" borderId="15" xfId="0" applyNumberFormat="1" applyFill="1" applyBorder="1" applyAlignment="1">
      <alignment horizontal="center"/>
    </xf>
    <xf numFmtId="0" fontId="0" fillId="14" borderId="13" xfId="0" applyFill="1" applyBorder="1" applyAlignment="1">
      <alignment horizontal="left"/>
    </xf>
    <xf numFmtId="0" fontId="0" fillId="15" borderId="16" xfId="0" applyFill="1" applyBorder="1" applyAlignment="1">
      <alignment horizontal="left"/>
    </xf>
    <xf numFmtId="0" fontId="0" fillId="0" borderId="12" xfId="0" applyBorder="1"/>
    <xf numFmtId="0" fontId="0" fillId="14" borderId="16" xfId="0" applyFill="1" applyBorder="1" applyAlignment="1">
      <alignment horizontal="left"/>
    </xf>
    <xf numFmtId="0" fontId="1" fillId="15" borderId="17" xfId="0" applyFont="1" applyFill="1" applyBorder="1" applyAlignment="1">
      <alignment horizontal="left"/>
    </xf>
  </cellXfs>
  <cellStyles count="1">
    <cellStyle name="常规" xfId="0" builtinId="0"/>
  </cellStyles>
  <dxfs count="198"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ont>
        <b/>
        <color rgb="FFFF0000"/>
      </font>
    </dxf>
    <dxf>
      <font>
        <b/>
        <color rgb="FFFF0000"/>
      </font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>
          <bgColor rgb="FFFFAAAA"/>
        </patternFill>
      </fill>
      <border>
        <left style="medium">
          <color rgb="FFFF0000"/>
        </left>
        <right style="medium">
          <color rgb="FFFF0000"/>
        </right>
        <top style="medium">
          <color rgb="FFFF0000"/>
        </top>
        <bottom style="medium">
          <color rgb="FFFF0000"/>
        </bottom>
        <vertical/>
        <horizontal/>
      </border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  <dxf>
      <fill>
        <patternFill patternType="mediumGray">
          <fgColor rgb="FF00FF00"/>
        </patternFill>
      </fill>
    </dxf>
    <dxf>
      <fill>
        <patternFill patternType="mediumGray">
          <f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Graphs!graph_a_title</c:f>
          <c:strCache>
            <c:ptCount val="1"/>
            <c:pt idx="0">
              <c:v>D1 Pointcloud-based PSNR [dB] (Graph a)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Graphs!graph_a_A_title</c:f>
              <c:strCache>
                <c:ptCount val="1"/>
                <c:pt idx="0">
                  <c:v>F300_v8.0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Graphs!graph_a_x_range_A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Graphs!graph_a_y_range_A</c:f>
              <c:numCache>
                <c:formatCode>0.00</c:formatCode>
                <c:ptCount val="5"/>
                <c:pt idx="0">
                  <c:v>76.493702900000002</c:v>
                </c:pt>
                <c:pt idx="1">
                  <c:v>78.244808599999999</c:v>
                </c:pt>
                <c:pt idx="2">
                  <c:v>81.334224199999994</c:v>
                </c:pt>
                <c:pt idx="3">
                  <c:v>82.120771199999993</c:v>
                </c:pt>
                <c:pt idx="4">
                  <c:v>82.296570799999998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4A4-4563-A6B1-00CE872CBA28}"/>
            </c:ext>
          </c:extLst>
        </c:ser>
        <c:ser>
          <c:idx val="1"/>
          <c:order val="1"/>
          <c:tx>
            <c:strRef>
              <c:f>Graphs!graph_a_B_title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Graphs!graph_a_x_range_B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Graphs!graph_a_y_range_B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F4A4-4563-A6B1-00CE872CBA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8720"/>
        <c:axId val="209992528"/>
      </c:scatterChart>
      <c:valAx>
        <c:axId val="20998872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09992528"/>
        <c:crosses val="autoZero"/>
        <c:crossBetween val="midCat"/>
      </c:valAx>
      <c:valAx>
        <c:axId val="20999252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Graphs!graph_a_y_title</c:f>
              <c:strCache>
                <c:ptCount val="1"/>
                <c:pt idx="0">
                  <c:v>D1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0998872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Graphs!graph_b_title</c:f>
          <c:strCache>
            <c:ptCount val="1"/>
            <c:pt idx="0">
              <c:v>D2 Pointcloud-based PSNR [dB] (Graph b)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Graphs!graph_b_A_title</c:f>
              <c:strCache>
                <c:ptCount val="1"/>
                <c:pt idx="0">
                  <c:v>F300_v8.0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Graphs!graph_b_x_range_A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Graphs!graph_b_y_range_A</c:f>
              <c:numCache>
                <c:formatCode>0.00</c:formatCode>
                <c:ptCount val="5"/>
                <c:pt idx="0">
                  <c:v>79.061057300000002</c:v>
                </c:pt>
                <c:pt idx="1">
                  <c:v>81.361836800000006</c:v>
                </c:pt>
                <c:pt idx="2">
                  <c:v>86.582821699999997</c:v>
                </c:pt>
                <c:pt idx="3">
                  <c:v>88.265081100000003</c:v>
                </c:pt>
                <c:pt idx="4">
                  <c:v>88.772984699999995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0-49CE-A418-6051E4ACB2D1}"/>
            </c:ext>
          </c:extLst>
        </c:ser>
        <c:ser>
          <c:idx val="1"/>
          <c:order val="1"/>
          <c:tx>
            <c:strRef>
              <c:f>Graphs!graph_b_B_title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Graphs!graph_b_x_range_B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Graphs!graph_b_y_range_B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0-49CE-A418-6051E4ACB2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9808"/>
        <c:axId val="209991984"/>
      </c:scatterChart>
      <c:valAx>
        <c:axId val="209989808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09991984"/>
        <c:crosses val="autoZero"/>
        <c:crossBetween val="midCat"/>
      </c:valAx>
      <c:valAx>
        <c:axId val="20999198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Graphs!graph_b_y_title</c:f>
              <c:strCache>
                <c:ptCount val="1"/>
                <c:pt idx="0">
                  <c:v>D2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09989808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Graphs!graph_c_title</c:f>
          <c:strCache>
            <c:ptCount val="1"/>
            <c:pt idx="0">
              <c:v>Geom Image-based PSNR [dB] (Graph c)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Graphs!graph_c_A_title</c:f>
              <c:strCache>
                <c:ptCount val="1"/>
                <c:pt idx="0">
                  <c:v>F300_v8.0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Graphs!graph_c_x_range_A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Graphs!graph_c_y_range_A</c:f>
              <c:numCache>
                <c:formatCode>0.00</c:formatCode>
                <c:ptCount val="5"/>
                <c:pt idx="0">
                  <c:v>55.044560400000002</c:v>
                </c:pt>
                <c:pt idx="1">
                  <c:v>56.170851599999999</c:v>
                </c:pt>
                <c:pt idx="2">
                  <c:v>58.616900700000002</c:v>
                </c:pt>
                <c:pt idx="3">
                  <c:v>59.151543500000002</c:v>
                </c:pt>
                <c:pt idx="4">
                  <c:v>59.486194699999999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202-47B9-B5D3-1F7AC2198085}"/>
            </c:ext>
          </c:extLst>
        </c:ser>
        <c:ser>
          <c:idx val="1"/>
          <c:order val="1"/>
          <c:tx>
            <c:strRef>
              <c:f>Graphs!graph_c_B_title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Graphs!graph_c_x_range_B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Graphs!graph_c_y_range_B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0202-47B9-B5D3-1F7AC21980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89264"/>
        <c:axId val="209993072"/>
      </c:scatterChart>
      <c:valAx>
        <c:axId val="209989264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09993072"/>
        <c:crosses val="autoZero"/>
        <c:crossBetween val="midCat"/>
      </c:valAx>
      <c:valAx>
        <c:axId val="20999307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Graphs!graph_c_y_title</c:f>
              <c:strCache>
                <c:ptCount val="1"/>
                <c:pt idx="0">
                  <c:v>Geom Image-based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09989264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Graphs!graph_d_title</c:f>
          <c:strCache>
            <c:ptCount val="1"/>
            <c:pt idx="0">
              <c:v>Luma Pointcloud-based PSNR [dB] (Graph d)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Graphs!graph_d_A_title</c:f>
              <c:strCache>
                <c:ptCount val="1"/>
                <c:pt idx="0">
                  <c:v>F300_v8.0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Graphs!graph_d_x_range_A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Graphs!graph_d_y_range_A</c:f>
              <c:numCache>
                <c:formatCode>0.00</c:formatCode>
                <c:ptCount val="5"/>
                <c:pt idx="0">
                  <c:v>30.278041900000002</c:v>
                </c:pt>
                <c:pt idx="1">
                  <c:v>31.540469900000002</c:v>
                </c:pt>
                <c:pt idx="2">
                  <c:v>32.737954999999999</c:v>
                </c:pt>
                <c:pt idx="3">
                  <c:v>33.567344599999998</c:v>
                </c:pt>
                <c:pt idx="4">
                  <c:v>34.238238899999999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7E1-49B9-BA19-36B35F94A523}"/>
            </c:ext>
          </c:extLst>
        </c:ser>
        <c:ser>
          <c:idx val="1"/>
          <c:order val="1"/>
          <c:tx>
            <c:strRef>
              <c:f>Graphs!graph_d_B_title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Graphs!graph_d_x_range_B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Graphs!graph_d_y_range_B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7E1-49B9-BA19-36B35F94A5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94160"/>
        <c:axId val="209990352"/>
      </c:scatterChart>
      <c:valAx>
        <c:axId val="20999416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09990352"/>
        <c:crosses val="autoZero"/>
        <c:crossBetween val="midCat"/>
      </c:valAx>
      <c:valAx>
        <c:axId val="209990352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Graphs!graph_d_y_title</c:f>
              <c:strCache>
                <c:ptCount val="1"/>
                <c:pt idx="0">
                  <c:v>Luma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0999416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Graphs!graph_e_title</c:f>
          <c:strCache>
            <c:ptCount val="1"/>
            <c:pt idx="0">
              <c:v>Chroma Cb Pointcloud-based PSNR [dB] (Graph e)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Graphs!graph_e_A_title</c:f>
              <c:strCache>
                <c:ptCount val="1"/>
                <c:pt idx="0">
                  <c:v>F300_v8.0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Graphs!graph_e_x_range_A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Graphs!graph_e_y_range_A</c:f>
              <c:numCache>
                <c:formatCode>0.00</c:formatCode>
                <c:ptCount val="5"/>
                <c:pt idx="0">
                  <c:v>42.494525299999999</c:v>
                </c:pt>
                <c:pt idx="1">
                  <c:v>43.652007599999997</c:v>
                </c:pt>
                <c:pt idx="2">
                  <c:v>44.933899199999999</c:v>
                </c:pt>
                <c:pt idx="3">
                  <c:v>46.3748389</c:v>
                </c:pt>
                <c:pt idx="4">
                  <c:v>48.012117199999999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3B4-4C5C-81CF-85702FD1D552}"/>
            </c:ext>
          </c:extLst>
        </c:ser>
        <c:ser>
          <c:idx val="1"/>
          <c:order val="1"/>
          <c:tx>
            <c:strRef>
              <c:f>Graphs!graph_e_B_title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Graphs!graph_e_x_range_B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Graphs!graph_e_y_range_B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3B4-4C5C-81CF-85702FD1D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9990896"/>
        <c:axId val="209991440"/>
      </c:scatterChart>
      <c:valAx>
        <c:axId val="20999089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09991440"/>
        <c:crosses val="autoZero"/>
        <c:crossBetween val="midCat"/>
      </c:valAx>
      <c:valAx>
        <c:axId val="209991440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Graphs!graph_e_y_title</c:f>
              <c:strCache>
                <c:ptCount val="1"/>
                <c:pt idx="0">
                  <c:v>Chroma Cb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0999089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Graphs!graph_f_title</c:f>
          <c:strCache>
            <c:ptCount val="1"/>
            <c:pt idx="0">
              <c:v>Chroma Cr Pointcloud-based PSNR [dB] (Graph f)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Graphs!graph_f_A_title</c:f>
              <c:strCache>
                <c:ptCount val="1"/>
                <c:pt idx="0">
                  <c:v>F300_v8.0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Graphs!graph_f_x_range_A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Graphs!graph_f_y_range_A</c:f>
              <c:numCache>
                <c:formatCode>0.00</c:formatCode>
                <c:ptCount val="5"/>
                <c:pt idx="0">
                  <c:v>40.849274800000003</c:v>
                </c:pt>
                <c:pt idx="1">
                  <c:v>42.291822500000002</c:v>
                </c:pt>
                <c:pt idx="2">
                  <c:v>43.992284499999997</c:v>
                </c:pt>
                <c:pt idx="3">
                  <c:v>45.425838900000002</c:v>
                </c:pt>
                <c:pt idx="4">
                  <c:v>46.998905299999997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84-46A5-A8DA-93E3187DD3A7}"/>
            </c:ext>
          </c:extLst>
        </c:ser>
        <c:ser>
          <c:idx val="1"/>
          <c:order val="1"/>
          <c:tx>
            <c:strRef>
              <c:f>Graphs!graph_f_B_title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Graphs!graph_f_x_range_B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Graphs!graph_f_y_range_B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84-46A5-A8DA-93E3187DD3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21040"/>
        <c:axId val="215118864"/>
      </c:scatterChart>
      <c:valAx>
        <c:axId val="215121040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15118864"/>
        <c:crosses val="autoZero"/>
        <c:crossBetween val="midCat"/>
      </c:valAx>
      <c:valAx>
        <c:axId val="215118864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Graphs!graph_f_y_title</c:f>
              <c:strCache>
                <c:ptCount val="1"/>
                <c:pt idx="0">
                  <c:v>Chroma Cr Pointcloud-based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15121040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Graphs!graph_g_title</c:f>
          <c:strCache>
            <c:ptCount val="1"/>
            <c:pt idx="0">
              <c:v>Luma Image-based PSNR [dB] (Graph g)</c:v>
            </c:pt>
          </c:strCache>
        </c:strRef>
      </c:tx>
      <c:layout/>
      <c:overlay val="0"/>
      <c:txPr>
        <a:bodyPr/>
        <a:lstStyle/>
        <a:p>
          <a:pPr>
            <a:defRPr/>
          </a:pPr>
          <a:endParaRPr lang="zh-CN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Graphs!graph_g_A_title</c:f>
              <c:strCache>
                <c:ptCount val="1"/>
                <c:pt idx="0">
                  <c:v>F300_v8.0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numRef>
              <c:f>Graphs!graph_g_x_range_A</c:f>
              <c:numCache>
                <c:formatCode>0.000</c:formatCode>
                <c:ptCount val="5"/>
                <c:pt idx="0">
                  <c:v>5.71488</c:v>
                </c:pt>
                <c:pt idx="1">
                  <c:v>10.2888</c:v>
                </c:pt>
                <c:pt idx="2">
                  <c:v>27.548159999999999</c:v>
                </c:pt>
                <c:pt idx="3">
                  <c:v>50.752560000000003</c:v>
                </c:pt>
                <c:pt idx="4">
                  <c:v>90.078239999999994</c:v>
                </c:pt>
              </c:numCache>
            </c:numRef>
          </c:xVal>
          <c:yVal>
            <c:numRef>
              <c:f>Graphs!graph_g_y_range_A</c:f>
              <c:numCache>
                <c:formatCode>0.00</c:formatCode>
                <c:ptCount val="5"/>
                <c:pt idx="0">
                  <c:v>29.878969999999999</c:v>
                </c:pt>
                <c:pt idx="1">
                  <c:v>31.075164699999998</c:v>
                </c:pt>
                <c:pt idx="2">
                  <c:v>32.434200199999999</c:v>
                </c:pt>
                <c:pt idx="3">
                  <c:v>33.257023400000001</c:v>
                </c:pt>
                <c:pt idx="4">
                  <c:v>33.879080799999997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E75-4EF2-B4EB-C0C674BE98BD}"/>
            </c:ext>
          </c:extLst>
        </c:ser>
        <c:ser>
          <c:idx val="1"/>
          <c:order val="1"/>
          <c:tx>
            <c:strRef>
              <c:f>Graphs!graph_g_B_title</c:f>
              <c:strCache>
                <c:ptCount val="1"/>
                <c:pt idx="0">
                  <c:v>0</c:v>
                </c:pt>
              </c:strCache>
            </c:strRef>
          </c:tx>
          <c:spPr>
            <a:ln w="28575">
              <a:prstDash val="solid"/>
            </a:ln>
          </c:spPr>
          <c:marker>
            <c:symbol val="none"/>
          </c:marker>
          <c:xVal>
            <c:strRef>
              <c:f>Graphs!graph_g_x_range_B</c:f>
              <c:strCache>
                <c:ptCount val="5"/>
                <c:pt idx="0">
                  <c:v>·</c:v>
                </c:pt>
                <c:pt idx="1">
                  <c:v>·</c:v>
                </c:pt>
                <c:pt idx="2">
                  <c:v>·</c:v>
                </c:pt>
                <c:pt idx="3">
                  <c:v>·</c:v>
                </c:pt>
                <c:pt idx="4">
                  <c:v>·</c:v>
                </c:pt>
              </c:strCache>
            </c:strRef>
          </c:xVal>
          <c:yVal>
            <c:numRef>
              <c:f>Graphs!graph_g_y_range_B</c:f>
              <c:numCache>
                <c:formatCode>0.00</c:formatCode>
                <c:ptCount val="5"/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E75-4EF2-B4EB-C0C674BE98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5117776"/>
        <c:axId val="215116688"/>
      </c:scatterChart>
      <c:valAx>
        <c:axId val="215117776"/>
        <c:scaling>
          <c:orientation val="minMax"/>
        </c:scaling>
        <c:delete val="0"/>
        <c:axPos val="b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Graphs!graph_g_x_title</c:f>
              <c:strCache>
                <c:ptCount val="1"/>
                <c:pt idx="0">
                  <c:v>Rate [Mbps]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zh-CN"/>
            </a:p>
          </c:txPr>
        </c:title>
        <c:numFmt formatCode="0.000" sourceLinked="1"/>
        <c:majorTickMark val="out"/>
        <c:minorTickMark val="none"/>
        <c:tickLblPos val="nextTo"/>
        <c:crossAx val="215116688"/>
        <c:crosses val="autoZero"/>
        <c:crossBetween val="midCat"/>
      </c:valAx>
      <c:valAx>
        <c:axId val="215116688"/>
        <c:scaling>
          <c:orientation val="minMax"/>
        </c:scaling>
        <c:delete val="0"/>
        <c:axPos val="l"/>
        <c:majorGridlines>
          <c:spPr>
            <a:ln>
              <a:solidFill>
                <a:srgbClr val="DFDFDF"/>
              </a:solidFill>
              <a:prstDash val="solid"/>
            </a:ln>
          </c:spPr>
        </c:majorGridlines>
        <c:title>
          <c:tx>
            <c:strRef>
              <c:f>Graphs!graph_g_y_title</c:f>
              <c:strCache>
                <c:ptCount val="1"/>
                <c:pt idx="0">
                  <c:v>Luma Image-based PSNR [dB]</c:v>
                </c:pt>
              </c:strCache>
            </c:strRef>
          </c:tx>
          <c:layout/>
          <c:overlay val="0"/>
          <c:txPr>
            <a:bodyPr rot="-5400000" vert="horz"/>
            <a:lstStyle/>
            <a:p>
              <a:pPr>
                <a:defRPr/>
              </a:pPr>
              <a:endParaRPr lang="zh-CN"/>
            </a:p>
          </c:txPr>
        </c:title>
        <c:numFmt formatCode="0.00" sourceLinked="1"/>
        <c:majorTickMark val="out"/>
        <c:minorTickMark val="none"/>
        <c:tickLblPos val="nextTo"/>
        <c:crossAx val="215117776"/>
        <c:crosses val="autoZero"/>
        <c:crossBetween val="midCat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7</xdr:col>
      <xdr:colOff>276225</xdr:colOff>
      <xdr:row>32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33</xdr:row>
      <xdr:rowOff>0</xdr:rowOff>
    </xdr:from>
    <xdr:to>
      <xdr:col>7</xdr:col>
      <xdr:colOff>276225</xdr:colOff>
      <xdr:row>54</xdr:row>
      <xdr:rowOff>114300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7</xdr:col>
      <xdr:colOff>276225</xdr:colOff>
      <xdr:row>76</xdr:row>
      <xdr:rowOff>114300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11</xdr:row>
      <xdr:rowOff>0</xdr:rowOff>
    </xdr:from>
    <xdr:to>
      <xdr:col>18</xdr:col>
      <xdr:colOff>257175</xdr:colOff>
      <xdr:row>32</xdr:row>
      <xdr:rowOff>114300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0</xdr:colOff>
      <xdr:row>33</xdr:row>
      <xdr:rowOff>0</xdr:rowOff>
    </xdr:from>
    <xdr:to>
      <xdr:col>18</xdr:col>
      <xdr:colOff>257175</xdr:colOff>
      <xdr:row>54</xdr:row>
      <xdr:rowOff>114300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xmlns="" id="{00000000-0008-0000-01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0</xdr:colOff>
      <xdr:row>55</xdr:row>
      <xdr:rowOff>0</xdr:rowOff>
    </xdr:from>
    <xdr:to>
      <xdr:col>18</xdr:col>
      <xdr:colOff>257175</xdr:colOff>
      <xdr:row>76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0</xdr:colOff>
      <xdr:row>11</xdr:row>
      <xdr:rowOff>0</xdr:rowOff>
    </xdr:from>
    <xdr:to>
      <xdr:col>30</xdr:col>
      <xdr:colOff>152400</xdr:colOff>
      <xdr:row>32</xdr:row>
      <xdr:rowOff>114300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39"/>
  <sheetViews>
    <sheetView zoomScale="90" zoomScaleNormal="90" workbookViewId="0">
      <selection activeCell="E4" sqref="E4"/>
    </sheetView>
  </sheetViews>
  <sheetFormatPr defaultColWidth="9.125" defaultRowHeight="13.5" x14ac:dyDescent="0.15"/>
  <cols>
    <col min="2" max="2" width="16.75" customWidth="1"/>
    <col min="3" max="9" width="24.75" customWidth="1"/>
  </cols>
  <sheetData>
    <row r="1" spans="2:5" x14ac:dyDescent="0.15">
      <c r="B1" t="s">
        <v>0</v>
      </c>
      <c r="C1" s="121" t="s">
        <v>438</v>
      </c>
      <c r="D1" s="121"/>
      <c r="E1" s="121"/>
    </row>
    <row r="2" spans="2:5" x14ac:dyDescent="0.15">
      <c r="B2" t="s">
        <v>1</v>
      </c>
      <c r="C2" s="122"/>
      <c r="D2" s="122"/>
      <c r="E2" s="122"/>
    </row>
    <row r="4" spans="2:5" s="1" customFormat="1" x14ac:dyDescent="0.15">
      <c r="B4" s="1" t="s">
        <v>2</v>
      </c>
    </row>
    <row r="6" spans="2:5" ht="45" customHeight="1" x14ac:dyDescent="0.15">
      <c r="B6" s="116" t="s">
        <v>3</v>
      </c>
      <c r="C6" s="2" t="s">
        <v>4</v>
      </c>
    </row>
    <row r="7" spans="2:5" x14ac:dyDescent="0.15">
      <c r="B7" s="113"/>
      <c r="C7" s="3" t="s">
        <v>5</v>
      </c>
    </row>
    <row r="8" spans="2:5" x14ac:dyDescent="0.15">
      <c r="B8" s="115"/>
      <c r="C8" s="4" t="s">
        <v>6</v>
      </c>
    </row>
    <row r="9" spans="2:5" x14ac:dyDescent="0.15">
      <c r="B9" t="s">
        <v>7</v>
      </c>
      <c r="C9" s="5" t="e">
        <f>'C0 lossless AI'!V14</f>
        <v>#DIV/0!</v>
      </c>
    </row>
    <row r="10" spans="2:5" x14ac:dyDescent="0.15">
      <c r="B10" t="s">
        <v>8</v>
      </c>
      <c r="C10" s="5" t="e">
        <f>'C0 lossless AI'!V15</f>
        <v>#DIV/0!</v>
      </c>
    </row>
    <row r="11" spans="2:5" x14ac:dyDescent="0.15">
      <c r="B11" t="s">
        <v>9</v>
      </c>
      <c r="C11" s="5" t="e">
        <f>'C0 lossless AI'!V16</f>
        <v>#DIV/0!</v>
      </c>
    </row>
    <row r="12" spans="2:5" x14ac:dyDescent="0.15">
      <c r="B12" t="s">
        <v>429</v>
      </c>
      <c r="C12" s="5" t="e">
        <f>'C0 lossless AI'!V18</f>
        <v>#DIV/0!</v>
      </c>
    </row>
    <row r="13" spans="2:5" x14ac:dyDescent="0.15">
      <c r="B13" s="6" t="s">
        <v>10</v>
      </c>
      <c r="C13" s="7" t="e">
        <f>'C0 lossless AI'!V18</f>
        <v>#DIV/0!</v>
      </c>
    </row>
    <row r="14" spans="2:5" x14ac:dyDescent="0.15">
      <c r="B14" t="s">
        <v>11</v>
      </c>
      <c r="C14" s="8">
        <f>'C0 lossless AI'!S20</f>
        <v>0</v>
      </c>
    </row>
    <row r="15" spans="2:5" x14ac:dyDescent="0.15">
      <c r="B15" s="9" t="s">
        <v>12</v>
      </c>
      <c r="C15" s="10">
        <f>'C0 lossless AI'!T20</f>
        <v>0</v>
      </c>
    </row>
    <row r="17" spans="2:9" x14ac:dyDescent="0.15">
      <c r="B17" s="116" t="s">
        <v>13</v>
      </c>
      <c r="C17" s="117" t="s">
        <v>14</v>
      </c>
      <c r="D17" s="118"/>
      <c r="E17" s="118"/>
      <c r="F17" s="118"/>
      <c r="G17" s="118"/>
      <c r="H17" s="118"/>
      <c r="I17" s="118"/>
    </row>
    <row r="18" spans="2:9" x14ac:dyDescent="0.15">
      <c r="B18" s="113"/>
      <c r="C18" s="119" t="s">
        <v>15</v>
      </c>
      <c r="D18" s="113"/>
      <c r="E18" s="113"/>
      <c r="F18" s="113"/>
      <c r="G18" s="113"/>
      <c r="H18" s="120" t="s">
        <v>16</v>
      </c>
      <c r="I18" s="113"/>
    </row>
    <row r="19" spans="2:9" x14ac:dyDescent="0.15">
      <c r="B19" s="115"/>
      <c r="C19" s="4" t="s">
        <v>17</v>
      </c>
      <c r="D19" s="4" t="s">
        <v>18</v>
      </c>
      <c r="E19" s="4" t="s">
        <v>19</v>
      </c>
      <c r="F19" s="4" t="s">
        <v>20</v>
      </c>
      <c r="G19" s="4" t="s">
        <v>21</v>
      </c>
      <c r="H19" s="11" t="s">
        <v>22</v>
      </c>
      <c r="I19" s="11" t="s">
        <v>19</v>
      </c>
    </row>
    <row r="20" spans="2:9" x14ac:dyDescent="0.15">
      <c r="B20" t="s">
        <v>7</v>
      </c>
      <c r="C20" s="5" t="e">
        <f>'C1 lossy AI'!$AZ$50:$AZ$50</f>
        <v>#DIV/0!</v>
      </c>
      <c r="D20" s="5" t="e">
        <f>'C1 lossy AI'!$BA$50:$BA$50</f>
        <v>#DIV/0!</v>
      </c>
      <c r="E20" s="5" t="e">
        <f>'C1 lossy AI'!$BB$50:$BB$50</f>
        <v>#DIV/0!</v>
      </c>
      <c r="F20" s="5" t="e">
        <f>'C1 lossy AI'!$BC$50:$BC$50</f>
        <v>#DIV/0!</v>
      </c>
      <c r="G20" s="5" t="e">
        <f>'C1 lossy AI'!$BD$50:$BD$50</f>
        <v>#DIV/0!</v>
      </c>
      <c r="H20" s="5" t="e">
        <f>'C1 lossy AI'!$BE$50:$BE$50</f>
        <v>#DIV/0!</v>
      </c>
      <c r="I20" s="5" t="e">
        <f>'C1 lossy AI'!$BF$50:$BF$50</f>
        <v>#DIV/0!</v>
      </c>
    </row>
    <row r="21" spans="2:9" x14ac:dyDescent="0.15">
      <c r="B21" t="s">
        <v>8</v>
      </c>
      <c r="C21" s="5" t="e">
        <f>'C1 lossy AI'!$AZ$51:$AZ$51</f>
        <v>#DIV/0!</v>
      </c>
      <c r="D21" s="5" t="e">
        <f>'C1 lossy AI'!$BA$51:$BA$51</f>
        <v>#DIV/0!</v>
      </c>
      <c r="E21" s="5" t="e">
        <f>'C1 lossy AI'!$BB$51:$BB$51</f>
        <v>#DIV/0!</v>
      </c>
      <c r="F21" s="5" t="e">
        <f>'C1 lossy AI'!$BC$51:$BC$51</f>
        <v>#DIV/0!</v>
      </c>
      <c r="G21" s="5" t="e">
        <f>'C1 lossy AI'!$BD$51:$BD$51</f>
        <v>#DIV/0!</v>
      </c>
      <c r="H21" s="5" t="e">
        <f>'C1 lossy AI'!$BE$51:$BE$51</f>
        <v>#DIV/0!</v>
      </c>
      <c r="I21" s="5" t="e">
        <f>'C1 lossy AI'!$BF$51:$BF$51</f>
        <v>#DIV/0!</v>
      </c>
    </row>
    <row r="22" spans="2:9" x14ac:dyDescent="0.15">
      <c r="B22" t="s">
        <v>9</v>
      </c>
      <c r="C22" s="5" t="e">
        <f>'C1 lossy AI'!$AZ$52:$AZ$52</f>
        <v>#DIV/0!</v>
      </c>
      <c r="D22" s="5" t="e">
        <f>'C1 lossy AI'!$BA$52:$BA$52</f>
        <v>#DIV/0!</v>
      </c>
      <c r="E22" s="5" t="e">
        <f>'C1 lossy AI'!$BB$52:$BB$52</f>
        <v>#DIV/0!</v>
      </c>
      <c r="F22" s="5" t="e">
        <f>'C1 lossy AI'!$BC$52:$BC$52</f>
        <v>#DIV/0!</v>
      </c>
      <c r="G22" s="5" t="e">
        <f>'C1 lossy AI'!$BD$52:$BD$52</f>
        <v>#DIV/0!</v>
      </c>
      <c r="H22" s="5" t="e">
        <f>'C1 lossy AI'!$BE$52:$BE$52</f>
        <v>#DIV/0!</v>
      </c>
      <c r="I22" s="5" t="e">
        <f>'C1 lossy AI'!$BF$52:$BF$52</f>
        <v>#DIV/0!</v>
      </c>
    </row>
    <row r="23" spans="2:9" x14ac:dyDescent="0.15">
      <c r="B23" t="s">
        <v>429</v>
      </c>
      <c r="C23" s="5" t="e">
        <f>'C1 lossy AI'!$AZ$53:$AZ$53</f>
        <v>#DIV/0!</v>
      </c>
      <c r="D23" s="5" t="e">
        <f>'C1 lossy AI'!$BA$53:$BA$53</f>
        <v>#DIV/0!</v>
      </c>
      <c r="E23" s="5" t="e">
        <f>'C1 lossy AI'!$BB$53:$BB$53</f>
        <v>#DIV/0!</v>
      </c>
      <c r="F23" s="5" t="e">
        <f>'C1 lossy AI'!$BC$53:$BC$53</f>
        <v>#DIV/0!</v>
      </c>
      <c r="G23" s="5" t="e">
        <f>'C1 lossy AI'!$BD$53:$BD$53</f>
        <v>#DIV/0!</v>
      </c>
      <c r="H23" s="5" t="e">
        <f>'C1 lossy AI'!$BE$53:$BE$53</f>
        <v>#DIV/0!</v>
      </c>
      <c r="I23" s="5" t="e">
        <f>'C1 lossy AI'!$BF$53:$BF$53</f>
        <v>#DIV/0!</v>
      </c>
    </row>
    <row r="24" spans="2:9" x14ac:dyDescent="0.15">
      <c r="B24" s="6" t="s">
        <v>10</v>
      </c>
      <c r="C24" s="7" t="e">
        <f>'C1 lossy AI'!$AZ$54:$AZ$54</f>
        <v>#DIV/0!</v>
      </c>
      <c r="D24" s="7" t="e">
        <f>'C1 lossy AI'!$BA$54:$BA$54</f>
        <v>#DIV/0!</v>
      </c>
      <c r="E24" s="7" t="e">
        <f>'C1 lossy AI'!$BB$54:$BB$54</f>
        <v>#DIV/0!</v>
      </c>
      <c r="F24" s="7" t="e">
        <f>'C1 lossy AI'!$BC$54:$BC$54</f>
        <v>#DIV/0!</v>
      </c>
      <c r="G24" s="7" t="e">
        <f>'C1 lossy AI'!$BD$54:$BD$54</f>
        <v>#DIV/0!</v>
      </c>
      <c r="H24" s="7" t="e">
        <f>'C1 lossy AI'!$BE$54:$BE$54</f>
        <v>#DIV/0!</v>
      </c>
      <c r="I24" s="7" t="e">
        <f>'C1 lossy AI'!$BF$54:$BF$54</f>
        <v>#DIV/0!</v>
      </c>
    </row>
    <row r="25" spans="2:9" x14ac:dyDescent="0.15">
      <c r="B25" t="s">
        <v>11</v>
      </c>
      <c r="C25" s="112">
        <f>'C1 lossy AI'!AW56</f>
        <v>0</v>
      </c>
      <c r="D25" s="113"/>
      <c r="E25" s="113"/>
      <c r="F25" s="113"/>
      <c r="G25" s="113"/>
      <c r="H25" s="113"/>
      <c r="I25" s="113"/>
    </row>
    <row r="26" spans="2:9" x14ac:dyDescent="0.15">
      <c r="B26" s="9" t="s">
        <v>12</v>
      </c>
      <c r="C26" s="114">
        <f>'C1 lossy AI'!AX56</f>
        <v>0</v>
      </c>
      <c r="D26" s="115"/>
      <c r="E26" s="115"/>
      <c r="F26" s="115"/>
      <c r="G26" s="115"/>
      <c r="H26" s="115"/>
      <c r="I26" s="115"/>
    </row>
    <row r="28" spans="2:9" s="1" customFormat="1" x14ac:dyDescent="0.15">
      <c r="B28" s="1" t="s">
        <v>23</v>
      </c>
    </row>
    <row r="30" spans="2:9" x14ac:dyDescent="0.15">
      <c r="B30" s="116" t="s">
        <v>24</v>
      </c>
      <c r="C30" s="117" t="s">
        <v>25</v>
      </c>
      <c r="D30" s="118"/>
      <c r="E30" s="118"/>
      <c r="F30" s="118"/>
      <c r="G30" s="118"/>
      <c r="H30" s="118"/>
      <c r="I30" s="118"/>
    </row>
    <row r="31" spans="2:9" x14ac:dyDescent="0.15">
      <c r="B31" s="113"/>
      <c r="C31" s="119" t="s">
        <v>15</v>
      </c>
      <c r="D31" s="113"/>
      <c r="E31" s="113"/>
      <c r="F31" s="113"/>
      <c r="G31" s="113"/>
      <c r="H31" s="120" t="s">
        <v>16</v>
      </c>
      <c r="I31" s="113"/>
    </row>
    <row r="32" spans="2:9" x14ac:dyDescent="0.15">
      <c r="B32" s="115"/>
      <c r="C32" s="4" t="s">
        <v>17</v>
      </c>
      <c r="D32" s="4" t="s">
        <v>18</v>
      </c>
      <c r="E32" s="4" t="s">
        <v>19</v>
      </c>
      <c r="F32" s="4" t="s">
        <v>20</v>
      </c>
      <c r="G32" s="4" t="s">
        <v>21</v>
      </c>
      <c r="H32" s="11" t="s">
        <v>22</v>
      </c>
      <c r="I32" s="11" t="s">
        <v>19</v>
      </c>
    </row>
    <row r="33" spans="2:9" x14ac:dyDescent="0.15">
      <c r="B33" t="s">
        <v>7</v>
      </c>
      <c r="C33" s="5" t="e">
        <f>'C2 lossy RA'!$AZ$50:$AZ$50</f>
        <v>#DIV/0!</v>
      </c>
      <c r="D33" s="5" t="e">
        <f>'C2 lossy RA'!$BA$50:$BA$50</f>
        <v>#DIV/0!</v>
      </c>
      <c r="E33" s="5" t="e">
        <f>'C2 lossy RA'!$BB$50:$BB$50</f>
        <v>#DIV/0!</v>
      </c>
      <c r="F33" s="5" t="e">
        <f>'C2 lossy RA'!$BC$50:$BC$50</f>
        <v>#DIV/0!</v>
      </c>
      <c r="G33" s="5" t="e">
        <f>'C2 lossy RA'!$BD$50:$BD$50</f>
        <v>#DIV/0!</v>
      </c>
      <c r="H33" s="5" t="e">
        <f>'C2 lossy RA'!$BE$50:$BE$50</f>
        <v>#DIV/0!</v>
      </c>
      <c r="I33" s="5" t="e">
        <f>'C2 lossy RA'!$BF$50:$BF$50</f>
        <v>#DIV/0!</v>
      </c>
    </row>
    <row r="34" spans="2:9" x14ac:dyDescent="0.15">
      <c r="B34" t="s">
        <v>8</v>
      </c>
      <c r="C34" s="5" t="e">
        <f>'C2 lossy RA'!$AZ$51:$AZ$51</f>
        <v>#DIV/0!</v>
      </c>
      <c r="D34" s="5" t="e">
        <f>'C2 lossy RA'!$BA$51:$BA$51</f>
        <v>#DIV/0!</v>
      </c>
      <c r="E34" s="5" t="e">
        <f>'C2 lossy RA'!$BB$51:$BB$51</f>
        <v>#DIV/0!</v>
      </c>
      <c r="F34" s="5" t="e">
        <f>'C2 lossy RA'!$BC$51:$BC$51</f>
        <v>#DIV/0!</v>
      </c>
      <c r="G34" s="5" t="e">
        <f>'C2 lossy RA'!$BD$51:$BD$51</f>
        <v>#DIV/0!</v>
      </c>
      <c r="H34" s="5" t="e">
        <f>'C2 lossy RA'!$BE$51:$BE$51</f>
        <v>#DIV/0!</v>
      </c>
      <c r="I34" s="5" t="e">
        <f>'C2 lossy RA'!$BF$51:$BF$51</f>
        <v>#DIV/0!</v>
      </c>
    </row>
    <row r="35" spans="2:9" x14ac:dyDescent="0.15">
      <c r="B35" t="s">
        <v>9</v>
      </c>
      <c r="C35" s="5" t="e">
        <f>'C2 lossy RA'!$AZ$52:$AZ$52</f>
        <v>#DIV/0!</v>
      </c>
      <c r="D35" s="5" t="e">
        <f>'C2 lossy RA'!$BA$52:$BA$52</f>
        <v>#DIV/0!</v>
      </c>
      <c r="E35" s="5" t="e">
        <f>'C2 lossy RA'!$BB$52:$BB$52</f>
        <v>#DIV/0!</v>
      </c>
      <c r="F35" s="5" t="e">
        <f>'C2 lossy RA'!$BC$52:$BC$52</f>
        <v>#DIV/0!</v>
      </c>
      <c r="G35" s="5" t="e">
        <f>'C2 lossy RA'!$BD$52:$BD$52</f>
        <v>#DIV/0!</v>
      </c>
      <c r="H35" s="5" t="e">
        <f>'C2 lossy RA'!$BE$52:$BE$52</f>
        <v>#DIV/0!</v>
      </c>
      <c r="I35" s="5" t="e">
        <f>'C2 lossy RA'!$BF$52:$BF$52</f>
        <v>#DIV/0!</v>
      </c>
    </row>
    <row r="36" spans="2:9" x14ac:dyDescent="0.15">
      <c r="B36" t="s">
        <v>429</v>
      </c>
      <c r="C36" s="5" t="e">
        <f>'C2 lossy RA'!$AZ$53:$AZ$53</f>
        <v>#DIV/0!</v>
      </c>
      <c r="D36" s="5" t="e">
        <f>'C2 lossy RA'!$BA$53:$BA$53</f>
        <v>#DIV/0!</v>
      </c>
      <c r="E36" s="5" t="e">
        <f>'C2 lossy RA'!$BB$53:$BB$53</f>
        <v>#DIV/0!</v>
      </c>
      <c r="F36" s="5" t="e">
        <f>'C2 lossy RA'!$BC$53:$BC$53</f>
        <v>#DIV/0!</v>
      </c>
      <c r="G36" s="5" t="e">
        <f>'C2 lossy RA'!$BD$53:$BD$53</f>
        <v>#DIV/0!</v>
      </c>
      <c r="H36" s="5" t="e">
        <f>'C2 lossy RA'!$BE$53:$BE$53</f>
        <v>#DIV/0!</v>
      </c>
      <c r="I36" s="5" t="e">
        <f>'C2 lossy RA'!$BF$53:$BF$53</f>
        <v>#DIV/0!</v>
      </c>
    </row>
    <row r="37" spans="2:9" x14ac:dyDescent="0.15">
      <c r="B37" s="6" t="s">
        <v>10</v>
      </c>
      <c r="C37" s="7" t="e">
        <f>'C2 lossy RA'!$AZ$54:$AZ$54</f>
        <v>#DIV/0!</v>
      </c>
      <c r="D37" s="7" t="e">
        <f>'C2 lossy RA'!$BA$54:$BA$54</f>
        <v>#DIV/0!</v>
      </c>
      <c r="E37" s="7" t="e">
        <f>'C2 lossy RA'!$BB$54:$BB$54</f>
        <v>#DIV/0!</v>
      </c>
      <c r="F37" s="7" t="e">
        <f>'C2 lossy RA'!$BC$54:$BC$54</f>
        <v>#DIV/0!</v>
      </c>
      <c r="G37" s="7" t="e">
        <f>'C2 lossy RA'!$BD$54:$BD$54</f>
        <v>#DIV/0!</v>
      </c>
      <c r="H37" s="7" t="e">
        <f>'C2 lossy RA'!$BE$54:$BE$54</f>
        <v>#DIV/0!</v>
      </c>
      <c r="I37" s="7" t="e">
        <f>'C2 lossy RA'!$BF$54:$BF$54</f>
        <v>#DIV/0!</v>
      </c>
    </row>
    <row r="38" spans="2:9" x14ac:dyDescent="0.15">
      <c r="B38" t="s">
        <v>11</v>
      </c>
      <c r="C38" s="112">
        <f>'C2 lossy RA'!AW56</f>
        <v>0</v>
      </c>
      <c r="D38" s="113"/>
      <c r="E38" s="113"/>
      <c r="F38" s="113"/>
      <c r="G38" s="113"/>
      <c r="H38" s="113"/>
      <c r="I38" s="113"/>
    </row>
    <row r="39" spans="2:9" x14ac:dyDescent="0.15">
      <c r="B39" s="9" t="s">
        <v>12</v>
      </c>
      <c r="C39" s="114">
        <f>'C2 lossy RA'!AX56</f>
        <v>0</v>
      </c>
      <c r="D39" s="115"/>
      <c r="E39" s="115"/>
      <c r="F39" s="115"/>
      <c r="G39" s="115"/>
      <c r="H39" s="115"/>
      <c r="I39" s="115"/>
    </row>
  </sheetData>
  <mergeCells count="15">
    <mergeCell ref="C1:E1"/>
    <mergeCell ref="C2:E2"/>
    <mergeCell ref="B6:B8"/>
    <mergeCell ref="B17:B19"/>
    <mergeCell ref="C17:I17"/>
    <mergeCell ref="C18:G18"/>
    <mergeCell ref="H18:I18"/>
    <mergeCell ref="C38:I38"/>
    <mergeCell ref="C39:I39"/>
    <mergeCell ref="C25:I25"/>
    <mergeCell ref="C26:I26"/>
    <mergeCell ref="B30:B32"/>
    <mergeCell ref="C30:I30"/>
    <mergeCell ref="C31:G31"/>
    <mergeCell ref="H31:I31"/>
  </mergeCells>
  <phoneticPr fontId="2" type="noConversion"/>
  <conditionalFormatting sqref="C20:C24">
    <cfRule type="cellIs" dxfId="197" priority="15" operator="greaterThanOrEqual">
      <formula>0.03</formula>
    </cfRule>
    <cfRule type="cellIs" dxfId="196" priority="16" operator="lessThanOrEqual">
      <formula>-0.03</formula>
    </cfRule>
  </conditionalFormatting>
  <conditionalFormatting sqref="C33:C37">
    <cfRule type="cellIs" dxfId="195" priority="17" operator="greaterThanOrEqual">
      <formula>0.03</formula>
    </cfRule>
    <cfRule type="cellIs" dxfId="194" priority="18" operator="lessThanOrEqual">
      <formula>-0.03</formula>
    </cfRule>
  </conditionalFormatting>
  <conditionalFormatting sqref="C9:C13">
    <cfRule type="cellIs" dxfId="193" priority="1" operator="greaterThanOrEqual">
      <formula>1.03</formula>
    </cfRule>
    <cfRule type="cellIs" dxfId="192" priority="2" operator="lessThanOrEqual">
      <formula>0.97</formula>
    </cfRule>
  </conditionalFormatting>
  <conditionalFormatting sqref="D20:D24">
    <cfRule type="cellIs" dxfId="191" priority="11" operator="greaterThanOrEqual">
      <formula>0.03</formula>
    </cfRule>
    <cfRule type="cellIs" dxfId="190" priority="12" operator="lessThanOrEqual">
      <formula>-0.03</formula>
    </cfRule>
  </conditionalFormatting>
  <conditionalFormatting sqref="D33:D37">
    <cfRule type="cellIs" dxfId="189" priority="21" operator="greaterThanOrEqual">
      <formula>0.03</formula>
    </cfRule>
    <cfRule type="cellIs" dxfId="188" priority="22" operator="lessThanOrEqual">
      <formula>-0.03</formula>
    </cfRule>
  </conditionalFormatting>
  <conditionalFormatting sqref="E20:E24">
    <cfRule type="cellIs" dxfId="187" priority="5" operator="greaterThanOrEqual">
      <formula>0.03</formula>
    </cfRule>
    <cfRule type="cellIs" dxfId="186" priority="6" operator="lessThanOrEqual">
      <formula>-0.03</formula>
    </cfRule>
  </conditionalFormatting>
  <conditionalFormatting sqref="E33:E37">
    <cfRule type="cellIs" dxfId="185" priority="25" operator="greaterThanOrEqual">
      <formula>0.03</formula>
    </cfRule>
    <cfRule type="cellIs" dxfId="184" priority="26" operator="lessThanOrEqual">
      <formula>-0.03</formula>
    </cfRule>
  </conditionalFormatting>
  <conditionalFormatting sqref="F20:F24">
    <cfRule type="cellIs" dxfId="183" priority="3" operator="greaterThanOrEqual">
      <formula>0.03</formula>
    </cfRule>
    <cfRule type="cellIs" dxfId="182" priority="4" operator="lessThanOrEqual">
      <formula>-0.03</formula>
    </cfRule>
  </conditionalFormatting>
  <conditionalFormatting sqref="F33:F37">
    <cfRule type="cellIs" dxfId="181" priority="29" operator="greaterThanOrEqual">
      <formula>0.03</formula>
    </cfRule>
    <cfRule type="cellIs" dxfId="180" priority="30" operator="lessThanOrEqual">
      <formula>-0.03</formula>
    </cfRule>
  </conditionalFormatting>
  <conditionalFormatting sqref="G20:G24">
    <cfRule type="cellIs" dxfId="179" priority="13" operator="greaterThanOrEqual">
      <formula>0.03</formula>
    </cfRule>
    <cfRule type="cellIs" dxfId="178" priority="14" operator="lessThanOrEqual">
      <formula>-0.03</formula>
    </cfRule>
  </conditionalFormatting>
  <conditionalFormatting sqref="G33:G37">
    <cfRule type="cellIs" dxfId="177" priority="19" operator="greaterThanOrEqual">
      <formula>0.03</formula>
    </cfRule>
    <cfRule type="cellIs" dxfId="176" priority="20" operator="lessThanOrEqual">
      <formula>-0.03</formula>
    </cfRule>
  </conditionalFormatting>
  <conditionalFormatting sqref="H20:H24">
    <cfRule type="cellIs" dxfId="175" priority="9" operator="greaterThanOrEqual">
      <formula>0.03</formula>
    </cfRule>
    <cfRule type="cellIs" dxfId="174" priority="10" operator="lessThanOrEqual">
      <formula>-0.03</formula>
    </cfRule>
  </conditionalFormatting>
  <conditionalFormatting sqref="H33:H37">
    <cfRule type="cellIs" dxfId="173" priority="23" operator="greaterThanOrEqual">
      <formula>0.03</formula>
    </cfRule>
    <cfRule type="cellIs" dxfId="172" priority="24" operator="lessThanOrEqual">
      <formula>-0.03</formula>
    </cfRule>
  </conditionalFormatting>
  <conditionalFormatting sqref="I20:I24">
    <cfRule type="cellIs" dxfId="171" priority="7" operator="greaterThanOrEqual">
      <formula>0.03</formula>
    </cfRule>
    <cfRule type="cellIs" dxfId="170" priority="8" operator="lessThanOrEqual">
      <formula>-0.03</formula>
    </cfRule>
  </conditionalFormatting>
  <conditionalFormatting sqref="I33:I37">
    <cfRule type="cellIs" dxfId="169" priority="27" operator="greaterThanOrEqual">
      <formula>0.03</formula>
    </cfRule>
    <cfRule type="cellIs" dxfId="168" priority="28" operator="lessThanOrEqual">
      <formula>-0.03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54"/>
  <sheetViews>
    <sheetView zoomScale="70" zoomScaleNormal="70" workbookViewId="0">
      <selection activeCell="B2" sqref="B2"/>
    </sheetView>
  </sheetViews>
  <sheetFormatPr defaultColWidth="9.125" defaultRowHeight="13.5" x14ac:dyDescent="0.15"/>
  <cols>
    <col min="1" max="1" width="12.75" customWidth="1"/>
    <col min="2" max="2" width="24.75" customWidth="1"/>
    <col min="4" max="4" width="24.75" customWidth="1"/>
    <col min="9" max="9" width="16.75" customWidth="1"/>
  </cols>
  <sheetData>
    <row r="1" spans="1:14" x14ac:dyDescent="0.15">
      <c r="A1" t="s">
        <v>26</v>
      </c>
      <c r="B1" s="12" t="s">
        <v>29</v>
      </c>
      <c r="C1" t="s">
        <v>27</v>
      </c>
      <c r="I1" t="s">
        <v>28</v>
      </c>
      <c r="M1" t="s">
        <v>29</v>
      </c>
      <c r="N1" t="s">
        <v>30</v>
      </c>
    </row>
    <row r="2" spans="1:14" x14ac:dyDescent="0.15">
      <c r="A2" t="s">
        <v>31</v>
      </c>
      <c r="B2" s="12" t="s">
        <v>428</v>
      </c>
      <c r="C2" t="s">
        <v>33</v>
      </c>
      <c r="I2" t="s">
        <v>34</v>
      </c>
      <c r="J2" t="s">
        <v>35</v>
      </c>
      <c r="M2" t="s">
        <v>436</v>
      </c>
      <c r="N2" t="s">
        <v>437</v>
      </c>
    </row>
    <row r="3" spans="1:14" x14ac:dyDescent="0.15">
      <c r="I3" t="s">
        <v>36</v>
      </c>
      <c r="J3" t="s">
        <v>37</v>
      </c>
      <c r="M3" t="s">
        <v>38</v>
      </c>
      <c r="N3" t="s">
        <v>38</v>
      </c>
    </row>
    <row r="4" spans="1:14" x14ac:dyDescent="0.15">
      <c r="A4" t="s">
        <v>39</v>
      </c>
      <c r="B4" s="12" t="s">
        <v>40</v>
      </c>
      <c r="C4" t="s">
        <v>41</v>
      </c>
      <c r="D4" s="12" t="s">
        <v>42</v>
      </c>
      <c r="E4" t="s">
        <v>43</v>
      </c>
      <c r="I4" t="s">
        <v>44</v>
      </c>
      <c r="J4" t="s">
        <v>45</v>
      </c>
      <c r="M4" t="s">
        <v>46</v>
      </c>
      <c r="N4" t="s">
        <v>46</v>
      </c>
    </row>
    <row r="5" spans="1:14" x14ac:dyDescent="0.15">
      <c r="A5" t="s">
        <v>39</v>
      </c>
      <c r="B5" s="12" t="s">
        <v>40</v>
      </c>
      <c r="C5" t="s">
        <v>41</v>
      </c>
      <c r="D5" s="12" t="s">
        <v>47</v>
      </c>
      <c r="E5" t="s">
        <v>48</v>
      </c>
      <c r="I5" t="s">
        <v>49</v>
      </c>
      <c r="J5" t="s">
        <v>50</v>
      </c>
      <c r="M5" t="s">
        <v>51</v>
      </c>
      <c r="N5" t="s">
        <v>51</v>
      </c>
    </row>
    <row r="6" spans="1:14" x14ac:dyDescent="0.15">
      <c r="A6" t="s">
        <v>39</v>
      </c>
      <c r="B6" s="12" t="s">
        <v>40</v>
      </c>
      <c r="C6" t="s">
        <v>41</v>
      </c>
      <c r="D6" s="12" t="s">
        <v>52</v>
      </c>
      <c r="E6" t="s">
        <v>53</v>
      </c>
      <c r="I6" t="s">
        <v>54</v>
      </c>
      <c r="J6" t="s">
        <v>55</v>
      </c>
      <c r="M6" t="s">
        <v>56</v>
      </c>
      <c r="N6" t="s">
        <v>56</v>
      </c>
    </row>
    <row r="7" spans="1:14" x14ac:dyDescent="0.15">
      <c r="A7" t="s">
        <v>39</v>
      </c>
      <c r="B7" s="12" t="s">
        <v>40</v>
      </c>
      <c r="C7" t="s">
        <v>41</v>
      </c>
      <c r="D7" s="12" t="s">
        <v>57</v>
      </c>
      <c r="E7" t="s">
        <v>58</v>
      </c>
      <c r="I7" t="s">
        <v>59</v>
      </c>
      <c r="J7" t="s">
        <v>60</v>
      </c>
      <c r="M7" t="s">
        <v>61</v>
      </c>
      <c r="N7" t="s">
        <v>61</v>
      </c>
    </row>
    <row r="8" spans="1:14" x14ac:dyDescent="0.15">
      <c r="A8" t="s">
        <v>39</v>
      </c>
      <c r="B8" s="12" t="s">
        <v>40</v>
      </c>
      <c r="C8" t="s">
        <v>41</v>
      </c>
      <c r="D8" s="12" t="s">
        <v>62</v>
      </c>
      <c r="E8" t="s">
        <v>63</v>
      </c>
      <c r="I8" t="s">
        <v>64</v>
      </c>
      <c r="J8" t="s">
        <v>65</v>
      </c>
      <c r="M8" t="s">
        <v>66</v>
      </c>
      <c r="N8" t="s">
        <v>66</v>
      </c>
    </row>
    <row r="9" spans="1:14" x14ac:dyDescent="0.15">
      <c r="A9" t="s">
        <v>39</v>
      </c>
      <c r="B9" s="12" t="s">
        <v>40</v>
      </c>
      <c r="C9" t="s">
        <v>41</v>
      </c>
      <c r="D9" s="12" t="s">
        <v>67</v>
      </c>
      <c r="E9" t="s">
        <v>68</v>
      </c>
      <c r="I9" t="s">
        <v>69</v>
      </c>
      <c r="J9" t="s">
        <v>70</v>
      </c>
      <c r="M9" t="s">
        <v>32</v>
      </c>
      <c r="N9" t="s">
        <v>32</v>
      </c>
    </row>
    <row r="10" spans="1:14" x14ac:dyDescent="0.15">
      <c r="A10" t="s">
        <v>39</v>
      </c>
      <c r="B10" s="12" t="s">
        <v>40</v>
      </c>
      <c r="C10" t="s">
        <v>41</v>
      </c>
      <c r="D10" s="12" t="s">
        <v>71</v>
      </c>
      <c r="E10" t="s">
        <v>72</v>
      </c>
      <c r="I10" t="s">
        <v>73</v>
      </c>
      <c r="J10" t="s">
        <v>74</v>
      </c>
      <c r="M10" t="s">
        <v>75</v>
      </c>
      <c r="N10" t="s">
        <v>75</v>
      </c>
    </row>
    <row r="11" spans="1:14" x14ac:dyDescent="0.15">
      <c r="I11" t="s">
        <v>52</v>
      </c>
      <c r="J11" t="s">
        <v>76</v>
      </c>
      <c r="M11" t="s">
        <v>428</v>
      </c>
      <c r="N11" t="s">
        <v>428</v>
      </c>
    </row>
    <row r="12" spans="1:14" x14ac:dyDescent="0.15">
      <c r="I12" t="s">
        <v>71</v>
      </c>
      <c r="J12" t="s">
        <v>77</v>
      </c>
    </row>
    <row r="13" spans="1:14" x14ac:dyDescent="0.15">
      <c r="I13" t="s">
        <v>78</v>
      </c>
      <c r="J13" t="s">
        <v>79</v>
      </c>
    </row>
    <row r="14" spans="1:14" x14ac:dyDescent="0.15">
      <c r="I14" t="s">
        <v>80</v>
      </c>
      <c r="J14" t="s">
        <v>81</v>
      </c>
    </row>
    <row r="15" spans="1:14" x14ac:dyDescent="0.15">
      <c r="I15" t="s">
        <v>82</v>
      </c>
      <c r="J15" t="s">
        <v>83</v>
      </c>
    </row>
    <row r="16" spans="1:14" x14ac:dyDescent="0.15">
      <c r="I16" t="s">
        <v>84</v>
      </c>
      <c r="J16" t="s">
        <v>85</v>
      </c>
    </row>
    <row r="17" spans="9:10" x14ac:dyDescent="0.15">
      <c r="I17" t="s">
        <v>62</v>
      </c>
      <c r="J17" t="s">
        <v>86</v>
      </c>
    </row>
    <row r="18" spans="9:10" x14ac:dyDescent="0.15">
      <c r="I18" t="s">
        <v>67</v>
      </c>
      <c r="J18" t="s">
        <v>87</v>
      </c>
    </row>
    <row r="19" spans="9:10" x14ac:dyDescent="0.15">
      <c r="I19" t="s">
        <v>42</v>
      </c>
      <c r="J19" t="s">
        <v>88</v>
      </c>
    </row>
    <row r="20" spans="9:10" x14ac:dyDescent="0.15">
      <c r="I20" t="s">
        <v>47</v>
      </c>
      <c r="J20" t="s">
        <v>89</v>
      </c>
    </row>
    <row r="21" spans="9:10" x14ac:dyDescent="0.15">
      <c r="I21" t="s">
        <v>57</v>
      </c>
      <c r="J21" t="s">
        <v>90</v>
      </c>
    </row>
    <row r="22" spans="9:10" x14ac:dyDescent="0.15">
      <c r="I22" t="s">
        <v>91</v>
      </c>
      <c r="J22" t="s">
        <v>92</v>
      </c>
    </row>
    <row r="23" spans="9:10" x14ac:dyDescent="0.15">
      <c r="I23" t="s">
        <v>93</v>
      </c>
      <c r="J23" t="s">
        <v>94</v>
      </c>
    </row>
    <row r="24" spans="9:10" x14ac:dyDescent="0.15">
      <c r="I24" t="s">
        <v>95</v>
      </c>
      <c r="J24" t="s">
        <v>96</v>
      </c>
    </row>
    <row r="25" spans="9:10" x14ac:dyDescent="0.15">
      <c r="I25" t="s">
        <v>97</v>
      </c>
      <c r="J25" t="s">
        <v>98</v>
      </c>
    </row>
    <row r="26" spans="9:10" x14ac:dyDescent="0.15">
      <c r="I26" t="s">
        <v>99</v>
      </c>
      <c r="J26" t="s">
        <v>100</v>
      </c>
    </row>
    <row r="27" spans="9:10" x14ac:dyDescent="0.15">
      <c r="I27" t="s">
        <v>101</v>
      </c>
      <c r="J27" t="s">
        <v>102</v>
      </c>
    </row>
    <row r="28" spans="9:10" x14ac:dyDescent="0.15">
      <c r="I28" t="s">
        <v>103</v>
      </c>
      <c r="J28" t="s">
        <v>104</v>
      </c>
    </row>
    <row r="29" spans="9:10" x14ac:dyDescent="0.15">
      <c r="I29" t="s">
        <v>105</v>
      </c>
      <c r="J29" t="s">
        <v>106</v>
      </c>
    </row>
    <row r="30" spans="9:10" x14ac:dyDescent="0.15">
      <c r="I30" t="s">
        <v>107</v>
      </c>
      <c r="J30" t="s">
        <v>108</v>
      </c>
    </row>
    <row r="31" spans="9:10" x14ac:dyDescent="0.15">
      <c r="I31" t="s">
        <v>109</v>
      </c>
      <c r="J31" t="s">
        <v>110</v>
      </c>
    </row>
    <row r="32" spans="9:10" x14ac:dyDescent="0.15">
      <c r="I32" t="s">
        <v>111</v>
      </c>
      <c r="J32" t="s">
        <v>112</v>
      </c>
    </row>
    <row r="33" spans="9:10" x14ac:dyDescent="0.15">
      <c r="I33" t="s">
        <v>113</v>
      </c>
      <c r="J33" t="s">
        <v>114</v>
      </c>
    </row>
    <row r="34" spans="9:10" x14ac:dyDescent="0.15">
      <c r="I34" t="s">
        <v>115</v>
      </c>
      <c r="J34" t="s">
        <v>116</v>
      </c>
    </row>
    <row r="35" spans="9:10" x14ac:dyDescent="0.15">
      <c r="I35" t="s">
        <v>117</v>
      </c>
      <c r="J35" t="s">
        <v>118</v>
      </c>
    </row>
    <row r="36" spans="9:10" x14ac:dyDescent="0.15">
      <c r="I36" t="s">
        <v>119</v>
      </c>
      <c r="J36" t="s">
        <v>120</v>
      </c>
    </row>
    <row r="37" spans="9:10" x14ac:dyDescent="0.15">
      <c r="I37" t="s">
        <v>121</v>
      </c>
      <c r="J37" t="s">
        <v>122</v>
      </c>
    </row>
    <row r="38" spans="9:10" x14ac:dyDescent="0.15">
      <c r="I38" t="s">
        <v>123</v>
      </c>
      <c r="J38" t="s">
        <v>124</v>
      </c>
    </row>
    <row r="39" spans="9:10" x14ac:dyDescent="0.15">
      <c r="I39" t="s">
        <v>125</v>
      </c>
      <c r="J39" t="s">
        <v>126</v>
      </c>
    </row>
    <row r="40" spans="9:10" x14ac:dyDescent="0.15">
      <c r="I40" t="s">
        <v>40</v>
      </c>
      <c r="J40" t="s">
        <v>127</v>
      </c>
    </row>
    <row r="41" spans="9:10" x14ac:dyDescent="0.15">
      <c r="I41" t="s">
        <v>128</v>
      </c>
      <c r="J41" t="s">
        <v>129</v>
      </c>
    </row>
    <row r="42" spans="9:10" x14ac:dyDescent="0.15">
      <c r="I42" t="s">
        <v>130</v>
      </c>
      <c r="J42" t="s">
        <v>131</v>
      </c>
    </row>
    <row r="43" spans="9:10" x14ac:dyDescent="0.15">
      <c r="I43" t="s">
        <v>132</v>
      </c>
      <c r="J43" t="s">
        <v>133</v>
      </c>
    </row>
    <row r="44" spans="9:10" x14ac:dyDescent="0.15">
      <c r="I44" t="s">
        <v>134</v>
      </c>
      <c r="J44" t="s">
        <v>135</v>
      </c>
    </row>
    <row r="45" spans="9:10" x14ac:dyDescent="0.15">
      <c r="I45" t="s">
        <v>136</v>
      </c>
      <c r="J45" t="s">
        <v>137</v>
      </c>
    </row>
    <row r="46" spans="9:10" x14ac:dyDescent="0.15">
      <c r="I46" t="s">
        <v>138</v>
      </c>
      <c r="J46" t="s">
        <v>139</v>
      </c>
    </row>
    <row r="47" spans="9:10" x14ac:dyDescent="0.15">
      <c r="I47" t="s">
        <v>140</v>
      </c>
      <c r="J47" t="s">
        <v>141</v>
      </c>
    </row>
    <row r="48" spans="9:10" x14ac:dyDescent="0.15">
      <c r="I48" t="s">
        <v>142</v>
      </c>
      <c r="J48" t="s">
        <v>143</v>
      </c>
    </row>
    <row r="49" spans="9:10" x14ac:dyDescent="0.15">
      <c r="I49" t="s">
        <v>144</v>
      </c>
      <c r="J49" t="s">
        <v>145</v>
      </c>
    </row>
    <row r="50" spans="9:10" x14ac:dyDescent="0.15">
      <c r="I50" t="s">
        <v>146</v>
      </c>
      <c r="J50" t="s">
        <v>147</v>
      </c>
    </row>
    <row r="51" spans="9:10" x14ac:dyDescent="0.15">
      <c r="I51" t="s">
        <v>393</v>
      </c>
      <c r="J51" t="s">
        <v>389</v>
      </c>
    </row>
    <row r="52" spans="9:10" x14ac:dyDescent="0.15">
      <c r="I52" t="s">
        <v>394</v>
      </c>
      <c r="J52" t="s">
        <v>390</v>
      </c>
    </row>
    <row r="53" spans="9:10" x14ac:dyDescent="0.15">
      <c r="I53" t="s">
        <v>371</v>
      </c>
      <c r="J53" t="s">
        <v>391</v>
      </c>
    </row>
    <row r="54" spans="9:10" x14ac:dyDescent="0.15">
      <c r="I54" t="s">
        <v>395</v>
      </c>
      <c r="J54" t="s">
        <v>392</v>
      </c>
    </row>
  </sheetData>
  <phoneticPr fontId="2" type="noConversion"/>
  <conditionalFormatting sqref="B2">
    <cfRule type="expression" dxfId="167" priority="1">
      <formula>ISNA(MATCH(B2,OFFSET(M:M,2,MATCH(B1,M1:ZZ1,0)-1,COUNTA(INDEX(M:ZZ,,MATCH(B1,M1:ZZ1,0)))-2),0))</formula>
    </cfRule>
  </conditionalFormatting>
  <conditionalFormatting sqref="B4 D4 B5 D5 B6 D6 B7 D7 B8 D8 B9 D9 B10 D10">
    <cfRule type="expression" dxfId="166" priority="2">
      <formula>ISNA(MATCH(B4,filter_cols,0))</formula>
    </cfRule>
  </conditionalFormatting>
  <dataValidations count="3">
    <dataValidation type="list" allowBlank="1" showInputMessage="1" showErrorMessage="1" sqref="B1">
      <formula1>OFFSET(1:1,0,COLUMN(M1)-1,1,COUNTA(M1:ZZ1))</formula1>
    </dataValidation>
    <dataValidation type="list" allowBlank="1" showInputMessage="1" showErrorMessage="1" sqref="B2">
      <formula1>OFFSET(M:M,2,MATCH(B1,M1:ZZ1,0)-1,COUNTA(INDEX(M:ZZ,,MATCH(B1,M1:ZZ1,0)))-2)</formula1>
    </dataValidation>
    <dataValidation type="list" allowBlank="1" showInputMessage="1" showErrorMessage="1" sqref="B4:B10 D4:D10">
      <formula1>Graphs!filter_cols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X30"/>
  <sheetViews>
    <sheetView zoomScaleNormal="10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O22" sqref="O22"/>
    </sheetView>
  </sheetViews>
  <sheetFormatPr defaultColWidth="9.125" defaultRowHeight="13.5" x14ac:dyDescent="0.15"/>
  <cols>
    <col min="2" max="2" width="24.75" customWidth="1"/>
    <col min="3" max="4" width="10.75" customWidth="1"/>
    <col min="7" max="7" width="1.75" customWidth="1"/>
    <col min="9" max="9" width="10.75" customWidth="1"/>
    <col min="10" max="11" width="12.75" customWidth="1"/>
    <col min="14" max="14" width="1.75" customWidth="1"/>
    <col min="16" max="16" width="10.75" customWidth="1"/>
    <col min="17" max="18" width="12.75" customWidth="1"/>
    <col min="21" max="21" width="1.75" customWidth="1"/>
    <col min="23" max="23" width="1.75" customWidth="1"/>
  </cols>
  <sheetData>
    <row r="1" spans="1:24" x14ac:dyDescent="0.15">
      <c r="A1" s="125" t="s">
        <v>148</v>
      </c>
      <c r="B1" s="113"/>
      <c r="C1" s="113"/>
      <c r="D1" s="113"/>
      <c r="E1" s="113"/>
      <c r="F1" s="113"/>
      <c r="H1" s="121" t="str">
        <f>Summary!C1</f>
        <v>F300_v8.0</v>
      </c>
      <c r="I1" s="113"/>
      <c r="J1" s="113"/>
      <c r="K1" s="113"/>
      <c r="L1" s="113"/>
      <c r="M1" s="113"/>
      <c r="O1" s="122">
        <f>Summary!C2</f>
        <v>0</v>
      </c>
      <c r="P1" s="113"/>
      <c r="Q1" s="113"/>
      <c r="R1" s="113"/>
      <c r="S1" s="113"/>
      <c r="T1" s="113"/>
    </row>
    <row r="2" spans="1:24" ht="30" customHeight="1" thickBot="1" x14ac:dyDescent="0.2">
      <c r="A2" s="124" t="s">
        <v>149</v>
      </c>
      <c r="B2" s="123" t="s">
        <v>150</v>
      </c>
      <c r="C2" s="124" t="s">
        <v>151</v>
      </c>
      <c r="D2" s="123" t="s">
        <v>152</v>
      </c>
      <c r="E2" s="124" t="s">
        <v>153</v>
      </c>
      <c r="F2" s="123" t="s">
        <v>154</v>
      </c>
      <c r="H2" s="124" t="s">
        <v>127</v>
      </c>
      <c r="I2" s="123" t="s">
        <v>131</v>
      </c>
      <c r="J2" s="124" t="s">
        <v>120</v>
      </c>
      <c r="K2" s="87" t="s">
        <v>155</v>
      </c>
      <c r="L2" s="123" t="s">
        <v>122</v>
      </c>
      <c r="M2" s="124" t="s">
        <v>102</v>
      </c>
      <c r="O2" s="123" t="s">
        <v>127</v>
      </c>
      <c r="P2" s="124" t="s">
        <v>131</v>
      </c>
      <c r="Q2" s="123" t="s">
        <v>120</v>
      </c>
      <c r="R2" s="87" t="s">
        <v>155</v>
      </c>
      <c r="S2" s="124" t="s">
        <v>122</v>
      </c>
      <c r="T2" s="123" t="s">
        <v>102</v>
      </c>
      <c r="V2" s="124" t="s">
        <v>156</v>
      </c>
      <c r="X2" s="124" t="s">
        <v>157</v>
      </c>
    </row>
    <row r="3" spans="1:24" ht="15.75" customHeight="1" thickBot="1" x14ac:dyDescent="0.2">
      <c r="A3" s="115"/>
      <c r="B3" s="115"/>
      <c r="C3" s="115"/>
      <c r="D3" s="115"/>
      <c r="E3" s="115"/>
      <c r="F3" s="115"/>
      <c r="H3" s="115"/>
      <c r="I3" s="115"/>
      <c r="J3" s="115"/>
      <c r="K3" s="13" t="s">
        <v>424</v>
      </c>
      <c r="L3" s="115"/>
      <c r="M3" s="115"/>
      <c r="O3" s="115"/>
      <c r="P3" s="115"/>
      <c r="Q3" s="115"/>
      <c r="R3" s="13" t="s">
        <v>424</v>
      </c>
      <c r="S3" s="115"/>
      <c r="T3" s="115"/>
      <c r="V3" s="115"/>
      <c r="X3" s="115"/>
    </row>
    <row r="4" spans="1:24" ht="48.75" hidden="1" customHeight="1" thickBot="1" x14ac:dyDescent="0.2">
      <c r="A4" s="15" t="s">
        <v>158</v>
      </c>
      <c r="B4" s="16" t="s">
        <v>159</v>
      </c>
      <c r="C4" s="15" t="s">
        <v>160</v>
      </c>
      <c r="D4" s="16" t="s">
        <v>161</v>
      </c>
      <c r="E4" s="15" t="s">
        <v>162</v>
      </c>
      <c r="F4" s="16" t="s">
        <v>163</v>
      </c>
      <c r="H4" s="15" t="s">
        <v>164</v>
      </c>
      <c r="I4" s="16" t="s">
        <v>165</v>
      </c>
      <c r="J4" s="15" t="s">
        <v>166</v>
      </c>
      <c r="K4" s="15"/>
      <c r="L4" s="16" t="s">
        <v>167</v>
      </c>
      <c r="M4" s="15" t="s">
        <v>168</v>
      </c>
      <c r="O4" s="16" t="s">
        <v>169</v>
      </c>
      <c r="P4" s="15" t="s">
        <v>170</v>
      </c>
      <c r="Q4" s="16" t="s">
        <v>171</v>
      </c>
      <c r="R4" s="16"/>
      <c r="S4" s="15" t="s">
        <v>172</v>
      </c>
      <c r="T4" s="16" t="s">
        <v>173</v>
      </c>
      <c r="V4" s="15" t="s">
        <v>174</v>
      </c>
    </row>
    <row r="5" spans="1:24" collapsed="1" x14ac:dyDescent="0.15">
      <c r="A5" s="17" t="s">
        <v>175</v>
      </c>
      <c r="B5" s="17" t="s">
        <v>38</v>
      </c>
      <c r="C5" s="17">
        <v>11997440</v>
      </c>
      <c r="D5" s="18">
        <v>10</v>
      </c>
      <c r="E5" s="19">
        <v>32</v>
      </c>
      <c r="F5" s="19">
        <v>30</v>
      </c>
      <c r="H5" s="20">
        <f t="shared" ref="H5:H13" si="0">IF(OR(ISBLANK(J5),ISBLANK(F5)),"·",J5*F5/E5/1000000)</f>
        <v>8111.8437000000004</v>
      </c>
      <c r="I5" s="21">
        <f t="shared" ref="I5:I13" si="1">IF(ISBLANK(J5),"·",J5/C5)</f>
        <v>721.20663074789286</v>
      </c>
      <c r="J5" s="22">
        <v>8652633280</v>
      </c>
      <c r="K5" s="22">
        <v>129680896</v>
      </c>
      <c r="L5" s="23">
        <v>16489.796954000001</v>
      </c>
      <c r="M5" s="23">
        <v>346.73504200000002</v>
      </c>
      <c r="O5" s="20" t="str">
        <f t="shared" ref="O5:O13" si="2">IF(OR(ISBLANK(Q5),ISBLANK(F5)),"·",Q5*F5/E5/1000000)</f>
        <v>·</v>
      </c>
      <c r="P5" s="21" t="str">
        <f t="shared" ref="P5:P13" si="3">IF(ISBLANK(Q5),"·",Q5/C5)</f>
        <v>·</v>
      </c>
      <c r="Q5" s="22"/>
      <c r="R5" s="22"/>
      <c r="S5" s="23"/>
      <c r="T5" s="23"/>
      <c r="V5" s="24" t="e">
        <f t="shared" ref="V5:V18" si="4">P5/I5</f>
        <v>#VALUE!</v>
      </c>
      <c r="X5" s="24" t="str">
        <f t="shared" ref="X5:X13" si="5">IF(OR(ISBLANK(R5),ISBLANK(K5)),".",R5/K5-1)</f>
        <v>.</v>
      </c>
    </row>
    <row r="6" spans="1:24" ht="15.75" customHeight="1" collapsed="1" thickBot="1" x14ac:dyDescent="0.2">
      <c r="A6" s="25"/>
      <c r="B6" s="25" t="s">
        <v>46</v>
      </c>
      <c r="C6" s="25">
        <v>9000000</v>
      </c>
      <c r="D6" s="26">
        <v>10</v>
      </c>
      <c r="E6" s="27">
        <v>32</v>
      </c>
      <c r="F6" s="27">
        <v>30</v>
      </c>
      <c r="H6" s="28">
        <f t="shared" si="0"/>
        <v>5872.8053774999998</v>
      </c>
      <c r="I6" s="29">
        <f t="shared" si="1"/>
        <v>696.03619288888888</v>
      </c>
      <c r="J6" s="30">
        <v>6264325736</v>
      </c>
      <c r="K6" s="30">
        <v>136915784</v>
      </c>
      <c r="L6" s="31">
        <v>14497.392132999999</v>
      </c>
      <c r="M6" s="31">
        <v>285.98351500000001</v>
      </c>
      <c r="O6" s="28" t="str">
        <f t="shared" si="2"/>
        <v>·</v>
      </c>
      <c r="P6" s="29" t="str">
        <f t="shared" si="3"/>
        <v>·</v>
      </c>
      <c r="Q6" s="30"/>
      <c r="R6" s="30"/>
      <c r="S6" s="31"/>
      <c r="T6" s="31"/>
      <c r="V6" s="32" t="e">
        <f t="shared" si="4"/>
        <v>#VALUE!</v>
      </c>
      <c r="X6" s="32" t="str">
        <f t="shared" si="5"/>
        <v>.</v>
      </c>
    </row>
    <row r="7" spans="1:24" collapsed="1" x14ac:dyDescent="0.15">
      <c r="A7" s="17" t="s">
        <v>176</v>
      </c>
      <c r="B7" s="17" t="s">
        <v>51</v>
      </c>
      <c r="C7" s="17">
        <v>11842002</v>
      </c>
      <c r="D7" s="18">
        <v>12</v>
      </c>
      <c r="E7" s="19">
        <v>32</v>
      </c>
      <c r="F7" s="19">
        <v>30</v>
      </c>
      <c r="H7" s="20">
        <f t="shared" si="0"/>
        <v>5673.5398274999998</v>
      </c>
      <c r="I7" s="21">
        <f t="shared" si="1"/>
        <v>511.04330298204644</v>
      </c>
      <c r="J7" s="22">
        <v>6051775816</v>
      </c>
      <c r="K7" s="22">
        <v>153544096</v>
      </c>
      <c r="L7" s="23">
        <v>13467.719944</v>
      </c>
      <c r="M7" s="23">
        <v>261.09099099999997</v>
      </c>
      <c r="O7" s="20" t="str">
        <f t="shared" si="2"/>
        <v>·</v>
      </c>
      <c r="P7" s="21" t="str">
        <f t="shared" si="3"/>
        <v>·</v>
      </c>
      <c r="Q7" s="22"/>
      <c r="R7" s="22"/>
      <c r="S7" s="23"/>
      <c r="T7" s="23"/>
      <c r="V7" s="24" t="e">
        <f t="shared" si="4"/>
        <v>#VALUE!</v>
      </c>
      <c r="X7" s="24" t="str">
        <f t="shared" si="5"/>
        <v>.</v>
      </c>
    </row>
    <row r="8" spans="1:24" ht="15.75" customHeight="1" collapsed="1" thickBot="1" x14ac:dyDescent="0.2">
      <c r="A8" s="25"/>
      <c r="B8" s="25" t="s">
        <v>56</v>
      </c>
      <c r="C8" s="25">
        <v>11812090</v>
      </c>
      <c r="D8" s="26">
        <v>12</v>
      </c>
      <c r="E8" s="27">
        <v>32</v>
      </c>
      <c r="F8" s="27">
        <v>50</v>
      </c>
      <c r="H8" s="28">
        <f t="shared" si="0"/>
        <v>9316.4351124999994</v>
      </c>
      <c r="I8" s="29">
        <f t="shared" si="1"/>
        <v>504.78098896977588</v>
      </c>
      <c r="J8" s="30">
        <v>5962518472</v>
      </c>
      <c r="K8" s="30">
        <v>150564568</v>
      </c>
      <c r="L8" s="31">
        <v>13083.167237</v>
      </c>
      <c r="M8" s="31">
        <v>262.14745399999998</v>
      </c>
      <c r="O8" s="28" t="str">
        <f t="shared" si="2"/>
        <v>·</v>
      </c>
      <c r="P8" s="29" t="str">
        <f t="shared" si="3"/>
        <v>·</v>
      </c>
      <c r="Q8" s="30"/>
      <c r="R8" s="30"/>
      <c r="S8" s="31"/>
      <c r="T8" s="31"/>
      <c r="V8" s="32" t="e">
        <f t="shared" si="4"/>
        <v>#VALUE!</v>
      </c>
      <c r="X8" s="32" t="str">
        <f t="shared" si="5"/>
        <v>.</v>
      </c>
    </row>
    <row r="9" spans="1:24" collapsed="1" x14ac:dyDescent="0.15">
      <c r="A9" s="17" t="s">
        <v>177</v>
      </c>
      <c r="B9" s="17" t="s">
        <v>61</v>
      </c>
      <c r="C9" s="17">
        <v>12000000</v>
      </c>
      <c r="D9" s="18">
        <v>12</v>
      </c>
      <c r="E9" s="19">
        <v>32</v>
      </c>
      <c r="F9" s="19">
        <v>30</v>
      </c>
      <c r="H9" s="20">
        <f t="shared" si="0"/>
        <v>27305.984789999999</v>
      </c>
      <c r="I9" s="21">
        <f t="shared" si="1"/>
        <v>2427.198648</v>
      </c>
      <c r="J9" s="22">
        <v>29126383776</v>
      </c>
      <c r="K9" s="22">
        <v>166448304</v>
      </c>
      <c r="L9" s="23">
        <v>54481.725289000002</v>
      </c>
      <c r="M9" s="23">
        <v>989.547057</v>
      </c>
      <c r="O9" s="20" t="str">
        <f t="shared" si="2"/>
        <v>·</v>
      </c>
      <c r="P9" s="21" t="str">
        <f t="shared" si="3"/>
        <v>·</v>
      </c>
      <c r="Q9" s="22"/>
      <c r="R9" s="22"/>
      <c r="S9" s="23"/>
      <c r="T9" s="23"/>
      <c r="V9" s="24" t="e">
        <f t="shared" si="4"/>
        <v>#VALUE!</v>
      </c>
      <c r="X9" s="24" t="str">
        <f t="shared" si="5"/>
        <v>.</v>
      </c>
    </row>
    <row r="10" spans="1:24" collapsed="1" x14ac:dyDescent="0.15">
      <c r="A10" s="33"/>
      <c r="B10" s="33" t="s">
        <v>66</v>
      </c>
      <c r="C10" s="33">
        <v>5997654</v>
      </c>
      <c r="D10" s="34">
        <v>12</v>
      </c>
      <c r="E10" s="35">
        <v>32</v>
      </c>
      <c r="F10" s="35">
        <v>30</v>
      </c>
      <c r="H10" s="36">
        <f t="shared" si="0"/>
        <v>11527.23603</v>
      </c>
      <c r="I10" s="37">
        <f t="shared" si="1"/>
        <v>2050.0879897373206</v>
      </c>
      <c r="J10" s="38">
        <v>12295718432</v>
      </c>
      <c r="K10" s="38">
        <v>124972960</v>
      </c>
      <c r="L10" s="39">
        <v>30721.281417999999</v>
      </c>
      <c r="M10" s="39">
        <v>538.30949099999998</v>
      </c>
      <c r="O10" s="36" t="str">
        <f t="shared" si="2"/>
        <v>·</v>
      </c>
      <c r="P10" s="37" t="str">
        <f t="shared" si="3"/>
        <v>·</v>
      </c>
      <c r="Q10" s="38"/>
      <c r="R10" s="38"/>
      <c r="S10" s="39"/>
      <c r="T10" s="39"/>
      <c r="V10" s="40" t="e">
        <f t="shared" si="4"/>
        <v>#VALUE!</v>
      </c>
      <c r="X10" s="40" t="str">
        <f t="shared" si="5"/>
        <v>.</v>
      </c>
    </row>
    <row r="11" spans="1:24" collapsed="1" x14ac:dyDescent="0.15">
      <c r="A11" s="17"/>
      <c r="B11" s="17" t="s">
        <v>32</v>
      </c>
      <c r="C11" s="17">
        <v>9000000</v>
      </c>
      <c r="D11" s="18">
        <v>12</v>
      </c>
      <c r="E11" s="19">
        <v>32</v>
      </c>
      <c r="F11" s="19">
        <v>30</v>
      </c>
      <c r="H11" s="20">
        <f t="shared" si="0"/>
        <v>34038.735217499998</v>
      </c>
      <c r="I11" s="21">
        <f t="shared" si="1"/>
        <v>4034.220470222222</v>
      </c>
      <c r="J11" s="22">
        <v>36307984232</v>
      </c>
      <c r="K11" s="22">
        <v>142308008</v>
      </c>
      <c r="L11" s="23">
        <v>51486.091531999999</v>
      </c>
      <c r="M11" s="23">
        <v>1062.6947130000001</v>
      </c>
      <c r="O11" s="20" t="str">
        <f t="shared" si="2"/>
        <v>·</v>
      </c>
      <c r="P11" s="21" t="str">
        <f t="shared" si="3"/>
        <v>·</v>
      </c>
      <c r="Q11" s="22"/>
      <c r="R11" s="22"/>
      <c r="S11" s="23"/>
      <c r="T11" s="23"/>
      <c r="V11" s="24" t="e">
        <f t="shared" si="4"/>
        <v>#VALUE!</v>
      </c>
      <c r="X11" s="24" t="str">
        <f t="shared" si="5"/>
        <v>.</v>
      </c>
    </row>
    <row r="12" spans="1:24" ht="15.75" customHeight="1" collapsed="1" thickBot="1" x14ac:dyDescent="0.2">
      <c r="A12" s="25"/>
      <c r="B12" s="25" t="s">
        <v>75</v>
      </c>
      <c r="C12" s="25">
        <v>9000000</v>
      </c>
      <c r="D12" s="26">
        <v>12</v>
      </c>
      <c r="E12" s="27">
        <v>32</v>
      </c>
      <c r="F12" s="27">
        <v>30</v>
      </c>
      <c r="H12" s="28">
        <f t="shared" si="0"/>
        <v>25757.899657499998</v>
      </c>
      <c r="I12" s="29">
        <f t="shared" si="1"/>
        <v>3052.7881075555556</v>
      </c>
      <c r="J12" s="30">
        <v>27475092968</v>
      </c>
      <c r="K12" s="30">
        <v>133692712</v>
      </c>
      <c r="L12" s="31">
        <v>48666.705768</v>
      </c>
      <c r="M12" s="31">
        <v>935.78104299999995</v>
      </c>
      <c r="O12" s="28" t="str">
        <f t="shared" si="2"/>
        <v>·</v>
      </c>
      <c r="P12" s="29" t="str">
        <f t="shared" si="3"/>
        <v>·</v>
      </c>
      <c r="Q12" s="30"/>
      <c r="R12" s="30"/>
      <c r="S12" s="31"/>
      <c r="T12" s="31"/>
      <c r="V12" s="32" t="e">
        <f t="shared" si="4"/>
        <v>#VALUE!</v>
      </c>
      <c r="X12" s="32" t="str">
        <f t="shared" si="5"/>
        <v>.</v>
      </c>
    </row>
    <row r="13" spans="1:24" ht="15.75" customHeight="1" thickBot="1" x14ac:dyDescent="0.2">
      <c r="A13" s="105" t="s">
        <v>427</v>
      </c>
      <c r="B13" s="105" t="s">
        <v>428</v>
      </c>
      <c r="C13" s="105">
        <v>199984</v>
      </c>
      <c r="D13" s="106">
        <v>10</v>
      </c>
      <c r="E13" s="107">
        <v>1</v>
      </c>
      <c r="F13" s="107">
        <v>30</v>
      </c>
      <c r="H13" s="108">
        <f t="shared" si="0"/>
        <v>946.59551999999996</v>
      </c>
      <c r="I13" s="109">
        <f t="shared" si="1"/>
        <v>157.77854228338268</v>
      </c>
      <c r="J13" s="110">
        <v>31553184</v>
      </c>
      <c r="K13" s="110">
        <v>2166640</v>
      </c>
      <c r="L13" s="111">
        <v>55.217621999999999</v>
      </c>
      <c r="M13" s="111">
        <v>1.2613129999999999</v>
      </c>
      <c r="O13" s="108" t="str">
        <f t="shared" si="2"/>
        <v>·</v>
      </c>
      <c r="P13" s="29" t="str">
        <f t="shared" si="3"/>
        <v>·</v>
      </c>
      <c r="Q13" s="110"/>
      <c r="R13" s="110"/>
      <c r="S13" s="111"/>
      <c r="T13" s="111"/>
      <c r="V13" s="32" t="e">
        <f t="shared" si="4"/>
        <v>#VALUE!</v>
      </c>
      <c r="X13" s="32" t="str">
        <f t="shared" si="5"/>
        <v>.</v>
      </c>
    </row>
    <row r="14" spans="1:24" x14ac:dyDescent="0.15">
      <c r="B14" s="41" t="s">
        <v>7</v>
      </c>
      <c r="I14" s="42">
        <f>AVERAGE(I5:I6)</f>
        <v>708.62141181839092</v>
      </c>
      <c r="P14" s="42" t="e">
        <f>AVERAGE(P5:P6)</f>
        <v>#DIV/0!</v>
      </c>
      <c r="V14" s="5" t="e">
        <f t="shared" si="4"/>
        <v>#DIV/0!</v>
      </c>
      <c r="X14" s="42" t="e">
        <f>AVERAGE(X5:X6)</f>
        <v>#DIV/0!</v>
      </c>
    </row>
    <row r="15" spans="1:24" x14ac:dyDescent="0.15">
      <c r="B15" s="41" t="s">
        <v>8</v>
      </c>
      <c r="I15" s="42">
        <f>AVERAGE(I7:I8)</f>
        <v>507.91214597591113</v>
      </c>
      <c r="P15" s="42" t="e">
        <f>AVERAGE(P7:P8)</f>
        <v>#DIV/0!</v>
      </c>
      <c r="V15" s="5" t="e">
        <f t="shared" si="4"/>
        <v>#DIV/0!</v>
      </c>
      <c r="X15" s="42" t="e">
        <f>AVERAGE(X7:X8)</f>
        <v>#DIV/0!</v>
      </c>
    </row>
    <row r="16" spans="1:24" x14ac:dyDescent="0.15">
      <c r="B16" s="41" t="s">
        <v>9</v>
      </c>
      <c r="I16" s="42">
        <f>AVERAGE(I9:I12)</f>
        <v>2891.0738038787749</v>
      </c>
      <c r="P16" s="42" t="e">
        <f>AVERAGE(P9:P12)</f>
        <v>#DIV/0!</v>
      </c>
      <c r="V16" s="5" t="e">
        <f t="shared" si="4"/>
        <v>#DIV/0!</v>
      </c>
      <c r="X16" s="42" t="e">
        <f>AVERAGE(X9:X12)</f>
        <v>#DIV/0!</v>
      </c>
    </row>
    <row r="17" spans="1:24" x14ac:dyDescent="0.15">
      <c r="B17" s="41" t="s">
        <v>429</v>
      </c>
      <c r="I17" s="42">
        <f>AVERAGE(I13)</f>
        <v>157.77854228338268</v>
      </c>
      <c r="P17" s="42" t="e">
        <f>AVERAGE(P13)</f>
        <v>#DIV/0!</v>
      </c>
      <c r="V17" s="5" t="e">
        <f>P17/I17</f>
        <v>#DIV/0!</v>
      </c>
      <c r="X17" s="42" t="e">
        <f>AVERAGE(X10:X13)</f>
        <v>#DIV/0!</v>
      </c>
    </row>
    <row r="18" spans="1:24" x14ac:dyDescent="0.15">
      <c r="B18" s="41" t="s">
        <v>10</v>
      </c>
      <c r="I18" s="42">
        <f>AVERAGE(I5:I13)</f>
        <v>1572.7934303763427</v>
      </c>
      <c r="P18" s="42" t="e">
        <f>AVERAGE(P5:P13)</f>
        <v>#DIV/0!</v>
      </c>
      <c r="V18" s="5" t="e">
        <f t="shared" si="4"/>
        <v>#DIV/0!</v>
      </c>
      <c r="X18" s="42" t="e">
        <f>AVERAGE(X5:X12)</f>
        <v>#DIV/0!</v>
      </c>
    </row>
    <row r="19" spans="1:24" x14ac:dyDescent="0.15">
      <c r="A19" s="41" t="s">
        <v>178</v>
      </c>
      <c r="B19" s="41" t="s">
        <v>179</v>
      </c>
      <c r="L19" s="43">
        <f>SUM(L5:L6,L7:L8,L9:L12)</f>
        <v>242893.880275</v>
      </c>
      <c r="M19" s="43">
        <f>SUM(M5:M6,M7:M8,M9:M12)</f>
        <v>4682.2893059999997</v>
      </c>
      <c r="S19" s="43">
        <f>SUM(S5:S6,S7:S8,S9:S12)</f>
        <v>0</v>
      </c>
      <c r="T19" s="43">
        <f>SUM(T5:T6,T7:T8,T9:T12)</f>
        <v>0</v>
      </c>
    </row>
    <row r="20" spans="1:24" x14ac:dyDescent="0.15">
      <c r="B20" s="41" t="s">
        <v>180</v>
      </c>
      <c r="S20" s="8">
        <f>S19/L19</f>
        <v>0</v>
      </c>
      <c r="T20" s="8">
        <f>T19/M19</f>
        <v>0</v>
      </c>
    </row>
    <row r="22" spans="1:24" x14ac:dyDescent="0.15">
      <c r="Q22" s="98">
        <f>Q5-J5</f>
        <v>-8652633280</v>
      </c>
      <c r="R22" s="98">
        <f>R5-K5</f>
        <v>-129680896</v>
      </c>
    </row>
    <row r="23" spans="1:24" x14ac:dyDescent="0.15">
      <c r="Q23" s="98">
        <f t="shared" ref="Q23:R23" si="6">Q6-J6</f>
        <v>-6264325736</v>
      </c>
      <c r="R23" s="98">
        <f t="shared" si="6"/>
        <v>-136915784</v>
      </c>
    </row>
    <row r="24" spans="1:24" x14ac:dyDescent="0.15">
      <c r="Q24" s="98">
        <f t="shared" ref="Q24:R24" si="7">Q7-J7</f>
        <v>-6051775816</v>
      </c>
      <c r="R24" s="98">
        <f t="shared" si="7"/>
        <v>-153544096</v>
      </c>
    </row>
    <row r="25" spans="1:24" x14ac:dyDescent="0.15">
      <c r="Q25" s="98">
        <f t="shared" ref="Q25:R25" si="8">Q8-J8</f>
        <v>-5962518472</v>
      </c>
      <c r="R25" s="98">
        <f t="shared" si="8"/>
        <v>-150564568</v>
      </c>
    </row>
    <row r="26" spans="1:24" x14ac:dyDescent="0.15">
      <c r="Q26" s="98">
        <f t="shared" ref="Q26:R26" si="9">Q9-J9</f>
        <v>-29126383776</v>
      </c>
      <c r="R26" s="98">
        <f t="shared" si="9"/>
        <v>-166448304</v>
      </c>
    </row>
    <row r="27" spans="1:24" x14ac:dyDescent="0.15">
      <c r="Q27" s="98">
        <f t="shared" ref="Q27:R27" si="10">Q10-J10</f>
        <v>-12295718432</v>
      </c>
      <c r="R27" s="98">
        <f t="shared" si="10"/>
        <v>-124972960</v>
      </c>
    </row>
    <row r="28" spans="1:24" x14ac:dyDescent="0.15">
      <c r="Q28" s="98">
        <f t="shared" ref="Q28:R28" si="11">Q11-J11</f>
        <v>-36307984232</v>
      </c>
      <c r="R28" s="98">
        <f t="shared" si="11"/>
        <v>-142308008</v>
      </c>
    </row>
    <row r="29" spans="1:24" x14ac:dyDescent="0.15">
      <c r="Q29" s="98">
        <f t="shared" ref="Q29:R29" si="12">Q12-J12</f>
        <v>-27475092968</v>
      </c>
      <c r="R29" s="98">
        <f t="shared" si="12"/>
        <v>-133692712</v>
      </c>
    </row>
    <row r="30" spans="1:24" x14ac:dyDescent="0.15">
      <c r="Q30" s="98"/>
      <c r="R30" s="98"/>
    </row>
  </sheetData>
  <mergeCells count="21">
    <mergeCell ref="A1:F1"/>
    <mergeCell ref="H1:M1"/>
    <mergeCell ref="O1:T1"/>
    <mergeCell ref="M2:M3"/>
    <mergeCell ref="O2:O3"/>
    <mergeCell ref="P2:P3"/>
    <mergeCell ref="Q2:Q3"/>
    <mergeCell ref="S2:S3"/>
    <mergeCell ref="F2:F3"/>
    <mergeCell ref="H2:H3"/>
    <mergeCell ref="I2:I3"/>
    <mergeCell ref="J2:J3"/>
    <mergeCell ref="L2:L3"/>
    <mergeCell ref="A2:A3"/>
    <mergeCell ref="B2:B3"/>
    <mergeCell ref="C2:C3"/>
    <mergeCell ref="D2:D3"/>
    <mergeCell ref="E2:E3"/>
    <mergeCell ref="T2:T3"/>
    <mergeCell ref="X2:X3"/>
    <mergeCell ref="V2:V3"/>
  </mergeCells>
  <phoneticPr fontId="2" type="noConversion"/>
  <conditionalFormatting sqref="V5:V18">
    <cfRule type="cellIs" dxfId="165" priority="5" operator="greaterThanOrEqual">
      <formula>1.03</formula>
    </cfRule>
    <cfRule type="cellIs" dxfId="164" priority="6" operator="lessThanOrEqual">
      <formula>0.97</formula>
    </cfRule>
  </conditionalFormatting>
  <conditionalFormatting sqref="X5:X13">
    <cfRule type="cellIs" dxfId="163" priority="3" operator="greaterThanOrEqual">
      <formula>0.1%</formula>
    </cfRule>
    <cfRule type="cellIs" dxfId="162" priority="4" operator="lessThanOrEqual">
      <formula>-0.001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158"/>
  <sheetViews>
    <sheetView topLeftCell="A130" workbookViewId="0">
      <selection activeCell="A155" sqref="A155"/>
    </sheetView>
  </sheetViews>
  <sheetFormatPr defaultColWidth="9.125" defaultRowHeight="13.5" x14ac:dyDescent="0.15"/>
  <cols>
    <col min="1" max="1" width="41.75" bestFit="1" customWidth="1"/>
  </cols>
  <sheetData>
    <row r="1" spans="1:2" x14ac:dyDescent="0.15">
      <c r="A1" t="s">
        <v>181</v>
      </c>
      <c r="B1">
        <v>1</v>
      </c>
    </row>
    <row r="2" spans="1:2" x14ac:dyDescent="0.15">
      <c r="A2" t="s">
        <v>182</v>
      </c>
      <c r="B2">
        <v>2</v>
      </c>
    </row>
    <row r="3" spans="1:2" x14ac:dyDescent="0.15">
      <c r="A3" t="s">
        <v>183</v>
      </c>
      <c r="B3">
        <v>3</v>
      </c>
    </row>
    <row r="4" spans="1:2" x14ac:dyDescent="0.15">
      <c r="A4" t="s">
        <v>184</v>
      </c>
      <c r="B4">
        <v>4</v>
      </c>
    </row>
    <row r="5" spans="1:2" x14ac:dyDescent="0.15">
      <c r="A5" t="s">
        <v>185</v>
      </c>
      <c r="B5">
        <v>5</v>
      </c>
    </row>
    <row r="6" spans="1:2" x14ac:dyDescent="0.15">
      <c r="A6" t="s">
        <v>186</v>
      </c>
      <c r="B6">
        <v>6</v>
      </c>
    </row>
    <row r="7" spans="1:2" x14ac:dyDescent="0.15">
      <c r="A7" t="s">
        <v>187</v>
      </c>
      <c r="B7">
        <v>8</v>
      </c>
    </row>
    <row r="8" spans="1:2" x14ac:dyDescent="0.15">
      <c r="A8" t="s">
        <v>188</v>
      </c>
      <c r="B8">
        <v>9</v>
      </c>
    </row>
    <row r="9" spans="1:2" x14ac:dyDescent="0.15">
      <c r="A9" t="s">
        <v>189</v>
      </c>
      <c r="B9">
        <v>10</v>
      </c>
    </row>
    <row r="10" spans="1:2" x14ac:dyDescent="0.15">
      <c r="A10" t="s">
        <v>190</v>
      </c>
      <c r="B10">
        <v>11</v>
      </c>
    </row>
    <row r="11" spans="1:2" x14ac:dyDescent="0.15">
      <c r="A11" t="s">
        <v>191</v>
      </c>
      <c r="B11">
        <v>12</v>
      </c>
    </row>
    <row r="12" spans="1:2" x14ac:dyDescent="0.15">
      <c r="A12" t="s">
        <v>192</v>
      </c>
      <c r="B12">
        <v>14</v>
      </c>
    </row>
    <row r="13" spans="1:2" x14ac:dyDescent="0.15">
      <c r="A13" t="s">
        <v>193</v>
      </c>
      <c r="B13">
        <v>15</v>
      </c>
    </row>
    <row r="14" spans="1:2" x14ac:dyDescent="0.15">
      <c r="A14" t="s">
        <v>194</v>
      </c>
      <c r="B14">
        <v>16</v>
      </c>
    </row>
    <row r="15" spans="1:2" x14ac:dyDescent="0.15">
      <c r="A15" t="s">
        <v>195</v>
      </c>
      <c r="B15">
        <v>17</v>
      </c>
    </row>
    <row r="16" spans="1:2" x14ac:dyDescent="0.15">
      <c r="A16" t="s">
        <v>196</v>
      </c>
      <c r="B16">
        <v>18</v>
      </c>
    </row>
    <row r="17" spans="1:2" x14ac:dyDescent="0.15">
      <c r="A17" t="s">
        <v>197</v>
      </c>
      <c r="B17">
        <v>20</v>
      </c>
    </row>
    <row r="18" spans="1:2" x14ac:dyDescent="0.15">
      <c r="A18" t="s">
        <v>198</v>
      </c>
      <c r="B18" t="s">
        <v>199</v>
      </c>
    </row>
    <row r="19" spans="1:2" x14ac:dyDescent="0.15">
      <c r="A19" t="s">
        <v>200</v>
      </c>
      <c r="B19" t="s">
        <v>201</v>
      </c>
    </row>
    <row r="20" spans="1:2" x14ac:dyDescent="0.15">
      <c r="A20" t="s">
        <v>202</v>
      </c>
      <c r="B20" t="s">
        <v>203</v>
      </c>
    </row>
    <row r="21" spans="1:2" x14ac:dyDescent="0.15">
      <c r="A21" t="s">
        <v>204</v>
      </c>
      <c r="B21" t="s">
        <v>205</v>
      </c>
    </row>
    <row r="22" spans="1:2" x14ac:dyDescent="0.15">
      <c r="A22" t="s">
        <v>206</v>
      </c>
      <c r="B22" t="s">
        <v>207</v>
      </c>
    </row>
    <row r="23" spans="1:2" x14ac:dyDescent="0.15">
      <c r="A23" t="s">
        <v>208</v>
      </c>
      <c r="B23" t="s">
        <v>209</v>
      </c>
    </row>
    <row r="24" spans="1:2" x14ac:dyDescent="0.15">
      <c r="A24" t="s">
        <v>210</v>
      </c>
      <c r="B24" t="s">
        <v>211</v>
      </c>
    </row>
    <row r="25" spans="1:2" x14ac:dyDescent="0.15">
      <c r="A25" t="s">
        <v>212</v>
      </c>
      <c r="B25" t="s">
        <v>213</v>
      </c>
    </row>
    <row r="26" spans="1:2" x14ac:dyDescent="0.15">
      <c r="A26" t="s">
        <v>214</v>
      </c>
      <c r="B26" t="s">
        <v>215</v>
      </c>
    </row>
    <row r="27" spans="1:2" x14ac:dyDescent="0.15">
      <c r="A27" t="s">
        <v>216</v>
      </c>
      <c r="B27" t="s">
        <v>217</v>
      </c>
    </row>
    <row r="28" spans="1:2" x14ac:dyDescent="0.15">
      <c r="A28" t="s">
        <v>432</v>
      </c>
      <c r="B28" s="97" t="s">
        <v>433</v>
      </c>
    </row>
    <row r="29" spans="1:2" x14ac:dyDescent="0.15">
      <c r="A29" t="s">
        <v>218</v>
      </c>
      <c r="B29">
        <v>1</v>
      </c>
    </row>
    <row r="30" spans="1:2" x14ac:dyDescent="0.15">
      <c r="A30" t="s">
        <v>219</v>
      </c>
      <c r="B30">
        <v>2</v>
      </c>
    </row>
    <row r="31" spans="1:2" x14ac:dyDescent="0.15">
      <c r="A31" t="s">
        <v>220</v>
      </c>
      <c r="B31">
        <v>3</v>
      </c>
    </row>
    <row r="32" spans="1:2" x14ac:dyDescent="0.15">
      <c r="A32" t="s">
        <v>221</v>
      </c>
      <c r="B32">
        <v>4</v>
      </c>
    </row>
    <row r="33" spans="1:2" x14ac:dyDescent="0.15">
      <c r="A33" t="s">
        <v>222</v>
      </c>
      <c r="B33">
        <v>5</v>
      </c>
    </row>
    <row r="34" spans="1:2" x14ac:dyDescent="0.15">
      <c r="A34" t="s">
        <v>223</v>
      </c>
      <c r="B34">
        <v>6</v>
      </c>
    </row>
    <row r="35" spans="1:2" x14ac:dyDescent="0.15">
      <c r="A35" t="s">
        <v>224</v>
      </c>
      <c r="B35">
        <v>7</v>
      </c>
    </row>
    <row r="36" spans="1:2" x14ac:dyDescent="0.15">
      <c r="A36" t="s">
        <v>225</v>
      </c>
      <c r="B36">
        <v>8</v>
      </c>
    </row>
    <row r="37" spans="1:2" x14ac:dyDescent="0.15">
      <c r="A37" t="s">
        <v>226</v>
      </c>
      <c r="B37">
        <v>10</v>
      </c>
    </row>
    <row r="38" spans="1:2" x14ac:dyDescent="0.15">
      <c r="A38" t="s">
        <v>227</v>
      </c>
      <c r="B38">
        <v>11</v>
      </c>
    </row>
    <row r="39" spans="1:2" x14ac:dyDescent="0.15">
      <c r="A39" t="s">
        <v>408</v>
      </c>
      <c r="B39">
        <v>13</v>
      </c>
    </row>
    <row r="40" spans="1:2" x14ac:dyDescent="0.15">
      <c r="A40" t="s">
        <v>228</v>
      </c>
      <c r="B40">
        <v>14</v>
      </c>
    </row>
    <row r="41" spans="1:2" x14ac:dyDescent="0.15">
      <c r="A41" t="s">
        <v>229</v>
      </c>
      <c r="B41">
        <v>15</v>
      </c>
    </row>
    <row r="42" spans="1:2" x14ac:dyDescent="0.15">
      <c r="A42" t="s">
        <v>407</v>
      </c>
      <c r="B42">
        <v>16</v>
      </c>
    </row>
    <row r="43" spans="1:2" x14ac:dyDescent="0.15">
      <c r="A43" t="s">
        <v>406</v>
      </c>
      <c r="B43">
        <v>17</v>
      </c>
    </row>
    <row r="44" spans="1:2" x14ac:dyDescent="0.15">
      <c r="A44" t="s">
        <v>230</v>
      </c>
      <c r="B44">
        <v>18</v>
      </c>
    </row>
    <row r="45" spans="1:2" x14ac:dyDescent="0.15">
      <c r="A45" t="s">
        <v>231</v>
      </c>
      <c r="B45">
        <v>19</v>
      </c>
    </row>
    <row r="46" spans="1:2" x14ac:dyDescent="0.15">
      <c r="A46" t="s">
        <v>373</v>
      </c>
      <c r="B46">
        <v>20</v>
      </c>
    </row>
    <row r="47" spans="1:2" x14ac:dyDescent="0.15">
      <c r="A47" t="s">
        <v>232</v>
      </c>
      <c r="B47">
        <v>21</v>
      </c>
    </row>
    <row r="48" spans="1:2" x14ac:dyDescent="0.15">
      <c r="A48" t="s">
        <v>233</v>
      </c>
      <c r="B48">
        <v>22</v>
      </c>
    </row>
    <row r="49" spans="1:2" x14ac:dyDescent="0.15">
      <c r="A49" t="s">
        <v>234</v>
      </c>
      <c r="B49">
        <v>23</v>
      </c>
    </row>
    <row r="50" spans="1:2" x14ac:dyDescent="0.15">
      <c r="A50" t="s">
        <v>235</v>
      </c>
      <c r="B50">
        <v>24</v>
      </c>
    </row>
    <row r="51" spans="1:2" x14ac:dyDescent="0.15">
      <c r="A51" t="s">
        <v>236</v>
      </c>
      <c r="B51">
        <v>25</v>
      </c>
    </row>
    <row r="52" spans="1:2" x14ac:dyDescent="0.15">
      <c r="A52" t="s">
        <v>237</v>
      </c>
      <c r="B52">
        <v>26</v>
      </c>
    </row>
    <row r="53" spans="1:2" x14ac:dyDescent="0.15">
      <c r="A53" t="s">
        <v>238</v>
      </c>
      <c r="B53">
        <v>27</v>
      </c>
    </row>
    <row r="54" spans="1:2" x14ac:dyDescent="0.15">
      <c r="A54" t="s">
        <v>239</v>
      </c>
      <c r="B54">
        <v>28</v>
      </c>
    </row>
    <row r="55" spans="1:2" x14ac:dyDescent="0.15">
      <c r="A55" t="s">
        <v>240</v>
      </c>
      <c r="B55">
        <v>29</v>
      </c>
    </row>
    <row r="56" spans="1:2" x14ac:dyDescent="0.15">
      <c r="A56" t="s">
        <v>241</v>
      </c>
      <c r="B56">
        <v>31</v>
      </c>
    </row>
    <row r="57" spans="1:2" x14ac:dyDescent="0.15">
      <c r="A57" t="s">
        <v>242</v>
      </c>
      <c r="B57">
        <v>32</v>
      </c>
    </row>
    <row r="58" spans="1:2" x14ac:dyDescent="0.15">
      <c r="A58" t="s">
        <v>402</v>
      </c>
      <c r="B58">
        <v>34</v>
      </c>
    </row>
    <row r="59" spans="1:2" x14ac:dyDescent="0.15">
      <c r="A59" t="s">
        <v>243</v>
      </c>
      <c r="B59">
        <v>35</v>
      </c>
    </row>
    <row r="60" spans="1:2" x14ac:dyDescent="0.15">
      <c r="A60" t="s">
        <v>244</v>
      </c>
      <c r="B60">
        <v>36</v>
      </c>
    </row>
    <row r="61" spans="1:2" x14ac:dyDescent="0.15">
      <c r="A61" t="s">
        <v>403</v>
      </c>
      <c r="B61">
        <v>37</v>
      </c>
    </row>
    <row r="62" spans="1:2" x14ac:dyDescent="0.15">
      <c r="A62" t="s">
        <v>404</v>
      </c>
      <c r="B62">
        <v>38</v>
      </c>
    </row>
    <row r="63" spans="1:2" x14ac:dyDescent="0.15">
      <c r="A63" t="s">
        <v>245</v>
      </c>
      <c r="B63">
        <v>39</v>
      </c>
    </row>
    <row r="64" spans="1:2" x14ac:dyDescent="0.15">
      <c r="A64" t="s">
        <v>246</v>
      </c>
      <c r="B64">
        <v>40</v>
      </c>
    </row>
    <row r="65" spans="1:2" x14ac:dyDescent="0.15">
      <c r="A65" t="s">
        <v>405</v>
      </c>
      <c r="B65">
        <v>41</v>
      </c>
    </row>
    <row r="66" spans="1:2" x14ac:dyDescent="0.15">
      <c r="A66" t="s">
        <v>247</v>
      </c>
      <c r="B66">
        <v>42</v>
      </c>
    </row>
    <row r="67" spans="1:2" x14ac:dyDescent="0.15">
      <c r="A67" t="s">
        <v>248</v>
      </c>
      <c r="B67">
        <v>43</v>
      </c>
    </row>
    <row r="68" spans="1:2" x14ac:dyDescent="0.15">
      <c r="A68" t="s">
        <v>249</v>
      </c>
      <c r="B68">
        <v>44</v>
      </c>
    </row>
    <row r="69" spans="1:2" x14ac:dyDescent="0.15">
      <c r="A69" t="s">
        <v>250</v>
      </c>
      <c r="B69">
        <v>45</v>
      </c>
    </row>
    <row r="70" spans="1:2" x14ac:dyDescent="0.15">
      <c r="A70" t="s">
        <v>251</v>
      </c>
      <c r="B70">
        <v>46</v>
      </c>
    </row>
    <row r="71" spans="1:2" x14ac:dyDescent="0.15">
      <c r="A71" t="s">
        <v>252</v>
      </c>
      <c r="B71">
        <v>47</v>
      </c>
    </row>
    <row r="72" spans="1:2" x14ac:dyDescent="0.15">
      <c r="A72" t="s">
        <v>253</v>
      </c>
      <c r="B72">
        <v>48</v>
      </c>
    </row>
    <row r="73" spans="1:2" x14ac:dyDescent="0.15">
      <c r="A73" t="s">
        <v>254</v>
      </c>
      <c r="B73">
        <v>49</v>
      </c>
    </row>
    <row r="74" spans="1:2" x14ac:dyDescent="0.15">
      <c r="A74" t="s">
        <v>255</v>
      </c>
      <c r="B74">
        <v>50</v>
      </c>
    </row>
    <row r="75" spans="1:2" x14ac:dyDescent="0.15">
      <c r="A75" t="s">
        <v>256</v>
      </c>
      <c r="B75">
        <v>52</v>
      </c>
    </row>
    <row r="76" spans="1:2" x14ac:dyDescent="0.15">
      <c r="A76" t="s">
        <v>257</v>
      </c>
      <c r="B76">
        <v>53</v>
      </c>
    </row>
    <row r="77" spans="1:2" x14ac:dyDescent="0.15">
      <c r="A77" t="s">
        <v>258</v>
      </c>
      <c r="B77">
        <v>54</v>
      </c>
    </row>
    <row r="78" spans="1:2" x14ac:dyDescent="0.15">
      <c r="A78" t="s">
        <v>259</v>
      </c>
      <c r="B78">
        <v>55</v>
      </c>
    </row>
    <row r="79" spans="1:2" x14ac:dyDescent="0.15">
      <c r="A79" t="s">
        <v>260</v>
      </c>
      <c r="B79">
        <v>56</v>
      </c>
    </row>
    <row r="80" spans="1:2" x14ac:dyDescent="0.15">
      <c r="A80" t="s">
        <v>261</v>
      </c>
      <c r="B80">
        <v>57</v>
      </c>
    </row>
    <row r="81" spans="1:19" x14ac:dyDescent="0.15">
      <c r="A81" t="s">
        <v>262</v>
      </c>
      <c r="B81">
        <v>58</v>
      </c>
    </row>
    <row r="82" spans="1:19" x14ac:dyDescent="0.15">
      <c r="A82" t="s">
        <v>263</v>
      </c>
      <c r="B82" t="s">
        <v>264</v>
      </c>
    </row>
    <row r="83" spans="1:19" x14ac:dyDescent="0.15">
      <c r="A83" t="s">
        <v>265</v>
      </c>
      <c r="B83" s="97" t="s">
        <v>425</v>
      </c>
    </row>
    <row r="84" spans="1:19" x14ac:dyDescent="0.15">
      <c r="A84" t="s">
        <v>266</v>
      </c>
      <c r="B84" s="97" t="s">
        <v>382</v>
      </c>
    </row>
    <row r="85" spans="1:19" x14ac:dyDescent="0.15">
      <c r="A85" t="s">
        <v>267</v>
      </c>
      <c r="B85" s="97" t="s">
        <v>383</v>
      </c>
    </row>
    <row r="86" spans="1:19" x14ac:dyDescent="0.15">
      <c r="A86" t="s">
        <v>268</v>
      </c>
      <c r="B86" s="97" t="s">
        <v>384</v>
      </c>
    </row>
    <row r="87" spans="1:19" x14ac:dyDescent="0.15">
      <c r="A87" t="s">
        <v>269</v>
      </c>
      <c r="B87" s="97" t="s">
        <v>385</v>
      </c>
    </row>
    <row r="88" spans="1:19" x14ac:dyDescent="0.15">
      <c r="A88" t="s">
        <v>270</v>
      </c>
      <c r="B88" s="97" t="s">
        <v>386</v>
      </c>
    </row>
    <row r="89" spans="1:19" x14ac:dyDescent="0.15">
      <c r="A89" t="s">
        <v>271</v>
      </c>
      <c r="B89" s="97" t="s">
        <v>372</v>
      </c>
    </row>
    <row r="90" spans="1:19" x14ac:dyDescent="0.15">
      <c r="A90" t="s">
        <v>272</v>
      </c>
      <c r="B90" s="97" t="s">
        <v>387</v>
      </c>
    </row>
    <row r="91" spans="1:19" x14ac:dyDescent="0.15">
      <c r="A91" t="s">
        <v>273</v>
      </c>
      <c r="B91" s="97" t="s">
        <v>388</v>
      </c>
    </row>
    <row r="92" spans="1:19" x14ac:dyDescent="0.15">
      <c r="A92" t="s">
        <v>430</v>
      </c>
      <c r="B92" s="97" t="s">
        <v>431</v>
      </c>
    </row>
    <row r="93" spans="1:19" x14ac:dyDescent="0.15">
      <c r="A93" t="s">
        <v>274</v>
      </c>
      <c r="B93" t="s">
        <v>57</v>
      </c>
      <c r="C93" t="s">
        <v>101</v>
      </c>
      <c r="D93" t="s">
        <v>52</v>
      </c>
      <c r="E93" t="s">
        <v>130</v>
      </c>
      <c r="F93" t="s">
        <v>42</v>
      </c>
      <c r="G93" t="s">
        <v>47</v>
      </c>
      <c r="H93" t="s">
        <v>71</v>
      </c>
      <c r="I93" t="s">
        <v>40</v>
      </c>
      <c r="J93" t="s">
        <v>67</v>
      </c>
      <c r="K93" t="s">
        <v>119</v>
      </c>
      <c r="L93" t="s">
        <v>62</v>
      </c>
      <c r="M93" t="s">
        <v>80</v>
      </c>
      <c r="N93" t="s">
        <v>121</v>
      </c>
      <c r="O93" t="s">
        <v>146</v>
      </c>
      <c r="P93" t="s">
        <v>393</v>
      </c>
      <c r="Q93" t="s">
        <v>394</v>
      </c>
      <c r="R93" t="s">
        <v>371</v>
      </c>
      <c r="S93" t="s">
        <v>395</v>
      </c>
    </row>
    <row r="94" spans="1:19" x14ac:dyDescent="0.15">
      <c r="A94" t="s">
        <v>275</v>
      </c>
      <c r="B94">
        <v>1</v>
      </c>
    </row>
    <row r="95" spans="1:19" x14ac:dyDescent="0.15">
      <c r="A95" t="s">
        <v>276</v>
      </c>
      <c r="B95">
        <v>2</v>
      </c>
    </row>
    <row r="96" spans="1:19" x14ac:dyDescent="0.15">
      <c r="A96" t="s">
        <v>277</v>
      </c>
      <c r="B96">
        <v>3</v>
      </c>
    </row>
    <row r="97" spans="1:2" x14ac:dyDescent="0.15">
      <c r="A97" t="s">
        <v>278</v>
      </c>
      <c r="B97">
        <v>4</v>
      </c>
    </row>
    <row r="98" spans="1:2" x14ac:dyDescent="0.15">
      <c r="A98" t="s">
        <v>279</v>
      </c>
      <c r="B98">
        <v>5</v>
      </c>
    </row>
    <row r="99" spans="1:2" x14ac:dyDescent="0.15">
      <c r="A99" t="s">
        <v>280</v>
      </c>
      <c r="B99">
        <v>6</v>
      </c>
    </row>
    <row r="100" spans="1:2" x14ac:dyDescent="0.15">
      <c r="A100" t="s">
        <v>281</v>
      </c>
      <c r="B100">
        <v>7</v>
      </c>
    </row>
    <row r="101" spans="1:2" x14ac:dyDescent="0.15">
      <c r="A101" t="s">
        <v>282</v>
      </c>
      <c r="B101">
        <v>8</v>
      </c>
    </row>
    <row r="102" spans="1:2" x14ac:dyDescent="0.15">
      <c r="A102" t="s">
        <v>283</v>
      </c>
      <c r="B102">
        <v>10</v>
      </c>
    </row>
    <row r="103" spans="1:2" x14ac:dyDescent="0.15">
      <c r="A103" t="s">
        <v>284</v>
      </c>
      <c r="B103">
        <v>11</v>
      </c>
    </row>
    <row r="104" spans="1:2" x14ac:dyDescent="0.15">
      <c r="A104" t="s">
        <v>396</v>
      </c>
      <c r="B104">
        <v>13</v>
      </c>
    </row>
    <row r="105" spans="1:2" x14ac:dyDescent="0.15">
      <c r="A105" t="s">
        <v>285</v>
      </c>
      <c r="B105">
        <v>14</v>
      </c>
    </row>
    <row r="106" spans="1:2" x14ac:dyDescent="0.15">
      <c r="A106" t="s">
        <v>286</v>
      </c>
      <c r="B106">
        <v>15</v>
      </c>
    </row>
    <row r="107" spans="1:2" x14ac:dyDescent="0.15">
      <c r="A107" t="s">
        <v>397</v>
      </c>
      <c r="B107">
        <v>16</v>
      </c>
    </row>
    <row r="108" spans="1:2" x14ac:dyDescent="0.15">
      <c r="A108" t="s">
        <v>398</v>
      </c>
      <c r="B108">
        <v>17</v>
      </c>
    </row>
    <row r="109" spans="1:2" x14ac:dyDescent="0.15">
      <c r="A109" t="s">
        <v>287</v>
      </c>
      <c r="B109">
        <v>18</v>
      </c>
    </row>
    <row r="110" spans="1:2" x14ac:dyDescent="0.15">
      <c r="A110" t="s">
        <v>288</v>
      </c>
      <c r="B110">
        <v>19</v>
      </c>
    </row>
    <row r="111" spans="1:2" x14ac:dyDescent="0.15">
      <c r="A111" t="s">
        <v>369</v>
      </c>
      <c r="B111">
        <v>20</v>
      </c>
    </row>
    <row r="112" spans="1:2" x14ac:dyDescent="0.15">
      <c r="A112" t="s">
        <v>289</v>
      </c>
      <c r="B112">
        <v>21</v>
      </c>
    </row>
    <row r="113" spans="1:2" x14ac:dyDescent="0.15">
      <c r="A113" t="s">
        <v>290</v>
      </c>
      <c r="B113">
        <v>22</v>
      </c>
    </row>
    <row r="114" spans="1:2" x14ac:dyDescent="0.15">
      <c r="A114" t="s">
        <v>291</v>
      </c>
      <c r="B114">
        <v>23</v>
      </c>
    </row>
    <row r="115" spans="1:2" x14ac:dyDescent="0.15">
      <c r="A115" t="s">
        <v>292</v>
      </c>
      <c r="B115">
        <v>24</v>
      </c>
    </row>
    <row r="116" spans="1:2" x14ac:dyDescent="0.15">
      <c r="A116" t="s">
        <v>293</v>
      </c>
      <c r="B116">
        <v>25</v>
      </c>
    </row>
    <row r="117" spans="1:2" x14ac:dyDescent="0.15">
      <c r="A117" t="s">
        <v>294</v>
      </c>
      <c r="B117">
        <v>26</v>
      </c>
    </row>
    <row r="118" spans="1:2" x14ac:dyDescent="0.15">
      <c r="A118" t="s">
        <v>295</v>
      </c>
      <c r="B118">
        <v>27</v>
      </c>
    </row>
    <row r="119" spans="1:2" x14ac:dyDescent="0.15">
      <c r="A119" t="s">
        <v>296</v>
      </c>
      <c r="B119">
        <v>28</v>
      </c>
    </row>
    <row r="120" spans="1:2" x14ac:dyDescent="0.15">
      <c r="A120" t="s">
        <v>297</v>
      </c>
      <c r="B120">
        <v>29</v>
      </c>
    </row>
    <row r="121" spans="1:2" x14ac:dyDescent="0.15">
      <c r="A121" t="s">
        <v>298</v>
      </c>
      <c r="B121">
        <v>31</v>
      </c>
    </row>
    <row r="122" spans="1:2" x14ac:dyDescent="0.15">
      <c r="A122" t="s">
        <v>299</v>
      </c>
      <c r="B122">
        <v>32</v>
      </c>
    </row>
    <row r="123" spans="1:2" x14ac:dyDescent="0.15">
      <c r="A123" t="s">
        <v>399</v>
      </c>
      <c r="B123">
        <v>34</v>
      </c>
    </row>
    <row r="124" spans="1:2" x14ac:dyDescent="0.15">
      <c r="A124" t="s">
        <v>300</v>
      </c>
      <c r="B124">
        <v>35</v>
      </c>
    </row>
    <row r="125" spans="1:2" x14ac:dyDescent="0.15">
      <c r="A125" t="s">
        <v>301</v>
      </c>
      <c r="B125">
        <v>36</v>
      </c>
    </row>
    <row r="126" spans="1:2" x14ac:dyDescent="0.15">
      <c r="A126" t="s">
        <v>400</v>
      </c>
      <c r="B126">
        <v>37</v>
      </c>
    </row>
    <row r="127" spans="1:2" x14ac:dyDescent="0.15">
      <c r="A127" t="s">
        <v>401</v>
      </c>
      <c r="B127">
        <v>38</v>
      </c>
    </row>
    <row r="128" spans="1:2" x14ac:dyDescent="0.15">
      <c r="A128" t="s">
        <v>302</v>
      </c>
      <c r="B128">
        <v>39</v>
      </c>
    </row>
    <row r="129" spans="1:2" x14ac:dyDescent="0.15">
      <c r="A129" t="s">
        <v>303</v>
      </c>
      <c r="B129">
        <v>40</v>
      </c>
    </row>
    <row r="130" spans="1:2" x14ac:dyDescent="0.15">
      <c r="A130" t="s">
        <v>370</v>
      </c>
      <c r="B130">
        <v>41</v>
      </c>
    </row>
    <row r="131" spans="1:2" x14ac:dyDescent="0.15">
      <c r="A131" t="s">
        <v>304</v>
      </c>
      <c r="B131">
        <v>42</v>
      </c>
    </row>
    <row r="132" spans="1:2" x14ac:dyDescent="0.15">
      <c r="A132" t="s">
        <v>305</v>
      </c>
      <c r="B132">
        <v>43</v>
      </c>
    </row>
    <row r="133" spans="1:2" x14ac:dyDescent="0.15">
      <c r="A133" t="s">
        <v>306</v>
      </c>
      <c r="B133">
        <v>44</v>
      </c>
    </row>
    <row r="134" spans="1:2" x14ac:dyDescent="0.15">
      <c r="A134" t="s">
        <v>307</v>
      </c>
      <c r="B134">
        <v>45</v>
      </c>
    </row>
    <row r="135" spans="1:2" x14ac:dyDescent="0.15">
      <c r="A135" t="s">
        <v>308</v>
      </c>
      <c r="B135">
        <v>46</v>
      </c>
    </row>
    <row r="136" spans="1:2" x14ac:dyDescent="0.15">
      <c r="A136" t="s">
        <v>309</v>
      </c>
      <c r="B136">
        <v>47</v>
      </c>
    </row>
    <row r="137" spans="1:2" x14ac:dyDescent="0.15">
      <c r="A137" t="s">
        <v>310</v>
      </c>
      <c r="B137">
        <v>48</v>
      </c>
    </row>
    <row r="138" spans="1:2" x14ac:dyDescent="0.15">
      <c r="A138" t="s">
        <v>311</v>
      </c>
      <c r="B138">
        <v>49</v>
      </c>
    </row>
    <row r="139" spans="1:2" x14ac:dyDescent="0.15">
      <c r="A139" t="s">
        <v>312</v>
      </c>
      <c r="B139">
        <v>50</v>
      </c>
    </row>
    <row r="140" spans="1:2" x14ac:dyDescent="0.15">
      <c r="A140" t="s">
        <v>313</v>
      </c>
      <c r="B140">
        <v>52</v>
      </c>
    </row>
    <row r="141" spans="1:2" x14ac:dyDescent="0.15">
      <c r="A141" t="s">
        <v>314</v>
      </c>
      <c r="B141">
        <v>53</v>
      </c>
    </row>
    <row r="142" spans="1:2" x14ac:dyDescent="0.15">
      <c r="A142" t="s">
        <v>315</v>
      </c>
      <c r="B142">
        <v>54</v>
      </c>
    </row>
    <row r="143" spans="1:2" x14ac:dyDescent="0.15">
      <c r="A143" t="s">
        <v>316</v>
      </c>
      <c r="B143">
        <v>55</v>
      </c>
    </row>
    <row r="144" spans="1:2" x14ac:dyDescent="0.15">
      <c r="A144" t="s">
        <v>317</v>
      </c>
      <c r="B144">
        <v>56</v>
      </c>
    </row>
    <row r="145" spans="1:19" x14ac:dyDescent="0.15">
      <c r="A145" t="s">
        <v>318</v>
      </c>
      <c r="B145">
        <v>57</v>
      </c>
    </row>
    <row r="146" spans="1:19" x14ac:dyDescent="0.15">
      <c r="A146" t="s">
        <v>319</v>
      </c>
      <c r="B146">
        <v>58</v>
      </c>
    </row>
    <row r="147" spans="1:19" x14ac:dyDescent="0.15">
      <c r="A147" t="s">
        <v>320</v>
      </c>
      <c r="B147" t="s">
        <v>321</v>
      </c>
    </row>
    <row r="148" spans="1:19" x14ac:dyDescent="0.15">
      <c r="A148" t="s">
        <v>322</v>
      </c>
      <c r="B148" s="97" t="s">
        <v>426</v>
      </c>
    </row>
    <row r="149" spans="1:19" x14ac:dyDescent="0.15">
      <c r="A149" t="s">
        <v>323</v>
      </c>
      <c r="B149" s="97" t="s">
        <v>374</v>
      </c>
    </row>
    <row r="150" spans="1:19" x14ac:dyDescent="0.15">
      <c r="A150" t="s">
        <v>324</v>
      </c>
      <c r="B150" s="97" t="s">
        <v>375</v>
      </c>
    </row>
    <row r="151" spans="1:19" x14ac:dyDescent="0.15">
      <c r="A151" t="s">
        <v>325</v>
      </c>
      <c r="B151" s="97" t="s">
        <v>376</v>
      </c>
    </row>
    <row r="152" spans="1:19" x14ac:dyDescent="0.15">
      <c r="A152" t="s">
        <v>326</v>
      </c>
      <c r="B152" s="97" t="s">
        <v>377</v>
      </c>
    </row>
    <row r="153" spans="1:19" x14ac:dyDescent="0.15">
      <c r="A153" t="s">
        <v>327</v>
      </c>
      <c r="B153" s="97" t="s">
        <v>378</v>
      </c>
    </row>
    <row r="154" spans="1:19" x14ac:dyDescent="0.15">
      <c r="A154" t="s">
        <v>328</v>
      </c>
      <c r="B154" s="97" t="s">
        <v>379</v>
      </c>
    </row>
    <row r="155" spans="1:19" x14ac:dyDescent="0.15">
      <c r="A155" t="s">
        <v>329</v>
      </c>
      <c r="B155" s="97" t="s">
        <v>380</v>
      </c>
    </row>
    <row r="156" spans="1:19" x14ac:dyDescent="0.15">
      <c r="A156" t="s">
        <v>330</v>
      </c>
      <c r="B156" s="97" t="s">
        <v>381</v>
      </c>
    </row>
    <row r="157" spans="1:19" x14ac:dyDescent="0.15">
      <c r="A157" t="s">
        <v>434</v>
      </c>
      <c r="B157" s="97" t="s">
        <v>435</v>
      </c>
    </row>
    <row r="158" spans="1:19" x14ac:dyDescent="0.15">
      <c r="A158" t="s">
        <v>331</v>
      </c>
      <c r="B158" t="s">
        <v>57</v>
      </c>
      <c r="C158" t="s">
        <v>101</v>
      </c>
      <c r="D158" t="s">
        <v>52</v>
      </c>
      <c r="E158" t="s">
        <v>130</v>
      </c>
      <c r="F158" t="s">
        <v>42</v>
      </c>
      <c r="G158" t="s">
        <v>47</v>
      </c>
      <c r="H158" t="s">
        <v>71</v>
      </c>
      <c r="I158" t="s">
        <v>40</v>
      </c>
      <c r="J158" t="s">
        <v>67</v>
      </c>
      <c r="K158" t="s">
        <v>119</v>
      </c>
      <c r="L158" t="s">
        <v>62</v>
      </c>
      <c r="M158" t="s">
        <v>80</v>
      </c>
      <c r="N158" t="s">
        <v>121</v>
      </c>
      <c r="O158" t="s">
        <v>146</v>
      </c>
      <c r="P158" t="s">
        <v>393</v>
      </c>
      <c r="Q158" t="s">
        <v>394</v>
      </c>
      <c r="R158" t="s">
        <v>371</v>
      </c>
      <c r="S158" t="s">
        <v>395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zoomScale="80" zoomScaleNormal="80" workbookViewId="0">
      <pane xSplit="2" ySplit="4" topLeftCell="L14" activePane="bottomRight" state="frozen"/>
      <selection pane="topRight" activeCell="C1" sqref="C1"/>
      <selection pane="bottomLeft" activeCell="A5" sqref="A5"/>
      <selection pane="bottomRight" activeCell="BP13" sqref="BP13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25" t="s">
        <v>332</v>
      </c>
      <c r="B1" s="113"/>
      <c r="C1" s="113"/>
      <c r="D1" s="113"/>
      <c r="E1" s="113"/>
      <c r="F1" s="113"/>
      <c r="G1" s="113"/>
      <c r="H1" s="113"/>
      <c r="J1" s="121" t="str">
        <f>Summary!C1</f>
        <v>F300_v8.0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7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413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23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1.5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49.539225000000002</v>
      </c>
      <c r="K5" s="21">
        <f t="shared" ref="K5:K44" si="1">IF(ISBLANK(O5),"·",O5/D5)</f>
        <v>4.4044262776058893</v>
      </c>
      <c r="L5" s="19">
        <f t="shared" ref="L5:L44" si="2">IF(OR(ISBLANK(M5),ISBLANK(S5),ISBLANK(T5)),".",M5+S5+T5)</f>
        <v>52841840</v>
      </c>
      <c r="M5" s="19">
        <f t="shared" ref="M5:M44" si="3">IF(OR(ISBLANK(Q5),ISBLANK(P5),ISBLANK(R5)),".",P5+Q5+R5)</f>
        <v>16510992</v>
      </c>
      <c r="N5" s="44">
        <v>22725696</v>
      </c>
      <c r="O5" s="22">
        <v>52841840</v>
      </c>
      <c r="P5" s="22">
        <v>7986928</v>
      </c>
      <c r="Q5" s="22">
        <v>0</v>
      </c>
      <c r="R5" s="22">
        <v>8524064</v>
      </c>
      <c r="S5" s="22">
        <v>36191712</v>
      </c>
      <c r="T5" s="22">
        <v>139136</v>
      </c>
      <c r="U5" s="45">
        <v>69.363559600000002</v>
      </c>
      <c r="V5" s="45">
        <v>70.485944799999999</v>
      </c>
      <c r="W5" s="45">
        <v>28.791065400000001</v>
      </c>
      <c r="X5" s="45">
        <v>33.877114300000002</v>
      </c>
      <c r="Y5" s="45">
        <v>33.315005300000003</v>
      </c>
      <c r="Z5" s="45">
        <v>48.447795399999997</v>
      </c>
      <c r="AA5" s="45">
        <v>27.378885199999999</v>
      </c>
      <c r="AB5" s="23">
        <v>2841.2032250000002</v>
      </c>
      <c r="AC5" s="23">
        <v>46.012951000000001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9</v>
      </c>
      <c r="J6" s="36">
        <f t="shared" si="0"/>
        <v>90.604042500000006</v>
      </c>
      <c r="K6" s="37">
        <f t="shared" si="1"/>
        <v>8.0554111543796019</v>
      </c>
      <c r="L6" s="35">
        <f t="shared" si="2"/>
        <v>96644312</v>
      </c>
      <c r="M6" s="35">
        <f t="shared" si="3"/>
        <v>19271592</v>
      </c>
      <c r="N6" s="46">
        <v>22725696</v>
      </c>
      <c r="O6" s="38">
        <v>96644312</v>
      </c>
      <c r="P6" s="38">
        <v>8622752</v>
      </c>
      <c r="Q6" s="38">
        <v>0</v>
      </c>
      <c r="R6" s="38">
        <v>10648840</v>
      </c>
      <c r="S6" s="38">
        <v>77235144</v>
      </c>
      <c r="T6" s="38">
        <v>137576</v>
      </c>
      <c r="U6" s="47">
        <v>69.989304899999993</v>
      </c>
      <c r="V6" s="47">
        <v>71.180121200000002</v>
      </c>
      <c r="W6" s="47">
        <v>31.510285199999998</v>
      </c>
      <c r="X6" s="47">
        <v>35.087076199999998</v>
      </c>
      <c r="Y6" s="47">
        <v>34.637444899999998</v>
      </c>
      <c r="Z6" s="47">
        <v>48.799030500000001</v>
      </c>
      <c r="AA6" s="47">
        <v>28.930249199999999</v>
      </c>
      <c r="AB6" s="39">
        <v>2957.948069</v>
      </c>
      <c r="AC6" s="39">
        <v>52.041676000000002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12</v>
      </c>
      <c r="J7" s="20">
        <f t="shared" si="0"/>
        <v>121.483065</v>
      </c>
      <c r="K7" s="21">
        <f t="shared" si="1"/>
        <v>10.800798837085244</v>
      </c>
      <c r="L7" s="19">
        <f t="shared" si="2"/>
        <v>129581936</v>
      </c>
      <c r="M7" s="19">
        <f t="shared" si="3"/>
        <v>20566248</v>
      </c>
      <c r="N7" s="44">
        <v>45556032</v>
      </c>
      <c r="O7" s="22">
        <v>129581936</v>
      </c>
      <c r="P7" s="22">
        <v>12439568</v>
      </c>
      <c r="Q7" s="22">
        <v>0</v>
      </c>
      <c r="R7" s="22">
        <v>8126680</v>
      </c>
      <c r="S7" s="22">
        <v>108875160</v>
      </c>
      <c r="T7" s="22">
        <v>140528</v>
      </c>
      <c r="U7" s="45">
        <v>71.584972500000006</v>
      </c>
      <c r="V7" s="45">
        <v>73.046354600000001</v>
      </c>
      <c r="W7" s="45">
        <v>32.652302200000001</v>
      </c>
      <c r="X7" s="45">
        <v>36.888010700000002</v>
      </c>
      <c r="Y7" s="45">
        <v>36.609719900000002</v>
      </c>
      <c r="Z7" s="45">
        <v>49.6003477</v>
      </c>
      <c r="AA7" s="45">
        <v>30.201673899999999</v>
      </c>
      <c r="AB7" s="23">
        <v>11691.736733</v>
      </c>
      <c r="AC7" s="23">
        <v>172.43735000000001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15</v>
      </c>
      <c r="J8" s="36">
        <f t="shared" si="0"/>
        <v>152.45584500000001</v>
      </c>
      <c r="K8" s="37">
        <f t="shared" si="1"/>
        <v>13.554522298090259</v>
      </c>
      <c r="L8" s="35">
        <f t="shared" si="2"/>
        <v>162619568</v>
      </c>
      <c r="M8" s="35">
        <f t="shared" si="3"/>
        <v>27959968</v>
      </c>
      <c r="N8" s="46">
        <v>45556032</v>
      </c>
      <c r="O8" s="38">
        <v>162619568</v>
      </c>
      <c r="P8" s="38">
        <v>13604264</v>
      </c>
      <c r="Q8" s="38">
        <v>0</v>
      </c>
      <c r="R8" s="38">
        <v>14355704</v>
      </c>
      <c r="S8" s="38">
        <v>134517240</v>
      </c>
      <c r="T8" s="38">
        <v>142360</v>
      </c>
      <c r="U8" s="47">
        <v>73.504486499999999</v>
      </c>
      <c r="V8" s="47">
        <v>75.228456499999993</v>
      </c>
      <c r="W8" s="47">
        <v>33.624456100000003</v>
      </c>
      <c r="X8" s="47">
        <v>37.419347899999998</v>
      </c>
      <c r="Y8" s="47">
        <v>37.139835099999999</v>
      </c>
      <c r="Z8" s="47">
        <v>50.6419414</v>
      </c>
      <c r="AA8" s="47">
        <v>31.319670800000001</v>
      </c>
      <c r="AB8" s="39">
        <v>11714.518674999999</v>
      </c>
      <c r="AC8" s="39">
        <v>179.139656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22</v>
      </c>
      <c r="J9" s="51">
        <f t="shared" si="0"/>
        <v>221.07837749999999</v>
      </c>
      <c r="K9" s="52">
        <f t="shared" si="1"/>
        <v>19.65560452896618</v>
      </c>
      <c r="L9" s="49">
        <f t="shared" si="2"/>
        <v>235816936</v>
      </c>
      <c r="M9" s="49">
        <f t="shared" si="3"/>
        <v>46171016</v>
      </c>
      <c r="N9" s="53">
        <v>91604096</v>
      </c>
      <c r="O9" s="54">
        <v>235816936</v>
      </c>
      <c r="P9" s="54">
        <v>20293248</v>
      </c>
      <c r="Q9" s="54">
        <v>0</v>
      </c>
      <c r="R9" s="54">
        <v>25877768</v>
      </c>
      <c r="S9" s="54">
        <v>189502160</v>
      </c>
      <c r="T9" s="54">
        <v>143760</v>
      </c>
      <c r="U9" s="55">
        <v>76.411080900000002</v>
      </c>
      <c r="V9" s="55">
        <v>78.746952800000003</v>
      </c>
      <c r="W9" s="55">
        <v>34.979666999999999</v>
      </c>
      <c r="X9" s="55">
        <v>38.517919800000001</v>
      </c>
      <c r="Y9" s="55">
        <v>38.221520400000003</v>
      </c>
      <c r="Z9" s="55">
        <v>52.422598700000002</v>
      </c>
      <c r="AA9" s="55">
        <v>33.004011900000002</v>
      </c>
      <c r="AB9" s="56">
        <v>12486.04333</v>
      </c>
      <c r="AC9" s="56">
        <v>201.45431400000001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5</v>
      </c>
      <c r="J10" s="36">
        <f t="shared" si="0"/>
        <v>48.170227500000003</v>
      </c>
      <c r="K10" s="37">
        <f t="shared" si="1"/>
        <v>5.7090639999999997</v>
      </c>
      <c r="L10" s="35">
        <f t="shared" si="2"/>
        <v>51381576</v>
      </c>
      <c r="M10" s="35">
        <f t="shared" si="3"/>
        <v>15122392</v>
      </c>
      <c r="N10" s="46">
        <v>22538688</v>
      </c>
      <c r="O10" s="38">
        <v>51381576</v>
      </c>
      <c r="P10" s="38">
        <v>8427928</v>
      </c>
      <c r="Q10" s="38">
        <v>0</v>
      </c>
      <c r="R10" s="38">
        <v>6694464</v>
      </c>
      <c r="S10" s="38">
        <v>36115024</v>
      </c>
      <c r="T10" s="38">
        <v>144160</v>
      </c>
      <c r="U10" s="47">
        <v>65.558321800000002</v>
      </c>
      <c r="V10" s="47">
        <v>66.268584399999995</v>
      </c>
      <c r="W10" s="47">
        <v>32.203576599999998</v>
      </c>
      <c r="X10" s="47">
        <v>44.923329899999999</v>
      </c>
      <c r="Y10" s="47">
        <v>45.217159000000002</v>
      </c>
      <c r="Z10" s="47">
        <v>44.3521407</v>
      </c>
      <c r="AA10" s="47">
        <v>29.648421299999999</v>
      </c>
      <c r="AB10" s="39">
        <v>12904.393566000001</v>
      </c>
      <c r="AC10" s="39">
        <v>160.78231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9</v>
      </c>
      <c r="J11" s="20">
        <f t="shared" si="0"/>
        <v>86.284162499999994</v>
      </c>
      <c r="K11" s="21">
        <f t="shared" si="1"/>
        <v>10.226271111111112</v>
      </c>
      <c r="L11" s="19">
        <f t="shared" si="2"/>
        <v>92036440</v>
      </c>
      <c r="M11" s="19">
        <f t="shared" si="3"/>
        <v>24177456</v>
      </c>
      <c r="N11" s="44">
        <v>45393792</v>
      </c>
      <c r="O11" s="22">
        <v>92036440</v>
      </c>
      <c r="P11" s="22">
        <v>13193296</v>
      </c>
      <c r="Q11" s="22">
        <v>0</v>
      </c>
      <c r="R11" s="22">
        <v>10984160</v>
      </c>
      <c r="S11" s="22">
        <v>67708992</v>
      </c>
      <c r="T11" s="22">
        <v>149992</v>
      </c>
      <c r="U11" s="45">
        <v>70.143567700000006</v>
      </c>
      <c r="V11" s="45">
        <v>71.491474800000006</v>
      </c>
      <c r="W11" s="45">
        <v>34.912693099999998</v>
      </c>
      <c r="X11" s="45">
        <v>45.560808100000003</v>
      </c>
      <c r="Y11" s="45">
        <v>45.947591899999999</v>
      </c>
      <c r="Z11" s="45">
        <v>46.961600400000002</v>
      </c>
      <c r="AA11" s="45">
        <v>32.388857100000003</v>
      </c>
      <c r="AB11" s="23">
        <v>12810.166149999999</v>
      </c>
      <c r="AC11" s="23">
        <v>191.13156900000001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12</v>
      </c>
      <c r="J12" s="36">
        <f t="shared" si="0"/>
        <v>115.67050500000001</v>
      </c>
      <c r="K12" s="37">
        <f t="shared" si="1"/>
        <v>13.709096888888888</v>
      </c>
      <c r="L12" s="35">
        <f t="shared" si="2"/>
        <v>123381872</v>
      </c>
      <c r="M12" s="35">
        <f t="shared" si="3"/>
        <v>37788392</v>
      </c>
      <c r="N12" s="46">
        <v>45393792</v>
      </c>
      <c r="O12" s="38">
        <v>123381872</v>
      </c>
      <c r="P12" s="38">
        <v>13193296</v>
      </c>
      <c r="Q12" s="38">
        <v>0</v>
      </c>
      <c r="R12" s="38">
        <v>24595096</v>
      </c>
      <c r="S12" s="38">
        <v>85455016</v>
      </c>
      <c r="T12" s="38">
        <v>138464</v>
      </c>
      <c r="U12" s="47">
        <v>72.460746200000003</v>
      </c>
      <c r="V12" s="47">
        <v>74.126709099999999</v>
      </c>
      <c r="W12" s="47">
        <v>35.9783069</v>
      </c>
      <c r="X12" s="47">
        <v>45.8829025</v>
      </c>
      <c r="Y12" s="47">
        <v>46.312832700000001</v>
      </c>
      <c r="Z12" s="47">
        <v>48.224816699999998</v>
      </c>
      <c r="AA12" s="47">
        <v>33.675797000000003</v>
      </c>
      <c r="AB12" s="39">
        <v>12634.236338999999</v>
      </c>
      <c r="AC12" s="39">
        <v>182.83504199999999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15</v>
      </c>
      <c r="J13" s="20">
        <f t="shared" si="0"/>
        <v>143.74098000000001</v>
      </c>
      <c r="K13" s="21">
        <f t="shared" si="1"/>
        <v>17.035968</v>
      </c>
      <c r="L13" s="19">
        <f t="shared" si="2"/>
        <v>153323712</v>
      </c>
      <c r="M13" s="19">
        <f t="shared" si="3"/>
        <v>45101488</v>
      </c>
      <c r="N13" s="44">
        <v>91443328</v>
      </c>
      <c r="O13" s="22">
        <v>153323712</v>
      </c>
      <c r="P13" s="22">
        <v>21684880</v>
      </c>
      <c r="Q13" s="22">
        <v>0</v>
      </c>
      <c r="R13" s="22">
        <v>23416608</v>
      </c>
      <c r="S13" s="22">
        <v>108074600</v>
      </c>
      <c r="T13" s="22">
        <v>147624</v>
      </c>
      <c r="U13" s="45">
        <v>74.342990200000003</v>
      </c>
      <c r="V13" s="45">
        <v>76.369848700000006</v>
      </c>
      <c r="W13" s="45">
        <v>37.077922800000003</v>
      </c>
      <c r="X13" s="45">
        <v>46.683965399999998</v>
      </c>
      <c r="Y13" s="45">
        <v>47.218165399999997</v>
      </c>
      <c r="Z13" s="45">
        <v>49.406472100000002</v>
      </c>
      <c r="AA13" s="45">
        <v>34.899693900000003</v>
      </c>
      <c r="AB13" s="23">
        <v>13246.684766</v>
      </c>
      <c r="AC13" s="23">
        <v>182.02138500000001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22</v>
      </c>
      <c r="J14" s="28">
        <f t="shared" si="0"/>
        <v>211.64126999999999</v>
      </c>
      <c r="K14" s="29">
        <f t="shared" si="1"/>
        <v>25.083409777777778</v>
      </c>
      <c r="L14" s="27">
        <f t="shared" si="2"/>
        <v>225750688</v>
      </c>
      <c r="M14" s="27">
        <f t="shared" si="3"/>
        <v>56667304</v>
      </c>
      <c r="N14" s="58">
        <v>91443328</v>
      </c>
      <c r="O14" s="30">
        <v>225750688</v>
      </c>
      <c r="P14" s="30">
        <v>23918720</v>
      </c>
      <c r="Q14" s="30">
        <v>0</v>
      </c>
      <c r="R14" s="30">
        <v>32748584</v>
      </c>
      <c r="S14" s="30">
        <v>168940816</v>
      </c>
      <c r="T14" s="30">
        <v>142568</v>
      </c>
      <c r="U14" s="59">
        <v>75.429019199999999</v>
      </c>
      <c r="V14" s="59">
        <v>77.707441299999999</v>
      </c>
      <c r="W14" s="59">
        <v>38.779475400000003</v>
      </c>
      <c r="X14" s="59">
        <v>47.736003500000002</v>
      </c>
      <c r="Y14" s="59">
        <v>48.368455599999997</v>
      </c>
      <c r="Z14" s="59">
        <v>50.0772835</v>
      </c>
      <c r="AA14" s="59">
        <v>36.197725300000002</v>
      </c>
      <c r="AB14" s="31">
        <v>13406.940059</v>
      </c>
      <c r="AC14" s="31">
        <v>187.54367099999999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29.342925000000001</v>
      </c>
      <c r="K15" s="21">
        <f t="shared" si="1"/>
        <v>2.6430598474818701</v>
      </c>
      <c r="L15" s="19">
        <f t="shared" si="2"/>
        <v>31299120</v>
      </c>
      <c r="M15" s="19">
        <f t="shared" si="3"/>
        <v>11654512</v>
      </c>
      <c r="N15" s="44">
        <v>22706944</v>
      </c>
      <c r="O15" s="22">
        <v>31299120</v>
      </c>
      <c r="P15" s="22">
        <v>6594432</v>
      </c>
      <c r="Q15" s="22">
        <v>0</v>
      </c>
      <c r="R15" s="22">
        <v>5060080</v>
      </c>
      <c r="S15" s="22">
        <v>19495520</v>
      </c>
      <c r="T15" s="22">
        <v>149088</v>
      </c>
      <c r="U15" s="45">
        <v>70.9818657</v>
      </c>
      <c r="V15" s="45">
        <v>72.304184699999993</v>
      </c>
      <c r="W15" s="45">
        <v>35.690939899999996</v>
      </c>
      <c r="X15" s="45">
        <v>43.296789799999999</v>
      </c>
      <c r="Y15" s="45">
        <v>45.168995899999999</v>
      </c>
      <c r="Z15" s="45">
        <v>45.407006099999997</v>
      </c>
      <c r="AA15" s="45">
        <v>32.386590699999999</v>
      </c>
      <c r="AB15" s="23">
        <v>10175.157642</v>
      </c>
      <c r="AC15" s="23">
        <v>152.39145400000001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49.073549999999997</v>
      </c>
      <c r="K16" s="37">
        <f t="shared" si="1"/>
        <v>4.420293122733808</v>
      </c>
      <c r="L16" s="35">
        <f t="shared" si="2"/>
        <v>52345120</v>
      </c>
      <c r="M16" s="35">
        <f t="shared" si="3"/>
        <v>14857464</v>
      </c>
      <c r="N16" s="46">
        <v>22706944</v>
      </c>
      <c r="O16" s="38">
        <v>52345120</v>
      </c>
      <c r="P16" s="38">
        <v>7173872</v>
      </c>
      <c r="Q16" s="38">
        <v>0</v>
      </c>
      <c r="R16" s="38">
        <v>7683592</v>
      </c>
      <c r="S16" s="38">
        <v>37341928</v>
      </c>
      <c r="T16" s="38">
        <v>145728</v>
      </c>
      <c r="U16" s="47">
        <v>72.622510000000005</v>
      </c>
      <c r="V16" s="47">
        <v>74.115700500000003</v>
      </c>
      <c r="W16" s="47">
        <v>38.475196099999998</v>
      </c>
      <c r="X16" s="47">
        <v>43.923621099999998</v>
      </c>
      <c r="Y16" s="47">
        <v>46.386953599999998</v>
      </c>
      <c r="Z16" s="47">
        <v>46.247832500000001</v>
      </c>
      <c r="AA16" s="47">
        <v>34.019292399999998</v>
      </c>
      <c r="AB16" s="39">
        <v>10141.546933</v>
      </c>
      <c r="AC16" s="39">
        <v>156.747692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96.103252499999996</v>
      </c>
      <c r="K17" s="21">
        <f t="shared" si="1"/>
        <v>8.6564869690108139</v>
      </c>
      <c r="L17" s="19">
        <f t="shared" si="2"/>
        <v>102510136</v>
      </c>
      <c r="M17" s="19">
        <f t="shared" si="3"/>
        <v>29402856</v>
      </c>
      <c r="N17" s="44">
        <v>45429504</v>
      </c>
      <c r="O17" s="22">
        <v>102510136</v>
      </c>
      <c r="P17" s="22">
        <v>12009904</v>
      </c>
      <c r="Q17" s="22">
        <v>0</v>
      </c>
      <c r="R17" s="22">
        <v>17392952</v>
      </c>
      <c r="S17" s="22">
        <v>72962248</v>
      </c>
      <c r="T17" s="22">
        <v>145032</v>
      </c>
      <c r="U17" s="45">
        <v>77.557658599999996</v>
      </c>
      <c r="V17" s="45">
        <v>79.864423599999995</v>
      </c>
      <c r="W17" s="45">
        <v>41.162512599999999</v>
      </c>
      <c r="X17" s="45">
        <v>44.803653099999998</v>
      </c>
      <c r="Y17" s="45">
        <v>48.023378000000001</v>
      </c>
      <c r="Z17" s="45">
        <v>48.8695837</v>
      </c>
      <c r="AA17" s="45">
        <v>37.220466199999997</v>
      </c>
      <c r="AB17" s="23">
        <v>10611.987678</v>
      </c>
      <c r="AC17" s="23">
        <v>192.40195299999999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136.19302500000001</v>
      </c>
      <c r="K18" s="37">
        <f t="shared" si="1"/>
        <v>12.267567595411654</v>
      </c>
      <c r="L18" s="35">
        <f t="shared" si="2"/>
        <v>145272560</v>
      </c>
      <c r="M18" s="35">
        <f t="shared" si="3"/>
        <v>39332904</v>
      </c>
      <c r="N18" s="46">
        <v>90872832</v>
      </c>
      <c r="O18" s="38">
        <v>145272560</v>
      </c>
      <c r="P18" s="38">
        <v>20637216</v>
      </c>
      <c r="Q18" s="38">
        <v>0</v>
      </c>
      <c r="R18" s="38">
        <v>18695688</v>
      </c>
      <c r="S18" s="38">
        <v>105791288</v>
      </c>
      <c r="T18" s="38">
        <v>148368</v>
      </c>
      <c r="U18" s="47">
        <v>78.991263599999996</v>
      </c>
      <c r="V18" s="47">
        <v>81.808735600000006</v>
      </c>
      <c r="W18" s="47">
        <v>42.190188999999997</v>
      </c>
      <c r="X18" s="47">
        <v>45.500315499999999</v>
      </c>
      <c r="Y18" s="47">
        <v>49.1828851</v>
      </c>
      <c r="Z18" s="47">
        <v>49.906813499999998</v>
      </c>
      <c r="AA18" s="47">
        <v>38.400880600000001</v>
      </c>
      <c r="AB18" s="39">
        <v>11369.139761</v>
      </c>
      <c r="AC18" s="39">
        <v>227.71264600000001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203.649045</v>
      </c>
      <c r="K19" s="52">
        <f t="shared" si="1"/>
        <v>18.34365912115198</v>
      </c>
      <c r="L19" s="49">
        <f t="shared" si="2"/>
        <v>217225648</v>
      </c>
      <c r="M19" s="49">
        <f t="shared" si="3"/>
        <v>41637680</v>
      </c>
      <c r="N19" s="53">
        <v>90872832</v>
      </c>
      <c r="O19" s="54">
        <v>217225648</v>
      </c>
      <c r="P19" s="54">
        <v>20637216</v>
      </c>
      <c r="Q19" s="54">
        <v>0</v>
      </c>
      <c r="R19" s="54">
        <v>21000464</v>
      </c>
      <c r="S19" s="54">
        <v>175436000</v>
      </c>
      <c r="T19" s="54">
        <v>151968</v>
      </c>
      <c r="U19" s="55">
        <v>79.347429500000004</v>
      </c>
      <c r="V19" s="55">
        <v>82.318791700000006</v>
      </c>
      <c r="W19" s="55">
        <v>43.229166999999997</v>
      </c>
      <c r="X19" s="55">
        <v>46.450819699999997</v>
      </c>
      <c r="Y19" s="55">
        <v>50.472418400000002</v>
      </c>
      <c r="Z19" s="55">
        <v>50.136517900000001</v>
      </c>
      <c r="AA19" s="55">
        <v>38.9611223</v>
      </c>
      <c r="AB19" s="56">
        <v>11901.66049</v>
      </c>
      <c r="AC19" s="56">
        <v>242.61588399999999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27.86919</v>
      </c>
      <c r="K20" s="37">
        <f t="shared" si="1"/>
        <v>2.5166702928948221</v>
      </c>
      <c r="L20" s="35">
        <f t="shared" si="2"/>
        <v>29727136</v>
      </c>
      <c r="M20" s="35">
        <f t="shared" si="3"/>
        <v>11206640</v>
      </c>
      <c r="N20" s="46">
        <v>22662720</v>
      </c>
      <c r="O20" s="38">
        <v>29727136</v>
      </c>
      <c r="P20" s="38">
        <v>6440896</v>
      </c>
      <c r="Q20" s="38">
        <v>0</v>
      </c>
      <c r="R20" s="38">
        <v>4765744</v>
      </c>
      <c r="S20" s="38">
        <v>18372240</v>
      </c>
      <c r="T20" s="38">
        <v>148256</v>
      </c>
      <c r="U20" s="47">
        <v>71.204057800000001</v>
      </c>
      <c r="V20" s="47">
        <v>72.573792499999996</v>
      </c>
      <c r="W20" s="47">
        <v>34.608001399999999</v>
      </c>
      <c r="X20" s="47">
        <v>42.723544500000003</v>
      </c>
      <c r="Y20" s="47">
        <v>44.110387699999997</v>
      </c>
      <c r="Z20" s="47">
        <v>46.421705299999999</v>
      </c>
      <c r="AA20" s="47">
        <v>31.527401300000001</v>
      </c>
      <c r="AB20" s="39">
        <v>2301.5922989999999</v>
      </c>
      <c r="AC20" s="39">
        <v>41.764116999999999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46.984222500000001</v>
      </c>
      <c r="K21" s="21">
        <f t="shared" si="1"/>
        <v>4.2428142691090232</v>
      </c>
      <c r="L21" s="19">
        <f t="shared" si="2"/>
        <v>50116504</v>
      </c>
      <c r="M21" s="19">
        <f t="shared" si="3"/>
        <v>11753664</v>
      </c>
      <c r="N21" s="44">
        <v>22662720</v>
      </c>
      <c r="O21" s="22">
        <v>50116504</v>
      </c>
      <c r="P21" s="22">
        <v>6440896</v>
      </c>
      <c r="Q21" s="22">
        <v>0</v>
      </c>
      <c r="R21" s="22">
        <v>5312768</v>
      </c>
      <c r="S21" s="22">
        <v>38212648</v>
      </c>
      <c r="T21" s="22">
        <v>150192</v>
      </c>
      <c r="U21" s="45">
        <v>71.626345599999993</v>
      </c>
      <c r="V21" s="45">
        <v>73.043703800000003</v>
      </c>
      <c r="W21" s="45">
        <v>37.393370099999999</v>
      </c>
      <c r="X21" s="45">
        <v>43.929116499999999</v>
      </c>
      <c r="Y21" s="45">
        <v>45.9743846</v>
      </c>
      <c r="Z21" s="45">
        <v>46.634455199999998</v>
      </c>
      <c r="AA21" s="45">
        <v>32.740860099999999</v>
      </c>
      <c r="AB21" s="23">
        <v>9604.3333280000006</v>
      </c>
      <c r="AC21" s="23">
        <v>154.14196799999999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95.752454999999998</v>
      </c>
      <c r="K22" s="37">
        <f t="shared" si="1"/>
        <v>8.6467299182447821</v>
      </c>
      <c r="L22" s="35">
        <f t="shared" si="2"/>
        <v>102135952</v>
      </c>
      <c r="M22" s="35">
        <f t="shared" si="3"/>
        <v>27467440</v>
      </c>
      <c r="N22" s="46">
        <v>45333632</v>
      </c>
      <c r="O22" s="38">
        <v>102135952</v>
      </c>
      <c r="P22" s="38">
        <v>10686976</v>
      </c>
      <c r="Q22" s="38">
        <v>0</v>
      </c>
      <c r="R22" s="38">
        <v>16780464</v>
      </c>
      <c r="S22" s="38">
        <v>74523552</v>
      </c>
      <c r="T22" s="38">
        <v>144960</v>
      </c>
      <c r="U22" s="47">
        <v>77.5534009</v>
      </c>
      <c r="V22" s="47">
        <v>79.973405200000002</v>
      </c>
      <c r="W22" s="47">
        <v>40.397799200000001</v>
      </c>
      <c r="X22" s="47">
        <v>45.187343200000001</v>
      </c>
      <c r="Y22" s="47">
        <v>48.057612800000001</v>
      </c>
      <c r="Z22" s="47">
        <v>49.744788200000002</v>
      </c>
      <c r="AA22" s="47">
        <v>36.540475399999998</v>
      </c>
      <c r="AB22" s="39">
        <v>9968.3132229999992</v>
      </c>
      <c r="AC22" s="39">
        <v>184.288344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134.67071999999999</v>
      </c>
      <c r="K23" s="21">
        <f t="shared" si="1"/>
        <v>12.161164366339911</v>
      </c>
      <c r="L23" s="19">
        <f t="shared" si="2"/>
        <v>143648768</v>
      </c>
      <c r="M23" s="19">
        <f t="shared" si="3"/>
        <v>37733832</v>
      </c>
      <c r="N23" s="44">
        <v>90678336</v>
      </c>
      <c r="O23" s="22">
        <v>143648768</v>
      </c>
      <c r="P23" s="22">
        <v>22488992</v>
      </c>
      <c r="Q23" s="22">
        <v>0</v>
      </c>
      <c r="R23" s="22">
        <v>15244840</v>
      </c>
      <c r="S23" s="22">
        <v>105766008</v>
      </c>
      <c r="T23" s="22">
        <v>148928</v>
      </c>
      <c r="U23" s="45">
        <v>78.720608299999995</v>
      </c>
      <c r="V23" s="45">
        <v>81.583275499999999</v>
      </c>
      <c r="W23" s="45">
        <v>41.469638400000001</v>
      </c>
      <c r="X23" s="45">
        <v>45.721933800000002</v>
      </c>
      <c r="Y23" s="45">
        <v>48.8262608</v>
      </c>
      <c r="Z23" s="45">
        <v>50.754959300000003</v>
      </c>
      <c r="AA23" s="45">
        <v>37.622993100000002</v>
      </c>
      <c r="AB23" s="23">
        <v>10545.413352</v>
      </c>
      <c r="AC23" s="23">
        <v>208.201708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200.77875</v>
      </c>
      <c r="K24" s="29">
        <f t="shared" si="1"/>
        <v>18.130915020119218</v>
      </c>
      <c r="L24" s="27">
        <f t="shared" si="2"/>
        <v>214164000</v>
      </c>
      <c r="M24" s="27">
        <f t="shared" si="3"/>
        <v>40143712</v>
      </c>
      <c r="N24" s="58">
        <v>90678336</v>
      </c>
      <c r="O24" s="30">
        <v>214164000</v>
      </c>
      <c r="P24" s="30">
        <v>20297784</v>
      </c>
      <c r="Q24" s="30">
        <v>0</v>
      </c>
      <c r="R24" s="30">
        <v>19845928</v>
      </c>
      <c r="S24" s="30">
        <v>173870272</v>
      </c>
      <c r="T24" s="30">
        <v>150016</v>
      </c>
      <c r="U24" s="59">
        <v>79.389169999999993</v>
      </c>
      <c r="V24" s="59">
        <v>82.567440700000006</v>
      </c>
      <c r="W24" s="59">
        <v>42.479537899999997</v>
      </c>
      <c r="X24" s="59">
        <v>46.794919100000001</v>
      </c>
      <c r="Y24" s="59">
        <v>50.184204700000002</v>
      </c>
      <c r="Z24" s="59">
        <v>51.158372800000002</v>
      </c>
      <c r="AA24" s="59">
        <v>38.361639099999998</v>
      </c>
      <c r="AB24" s="31">
        <v>10799.121988000001</v>
      </c>
      <c r="AC24" s="31">
        <v>206.15727999999999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40.256122499999996</v>
      </c>
      <c r="K25" s="21">
        <f t="shared" si="1"/>
        <v>3.578322</v>
      </c>
      <c r="L25" s="19">
        <f t="shared" si="2"/>
        <v>42939864</v>
      </c>
      <c r="M25" s="19">
        <f t="shared" si="3"/>
        <v>11674880</v>
      </c>
      <c r="N25" s="44">
        <v>23021184</v>
      </c>
      <c r="O25" s="22">
        <v>42939864</v>
      </c>
      <c r="P25" s="22">
        <v>6389976</v>
      </c>
      <c r="Q25" s="22">
        <v>0</v>
      </c>
      <c r="R25" s="22">
        <v>5284904</v>
      </c>
      <c r="S25" s="22">
        <v>31120016</v>
      </c>
      <c r="T25" s="22">
        <v>144968</v>
      </c>
      <c r="U25" s="45">
        <v>73.884464899999998</v>
      </c>
      <c r="V25" s="45">
        <v>75.685975799999994</v>
      </c>
      <c r="W25" s="45">
        <v>31.1082657</v>
      </c>
      <c r="X25" s="45">
        <v>39.907066700000001</v>
      </c>
      <c r="Y25" s="45">
        <v>36.599298099999999</v>
      </c>
      <c r="Z25" s="45">
        <v>45.1153738</v>
      </c>
      <c r="AA25" s="45">
        <v>28.151576599999999</v>
      </c>
      <c r="AB25" s="23">
        <v>2511.3220470000001</v>
      </c>
      <c r="AC25" s="23">
        <v>54.506095999999999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79.947810000000004</v>
      </c>
      <c r="K26" s="37">
        <f t="shared" si="1"/>
        <v>7.1064720000000001</v>
      </c>
      <c r="L26" s="35">
        <f t="shared" si="2"/>
        <v>85277664</v>
      </c>
      <c r="M26" s="35">
        <f t="shared" si="3"/>
        <v>18982648</v>
      </c>
      <c r="N26" s="46">
        <v>46064000</v>
      </c>
      <c r="O26" s="38">
        <v>85277664</v>
      </c>
      <c r="P26" s="38">
        <v>10702824</v>
      </c>
      <c r="Q26" s="38">
        <v>0</v>
      </c>
      <c r="R26" s="38">
        <v>8279824</v>
      </c>
      <c r="S26" s="38">
        <v>66145504</v>
      </c>
      <c r="T26" s="38">
        <v>149512</v>
      </c>
      <c r="U26" s="47">
        <v>76.997280900000007</v>
      </c>
      <c r="V26" s="47">
        <v>79.368843499999997</v>
      </c>
      <c r="W26" s="47">
        <v>33.469559199999999</v>
      </c>
      <c r="X26" s="47">
        <v>41.833448599999997</v>
      </c>
      <c r="Y26" s="47">
        <v>39.451580300000003</v>
      </c>
      <c r="Z26" s="47">
        <v>46.726252899999999</v>
      </c>
      <c r="AA26" s="47">
        <v>30.8981186</v>
      </c>
      <c r="AB26" s="39">
        <v>9793.188322</v>
      </c>
      <c r="AC26" s="39">
        <v>188.51285799999999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117.742575</v>
      </c>
      <c r="K27" s="21">
        <f t="shared" si="1"/>
        <v>10.466006666666667</v>
      </c>
      <c r="L27" s="19">
        <f t="shared" si="2"/>
        <v>125592080</v>
      </c>
      <c r="M27" s="19">
        <f t="shared" si="3"/>
        <v>26634208</v>
      </c>
      <c r="N27" s="44">
        <v>92146368</v>
      </c>
      <c r="O27" s="22">
        <v>125592080</v>
      </c>
      <c r="P27" s="22">
        <v>20250792</v>
      </c>
      <c r="Q27" s="22">
        <v>0</v>
      </c>
      <c r="R27" s="22">
        <v>6383416</v>
      </c>
      <c r="S27" s="22">
        <v>98808240</v>
      </c>
      <c r="T27" s="22">
        <v>149632</v>
      </c>
      <c r="U27" s="45">
        <v>78.604714200000004</v>
      </c>
      <c r="V27" s="45">
        <v>81.367076299999994</v>
      </c>
      <c r="W27" s="45">
        <v>34.487396400000002</v>
      </c>
      <c r="X27" s="45">
        <v>43.202519299999999</v>
      </c>
      <c r="Y27" s="45">
        <v>41.246572700000002</v>
      </c>
      <c r="Z27" s="45">
        <v>47.950094200000002</v>
      </c>
      <c r="AA27" s="45">
        <v>32.055281000000001</v>
      </c>
      <c r="AB27" s="23">
        <v>37547.740308</v>
      </c>
      <c r="AC27" s="23">
        <v>644.909853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167.50579500000001</v>
      </c>
      <c r="K28" s="37">
        <f t="shared" si="1"/>
        <v>14.889404000000001</v>
      </c>
      <c r="L28" s="35">
        <f t="shared" si="2"/>
        <v>178672848</v>
      </c>
      <c r="M28" s="35">
        <f t="shared" si="3"/>
        <v>45125608</v>
      </c>
      <c r="N28" s="46">
        <v>184310144</v>
      </c>
      <c r="O28" s="38">
        <v>178672848</v>
      </c>
      <c r="P28" s="38">
        <v>39549600</v>
      </c>
      <c r="Q28" s="38">
        <v>0</v>
      </c>
      <c r="R28" s="38">
        <v>5576008</v>
      </c>
      <c r="S28" s="38">
        <v>133398960</v>
      </c>
      <c r="T28" s="38">
        <v>148280</v>
      </c>
      <c r="U28" s="47">
        <v>80.386153399999998</v>
      </c>
      <c r="V28" s="47">
        <v>83.842409399999994</v>
      </c>
      <c r="W28" s="47">
        <v>35.306234099999998</v>
      </c>
      <c r="X28" s="47">
        <v>43.551515999999999</v>
      </c>
      <c r="Y28" s="47">
        <v>41.744945700000002</v>
      </c>
      <c r="Z28" s="47">
        <v>49.666489599999998</v>
      </c>
      <c r="AA28" s="47">
        <v>33.365241099999999</v>
      </c>
      <c r="AB28" s="39">
        <v>38404.893196999998</v>
      </c>
      <c r="AC28" s="39">
        <v>686.70126000000005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246.58839750000001</v>
      </c>
      <c r="K29" s="52">
        <f t="shared" si="1"/>
        <v>21.918968666666668</v>
      </c>
      <c r="L29" s="49">
        <f t="shared" si="2"/>
        <v>263027624</v>
      </c>
      <c r="M29" s="49">
        <f t="shared" si="3"/>
        <v>71182992</v>
      </c>
      <c r="N29" s="53">
        <v>368630976</v>
      </c>
      <c r="O29" s="54">
        <v>263027624</v>
      </c>
      <c r="P29" s="54">
        <v>70099400</v>
      </c>
      <c r="Q29" s="54">
        <v>0</v>
      </c>
      <c r="R29" s="54">
        <v>1083592</v>
      </c>
      <c r="S29" s="54">
        <v>191694992</v>
      </c>
      <c r="T29" s="54">
        <v>149640</v>
      </c>
      <c r="U29" s="55">
        <v>82.267652299999995</v>
      </c>
      <c r="V29" s="55">
        <v>86.439101300000004</v>
      </c>
      <c r="W29" s="55">
        <v>35.999158799999996</v>
      </c>
      <c r="X29" s="55">
        <v>44.180041799999998</v>
      </c>
      <c r="Y29" s="55">
        <v>42.561588100000002</v>
      </c>
      <c r="Z29" s="55">
        <v>51.536073700000003</v>
      </c>
      <c r="AA29" s="55">
        <v>34.473221199999998</v>
      </c>
      <c r="AB29" s="56">
        <v>39626.901351</v>
      </c>
      <c r="AC29" s="56">
        <v>653.35716000000002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20.160607500000001</v>
      </c>
      <c r="K30" s="37">
        <f t="shared" si="1"/>
        <v>3.5855099343843442</v>
      </c>
      <c r="L30" s="35">
        <f t="shared" si="2"/>
        <v>21504648</v>
      </c>
      <c r="M30" s="35">
        <f t="shared" si="3"/>
        <v>6981032</v>
      </c>
      <c r="N30" s="46">
        <v>11261056</v>
      </c>
      <c r="O30" s="38">
        <v>21504648</v>
      </c>
      <c r="P30" s="38">
        <v>3594448</v>
      </c>
      <c r="Q30" s="38">
        <v>0</v>
      </c>
      <c r="R30" s="38">
        <v>3386584</v>
      </c>
      <c r="S30" s="38">
        <v>14449848</v>
      </c>
      <c r="T30" s="38">
        <v>73768</v>
      </c>
      <c r="U30" s="47">
        <v>73.419166500000003</v>
      </c>
      <c r="V30" s="47">
        <v>75.086182300000004</v>
      </c>
      <c r="W30" s="47">
        <v>37.5934089</v>
      </c>
      <c r="X30" s="47">
        <v>44.026407499999998</v>
      </c>
      <c r="Y30" s="47">
        <v>42.6276352</v>
      </c>
      <c r="Z30" s="47">
        <v>48.104200499999997</v>
      </c>
      <c r="AA30" s="47">
        <v>34.3814785</v>
      </c>
      <c r="AB30" s="39">
        <v>4631.6293699999997</v>
      </c>
      <c r="AC30" s="39">
        <v>89.477885999999998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40.152974999999998</v>
      </c>
      <c r="K31" s="21">
        <f t="shared" si="1"/>
        <v>7.1410988363116648</v>
      </c>
      <c r="L31" s="19">
        <f t="shared" si="2"/>
        <v>42829840</v>
      </c>
      <c r="M31" s="19">
        <f t="shared" si="3"/>
        <v>9593872</v>
      </c>
      <c r="N31" s="44">
        <v>11261056</v>
      </c>
      <c r="O31" s="22">
        <v>42829840</v>
      </c>
      <c r="P31" s="22">
        <v>3594448</v>
      </c>
      <c r="Q31" s="22">
        <v>0</v>
      </c>
      <c r="R31" s="22">
        <v>5999424</v>
      </c>
      <c r="S31" s="22">
        <v>33161920</v>
      </c>
      <c r="T31" s="22">
        <v>74048</v>
      </c>
      <c r="U31" s="45">
        <v>74.939916199999999</v>
      </c>
      <c r="V31" s="45">
        <v>76.813886499999995</v>
      </c>
      <c r="W31" s="45">
        <v>39.921992000000003</v>
      </c>
      <c r="X31" s="45">
        <v>45.719527900000003</v>
      </c>
      <c r="Y31" s="45">
        <v>44.559809600000001</v>
      </c>
      <c r="Z31" s="45">
        <v>48.951958400000002</v>
      </c>
      <c r="AA31" s="45">
        <v>35.8406825</v>
      </c>
      <c r="AB31" s="23">
        <v>4751.3125369999998</v>
      </c>
      <c r="AC31" s="23">
        <v>94.547944000000001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59.350814999999997</v>
      </c>
      <c r="K32" s="37">
        <f t="shared" si="1"/>
        <v>10.555383154813532</v>
      </c>
      <c r="L32" s="35">
        <f t="shared" si="2"/>
        <v>63307536</v>
      </c>
      <c r="M32" s="35">
        <f t="shared" si="3"/>
        <v>15297184</v>
      </c>
      <c r="N32" s="46">
        <v>11450400</v>
      </c>
      <c r="O32" s="38">
        <v>63307536</v>
      </c>
      <c r="P32" s="38">
        <v>9515560</v>
      </c>
      <c r="Q32" s="38">
        <v>0</v>
      </c>
      <c r="R32" s="38">
        <v>5781624</v>
      </c>
      <c r="S32" s="38">
        <v>47948272</v>
      </c>
      <c r="T32" s="38">
        <v>62080</v>
      </c>
      <c r="U32" s="47">
        <v>78.184137800000002</v>
      </c>
      <c r="V32" s="47">
        <v>80.854347000000004</v>
      </c>
      <c r="W32" s="47">
        <v>41.2946898</v>
      </c>
      <c r="X32" s="47">
        <v>46.465253199999999</v>
      </c>
      <c r="Y32" s="47">
        <v>45.432438699999999</v>
      </c>
      <c r="Z32" s="47">
        <v>51.015977399999997</v>
      </c>
      <c r="AA32" s="47">
        <v>37.744764400000001</v>
      </c>
      <c r="AB32" s="39">
        <v>4938.8238979999996</v>
      </c>
      <c r="AC32" s="39">
        <v>83.706342000000006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85.424715000000006</v>
      </c>
      <c r="K33" s="21">
        <f t="shared" si="1"/>
        <v>15.192556289509199</v>
      </c>
      <c r="L33" s="19">
        <f t="shared" si="2"/>
        <v>91119696</v>
      </c>
      <c r="M33" s="19">
        <f t="shared" si="3"/>
        <v>18898584</v>
      </c>
      <c r="N33" s="44">
        <v>11450400</v>
      </c>
      <c r="O33" s="22">
        <v>91119696</v>
      </c>
      <c r="P33" s="22">
        <v>9515560</v>
      </c>
      <c r="Q33" s="22">
        <v>0</v>
      </c>
      <c r="R33" s="22">
        <v>9383024</v>
      </c>
      <c r="S33" s="22">
        <v>72159592</v>
      </c>
      <c r="T33" s="22">
        <v>61520</v>
      </c>
      <c r="U33" s="45">
        <v>79.430059099999994</v>
      </c>
      <c r="V33" s="45">
        <v>82.600745099999997</v>
      </c>
      <c r="W33" s="45">
        <v>42.224789199999996</v>
      </c>
      <c r="X33" s="45">
        <v>47.611820600000001</v>
      </c>
      <c r="Y33" s="45">
        <v>46.771935499999998</v>
      </c>
      <c r="Z33" s="45">
        <v>51.5961991</v>
      </c>
      <c r="AA33" s="45">
        <v>38.8145673</v>
      </c>
      <c r="AB33" s="23">
        <v>19650.076303000002</v>
      </c>
      <c r="AC33" s="23">
        <v>304.81570299999998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123.07239</v>
      </c>
      <c r="K34" s="29">
        <f t="shared" si="1"/>
        <v>21.888094244849736</v>
      </c>
      <c r="L34" s="27">
        <f t="shared" si="2"/>
        <v>131277216</v>
      </c>
      <c r="M34" s="27">
        <f t="shared" si="3"/>
        <v>30307872</v>
      </c>
      <c r="N34" s="58">
        <v>34479248</v>
      </c>
      <c r="O34" s="30">
        <v>131277216</v>
      </c>
      <c r="P34" s="30">
        <v>21767600</v>
      </c>
      <c r="Q34" s="30">
        <v>0</v>
      </c>
      <c r="R34" s="30">
        <v>8540272</v>
      </c>
      <c r="S34" s="30">
        <v>100908136</v>
      </c>
      <c r="T34" s="30">
        <v>61208</v>
      </c>
      <c r="U34" s="59">
        <v>82.179928799999999</v>
      </c>
      <c r="V34" s="59">
        <v>86.726447100000001</v>
      </c>
      <c r="W34" s="59">
        <v>43.234445000000001</v>
      </c>
      <c r="X34" s="59">
        <v>48.346170499999999</v>
      </c>
      <c r="Y34" s="59">
        <v>47.602867000000003</v>
      </c>
      <c r="Z34" s="59">
        <v>54.006281999999999</v>
      </c>
      <c r="AA34" s="59">
        <v>40.938670700000003</v>
      </c>
      <c r="AB34" s="31">
        <v>19548.331647999999</v>
      </c>
      <c r="AC34" s="31">
        <v>335.101427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4</v>
      </c>
      <c r="J35" s="20">
        <f t="shared" si="0"/>
        <v>37.584105000000001</v>
      </c>
      <c r="K35" s="21">
        <f t="shared" si="1"/>
        <v>4.4544124444444444</v>
      </c>
      <c r="L35" s="19">
        <f t="shared" si="2"/>
        <v>40089712</v>
      </c>
      <c r="M35" s="19">
        <f t="shared" si="3"/>
        <v>14166488</v>
      </c>
      <c r="N35" s="44">
        <v>17191488</v>
      </c>
      <c r="O35" s="22">
        <v>40089712</v>
      </c>
      <c r="P35" s="22">
        <v>5912584</v>
      </c>
      <c r="Q35" s="22">
        <v>0</v>
      </c>
      <c r="R35" s="22">
        <v>8253904</v>
      </c>
      <c r="S35" s="22">
        <v>25773912</v>
      </c>
      <c r="T35" s="22">
        <v>149312</v>
      </c>
      <c r="U35" s="45">
        <v>71.126086700000002</v>
      </c>
      <c r="V35" s="45">
        <v>72.470303099999995</v>
      </c>
      <c r="W35" s="45">
        <v>29.651762399999999</v>
      </c>
      <c r="X35" s="45">
        <v>38.7627174</v>
      </c>
      <c r="Y35" s="45">
        <v>38.433550400000001</v>
      </c>
      <c r="Z35" s="45">
        <v>47.1601164</v>
      </c>
      <c r="AA35" s="45">
        <v>28.390151199999998</v>
      </c>
      <c r="AB35" s="23">
        <v>2880.2275060000002</v>
      </c>
      <c r="AC35" s="23">
        <v>52.200195999999998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6</v>
      </c>
      <c r="J36" s="36">
        <f t="shared" si="0"/>
        <v>57.855427499999998</v>
      </c>
      <c r="K36" s="37">
        <f t="shared" si="1"/>
        <v>6.8569395555555559</v>
      </c>
      <c r="L36" s="35">
        <f t="shared" si="2"/>
        <v>61712456</v>
      </c>
      <c r="M36" s="35">
        <f t="shared" si="3"/>
        <v>17774888</v>
      </c>
      <c r="N36" s="46">
        <v>34432704</v>
      </c>
      <c r="O36" s="38">
        <v>61712456</v>
      </c>
      <c r="P36" s="38">
        <v>9007784</v>
      </c>
      <c r="Q36" s="38">
        <v>0</v>
      </c>
      <c r="R36" s="38">
        <v>8767104</v>
      </c>
      <c r="S36" s="38">
        <v>43791544</v>
      </c>
      <c r="T36" s="38">
        <v>146024</v>
      </c>
      <c r="U36" s="47">
        <v>74.139759900000001</v>
      </c>
      <c r="V36" s="47">
        <v>75.928395800000004</v>
      </c>
      <c r="W36" s="47">
        <v>30.3173241</v>
      </c>
      <c r="X36" s="47">
        <v>38.9407177</v>
      </c>
      <c r="Y36" s="47">
        <v>38.710861299999998</v>
      </c>
      <c r="Z36" s="47">
        <v>48.6866105</v>
      </c>
      <c r="AA36" s="47">
        <v>28.9190623</v>
      </c>
      <c r="AB36" s="39">
        <v>3133.7631529999999</v>
      </c>
      <c r="AC36" s="39">
        <v>68.802361000000005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11</v>
      </c>
      <c r="J37" s="20">
        <f t="shared" si="0"/>
        <v>104.5866675</v>
      </c>
      <c r="K37" s="21">
        <f t="shared" si="1"/>
        <v>12.395456888888889</v>
      </c>
      <c r="L37" s="19">
        <f t="shared" si="2"/>
        <v>111559112</v>
      </c>
      <c r="M37" s="19">
        <f t="shared" si="3"/>
        <v>20982040</v>
      </c>
      <c r="N37" s="44">
        <v>68915264</v>
      </c>
      <c r="O37" s="22">
        <v>111559112</v>
      </c>
      <c r="P37" s="22">
        <v>15236648</v>
      </c>
      <c r="Q37" s="22">
        <v>0</v>
      </c>
      <c r="R37" s="22">
        <v>5745392</v>
      </c>
      <c r="S37" s="22">
        <v>90425856</v>
      </c>
      <c r="T37" s="22">
        <v>151216</v>
      </c>
      <c r="U37" s="45">
        <v>74.738893300000001</v>
      </c>
      <c r="V37" s="45">
        <v>76.614088100000004</v>
      </c>
      <c r="W37" s="45">
        <v>31.266644899999999</v>
      </c>
      <c r="X37" s="45">
        <v>39.1685382</v>
      </c>
      <c r="Y37" s="45">
        <v>39.293427700000002</v>
      </c>
      <c r="Z37" s="45">
        <v>49.204242200000003</v>
      </c>
      <c r="AA37" s="45">
        <v>30.1856282</v>
      </c>
      <c r="AB37" s="23">
        <v>44950.368708000002</v>
      </c>
      <c r="AC37" s="23">
        <v>617.94160199999999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16</v>
      </c>
      <c r="J38" s="36">
        <f t="shared" si="0"/>
        <v>154.34289749999999</v>
      </c>
      <c r="K38" s="37">
        <f t="shared" si="1"/>
        <v>18.292491555555557</v>
      </c>
      <c r="L38" s="35">
        <f t="shared" si="2"/>
        <v>164632424</v>
      </c>
      <c r="M38" s="35">
        <f t="shared" si="3"/>
        <v>28778432</v>
      </c>
      <c r="N38" s="46">
        <v>68915264</v>
      </c>
      <c r="O38" s="38">
        <v>164632424</v>
      </c>
      <c r="P38" s="38">
        <v>16866904</v>
      </c>
      <c r="Q38" s="38">
        <v>0</v>
      </c>
      <c r="R38" s="38">
        <v>11911528</v>
      </c>
      <c r="S38" s="38">
        <v>135703680</v>
      </c>
      <c r="T38" s="38">
        <v>150312</v>
      </c>
      <c r="U38" s="47">
        <v>76.888112399999997</v>
      </c>
      <c r="V38" s="47">
        <v>79.183655900000005</v>
      </c>
      <c r="W38" s="47">
        <v>31.984129100000001</v>
      </c>
      <c r="X38" s="47">
        <v>39.242732500000002</v>
      </c>
      <c r="Y38" s="47">
        <v>39.425302000000002</v>
      </c>
      <c r="Z38" s="47">
        <v>50.4634772</v>
      </c>
      <c r="AA38" s="47">
        <v>30.9870518</v>
      </c>
      <c r="AB38" s="39">
        <v>44815.144575999999</v>
      </c>
      <c r="AC38" s="39">
        <v>627.16356399999995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24</v>
      </c>
      <c r="J39" s="51">
        <f t="shared" si="0"/>
        <v>228.7947825</v>
      </c>
      <c r="K39" s="52">
        <f t="shared" si="1"/>
        <v>27.116418666666668</v>
      </c>
      <c r="L39" s="49">
        <f t="shared" si="2"/>
        <v>244047768</v>
      </c>
      <c r="M39" s="49">
        <f t="shared" si="3"/>
        <v>38384816</v>
      </c>
      <c r="N39" s="53">
        <v>137868480</v>
      </c>
      <c r="O39" s="54">
        <v>244047768</v>
      </c>
      <c r="P39" s="54">
        <v>29553592</v>
      </c>
      <c r="Q39" s="54">
        <v>0</v>
      </c>
      <c r="R39" s="54">
        <v>8831224</v>
      </c>
      <c r="S39" s="54">
        <v>205517200</v>
      </c>
      <c r="T39" s="54">
        <v>145752</v>
      </c>
      <c r="U39" s="55">
        <v>78.693426599999995</v>
      </c>
      <c r="V39" s="55">
        <v>81.414120600000004</v>
      </c>
      <c r="W39" s="55">
        <v>32.768481800000004</v>
      </c>
      <c r="X39" s="55">
        <v>39.326181300000002</v>
      </c>
      <c r="Y39" s="55">
        <v>39.578526099999998</v>
      </c>
      <c r="Z39" s="55">
        <v>51.6102457</v>
      </c>
      <c r="AA39" s="55">
        <v>31.782996900000001</v>
      </c>
      <c r="AB39" s="56">
        <v>45484.861384000003</v>
      </c>
      <c r="AC39" s="56">
        <v>628.02649299999996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4</v>
      </c>
      <c r="J40" s="36">
        <f t="shared" si="0"/>
        <v>38.075062500000001</v>
      </c>
      <c r="K40" s="37">
        <f t="shared" si="1"/>
        <v>4.5125999999999999</v>
      </c>
      <c r="L40" s="35">
        <f t="shared" si="2"/>
        <v>40613400</v>
      </c>
      <c r="M40" s="35">
        <f t="shared" si="3"/>
        <v>12028504</v>
      </c>
      <c r="N40" s="46">
        <v>17235840</v>
      </c>
      <c r="O40" s="38">
        <v>40613400</v>
      </c>
      <c r="P40" s="38">
        <v>5172552</v>
      </c>
      <c r="Q40" s="38">
        <v>0</v>
      </c>
      <c r="R40" s="38">
        <v>6855952</v>
      </c>
      <c r="S40" s="38">
        <v>28437184</v>
      </c>
      <c r="T40" s="38">
        <v>147712</v>
      </c>
      <c r="U40" s="47">
        <v>71.823553399999994</v>
      </c>
      <c r="V40" s="47">
        <v>73.040463099999997</v>
      </c>
      <c r="W40" s="47">
        <v>32.528486000000001</v>
      </c>
      <c r="X40" s="47">
        <v>42.257798399999999</v>
      </c>
      <c r="Y40" s="47">
        <v>42.502498600000003</v>
      </c>
      <c r="Z40" s="47">
        <v>47.550877</v>
      </c>
      <c r="AA40" s="47">
        <v>31.609701300000001</v>
      </c>
      <c r="AB40" s="39">
        <v>10517.59404</v>
      </c>
      <c r="AC40" s="39">
        <v>160.901118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6</v>
      </c>
      <c r="J41" s="20">
        <f t="shared" si="0"/>
        <v>57.640259999999998</v>
      </c>
      <c r="K41" s="21">
        <f t="shared" si="1"/>
        <v>6.8314382222222223</v>
      </c>
      <c r="L41" s="19">
        <f t="shared" si="2"/>
        <v>61482944</v>
      </c>
      <c r="M41" s="19">
        <f t="shared" si="3"/>
        <v>13191152</v>
      </c>
      <c r="N41" s="44">
        <v>17235840</v>
      </c>
      <c r="O41" s="22">
        <v>61482944</v>
      </c>
      <c r="P41" s="22">
        <v>5596864</v>
      </c>
      <c r="Q41" s="22">
        <v>0</v>
      </c>
      <c r="R41" s="22">
        <v>7594288</v>
      </c>
      <c r="S41" s="22">
        <v>48143304</v>
      </c>
      <c r="T41" s="22">
        <v>148488</v>
      </c>
      <c r="U41" s="45">
        <v>72.127552499999993</v>
      </c>
      <c r="V41" s="45">
        <v>73.385092999999998</v>
      </c>
      <c r="W41" s="45">
        <v>33.184151100000001</v>
      </c>
      <c r="X41" s="45">
        <v>42.511341899999998</v>
      </c>
      <c r="Y41" s="45">
        <v>42.786046399999996</v>
      </c>
      <c r="Z41" s="45">
        <v>47.725117599999997</v>
      </c>
      <c r="AA41" s="45">
        <v>32.020524000000002</v>
      </c>
      <c r="AB41" s="23">
        <v>42511.288619999999</v>
      </c>
      <c r="AC41" s="23">
        <v>590.44248100000004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11</v>
      </c>
      <c r="J42" s="36">
        <f t="shared" si="0"/>
        <v>103.9537275</v>
      </c>
      <c r="K42" s="37">
        <f t="shared" si="1"/>
        <v>12.320441777777777</v>
      </c>
      <c r="L42" s="35">
        <f t="shared" si="2"/>
        <v>110883976</v>
      </c>
      <c r="M42" s="35">
        <f t="shared" si="3"/>
        <v>23019200</v>
      </c>
      <c r="N42" s="46">
        <v>69038976</v>
      </c>
      <c r="O42" s="38">
        <v>110883976</v>
      </c>
      <c r="P42" s="38">
        <v>14737096</v>
      </c>
      <c r="Q42" s="38">
        <v>0</v>
      </c>
      <c r="R42" s="38">
        <v>8282104</v>
      </c>
      <c r="S42" s="38">
        <v>87713872</v>
      </c>
      <c r="T42" s="38">
        <v>150904</v>
      </c>
      <c r="U42" s="47">
        <v>76.216631199999995</v>
      </c>
      <c r="V42" s="47">
        <v>78.046946500000004</v>
      </c>
      <c r="W42" s="47">
        <v>34.182746999999999</v>
      </c>
      <c r="X42" s="47">
        <v>42.858590999999997</v>
      </c>
      <c r="Y42" s="47">
        <v>43.336437099999998</v>
      </c>
      <c r="Z42" s="47">
        <v>50.220402200000002</v>
      </c>
      <c r="AA42" s="47">
        <v>33.306167000000002</v>
      </c>
      <c r="AB42" s="39">
        <v>42606.528596999997</v>
      </c>
      <c r="AC42" s="39">
        <v>594.30261499999995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16</v>
      </c>
      <c r="J43" s="20">
        <f t="shared" si="0"/>
        <v>152.63105999999999</v>
      </c>
      <c r="K43" s="21">
        <f t="shared" si="1"/>
        <v>18.089607111111111</v>
      </c>
      <c r="L43" s="19">
        <f t="shared" si="2"/>
        <v>162806464</v>
      </c>
      <c r="M43" s="19">
        <f t="shared" si="3"/>
        <v>27712176</v>
      </c>
      <c r="N43" s="44">
        <v>69038976</v>
      </c>
      <c r="O43" s="22">
        <v>162806464</v>
      </c>
      <c r="P43" s="22">
        <v>16355688</v>
      </c>
      <c r="Q43" s="22">
        <v>0</v>
      </c>
      <c r="R43" s="22">
        <v>11356488</v>
      </c>
      <c r="S43" s="22">
        <v>134943904</v>
      </c>
      <c r="T43" s="22">
        <v>150384</v>
      </c>
      <c r="U43" s="45">
        <v>77.416828499999994</v>
      </c>
      <c r="V43" s="45">
        <v>79.481761700000007</v>
      </c>
      <c r="W43" s="45">
        <v>34.864321199999999</v>
      </c>
      <c r="X43" s="45">
        <v>42.987093899999998</v>
      </c>
      <c r="Y43" s="45">
        <v>43.524555300000003</v>
      </c>
      <c r="Z43" s="45">
        <v>50.9139403</v>
      </c>
      <c r="AA43" s="45">
        <v>33.947100300000002</v>
      </c>
      <c r="AB43" s="23">
        <v>43042.484512000003</v>
      </c>
      <c r="AC43" s="23">
        <v>615.68967799999996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24</v>
      </c>
      <c r="J44" s="28">
        <f t="shared" si="0"/>
        <v>228.15299250000001</v>
      </c>
      <c r="K44" s="29">
        <f t="shared" si="1"/>
        <v>27.040354666666666</v>
      </c>
      <c r="L44" s="27">
        <f t="shared" si="2"/>
        <v>243363192</v>
      </c>
      <c r="M44" s="27">
        <f t="shared" si="3"/>
        <v>37393552</v>
      </c>
      <c r="N44" s="58">
        <v>138091776</v>
      </c>
      <c r="O44" s="30">
        <v>243363192</v>
      </c>
      <c r="P44" s="30">
        <v>25569256</v>
      </c>
      <c r="Q44" s="30">
        <v>0</v>
      </c>
      <c r="R44" s="30">
        <v>11824296</v>
      </c>
      <c r="S44" s="30">
        <v>205821304</v>
      </c>
      <c r="T44" s="30">
        <v>148336</v>
      </c>
      <c r="U44" s="59">
        <v>79.309785300000001</v>
      </c>
      <c r="V44" s="59">
        <v>81.892414500000001</v>
      </c>
      <c r="W44" s="59">
        <v>35.693393700000001</v>
      </c>
      <c r="X44" s="59">
        <v>43.1214625</v>
      </c>
      <c r="Y44" s="59">
        <v>43.715372899999998</v>
      </c>
      <c r="Z44" s="59">
        <v>52.161185000000003</v>
      </c>
      <c r="AA44" s="59">
        <v>34.852229700000002</v>
      </c>
      <c r="AB44" s="31">
        <v>43788.107247</v>
      </c>
      <c r="AC44" s="31">
        <v>606.72972400000003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5.71488</v>
      </c>
      <c r="K45" s="21">
        <f t="shared" ref="K45:K49" si="13">IF(ISBLANK(O45),"·",O45/D45)</f>
        <v>0.95255620449635969</v>
      </c>
      <c r="L45" s="19">
        <f t="shared" ref="L45:L49" si="14">IF(OR(ISBLANK(M45),ISBLANK(S45),ISBLANK(T45)),".",M45+S45+T45)</f>
        <v>190496</v>
      </c>
      <c r="M45" s="19">
        <f t="shared" ref="M45:M49" si="15">IF(OR(ISBLANK(Q45),ISBLANK(P45),ISBLANK(R45)),".",P45+Q45+R45)</f>
        <v>87984</v>
      </c>
      <c r="N45" s="44">
        <v>383872</v>
      </c>
      <c r="O45" s="22">
        <v>190496</v>
      </c>
      <c r="P45" s="22">
        <v>72440</v>
      </c>
      <c r="Q45" s="22">
        <v>0</v>
      </c>
      <c r="R45" s="22">
        <v>15544</v>
      </c>
      <c r="S45" s="22">
        <v>100864</v>
      </c>
      <c r="T45" s="22">
        <v>1648</v>
      </c>
      <c r="U45" s="45">
        <v>76.493702900000002</v>
      </c>
      <c r="V45" s="45">
        <v>79.061057300000002</v>
      </c>
      <c r="W45" s="45">
        <v>30.278041900000002</v>
      </c>
      <c r="X45" s="45">
        <v>42.494525299999999</v>
      </c>
      <c r="Y45" s="45">
        <v>40.849274800000003</v>
      </c>
      <c r="Z45" s="45">
        <v>55.044560400000002</v>
      </c>
      <c r="AA45" s="45">
        <v>29.878969999999999</v>
      </c>
      <c r="AB45" s="23">
        <v>32.882345000000001</v>
      </c>
      <c r="AC45" s="23">
        <v>0.58515099999999998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9</v>
      </c>
      <c r="J46" s="36">
        <f t="shared" si="12"/>
        <v>10.2888</v>
      </c>
      <c r="K46" s="37">
        <f t="shared" si="13"/>
        <v>1.714937194975598</v>
      </c>
      <c r="L46" s="35">
        <f t="shared" si="14"/>
        <v>342960</v>
      </c>
      <c r="M46" s="35">
        <f t="shared" si="15"/>
        <v>105808</v>
      </c>
      <c r="N46" s="46">
        <v>383872</v>
      </c>
      <c r="O46" s="38">
        <v>342960</v>
      </c>
      <c r="P46" s="38">
        <v>81088</v>
      </c>
      <c r="Q46" s="38">
        <v>0</v>
      </c>
      <c r="R46" s="38">
        <v>24720</v>
      </c>
      <c r="S46" s="38">
        <v>235496</v>
      </c>
      <c r="T46" s="38">
        <v>1656</v>
      </c>
      <c r="U46" s="47">
        <v>78.244808599999999</v>
      </c>
      <c r="V46" s="47">
        <v>81.361836800000006</v>
      </c>
      <c r="W46" s="47">
        <v>31.540469900000002</v>
      </c>
      <c r="X46" s="47">
        <v>43.652007599999997</v>
      </c>
      <c r="Y46" s="47">
        <v>42.291822500000002</v>
      </c>
      <c r="Z46" s="47">
        <v>56.170851599999999</v>
      </c>
      <c r="AA46" s="47">
        <v>31.075164699999998</v>
      </c>
      <c r="AB46" s="39">
        <v>34.101041000000002</v>
      </c>
      <c r="AC46" s="39">
        <v>0.63029999999999997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12</v>
      </c>
      <c r="J47" s="20">
        <f t="shared" si="12"/>
        <v>27.548159999999999</v>
      </c>
      <c r="K47" s="21">
        <f t="shared" si="13"/>
        <v>4.5917273381870549</v>
      </c>
      <c r="L47" s="19">
        <f t="shared" si="14"/>
        <v>918272</v>
      </c>
      <c r="M47" s="19">
        <f t="shared" si="15"/>
        <v>201688</v>
      </c>
      <c r="N47" s="44">
        <v>767872</v>
      </c>
      <c r="O47" s="22">
        <v>918272</v>
      </c>
      <c r="P47" s="22">
        <v>141704</v>
      </c>
      <c r="Q47" s="22">
        <v>0</v>
      </c>
      <c r="R47" s="22">
        <v>59984</v>
      </c>
      <c r="S47" s="22">
        <v>714904</v>
      </c>
      <c r="T47" s="22">
        <v>1680</v>
      </c>
      <c r="U47" s="45">
        <v>81.334224199999994</v>
      </c>
      <c r="V47" s="45">
        <v>86.582821699999997</v>
      </c>
      <c r="W47" s="45">
        <v>32.737954999999999</v>
      </c>
      <c r="X47" s="45">
        <v>44.933899199999999</v>
      </c>
      <c r="Y47" s="45">
        <v>43.992284499999997</v>
      </c>
      <c r="Z47" s="45">
        <v>58.616900700000002</v>
      </c>
      <c r="AA47" s="45">
        <v>32.434200199999999</v>
      </c>
      <c r="AB47" s="23">
        <v>39.284185000000001</v>
      </c>
      <c r="AC47" s="23">
        <v>0.79700099999999996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15</v>
      </c>
      <c r="J48" s="36">
        <f t="shared" si="12"/>
        <v>50.752560000000003</v>
      </c>
      <c r="K48" s="37">
        <f t="shared" si="13"/>
        <v>8.4594367549403948</v>
      </c>
      <c r="L48" s="35">
        <f t="shared" si="14"/>
        <v>1691752</v>
      </c>
      <c r="M48" s="35">
        <f t="shared" si="15"/>
        <v>303544</v>
      </c>
      <c r="N48" s="46">
        <v>1535744</v>
      </c>
      <c r="O48" s="38">
        <v>1691752</v>
      </c>
      <c r="P48" s="38">
        <v>248112</v>
      </c>
      <c r="Q48" s="38">
        <v>0</v>
      </c>
      <c r="R48" s="38">
        <v>55432</v>
      </c>
      <c r="S48" s="38">
        <v>1386528</v>
      </c>
      <c r="T48" s="38">
        <v>1680</v>
      </c>
      <c r="U48" s="47">
        <v>82.120771199999993</v>
      </c>
      <c r="V48" s="47">
        <v>88.265081100000003</v>
      </c>
      <c r="W48" s="47">
        <v>33.567344599999998</v>
      </c>
      <c r="X48" s="47">
        <v>46.3748389</v>
      </c>
      <c r="Y48" s="47">
        <v>45.425838900000002</v>
      </c>
      <c r="Z48" s="47">
        <v>59.151543500000002</v>
      </c>
      <c r="AA48" s="47">
        <v>33.257023400000001</v>
      </c>
      <c r="AB48" s="39">
        <v>45.838652000000003</v>
      </c>
      <c r="AC48" s="39">
        <v>1.1819729999999999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22</v>
      </c>
      <c r="J49" s="51">
        <f t="shared" si="12"/>
        <v>90.078239999999994</v>
      </c>
      <c r="K49" s="52">
        <f t="shared" si="13"/>
        <v>15.014241139291144</v>
      </c>
      <c r="L49" s="49">
        <f t="shared" si="14"/>
        <v>3002608</v>
      </c>
      <c r="M49" s="49">
        <f t="shared" si="15"/>
        <v>312936</v>
      </c>
      <c r="N49" s="53">
        <v>1535744</v>
      </c>
      <c r="O49" s="54">
        <v>3002608</v>
      </c>
      <c r="P49" s="54">
        <v>248112</v>
      </c>
      <c r="Q49" s="54">
        <v>0</v>
      </c>
      <c r="R49" s="54">
        <v>64824</v>
      </c>
      <c r="S49" s="54">
        <v>2687984</v>
      </c>
      <c r="T49" s="54">
        <v>1688</v>
      </c>
      <c r="U49" s="55">
        <v>82.296570799999998</v>
      </c>
      <c r="V49" s="55">
        <v>88.772984699999995</v>
      </c>
      <c r="W49" s="55">
        <v>34.238238899999999</v>
      </c>
      <c r="X49" s="55">
        <v>48.012117199999999</v>
      </c>
      <c r="Y49" s="55">
        <v>46.998905299999997</v>
      </c>
      <c r="Z49" s="55">
        <v>59.486194699999999</v>
      </c>
      <c r="AA49" s="55">
        <v>33.879080799999997</v>
      </c>
      <c r="AB49" s="56">
        <v>49.945228999999998</v>
      </c>
      <c r="AC49" s="56">
        <v>1.2164090000000001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12.823457287390497</v>
      </c>
      <c r="L50" s="42"/>
      <c r="M50" s="42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9.2029360522497878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12.711598834104537</v>
      </c>
      <c r="L52" s="42"/>
      <c r="M52" s="42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6.1465797263781097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11.227306860230758</v>
      </c>
      <c r="L54" s="42"/>
      <c r="M54" s="42"/>
      <c r="AF54" s="42" t="e">
        <f>AVERAGE(AF5:AF49)</f>
        <v>#DIV/0!</v>
      </c>
      <c r="AG54" s="42"/>
      <c r="AH54" s="42"/>
      <c r="AJ54" s="98"/>
      <c r="AK54" s="98"/>
      <c r="AZ54" s="5" t="e">
        <f t="shared" ref="AZ54:BF54" si="33">AVERAGE(AZ5:AZ49)</f>
        <v>#DIV/0!</v>
      </c>
      <c r="BA54" s="5" t="e">
        <f t="shared" si="33"/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 t="shared" ref="BH54:BN54" si="34">AVERAGE(BH5:BH49)</f>
        <v>#DIV/0!</v>
      </c>
      <c r="BI54" s="5" t="e">
        <f t="shared" si="34"/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709448.77638199995</v>
      </c>
      <c r="AC55" s="43">
        <f>SUM(AC5:AC14,AC15:AC24,AC25:AC44,AC45:AC49)</f>
        <v>11024.070165000001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W56" s="8">
        <f>AW55/AB55</f>
        <v>0</v>
      </c>
      <c r="AX56" s="8">
        <f>AX55/AC55</f>
        <v>0</v>
      </c>
    </row>
    <row r="59" spans="1:72" ht="15.75" customHeight="1" thickBot="1" x14ac:dyDescent="0.2"/>
    <row r="60" spans="1:72" x14ac:dyDescent="0.15">
      <c r="AG60" s="88" t="e">
        <f t="shared" ref="AG60:AG98" si="36">AG5-L5</f>
        <v>#VALUE!</v>
      </c>
      <c r="AH60" s="88" t="e">
        <f t="shared" ref="AH60:AH98" si="37">AH5-M5</f>
        <v>#VALUE!</v>
      </c>
      <c r="AI60" s="88">
        <f t="shared" ref="AI60:AI98" si="38">AI5-N5</f>
        <v>-22725696</v>
      </c>
      <c r="AJ60" s="88">
        <f t="shared" ref="AJ60:AJ98" si="39">AJ5-O5</f>
        <v>-52841840</v>
      </c>
      <c r="AK60" s="88">
        <f t="shared" ref="AK60:AK98" si="40">AK5-P5</f>
        <v>-7986928</v>
      </c>
      <c r="AL60" s="88">
        <f t="shared" ref="AL60:AL98" si="41">AL5-Q5</f>
        <v>0</v>
      </c>
      <c r="AM60" s="88">
        <f t="shared" ref="AM60:AM98" si="42">AM5-R5</f>
        <v>-8524064</v>
      </c>
      <c r="AN60" s="88">
        <f t="shared" ref="AN60:AN98" si="43">AN5-S5</f>
        <v>-36191712</v>
      </c>
      <c r="AO60" s="88">
        <f t="shared" ref="AO60:AO98" si="44">AO5-T5</f>
        <v>-139136</v>
      </c>
      <c r="AP60" s="88">
        <f t="shared" ref="AP60:AP98" si="45">AP5-U5</f>
        <v>-69.363559600000002</v>
      </c>
      <c r="AQ60" s="89">
        <f t="shared" ref="AQ60:AQ98" si="46">AQ5-V5</f>
        <v>-70.485944799999999</v>
      </c>
      <c r="AR60" s="89">
        <f t="shared" ref="AR60:AR98" si="47">AR5-W5</f>
        <v>-28.791065400000001</v>
      </c>
      <c r="AS60" s="89">
        <f t="shared" ref="AS60:AS98" si="48">AS5-X5</f>
        <v>-33.877114300000002</v>
      </c>
      <c r="AT60" s="89">
        <f t="shared" ref="AT60:AT98" si="49">AT5-Y5</f>
        <v>-33.315005300000003</v>
      </c>
      <c r="AU60" s="89">
        <f t="shared" ref="AU60:AU98" si="50">AU5-Z5</f>
        <v>-48.447795399999997</v>
      </c>
      <c r="AV60" s="90">
        <f t="shared" ref="AV60:AV98" si="51">AV5-AA5</f>
        <v>-27.378885199999999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-22725696</v>
      </c>
      <c r="AJ61" s="91">
        <f t="shared" si="39"/>
        <v>-96644312</v>
      </c>
      <c r="AK61" s="91">
        <f t="shared" si="40"/>
        <v>-8622752</v>
      </c>
      <c r="AL61" s="91">
        <f t="shared" si="41"/>
        <v>0</v>
      </c>
      <c r="AM61" s="91">
        <f t="shared" si="42"/>
        <v>-10648840</v>
      </c>
      <c r="AN61" s="91">
        <f t="shared" si="43"/>
        <v>-77235144</v>
      </c>
      <c r="AO61" s="91">
        <f t="shared" si="44"/>
        <v>-137576</v>
      </c>
      <c r="AP61" s="91">
        <f t="shared" si="45"/>
        <v>-69.989304899999993</v>
      </c>
      <c r="AQ61" s="92">
        <f t="shared" si="46"/>
        <v>-71.180121200000002</v>
      </c>
      <c r="AR61" s="92">
        <f t="shared" si="47"/>
        <v>-31.510285199999998</v>
      </c>
      <c r="AS61" s="92">
        <f t="shared" si="48"/>
        <v>-35.087076199999998</v>
      </c>
      <c r="AT61" s="92">
        <f t="shared" si="49"/>
        <v>-34.637444899999998</v>
      </c>
      <c r="AU61" s="92">
        <f t="shared" si="50"/>
        <v>-48.799030500000001</v>
      </c>
      <c r="AV61" s="93">
        <f t="shared" si="51"/>
        <v>-28.930249199999999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-45556032</v>
      </c>
      <c r="AJ62" s="91">
        <f t="shared" si="39"/>
        <v>-129581936</v>
      </c>
      <c r="AK62" s="91">
        <f t="shared" si="40"/>
        <v>-12439568</v>
      </c>
      <c r="AL62" s="91">
        <f t="shared" si="41"/>
        <v>0</v>
      </c>
      <c r="AM62" s="91">
        <f t="shared" si="42"/>
        <v>-8126680</v>
      </c>
      <c r="AN62" s="91">
        <f t="shared" si="43"/>
        <v>-108875160</v>
      </c>
      <c r="AO62" s="91">
        <f t="shared" si="44"/>
        <v>-140528</v>
      </c>
      <c r="AP62" s="91">
        <f t="shared" si="45"/>
        <v>-71.584972500000006</v>
      </c>
      <c r="AQ62" s="92">
        <f t="shared" si="46"/>
        <v>-73.046354600000001</v>
      </c>
      <c r="AR62" s="92">
        <f t="shared" si="47"/>
        <v>-32.652302200000001</v>
      </c>
      <c r="AS62" s="92">
        <f t="shared" si="48"/>
        <v>-36.888010700000002</v>
      </c>
      <c r="AT62" s="92">
        <f t="shared" si="49"/>
        <v>-36.609719900000002</v>
      </c>
      <c r="AU62" s="92">
        <f t="shared" si="50"/>
        <v>-49.6003477</v>
      </c>
      <c r="AV62" s="93">
        <f t="shared" si="51"/>
        <v>-30.201673899999999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-45556032</v>
      </c>
      <c r="AJ63" s="91">
        <f t="shared" si="39"/>
        <v>-162619568</v>
      </c>
      <c r="AK63" s="91">
        <f t="shared" si="40"/>
        <v>-13604264</v>
      </c>
      <c r="AL63" s="91">
        <f t="shared" si="41"/>
        <v>0</v>
      </c>
      <c r="AM63" s="91">
        <f t="shared" si="42"/>
        <v>-14355704</v>
      </c>
      <c r="AN63" s="91">
        <f t="shared" si="43"/>
        <v>-134517240</v>
      </c>
      <c r="AO63" s="91">
        <f t="shared" si="44"/>
        <v>-142360</v>
      </c>
      <c r="AP63" s="91">
        <f t="shared" si="45"/>
        <v>-73.504486499999999</v>
      </c>
      <c r="AQ63" s="92">
        <f t="shared" si="46"/>
        <v>-75.228456499999993</v>
      </c>
      <c r="AR63" s="92">
        <f t="shared" si="47"/>
        <v>-33.624456100000003</v>
      </c>
      <c r="AS63" s="92">
        <f t="shared" si="48"/>
        <v>-37.419347899999998</v>
      </c>
      <c r="AT63" s="92">
        <f t="shared" si="49"/>
        <v>-37.139835099999999</v>
      </c>
      <c r="AU63" s="92">
        <f t="shared" si="50"/>
        <v>-50.6419414</v>
      </c>
      <c r="AV63" s="93">
        <f t="shared" si="51"/>
        <v>-31.319670800000001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-91604096</v>
      </c>
      <c r="AJ64" s="91">
        <f t="shared" si="39"/>
        <v>-235816936</v>
      </c>
      <c r="AK64" s="91">
        <f t="shared" si="40"/>
        <v>-20293248</v>
      </c>
      <c r="AL64" s="91">
        <f t="shared" si="41"/>
        <v>0</v>
      </c>
      <c r="AM64" s="91">
        <f t="shared" si="42"/>
        <v>-25877768</v>
      </c>
      <c r="AN64" s="91">
        <f t="shared" si="43"/>
        <v>-189502160</v>
      </c>
      <c r="AO64" s="91">
        <f t="shared" si="44"/>
        <v>-143760</v>
      </c>
      <c r="AP64" s="91">
        <f t="shared" si="45"/>
        <v>-76.411080900000002</v>
      </c>
      <c r="AQ64" s="92">
        <f t="shared" si="46"/>
        <v>-78.746952800000003</v>
      </c>
      <c r="AR64" s="92">
        <f t="shared" si="47"/>
        <v>-34.979666999999999</v>
      </c>
      <c r="AS64" s="92">
        <f t="shared" si="48"/>
        <v>-38.517919800000001</v>
      </c>
      <c r="AT64" s="92">
        <f t="shared" si="49"/>
        <v>-38.221520400000003</v>
      </c>
      <c r="AU64" s="92">
        <f t="shared" si="50"/>
        <v>-52.422598700000002</v>
      </c>
      <c r="AV64" s="93">
        <f t="shared" si="51"/>
        <v>-33.004011900000002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-22538688</v>
      </c>
      <c r="AJ65" s="91">
        <f t="shared" si="39"/>
        <v>-51381576</v>
      </c>
      <c r="AK65" s="91">
        <f t="shared" si="40"/>
        <v>-8427928</v>
      </c>
      <c r="AL65" s="91">
        <f t="shared" si="41"/>
        <v>0</v>
      </c>
      <c r="AM65" s="91">
        <f t="shared" si="42"/>
        <v>-6694464</v>
      </c>
      <c r="AN65" s="91">
        <f t="shared" si="43"/>
        <v>-36115024</v>
      </c>
      <c r="AO65" s="91">
        <f t="shared" si="44"/>
        <v>-144160</v>
      </c>
      <c r="AP65" s="91">
        <f t="shared" si="45"/>
        <v>-65.558321800000002</v>
      </c>
      <c r="AQ65" s="92">
        <f t="shared" si="46"/>
        <v>-66.268584399999995</v>
      </c>
      <c r="AR65" s="92">
        <f t="shared" si="47"/>
        <v>-32.203576599999998</v>
      </c>
      <c r="AS65" s="92">
        <f t="shared" si="48"/>
        <v>-44.923329899999999</v>
      </c>
      <c r="AT65" s="92">
        <f t="shared" si="49"/>
        <v>-45.217159000000002</v>
      </c>
      <c r="AU65" s="92">
        <f t="shared" si="50"/>
        <v>-44.3521407</v>
      </c>
      <c r="AV65" s="93">
        <f t="shared" si="51"/>
        <v>-29.648421299999999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-45393792</v>
      </c>
      <c r="AJ66" s="91">
        <f t="shared" si="39"/>
        <v>-92036440</v>
      </c>
      <c r="AK66" s="91">
        <f t="shared" si="40"/>
        <v>-13193296</v>
      </c>
      <c r="AL66" s="91">
        <f t="shared" si="41"/>
        <v>0</v>
      </c>
      <c r="AM66" s="91">
        <f t="shared" si="42"/>
        <v>-10984160</v>
      </c>
      <c r="AN66" s="91">
        <f t="shared" si="43"/>
        <v>-67708992</v>
      </c>
      <c r="AO66" s="91">
        <f t="shared" si="44"/>
        <v>-149992</v>
      </c>
      <c r="AP66" s="91">
        <f t="shared" si="45"/>
        <v>-70.143567700000006</v>
      </c>
      <c r="AQ66" s="92">
        <f t="shared" si="46"/>
        <v>-71.491474800000006</v>
      </c>
      <c r="AR66" s="92">
        <f t="shared" si="47"/>
        <v>-34.912693099999998</v>
      </c>
      <c r="AS66" s="92">
        <f t="shared" si="48"/>
        <v>-45.560808100000003</v>
      </c>
      <c r="AT66" s="92">
        <f t="shared" si="49"/>
        <v>-45.947591899999999</v>
      </c>
      <c r="AU66" s="92">
        <f t="shared" si="50"/>
        <v>-46.961600400000002</v>
      </c>
      <c r="AV66" s="93">
        <f t="shared" si="51"/>
        <v>-32.388857100000003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-45393792</v>
      </c>
      <c r="AJ67" s="91">
        <f t="shared" si="39"/>
        <v>-123381872</v>
      </c>
      <c r="AK67" s="91">
        <f t="shared" si="40"/>
        <v>-13193296</v>
      </c>
      <c r="AL67" s="91">
        <f t="shared" si="41"/>
        <v>0</v>
      </c>
      <c r="AM67" s="91">
        <f t="shared" si="42"/>
        <v>-24595096</v>
      </c>
      <c r="AN67" s="91">
        <f t="shared" si="43"/>
        <v>-85455016</v>
      </c>
      <c r="AO67" s="91">
        <f t="shared" si="44"/>
        <v>-138464</v>
      </c>
      <c r="AP67" s="91">
        <f t="shared" si="45"/>
        <v>-72.460746200000003</v>
      </c>
      <c r="AQ67" s="92">
        <f t="shared" si="46"/>
        <v>-74.126709099999999</v>
      </c>
      <c r="AR67" s="92">
        <f t="shared" si="47"/>
        <v>-35.9783069</v>
      </c>
      <c r="AS67" s="92">
        <f t="shared" si="48"/>
        <v>-45.8829025</v>
      </c>
      <c r="AT67" s="92">
        <f t="shared" si="49"/>
        <v>-46.312832700000001</v>
      </c>
      <c r="AU67" s="92">
        <f t="shared" si="50"/>
        <v>-48.224816699999998</v>
      </c>
      <c r="AV67" s="93">
        <f t="shared" si="51"/>
        <v>-33.675797000000003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-91443328</v>
      </c>
      <c r="AJ68" s="91">
        <f t="shared" si="39"/>
        <v>-153323712</v>
      </c>
      <c r="AK68" s="91">
        <f t="shared" si="40"/>
        <v>-21684880</v>
      </c>
      <c r="AL68" s="91">
        <f t="shared" si="41"/>
        <v>0</v>
      </c>
      <c r="AM68" s="91">
        <f t="shared" si="42"/>
        <v>-23416608</v>
      </c>
      <c r="AN68" s="91">
        <f t="shared" si="43"/>
        <v>-108074600</v>
      </c>
      <c r="AO68" s="91">
        <f t="shared" si="44"/>
        <v>-147624</v>
      </c>
      <c r="AP68" s="91">
        <f t="shared" si="45"/>
        <v>-74.342990200000003</v>
      </c>
      <c r="AQ68" s="92">
        <f t="shared" si="46"/>
        <v>-76.369848700000006</v>
      </c>
      <c r="AR68" s="92">
        <f t="shared" si="47"/>
        <v>-37.077922800000003</v>
      </c>
      <c r="AS68" s="92">
        <f t="shared" si="48"/>
        <v>-46.683965399999998</v>
      </c>
      <c r="AT68" s="92">
        <f t="shared" si="49"/>
        <v>-47.218165399999997</v>
      </c>
      <c r="AU68" s="92">
        <f t="shared" si="50"/>
        <v>-49.406472100000002</v>
      </c>
      <c r="AV68" s="93">
        <f t="shared" si="51"/>
        <v>-34.899693900000003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-91443328</v>
      </c>
      <c r="AJ69" s="91">
        <f t="shared" si="39"/>
        <v>-225750688</v>
      </c>
      <c r="AK69" s="91">
        <f t="shared" si="40"/>
        <v>-23918720</v>
      </c>
      <c r="AL69" s="91">
        <f t="shared" si="41"/>
        <v>0</v>
      </c>
      <c r="AM69" s="91">
        <f t="shared" si="42"/>
        <v>-32748584</v>
      </c>
      <c r="AN69" s="91">
        <f t="shared" si="43"/>
        <v>-168940816</v>
      </c>
      <c r="AO69" s="91">
        <f t="shared" si="44"/>
        <v>-142568</v>
      </c>
      <c r="AP69" s="91">
        <f t="shared" si="45"/>
        <v>-75.429019199999999</v>
      </c>
      <c r="AQ69" s="92">
        <f t="shared" si="46"/>
        <v>-77.707441299999999</v>
      </c>
      <c r="AR69" s="92">
        <f t="shared" si="47"/>
        <v>-38.779475400000003</v>
      </c>
      <c r="AS69" s="92">
        <f t="shared" si="48"/>
        <v>-47.736003500000002</v>
      </c>
      <c r="AT69" s="92">
        <f t="shared" si="49"/>
        <v>-48.368455599999997</v>
      </c>
      <c r="AU69" s="92">
        <f t="shared" si="50"/>
        <v>-50.0772835</v>
      </c>
      <c r="AV69" s="93">
        <f t="shared" si="51"/>
        <v>-36.197725300000002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-22706944</v>
      </c>
      <c r="AJ70" s="91">
        <f t="shared" si="39"/>
        <v>-31299120</v>
      </c>
      <c r="AK70" s="91">
        <f t="shared" si="40"/>
        <v>-6594432</v>
      </c>
      <c r="AL70" s="91">
        <f t="shared" si="41"/>
        <v>0</v>
      </c>
      <c r="AM70" s="91">
        <f t="shared" si="42"/>
        <v>-5060080</v>
      </c>
      <c r="AN70" s="91">
        <f t="shared" si="43"/>
        <v>-19495520</v>
      </c>
      <c r="AO70" s="91">
        <f t="shared" si="44"/>
        <v>-149088</v>
      </c>
      <c r="AP70" s="91">
        <f t="shared" si="45"/>
        <v>-70.9818657</v>
      </c>
      <c r="AQ70" s="92">
        <f t="shared" si="46"/>
        <v>-72.304184699999993</v>
      </c>
      <c r="AR70" s="92">
        <f t="shared" si="47"/>
        <v>-35.690939899999996</v>
      </c>
      <c r="AS70" s="92">
        <f t="shared" si="48"/>
        <v>-43.296789799999999</v>
      </c>
      <c r="AT70" s="92">
        <f t="shared" si="49"/>
        <v>-45.168995899999999</v>
      </c>
      <c r="AU70" s="92">
        <f t="shared" si="50"/>
        <v>-45.407006099999997</v>
      </c>
      <c r="AV70" s="93">
        <f t="shared" si="51"/>
        <v>-32.386590699999999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-22706944</v>
      </c>
      <c r="AJ71" s="91">
        <f t="shared" si="39"/>
        <v>-52345120</v>
      </c>
      <c r="AK71" s="91">
        <f t="shared" si="40"/>
        <v>-7173872</v>
      </c>
      <c r="AL71" s="91">
        <f t="shared" si="41"/>
        <v>0</v>
      </c>
      <c r="AM71" s="91">
        <f t="shared" si="42"/>
        <v>-7683592</v>
      </c>
      <c r="AN71" s="91">
        <f t="shared" si="43"/>
        <v>-37341928</v>
      </c>
      <c r="AO71" s="91">
        <f t="shared" si="44"/>
        <v>-145728</v>
      </c>
      <c r="AP71" s="91">
        <f t="shared" si="45"/>
        <v>-72.622510000000005</v>
      </c>
      <c r="AQ71" s="92">
        <f t="shared" si="46"/>
        <v>-74.115700500000003</v>
      </c>
      <c r="AR71" s="92">
        <f t="shared" si="47"/>
        <v>-38.475196099999998</v>
      </c>
      <c r="AS71" s="92">
        <f t="shared" si="48"/>
        <v>-43.923621099999998</v>
      </c>
      <c r="AT71" s="92">
        <f t="shared" si="49"/>
        <v>-46.386953599999998</v>
      </c>
      <c r="AU71" s="92">
        <f t="shared" si="50"/>
        <v>-46.247832500000001</v>
      </c>
      <c r="AV71" s="93">
        <f t="shared" si="51"/>
        <v>-34.019292399999998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-45429504</v>
      </c>
      <c r="AJ72" s="91">
        <f t="shared" si="39"/>
        <v>-102510136</v>
      </c>
      <c r="AK72" s="91">
        <f t="shared" si="40"/>
        <v>-12009904</v>
      </c>
      <c r="AL72" s="91">
        <f t="shared" si="41"/>
        <v>0</v>
      </c>
      <c r="AM72" s="91">
        <f t="shared" si="42"/>
        <v>-17392952</v>
      </c>
      <c r="AN72" s="91">
        <f t="shared" si="43"/>
        <v>-72962248</v>
      </c>
      <c r="AO72" s="91">
        <f t="shared" si="44"/>
        <v>-145032</v>
      </c>
      <c r="AP72" s="91">
        <f t="shared" si="45"/>
        <v>-77.557658599999996</v>
      </c>
      <c r="AQ72" s="92">
        <f t="shared" si="46"/>
        <v>-79.864423599999995</v>
      </c>
      <c r="AR72" s="92">
        <f t="shared" si="47"/>
        <v>-41.162512599999999</v>
      </c>
      <c r="AS72" s="92">
        <f t="shared" si="48"/>
        <v>-44.803653099999998</v>
      </c>
      <c r="AT72" s="92">
        <f t="shared" si="49"/>
        <v>-48.023378000000001</v>
      </c>
      <c r="AU72" s="92">
        <f t="shared" si="50"/>
        <v>-48.8695837</v>
      </c>
      <c r="AV72" s="93">
        <f t="shared" si="51"/>
        <v>-37.220466199999997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-90872832</v>
      </c>
      <c r="AJ73" s="91">
        <f t="shared" si="39"/>
        <v>-145272560</v>
      </c>
      <c r="AK73" s="91">
        <f t="shared" si="40"/>
        <v>-20637216</v>
      </c>
      <c r="AL73" s="91">
        <f t="shared" si="41"/>
        <v>0</v>
      </c>
      <c r="AM73" s="91">
        <f t="shared" si="42"/>
        <v>-18695688</v>
      </c>
      <c r="AN73" s="91">
        <f t="shared" si="43"/>
        <v>-105791288</v>
      </c>
      <c r="AO73" s="91">
        <f t="shared" si="44"/>
        <v>-148368</v>
      </c>
      <c r="AP73" s="91">
        <f t="shared" si="45"/>
        <v>-78.991263599999996</v>
      </c>
      <c r="AQ73" s="92">
        <f t="shared" si="46"/>
        <v>-81.808735600000006</v>
      </c>
      <c r="AR73" s="92">
        <f t="shared" si="47"/>
        <v>-42.190188999999997</v>
      </c>
      <c r="AS73" s="92">
        <f t="shared" si="48"/>
        <v>-45.500315499999999</v>
      </c>
      <c r="AT73" s="92">
        <f t="shared" si="49"/>
        <v>-49.1828851</v>
      </c>
      <c r="AU73" s="92">
        <f t="shared" si="50"/>
        <v>-49.906813499999998</v>
      </c>
      <c r="AV73" s="93">
        <f t="shared" si="51"/>
        <v>-38.400880600000001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-90872832</v>
      </c>
      <c r="AJ74" s="91">
        <f t="shared" si="39"/>
        <v>-217225648</v>
      </c>
      <c r="AK74" s="91">
        <f t="shared" si="40"/>
        <v>-20637216</v>
      </c>
      <c r="AL74" s="91">
        <f t="shared" si="41"/>
        <v>0</v>
      </c>
      <c r="AM74" s="91">
        <f t="shared" si="42"/>
        <v>-21000464</v>
      </c>
      <c r="AN74" s="91">
        <f t="shared" si="43"/>
        <v>-175436000</v>
      </c>
      <c r="AO74" s="91">
        <f t="shared" si="44"/>
        <v>-151968</v>
      </c>
      <c r="AP74" s="91">
        <f t="shared" si="45"/>
        <v>-79.347429500000004</v>
      </c>
      <c r="AQ74" s="92">
        <f t="shared" si="46"/>
        <v>-82.318791700000006</v>
      </c>
      <c r="AR74" s="92">
        <f t="shared" si="47"/>
        <v>-43.229166999999997</v>
      </c>
      <c r="AS74" s="92">
        <f t="shared" si="48"/>
        <v>-46.450819699999997</v>
      </c>
      <c r="AT74" s="92">
        <f t="shared" si="49"/>
        <v>-50.472418400000002</v>
      </c>
      <c r="AU74" s="92">
        <f t="shared" si="50"/>
        <v>-50.136517900000001</v>
      </c>
      <c r="AV74" s="93">
        <f t="shared" si="51"/>
        <v>-38.9611223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-22662720</v>
      </c>
      <c r="AJ75" s="91">
        <f t="shared" si="39"/>
        <v>-29727136</v>
      </c>
      <c r="AK75" s="91">
        <f t="shared" si="40"/>
        <v>-6440896</v>
      </c>
      <c r="AL75" s="91">
        <f t="shared" si="41"/>
        <v>0</v>
      </c>
      <c r="AM75" s="91">
        <f t="shared" si="42"/>
        <v>-4765744</v>
      </c>
      <c r="AN75" s="91">
        <f t="shared" si="43"/>
        <v>-18372240</v>
      </c>
      <c r="AO75" s="91">
        <f t="shared" si="44"/>
        <v>-148256</v>
      </c>
      <c r="AP75" s="91">
        <f t="shared" si="45"/>
        <v>-71.204057800000001</v>
      </c>
      <c r="AQ75" s="92">
        <f t="shared" si="46"/>
        <v>-72.573792499999996</v>
      </c>
      <c r="AR75" s="92">
        <f t="shared" si="47"/>
        <v>-34.608001399999999</v>
      </c>
      <c r="AS75" s="92">
        <f t="shared" si="48"/>
        <v>-42.723544500000003</v>
      </c>
      <c r="AT75" s="92">
        <f t="shared" si="49"/>
        <v>-44.110387699999997</v>
      </c>
      <c r="AU75" s="92">
        <f t="shared" si="50"/>
        <v>-46.421705299999999</v>
      </c>
      <c r="AV75" s="93">
        <f t="shared" si="51"/>
        <v>-31.527401300000001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-22662720</v>
      </c>
      <c r="AJ76" s="91">
        <f t="shared" si="39"/>
        <v>-50116504</v>
      </c>
      <c r="AK76" s="91">
        <f t="shared" si="40"/>
        <v>-6440896</v>
      </c>
      <c r="AL76" s="91">
        <f t="shared" si="41"/>
        <v>0</v>
      </c>
      <c r="AM76" s="91">
        <f t="shared" si="42"/>
        <v>-5312768</v>
      </c>
      <c r="AN76" s="91">
        <f t="shared" si="43"/>
        <v>-38212648</v>
      </c>
      <c r="AO76" s="91">
        <f t="shared" si="44"/>
        <v>-150192</v>
      </c>
      <c r="AP76" s="91">
        <f t="shared" si="45"/>
        <v>-71.626345599999993</v>
      </c>
      <c r="AQ76" s="92">
        <f t="shared" si="46"/>
        <v>-73.043703800000003</v>
      </c>
      <c r="AR76" s="92">
        <f t="shared" si="47"/>
        <v>-37.393370099999999</v>
      </c>
      <c r="AS76" s="92">
        <f t="shared" si="48"/>
        <v>-43.929116499999999</v>
      </c>
      <c r="AT76" s="92">
        <f t="shared" si="49"/>
        <v>-45.9743846</v>
      </c>
      <c r="AU76" s="92">
        <f t="shared" si="50"/>
        <v>-46.634455199999998</v>
      </c>
      <c r="AV76" s="93">
        <f t="shared" si="51"/>
        <v>-32.740860099999999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-45333632</v>
      </c>
      <c r="AJ77" s="91">
        <f t="shared" si="39"/>
        <v>-102135952</v>
      </c>
      <c r="AK77" s="91">
        <f t="shared" si="40"/>
        <v>-10686976</v>
      </c>
      <c r="AL77" s="91">
        <f t="shared" si="41"/>
        <v>0</v>
      </c>
      <c r="AM77" s="91">
        <f t="shared" si="42"/>
        <v>-16780464</v>
      </c>
      <c r="AN77" s="91">
        <f t="shared" si="43"/>
        <v>-74523552</v>
      </c>
      <c r="AO77" s="91">
        <f t="shared" si="44"/>
        <v>-144960</v>
      </c>
      <c r="AP77" s="91">
        <f t="shared" si="45"/>
        <v>-77.5534009</v>
      </c>
      <c r="AQ77" s="92">
        <f t="shared" si="46"/>
        <v>-79.973405200000002</v>
      </c>
      <c r="AR77" s="92">
        <f t="shared" si="47"/>
        <v>-40.397799200000001</v>
      </c>
      <c r="AS77" s="92">
        <f t="shared" si="48"/>
        <v>-45.187343200000001</v>
      </c>
      <c r="AT77" s="92">
        <f t="shared" si="49"/>
        <v>-48.057612800000001</v>
      </c>
      <c r="AU77" s="92">
        <f t="shared" si="50"/>
        <v>-49.744788200000002</v>
      </c>
      <c r="AV77" s="93">
        <f t="shared" si="51"/>
        <v>-36.540475399999998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-90678336</v>
      </c>
      <c r="AJ78" s="91">
        <f t="shared" si="39"/>
        <v>-143648768</v>
      </c>
      <c r="AK78" s="91">
        <f t="shared" si="40"/>
        <v>-22488992</v>
      </c>
      <c r="AL78" s="91">
        <f t="shared" si="41"/>
        <v>0</v>
      </c>
      <c r="AM78" s="91">
        <f t="shared" si="42"/>
        <v>-15244840</v>
      </c>
      <c r="AN78" s="91">
        <f t="shared" si="43"/>
        <v>-105766008</v>
      </c>
      <c r="AO78" s="91">
        <f t="shared" si="44"/>
        <v>-148928</v>
      </c>
      <c r="AP78" s="91">
        <f t="shared" si="45"/>
        <v>-78.720608299999995</v>
      </c>
      <c r="AQ78" s="92">
        <f t="shared" si="46"/>
        <v>-81.583275499999999</v>
      </c>
      <c r="AR78" s="92">
        <f t="shared" si="47"/>
        <v>-41.469638400000001</v>
      </c>
      <c r="AS78" s="92">
        <f t="shared" si="48"/>
        <v>-45.721933800000002</v>
      </c>
      <c r="AT78" s="92">
        <f t="shared" si="49"/>
        <v>-48.8262608</v>
      </c>
      <c r="AU78" s="92">
        <f t="shared" si="50"/>
        <v>-50.754959300000003</v>
      </c>
      <c r="AV78" s="93">
        <f t="shared" si="51"/>
        <v>-37.622993100000002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-90678336</v>
      </c>
      <c r="AJ79" s="91">
        <f t="shared" si="39"/>
        <v>-214164000</v>
      </c>
      <c r="AK79" s="91">
        <f t="shared" si="40"/>
        <v>-20297784</v>
      </c>
      <c r="AL79" s="91">
        <f t="shared" si="41"/>
        <v>0</v>
      </c>
      <c r="AM79" s="91">
        <f t="shared" si="42"/>
        <v>-19845928</v>
      </c>
      <c r="AN79" s="91">
        <f t="shared" si="43"/>
        <v>-173870272</v>
      </c>
      <c r="AO79" s="91">
        <f t="shared" si="44"/>
        <v>-150016</v>
      </c>
      <c r="AP79" s="91">
        <f t="shared" si="45"/>
        <v>-79.389169999999993</v>
      </c>
      <c r="AQ79" s="92">
        <f t="shared" si="46"/>
        <v>-82.567440700000006</v>
      </c>
      <c r="AR79" s="92">
        <f t="shared" si="47"/>
        <v>-42.479537899999997</v>
      </c>
      <c r="AS79" s="92">
        <f t="shared" si="48"/>
        <v>-46.794919100000001</v>
      </c>
      <c r="AT79" s="92">
        <f t="shared" si="49"/>
        <v>-50.184204700000002</v>
      </c>
      <c r="AU79" s="92">
        <f t="shared" si="50"/>
        <v>-51.158372800000002</v>
      </c>
      <c r="AV79" s="93">
        <f t="shared" si="51"/>
        <v>-38.361639099999998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-23021184</v>
      </c>
      <c r="AJ80" s="91">
        <f t="shared" si="39"/>
        <v>-42939864</v>
      </c>
      <c r="AK80" s="91">
        <f t="shared" si="40"/>
        <v>-6389976</v>
      </c>
      <c r="AL80" s="91">
        <f t="shared" si="41"/>
        <v>0</v>
      </c>
      <c r="AM80" s="91">
        <f t="shared" si="42"/>
        <v>-5284904</v>
      </c>
      <c r="AN80" s="91">
        <f t="shared" si="43"/>
        <v>-31120016</v>
      </c>
      <c r="AO80" s="91">
        <f t="shared" si="44"/>
        <v>-144968</v>
      </c>
      <c r="AP80" s="91">
        <f t="shared" si="45"/>
        <v>-73.884464899999998</v>
      </c>
      <c r="AQ80" s="92">
        <f t="shared" si="46"/>
        <v>-75.685975799999994</v>
      </c>
      <c r="AR80" s="92">
        <f t="shared" si="47"/>
        <v>-31.1082657</v>
      </c>
      <c r="AS80" s="92">
        <f t="shared" si="48"/>
        <v>-39.907066700000001</v>
      </c>
      <c r="AT80" s="92">
        <f t="shared" si="49"/>
        <v>-36.599298099999999</v>
      </c>
      <c r="AU80" s="92">
        <f t="shared" si="50"/>
        <v>-45.1153738</v>
      </c>
      <c r="AV80" s="93">
        <f t="shared" si="51"/>
        <v>-28.151576599999999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-46064000</v>
      </c>
      <c r="AJ81" s="91">
        <f t="shared" si="39"/>
        <v>-85277664</v>
      </c>
      <c r="AK81" s="91">
        <f t="shared" si="40"/>
        <v>-10702824</v>
      </c>
      <c r="AL81" s="91">
        <f t="shared" si="41"/>
        <v>0</v>
      </c>
      <c r="AM81" s="91">
        <f t="shared" si="42"/>
        <v>-8279824</v>
      </c>
      <c r="AN81" s="91">
        <f t="shared" si="43"/>
        <v>-66145504</v>
      </c>
      <c r="AO81" s="91">
        <f t="shared" si="44"/>
        <v>-149512</v>
      </c>
      <c r="AP81" s="91">
        <f t="shared" si="45"/>
        <v>-76.997280900000007</v>
      </c>
      <c r="AQ81" s="92">
        <f t="shared" si="46"/>
        <v>-79.368843499999997</v>
      </c>
      <c r="AR81" s="92">
        <f t="shared" si="47"/>
        <v>-33.469559199999999</v>
      </c>
      <c r="AS81" s="92">
        <f t="shared" si="48"/>
        <v>-41.833448599999997</v>
      </c>
      <c r="AT81" s="92">
        <f t="shared" si="49"/>
        <v>-39.451580300000003</v>
      </c>
      <c r="AU81" s="92">
        <f t="shared" si="50"/>
        <v>-46.726252899999999</v>
      </c>
      <c r="AV81" s="93">
        <f t="shared" si="51"/>
        <v>-30.8981186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-92146368</v>
      </c>
      <c r="AJ82" s="91">
        <f t="shared" si="39"/>
        <v>-125592080</v>
      </c>
      <c r="AK82" s="91">
        <f t="shared" si="40"/>
        <v>-20250792</v>
      </c>
      <c r="AL82" s="91">
        <f t="shared" si="41"/>
        <v>0</v>
      </c>
      <c r="AM82" s="91">
        <f t="shared" si="42"/>
        <v>-6383416</v>
      </c>
      <c r="AN82" s="91">
        <f t="shared" si="43"/>
        <v>-98808240</v>
      </c>
      <c r="AO82" s="91">
        <f t="shared" si="44"/>
        <v>-149632</v>
      </c>
      <c r="AP82" s="91">
        <f t="shared" si="45"/>
        <v>-78.604714200000004</v>
      </c>
      <c r="AQ82" s="92">
        <f t="shared" si="46"/>
        <v>-81.367076299999994</v>
      </c>
      <c r="AR82" s="92">
        <f t="shared" si="47"/>
        <v>-34.487396400000002</v>
      </c>
      <c r="AS82" s="92">
        <f t="shared" si="48"/>
        <v>-43.202519299999999</v>
      </c>
      <c r="AT82" s="92">
        <f t="shared" si="49"/>
        <v>-41.246572700000002</v>
      </c>
      <c r="AU82" s="92">
        <f t="shared" si="50"/>
        <v>-47.950094200000002</v>
      </c>
      <c r="AV82" s="93">
        <f t="shared" si="51"/>
        <v>-32.055281000000001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-184310144</v>
      </c>
      <c r="AJ83" s="91">
        <f t="shared" si="39"/>
        <v>-178672848</v>
      </c>
      <c r="AK83" s="91">
        <f t="shared" si="40"/>
        <v>-39549600</v>
      </c>
      <c r="AL83" s="91">
        <f t="shared" si="41"/>
        <v>0</v>
      </c>
      <c r="AM83" s="91">
        <f t="shared" si="42"/>
        <v>-5576008</v>
      </c>
      <c r="AN83" s="91">
        <f t="shared" si="43"/>
        <v>-133398960</v>
      </c>
      <c r="AO83" s="91">
        <f t="shared" si="44"/>
        <v>-148280</v>
      </c>
      <c r="AP83" s="91">
        <f t="shared" si="45"/>
        <v>-80.386153399999998</v>
      </c>
      <c r="AQ83" s="92">
        <f t="shared" si="46"/>
        <v>-83.842409399999994</v>
      </c>
      <c r="AR83" s="92">
        <f t="shared" si="47"/>
        <v>-35.306234099999998</v>
      </c>
      <c r="AS83" s="92">
        <f t="shared" si="48"/>
        <v>-43.551515999999999</v>
      </c>
      <c r="AT83" s="92">
        <f t="shared" si="49"/>
        <v>-41.744945700000002</v>
      </c>
      <c r="AU83" s="92">
        <f t="shared" si="50"/>
        <v>-49.666489599999998</v>
      </c>
      <c r="AV83" s="93">
        <f t="shared" si="51"/>
        <v>-33.365241099999999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-368630976</v>
      </c>
      <c r="AJ84" s="91">
        <f t="shared" si="39"/>
        <v>-263027624</v>
      </c>
      <c r="AK84" s="91">
        <f t="shared" si="40"/>
        <v>-70099400</v>
      </c>
      <c r="AL84" s="91">
        <f t="shared" si="41"/>
        <v>0</v>
      </c>
      <c r="AM84" s="91">
        <f t="shared" si="42"/>
        <v>-1083592</v>
      </c>
      <c r="AN84" s="91">
        <f t="shared" si="43"/>
        <v>-191694992</v>
      </c>
      <c r="AO84" s="91">
        <f t="shared" si="44"/>
        <v>-149640</v>
      </c>
      <c r="AP84" s="91">
        <f t="shared" si="45"/>
        <v>-82.267652299999995</v>
      </c>
      <c r="AQ84" s="92">
        <f t="shared" si="46"/>
        <v>-86.439101300000004</v>
      </c>
      <c r="AR84" s="92">
        <f t="shared" si="47"/>
        <v>-35.999158799999996</v>
      </c>
      <c r="AS84" s="92">
        <f t="shared" si="48"/>
        <v>-44.180041799999998</v>
      </c>
      <c r="AT84" s="92">
        <f t="shared" si="49"/>
        <v>-42.561588100000002</v>
      </c>
      <c r="AU84" s="92">
        <f t="shared" si="50"/>
        <v>-51.536073700000003</v>
      </c>
      <c r="AV84" s="93">
        <f t="shared" si="51"/>
        <v>-34.473221199999998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-11261056</v>
      </c>
      <c r="AJ85" s="91">
        <f t="shared" si="39"/>
        <v>-21504648</v>
      </c>
      <c r="AK85" s="91">
        <f t="shared" si="40"/>
        <v>-3594448</v>
      </c>
      <c r="AL85" s="91">
        <f t="shared" si="41"/>
        <v>0</v>
      </c>
      <c r="AM85" s="91">
        <f t="shared" si="42"/>
        <v>-3386584</v>
      </c>
      <c r="AN85" s="91">
        <f t="shared" si="43"/>
        <v>-14449848</v>
      </c>
      <c r="AO85" s="91">
        <f t="shared" si="44"/>
        <v>-73768</v>
      </c>
      <c r="AP85" s="91">
        <f t="shared" si="45"/>
        <v>-73.419166500000003</v>
      </c>
      <c r="AQ85" s="92">
        <f t="shared" si="46"/>
        <v>-75.086182300000004</v>
      </c>
      <c r="AR85" s="92">
        <f t="shared" si="47"/>
        <v>-37.5934089</v>
      </c>
      <c r="AS85" s="92">
        <f t="shared" si="48"/>
        <v>-44.026407499999998</v>
      </c>
      <c r="AT85" s="92">
        <f t="shared" si="49"/>
        <v>-42.6276352</v>
      </c>
      <c r="AU85" s="92">
        <f t="shared" si="50"/>
        <v>-48.104200499999997</v>
      </c>
      <c r="AV85" s="93">
        <f t="shared" si="51"/>
        <v>-34.3814785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-11261056</v>
      </c>
      <c r="AJ86" s="91">
        <f t="shared" si="39"/>
        <v>-42829840</v>
      </c>
      <c r="AK86" s="91">
        <f t="shared" si="40"/>
        <v>-3594448</v>
      </c>
      <c r="AL86" s="91">
        <f t="shared" si="41"/>
        <v>0</v>
      </c>
      <c r="AM86" s="91">
        <f t="shared" si="42"/>
        <v>-5999424</v>
      </c>
      <c r="AN86" s="91">
        <f t="shared" si="43"/>
        <v>-33161920</v>
      </c>
      <c r="AO86" s="91">
        <f t="shared" si="44"/>
        <v>-74048</v>
      </c>
      <c r="AP86" s="91">
        <f t="shared" si="45"/>
        <v>-74.939916199999999</v>
      </c>
      <c r="AQ86" s="92">
        <f t="shared" si="46"/>
        <v>-76.813886499999995</v>
      </c>
      <c r="AR86" s="92">
        <f t="shared" si="47"/>
        <v>-39.921992000000003</v>
      </c>
      <c r="AS86" s="92">
        <f t="shared" si="48"/>
        <v>-45.719527900000003</v>
      </c>
      <c r="AT86" s="92">
        <f t="shared" si="49"/>
        <v>-44.559809600000001</v>
      </c>
      <c r="AU86" s="92">
        <f t="shared" si="50"/>
        <v>-48.951958400000002</v>
      </c>
      <c r="AV86" s="93">
        <f t="shared" si="51"/>
        <v>-35.8406825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-11450400</v>
      </c>
      <c r="AJ87" s="91">
        <f t="shared" si="39"/>
        <v>-63307536</v>
      </c>
      <c r="AK87" s="91">
        <f t="shared" si="40"/>
        <v>-9515560</v>
      </c>
      <c r="AL87" s="91">
        <f t="shared" si="41"/>
        <v>0</v>
      </c>
      <c r="AM87" s="91">
        <f t="shared" si="42"/>
        <v>-5781624</v>
      </c>
      <c r="AN87" s="91">
        <f t="shared" si="43"/>
        <v>-47948272</v>
      </c>
      <c r="AO87" s="91">
        <f t="shared" si="44"/>
        <v>-62080</v>
      </c>
      <c r="AP87" s="91">
        <f t="shared" si="45"/>
        <v>-78.184137800000002</v>
      </c>
      <c r="AQ87" s="92">
        <f t="shared" si="46"/>
        <v>-80.854347000000004</v>
      </c>
      <c r="AR87" s="92">
        <f t="shared" si="47"/>
        <v>-41.2946898</v>
      </c>
      <c r="AS87" s="92">
        <f t="shared" si="48"/>
        <v>-46.465253199999999</v>
      </c>
      <c r="AT87" s="92">
        <f t="shared" si="49"/>
        <v>-45.432438699999999</v>
      </c>
      <c r="AU87" s="92">
        <f t="shared" si="50"/>
        <v>-51.015977399999997</v>
      </c>
      <c r="AV87" s="93">
        <f t="shared" si="51"/>
        <v>-37.744764400000001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-11450400</v>
      </c>
      <c r="AJ88" s="91">
        <f t="shared" si="39"/>
        <v>-91119696</v>
      </c>
      <c r="AK88" s="91">
        <f t="shared" si="40"/>
        <v>-9515560</v>
      </c>
      <c r="AL88" s="91">
        <f t="shared" si="41"/>
        <v>0</v>
      </c>
      <c r="AM88" s="91">
        <f t="shared" si="42"/>
        <v>-9383024</v>
      </c>
      <c r="AN88" s="91">
        <f t="shared" si="43"/>
        <v>-72159592</v>
      </c>
      <c r="AO88" s="91">
        <f t="shared" si="44"/>
        <v>-61520</v>
      </c>
      <c r="AP88" s="91">
        <f t="shared" si="45"/>
        <v>-79.430059099999994</v>
      </c>
      <c r="AQ88" s="92">
        <f t="shared" si="46"/>
        <v>-82.600745099999997</v>
      </c>
      <c r="AR88" s="92">
        <f t="shared" si="47"/>
        <v>-42.224789199999996</v>
      </c>
      <c r="AS88" s="92">
        <f t="shared" si="48"/>
        <v>-47.611820600000001</v>
      </c>
      <c r="AT88" s="92">
        <f t="shared" si="49"/>
        <v>-46.771935499999998</v>
      </c>
      <c r="AU88" s="92">
        <f t="shared" si="50"/>
        <v>-51.5961991</v>
      </c>
      <c r="AV88" s="93">
        <f t="shared" si="51"/>
        <v>-38.8145673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-34479248</v>
      </c>
      <c r="AJ89" s="91">
        <f t="shared" si="39"/>
        <v>-131277216</v>
      </c>
      <c r="AK89" s="91">
        <f t="shared" si="40"/>
        <v>-21767600</v>
      </c>
      <c r="AL89" s="91">
        <f t="shared" si="41"/>
        <v>0</v>
      </c>
      <c r="AM89" s="91">
        <f t="shared" si="42"/>
        <v>-8540272</v>
      </c>
      <c r="AN89" s="91">
        <f t="shared" si="43"/>
        <v>-100908136</v>
      </c>
      <c r="AO89" s="91">
        <f t="shared" si="44"/>
        <v>-61208</v>
      </c>
      <c r="AP89" s="91">
        <f t="shared" si="45"/>
        <v>-82.179928799999999</v>
      </c>
      <c r="AQ89" s="92">
        <f t="shared" si="46"/>
        <v>-86.726447100000001</v>
      </c>
      <c r="AR89" s="92">
        <f t="shared" si="47"/>
        <v>-43.234445000000001</v>
      </c>
      <c r="AS89" s="92">
        <f t="shared" si="48"/>
        <v>-48.346170499999999</v>
      </c>
      <c r="AT89" s="92">
        <f t="shared" si="49"/>
        <v>-47.602867000000003</v>
      </c>
      <c r="AU89" s="92">
        <f t="shared" si="50"/>
        <v>-54.006281999999999</v>
      </c>
      <c r="AV89" s="93">
        <f t="shared" si="51"/>
        <v>-40.938670700000003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-17191488</v>
      </c>
      <c r="AJ90" s="91">
        <f t="shared" si="39"/>
        <v>-40089712</v>
      </c>
      <c r="AK90" s="91">
        <f t="shared" si="40"/>
        <v>-5912584</v>
      </c>
      <c r="AL90" s="91">
        <f t="shared" si="41"/>
        <v>0</v>
      </c>
      <c r="AM90" s="91">
        <f t="shared" si="42"/>
        <v>-8253904</v>
      </c>
      <c r="AN90" s="91">
        <f t="shared" si="43"/>
        <v>-25773912</v>
      </c>
      <c r="AO90" s="91">
        <f t="shared" si="44"/>
        <v>-149312</v>
      </c>
      <c r="AP90" s="91">
        <f t="shared" si="45"/>
        <v>-71.126086700000002</v>
      </c>
      <c r="AQ90" s="92">
        <f t="shared" si="46"/>
        <v>-72.470303099999995</v>
      </c>
      <c r="AR90" s="92">
        <f t="shared" si="47"/>
        <v>-29.651762399999999</v>
      </c>
      <c r="AS90" s="92">
        <f t="shared" si="48"/>
        <v>-38.7627174</v>
      </c>
      <c r="AT90" s="92">
        <f t="shared" si="49"/>
        <v>-38.433550400000001</v>
      </c>
      <c r="AU90" s="92">
        <f t="shared" si="50"/>
        <v>-47.1601164</v>
      </c>
      <c r="AV90" s="93">
        <f t="shared" si="51"/>
        <v>-28.390151199999998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-34432704</v>
      </c>
      <c r="AJ91" s="91">
        <f t="shared" si="39"/>
        <v>-61712456</v>
      </c>
      <c r="AK91" s="91">
        <f t="shared" si="40"/>
        <v>-9007784</v>
      </c>
      <c r="AL91" s="91">
        <f t="shared" si="41"/>
        <v>0</v>
      </c>
      <c r="AM91" s="91">
        <f t="shared" si="42"/>
        <v>-8767104</v>
      </c>
      <c r="AN91" s="91">
        <f t="shared" si="43"/>
        <v>-43791544</v>
      </c>
      <c r="AO91" s="91">
        <f t="shared" si="44"/>
        <v>-146024</v>
      </c>
      <c r="AP91" s="91">
        <f t="shared" si="45"/>
        <v>-74.139759900000001</v>
      </c>
      <c r="AQ91" s="92">
        <f t="shared" si="46"/>
        <v>-75.928395800000004</v>
      </c>
      <c r="AR91" s="92">
        <f t="shared" si="47"/>
        <v>-30.3173241</v>
      </c>
      <c r="AS91" s="92">
        <f t="shared" si="48"/>
        <v>-38.9407177</v>
      </c>
      <c r="AT91" s="92">
        <f t="shared" si="49"/>
        <v>-38.710861299999998</v>
      </c>
      <c r="AU91" s="92">
        <f t="shared" si="50"/>
        <v>-48.6866105</v>
      </c>
      <c r="AV91" s="93">
        <f t="shared" si="51"/>
        <v>-28.9190623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-68915264</v>
      </c>
      <c r="AJ92" s="91">
        <f t="shared" si="39"/>
        <v>-111559112</v>
      </c>
      <c r="AK92" s="91">
        <f t="shared" si="40"/>
        <v>-15236648</v>
      </c>
      <c r="AL92" s="91">
        <f t="shared" si="41"/>
        <v>0</v>
      </c>
      <c r="AM92" s="91">
        <f t="shared" si="42"/>
        <v>-5745392</v>
      </c>
      <c r="AN92" s="91">
        <f t="shared" si="43"/>
        <v>-90425856</v>
      </c>
      <c r="AO92" s="91">
        <f t="shared" si="44"/>
        <v>-151216</v>
      </c>
      <c r="AP92" s="91">
        <f t="shared" si="45"/>
        <v>-74.738893300000001</v>
      </c>
      <c r="AQ92" s="92">
        <f t="shared" si="46"/>
        <v>-76.614088100000004</v>
      </c>
      <c r="AR92" s="92">
        <f t="shared" si="47"/>
        <v>-31.266644899999999</v>
      </c>
      <c r="AS92" s="92">
        <f t="shared" si="48"/>
        <v>-39.1685382</v>
      </c>
      <c r="AT92" s="92">
        <f t="shared" si="49"/>
        <v>-39.293427700000002</v>
      </c>
      <c r="AU92" s="92">
        <f t="shared" si="50"/>
        <v>-49.204242200000003</v>
      </c>
      <c r="AV92" s="93">
        <f t="shared" si="51"/>
        <v>-30.1856282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-68915264</v>
      </c>
      <c r="AJ93" s="91">
        <f t="shared" si="39"/>
        <v>-164632424</v>
      </c>
      <c r="AK93" s="91">
        <f t="shared" si="40"/>
        <v>-16866904</v>
      </c>
      <c r="AL93" s="91">
        <f t="shared" si="41"/>
        <v>0</v>
      </c>
      <c r="AM93" s="91">
        <f t="shared" si="42"/>
        <v>-11911528</v>
      </c>
      <c r="AN93" s="91">
        <f t="shared" si="43"/>
        <v>-135703680</v>
      </c>
      <c r="AO93" s="91">
        <f t="shared" si="44"/>
        <v>-150312</v>
      </c>
      <c r="AP93" s="91">
        <f t="shared" si="45"/>
        <v>-76.888112399999997</v>
      </c>
      <c r="AQ93" s="92">
        <f t="shared" si="46"/>
        <v>-79.183655900000005</v>
      </c>
      <c r="AR93" s="92">
        <f t="shared" si="47"/>
        <v>-31.984129100000001</v>
      </c>
      <c r="AS93" s="92">
        <f t="shared" si="48"/>
        <v>-39.242732500000002</v>
      </c>
      <c r="AT93" s="92">
        <f t="shared" si="49"/>
        <v>-39.425302000000002</v>
      </c>
      <c r="AU93" s="92">
        <f t="shared" si="50"/>
        <v>-50.4634772</v>
      </c>
      <c r="AV93" s="93">
        <f t="shared" si="51"/>
        <v>-30.9870518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-137868480</v>
      </c>
      <c r="AJ94" s="91">
        <f t="shared" si="39"/>
        <v>-244047768</v>
      </c>
      <c r="AK94" s="91">
        <f t="shared" si="40"/>
        <v>-29553592</v>
      </c>
      <c r="AL94" s="91">
        <f t="shared" si="41"/>
        <v>0</v>
      </c>
      <c r="AM94" s="91">
        <f t="shared" si="42"/>
        <v>-8831224</v>
      </c>
      <c r="AN94" s="91">
        <f t="shared" si="43"/>
        <v>-205517200</v>
      </c>
      <c r="AO94" s="91">
        <f t="shared" si="44"/>
        <v>-145752</v>
      </c>
      <c r="AP94" s="91">
        <f t="shared" si="45"/>
        <v>-78.693426599999995</v>
      </c>
      <c r="AQ94" s="92">
        <f t="shared" si="46"/>
        <v>-81.414120600000004</v>
      </c>
      <c r="AR94" s="92">
        <f t="shared" si="47"/>
        <v>-32.768481800000004</v>
      </c>
      <c r="AS94" s="92">
        <f t="shared" si="48"/>
        <v>-39.326181300000002</v>
      </c>
      <c r="AT94" s="92">
        <f t="shared" si="49"/>
        <v>-39.578526099999998</v>
      </c>
      <c r="AU94" s="92">
        <f t="shared" si="50"/>
        <v>-51.6102457</v>
      </c>
      <c r="AV94" s="93">
        <f t="shared" si="51"/>
        <v>-31.782996900000001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-17235840</v>
      </c>
      <c r="AJ95" s="91">
        <f t="shared" si="39"/>
        <v>-40613400</v>
      </c>
      <c r="AK95" s="91">
        <f t="shared" si="40"/>
        <v>-5172552</v>
      </c>
      <c r="AL95" s="91">
        <f t="shared" si="41"/>
        <v>0</v>
      </c>
      <c r="AM95" s="91">
        <f t="shared" si="42"/>
        <v>-6855952</v>
      </c>
      <c r="AN95" s="91">
        <f t="shared" si="43"/>
        <v>-28437184</v>
      </c>
      <c r="AO95" s="91">
        <f t="shared" si="44"/>
        <v>-147712</v>
      </c>
      <c r="AP95" s="91">
        <f t="shared" si="45"/>
        <v>-71.823553399999994</v>
      </c>
      <c r="AQ95" s="92">
        <f t="shared" si="46"/>
        <v>-73.040463099999997</v>
      </c>
      <c r="AR95" s="92">
        <f t="shared" si="47"/>
        <v>-32.528486000000001</v>
      </c>
      <c r="AS95" s="92">
        <f t="shared" si="48"/>
        <v>-42.257798399999999</v>
      </c>
      <c r="AT95" s="92">
        <f t="shared" si="49"/>
        <v>-42.502498600000003</v>
      </c>
      <c r="AU95" s="92">
        <f t="shared" si="50"/>
        <v>-47.550877</v>
      </c>
      <c r="AV95" s="93">
        <f t="shared" si="51"/>
        <v>-31.609701300000001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-17235840</v>
      </c>
      <c r="AJ96" s="91">
        <f t="shared" si="39"/>
        <v>-61482944</v>
      </c>
      <c r="AK96" s="91">
        <f t="shared" si="40"/>
        <v>-5596864</v>
      </c>
      <c r="AL96" s="91">
        <f t="shared" si="41"/>
        <v>0</v>
      </c>
      <c r="AM96" s="91">
        <f t="shared" si="42"/>
        <v>-7594288</v>
      </c>
      <c r="AN96" s="91">
        <f t="shared" si="43"/>
        <v>-48143304</v>
      </c>
      <c r="AO96" s="91">
        <f t="shared" si="44"/>
        <v>-148488</v>
      </c>
      <c r="AP96" s="91">
        <f t="shared" si="45"/>
        <v>-72.127552499999993</v>
      </c>
      <c r="AQ96" s="92">
        <f t="shared" si="46"/>
        <v>-73.385092999999998</v>
      </c>
      <c r="AR96" s="92">
        <f t="shared" si="47"/>
        <v>-33.184151100000001</v>
      </c>
      <c r="AS96" s="92">
        <f t="shared" si="48"/>
        <v>-42.511341899999998</v>
      </c>
      <c r="AT96" s="92">
        <f t="shared" si="49"/>
        <v>-42.786046399999996</v>
      </c>
      <c r="AU96" s="92">
        <f t="shared" si="50"/>
        <v>-47.725117599999997</v>
      </c>
      <c r="AV96" s="93">
        <f t="shared" si="51"/>
        <v>-32.020524000000002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-69038976</v>
      </c>
      <c r="AJ97" s="91">
        <f t="shared" si="39"/>
        <v>-110883976</v>
      </c>
      <c r="AK97" s="91">
        <f t="shared" si="40"/>
        <v>-14737096</v>
      </c>
      <c r="AL97" s="91">
        <f t="shared" si="41"/>
        <v>0</v>
      </c>
      <c r="AM97" s="91">
        <f t="shared" si="42"/>
        <v>-8282104</v>
      </c>
      <c r="AN97" s="91">
        <f t="shared" si="43"/>
        <v>-87713872</v>
      </c>
      <c r="AO97" s="91">
        <f t="shared" si="44"/>
        <v>-150904</v>
      </c>
      <c r="AP97" s="91">
        <f t="shared" si="45"/>
        <v>-76.216631199999995</v>
      </c>
      <c r="AQ97" s="92">
        <f t="shared" si="46"/>
        <v>-78.046946500000004</v>
      </c>
      <c r="AR97" s="92">
        <f t="shared" si="47"/>
        <v>-34.182746999999999</v>
      </c>
      <c r="AS97" s="92">
        <f t="shared" si="48"/>
        <v>-42.858590999999997</v>
      </c>
      <c r="AT97" s="92">
        <f t="shared" si="49"/>
        <v>-43.336437099999998</v>
      </c>
      <c r="AU97" s="92">
        <f t="shared" si="50"/>
        <v>-50.220402200000002</v>
      </c>
      <c r="AV97" s="93">
        <f t="shared" si="51"/>
        <v>-33.306167000000002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-69038976</v>
      </c>
      <c r="AJ98" s="91">
        <f t="shared" si="39"/>
        <v>-162806464</v>
      </c>
      <c r="AK98" s="91">
        <f t="shared" si="40"/>
        <v>-16355688</v>
      </c>
      <c r="AL98" s="91">
        <f t="shared" si="41"/>
        <v>0</v>
      </c>
      <c r="AM98" s="91">
        <f t="shared" si="42"/>
        <v>-11356488</v>
      </c>
      <c r="AN98" s="91">
        <f t="shared" si="43"/>
        <v>-134943904</v>
      </c>
      <c r="AO98" s="91">
        <f t="shared" si="44"/>
        <v>-150384</v>
      </c>
      <c r="AP98" s="91">
        <f t="shared" si="45"/>
        <v>-77.416828499999994</v>
      </c>
      <c r="AQ98" s="92">
        <f t="shared" si="46"/>
        <v>-79.481761700000007</v>
      </c>
      <c r="AR98" s="92">
        <f t="shared" si="47"/>
        <v>-34.864321199999999</v>
      </c>
      <c r="AS98" s="92">
        <f t="shared" si="48"/>
        <v>-42.987093899999998</v>
      </c>
      <c r="AT98" s="92">
        <f t="shared" si="49"/>
        <v>-43.524555300000003</v>
      </c>
      <c r="AU98" s="92">
        <f t="shared" si="50"/>
        <v>-50.9139403</v>
      </c>
      <c r="AV98" s="93">
        <f t="shared" si="51"/>
        <v>-33.947100300000002</v>
      </c>
    </row>
    <row r="99" spans="33:48" ht="15.75" customHeight="1" thickBot="1" x14ac:dyDescent="0.2">
      <c r="AG99" s="94" t="e">
        <f t="shared" ref="AG99" si="52">AG44-L44</f>
        <v>#VALUE!</v>
      </c>
      <c r="AH99" s="94" t="e">
        <f t="shared" ref="AH99" si="53">AH44-M44</f>
        <v>#VALUE!</v>
      </c>
      <c r="AI99" s="94">
        <f t="shared" ref="AI99" si="54">AI44-N44</f>
        <v>-138091776</v>
      </c>
      <c r="AJ99" s="94">
        <f t="shared" ref="AJ99" si="55">AJ44-O44</f>
        <v>-243363192</v>
      </c>
      <c r="AK99" s="94">
        <f t="shared" ref="AK99" si="56">AK44-P44</f>
        <v>-25569256</v>
      </c>
      <c r="AL99" s="94">
        <f t="shared" ref="AL99" si="57">AL44-Q44</f>
        <v>0</v>
      </c>
      <c r="AM99" s="94">
        <f t="shared" ref="AM99" si="58">AM44-R44</f>
        <v>-11824296</v>
      </c>
      <c r="AN99" s="94">
        <f t="shared" ref="AN99" si="59">AN44-S44</f>
        <v>-205821304</v>
      </c>
      <c r="AO99" s="94">
        <f t="shared" ref="AO99" si="60">AO44-T44</f>
        <v>-148336</v>
      </c>
      <c r="AP99" s="94">
        <f t="shared" ref="AP99" si="61">AP44-U44</f>
        <v>-79.309785300000001</v>
      </c>
      <c r="AQ99" s="95">
        <f t="shared" ref="AQ99" si="62">AQ44-V44</f>
        <v>-81.892414500000001</v>
      </c>
      <c r="AR99" s="95">
        <f t="shared" ref="AR99" si="63">AR44-W44</f>
        <v>-35.693393700000001</v>
      </c>
      <c r="AS99" s="95">
        <f t="shared" ref="AS99" si="64">AS44-X44</f>
        <v>-43.1214625</v>
      </c>
      <c r="AT99" s="95">
        <f t="shared" ref="AT99" si="65">AT44-Y44</f>
        <v>-43.715372899999998</v>
      </c>
      <c r="AU99" s="95">
        <f t="shared" ref="AU99" si="66">AU44-Z44</f>
        <v>-52.161185000000003</v>
      </c>
      <c r="AV99" s="96">
        <f t="shared" ref="AV99" si="67">AV44-AA44</f>
        <v>-34.852229700000002</v>
      </c>
    </row>
    <row r="100" spans="33:48" x14ac:dyDescent="0.15">
      <c r="AG100" s="91" t="e">
        <f t="shared" ref="AG100:AV103" si="68">AG45-L45</f>
        <v>#VALUE!</v>
      </c>
      <c r="AH100" s="91" t="e">
        <f t="shared" si="68"/>
        <v>#VALUE!</v>
      </c>
      <c r="AI100" s="91">
        <f t="shared" si="68"/>
        <v>-383872</v>
      </c>
      <c r="AJ100" s="91">
        <f t="shared" si="68"/>
        <v>-190496</v>
      </c>
      <c r="AK100" s="91">
        <f t="shared" si="68"/>
        <v>-72440</v>
      </c>
      <c r="AL100" s="91">
        <f t="shared" si="68"/>
        <v>0</v>
      </c>
      <c r="AM100" s="91">
        <f t="shared" si="68"/>
        <v>-15544</v>
      </c>
      <c r="AN100" s="91">
        <f t="shared" si="68"/>
        <v>-100864</v>
      </c>
      <c r="AO100" s="91">
        <f t="shared" si="68"/>
        <v>-1648</v>
      </c>
      <c r="AP100" s="91">
        <f t="shared" si="68"/>
        <v>-76.493702900000002</v>
      </c>
      <c r="AQ100" s="92">
        <f t="shared" si="68"/>
        <v>-79.061057300000002</v>
      </c>
      <c r="AR100" s="92">
        <f t="shared" si="68"/>
        <v>-30.278041900000002</v>
      </c>
      <c r="AS100" s="92">
        <f t="shared" si="68"/>
        <v>-42.494525299999999</v>
      </c>
      <c r="AT100" s="92">
        <f t="shared" si="68"/>
        <v>-40.849274800000003</v>
      </c>
      <c r="AU100" s="92">
        <f t="shared" si="68"/>
        <v>-55.044560400000002</v>
      </c>
      <c r="AV100" s="93">
        <f t="shared" si="68"/>
        <v>-29.878969999999999</v>
      </c>
    </row>
    <row r="101" spans="33:48" x14ac:dyDescent="0.15">
      <c r="AG101" s="91" t="e">
        <f t="shared" si="68"/>
        <v>#VALUE!</v>
      </c>
      <c r="AH101" s="91" t="e">
        <f t="shared" si="68"/>
        <v>#VALUE!</v>
      </c>
      <c r="AI101" s="91">
        <f t="shared" si="68"/>
        <v>-383872</v>
      </c>
      <c r="AJ101" s="91">
        <f t="shared" si="68"/>
        <v>-342960</v>
      </c>
      <c r="AK101" s="91">
        <f t="shared" si="68"/>
        <v>-81088</v>
      </c>
      <c r="AL101" s="91">
        <f t="shared" si="68"/>
        <v>0</v>
      </c>
      <c r="AM101" s="91">
        <f t="shared" si="68"/>
        <v>-24720</v>
      </c>
      <c r="AN101" s="91">
        <f t="shared" si="68"/>
        <v>-235496</v>
      </c>
      <c r="AO101" s="91">
        <f t="shared" si="68"/>
        <v>-1656</v>
      </c>
      <c r="AP101" s="91">
        <f t="shared" si="68"/>
        <v>-78.244808599999999</v>
      </c>
      <c r="AQ101" s="92">
        <f t="shared" si="68"/>
        <v>-81.361836800000006</v>
      </c>
      <c r="AR101" s="92">
        <f t="shared" si="68"/>
        <v>-31.540469900000002</v>
      </c>
      <c r="AS101" s="92">
        <f t="shared" si="68"/>
        <v>-43.652007599999997</v>
      </c>
      <c r="AT101" s="92">
        <f t="shared" si="68"/>
        <v>-42.291822500000002</v>
      </c>
      <c r="AU101" s="92">
        <f t="shared" si="68"/>
        <v>-56.170851599999999</v>
      </c>
      <c r="AV101" s="93">
        <f t="shared" si="68"/>
        <v>-31.075164699999998</v>
      </c>
    </row>
    <row r="102" spans="33:48" x14ac:dyDescent="0.15">
      <c r="AG102" s="91" t="e">
        <f t="shared" si="68"/>
        <v>#VALUE!</v>
      </c>
      <c r="AH102" s="91" t="e">
        <f t="shared" si="68"/>
        <v>#VALUE!</v>
      </c>
      <c r="AI102" s="91">
        <f t="shared" si="68"/>
        <v>-767872</v>
      </c>
      <c r="AJ102" s="91">
        <f t="shared" si="68"/>
        <v>-918272</v>
      </c>
      <c r="AK102" s="91">
        <f t="shared" si="68"/>
        <v>-141704</v>
      </c>
      <c r="AL102" s="91">
        <f t="shared" si="68"/>
        <v>0</v>
      </c>
      <c r="AM102" s="91">
        <f t="shared" si="68"/>
        <v>-59984</v>
      </c>
      <c r="AN102" s="91">
        <f t="shared" si="68"/>
        <v>-714904</v>
      </c>
      <c r="AO102" s="91">
        <f t="shared" si="68"/>
        <v>-1680</v>
      </c>
      <c r="AP102" s="91">
        <f t="shared" si="68"/>
        <v>-81.334224199999994</v>
      </c>
      <c r="AQ102" s="92">
        <f t="shared" si="68"/>
        <v>-86.582821699999997</v>
      </c>
      <c r="AR102" s="92">
        <f t="shared" si="68"/>
        <v>-32.737954999999999</v>
      </c>
      <c r="AS102" s="92">
        <f t="shared" si="68"/>
        <v>-44.933899199999999</v>
      </c>
      <c r="AT102" s="92">
        <f t="shared" si="68"/>
        <v>-43.992284499999997</v>
      </c>
      <c r="AU102" s="92">
        <f t="shared" si="68"/>
        <v>-58.616900700000002</v>
      </c>
      <c r="AV102" s="93">
        <f t="shared" si="68"/>
        <v>-32.434200199999999</v>
      </c>
    </row>
    <row r="103" spans="33:48" x14ac:dyDescent="0.15">
      <c r="AG103" s="91" t="e">
        <f t="shared" si="68"/>
        <v>#VALUE!</v>
      </c>
      <c r="AH103" s="91" t="e">
        <f t="shared" si="68"/>
        <v>#VALUE!</v>
      </c>
      <c r="AI103" s="91">
        <f t="shared" si="68"/>
        <v>-1535744</v>
      </c>
      <c r="AJ103" s="91">
        <f t="shared" si="68"/>
        <v>-1691752</v>
      </c>
      <c r="AK103" s="91">
        <f t="shared" si="68"/>
        <v>-248112</v>
      </c>
      <c r="AL103" s="91">
        <f t="shared" si="68"/>
        <v>0</v>
      </c>
      <c r="AM103" s="91">
        <f t="shared" si="68"/>
        <v>-55432</v>
      </c>
      <c r="AN103" s="91">
        <f t="shared" si="68"/>
        <v>-1386528</v>
      </c>
      <c r="AO103" s="91">
        <f t="shared" si="68"/>
        <v>-1680</v>
      </c>
      <c r="AP103" s="91">
        <f t="shared" si="68"/>
        <v>-82.120771199999993</v>
      </c>
      <c r="AQ103" s="92">
        <f t="shared" si="68"/>
        <v>-88.265081100000003</v>
      </c>
      <c r="AR103" s="92">
        <f t="shared" si="68"/>
        <v>-33.567344599999998</v>
      </c>
      <c r="AS103" s="92">
        <f t="shared" si="68"/>
        <v>-46.3748389</v>
      </c>
      <c r="AT103" s="92">
        <f t="shared" si="68"/>
        <v>-45.425838900000002</v>
      </c>
      <c r="AU103" s="92">
        <f t="shared" si="68"/>
        <v>-59.151543500000002</v>
      </c>
      <c r="AV103" s="93">
        <f t="shared" si="68"/>
        <v>-33.257023400000001</v>
      </c>
    </row>
    <row r="104" spans="33:48" ht="14.25" thickBot="1" x14ac:dyDescent="0.2">
      <c r="AG104" s="94" t="e">
        <f t="shared" ref="AG104" si="69">AG49-L49</f>
        <v>#VALUE!</v>
      </c>
      <c r="AH104" s="94" t="e">
        <f t="shared" ref="AH104" si="70">AH49-M49</f>
        <v>#VALUE!</v>
      </c>
      <c r="AI104" s="94">
        <f t="shared" ref="AI104" si="71">AI49-N49</f>
        <v>-1535744</v>
      </c>
      <c r="AJ104" s="94">
        <f t="shared" ref="AJ104" si="72">AJ49-O49</f>
        <v>-3002608</v>
      </c>
      <c r="AK104" s="94">
        <f t="shared" ref="AK104" si="73">AK49-P49</f>
        <v>-248112</v>
      </c>
      <c r="AL104" s="94">
        <f t="shared" ref="AL104" si="74">AL49-Q49</f>
        <v>0</v>
      </c>
      <c r="AM104" s="94">
        <f t="shared" ref="AM104" si="75">AM49-R49</f>
        <v>-64824</v>
      </c>
      <c r="AN104" s="94">
        <f t="shared" ref="AN104" si="76">AN49-S49</f>
        <v>-2687984</v>
      </c>
      <c r="AO104" s="94">
        <f t="shared" ref="AO104" si="77">AO49-T49</f>
        <v>-1688</v>
      </c>
      <c r="AP104" s="94">
        <f t="shared" ref="AP104" si="78">AP49-U49</f>
        <v>-82.296570799999998</v>
      </c>
      <c r="AQ104" s="95">
        <f t="shared" ref="AQ104" si="79">AQ49-V49</f>
        <v>-88.772984699999995</v>
      </c>
      <c r="AR104" s="95">
        <f t="shared" ref="AR104" si="80">AR49-W49</f>
        <v>-34.238238899999999</v>
      </c>
      <c r="AS104" s="95">
        <f t="shared" ref="AS104" si="81">AS49-X49</f>
        <v>-48.012117199999999</v>
      </c>
      <c r="AT104" s="95">
        <f t="shared" ref="AT104" si="82">AT49-Y49</f>
        <v>-46.998905299999997</v>
      </c>
      <c r="AU104" s="95">
        <f t="shared" ref="AU104" si="83">AU49-Z49</f>
        <v>-59.486194699999999</v>
      </c>
      <c r="AV104" s="96">
        <f t="shared" ref="AV104" si="84">AV49-AA49</f>
        <v>-33.879080799999997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:AZ54 BA53:BN53">
    <cfRule type="cellIs" dxfId="161" priority="37" operator="greaterThanOrEqual">
      <formula>0.03</formula>
    </cfRule>
    <cfRule type="cellIs" dxfId="160" priority="38" operator="lessThanOrEqual">
      <formula>-0.03</formula>
    </cfRule>
  </conditionalFormatting>
  <conditionalFormatting sqref="BA5:BA52 BA54">
    <cfRule type="cellIs" dxfId="159" priority="39" operator="greaterThanOrEqual">
      <formula>0.03</formula>
    </cfRule>
    <cfRule type="cellIs" dxfId="158" priority="40" operator="lessThanOrEqual">
      <formula>-0.03</formula>
    </cfRule>
  </conditionalFormatting>
  <conditionalFormatting sqref="BB5:BB52 BB54">
    <cfRule type="cellIs" dxfId="157" priority="47" operator="greaterThanOrEqual">
      <formula>0.03</formula>
    </cfRule>
    <cfRule type="cellIs" dxfId="156" priority="48" operator="lessThanOrEqual">
      <formula>-0.03</formula>
    </cfRule>
  </conditionalFormatting>
  <conditionalFormatting sqref="BC5:BC52 BC54">
    <cfRule type="cellIs" dxfId="155" priority="49" operator="greaterThanOrEqual">
      <formula>0.03</formula>
    </cfRule>
    <cfRule type="cellIs" dxfId="154" priority="50" operator="lessThanOrEqual">
      <formula>-0.03</formula>
    </cfRule>
  </conditionalFormatting>
  <conditionalFormatting sqref="BD5:BD52 BD54">
    <cfRule type="cellIs" dxfId="153" priority="41" operator="greaterThanOrEqual">
      <formula>0.03</formula>
    </cfRule>
    <cfRule type="cellIs" dxfId="152" priority="42" operator="lessThanOrEqual">
      <formula>-0.03</formula>
    </cfRule>
  </conditionalFormatting>
  <conditionalFormatting sqref="BE5:BE52 BE54">
    <cfRule type="cellIs" dxfId="151" priority="43" operator="greaterThanOrEqual">
      <formula>0.03</formula>
    </cfRule>
    <cfRule type="cellIs" dxfId="150" priority="44" operator="lessThanOrEqual">
      <formula>-0.03</formula>
    </cfRule>
  </conditionalFormatting>
  <conditionalFormatting sqref="BF5:BF52 BF54">
    <cfRule type="cellIs" dxfId="149" priority="45" operator="greaterThanOrEqual">
      <formula>0.03</formula>
    </cfRule>
    <cfRule type="cellIs" dxfId="148" priority="46" operator="lessThanOrEqual">
      <formula>-0.03</formula>
    </cfRule>
  </conditionalFormatting>
  <conditionalFormatting sqref="J5:J50">
    <cfRule type="expression" dxfId="147" priority="36">
      <formula>OR(J5 &lt; H5 * 0.9, J5 &gt; H5)</formula>
    </cfRule>
  </conditionalFormatting>
  <conditionalFormatting sqref="AE5:AE50">
    <cfRule type="expression" dxfId="146" priority="35">
      <formula>OR(AE5 &lt; H5 * 0.9, AE5 &gt; H5)</formula>
    </cfRule>
  </conditionalFormatting>
  <conditionalFormatting sqref="BP5:BP54 BQ53:BT54">
    <cfRule type="cellIs" dxfId="145" priority="33" operator="greaterThanOrEqual">
      <formula>0.001</formula>
    </cfRule>
    <cfRule type="cellIs" dxfId="144" priority="34" operator="lessThanOrEqual">
      <formula>-0.001</formula>
    </cfRule>
  </conditionalFormatting>
  <conditionalFormatting sqref="BQ5:BQ52">
    <cfRule type="cellIs" dxfId="143" priority="31" operator="greaterThanOrEqual">
      <formula>0.001</formula>
    </cfRule>
    <cfRule type="cellIs" dxfId="142" priority="32" operator="lessThanOrEqual">
      <formula>-0.001</formula>
    </cfRule>
  </conditionalFormatting>
  <conditionalFormatting sqref="BR5:BR52">
    <cfRule type="cellIs" dxfId="141" priority="29" operator="greaterThanOrEqual">
      <formula>0.001</formula>
    </cfRule>
    <cfRule type="cellIs" dxfId="140" priority="30" operator="lessThanOrEqual">
      <formula>-0.001</formula>
    </cfRule>
  </conditionalFormatting>
  <conditionalFormatting sqref="BS5:BS52">
    <cfRule type="cellIs" dxfId="139" priority="27" operator="greaterThanOrEqual">
      <formula>0.001</formula>
    </cfRule>
    <cfRule type="cellIs" dxfId="138" priority="28" operator="lessThanOrEqual">
      <formula>-0.001</formula>
    </cfRule>
  </conditionalFormatting>
  <conditionalFormatting sqref="AG60:AQ99">
    <cfRule type="cellIs" dxfId="137" priority="25" operator="lessThan">
      <formula>0</formula>
    </cfRule>
    <cfRule type="cellIs" dxfId="136" priority="26" operator="greaterThan">
      <formula>0</formula>
    </cfRule>
  </conditionalFormatting>
  <conditionalFormatting sqref="AR60:AV99">
    <cfRule type="cellIs" dxfId="135" priority="23" operator="lessThan">
      <formula>0</formula>
    </cfRule>
    <cfRule type="cellIs" dxfId="134" priority="24" operator="greaterThan">
      <formula>0</formula>
    </cfRule>
  </conditionalFormatting>
  <conditionalFormatting sqref="L5:L49">
    <cfRule type="expression" dxfId="133" priority="22">
      <formula>NOT(L5=O5)</formula>
    </cfRule>
  </conditionalFormatting>
  <conditionalFormatting sqref="AG5:AG49">
    <cfRule type="expression" dxfId="132" priority="21">
      <formula>NOT(AG5=AJ5)</formula>
    </cfRule>
  </conditionalFormatting>
  <conditionalFormatting sqref="BH5:BH52 BH54">
    <cfRule type="cellIs" dxfId="131" priority="11" operator="greaterThanOrEqual">
      <formula>0.03</formula>
    </cfRule>
    <cfRule type="cellIs" dxfId="130" priority="12" operator="lessThanOrEqual">
      <formula>-0.03</formula>
    </cfRule>
  </conditionalFormatting>
  <conditionalFormatting sqref="BI5:BI52 BI54">
    <cfRule type="cellIs" dxfId="129" priority="7" operator="greaterThanOrEqual">
      <formula>0.03</formula>
    </cfRule>
    <cfRule type="cellIs" dxfId="128" priority="8" operator="lessThanOrEqual">
      <formula>-0.03</formula>
    </cfRule>
  </conditionalFormatting>
  <conditionalFormatting sqref="BJ5:BJ52 BJ54">
    <cfRule type="cellIs" dxfId="127" priority="15" operator="greaterThanOrEqual">
      <formula>0.03</formula>
    </cfRule>
    <cfRule type="cellIs" dxfId="126" priority="16" operator="lessThanOrEqual">
      <formula>-0.03</formula>
    </cfRule>
  </conditionalFormatting>
  <conditionalFormatting sqref="BK5:BK52 BK54">
    <cfRule type="cellIs" dxfId="125" priority="17" operator="greaterThanOrEqual">
      <formula>0.03</formula>
    </cfRule>
    <cfRule type="cellIs" dxfId="124" priority="18" operator="lessThanOrEqual">
      <formula>-0.03</formula>
    </cfRule>
  </conditionalFormatting>
  <conditionalFormatting sqref="BL5:BL52 BL54">
    <cfRule type="cellIs" dxfId="123" priority="9" operator="greaterThanOrEqual">
      <formula>0.03</formula>
    </cfRule>
    <cfRule type="cellIs" dxfId="122" priority="10" operator="lessThanOrEqual">
      <formula>-0.03</formula>
    </cfRule>
  </conditionalFormatting>
  <conditionalFormatting sqref="BM5:BM52 BM54">
    <cfRule type="cellIs" dxfId="121" priority="19" operator="greaterThanOrEqual">
      <formula>0.03</formula>
    </cfRule>
    <cfRule type="cellIs" dxfId="120" priority="20" operator="lessThanOrEqual">
      <formula>-0.03</formula>
    </cfRule>
  </conditionalFormatting>
  <conditionalFormatting sqref="BN5:BN52 BN54">
    <cfRule type="cellIs" dxfId="119" priority="13" operator="greaterThanOrEqual">
      <formula>0.03</formula>
    </cfRule>
    <cfRule type="cellIs" dxfId="118" priority="14" operator="lessThanOrEqual">
      <formula>-0.03</formula>
    </cfRule>
  </conditionalFormatting>
  <conditionalFormatting sqref="BT5:BT52">
    <cfRule type="cellIs" dxfId="117" priority="5" operator="greaterThanOrEqual">
      <formula>0.001</formula>
    </cfRule>
    <cfRule type="cellIs" dxfId="116" priority="6" operator="lessThanOrEqual">
      <formula>-0.001</formula>
    </cfRule>
  </conditionalFormatting>
  <conditionalFormatting sqref="AG100:AQ104">
    <cfRule type="cellIs" dxfId="115" priority="3" operator="lessThan">
      <formula>0</formula>
    </cfRule>
    <cfRule type="cellIs" dxfId="114" priority="4" operator="greaterThan">
      <formula>0</formula>
    </cfRule>
  </conditionalFormatting>
  <conditionalFormatting sqref="AR100:AV104">
    <cfRule type="cellIs" dxfId="113" priority="1" operator="lessThan">
      <formula>0</formula>
    </cfRule>
    <cfRule type="cellIs" dxfId="112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outlinePr summaryBelow="0"/>
  </sheetPr>
  <dimension ref="A1:BT104"/>
  <sheetViews>
    <sheetView tabSelected="1" zoomScale="80" zoomScaleNormal="80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N45" sqref="N45:AC49"/>
    </sheetView>
  </sheetViews>
  <sheetFormatPr defaultColWidth="9.125" defaultRowHeight="13.5" outlineLevelRow="1" x14ac:dyDescent="0.15"/>
  <cols>
    <col min="2" max="2" width="24.75" customWidth="1"/>
    <col min="4" max="5" width="10.75" customWidth="1"/>
    <col min="9" max="9" width="1.75" customWidth="1"/>
    <col min="11" max="11" width="10.75" customWidth="1"/>
    <col min="12" max="13" width="12.5" customWidth="1"/>
    <col min="14" max="14" width="10.75" customWidth="1"/>
    <col min="15" max="20" width="12.75" customWidth="1"/>
    <col min="21" max="27" width="11.75" customWidth="1"/>
    <col min="30" max="30" width="1.75" customWidth="1"/>
    <col min="32" max="32" width="10.75" customWidth="1"/>
    <col min="33" max="34" width="12.5" customWidth="1"/>
    <col min="35" max="35" width="10.75" customWidth="1"/>
    <col min="36" max="41" width="12.75" customWidth="1"/>
    <col min="42" max="48" width="11.75" customWidth="1"/>
    <col min="51" max="51" width="1.75" customWidth="1"/>
    <col min="54" max="58" width="11.75" customWidth="1"/>
    <col min="59" max="59" width="1.75" customWidth="1"/>
    <col min="62" max="66" width="11.75" customWidth="1"/>
    <col min="67" max="67" width="1.75" customWidth="1"/>
  </cols>
  <sheetData>
    <row r="1" spans="1:72" x14ac:dyDescent="0.15">
      <c r="A1" s="125" t="s">
        <v>367</v>
      </c>
      <c r="B1" s="113"/>
      <c r="C1" s="113"/>
      <c r="D1" s="113"/>
      <c r="E1" s="113"/>
      <c r="F1" s="113"/>
      <c r="G1" s="113"/>
      <c r="H1" s="113"/>
      <c r="J1" s="121" t="str">
        <f>Summary!C1</f>
        <v>F300_v8.0</v>
      </c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113"/>
      <c r="AE1" s="122">
        <f>Summary!C2</f>
        <v>0</v>
      </c>
      <c r="AF1" s="113"/>
      <c r="AG1" s="113"/>
      <c r="AH1" s="113"/>
      <c r="AI1" s="113"/>
      <c r="AJ1" s="113"/>
      <c r="AK1" s="113"/>
      <c r="AL1" s="113"/>
      <c r="AM1" s="113"/>
      <c r="AN1" s="113"/>
      <c r="AO1" s="113"/>
      <c r="AP1" s="113"/>
      <c r="AQ1" s="113"/>
      <c r="AR1" s="113"/>
      <c r="AS1" s="113"/>
      <c r="AT1" s="113"/>
      <c r="AU1" s="113"/>
      <c r="AV1" s="113"/>
      <c r="AW1" s="113"/>
      <c r="AX1" s="113"/>
    </row>
    <row r="2" spans="1:72" ht="33" customHeight="1" thickBot="1" x14ac:dyDescent="0.2">
      <c r="A2" s="124" t="s">
        <v>149</v>
      </c>
      <c r="B2" s="123" t="s">
        <v>150</v>
      </c>
      <c r="C2" s="124" t="s">
        <v>333</v>
      </c>
      <c r="D2" s="123" t="s">
        <v>151</v>
      </c>
      <c r="E2" s="124" t="s">
        <v>152</v>
      </c>
      <c r="F2" s="123" t="s">
        <v>153</v>
      </c>
      <c r="G2" s="124" t="s">
        <v>154</v>
      </c>
      <c r="H2" s="123" t="s">
        <v>334</v>
      </c>
      <c r="J2" s="124" t="s">
        <v>127</v>
      </c>
      <c r="K2" s="123" t="s">
        <v>131</v>
      </c>
      <c r="L2" s="129" t="s">
        <v>120</v>
      </c>
      <c r="M2" s="123" t="s">
        <v>368</v>
      </c>
      <c r="N2" s="124" t="s">
        <v>81</v>
      </c>
      <c r="O2" s="123" t="s">
        <v>120</v>
      </c>
      <c r="P2" s="127" t="s">
        <v>419</v>
      </c>
      <c r="Q2" s="127" t="s">
        <v>420</v>
      </c>
      <c r="R2" s="127" t="s">
        <v>421</v>
      </c>
      <c r="S2" s="127" t="s">
        <v>422</v>
      </c>
      <c r="T2" s="127" t="s">
        <v>423</v>
      </c>
      <c r="U2" s="126" t="s">
        <v>335</v>
      </c>
      <c r="V2" s="113"/>
      <c r="W2" s="113"/>
      <c r="X2" s="113"/>
      <c r="Y2" s="113"/>
      <c r="Z2" s="127" t="s">
        <v>336</v>
      </c>
      <c r="AA2" s="113"/>
      <c r="AB2" s="124" t="s">
        <v>122</v>
      </c>
      <c r="AC2" s="123" t="s">
        <v>102</v>
      </c>
      <c r="AE2" s="124" t="s">
        <v>127</v>
      </c>
      <c r="AF2" s="123" t="s">
        <v>131</v>
      </c>
      <c r="AG2" s="129" t="s">
        <v>120</v>
      </c>
      <c r="AH2" s="123" t="s">
        <v>368</v>
      </c>
      <c r="AI2" s="124" t="s">
        <v>81</v>
      </c>
      <c r="AJ2" s="123" t="s">
        <v>120</v>
      </c>
      <c r="AK2" s="127" t="s">
        <v>419</v>
      </c>
      <c r="AL2" s="127" t="s">
        <v>420</v>
      </c>
      <c r="AM2" s="127" t="s">
        <v>421</v>
      </c>
      <c r="AN2" s="127" t="s">
        <v>422</v>
      </c>
      <c r="AO2" s="127" t="s">
        <v>423</v>
      </c>
      <c r="AP2" s="126" t="s">
        <v>335</v>
      </c>
      <c r="AQ2" s="113"/>
      <c r="AR2" s="113"/>
      <c r="AS2" s="113"/>
      <c r="AT2" s="113"/>
      <c r="AU2" s="127" t="s">
        <v>336</v>
      </c>
      <c r="AV2" s="113"/>
      <c r="AW2" s="124" t="s">
        <v>122</v>
      </c>
      <c r="AX2" s="123" t="s">
        <v>102</v>
      </c>
      <c r="AZ2" s="126" t="s">
        <v>15</v>
      </c>
      <c r="BA2" s="113"/>
      <c r="BB2" s="113"/>
      <c r="BC2" s="113"/>
      <c r="BD2" s="113"/>
      <c r="BE2" s="127" t="s">
        <v>16</v>
      </c>
      <c r="BF2" s="113"/>
      <c r="BH2" s="126" t="s">
        <v>409</v>
      </c>
      <c r="BI2" s="126"/>
      <c r="BJ2" s="128" t="s">
        <v>410</v>
      </c>
      <c r="BK2" s="128"/>
      <c r="BL2" s="128"/>
      <c r="BM2" s="124" t="s">
        <v>411</v>
      </c>
      <c r="BN2" s="123" t="s">
        <v>412</v>
      </c>
      <c r="BP2" s="124" t="s">
        <v>414</v>
      </c>
      <c r="BQ2" s="124" t="s">
        <v>415</v>
      </c>
      <c r="BR2" s="124" t="s">
        <v>417</v>
      </c>
      <c r="BS2" s="124" t="s">
        <v>416</v>
      </c>
      <c r="BT2" s="124" t="s">
        <v>418</v>
      </c>
    </row>
    <row r="3" spans="1:72" ht="33" customHeight="1" thickBot="1" x14ac:dyDescent="0.2">
      <c r="A3" s="115"/>
      <c r="B3" s="115"/>
      <c r="C3" s="115"/>
      <c r="D3" s="115"/>
      <c r="E3" s="115"/>
      <c r="F3" s="115"/>
      <c r="G3" s="115"/>
      <c r="H3" s="115"/>
      <c r="J3" s="115"/>
      <c r="K3" s="115"/>
      <c r="L3" s="130"/>
      <c r="M3" s="115"/>
      <c r="N3" s="115"/>
      <c r="O3" s="115"/>
      <c r="P3" s="123"/>
      <c r="Q3" s="123"/>
      <c r="R3" s="123"/>
      <c r="S3" s="123"/>
      <c r="T3" s="123"/>
      <c r="U3" s="13" t="s">
        <v>17</v>
      </c>
      <c r="V3" s="13" t="s">
        <v>18</v>
      </c>
      <c r="W3" s="13" t="s">
        <v>19</v>
      </c>
      <c r="X3" s="13" t="s">
        <v>20</v>
      </c>
      <c r="Y3" s="13" t="s">
        <v>21</v>
      </c>
      <c r="Z3" s="14" t="s">
        <v>22</v>
      </c>
      <c r="AA3" s="14" t="s">
        <v>19</v>
      </c>
      <c r="AB3" s="115"/>
      <c r="AC3" s="115"/>
      <c r="AE3" s="115"/>
      <c r="AF3" s="115"/>
      <c r="AG3" s="130"/>
      <c r="AH3" s="115"/>
      <c r="AI3" s="115"/>
      <c r="AJ3" s="115"/>
      <c r="AK3" s="123"/>
      <c r="AL3" s="123"/>
      <c r="AM3" s="123"/>
      <c r="AN3" s="123"/>
      <c r="AO3" s="123"/>
      <c r="AP3" s="13" t="s">
        <v>17</v>
      </c>
      <c r="AQ3" s="13" t="s">
        <v>18</v>
      </c>
      <c r="AR3" s="13" t="s">
        <v>19</v>
      </c>
      <c r="AS3" s="13" t="s">
        <v>20</v>
      </c>
      <c r="AT3" s="13" t="s">
        <v>21</v>
      </c>
      <c r="AU3" s="14" t="s">
        <v>22</v>
      </c>
      <c r="AV3" s="14" t="s">
        <v>19</v>
      </c>
      <c r="AW3" s="115"/>
      <c r="AX3" s="115"/>
      <c r="AZ3" s="13" t="s">
        <v>17</v>
      </c>
      <c r="BA3" s="13" t="s">
        <v>18</v>
      </c>
      <c r="BB3" s="13" t="s">
        <v>19</v>
      </c>
      <c r="BC3" s="13" t="s">
        <v>20</v>
      </c>
      <c r="BD3" s="13" t="s">
        <v>21</v>
      </c>
      <c r="BE3" s="14" t="s">
        <v>22</v>
      </c>
      <c r="BF3" s="14" t="s">
        <v>19</v>
      </c>
      <c r="BH3" s="13" t="s">
        <v>17</v>
      </c>
      <c r="BI3" s="13" t="s">
        <v>18</v>
      </c>
      <c r="BJ3" s="61" t="s">
        <v>19</v>
      </c>
      <c r="BK3" s="61" t="s">
        <v>20</v>
      </c>
      <c r="BL3" s="61" t="s">
        <v>21</v>
      </c>
      <c r="BM3" s="124"/>
      <c r="BN3" s="123"/>
      <c r="BP3" s="115"/>
      <c r="BQ3" s="115"/>
      <c r="BR3" s="115"/>
      <c r="BS3" s="115"/>
      <c r="BT3" s="115"/>
    </row>
    <row r="4" spans="1:72" ht="54" hidden="1" customHeight="1" thickBot="1" x14ac:dyDescent="0.2">
      <c r="A4" s="15" t="s">
        <v>158</v>
      </c>
      <c r="B4" s="16" t="s">
        <v>159</v>
      </c>
      <c r="C4" s="15" t="s">
        <v>337</v>
      </c>
      <c r="D4" s="16" t="s">
        <v>160</v>
      </c>
      <c r="E4" s="15" t="s">
        <v>161</v>
      </c>
      <c r="F4" s="16" t="s">
        <v>162</v>
      </c>
      <c r="G4" s="15" t="s">
        <v>163</v>
      </c>
      <c r="H4" s="16" t="s">
        <v>338</v>
      </c>
      <c r="J4" s="15" t="s">
        <v>164</v>
      </c>
      <c r="K4" s="16" t="s">
        <v>165</v>
      </c>
      <c r="L4" s="16"/>
      <c r="M4" s="16"/>
      <c r="N4" s="15" t="s">
        <v>339</v>
      </c>
      <c r="O4" s="16" t="s">
        <v>166</v>
      </c>
      <c r="P4" s="16"/>
      <c r="Q4" s="16"/>
      <c r="R4" s="16"/>
      <c r="S4" s="16"/>
      <c r="T4" s="16"/>
      <c r="U4" s="15" t="s">
        <v>340</v>
      </c>
      <c r="V4" s="15" t="s">
        <v>341</v>
      </c>
      <c r="W4" s="15" t="s">
        <v>342</v>
      </c>
      <c r="X4" s="15" t="s">
        <v>343</v>
      </c>
      <c r="Y4" s="15" t="s">
        <v>344</v>
      </c>
      <c r="Z4" s="16" t="s">
        <v>345</v>
      </c>
      <c r="AA4" s="16" t="s">
        <v>346</v>
      </c>
      <c r="AB4" s="15" t="s">
        <v>167</v>
      </c>
      <c r="AC4" s="16" t="s">
        <v>168</v>
      </c>
      <c r="AE4" s="15" t="s">
        <v>169</v>
      </c>
      <c r="AF4" s="16" t="s">
        <v>170</v>
      </c>
      <c r="AG4" s="16"/>
      <c r="AH4" s="16"/>
      <c r="AI4" s="15" t="s">
        <v>347</v>
      </c>
      <c r="AJ4" s="16" t="s">
        <v>171</v>
      </c>
      <c r="AK4" s="16"/>
      <c r="AL4" s="16"/>
      <c r="AM4" s="16"/>
      <c r="AN4" s="16"/>
      <c r="AO4" s="16"/>
      <c r="AP4" s="15" t="s">
        <v>348</v>
      </c>
      <c r="AQ4" s="15" t="s">
        <v>349</v>
      </c>
      <c r="AR4" s="15" t="s">
        <v>350</v>
      </c>
      <c r="AS4" s="15" t="s">
        <v>351</v>
      </c>
      <c r="AT4" s="15" t="s">
        <v>352</v>
      </c>
      <c r="AU4" s="16" t="s">
        <v>353</v>
      </c>
      <c r="AV4" s="16" t="s">
        <v>354</v>
      </c>
      <c r="AW4" s="15" t="s">
        <v>172</v>
      </c>
      <c r="AX4" s="16" t="s">
        <v>173</v>
      </c>
      <c r="AZ4" s="15" t="s">
        <v>355</v>
      </c>
      <c r="BA4" s="15" t="s">
        <v>356</v>
      </c>
      <c r="BB4" s="15" t="s">
        <v>357</v>
      </c>
      <c r="BC4" s="15" t="s">
        <v>358</v>
      </c>
      <c r="BD4" s="15" t="s">
        <v>359</v>
      </c>
      <c r="BE4" s="16" t="s">
        <v>360</v>
      </c>
      <c r="BF4" s="16" t="s">
        <v>361</v>
      </c>
      <c r="BH4" s="15" t="s">
        <v>355</v>
      </c>
      <c r="BI4" s="15" t="s">
        <v>356</v>
      </c>
      <c r="BJ4" s="15" t="s">
        <v>357</v>
      </c>
      <c r="BK4" s="15" t="s">
        <v>358</v>
      </c>
      <c r="BL4" s="15" t="s">
        <v>359</v>
      </c>
      <c r="BM4" s="16" t="s">
        <v>360</v>
      </c>
      <c r="BN4" s="16" t="s">
        <v>361</v>
      </c>
    </row>
    <row r="5" spans="1:72" ht="15" customHeight="1" x14ac:dyDescent="0.15">
      <c r="A5" s="17" t="s">
        <v>175</v>
      </c>
      <c r="B5" s="17" t="s">
        <v>38</v>
      </c>
      <c r="C5" s="19" t="s">
        <v>362</v>
      </c>
      <c r="D5" s="17">
        <v>11997440</v>
      </c>
      <c r="E5" s="18">
        <v>10</v>
      </c>
      <c r="F5" s="19">
        <v>32</v>
      </c>
      <c r="G5" s="19">
        <v>30</v>
      </c>
      <c r="H5" s="19">
        <v>4</v>
      </c>
      <c r="J5" s="20">
        <f t="shared" ref="J5:J44" si="0">IF(OR(ISBLANK(O5),ISBLANK(G5)),"·",O5*G5/F5/1000000)</f>
        <v>39.187882500000001</v>
      </c>
      <c r="K5" s="21">
        <f t="shared" ref="K5:K44" si="1">IF(ISBLANK(O5),"·",O5/D5)</f>
        <v>3.4841106102635231</v>
      </c>
      <c r="L5" s="19">
        <f t="shared" ref="L5:L44" si="2">IF(OR(ISBLANK(M5),ISBLANK(S5),ISBLANK(T5)),".",M5+S5+T5)</f>
        <v>41800408</v>
      </c>
      <c r="M5" s="19">
        <f t="shared" ref="M5:M44" si="3">IF(OR(ISBLANK(Q5),ISBLANK(P5),ISBLANK(R5)),".",P5+Q5+R5)</f>
        <v>13993232</v>
      </c>
      <c r="N5" s="44">
        <v>22725696</v>
      </c>
      <c r="O5" s="22">
        <v>41800408</v>
      </c>
      <c r="P5" s="22">
        <v>7986928</v>
      </c>
      <c r="Q5" s="22">
        <v>0</v>
      </c>
      <c r="R5" s="22">
        <v>6006304</v>
      </c>
      <c r="S5" s="22">
        <v>27663304</v>
      </c>
      <c r="T5" s="22">
        <v>143872</v>
      </c>
      <c r="U5" s="45">
        <v>68.390141</v>
      </c>
      <c r="V5" s="45">
        <v>69.403587400000006</v>
      </c>
      <c r="W5" s="45">
        <v>27.835100700000002</v>
      </c>
      <c r="X5" s="45">
        <v>33.481198599999999</v>
      </c>
      <c r="Y5" s="45">
        <v>32.859164100000001</v>
      </c>
      <c r="Z5" s="45">
        <v>47.920303099999998</v>
      </c>
      <c r="AA5" s="45">
        <v>26.6098891</v>
      </c>
      <c r="AB5" s="23">
        <v>6839.3218989999996</v>
      </c>
      <c r="AC5" s="23">
        <v>49.544643999999998</v>
      </c>
      <c r="AE5" s="20" t="str">
        <f t="shared" ref="AE5:AE44" si="4">IF(OR(ISBLANK(AJ5),ISBLANK(G5)),"·",AJ5*G5/F5/1000000)</f>
        <v>·</v>
      </c>
      <c r="AF5" s="21" t="str">
        <f t="shared" ref="AF5:AF44" si="5">IF(ISBLANK(AJ5),"·",AJ5/D5)</f>
        <v>·</v>
      </c>
      <c r="AG5" s="19" t="str">
        <f t="shared" ref="AG5:AG44" si="6">IF(OR(ISBLANK(AH5),ISBLANK(AN5),ISBLANK(AO5)),".",AH5+AN5+AO5)</f>
        <v>.</v>
      </c>
      <c r="AH5" s="19" t="str">
        <f t="shared" ref="AH5:AH44" si="7">IF(OR(ISBLANK(AL5),ISBLANK(AK5),ISBLANK(AM5)),".",AK5+AL5+AM5)</f>
        <v>.</v>
      </c>
      <c r="AI5" s="44"/>
      <c r="AJ5" s="22"/>
      <c r="AK5" s="22"/>
      <c r="AL5" s="22"/>
      <c r="AM5" s="22"/>
      <c r="AN5" s="22"/>
      <c r="AO5" s="22"/>
      <c r="AP5" s="45"/>
      <c r="AQ5" s="45"/>
      <c r="AR5" s="45"/>
      <c r="AS5" s="45"/>
      <c r="AT5" s="45"/>
      <c r="AU5" s="45"/>
      <c r="AV5" s="45"/>
      <c r="AW5" s="23"/>
      <c r="AX5" s="23"/>
      <c r="AZ5" s="24" t="str">
        <f t="array" ref="AZ5">IF( OR(AND(ISBLANK(L5:L9)),AND(ISBLANK(AG5:AG9)), AND(ISBLANK(U5:U9)),AND(ISBLANK(AP5:AP9))), "·", bdRateExtend( L5:L9,U5:U9, AG5:AG9,AP5:AP9))</f>
        <v>·</v>
      </c>
      <c r="BA5" s="24" t="str">
        <f t="array" ref="BA5">IF( OR(AND(ISBLANK(L5:L9)),AND(ISBLANK(AG5:AG9)), AND(ISBLANK(V5:V9)),AND(ISBLANK(AQ5:AQ9))), "·", bdRateExtend( L5:L9,V5:V9, AG5:AG9,AQ5:AQ9))</f>
        <v>·</v>
      </c>
      <c r="BB5" s="24" t="str" cm="1">
        <f t="array" ref="BB5">IF( OR(AND(ISBLANK(L5:L9)),AND(ISBLANK(AG5:AG9)), AND(ISBLANK(W5:W9)),AND(ISBLANK(AR5:AR9))), "·", bdRateExtend( L5:L9,W5:W9, AG5:AG9,AR5:AR9))</f>
        <v>·</v>
      </c>
      <c r="BC5" s="24" t="str" cm="1">
        <f t="array" ref="BC5">IF( OR(AND(ISBLANK(L5:L9)),AND(ISBLANK(AG5:AG9)), AND(ISBLANK(X5:X9)),AND(ISBLANK(AS5:AS9))), "·", bdRateExtend( L5:L9,X5:X9, AG5:AG9,AS5:AS9))</f>
        <v>·</v>
      </c>
      <c r="BD5" s="24" t="str" cm="1">
        <f t="array" ref="BD5">IF( OR(AND(ISBLANK(L5:L9)),AND(ISBLANK(AG5:AG9)), AND(ISBLANK(Y5:Y9)),AND(ISBLANK(AT5:AT9))), "·", bdRateExtend( L5:L9,Y5:Y9, AG5:AG9,AT5:AT9))</f>
        <v>·</v>
      </c>
      <c r="BE5" s="24" t="str" cm="1">
        <f t="array" ref="BE5">IF( OR(AND(ISBLANK(L5:L9)),AND(ISBLANK(AG5:AG9)), AND(ISBLANK(Z5:Z9)),AND(ISBLANK(AU5:AU9))), "·", bdRateExtend( L5:L9,Z5:Z9, AG5:AG9,AU5:AU9))</f>
        <v>·</v>
      </c>
      <c r="BF5" s="24" t="str" cm="1">
        <f t="array" ref="BF5">IF( OR(AND(ISBLANK(L5:L9)),AND(ISBLANK(AG5:AG9)), AND(ISBLANK(AA5:AA9)),AND(ISBLANK(AV5:AV9))), "·", bdRateExtend( L5:L9,AA5:AA9, AG5:AG9,AV5:AV9))</f>
        <v>·</v>
      </c>
      <c r="BH5" s="24" t="str" cm="1">
        <f t="array" ref="BH5">IF( OR(AND(ISBLANK(M5:M9)),AND(ISBLANK(AH5:AH9)), AND(ISBLANK(U5:U9)),AND(ISBLANK(AP5:AP9))), "·", bdRateExtend( M5:M9,U5:U9, AH5:AH9,AP5:AP9))</f>
        <v>·</v>
      </c>
      <c r="BI5" s="24" t="str" cm="1">
        <f t="array" ref="BI5">IF( OR(AND(ISBLANK(M5:M9)),AND(ISBLANK(AH5:AH9)), AND(ISBLANK(V5:V9)),AND(ISBLANK(AQ5:AQ9))), "·", bdRateExtend( M5:M9,V5:V9, AH5:AH9,AQ5:AQ9))</f>
        <v>·</v>
      </c>
      <c r="BJ5" s="24" t="str" cm="1">
        <f t="array" ref="BJ5">IF( OR(AND(ISBLANK(S5:S9)),AND(ISBLANK(AN5:AN9)), AND(ISBLANK(W5:W9)),AND(ISBLANK(AR5:AR9))), "·", bdRateExtend( S5:S9,W5:W9, AN5:AN9,AR5:AR9))</f>
        <v>·</v>
      </c>
      <c r="BK5" s="24" t="str" cm="1">
        <f t="array" ref="BK5">IF( OR(AND(ISBLANK(S5:S9)),AND(ISBLANK(AN5:AN9)), AND(ISBLANK(X5:X9)),AND(ISBLANK(AS5:AS9))), "·", bdRateExtend( S5:S9,X5:X9, AN5:AN9,AS5:AS9))</f>
        <v>·</v>
      </c>
      <c r="BL5" s="24" t="str" cm="1">
        <f t="array" ref="BL5">IF( OR(AND(ISBLANK(S5:S9)),AND(ISBLANK(AN5:AN9)), AND(ISBLANK(Y5:Y9)),AND(ISBLANK(AT5:AT9))), "·", bdRateExtend( S5:S9,Y5:Y9, AN5:AN9,AT5:AT9))</f>
        <v>·</v>
      </c>
      <c r="BM5" s="24" t="str" cm="1">
        <f t="array" ref="BM5">IF( OR(AND(ISBLANK(M5:M9)),AND(ISBLANK(AH5:AH9)), AND(ISBLANK(Z5:Z9)),AND(ISBLANK(AU5:AU9))), "·", bdRateExtend( M5:M9,Z5:Z9, AH5:AH9,AU5:AU9))</f>
        <v>·</v>
      </c>
      <c r="BN5" s="24" t="str" cm="1">
        <f t="array" ref="BN5">IF( OR(AND(ISBLANK(S5:S9)),AND(ISBLANK(AN5:AN9)), AND(ISBLANK(AA5:AA9)),AND(ISBLANK(AV5:AV9))), "·", bdRateExtend( S5:S9,AA5:AA9, AN5:AN9,AV5:AV9))</f>
        <v>·</v>
      </c>
      <c r="BP5" s="24">
        <f t="shared" ref="BP5:BP44" si="8">IF(AND(AK5=0,AK5=0),0,AK5/P5-1)</f>
        <v>0</v>
      </c>
      <c r="BQ5" s="24">
        <f t="shared" ref="BQ5:BQ44" si="9">IF(AND(AL5=0,AL5=0),0,AL5/Q5-1)</f>
        <v>0</v>
      </c>
      <c r="BR5" s="24">
        <f t="shared" ref="BR5:BR44" si="10">IF(AND(AM5=0,AM5=0),0,AM5/R5-1)</f>
        <v>0</v>
      </c>
      <c r="BS5" s="24">
        <f t="shared" ref="BS5:BT44" si="11">IF(AND(AN5=0,AN5=0),0,AN5/S5-1)</f>
        <v>0</v>
      </c>
      <c r="BT5" s="24">
        <f t="shared" si="11"/>
        <v>0</v>
      </c>
    </row>
    <row r="6" spans="1:72" ht="15" customHeight="1" outlineLevel="1" x14ac:dyDescent="0.15">
      <c r="A6" s="33"/>
      <c r="B6" s="33" t="s">
        <v>38</v>
      </c>
      <c r="C6" s="35" t="s">
        <v>363</v>
      </c>
      <c r="D6" s="33">
        <v>11997440</v>
      </c>
      <c r="E6" s="34">
        <v>10</v>
      </c>
      <c r="F6" s="35">
        <v>32</v>
      </c>
      <c r="G6" s="35">
        <v>30</v>
      </c>
      <c r="H6" s="35">
        <v>8</v>
      </c>
      <c r="J6" s="36">
        <f t="shared" si="0"/>
        <v>79.813649999999996</v>
      </c>
      <c r="K6" s="37">
        <f t="shared" si="1"/>
        <v>7.0960604929051527</v>
      </c>
      <c r="L6" s="35">
        <f t="shared" si="2"/>
        <v>85134560</v>
      </c>
      <c r="M6" s="35">
        <f t="shared" si="3"/>
        <v>18643192</v>
      </c>
      <c r="N6" s="46">
        <v>22725696</v>
      </c>
      <c r="O6" s="38">
        <v>85134560</v>
      </c>
      <c r="P6" s="38">
        <v>7986928</v>
      </c>
      <c r="Q6" s="38">
        <v>0</v>
      </c>
      <c r="R6" s="38">
        <v>10656264</v>
      </c>
      <c r="S6" s="38">
        <v>66353528</v>
      </c>
      <c r="T6" s="38">
        <v>137840</v>
      </c>
      <c r="U6" s="47">
        <v>69.951700399999993</v>
      </c>
      <c r="V6" s="47">
        <v>71.1365962</v>
      </c>
      <c r="W6" s="47">
        <v>31.076722</v>
      </c>
      <c r="X6" s="47">
        <v>34.678024299999997</v>
      </c>
      <c r="Y6" s="47">
        <v>34.186816499999999</v>
      </c>
      <c r="Z6" s="47">
        <v>48.7709209</v>
      </c>
      <c r="AA6" s="47">
        <v>28.733892900000001</v>
      </c>
      <c r="AB6" s="39">
        <v>8055.7311719999998</v>
      </c>
      <c r="AC6" s="39">
        <v>51.109205000000003</v>
      </c>
      <c r="AE6" s="36" t="str">
        <f t="shared" si="4"/>
        <v>·</v>
      </c>
      <c r="AF6" s="37" t="str">
        <f t="shared" si="5"/>
        <v>·</v>
      </c>
      <c r="AG6" s="35" t="str">
        <f t="shared" si="6"/>
        <v>.</v>
      </c>
      <c r="AH6" s="35" t="str">
        <f t="shared" si="7"/>
        <v>.</v>
      </c>
      <c r="AI6" s="46"/>
      <c r="AJ6" s="38"/>
      <c r="AK6" s="38"/>
      <c r="AL6" s="38"/>
      <c r="AM6" s="38"/>
      <c r="AN6" s="38"/>
      <c r="AO6" s="38"/>
      <c r="AP6" s="47"/>
      <c r="AQ6" s="47"/>
      <c r="AR6" s="47"/>
      <c r="AS6" s="47"/>
      <c r="AT6" s="47"/>
      <c r="AU6" s="47"/>
      <c r="AV6" s="47"/>
      <c r="AW6" s="39"/>
      <c r="AX6" s="39"/>
      <c r="AZ6" s="40"/>
      <c r="BA6" s="40"/>
      <c r="BB6" s="40"/>
      <c r="BC6" s="40"/>
      <c r="BD6" s="40"/>
      <c r="BE6" s="40"/>
      <c r="BF6" s="40"/>
      <c r="BH6" s="101"/>
      <c r="BI6" s="101"/>
      <c r="BJ6" s="101"/>
      <c r="BK6" s="101"/>
      <c r="BL6" s="101"/>
      <c r="BM6" s="101"/>
      <c r="BN6" s="101"/>
      <c r="BP6" s="40">
        <f t="shared" si="8"/>
        <v>0</v>
      </c>
      <c r="BQ6" s="40">
        <f t="shared" si="9"/>
        <v>0</v>
      </c>
      <c r="BR6" s="40">
        <f t="shared" si="10"/>
        <v>0</v>
      </c>
      <c r="BS6" s="40">
        <f t="shared" si="11"/>
        <v>0</v>
      </c>
      <c r="BT6" s="40">
        <f t="shared" si="11"/>
        <v>0</v>
      </c>
    </row>
    <row r="7" spans="1:72" ht="15" customHeight="1" outlineLevel="1" x14ac:dyDescent="0.15">
      <c r="A7" s="17"/>
      <c r="B7" s="17" t="s">
        <v>38</v>
      </c>
      <c r="C7" s="19" t="s">
        <v>364</v>
      </c>
      <c r="D7" s="17">
        <v>11997440</v>
      </c>
      <c r="E7" s="18">
        <v>10</v>
      </c>
      <c r="F7" s="19">
        <v>32</v>
      </c>
      <c r="G7" s="19">
        <v>30</v>
      </c>
      <c r="H7" s="19">
        <v>11</v>
      </c>
      <c r="J7" s="20">
        <f t="shared" si="0"/>
        <v>109.6602675</v>
      </c>
      <c r="K7" s="21">
        <f t="shared" si="1"/>
        <v>9.7496592606422698</v>
      </c>
      <c r="L7" s="19">
        <f t="shared" si="2"/>
        <v>116970952</v>
      </c>
      <c r="M7" s="19">
        <f t="shared" si="3"/>
        <v>22695104</v>
      </c>
      <c r="N7" s="44">
        <v>45556032</v>
      </c>
      <c r="O7" s="22">
        <v>116970952</v>
      </c>
      <c r="P7" s="22">
        <v>12439568</v>
      </c>
      <c r="Q7" s="22">
        <v>0</v>
      </c>
      <c r="R7" s="22">
        <v>10255536</v>
      </c>
      <c r="S7" s="22">
        <v>94130968</v>
      </c>
      <c r="T7" s="22">
        <v>144880</v>
      </c>
      <c r="U7" s="45">
        <v>72.390026300000002</v>
      </c>
      <c r="V7" s="45">
        <v>73.953541400000006</v>
      </c>
      <c r="W7" s="45">
        <v>32.282027900000003</v>
      </c>
      <c r="X7" s="45">
        <v>36.402968899999998</v>
      </c>
      <c r="Y7" s="45">
        <v>36.135844599999999</v>
      </c>
      <c r="Z7" s="45">
        <v>50.017482999999999</v>
      </c>
      <c r="AA7" s="45">
        <v>30.2530456</v>
      </c>
      <c r="AB7" s="23">
        <v>27074.737410000002</v>
      </c>
      <c r="AC7" s="23">
        <v>161.072598</v>
      </c>
      <c r="AE7" s="20" t="str">
        <f t="shared" si="4"/>
        <v>·</v>
      </c>
      <c r="AF7" s="21" t="str">
        <f t="shared" si="5"/>
        <v>·</v>
      </c>
      <c r="AG7" s="19" t="str">
        <f t="shared" si="6"/>
        <v>.</v>
      </c>
      <c r="AH7" s="19" t="str">
        <f t="shared" si="7"/>
        <v>.</v>
      </c>
      <c r="AI7" s="44"/>
      <c r="AJ7" s="22"/>
      <c r="AK7" s="22"/>
      <c r="AL7" s="22"/>
      <c r="AM7" s="22"/>
      <c r="AN7" s="22"/>
      <c r="AO7" s="22"/>
      <c r="AP7" s="45"/>
      <c r="AQ7" s="45"/>
      <c r="AR7" s="45"/>
      <c r="AS7" s="45"/>
      <c r="AT7" s="45"/>
      <c r="AU7" s="45"/>
      <c r="AV7" s="45"/>
      <c r="AW7" s="23"/>
      <c r="AX7" s="23"/>
      <c r="AZ7" s="24"/>
      <c r="BA7" s="24"/>
      <c r="BB7" s="24"/>
      <c r="BC7" s="24"/>
      <c r="BD7" s="24"/>
      <c r="BE7" s="24"/>
      <c r="BF7" s="24"/>
      <c r="BH7" s="100"/>
      <c r="BI7" s="100"/>
      <c r="BJ7" s="100"/>
      <c r="BK7" s="100"/>
      <c r="BL7" s="100"/>
      <c r="BM7" s="100"/>
      <c r="BN7" s="100"/>
      <c r="BP7" s="24">
        <f t="shared" si="8"/>
        <v>0</v>
      </c>
      <c r="BQ7" s="24">
        <f t="shared" si="9"/>
        <v>0</v>
      </c>
      <c r="BR7" s="24">
        <f t="shared" si="10"/>
        <v>0</v>
      </c>
      <c r="BS7" s="24">
        <f t="shared" si="11"/>
        <v>0</v>
      </c>
      <c r="BT7" s="24">
        <f t="shared" si="11"/>
        <v>0</v>
      </c>
    </row>
    <row r="8" spans="1:72" ht="15" customHeight="1" outlineLevel="1" x14ac:dyDescent="0.15">
      <c r="A8" s="33"/>
      <c r="B8" s="33" t="s">
        <v>38</v>
      </c>
      <c r="C8" s="35" t="s">
        <v>365</v>
      </c>
      <c r="D8" s="33">
        <v>11997440</v>
      </c>
      <c r="E8" s="34">
        <v>10</v>
      </c>
      <c r="F8" s="35">
        <v>32</v>
      </c>
      <c r="G8" s="35">
        <v>30</v>
      </c>
      <c r="H8" s="35">
        <v>14</v>
      </c>
      <c r="J8" s="36">
        <f t="shared" si="0"/>
        <v>138.20393250000001</v>
      </c>
      <c r="K8" s="37">
        <f t="shared" si="1"/>
        <v>12.287415315267257</v>
      </c>
      <c r="L8" s="35">
        <f t="shared" si="2"/>
        <v>147417528</v>
      </c>
      <c r="M8" s="35">
        <f t="shared" si="3"/>
        <v>29106480</v>
      </c>
      <c r="N8" s="46">
        <v>91604096</v>
      </c>
      <c r="O8" s="38">
        <v>147417528</v>
      </c>
      <c r="P8" s="38">
        <v>20293248</v>
      </c>
      <c r="Q8" s="38">
        <v>0</v>
      </c>
      <c r="R8" s="38">
        <v>8813232</v>
      </c>
      <c r="S8" s="38">
        <v>118167528</v>
      </c>
      <c r="T8" s="38">
        <v>143520</v>
      </c>
      <c r="U8" s="47">
        <v>73.298383999999999</v>
      </c>
      <c r="V8" s="47">
        <v>74.9974457</v>
      </c>
      <c r="W8" s="47">
        <v>33.247091400000002</v>
      </c>
      <c r="X8" s="47">
        <v>36.949862500000002</v>
      </c>
      <c r="Y8" s="47">
        <v>36.677552900000002</v>
      </c>
      <c r="Z8" s="47">
        <v>50.671714000000001</v>
      </c>
      <c r="AA8" s="47">
        <v>31.026782399999998</v>
      </c>
      <c r="AB8" s="39">
        <v>28957.328938999999</v>
      </c>
      <c r="AC8" s="39">
        <v>188.95075199999999</v>
      </c>
      <c r="AE8" s="36" t="str">
        <f t="shared" si="4"/>
        <v>·</v>
      </c>
      <c r="AF8" s="37" t="str">
        <f t="shared" si="5"/>
        <v>·</v>
      </c>
      <c r="AG8" s="35" t="str">
        <f t="shared" si="6"/>
        <v>.</v>
      </c>
      <c r="AH8" s="35" t="str">
        <f t="shared" si="7"/>
        <v>.</v>
      </c>
      <c r="AI8" s="46"/>
      <c r="AJ8" s="38"/>
      <c r="AK8" s="38"/>
      <c r="AL8" s="38"/>
      <c r="AM8" s="38"/>
      <c r="AN8" s="38"/>
      <c r="AO8" s="38"/>
      <c r="AP8" s="47"/>
      <c r="AQ8" s="47"/>
      <c r="AR8" s="47"/>
      <c r="AS8" s="47"/>
      <c r="AT8" s="47"/>
      <c r="AU8" s="47"/>
      <c r="AV8" s="47"/>
      <c r="AW8" s="39"/>
      <c r="AX8" s="39"/>
      <c r="AZ8" s="40"/>
      <c r="BA8" s="40"/>
      <c r="BB8" s="40"/>
      <c r="BC8" s="40"/>
      <c r="BD8" s="40"/>
      <c r="BE8" s="40"/>
      <c r="BF8" s="40"/>
      <c r="BH8" s="101"/>
      <c r="BI8" s="101"/>
      <c r="BJ8" s="101"/>
      <c r="BK8" s="101"/>
      <c r="BL8" s="101"/>
      <c r="BM8" s="101"/>
      <c r="BN8" s="101"/>
      <c r="BP8" s="40">
        <f t="shared" si="8"/>
        <v>0</v>
      </c>
      <c r="BQ8" s="40">
        <f t="shared" si="9"/>
        <v>0</v>
      </c>
      <c r="BR8" s="40">
        <f t="shared" si="10"/>
        <v>0</v>
      </c>
      <c r="BS8" s="40">
        <f t="shared" si="11"/>
        <v>0</v>
      </c>
      <c r="BT8" s="40">
        <f t="shared" si="11"/>
        <v>0</v>
      </c>
    </row>
    <row r="9" spans="1:72" ht="15.75" customHeight="1" outlineLevel="1" thickBot="1" x14ac:dyDescent="0.2">
      <c r="A9" s="17"/>
      <c r="B9" s="48" t="s">
        <v>38</v>
      </c>
      <c r="C9" s="49" t="s">
        <v>366</v>
      </c>
      <c r="D9" s="48">
        <v>11997440</v>
      </c>
      <c r="E9" s="50">
        <v>10</v>
      </c>
      <c r="F9" s="49">
        <v>32</v>
      </c>
      <c r="G9" s="49">
        <v>30</v>
      </c>
      <c r="H9" s="49">
        <v>21</v>
      </c>
      <c r="J9" s="51">
        <f t="shared" si="0"/>
        <v>208.84697249999999</v>
      </c>
      <c r="K9" s="52">
        <f t="shared" si="1"/>
        <v>18.568136535794302</v>
      </c>
      <c r="L9" s="49">
        <f t="shared" si="2"/>
        <v>222770104</v>
      </c>
      <c r="M9" s="49">
        <f t="shared" si="3"/>
        <v>36330640</v>
      </c>
      <c r="N9" s="53">
        <v>91604096</v>
      </c>
      <c r="O9" s="54">
        <v>222770104</v>
      </c>
      <c r="P9" s="54">
        <v>20293248</v>
      </c>
      <c r="Q9" s="54">
        <v>0</v>
      </c>
      <c r="R9" s="54">
        <v>16037392</v>
      </c>
      <c r="S9" s="54">
        <v>186301416</v>
      </c>
      <c r="T9" s="54">
        <v>138048</v>
      </c>
      <c r="U9" s="55">
        <v>74.956732099999996</v>
      </c>
      <c r="V9" s="55">
        <v>76.939405500000007</v>
      </c>
      <c r="W9" s="55">
        <v>34.889373300000003</v>
      </c>
      <c r="X9" s="55">
        <v>38.5075973</v>
      </c>
      <c r="Y9" s="55">
        <v>38.2023358</v>
      </c>
      <c r="Z9" s="55">
        <v>51.611443800000004</v>
      </c>
      <c r="AA9" s="55">
        <v>32.413606299999998</v>
      </c>
      <c r="AB9" s="56">
        <v>30878.104235999999</v>
      </c>
      <c r="AC9" s="56">
        <v>193.30179200000001</v>
      </c>
      <c r="AE9" s="51" t="str">
        <f t="shared" si="4"/>
        <v>·</v>
      </c>
      <c r="AF9" s="52" t="str">
        <f t="shared" si="5"/>
        <v>·</v>
      </c>
      <c r="AG9" s="49" t="str">
        <f t="shared" si="6"/>
        <v>.</v>
      </c>
      <c r="AH9" s="49" t="str">
        <f t="shared" si="7"/>
        <v>.</v>
      </c>
      <c r="AI9" s="53"/>
      <c r="AJ9" s="54"/>
      <c r="AK9" s="54"/>
      <c r="AL9" s="54"/>
      <c r="AM9" s="54"/>
      <c r="AN9" s="54"/>
      <c r="AO9" s="54"/>
      <c r="AP9" s="55"/>
      <c r="AQ9" s="55"/>
      <c r="AR9" s="55"/>
      <c r="AS9" s="55"/>
      <c r="AT9" s="55"/>
      <c r="AU9" s="55"/>
      <c r="AV9" s="55"/>
      <c r="AW9" s="56"/>
      <c r="AX9" s="56"/>
      <c r="AZ9" s="57"/>
      <c r="BA9" s="57"/>
      <c r="BB9" s="57"/>
      <c r="BC9" s="57"/>
      <c r="BD9" s="57"/>
      <c r="BE9" s="57"/>
      <c r="BF9" s="57"/>
      <c r="BH9" s="102"/>
      <c r="BI9" s="102"/>
      <c r="BJ9" s="102"/>
      <c r="BK9" s="102"/>
      <c r="BL9" s="102"/>
      <c r="BM9" s="102"/>
      <c r="BN9" s="102"/>
      <c r="BP9" s="57">
        <f t="shared" si="8"/>
        <v>0</v>
      </c>
      <c r="BQ9" s="57">
        <f t="shared" si="9"/>
        <v>0</v>
      </c>
      <c r="BR9" s="57">
        <f t="shared" si="10"/>
        <v>0</v>
      </c>
      <c r="BS9" s="57">
        <f t="shared" si="11"/>
        <v>0</v>
      </c>
      <c r="BT9" s="57">
        <f t="shared" si="11"/>
        <v>0</v>
      </c>
    </row>
    <row r="10" spans="1:72" ht="15" customHeight="1" x14ac:dyDescent="0.15">
      <c r="A10" s="33"/>
      <c r="B10" s="33" t="s">
        <v>46</v>
      </c>
      <c r="C10" s="35" t="s">
        <v>362</v>
      </c>
      <c r="D10" s="33">
        <v>9000000</v>
      </c>
      <c r="E10" s="34">
        <v>10</v>
      </c>
      <c r="F10" s="35">
        <v>32</v>
      </c>
      <c r="G10" s="35">
        <v>30</v>
      </c>
      <c r="H10" s="35">
        <v>4</v>
      </c>
      <c r="J10" s="36">
        <f t="shared" si="0"/>
        <v>47.070990000000002</v>
      </c>
      <c r="K10" s="37">
        <f t="shared" si="1"/>
        <v>5.5787839999999997</v>
      </c>
      <c r="L10" s="35">
        <f t="shared" si="2"/>
        <v>50209056</v>
      </c>
      <c r="M10" s="35">
        <f t="shared" si="3"/>
        <v>15937184</v>
      </c>
      <c r="N10" s="46">
        <v>9611840</v>
      </c>
      <c r="O10" s="38">
        <v>50209056</v>
      </c>
      <c r="P10" s="38">
        <v>2189872</v>
      </c>
      <c r="Q10" s="38">
        <v>1611264</v>
      </c>
      <c r="R10" s="38">
        <v>12136048</v>
      </c>
      <c r="S10" s="38">
        <v>34157440</v>
      </c>
      <c r="T10" s="38">
        <v>114432</v>
      </c>
      <c r="U10" s="47">
        <v>68.075513999999998</v>
      </c>
      <c r="V10" s="47">
        <v>69.130929600000002</v>
      </c>
      <c r="W10" s="47">
        <v>35.963446400000002</v>
      </c>
      <c r="X10" s="47">
        <v>46.456014199999998</v>
      </c>
      <c r="Y10" s="47">
        <v>46.937872400000003</v>
      </c>
      <c r="Z10" s="47">
        <v>45.716723600000002</v>
      </c>
      <c r="AA10" s="47">
        <v>32.157355899999999</v>
      </c>
      <c r="AB10" s="39">
        <v>19187.546026</v>
      </c>
      <c r="AC10" s="39">
        <v>133.06800799999999</v>
      </c>
      <c r="AE10" s="36" t="str">
        <f t="shared" si="4"/>
        <v>·</v>
      </c>
      <c r="AF10" s="37" t="str">
        <f t="shared" si="5"/>
        <v>·</v>
      </c>
      <c r="AG10" s="35" t="str">
        <f t="shared" si="6"/>
        <v>.</v>
      </c>
      <c r="AH10" s="35" t="str">
        <f t="shared" si="7"/>
        <v>.</v>
      </c>
      <c r="AI10" s="46"/>
      <c r="AJ10" s="38"/>
      <c r="AK10" s="38"/>
      <c r="AL10" s="38"/>
      <c r="AM10" s="38"/>
      <c r="AN10" s="38"/>
      <c r="AO10" s="38"/>
      <c r="AP10" s="47"/>
      <c r="AQ10" s="47"/>
      <c r="AR10" s="47"/>
      <c r="AS10" s="47"/>
      <c r="AT10" s="47"/>
      <c r="AU10" s="47"/>
      <c r="AV10" s="47"/>
      <c r="AW10" s="39"/>
      <c r="AX10" s="39"/>
      <c r="AZ10" s="40" t="str">
        <f t="array" ref="AZ10">IF( OR(AND(ISBLANK(L10:L14)),AND(ISBLANK(AG10:AG14)), AND(ISBLANK(U10:U14)),AND(ISBLANK(AP10:AP14))), "·", bdRateExtend( L10:L14,U10:U14, AG10:AG14,AP10:AP14))</f>
        <v>·</v>
      </c>
      <c r="BA10" s="40" t="str">
        <f t="array" ref="BA10">IF( OR(AND(ISBLANK(L10:L14)),AND(ISBLANK(AG10:AG14)), AND(ISBLANK(V10:V14)),AND(ISBLANK(AQ10:AQ14))), "·", bdRateExtend( L10:L14,V10:V14, AG10:AG14,AQ10:AQ14))</f>
        <v>·</v>
      </c>
      <c r="BB10" s="40" t="str" cm="1">
        <f t="array" ref="BB10">IF( OR(AND(ISBLANK(L10:L14)),AND(ISBLANK(AG10:AG14)), AND(ISBLANK(W10:W14)),AND(ISBLANK(AR10:AR14))), "·", bdRateExtend( L10:L14,W10:W14, AG10:AG14,AR10:AR14))</f>
        <v>·</v>
      </c>
      <c r="BC10" s="40" t="str" cm="1">
        <f t="array" ref="BC10">IF( OR(AND(ISBLANK(L10:L14)),AND(ISBLANK(AG10:AG14)), AND(ISBLANK(X10:X14)),AND(ISBLANK(AS10:AS14))), "·", bdRateExtend( L10:L14,X10:X14, AG10:AG14,AS10:AS14))</f>
        <v>·</v>
      </c>
      <c r="BD10" s="40" t="str" cm="1">
        <f t="array" ref="BD10">IF( OR(AND(ISBLANK(L10:L14)),AND(ISBLANK(AG10:AG14)), AND(ISBLANK(Y10:Y14)),AND(ISBLANK(AT10:AT14))), "·", bdRateExtend( L10:L14,Y10:Y14, AG10:AG14,AT10:AT14))</f>
        <v>·</v>
      </c>
      <c r="BE10" s="40" t="str" cm="1">
        <f t="array" ref="BE10">IF( OR(AND(ISBLANK(L10:L14)),AND(ISBLANK(AG10:AG14)), AND(ISBLANK(Z10:Z14)),AND(ISBLANK(AU10:AU14))), "·", bdRateExtend( L10:L14,Z10:Z14, AG10:AG14,AU10:AU14))</f>
        <v>·</v>
      </c>
      <c r="BF10" s="40" t="str" cm="1">
        <f t="array" ref="BF10">IF( OR(AND(ISBLANK(L10:L14)),AND(ISBLANK(AG10:AG14)), AND(ISBLANK(AA10:AA14)),AND(ISBLANK(AV10:AV14))), "·", bdRateExtend( L10:L14,AA10:AA14, AG10:AG14,AV10:AV14))</f>
        <v>·</v>
      </c>
      <c r="BH10" s="40" t="str" cm="1">
        <f t="array" ref="BH10">IF( OR(AND(ISBLANK(M10:M14)),AND(ISBLANK(AH10:AH14)), AND(ISBLANK(U10:U14)),AND(ISBLANK(AP10:AP14))), "·", bdRateExtend( M10:M14,U10:U14, AH10:AH14,AP10:AP14))</f>
        <v>·</v>
      </c>
      <c r="BI10" s="40" t="str" cm="1">
        <f t="array" ref="BI10">IF( OR(AND(ISBLANK(M10:M14)),AND(ISBLANK(AH10:AH14)), AND(ISBLANK(V10:V14)),AND(ISBLANK(AQ10:AQ14))), "·", bdRateExtend( M10:M14,V10:V14, AH10:AH14,AQ10:AQ14))</f>
        <v>·</v>
      </c>
      <c r="BJ10" s="40" t="str" cm="1">
        <f t="array" ref="BJ10">IF( OR(AND(ISBLANK(S10:S14)),AND(ISBLANK(AN10:AN14)), AND(ISBLANK(W10:W14)),AND(ISBLANK(AR10:AR14))), "·", bdRateExtend( S10:S14,W10:W14, AN10:AN14,AR10:AR14))</f>
        <v>·</v>
      </c>
      <c r="BK10" s="40" t="str" cm="1">
        <f t="array" ref="BK10">IF( OR(AND(ISBLANK(S10:S14)),AND(ISBLANK(AN10:AN14)), AND(ISBLANK(X10:X14)),AND(ISBLANK(AS10:AS14))), "·", bdRateExtend( S10:S14,X10:X14, AN10:AN14,AS10:AS14))</f>
        <v>·</v>
      </c>
      <c r="BL10" s="40" t="str" cm="1">
        <f t="array" ref="BL10">IF( OR(AND(ISBLANK(S10:S14)),AND(ISBLANK(AN10:AN14)), AND(ISBLANK(Y10:Y14)),AND(ISBLANK(AT10:AT14))), "·", bdRateExtend( S10:S14,Y10:Y14, AN10:AN14,AT10:AT14))</f>
        <v>·</v>
      </c>
      <c r="BM10" s="40" t="str" cm="1">
        <f t="array" ref="BM10">IF( OR(AND(ISBLANK(M10:M14)),AND(ISBLANK(AH10:AH14)), AND(ISBLANK(Z10:Z14)),AND(ISBLANK(AU10:AU14))), "·", bdRateExtend( M10:M14,Z10:Z14, AH10:AH14,AU10:AU14))</f>
        <v>·</v>
      </c>
      <c r="BN10" s="40" t="str" cm="1">
        <f t="array" ref="BN10">IF( OR(AND(ISBLANK(S10:S14)),AND(ISBLANK(AN10:AN14)), AND(ISBLANK(AA10:AA14)),AND(ISBLANK(AV10:AV14))), "·", bdRateExtend( S10:S14,AA10:AA14, AN10:AN14,AV10:AV14))</f>
        <v>·</v>
      </c>
      <c r="BP10" s="40">
        <f t="shared" si="8"/>
        <v>0</v>
      </c>
      <c r="BQ10" s="40">
        <f t="shared" si="9"/>
        <v>0</v>
      </c>
      <c r="BR10" s="40">
        <f t="shared" si="10"/>
        <v>0</v>
      </c>
      <c r="BS10" s="40">
        <f t="shared" si="11"/>
        <v>0</v>
      </c>
      <c r="BT10" s="40">
        <f t="shared" si="11"/>
        <v>0</v>
      </c>
    </row>
    <row r="11" spans="1:72" ht="15" customHeight="1" outlineLevel="1" x14ac:dyDescent="0.15">
      <c r="A11" s="17"/>
      <c r="B11" s="17" t="s">
        <v>46</v>
      </c>
      <c r="C11" s="19" t="s">
        <v>363</v>
      </c>
      <c r="D11" s="17">
        <v>9000000</v>
      </c>
      <c r="E11" s="18">
        <v>10</v>
      </c>
      <c r="F11" s="19">
        <v>32</v>
      </c>
      <c r="G11" s="19">
        <v>30</v>
      </c>
      <c r="H11" s="19">
        <v>8</v>
      </c>
      <c r="J11" s="20">
        <f t="shared" si="0"/>
        <v>89.037030000000001</v>
      </c>
      <c r="K11" s="21">
        <f t="shared" si="1"/>
        <v>10.55253688888889</v>
      </c>
      <c r="L11" s="19">
        <f t="shared" si="2"/>
        <v>94972832</v>
      </c>
      <c r="M11" s="19">
        <f t="shared" si="3"/>
        <v>32678904</v>
      </c>
      <c r="N11" s="44">
        <v>19011856</v>
      </c>
      <c r="O11" s="22">
        <v>94972832</v>
      </c>
      <c r="P11" s="22">
        <v>7524272</v>
      </c>
      <c r="Q11" s="22">
        <v>2120000</v>
      </c>
      <c r="R11" s="22">
        <v>23034632</v>
      </c>
      <c r="S11" s="22">
        <v>62177808</v>
      </c>
      <c r="T11" s="22">
        <v>116120</v>
      </c>
      <c r="U11" s="45">
        <v>72.302338500000005</v>
      </c>
      <c r="V11" s="45">
        <v>73.929781300000002</v>
      </c>
      <c r="W11" s="45">
        <v>37.342124099999999</v>
      </c>
      <c r="X11" s="45">
        <v>47.189041600000003</v>
      </c>
      <c r="Y11" s="45">
        <v>47.783516599999999</v>
      </c>
      <c r="Z11" s="45">
        <v>48.149323000000003</v>
      </c>
      <c r="AA11" s="45">
        <v>34.519677100000003</v>
      </c>
      <c r="AB11" s="23">
        <v>21765.088909999999</v>
      </c>
      <c r="AC11" s="23">
        <v>139.33517800000001</v>
      </c>
      <c r="AE11" s="20" t="str">
        <f t="shared" si="4"/>
        <v>·</v>
      </c>
      <c r="AF11" s="21" t="str">
        <f t="shared" si="5"/>
        <v>·</v>
      </c>
      <c r="AG11" s="19" t="str">
        <f t="shared" si="6"/>
        <v>.</v>
      </c>
      <c r="AH11" s="19" t="str">
        <f t="shared" si="7"/>
        <v>.</v>
      </c>
      <c r="AI11" s="44"/>
      <c r="AJ11" s="22"/>
      <c r="AK11" s="22"/>
      <c r="AL11" s="22"/>
      <c r="AM11" s="22"/>
      <c r="AN11" s="22"/>
      <c r="AO11" s="22"/>
      <c r="AP11" s="45"/>
      <c r="AQ11" s="45"/>
      <c r="AR11" s="45"/>
      <c r="AS11" s="45"/>
      <c r="AT11" s="45"/>
      <c r="AU11" s="45"/>
      <c r="AV11" s="45"/>
      <c r="AW11" s="23"/>
      <c r="AX11" s="23"/>
      <c r="AZ11" s="24"/>
      <c r="BA11" s="24"/>
      <c r="BB11" s="24"/>
      <c r="BC11" s="24"/>
      <c r="BD11" s="24"/>
      <c r="BE11" s="24"/>
      <c r="BF11" s="24"/>
      <c r="BH11" s="24"/>
      <c r="BI11" s="24"/>
      <c r="BJ11" s="24"/>
      <c r="BK11" s="24"/>
      <c r="BL11" s="24"/>
      <c r="BM11" s="24"/>
      <c r="BN11" s="24"/>
      <c r="BP11" s="24">
        <f t="shared" si="8"/>
        <v>0</v>
      </c>
      <c r="BQ11" s="24">
        <f t="shared" si="9"/>
        <v>0</v>
      </c>
      <c r="BR11" s="24">
        <f t="shared" si="10"/>
        <v>0</v>
      </c>
      <c r="BS11" s="24">
        <f t="shared" si="11"/>
        <v>0</v>
      </c>
      <c r="BT11" s="24">
        <f t="shared" si="11"/>
        <v>0</v>
      </c>
    </row>
    <row r="12" spans="1:72" ht="15" customHeight="1" outlineLevel="1" x14ac:dyDescent="0.15">
      <c r="A12" s="33"/>
      <c r="B12" s="33" t="s">
        <v>46</v>
      </c>
      <c r="C12" s="35" t="s">
        <v>364</v>
      </c>
      <c r="D12" s="33">
        <v>9000000</v>
      </c>
      <c r="E12" s="34">
        <v>10</v>
      </c>
      <c r="F12" s="35">
        <v>32</v>
      </c>
      <c r="G12" s="35">
        <v>30</v>
      </c>
      <c r="H12" s="35">
        <v>11</v>
      </c>
      <c r="J12" s="36">
        <f t="shared" si="0"/>
        <v>114.9008175</v>
      </c>
      <c r="K12" s="37">
        <f t="shared" si="1"/>
        <v>13.617874666666667</v>
      </c>
      <c r="L12" s="35">
        <f t="shared" si="2"/>
        <v>122560872</v>
      </c>
      <c r="M12" s="35">
        <f t="shared" si="3"/>
        <v>37366400</v>
      </c>
      <c r="N12" s="46">
        <v>20935328</v>
      </c>
      <c r="O12" s="38">
        <v>122560872</v>
      </c>
      <c r="P12" s="38">
        <v>8586808</v>
      </c>
      <c r="Q12" s="38">
        <v>2205760</v>
      </c>
      <c r="R12" s="38">
        <v>26573832</v>
      </c>
      <c r="S12" s="38">
        <v>85077984</v>
      </c>
      <c r="T12" s="38">
        <v>116488</v>
      </c>
      <c r="U12" s="47">
        <v>72.881377999999998</v>
      </c>
      <c r="V12" s="47">
        <v>74.604152400000004</v>
      </c>
      <c r="W12" s="47">
        <v>38.182698600000002</v>
      </c>
      <c r="X12" s="47">
        <v>47.505491999999997</v>
      </c>
      <c r="Y12" s="47">
        <v>48.109767400000003</v>
      </c>
      <c r="Z12" s="47">
        <v>48.490733200000001</v>
      </c>
      <c r="AA12" s="47">
        <v>35.138276400000002</v>
      </c>
      <c r="AB12" s="39">
        <v>23071.564913999999</v>
      </c>
      <c r="AC12" s="39">
        <v>144.46681899999999</v>
      </c>
      <c r="AE12" s="36" t="str">
        <f t="shared" si="4"/>
        <v>·</v>
      </c>
      <c r="AF12" s="37" t="str">
        <f t="shared" si="5"/>
        <v>·</v>
      </c>
      <c r="AG12" s="35" t="str">
        <f t="shared" si="6"/>
        <v>.</v>
      </c>
      <c r="AH12" s="35" t="str">
        <f t="shared" si="7"/>
        <v>.</v>
      </c>
      <c r="AI12" s="46"/>
      <c r="AJ12" s="38"/>
      <c r="AK12" s="38"/>
      <c r="AL12" s="38"/>
      <c r="AM12" s="38"/>
      <c r="AN12" s="38"/>
      <c r="AO12" s="38"/>
      <c r="AP12" s="47"/>
      <c r="AQ12" s="47"/>
      <c r="AR12" s="47"/>
      <c r="AS12" s="47"/>
      <c r="AT12" s="47"/>
      <c r="AU12" s="47"/>
      <c r="AV12" s="47"/>
      <c r="AW12" s="39"/>
      <c r="AX12" s="39"/>
      <c r="AZ12" s="40"/>
      <c r="BA12" s="40"/>
      <c r="BB12" s="40"/>
      <c r="BC12" s="40"/>
      <c r="BD12" s="40"/>
      <c r="BE12" s="40"/>
      <c r="BF12" s="40"/>
      <c r="BH12" s="40"/>
      <c r="BI12" s="40"/>
      <c r="BJ12" s="40"/>
      <c r="BK12" s="40"/>
      <c r="BL12" s="40"/>
      <c r="BM12" s="40"/>
      <c r="BN12" s="40"/>
      <c r="BP12" s="40">
        <f t="shared" si="8"/>
        <v>0</v>
      </c>
      <c r="BQ12" s="40">
        <f t="shared" si="9"/>
        <v>0</v>
      </c>
      <c r="BR12" s="40">
        <f t="shared" si="10"/>
        <v>0</v>
      </c>
      <c r="BS12" s="40">
        <f t="shared" si="11"/>
        <v>0</v>
      </c>
      <c r="BT12" s="40">
        <f t="shared" si="11"/>
        <v>0</v>
      </c>
    </row>
    <row r="13" spans="1:72" ht="15" customHeight="1" outlineLevel="1" x14ac:dyDescent="0.15">
      <c r="A13" s="17"/>
      <c r="B13" s="17" t="s">
        <v>46</v>
      </c>
      <c r="C13" s="19" t="s">
        <v>365</v>
      </c>
      <c r="D13" s="17">
        <v>9000000</v>
      </c>
      <c r="E13" s="18">
        <v>10</v>
      </c>
      <c r="F13" s="19">
        <v>32</v>
      </c>
      <c r="G13" s="19">
        <v>30</v>
      </c>
      <c r="H13" s="19">
        <v>14</v>
      </c>
      <c r="J13" s="20">
        <f t="shared" si="0"/>
        <v>148.10375999999999</v>
      </c>
      <c r="K13" s="21">
        <f t="shared" si="1"/>
        <v>17.553038222222224</v>
      </c>
      <c r="L13" s="19">
        <f t="shared" si="2"/>
        <v>157977344</v>
      </c>
      <c r="M13" s="19">
        <f t="shared" si="3"/>
        <v>40561288</v>
      </c>
      <c r="N13" s="44">
        <v>22847344</v>
      </c>
      <c r="O13" s="22">
        <v>157977344</v>
      </c>
      <c r="P13" s="22">
        <v>9800344</v>
      </c>
      <c r="Q13" s="22">
        <v>2301456</v>
      </c>
      <c r="R13" s="22">
        <v>28459488</v>
      </c>
      <c r="S13" s="22">
        <v>117299336</v>
      </c>
      <c r="T13" s="22">
        <v>116720</v>
      </c>
      <c r="U13" s="45">
        <v>73.373846099999994</v>
      </c>
      <c r="V13" s="45">
        <v>75.188779499999995</v>
      </c>
      <c r="W13" s="45">
        <v>38.934055899999997</v>
      </c>
      <c r="X13" s="45">
        <v>48.229532599999999</v>
      </c>
      <c r="Y13" s="45">
        <v>48.8732617</v>
      </c>
      <c r="Z13" s="45">
        <v>48.7940623</v>
      </c>
      <c r="AA13" s="45">
        <v>35.663725100000001</v>
      </c>
      <c r="AB13" s="23">
        <v>24634.308453000001</v>
      </c>
      <c r="AC13" s="23">
        <v>159.14241999999999</v>
      </c>
      <c r="AE13" s="20" t="str">
        <f t="shared" si="4"/>
        <v>·</v>
      </c>
      <c r="AF13" s="21" t="str">
        <f t="shared" si="5"/>
        <v>·</v>
      </c>
      <c r="AG13" s="19" t="str">
        <f t="shared" si="6"/>
        <v>.</v>
      </c>
      <c r="AH13" s="19" t="str">
        <f t="shared" si="7"/>
        <v>.</v>
      </c>
      <c r="AI13" s="44"/>
      <c r="AJ13" s="22"/>
      <c r="AK13" s="22"/>
      <c r="AL13" s="22"/>
      <c r="AM13" s="22"/>
      <c r="AN13" s="22"/>
      <c r="AO13" s="22"/>
      <c r="AP13" s="45"/>
      <c r="AQ13" s="45"/>
      <c r="AR13" s="45"/>
      <c r="AS13" s="45"/>
      <c r="AT13" s="45"/>
      <c r="AU13" s="45"/>
      <c r="AV13" s="45"/>
      <c r="AW13" s="23"/>
      <c r="AX13" s="23"/>
      <c r="AZ13" s="24"/>
      <c r="BA13" s="24"/>
      <c r="BB13" s="24"/>
      <c r="BC13" s="24"/>
      <c r="BD13" s="24"/>
      <c r="BE13" s="24"/>
      <c r="BF13" s="24"/>
      <c r="BH13" s="24"/>
      <c r="BI13" s="24"/>
      <c r="BJ13" s="24"/>
      <c r="BK13" s="24"/>
      <c r="BL13" s="24"/>
      <c r="BM13" s="24"/>
      <c r="BN13" s="24"/>
      <c r="BP13" s="24">
        <f t="shared" si="8"/>
        <v>0</v>
      </c>
      <c r="BQ13" s="24">
        <f t="shared" si="9"/>
        <v>0</v>
      </c>
      <c r="BR13" s="24">
        <f t="shared" si="10"/>
        <v>0</v>
      </c>
      <c r="BS13" s="24">
        <f t="shared" si="11"/>
        <v>0</v>
      </c>
      <c r="BT13" s="24">
        <f t="shared" si="11"/>
        <v>0</v>
      </c>
    </row>
    <row r="14" spans="1:72" ht="15.75" customHeight="1" outlineLevel="1" thickBot="1" x14ac:dyDescent="0.2">
      <c r="A14" s="25"/>
      <c r="B14" s="25" t="s">
        <v>46</v>
      </c>
      <c r="C14" s="27" t="s">
        <v>366</v>
      </c>
      <c r="D14" s="25">
        <v>9000000</v>
      </c>
      <c r="E14" s="26">
        <v>10</v>
      </c>
      <c r="F14" s="27">
        <v>32</v>
      </c>
      <c r="G14" s="27">
        <v>30</v>
      </c>
      <c r="H14" s="27">
        <v>21</v>
      </c>
      <c r="J14" s="28">
        <f t="shared" si="0"/>
        <v>203.0507925</v>
      </c>
      <c r="K14" s="29">
        <f t="shared" si="1"/>
        <v>24.06527911111111</v>
      </c>
      <c r="L14" s="27">
        <f t="shared" si="2"/>
        <v>216587512</v>
      </c>
      <c r="M14" s="27">
        <f t="shared" si="3"/>
        <v>60558488</v>
      </c>
      <c r="N14" s="58">
        <v>35325296</v>
      </c>
      <c r="O14" s="30">
        <v>216587512</v>
      </c>
      <c r="P14" s="30">
        <v>19867792</v>
      </c>
      <c r="Q14" s="30">
        <v>2436544</v>
      </c>
      <c r="R14" s="30">
        <v>38254152</v>
      </c>
      <c r="S14" s="30">
        <v>155910096</v>
      </c>
      <c r="T14" s="30">
        <v>118928</v>
      </c>
      <c r="U14" s="59">
        <v>75.452477799999997</v>
      </c>
      <c r="V14" s="59">
        <v>77.743848499999999</v>
      </c>
      <c r="W14" s="59">
        <v>39.499487600000002</v>
      </c>
      <c r="X14" s="59">
        <v>48.5901724</v>
      </c>
      <c r="Y14" s="59">
        <v>49.261313299999998</v>
      </c>
      <c r="Z14" s="59">
        <v>50.098559600000002</v>
      </c>
      <c r="AA14" s="59">
        <v>36.756726100000002</v>
      </c>
      <c r="AB14" s="31">
        <v>26309.676274000001</v>
      </c>
      <c r="AC14" s="31">
        <v>153.12078199999999</v>
      </c>
      <c r="AE14" s="28" t="str">
        <f t="shared" si="4"/>
        <v>·</v>
      </c>
      <c r="AF14" s="29" t="str">
        <f t="shared" si="5"/>
        <v>·</v>
      </c>
      <c r="AG14" s="27" t="str">
        <f t="shared" si="6"/>
        <v>.</v>
      </c>
      <c r="AH14" s="27" t="str">
        <f t="shared" si="7"/>
        <v>.</v>
      </c>
      <c r="AI14" s="58"/>
      <c r="AJ14" s="30"/>
      <c r="AK14" s="30"/>
      <c r="AL14" s="30"/>
      <c r="AM14" s="30"/>
      <c r="AN14" s="30"/>
      <c r="AO14" s="30"/>
      <c r="AP14" s="59"/>
      <c r="AQ14" s="59"/>
      <c r="AR14" s="59"/>
      <c r="AS14" s="59"/>
      <c r="AT14" s="59"/>
      <c r="AU14" s="59"/>
      <c r="AV14" s="59"/>
      <c r="AW14" s="31"/>
      <c r="AX14" s="31"/>
      <c r="AZ14" s="32"/>
      <c r="BA14" s="32"/>
      <c r="BB14" s="32"/>
      <c r="BC14" s="32"/>
      <c r="BD14" s="32"/>
      <c r="BE14" s="32"/>
      <c r="BF14" s="32"/>
      <c r="BH14" s="32"/>
      <c r="BI14" s="32"/>
      <c r="BJ14" s="32"/>
      <c r="BK14" s="32"/>
      <c r="BL14" s="32"/>
      <c r="BM14" s="32"/>
      <c r="BN14" s="32"/>
      <c r="BP14" s="32">
        <f t="shared" si="8"/>
        <v>0</v>
      </c>
      <c r="BQ14" s="32">
        <f t="shared" si="9"/>
        <v>0</v>
      </c>
      <c r="BR14" s="32">
        <f t="shared" si="10"/>
        <v>0</v>
      </c>
      <c r="BS14" s="32">
        <f t="shared" si="11"/>
        <v>0</v>
      </c>
      <c r="BT14" s="32">
        <f t="shared" si="11"/>
        <v>0</v>
      </c>
    </row>
    <row r="15" spans="1:72" ht="15" customHeight="1" x14ac:dyDescent="0.15">
      <c r="A15" s="17" t="s">
        <v>176</v>
      </c>
      <c r="B15" s="17" t="s">
        <v>51</v>
      </c>
      <c r="C15" s="19" t="s">
        <v>362</v>
      </c>
      <c r="D15" s="17">
        <v>11842002</v>
      </c>
      <c r="E15" s="18">
        <v>12</v>
      </c>
      <c r="F15" s="19">
        <v>32</v>
      </c>
      <c r="G15" s="19">
        <v>30</v>
      </c>
      <c r="H15" s="19">
        <v>3</v>
      </c>
      <c r="J15" s="20">
        <f t="shared" si="0"/>
        <v>28.847497499999999</v>
      </c>
      <c r="K15" s="21">
        <f t="shared" si="1"/>
        <v>2.5984342850136319</v>
      </c>
      <c r="L15" s="19">
        <f t="shared" si="2"/>
        <v>30770664</v>
      </c>
      <c r="M15" s="19">
        <f t="shared" si="3"/>
        <v>11611248</v>
      </c>
      <c r="N15" s="44">
        <v>22706944</v>
      </c>
      <c r="O15" s="22">
        <v>30770664</v>
      </c>
      <c r="P15" s="22">
        <v>6594432</v>
      </c>
      <c r="Q15" s="22">
        <v>0</v>
      </c>
      <c r="R15" s="22">
        <v>5016816</v>
      </c>
      <c r="S15" s="22">
        <v>19010328</v>
      </c>
      <c r="T15" s="22">
        <v>149088</v>
      </c>
      <c r="U15" s="45">
        <v>70.9818657</v>
      </c>
      <c r="V15" s="45">
        <v>72.304184699999993</v>
      </c>
      <c r="W15" s="45">
        <v>35.671441999999999</v>
      </c>
      <c r="X15" s="45">
        <v>43.306057099999997</v>
      </c>
      <c r="Y15" s="45">
        <v>45.119129600000001</v>
      </c>
      <c r="Z15" s="45">
        <v>45.407006099999997</v>
      </c>
      <c r="AA15" s="45">
        <v>32.3785186</v>
      </c>
      <c r="AB15" s="23">
        <v>22862.731339000002</v>
      </c>
      <c r="AC15" s="23">
        <v>131.34581299999999</v>
      </c>
      <c r="AE15" s="20" t="str">
        <f t="shared" si="4"/>
        <v>·</v>
      </c>
      <c r="AF15" s="21" t="str">
        <f t="shared" si="5"/>
        <v>·</v>
      </c>
      <c r="AG15" s="19" t="str">
        <f t="shared" si="6"/>
        <v>.</v>
      </c>
      <c r="AH15" s="19" t="str">
        <f t="shared" si="7"/>
        <v>.</v>
      </c>
      <c r="AI15" s="44"/>
      <c r="AJ15" s="22"/>
      <c r="AK15" s="22"/>
      <c r="AL15" s="22"/>
      <c r="AM15" s="22"/>
      <c r="AN15" s="22"/>
      <c r="AO15" s="22"/>
      <c r="AP15" s="45"/>
      <c r="AQ15" s="45"/>
      <c r="AR15" s="45"/>
      <c r="AS15" s="45"/>
      <c r="AT15" s="45"/>
      <c r="AU15" s="45"/>
      <c r="AV15" s="45"/>
      <c r="AW15" s="23"/>
      <c r="AX15" s="23"/>
      <c r="AZ15" s="24" t="str">
        <f t="array" ref="AZ15">IF( OR(AND(ISBLANK(L15:L19)),AND(ISBLANK(AG15:AG19)), AND(ISBLANK(U15:U19)),AND(ISBLANK(AP15:AP19))), "·", bdRateExtend( L15:L19,U15:U19, AG15:AG19,AP15:AP19))</f>
        <v>·</v>
      </c>
      <c r="BA15" s="24" t="str">
        <f t="array" ref="BA15">IF( OR(AND(ISBLANK(L15:L19)),AND(ISBLANK(AG15:AG19)), AND(ISBLANK(V15:V19)),AND(ISBLANK(AQ15:AQ19))), "·", bdRateExtend( L15:L19,V15:V19, AG15:AG19,AQ15:AQ19))</f>
        <v>·</v>
      </c>
      <c r="BB15" s="24" t="str" cm="1">
        <f t="array" ref="BB15">IF( OR(AND(ISBLANK(L15:L19)),AND(ISBLANK(AG15:AG19)), AND(ISBLANK(W15:W19)),AND(ISBLANK(AR15:AR19))), "·", bdRateExtend( L15:L19,W15:W19, AG15:AG19,AR15:AR19))</f>
        <v>·</v>
      </c>
      <c r="BC15" s="24" t="str" cm="1">
        <f t="array" ref="BC15">IF( OR(AND(ISBLANK(L15:L19)),AND(ISBLANK(AG15:AG19)), AND(ISBLANK(X15:X19)),AND(ISBLANK(AS15:AS19))), "·", bdRateExtend( L15:L19,X15:X19, AG15:AG19,AS15:AS19))</f>
        <v>·</v>
      </c>
      <c r="BD15" s="24" t="str" cm="1">
        <f t="array" ref="BD15">IF( OR(AND(ISBLANK(L15:L19)),AND(ISBLANK(AG15:AG19)), AND(ISBLANK(Y15:Y19)),AND(ISBLANK(AT15:AT19))), "·", bdRateExtend( L15:L19,Y15:Y19, AG15:AG19,AT15:AT19))</f>
        <v>·</v>
      </c>
      <c r="BE15" s="24" t="str" cm="1">
        <f t="array" ref="BE15">IF( OR(AND(ISBLANK(L15:L19)),AND(ISBLANK(AG15:AG19)), AND(ISBLANK(Z15:Z19)),AND(ISBLANK(AU15:AU19))), "·", bdRateExtend( L15:L19,Z15:Z19, AG15:AG19,AU15:AU19))</f>
        <v>·</v>
      </c>
      <c r="BF15" s="24" t="str" cm="1">
        <f t="array" ref="BF15">IF( OR(AND(ISBLANK(L15:L19)),AND(ISBLANK(AG15:AG19)), AND(ISBLANK(AA15:AA19)),AND(ISBLANK(AV15:AV19))), "·", bdRateExtend( L15:L19,AA15:AA19, AG15:AG19,AV15:AV19))</f>
        <v>·</v>
      </c>
      <c r="BH15" s="24" t="str" cm="1">
        <f t="array" ref="BH15">IF( OR(AND(ISBLANK(M15:M19)),AND(ISBLANK(AH15:AH19)), AND(ISBLANK(U15:U19)),AND(ISBLANK(AP15:AP19))), "·", bdRateExtend( M15:M19,U15:U19, AH15:AH19,AP15:AP19))</f>
        <v>·</v>
      </c>
      <c r="BI15" s="24" t="str" cm="1">
        <f t="array" ref="BI15">IF( OR(AND(ISBLANK(M15:M19)),AND(ISBLANK(AH15:AH19)), AND(ISBLANK(V15:V19)),AND(ISBLANK(AQ15:AQ19))), "·", bdRateExtend( M15:M19,V15:V19, AH15:AH19,AQ15:AQ19))</f>
        <v>·</v>
      </c>
      <c r="BJ15" s="24" t="str" cm="1">
        <f t="array" ref="BJ15">IF( OR(AND(ISBLANK(S15:S19)),AND(ISBLANK(AN15:AN19)), AND(ISBLANK(W15:W19)),AND(ISBLANK(AR15:AR19))), "·", bdRateExtend( S15:S19,W15:W19, AN15:AN19,AR15:AR19))</f>
        <v>·</v>
      </c>
      <c r="BK15" s="24" t="str" cm="1">
        <f t="array" ref="BK15">IF( OR(AND(ISBLANK(S15:S19)),AND(ISBLANK(AN15:AN19)), AND(ISBLANK(X15:X19)),AND(ISBLANK(AS15:AS19))), "·", bdRateExtend( S15:S19,X15:X19, AN15:AN19,AS15:AS19))</f>
        <v>·</v>
      </c>
      <c r="BL15" s="24" t="str" cm="1">
        <f t="array" ref="BL15">IF( OR(AND(ISBLANK(S15:S19)),AND(ISBLANK(AN15:AN19)), AND(ISBLANK(Y15:Y19)),AND(ISBLANK(AT15:AT19))), "·", bdRateExtend( S15:S19,Y15:Y19, AN15:AN19,AT15:AT19))</f>
        <v>·</v>
      </c>
      <c r="BM15" s="24" t="str" cm="1">
        <f t="array" ref="BM15">IF( OR(AND(ISBLANK(M15:M19)),AND(ISBLANK(AH15:AH19)), AND(ISBLANK(Z15:Z19)),AND(ISBLANK(AU15:AU19))), "·", bdRateExtend( M15:M19,Z15:Z19, AH15:AH19,AU15:AU19))</f>
        <v>·</v>
      </c>
      <c r="BN15" s="24" t="str" cm="1">
        <f t="array" ref="BN15">IF( OR(AND(ISBLANK(S15:S19)),AND(ISBLANK(AN15:AN19)), AND(ISBLANK(AA15:AA19)),AND(ISBLANK(AV15:AV19))), "·", bdRateExtend( S15:S19,AA15:AA19, AN15:AN19,AV15:AV19))</f>
        <v>·</v>
      </c>
      <c r="BP15" s="24">
        <f t="shared" si="8"/>
        <v>0</v>
      </c>
      <c r="BQ15" s="24">
        <f t="shared" si="9"/>
        <v>0</v>
      </c>
      <c r="BR15" s="24">
        <f t="shared" si="10"/>
        <v>0</v>
      </c>
      <c r="BS15" s="24">
        <f t="shared" si="11"/>
        <v>0</v>
      </c>
      <c r="BT15" s="24">
        <f t="shared" si="11"/>
        <v>0</v>
      </c>
    </row>
    <row r="16" spans="1:72" ht="15" customHeight="1" outlineLevel="1" x14ac:dyDescent="0.15">
      <c r="A16" s="33"/>
      <c r="B16" s="33" t="s">
        <v>51</v>
      </c>
      <c r="C16" s="35" t="s">
        <v>363</v>
      </c>
      <c r="D16" s="33">
        <v>11842002</v>
      </c>
      <c r="E16" s="34">
        <v>12</v>
      </c>
      <c r="F16" s="35">
        <v>32</v>
      </c>
      <c r="G16" s="35">
        <v>30</v>
      </c>
      <c r="H16" s="35">
        <v>5</v>
      </c>
      <c r="J16" s="36">
        <f t="shared" si="0"/>
        <v>47.841217499999999</v>
      </c>
      <c r="K16" s="37">
        <f t="shared" si="1"/>
        <v>4.3092909459059374</v>
      </c>
      <c r="L16" s="35">
        <f t="shared" si="2"/>
        <v>51030632</v>
      </c>
      <c r="M16" s="35">
        <f t="shared" si="3"/>
        <v>14814824</v>
      </c>
      <c r="N16" s="46">
        <v>22706944</v>
      </c>
      <c r="O16" s="38">
        <v>51030632</v>
      </c>
      <c r="P16" s="38">
        <v>7173872</v>
      </c>
      <c r="Q16" s="38">
        <v>0</v>
      </c>
      <c r="R16" s="38">
        <v>7640952</v>
      </c>
      <c r="S16" s="38">
        <v>36070080</v>
      </c>
      <c r="T16" s="38">
        <v>145728</v>
      </c>
      <c r="U16" s="47">
        <v>72.622510000000005</v>
      </c>
      <c r="V16" s="47">
        <v>74.115700500000003</v>
      </c>
      <c r="W16" s="47">
        <v>38.461798100000003</v>
      </c>
      <c r="X16" s="47">
        <v>43.930253499999999</v>
      </c>
      <c r="Y16" s="47">
        <v>46.365934699999997</v>
      </c>
      <c r="Z16" s="47">
        <v>46.247832500000001</v>
      </c>
      <c r="AA16" s="47">
        <v>34.015401599999997</v>
      </c>
      <c r="AB16" s="39">
        <v>23990.583588000001</v>
      </c>
      <c r="AC16" s="39">
        <v>148.360071</v>
      </c>
      <c r="AE16" s="36" t="str">
        <f t="shared" si="4"/>
        <v>·</v>
      </c>
      <c r="AF16" s="37" t="str">
        <f t="shared" si="5"/>
        <v>·</v>
      </c>
      <c r="AG16" s="35" t="str">
        <f t="shared" si="6"/>
        <v>.</v>
      </c>
      <c r="AH16" s="35" t="str">
        <f t="shared" si="7"/>
        <v>.</v>
      </c>
      <c r="AI16" s="46"/>
      <c r="AJ16" s="38"/>
      <c r="AK16" s="38"/>
      <c r="AL16" s="38"/>
      <c r="AM16" s="38"/>
      <c r="AN16" s="38"/>
      <c r="AO16" s="38"/>
      <c r="AP16" s="47"/>
      <c r="AQ16" s="47"/>
      <c r="AR16" s="47"/>
      <c r="AS16" s="47"/>
      <c r="AT16" s="47"/>
      <c r="AU16" s="47"/>
      <c r="AV16" s="47"/>
      <c r="AW16" s="39"/>
      <c r="AX16" s="39"/>
      <c r="AZ16" s="40"/>
      <c r="BA16" s="40"/>
      <c r="BB16" s="40"/>
      <c r="BC16" s="40"/>
      <c r="BD16" s="40"/>
      <c r="BE16" s="40"/>
      <c r="BF16" s="40"/>
      <c r="BH16" s="40"/>
      <c r="BI16" s="40"/>
      <c r="BJ16" s="40"/>
      <c r="BK16" s="40"/>
      <c r="BL16" s="40"/>
      <c r="BM16" s="40"/>
      <c r="BN16" s="40"/>
      <c r="BP16" s="40">
        <f t="shared" si="8"/>
        <v>0</v>
      </c>
      <c r="BQ16" s="40">
        <f t="shared" si="9"/>
        <v>0</v>
      </c>
      <c r="BR16" s="40">
        <f t="shared" si="10"/>
        <v>0</v>
      </c>
      <c r="BS16" s="40">
        <f t="shared" si="11"/>
        <v>0</v>
      </c>
      <c r="BT16" s="40">
        <f t="shared" si="11"/>
        <v>0</v>
      </c>
    </row>
    <row r="17" spans="1:72" ht="15" customHeight="1" outlineLevel="1" x14ac:dyDescent="0.15">
      <c r="A17" s="17"/>
      <c r="B17" s="17" t="s">
        <v>51</v>
      </c>
      <c r="C17" s="19" t="s">
        <v>364</v>
      </c>
      <c r="D17" s="17">
        <v>11842002</v>
      </c>
      <c r="E17" s="18">
        <v>12</v>
      </c>
      <c r="F17" s="19">
        <v>32</v>
      </c>
      <c r="G17" s="19">
        <v>30</v>
      </c>
      <c r="H17" s="19">
        <v>10</v>
      </c>
      <c r="J17" s="20">
        <f t="shared" si="0"/>
        <v>93.377205000000004</v>
      </c>
      <c r="K17" s="21">
        <f t="shared" si="1"/>
        <v>8.410938623384796</v>
      </c>
      <c r="L17" s="19">
        <f t="shared" si="2"/>
        <v>99602352</v>
      </c>
      <c r="M17" s="19">
        <f t="shared" si="3"/>
        <v>29344208</v>
      </c>
      <c r="N17" s="44">
        <v>45429504</v>
      </c>
      <c r="O17" s="22">
        <v>99602352</v>
      </c>
      <c r="P17" s="22">
        <v>12009904</v>
      </c>
      <c r="Q17" s="22">
        <v>0</v>
      </c>
      <c r="R17" s="22">
        <v>17334304</v>
      </c>
      <c r="S17" s="22">
        <v>70113112</v>
      </c>
      <c r="T17" s="22">
        <v>145032</v>
      </c>
      <c r="U17" s="45">
        <v>77.557658599999996</v>
      </c>
      <c r="V17" s="45">
        <v>79.864423599999995</v>
      </c>
      <c r="W17" s="45">
        <v>41.158349700000002</v>
      </c>
      <c r="X17" s="45">
        <v>44.806093699999998</v>
      </c>
      <c r="Y17" s="45">
        <v>48.041277800000003</v>
      </c>
      <c r="Z17" s="45">
        <v>48.8695837</v>
      </c>
      <c r="AA17" s="45">
        <v>37.219347300000003</v>
      </c>
      <c r="AB17" s="23">
        <v>25717.509414</v>
      </c>
      <c r="AC17" s="23">
        <v>150.246083</v>
      </c>
      <c r="AE17" s="20" t="str">
        <f t="shared" si="4"/>
        <v>·</v>
      </c>
      <c r="AF17" s="21" t="str">
        <f t="shared" si="5"/>
        <v>·</v>
      </c>
      <c r="AG17" s="19" t="str">
        <f t="shared" si="6"/>
        <v>.</v>
      </c>
      <c r="AH17" s="19" t="str">
        <f t="shared" si="7"/>
        <v>.</v>
      </c>
      <c r="AI17" s="44"/>
      <c r="AJ17" s="22"/>
      <c r="AK17" s="22"/>
      <c r="AL17" s="22"/>
      <c r="AM17" s="22"/>
      <c r="AN17" s="22"/>
      <c r="AO17" s="22"/>
      <c r="AP17" s="45"/>
      <c r="AQ17" s="45"/>
      <c r="AR17" s="45"/>
      <c r="AS17" s="45"/>
      <c r="AT17" s="45"/>
      <c r="AU17" s="45"/>
      <c r="AV17" s="45"/>
      <c r="AW17" s="23"/>
      <c r="AX17" s="23"/>
      <c r="AZ17" s="24"/>
      <c r="BA17" s="24"/>
      <c r="BB17" s="24"/>
      <c r="BC17" s="24"/>
      <c r="BD17" s="24"/>
      <c r="BE17" s="24"/>
      <c r="BF17" s="24"/>
      <c r="BH17" s="24"/>
      <c r="BI17" s="24"/>
      <c r="BJ17" s="24"/>
      <c r="BK17" s="24"/>
      <c r="BL17" s="24"/>
      <c r="BM17" s="24"/>
      <c r="BN17" s="24"/>
      <c r="BP17" s="24">
        <f t="shared" si="8"/>
        <v>0</v>
      </c>
      <c r="BQ17" s="24">
        <f t="shared" si="9"/>
        <v>0</v>
      </c>
      <c r="BR17" s="24">
        <f t="shared" si="10"/>
        <v>0</v>
      </c>
      <c r="BS17" s="24">
        <f t="shared" si="11"/>
        <v>0</v>
      </c>
      <c r="BT17" s="24">
        <f t="shared" si="11"/>
        <v>0</v>
      </c>
    </row>
    <row r="18" spans="1:72" ht="15" customHeight="1" outlineLevel="1" x14ac:dyDescent="0.15">
      <c r="A18" s="33"/>
      <c r="B18" s="33" t="s">
        <v>51</v>
      </c>
      <c r="C18" s="35" t="s">
        <v>365</v>
      </c>
      <c r="D18" s="33">
        <v>11842002</v>
      </c>
      <c r="E18" s="34">
        <v>12</v>
      </c>
      <c r="F18" s="35">
        <v>32</v>
      </c>
      <c r="G18" s="35">
        <v>30</v>
      </c>
      <c r="H18" s="35">
        <v>14</v>
      </c>
      <c r="J18" s="36">
        <f t="shared" si="0"/>
        <v>132.17773500000001</v>
      </c>
      <c r="K18" s="37">
        <f t="shared" si="1"/>
        <v>11.905890912702093</v>
      </c>
      <c r="L18" s="35">
        <f t="shared" si="2"/>
        <v>140989584</v>
      </c>
      <c r="M18" s="35">
        <f t="shared" si="3"/>
        <v>39258512</v>
      </c>
      <c r="N18" s="46">
        <v>90872832</v>
      </c>
      <c r="O18" s="38">
        <v>140989584</v>
      </c>
      <c r="P18" s="38">
        <v>20637216</v>
      </c>
      <c r="Q18" s="38">
        <v>0</v>
      </c>
      <c r="R18" s="38">
        <v>18621296</v>
      </c>
      <c r="S18" s="38">
        <v>101582704</v>
      </c>
      <c r="T18" s="38">
        <v>148368</v>
      </c>
      <c r="U18" s="47">
        <v>78.991263599999996</v>
      </c>
      <c r="V18" s="47">
        <v>81.808735600000006</v>
      </c>
      <c r="W18" s="47">
        <v>42.189711299999999</v>
      </c>
      <c r="X18" s="47">
        <v>45.5022856</v>
      </c>
      <c r="Y18" s="47">
        <v>49.186083799999999</v>
      </c>
      <c r="Z18" s="47">
        <v>49.906813499999998</v>
      </c>
      <c r="AA18" s="47">
        <v>38.400980199999999</v>
      </c>
      <c r="AB18" s="39">
        <v>27684.196631999999</v>
      </c>
      <c r="AC18" s="39">
        <v>184.376948</v>
      </c>
      <c r="AE18" s="36" t="str">
        <f t="shared" si="4"/>
        <v>·</v>
      </c>
      <c r="AF18" s="37" t="str">
        <f t="shared" si="5"/>
        <v>·</v>
      </c>
      <c r="AG18" s="35" t="str">
        <f t="shared" si="6"/>
        <v>.</v>
      </c>
      <c r="AH18" s="35" t="str">
        <f t="shared" si="7"/>
        <v>.</v>
      </c>
      <c r="AI18" s="46"/>
      <c r="AJ18" s="38"/>
      <c r="AK18" s="38"/>
      <c r="AL18" s="38"/>
      <c r="AM18" s="38"/>
      <c r="AN18" s="38"/>
      <c r="AO18" s="38"/>
      <c r="AP18" s="47"/>
      <c r="AQ18" s="47"/>
      <c r="AR18" s="47"/>
      <c r="AS18" s="47"/>
      <c r="AT18" s="47"/>
      <c r="AU18" s="47"/>
      <c r="AV18" s="47"/>
      <c r="AW18" s="39"/>
      <c r="AX18" s="39"/>
      <c r="AZ18" s="40"/>
      <c r="BA18" s="40"/>
      <c r="BB18" s="40"/>
      <c r="BC18" s="40"/>
      <c r="BD18" s="40"/>
      <c r="BE18" s="40"/>
      <c r="BF18" s="40"/>
      <c r="BH18" s="40"/>
      <c r="BI18" s="40"/>
      <c r="BJ18" s="40"/>
      <c r="BK18" s="40"/>
      <c r="BL18" s="40"/>
      <c r="BM18" s="40"/>
      <c r="BN18" s="40"/>
      <c r="BP18" s="40">
        <f t="shared" si="8"/>
        <v>0</v>
      </c>
      <c r="BQ18" s="40">
        <f t="shared" si="9"/>
        <v>0</v>
      </c>
      <c r="BR18" s="40">
        <f t="shared" si="10"/>
        <v>0</v>
      </c>
      <c r="BS18" s="40">
        <f t="shared" si="11"/>
        <v>0</v>
      </c>
      <c r="BT18" s="40">
        <f t="shared" si="11"/>
        <v>0</v>
      </c>
    </row>
    <row r="19" spans="1:72" ht="15.75" customHeight="1" outlineLevel="1" thickBot="1" x14ac:dyDescent="0.2">
      <c r="A19" s="17"/>
      <c r="B19" s="48" t="s">
        <v>51</v>
      </c>
      <c r="C19" s="49" t="s">
        <v>366</v>
      </c>
      <c r="D19" s="48">
        <v>11842002</v>
      </c>
      <c r="E19" s="50">
        <v>12</v>
      </c>
      <c r="F19" s="49">
        <v>32</v>
      </c>
      <c r="G19" s="49">
        <v>30</v>
      </c>
      <c r="H19" s="49">
        <v>21</v>
      </c>
      <c r="J19" s="51">
        <f t="shared" si="0"/>
        <v>196.90725749999999</v>
      </c>
      <c r="K19" s="52">
        <f t="shared" si="1"/>
        <v>17.736393559129613</v>
      </c>
      <c r="L19" s="49">
        <f t="shared" si="2"/>
        <v>210034408</v>
      </c>
      <c r="M19" s="49">
        <f t="shared" si="3"/>
        <v>41562296</v>
      </c>
      <c r="N19" s="53">
        <v>90872832</v>
      </c>
      <c r="O19" s="54">
        <v>210034408</v>
      </c>
      <c r="P19" s="54">
        <v>20637216</v>
      </c>
      <c r="Q19" s="54">
        <v>0</v>
      </c>
      <c r="R19" s="54">
        <v>20925080</v>
      </c>
      <c r="S19" s="54">
        <v>168320144</v>
      </c>
      <c r="T19" s="54">
        <v>151968</v>
      </c>
      <c r="U19" s="55">
        <v>79.347429500000004</v>
      </c>
      <c r="V19" s="55">
        <v>82.318791700000006</v>
      </c>
      <c r="W19" s="55">
        <v>43.231753900000001</v>
      </c>
      <c r="X19" s="55">
        <v>46.450982799999998</v>
      </c>
      <c r="Y19" s="55">
        <v>50.469792599999998</v>
      </c>
      <c r="Z19" s="55">
        <v>50.136517900000001</v>
      </c>
      <c r="AA19" s="55">
        <v>38.961887900000001</v>
      </c>
      <c r="AB19" s="56">
        <v>29726.166570000001</v>
      </c>
      <c r="AC19" s="56">
        <v>187.202868</v>
      </c>
      <c r="AE19" s="51" t="str">
        <f t="shared" si="4"/>
        <v>·</v>
      </c>
      <c r="AF19" s="52" t="str">
        <f t="shared" si="5"/>
        <v>·</v>
      </c>
      <c r="AG19" s="49" t="str">
        <f t="shared" si="6"/>
        <v>.</v>
      </c>
      <c r="AH19" s="49" t="str">
        <f t="shared" si="7"/>
        <v>.</v>
      </c>
      <c r="AI19" s="53"/>
      <c r="AJ19" s="54"/>
      <c r="AK19" s="54"/>
      <c r="AL19" s="54"/>
      <c r="AM19" s="54"/>
      <c r="AN19" s="54"/>
      <c r="AO19" s="54"/>
      <c r="AP19" s="55"/>
      <c r="AQ19" s="55"/>
      <c r="AR19" s="55"/>
      <c r="AS19" s="55"/>
      <c r="AT19" s="55"/>
      <c r="AU19" s="55"/>
      <c r="AV19" s="55"/>
      <c r="AW19" s="56"/>
      <c r="AX19" s="56"/>
      <c r="AZ19" s="57"/>
      <c r="BA19" s="57"/>
      <c r="BB19" s="57"/>
      <c r="BC19" s="57"/>
      <c r="BD19" s="57"/>
      <c r="BE19" s="57"/>
      <c r="BF19" s="57"/>
      <c r="BH19" s="57"/>
      <c r="BI19" s="57"/>
      <c r="BJ19" s="57"/>
      <c r="BK19" s="57"/>
      <c r="BL19" s="57"/>
      <c r="BM19" s="57"/>
      <c r="BN19" s="57"/>
      <c r="BP19" s="57">
        <f t="shared" si="8"/>
        <v>0</v>
      </c>
      <c r="BQ19" s="57">
        <f t="shared" si="9"/>
        <v>0</v>
      </c>
      <c r="BR19" s="57">
        <f t="shared" si="10"/>
        <v>0</v>
      </c>
      <c r="BS19" s="57">
        <f t="shared" si="11"/>
        <v>0</v>
      </c>
      <c r="BT19" s="57">
        <f t="shared" si="11"/>
        <v>0</v>
      </c>
    </row>
    <row r="20" spans="1:72" ht="15" customHeight="1" x14ac:dyDescent="0.15">
      <c r="A20" s="33"/>
      <c r="B20" s="33" t="s">
        <v>56</v>
      </c>
      <c r="C20" s="35" t="s">
        <v>362</v>
      </c>
      <c r="D20" s="33">
        <v>11812090</v>
      </c>
      <c r="E20" s="34">
        <v>12</v>
      </c>
      <c r="F20" s="35">
        <v>32</v>
      </c>
      <c r="G20" s="35">
        <v>30</v>
      </c>
      <c r="H20" s="35">
        <v>3</v>
      </c>
      <c r="J20" s="36">
        <f t="shared" si="0"/>
        <v>27.593505</v>
      </c>
      <c r="K20" s="37">
        <f t="shared" si="1"/>
        <v>2.491775121930158</v>
      </c>
      <c r="L20" s="35">
        <f t="shared" si="2"/>
        <v>29433072</v>
      </c>
      <c r="M20" s="35">
        <f t="shared" si="3"/>
        <v>11164632</v>
      </c>
      <c r="N20" s="46">
        <v>22662720</v>
      </c>
      <c r="O20" s="38">
        <v>29433072</v>
      </c>
      <c r="P20" s="38">
        <v>6440896</v>
      </c>
      <c r="Q20" s="38">
        <v>0</v>
      </c>
      <c r="R20" s="38">
        <v>4723736</v>
      </c>
      <c r="S20" s="38">
        <v>18120184</v>
      </c>
      <c r="T20" s="38">
        <v>148256</v>
      </c>
      <c r="U20" s="47">
        <v>71.204057800000001</v>
      </c>
      <c r="V20" s="47">
        <v>72.573792499999996</v>
      </c>
      <c r="W20" s="47">
        <v>34.573517000000002</v>
      </c>
      <c r="X20" s="47">
        <v>42.787827299999996</v>
      </c>
      <c r="Y20" s="47">
        <v>44.141228499999997</v>
      </c>
      <c r="Z20" s="47">
        <v>46.421705299999999</v>
      </c>
      <c r="AA20" s="47">
        <v>31.513841800000002</v>
      </c>
      <c r="AB20" s="39">
        <v>5917.9525519999997</v>
      </c>
      <c r="AC20" s="39">
        <v>44.672018999999999</v>
      </c>
      <c r="AE20" s="36" t="str">
        <f t="shared" si="4"/>
        <v>·</v>
      </c>
      <c r="AF20" s="37" t="str">
        <f t="shared" si="5"/>
        <v>·</v>
      </c>
      <c r="AG20" s="35" t="str">
        <f t="shared" si="6"/>
        <v>.</v>
      </c>
      <c r="AH20" s="35" t="str">
        <f t="shared" si="7"/>
        <v>.</v>
      </c>
      <c r="AI20" s="46"/>
      <c r="AJ20" s="38"/>
      <c r="AK20" s="38"/>
      <c r="AL20" s="38"/>
      <c r="AM20" s="38"/>
      <c r="AN20" s="38"/>
      <c r="AO20" s="38"/>
      <c r="AP20" s="47"/>
      <c r="AQ20" s="47"/>
      <c r="AR20" s="47"/>
      <c r="AS20" s="47"/>
      <c r="AT20" s="47"/>
      <c r="AU20" s="47"/>
      <c r="AV20" s="47"/>
      <c r="AW20" s="39"/>
      <c r="AX20" s="39"/>
      <c r="AZ20" s="40" t="str">
        <f t="array" ref="AZ20">IF( OR(AND(ISBLANK(L20:L24)),AND(ISBLANK(AG20:AG24)), AND(ISBLANK(U20:U24)),AND(ISBLANK(AP20:AP24))), "·", bdRateExtend( L20:L24,U20:U24, AG20:AG24,AP20:AP24))</f>
        <v>·</v>
      </c>
      <c r="BA20" s="40" t="str">
        <f t="array" ref="BA20">IF( OR(AND(ISBLANK(L20:L24)),AND(ISBLANK(AG20:AG24)), AND(ISBLANK(V20:V24)),AND(ISBLANK(AQ20:AQ24))), "·", bdRateExtend( L20:L24,V20:V24, AG20:AG24,AQ20:AQ24))</f>
        <v>·</v>
      </c>
      <c r="BB20" s="40" t="str" cm="1">
        <f t="array" ref="BB20">IF( OR(AND(ISBLANK(L20:L24)),AND(ISBLANK(AG20:AG24)), AND(ISBLANK(W20:W24)),AND(ISBLANK(AR20:AR24))), "·", bdRateExtend( L20:L24,W20:W24, AG20:AG24,AR20:AR24))</f>
        <v>·</v>
      </c>
      <c r="BC20" s="40" t="str" cm="1">
        <f t="array" ref="BC20">IF( OR(AND(ISBLANK(L20:L24)),AND(ISBLANK(AG20:AG24)), AND(ISBLANK(X20:X24)),AND(ISBLANK(AS20:AS24))), "·", bdRateExtend( L20:L24,X20:X24, AG20:AG24,AS20:AS24))</f>
        <v>·</v>
      </c>
      <c r="BD20" s="40" t="str" cm="1">
        <f t="array" ref="BD20">IF( OR(AND(ISBLANK(L20:L24)),AND(ISBLANK(AG20:AG24)), AND(ISBLANK(Y20:Y24)),AND(ISBLANK(AT20:AT24))), "·", bdRateExtend( L20:L24,Y20:Y24, AG20:AG24,AT20:AT24))</f>
        <v>·</v>
      </c>
      <c r="BE20" s="40" t="str" cm="1">
        <f t="array" ref="BE20">IF( OR(AND(ISBLANK(L20:L24)),AND(ISBLANK(AG20:AG24)), AND(ISBLANK(Z20:Z24)),AND(ISBLANK(AU20:AU24))), "·", bdRateExtend( L20:L24,Z20:Z24, AG20:AG24,AU20:AU24))</f>
        <v>·</v>
      </c>
      <c r="BF20" s="40" t="str" cm="1">
        <f t="array" ref="BF20">IF( OR(AND(ISBLANK(L20:L24)),AND(ISBLANK(AG20:AG24)), AND(ISBLANK(AA20:AA24)),AND(ISBLANK(AV20:AV24))), "·", bdRateExtend( L20:L24,AA20:AA24, AG20:AG24,AV20:AV24))</f>
        <v>·</v>
      </c>
      <c r="BH20" s="40" t="str" cm="1">
        <f t="array" ref="BH20">IF( OR(AND(ISBLANK(M20:M24)),AND(ISBLANK(AH20:AH24)), AND(ISBLANK(U20:U24)),AND(ISBLANK(AP20:AP24))), "·", bdRateExtend( M20:M24,U20:U24, AH20:AH24,AP20:AP24))</f>
        <v>·</v>
      </c>
      <c r="BI20" s="40" t="str" cm="1">
        <f t="array" ref="BI20">IF( OR(AND(ISBLANK(M20:M24)),AND(ISBLANK(AH20:AH24)), AND(ISBLANK(V20:V24)),AND(ISBLANK(AQ20:AQ24))), "·", bdRateExtend( M20:M24,V20:V24, AH20:AH24,AQ20:AQ24))</f>
        <v>·</v>
      </c>
      <c r="BJ20" s="40" t="str" cm="1">
        <f t="array" ref="BJ20">IF( OR(AND(ISBLANK(S20:S24)),AND(ISBLANK(AN20:AN24)), AND(ISBLANK(W20:W24)),AND(ISBLANK(AR20:AR24))), "·", bdRateExtend( S20:S24,W20:W24, AN20:AN24,AR20:AR24))</f>
        <v>·</v>
      </c>
      <c r="BK20" s="40" t="str" cm="1">
        <f t="array" ref="BK20">IF( OR(AND(ISBLANK(S20:S24)),AND(ISBLANK(AN20:AN24)), AND(ISBLANK(X20:X24)),AND(ISBLANK(AS20:AS24))), "·", bdRateExtend( S20:S24,X20:X24, AN20:AN24,AS20:AS24))</f>
        <v>·</v>
      </c>
      <c r="BL20" s="40" t="str" cm="1">
        <f t="array" ref="BL20">IF( OR(AND(ISBLANK(S20:S24)),AND(ISBLANK(AN20:AN24)), AND(ISBLANK(Y20:Y24)),AND(ISBLANK(AT20:AT24))), "·", bdRateExtend( S20:S24,Y20:Y24, AN20:AN24,AT20:AT24))</f>
        <v>·</v>
      </c>
      <c r="BM20" s="40" t="str" cm="1">
        <f t="array" ref="BM20">IF( OR(AND(ISBLANK(M20:M24)),AND(ISBLANK(AH20:AH24)), AND(ISBLANK(Z20:Z24)),AND(ISBLANK(AU20:AU24))), "·", bdRateExtend( M20:M24,Z20:Z24, AH20:AH24,AU20:AU24))</f>
        <v>·</v>
      </c>
      <c r="BN20" s="40" t="str" cm="1">
        <f t="array" ref="BN20">IF( OR(AND(ISBLANK(S20:S24)),AND(ISBLANK(AN20:AN24)), AND(ISBLANK(AA20:AA24)),AND(ISBLANK(AV20:AV24))), "·", bdRateExtend( S20:S24,AA20:AA24, AN20:AN24,AV20:AV24))</f>
        <v>·</v>
      </c>
      <c r="BP20" s="40">
        <f t="shared" si="8"/>
        <v>0</v>
      </c>
      <c r="BQ20" s="40">
        <f t="shared" si="9"/>
        <v>0</v>
      </c>
      <c r="BR20" s="40">
        <f t="shared" si="10"/>
        <v>0</v>
      </c>
      <c r="BS20" s="40">
        <f t="shared" si="11"/>
        <v>0</v>
      </c>
      <c r="BT20" s="40">
        <f t="shared" si="11"/>
        <v>0</v>
      </c>
    </row>
    <row r="21" spans="1:72" ht="15" customHeight="1" outlineLevel="1" x14ac:dyDescent="0.15">
      <c r="A21" s="17"/>
      <c r="B21" s="17" t="s">
        <v>56</v>
      </c>
      <c r="C21" s="19" t="s">
        <v>363</v>
      </c>
      <c r="D21" s="17">
        <v>11812090</v>
      </c>
      <c r="E21" s="18">
        <v>12</v>
      </c>
      <c r="F21" s="19">
        <v>32</v>
      </c>
      <c r="G21" s="19">
        <v>30</v>
      </c>
      <c r="H21" s="19">
        <v>5</v>
      </c>
      <c r="J21" s="20">
        <f t="shared" si="0"/>
        <v>46.414972499999998</v>
      </c>
      <c r="K21" s="21">
        <f t="shared" si="1"/>
        <v>4.1914093102914052</v>
      </c>
      <c r="L21" s="19">
        <f t="shared" si="2"/>
        <v>49509304</v>
      </c>
      <c r="M21" s="19">
        <f t="shared" si="3"/>
        <v>12232312</v>
      </c>
      <c r="N21" s="44">
        <v>22662720</v>
      </c>
      <c r="O21" s="22">
        <v>49509304</v>
      </c>
      <c r="P21" s="22">
        <v>7011112</v>
      </c>
      <c r="Q21" s="22">
        <v>0</v>
      </c>
      <c r="R21" s="22">
        <v>5221200</v>
      </c>
      <c r="S21" s="22">
        <v>37125696</v>
      </c>
      <c r="T21" s="22">
        <v>151296</v>
      </c>
      <c r="U21" s="45">
        <v>71.683736999999994</v>
      </c>
      <c r="V21" s="45">
        <v>73.105002999999996</v>
      </c>
      <c r="W21" s="45">
        <v>37.392113000000002</v>
      </c>
      <c r="X21" s="45">
        <v>43.950656899999998</v>
      </c>
      <c r="Y21" s="45">
        <v>46.014823</v>
      </c>
      <c r="Z21" s="45">
        <v>46.669257000000002</v>
      </c>
      <c r="AA21" s="45">
        <v>32.757493400000001</v>
      </c>
      <c r="AB21" s="23">
        <v>23372.119779000001</v>
      </c>
      <c r="AC21" s="23">
        <v>149.252185</v>
      </c>
      <c r="AE21" s="20" t="str">
        <f t="shared" si="4"/>
        <v>·</v>
      </c>
      <c r="AF21" s="21" t="str">
        <f t="shared" si="5"/>
        <v>·</v>
      </c>
      <c r="AG21" s="19" t="str">
        <f t="shared" si="6"/>
        <v>.</v>
      </c>
      <c r="AH21" s="19" t="str">
        <f t="shared" si="7"/>
        <v>.</v>
      </c>
      <c r="AI21" s="44"/>
      <c r="AJ21" s="22"/>
      <c r="AK21" s="22"/>
      <c r="AL21" s="22"/>
      <c r="AM21" s="22"/>
      <c r="AN21" s="22"/>
      <c r="AO21" s="22"/>
      <c r="AP21" s="45"/>
      <c r="AQ21" s="45"/>
      <c r="AR21" s="45"/>
      <c r="AS21" s="45"/>
      <c r="AT21" s="45"/>
      <c r="AU21" s="45"/>
      <c r="AV21" s="45"/>
      <c r="AW21" s="23"/>
      <c r="AX21" s="23"/>
      <c r="AZ21" s="24"/>
      <c r="BA21" s="24"/>
      <c r="BB21" s="24"/>
      <c r="BC21" s="24"/>
      <c r="BD21" s="24"/>
      <c r="BE21" s="24"/>
      <c r="BF21" s="24"/>
      <c r="BH21" s="24"/>
      <c r="BI21" s="24"/>
      <c r="BJ21" s="24"/>
      <c r="BK21" s="24"/>
      <c r="BL21" s="24"/>
      <c r="BM21" s="24"/>
      <c r="BN21" s="24"/>
      <c r="BP21" s="24">
        <f t="shared" si="8"/>
        <v>0</v>
      </c>
      <c r="BQ21" s="24">
        <f t="shared" si="9"/>
        <v>0</v>
      </c>
      <c r="BR21" s="24">
        <f t="shared" si="10"/>
        <v>0</v>
      </c>
      <c r="BS21" s="24">
        <f t="shared" si="11"/>
        <v>0</v>
      </c>
      <c r="BT21" s="24">
        <f t="shared" si="11"/>
        <v>0</v>
      </c>
    </row>
    <row r="22" spans="1:72" ht="15" customHeight="1" outlineLevel="1" x14ac:dyDescent="0.15">
      <c r="A22" s="33"/>
      <c r="B22" s="33" t="s">
        <v>56</v>
      </c>
      <c r="C22" s="35" t="s">
        <v>364</v>
      </c>
      <c r="D22" s="33">
        <v>11812090</v>
      </c>
      <c r="E22" s="34">
        <v>12</v>
      </c>
      <c r="F22" s="35">
        <v>32</v>
      </c>
      <c r="G22" s="35">
        <v>30</v>
      </c>
      <c r="H22" s="35">
        <v>10</v>
      </c>
      <c r="J22" s="36">
        <f t="shared" si="0"/>
        <v>93.326894999999993</v>
      </c>
      <c r="K22" s="37">
        <f t="shared" si="1"/>
        <v>8.4276946755400619</v>
      </c>
      <c r="L22" s="35">
        <f t="shared" si="2"/>
        <v>99548688</v>
      </c>
      <c r="M22" s="35">
        <f t="shared" si="3"/>
        <v>27412232</v>
      </c>
      <c r="N22" s="46">
        <v>45333632</v>
      </c>
      <c r="O22" s="38">
        <v>99548688</v>
      </c>
      <c r="P22" s="38">
        <v>10686976</v>
      </c>
      <c r="Q22" s="38">
        <v>0</v>
      </c>
      <c r="R22" s="38">
        <v>16725256</v>
      </c>
      <c r="S22" s="38">
        <v>71991496</v>
      </c>
      <c r="T22" s="38">
        <v>144960</v>
      </c>
      <c r="U22" s="47">
        <v>77.5534009</v>
      </c>
      <c r="V22" s="47">
        <v>79.973405200000002</v>
      </c>
      <c r="W22" s="47">
        <v>40.394096099999999</v>
      </c>
      <c r="X22" s="47">
        <v>45.196534499999999</v>
      </c>
      <c r="Y22" s="47">
        <v>48.082730699999999</v>
      </c>
      <c r="Z22" s="47">
        <v>49.744788200000002</v>
      </c>
      <c r="AA22" s="47">
        <v>36.538605099999998</v>
      </c>
      <c r="AB22" s="39">
        <v>25361.127807000001</v>
      </c>
      <c r="AC22" s="39">
        <v>145.71624499999999</v>
      </c>
      <c r="AE22" s="36" t="str">
        <f t="shared" si="4"/>
        <v>·</v>
      </c>
      <c r="AF22" s="37" t="str">
        <f t="shared" si="5"/>
        <v>·</v>
      </c>
      <c r="AG22" s="35" t="str">
        <f t="shared" si="6"/>
        <v>.</v>
      </c>
      <c r="AH22" s="35" t="str">
        <f t="shared" si="7"/>
        <v>.</v>
      </c>
      <c r="AI22" s="46"/>
      <c r="AJ22" s="38"/>
      <c r="AK22" s="38"/>
      <c r="AL22" s="38"/>
      <c r="AM22" s="38"/>
      <c r="AN22" s="38"/>
      <c r="AO22" s="38"/>
      <c r="AP22" s="47"/>
      <c r="AQ22" s="47"/>
      <c r="AR22" s="47"/>
      <c r="AS22" s="47"/>
      <c r="AT22" s="47"/>
      <c r="AU22" s="47"/>
      <c r="AV22" s="47"/>
      <c r="AW22" s="39"/>
      <c r="AX22" s="39"/>
      <c r="AZ22" s="40"/>
      <c r="BA22" s="40"/>
      <c r="BB22" s="40"/>
      <c r="BC22" s="40"/>
      <c r="BD22" s="40"/>
      <c r="BE22" s="40"/>
      <c r="BF22" s="40"/>
      <c r="BH22" s="40"/>
      <c r="BI22" s="40"/>
      <c r="BJ22" s="40"/>
      <c r="BK22" s="40"/>
      <c r="BL22" s="40"/>
      <c r="BM22" s="40"/>
      <c r="BN22" s="40"/>
      <c r="BP22" s="40">
        <f t="shared" si="8"/>
        <v>0</v>
      </c>
      <c r="BQ22" s="40">
        <f t="shared" si="9"/>
        <v>0</v>
      </c>
      <c r="BR22" s="40">
        <f t="shared" si="10"/>
        <v>0</v>
      </c>
      <c r="BS22" s="40">
        <f t="shared" si="11"/>
        <v>0</v>
      </c>
      <c r="BT22" s="40">
        <f t="shared" si="11"/>
        <v>0</v>
      </c>
    </row>
    <row r="23" spans="1:72" ht="15" customHeight="1" outlineLevel="1" x14ac:dyDescent="0.15">
      <c r="A23" s="17"/>
      <c r="B23" s="17" t="s">
        <v>56</v>
      </c>
      <c r="C23" s="19" t="s">
        <v>365</v>
      </c>
      <c r="D23" s="17">
        <v>11812090</v>
      </c>
      <c r="E23" s="18">
        <v>12</v>
      </c>
      <c r="F23" s="19">
        <v>32</v>
      </c>
      <c r="G23" s="19">
        <v>30</v>
      </c>
      <c r="H23" s="19">
        <v>14</v>
      </c>
      <c r="J23" s="20">
        <f t="shared" si="0"/>
        <v>131.17225500000001</v>
      </c>
      <c r="K23" s="21">
        <f t="shared" si="1"/>
        <v>11.845242628527213</v>
      </c>
      <c r="L23" s="19">
        <f t="shared" si="2"/>
        <v>139917072</v>
      </c>
      <c r="M23" s="19">
        <f t="shared" si="3"/>
        <v>37658632</v>
      </c>
      <c r="N23" s="44">
        <v>90678336</v>
      </c>
      <c r="O23" s="22">
        <v>139917072</v>
      </c>
      <c r="P23" s="22">
        <v>22488992</v>
      </c>
      <c r="Q23" s="22">
        <v>0</v>
      </c>
      <c r="R23" s="22">
        <v>15169640</v>
      </c>
      <c r="S23" s="22">
        <v>102109512</v>
      </c>
      <c r="T23" s="22">
        <v>148928</v>
      </c>
      <c r="U23" s="45">
        <v>78.720608299999995</v>
      </c>
      <c r="V23" s="45">
        <v>81.583275499999999</v>
      </c>
      <c r="W23" s="45">
        <v>41.468500300000002</v>
      </c>
      <c r="X23" s="45">
        <v>45.721034000000003</v>
      </c>
      <c r="Y23" s="45">
        <v>48.835815699999998</v>
      </c>
      <c r="Z23" s="45">
        <v>50.754959300000003</v>
      </c>
      <c r="AA23" s="45">
        <v>37.622881200000002</v>
      </c>
      <c r="AB23" s="23">
        <v>26649.732725000002</v>
      </c>
      <c r="AC23" s="23">
        <v>185.50206700000001</v>
      </c>
      <c r="AE23" s="20" t="str">
        <f t="shared" si="4"/>
        <v>·</v>
      </c>
      <c r="AF23" s="21" t="str">
        <f t="shared" si="5"/>
        <v>·</v>
      </c>
      <c r="AG23" s="19" t="str">
        <f t="shared" si="6"/>
        <v>.</v>
      </c>
      <c r="AH23" s="19" t="str">
        <f t="shared" si="7"/>
        <v>.</v>
      </c>
      <c r="AI23" s="44"/>
      <c r="AJ23" s="22"/>
      <c r="AK23" s="22"/>
      <c r="AL23" s="22"/>
      <c r="AM23" s="22"/>
      <c r="AN23" s="22"/>
      <c r="AO23" s="22"/>
      <c r="AP23" s="45"/>
      <c r="AQ23" s="45"/>
      <c r="AR23" s="45"/>
      <c r="AS23" s="45"/>
      <c r="AT23" s="45"/>
      <c r="AU23" s="45"/>
      <c r="AV23" s="45"/>
      <c r="AW23" s="23"/>
      <c r="AX23" s="23"/>
      <c r="AZ23" s="24"/>
      <c r="BA23" s="24"/>
      <c r="BB23" s="24"/>
      <c r="BC23" s="24"/>
      <c r="BD23" s="24"/>
      <c r="BE23" s="24"/>
      <c r="BF23" s="24"/>
      <c r="BH23" s="24"/>
      <c r="BI23" s="24"/>
      <c r="BJ23" s="24"/>
      <c r="BK23" s="24"/>
      <c r="BL23" s="24"/>
      <c r="BM23" s="24"/>
      <c r="BN23" s="24"/>
      <c r="BP23" s="24">
        <f t="shared" si="8"/>
        <v>0</v>
      </c>
      <c r="BQ23" s="24">
        <f t="shared" si="9"/>
        <v>0</v>
      </c>
      <c r="BR23" s="24">
        <f t="shared" si="10"/>
        <v>0</v>
      </c>
      <c r="BS23" s="24">
        <f t="shared" si="11"/>
        <v>0</v>
      </c>
      <c r="BT23" s="24">
        <f t="shared" si="11"/>
        <v>0</v>
      </c>
    </row>
    <row r="24" spans="1:72" ht="15.75" customHeight="1" outlineLevel="1" thickBot="1" x14ac:dyDescent="0.2">
      <c r="A24" s="25"/>
      <c r="B24" s="25" t="s">
        <v>56</v>
      </c>
      <c r="C24" s="27" t="s">
        <v>366</v>
      </c>
      <c r="D24" s="25">
        <v>11812090</v>
      </c>
      <c r="E24" s="26">
        <v>12</v>
      </c>
      <c r="F24" s="27">
        <v>32</v>
      </c>
      <c r="G24" s="27">
        <v>30</v>
      </c>
      <c r="H24" s="27">
        <v>21</v>
      </c>
      <c r="J24" s="28">
        <f t="shared" si="0"/>
        <v>194.84043</v>
      </c>
      <c r="K24" s="29">
        <f t="shared" si="1"/>
        <v>17.594667158817789</v>
      </c>
      <c r="L24" s="27">
        <f t="shared" si="2"/>
        <v>207829792</v>
      </c>
      <c r="M24" s="27">
        <f t="shared" si="3"/>
        <v>40069968</v>
      </c>
      <c r="N24" s="58">
        <v>90678336</v>
      </c>
      <c r="O24" s="30">
        <v>207829792</v>
      </c>
      <c r="P24" s="30">
        <v>20297784</v>
      </c>
      <c r="Q24" s="30">
        <v>0</v>
      </c>
      <c r="R24" s="30">
        <v>19772184</v>
      </c>
      <c r="S24" s="30">
        <v>167609808</v>
      </c>
      <c r="T24" s="30">
        <v>150016</v>
      </c>
      <c r="U24" s="59">
        <v>79.389169999999993</v>
      </c>
      <c r="V24" s="59">
        <v>82.567440700000006</v>
      </c>
      <c r="W24" s="59">
        <v>42.4822457</v>
      </c>
      <c r="X24" s="59">
        <v>46.795122499999998</v>
      </c>
      <c r="Y24" s="59">
        <v>50.179298699999997</v>
      </c>
      <c r="Z24" s="59">
        <v>51.158372800000002</v>
      </c>
      <c r="AA24" s="59">
        <v>38.362313299999997</v>
      </c>
      <c r="AB24" s="31">
        <v>28278.433847</v>
      </c>
      <c r="AC24" s="31">
        <v>188.29440399999999</v>
      </c>
      <c r="AE24" s="28" t="str">
        <f t="shared" si="4"/>
        <v>·</v>
      </c>
      <c r="AF24" s="29" t="str">
        <f t="shared" si="5"/>
        <v>·</v>
      </c>
      <c r="AG24" s="27" t="str">
        <f t="shared" si="6"/>
        <v>.</v>
      </c>
      <c r="AH24" s="27" t="str">
        <f t="shared" si="7"/>
        <v>.</v>
      </c>
      <c r="AI24" s="58"/>
      <c r="AJ24" s="30"/>
      <c r="AK24" s="30"/>
      <c r="AL24" s="30"/>
      <c r="AM24" s="30"/>
      <c r="AN24" s="30"/>
      <c r="AO24" s="30"/>
      <c r="AP24" s="59"/>
      <c r="AQ24" s="59"/>
      <c r="AR24" s="59"/>
      <c r="AS24" s="59"/>
      <c r="AT24" s="59"/>
      <c r="AU24" s="59"/>
      <c r="AV24" s="59"/>
      <c r="AW24" s="31"/>
      <c r="AX24" s="31"/>
      <c r="AZ24" s="32"/>
      <c r="BA24" s="32"/>
      <c r="BB24" s="32"/>
      <c r="BC24" s="32"/>
      <c r="BD24" s="32"/>
      <c r="BE24" s="32"/>
      <c r="BF24" s="32"/>
      <c r="BH24" s="32"/>
      <c r="BI24" s="32"/>
      <c r="BJ24" s="32"/>
      <c r="BK24" s="32"/>
      <c r="BL24" s="32"/>
      <c r="BM24" s="32"/>
      <c r="BN24" s="32"/>
      <c r="BP24" s="32">
        <f t="shared" si="8"/>
        <v>0</v>
      </c>
      <c r="BQ24" s="32">
        <f t="shared" si="9"/>
        <v>0</v>
      </c>
      <c r="BR24" s="32">
        <f t="shared" si="10"/>
        <v>0</v>
      </c>
      <c r="BS24" s="32">
        <f t="shared" si="11"/>
        <v>0</v>
      </c>
      <c r="BT24" s="32">
        <f t="shared" si="11"/>
        <v>0</v>
      </c>
    </row>
    <row r="25" spans="1:72" ht="15" customHeight="1" x14ac:dyDescent="0.15">
      <c r="A25" s="17" t="s">
        <v>177</v>
      </c>
      <c r="B25" s="17" t="s">
        <v>61</v>
      </c>
      <c r="C25" s="19" t="s">
        <v>362</v>
      </c>
      <c r="D25" s="17">
        <v>12000000</v>
      </c>
      <c r="E25" s="18">
        <v>12</v>
      </c>
      <c r="F25" s="19">
        <v>32</v>
      </c>
      <c r="G25" s="19">
        <v>30</v>
      </c>
      <c r="H25" s="19">
        <v>4</v>
      </c>
      <c r="J25" s="20">
        <f t="shared" si="0"/>
        <v>40.090364999999998</v>
      </c>
      <c r="K25" s="21">
        <f t="shared" si="1"/>
        <v>3.5635880000000002</v>
      </c>
      <c r="L25" s="19">
        <f t="shared" si="2"/>
        <v>42763056</v>
      </c>
      <c r="M25" s="19">
        <f t="shared" si="3"/>
        <v>11928920</v>
      </c>
      <c r="N25" s="44">
        <v>23021184</v>
      </c>
      <c r="O25" s="22">
        <v>42763056</v>
      </c>
      <c r="P25" s="22">
        <v>6389976</v>
      </c>
      <c r="Q25" s="22">
        <v>0</v>
      </c>
      <c r="R25" s="22">
        <v>5538944</v>
      </c>
      <c r="S25" s="22">
        <v>30689312</v>
      </c>
      <c r="T25" s="22">
        <v>144824</v>
      </c>
      <c r="U25" s="45">
        <v>74.122799599999993</v>
      </c>
      <c r="V25" s="45">
        <v>75.957284900000005</v>
      </c>
      <c r="W25" s="45">
        <v>31.096888400000001</v>
      </c>
      <c r="X25" s="45">
        <v>39.925121300000001</v>
      </c>
      <c r="Y25" s="45">
        <v>36.6058758</v>
      </c>
      <c r="Z25" s="45">
        <v>45.206562300000002</v>
      </c>
      <c r="AA25" s="45">
        <v>28.204622000000001</v>
      </c>
      <c r="AB25" s="23">
        <v>6662.1884250000003</v>
      </c>
      <c r="AC25" s="23">
        <v>45.178893000000002</v>
      </c>
      <c r="AE25" s="20" t="str">
        <f t="shared" si="4"/>
        <v>·</v>
      </c>
      <c r="AF25" s="21" t="str">
        <f t="shared" si="5"/>
        <v>·</v>
      </c>
      <c r="AG25" s="19" t="str">
        <f t="shared" si="6"/>
        <v>.</v>
      </c>
      <c r="AH25" s="19" t="str">
        <f t="shared" si="7"/>
        <v>.</v>
      </c>
      <c r="AI25" s="44"/>
      <c r="AJ25" s="22"/>
      <c r="AK25" s="22"/>
      <c r="AL25" s="22"/>
      <c r="AM25" s="22"/>
      <c r="AN25" s="22"/>
      <c r="AO25" s="22"/>
      <c r="AP25" s="45"/>
      <c r="AQ25" s="45"/>
      <c r="AR25" s="45"/>
      <c r="AS25" s="45"/>
      <c r="AT25" s="45"/>
      <c r="AU25" s="45"/>
      <c r="AV25" s="45"/>
      <c r="AW25" s="23"/>
      <c r="AX25" s="23"/>
      <c r="AZ25" s="24" t="str">
        <f t="array" ref="AZ25">IF( OR(AND(ISBLANK(L25:L29)),AND(ISBLANK(AG25:AG29)), AND(ISBLANK(U25:U29)),AND(ISBLANK(AP25:AP29))), "·", bdRateExtend( L25:L29,U25:U29, AG25:AG29,AP25:AP29))</f>
        <v>·</v>
      </c>
      <c r="BA25" s="24" t="str">
        <f t="array" ref="BA25">IF( OR(AND(ISBLANK(L25:L29)),AND(ISBLANK(AG25:AG29)), AND(ISBLANK(V25:V29)),AND(ISBLANK(AQ25:AQ29))), "·", bdRateExtend( L25:L29,V25:V29, AG25:AG29,AQ25:AQ29))</f>
        <v>·</v>
      </c>
      <c r="BB25" s="24" t="str" cm="1">
        <f t="array" ref="BB25">IF( OR(AND(ISBLANK(L25:L29)),AND(ISBLANK(AG25:AG29)), AND(ISBLANK(W25:W29)),AND(ISBLANK(AR25:AR29))), "·", bdRateExtend( L25:L29,W25:W29, AG25:AG29,AR25:AR29))</f>
        <v>·</v>
      </c>
      <c r="BC25" s="24" t="str" cm="1">
        <f t="array" ref="BC25">IF( OR(AND(ISBLANK(L25:L29)),AND(ISBLANK(AG25:AG29)), AND(ISBLANK(X25:X29)),AND(ISBLANK(AS25:AS29))), "·", bdRateExtend( L25:L29,X25:X29, AG25:AG29,AS25:AS29))</f>
        <v>·</v>
      </c>
      <c r="BD25" s="24" t="str" cm="1">
        <f t="array" ref="BD25">IF( OR(AND(ISBLANK(L25:L29)),AND(ISBLANK(AG25:AG29)), AND(ISBLANK(Y25:Y29)),AND(ISBLANK(AT25:AT29))), "·", bdRateExtend( L25:L29,Y25:Y29, AG25:AG29,AT25:AT29))</f>
        <v>·</v>
      </c>
      <c r="BE25" s="24" t="str" cm="1">
        <f t="array" ref="BE25">IF( OR(AND(ISBLANK(L25:L29)),AND(ISBLANK(AG25:AG29)), AND(ISBLANK(Z25:Z29)),AND(ISBLANK(AU25:AU29))), "·", bdRateExtend( L25:L29,Z25:Z29, AG25:AG29,AU25:AU29))</f>
        <v>·</v>
      </c>
      <c r="BF25" s="24" t="str" cm="1">
        <f t="array" ref="BF25">IF( OR(AND(ISBLANK(L25:L29)),AND(ISBLANK(AG25:AG29)), AND(ISBLANK(AA25:AA29)),AND(ISBLANK(AV25:AV29))), "·", bdRateExtend( L25:L29,AA25:AA29, AG25:AG29,AV25:AV29))</f>
        <v>·</v>
      </c>
      <c r="BH25" s="24" t="str" cm="1">
        <f t="array" ref="BH25">IF( OR(AND(ISBLANK(M25:M29)),AND(ISBLANK(AH25:AH29)), AND(ISBLANK(U25:U29)),AND(ISBLANK(AP25:AP29))), "·", bdRateExtend( M25:M29,U25:U29, AH25:AH29,AP25:AP29))</f>
        <v>·</v>
      </c>
      <c r="BI25" s="24" t="str" cm="1">
        <f t="array" ref="BI25">IF( OR(AND(ISBLANK(M25:M29)),AND(ISBLANK(AH25:AH29)), AND(ISBLANK(V25:V29)),AND(ISBLANK(AQ25:AQ29))), "·", bdRateExtend( M25:M29,V25:V29, AH25:AH29,AQ25:AQ29))</f>
        <v>·</v>
      </c>
      <c r="BJ25" s="24" t="str" cm="1">
        <f t="array" ref="BJ25">IF( OR(AND(ISBLANK(S25:S29)),AND(ISBLANK(AN25:AN29)), AND(ISBLANK(W25:W29)),AND(ISBLANK(AR25:AR29))), "·", bdRateExtend( S25:S29,W25:W29, AN25:AN29,AR25:AR29))</f>
        <v>·</v>
      </c>
      <c r="BK25" s="24" t="str" cm="1">
        <f t="array" ref="BK25">IF( OR(AND(ISBLANK(S25:S29)),AND(ISBLANK(AN25:AN29)), AND(ISBLANK(X25:X29)),AND(ISBLANK(AS25:AS29))), "·", bdRateExtend( S25:S29,X25:X29, AN25:AN29,AS25:AS29))</f>
        <v>·</v>
      </c>
      <c r="BL25" s="24" t="str" cm="1">
        <f t="array" ref="BL25">IF( OR(AND(ISBLANK(S25:S29)),AND(ISBLANK(AN25:AN29)), AND(ISBLANK(Y25:Y29)),AND(ISBLANK(AT25:AT29))), "·", bdRateExtend( S25:S29,Y25:Y29, AN25:AN29,AT25:AT29))</f>
        <v>·</v>
      </c>
      <c r="BM25" s="24" t="str" cm="1">
        <f t="array" ref="BM25">IF( OR(AND(ISBLANK(M25:M29)),AND(ISBLANK(AH25:AH29)), AND(ISBLANK(Z25:Z29)),AND(ISBLANK(AU25:AU29))), "·", bdRateExtend( M25:M29,Z25:Z29, AH25:AH29,AU25:AU29))</f>
        <v>·</v>
      </c>
      <c r="BN25" s="24" t="str" cm="1">
        <f t="array" ref="BN25">IF( OR(AND(ISBLANK(S25:S29)),AND(ISBLANK(AN25:AN29)), AND(ISBLANK(AA25:AA29)),AND(ISBLANK(AV25:AV29))), "·", bdRateExtend( S25:S29,AA25:AA29, AN25:AN29,AV25:AV29))</f>
        <v>·</v>
      </c>
      <c r="BP25" s="24">
        <f t="shared" si="8"/>
        <v>0</v>
      </c>
      <c r="BQ25" s="24">
        <f t="shared" si="9"/>
        <v>0</v>
      </c>
      <c r="BR25" s="24">
        <f t="shared" si="10"/>
        <v>0</v>
      </c>
      <c r="BS25" s="24">
        <f t="shared" si="11"/>
        <v>0</v>
      </c>
      <c r="BT25" s="24">
        <f t="shared" si="11"/>
        <v>0</v>
      </c>
    </row>
    <row r="26" spans="1:72" ht="15" customHeight="1" outlineLevel="1" x14ac:dyDescent="0.15">
      <c r="A26" s="33"/>
      <c r="B26" s="33" t="s">
        <v>61</v>
      </c>
      <c r="C26" s="35" t="s">
        <v>363</v>
      </c>
      <c r="D26" s="33">
        <v>12000000</v>
      </c>
      <c r="E26" s="34">
        <v>12</v>
      </c>
      <c r="F26" s="35">
        <v>32</v>
      </c>
      <c r="G26" s="35">
        <v>30</v>
      </c>
      <c r="H26" s="35">
        <v>8</v>
      </c>
      <c r="J26" s="36">
        <f t="shared" si="0"/>
        <v>78.817882499999996</v>
      </c>
      <c r="K26" s="37">
        <f t="shared" si="1"/>
        <v>7.0060339999999997</v>
      </c>
      <c r="L26" s="35">
        <f t="shared" si="2"/>
        <v>84072408</v>
      </c>
      <c r="M26" s="35">
        <f t="shared" si="3"/>
        <v>19590368</v>
      </c>
      <c r="N26" s="46">
        <v>46064000</v>
      </c>
      <c r="O26" s="38">
        <v>84072408</v>
      </c>
      <c r="P26" s="38">
        <v>10702824</v>
      </c>
      <c r="Q26" s="38">
        <v>0</v>
      </c>
      <c r="R26" s="38">
        <v>8887544</v>
      </c>
      <c r="S26" s="38">
        <v>64335096</v>
      </c>
      <c r="T26" s="38">
        <v>146944</v>
      </c>
      <c r="U26" s="47">
        <v>77.311357700000002</v>
      </c>
      <c r="V26" s="47">
        <v>79.780349700000002</v>
      </c>
      <c r="W26" s="47">
        <v>33.485475700000002</v>
      </c>
      <c r="X26" s="47">
        <v>41.833840600000002</v>
      </c>
      <c r="Y26" s="47">
        <v>39.452764500000001</v>
      </c>
      <c r="Z26" s="47">
        <v>46.832385600000002</v>
      </c>
      <c r="AA26" s="47">
        <v>31.016321399999999</v>
      </c>
      <c r="AB26" s="39">
        <v>24377.322706999999</v>
      </c>
      <c r="AC26" s="39">
        <v>158.77531200000001</v>
      </c>
      <c r="AE26" s="36" t="str">
        <f t="shared" si="4"/>
        <v>·</v>
      </c>
      <c r="AF26" s="37" t="str">
        <f t="shared" si="5"/>
        <v>·</v>
      </c>
      <c r="AG26" s="35" t="str">
        <f t="shared" si="6"/>
        <v>.</v>
      </c>
      <c r="AH26" s="35" t="str">
        <f t="shared" si="7"/>
        <v>.</v>
      </c>
      <c r="AI26" s="46"/>
      <c r="AJ26" s="38"/>
      <c r="AK26" s="38"/>
      <c r="AL26" s="38"/>
      <c r="AM26" s="38"/>
      <c r="AN26" s="38"/>
      <c r="AO26" s="38"/>
      <c r="AP26" s="47"/>
      <c r="AQ26" s="47"/>
      <c r="AR26" s="47"/>
      <c r="AS26" s="47"/>
      <c r="AT26" s="47"/>
      <c r="AU26" s="47"/>
      <c r="AV26" s="47"/>
      <c r="AW26" s="39"/>
      <c r="AX26" s="39"/>
      <c r="AZ26" s="40"/>
      <c r="BA26" s="40"/>
      <c r="BB26" s="40"/>
      <c r="BC26" s="40"/>
      <c r="BD26" s="40"/>
      <c r="BE26" s="40"/>
      <c r="BF26" s="40"/>
      <c r="BH26" s="40"/>
      <c r="BI26" s="40"/>
      <c r="BJ26" s="40"/>
      <c r="BK26" s="40"/>
      <c r="BL26" s="40"/>
      <c r="BM26" s="40"/>
      <c r="BN26" s="40"/>
      <c r="BP26" s="40">
        <f t="shared" si="8"/>
        <v>0</v>
      </c>
      <c r="BQ26" s="40">
        <f t="shared" si="9"/>
        <v>0</v>
      </c>
      <c r="BR26" s="40">
        <f t="shared" si="10"/>
        <v>0</v>
      </c>
      <c r="BS26" s="40">
        <f t="shared" si="11"/>
        <v>0</v>
      </c>
      <c r="BT26" s="40">
        <f t="shared" si="11"/>
        <v>0</v>
      </c>
    </row>
    <row r="27" spans="1:72" ht="15" customHeight="1" outlineLevel="1" x14ac:dyDescent="0.15">
      <c r="A27" s="17"/>
      <c r="B27" s="17" t="s">
        <v>61</v>
      </c>
      <c r="C27" s="19" t="s">
        <v>364</v>
      </c>
      <c r="D27" s="17">
        <v>12000000</v>
      </c>
      <c r="E27" s="18">
        <v>12</v>
      </c>
      <c r="F27" s="19">
        <v>32</v>
      </c>
      <c r="G27" s="19">
        <v>30</v>
      </c>
      <c r="H27" s="19">
        <v>12</v>
      </c>
      <c r="J27" s="20">
        <f t="shared" si="0"/>
        <v>114.07149750000001</v>
      </c>
      <c r="K27" s="21">
        <f t="shared" si="1"/>
        <v>10.139688666666666</v>
      </c>
      <c r="L27" s="19">
        <f t="shared" si="2"/>
        <v>121676264</v>
      </c>
      <c r="M27" s="19">
        <f t="shared" si="3"/>
        <v>27245896</v>
      </c>
      <c r="N27" s="44">
        <v>92146368</v>
      </c>
      <c r="O27" s="22">
        <v>121676264</v>
      </c>
      <c r="P27" s="22">
        <v>20250792</v>
      </c>
      <c r="Q27" s="22">
        <v>0</v>
      </c>
      <c r="R27" s="22">
        <v>6995104</v>
      </c>
      <c r="S27" s="22">
        <v>94280856</v>
      </c>
      <c r="T27" s="22">
        <v>149512</v>
      </c>
      <c r="U27" s="45">
        <v>78.736576799999995</v>
      </c>
      <c r="V27" s="45">
        <v>81.564217200000002</v>
      </c>
      <c r="W27" s="45">
        <v>34.504025200000001</v>
      </c>
      <c r="X27" s="45">
        <v>43.188127399999999</v>
      </c>
      <c r="Y27" s="45">
        <v>41.248117899999997</v>
      </c>
      <c r="Z27" s="45">
        <v>48.059910500000001</v>
      </c>
      <c r="AA27" s="45">
        <v>32.141568900000003</v>
      </c>
      <c r="AB27" s="23">
        <v>83973.234666000004</v>
      </c>
      <c r="AC27" s="23">
        <v>517.56309999999996</v>
      </c>
      <c r="AE27" s="20" t="str">
        <f t="shared" si="4"/>
        <v>·</v>
      </c>
      <c r="AF27" s="21" t="str">
        <f t="shared" si="5"/>
        <v>·</v>
      </c>
      <c r="AG27" s="19" t="str">
        <f t="shared" si="6"/>
        <v>.</v>
      </c>
      <c r="AH27" s="19" t="str">
        <f t="shared" si="7"/>
        <v>.</v>
      </c>
      <c r="AI27" s="44"/>
      <c r="AJ27" s="22"/>
      <c r="AK27" s="22"/>
      <c r="AL27" s="22"/>
      <c r="AM27" s="22"/>
      <c r="AN27" s="22"/>
      <c r="AO27" s="22"/>
      <c r="AP27" s="45"/>
      <c r="AQ27" s="45"/>
      <c r="AR27" s="45"/>
      <c r="AS27" s="45"/>
      <c r="AT27" s="45"/>
      <c r="AU27" s="45"/>
      <c r="AV27" s="45"/>
      <c r="AW27" s="23"/>
      <c r="AX27" s="23"/>
      <c r="AZ27" s="24"/>
      <c r="BA27" s="24"/>
      <c r="BB27" s="24"/>
      <c r="BC27" s="24"/>
      <c r="BD27" s="24"/>
      <c r="BE27" s="24"/>
      <c r="BF27" s="24"/>
      <c r="BH27" s="24"/>
      <c r="BI27" s="24"/>
      <c r="BJ27" s="24"/>
      <c r="BK27" s="24"/>
      <c r="BL27" s="24"/>
      <c r="BM27" s="24"/>
      <c r="BN27" s="24"/>
      <c r="BP27" s="24">
        <f t="shared" si="8"/>
        <v>0</v>
      </c>
      <c r="BQ27" s="24">
        <f t="shared" si="9"/>
        <v>0</v>
      </c>
      <c r="BR27" s="24">
        <f t="shared" si="10"/>
        <v>0</v>
      </c>
      <c r="BS27" s="24">
        <f t="shared" si="11"/>
        <v>0</v>
      </c>
      <c r="BT27" s="24">
        <f t="shared" si="11"/>
        <v>0</v>
      </c>
    </row>
    <row r="28" spans="1:72" ht="15" customHeight="1" outlineLevel="1" x14ac:dyDescent="0.15">
      <c r="A28" s="33"/>
      <c r="B28" s="33" t="s">
        <v>61</v>
      </c>
      <c r="C28" s="35" t="s">
        <v>365</v>
      </c>
      <c r="D28" s="33">
        <v>12000000</v>
      </c>
      <c r="E28" s="34">
        <v>12</v>
      </c>
      <c r="F28" s="35">
        <v>32</v>
      </c>
      <c r="G28" s="35">
        <v>30</v>
      </c>
      <c r="H28" s="35">
        <v>17</v>
      </c>
      <c r="J28" s="36">
        <f t="shared" si="0"/>
        <v>162.29294250000001</v>
      </c>
      <c r="K28" s="37">
        <f t="shared" si="1"/>
        <v>14.426039333333334</v>
      </c>
      <c r="L28" s="35">
        <f t="shared" si="2"/>
        <v>173112472</v>
      </c>
      <c r="M28" s="35">
        <f t="shared" si="3"/>
        <v>45774808</v>
      </c>
      <c r="N28" s="46">
        <v>184310144</v>
      </c>
      <c r="O28" s="38">
        <v>173112472</v>
      </c>
      <c r="P28" s="38">
        <v>39549600</v>
      </c>
      <c r="Q28" s="38">
        <v>0</v>
      </c>
      <c r="R28" s="38">
        <v>6225208</v>
      </c>
      <c r="S28" s="38">
        <v>127189328</v>
      </c>
      <c r="T28" s="38">
        <v>148336</v>
      </c>
      <c r="U28" s="47">
        <v>80.586494200000004</v>
      </c>
      <c r="V28" s="47">
        <v>84.196049799999997</v>
      </c>
      <c r="W28" s="47">
        <v>35.323440699999999</v>
      </c>
      <c r="X28" s="47">
        <v>43.543832199999997</v>
      </c>
      <c r="Y28" s="47">
        <v>41.7405714</v>
      </c>
      <c r="Z28" s="47">
        <v>49.7710589</v>
      </c>
      <c r="AA28" s="47">
        <v>33.456446999999997</v>
      </c>
      <c r="AB28" s="39">
        <v>85558.751816000004</v>
      </c>
      <c r="AC28" s="39">
        <v>566.05280500000003</v>
      </c>
      <c r="AE28" s="36" t="str">
        <f t="shared" si="4"/>
        <v>·</v>
      </c>
      <c r="AF28" s="37" t="str">
        <f t="shared" si="5"/>
        <v>·</v>
      </c>
      <c r="AG28" s="35" t="str">
        <f t="shared" si="6"/>
        <v>.</v>
      </c>
      <c r="AH28" s="35" t="str">
        <f t="shared" si="7"/>
        <v>.</v>
      </c>
      <c r="AI28" s="46"/>
      <c r="AJ28" s="38"/>
      <c r="AK28" s="38"/>
      <c r="AL28" s="38"/>
      <c r="AM28" s="38"/>
      <c r="AN28" s="38"/>
      <c r="AO28" s="38"/>
      <c r="AP28" s="47"/>
      <c r="AQ28" s="47"/>
      <c r="AR28" s="47"/>
      <c r="AS28" s="47"/>
      <c r="AT28" s="47"/>
      <c r="AU28" s="47"/>
      <c r="AV28" s="47"/>
      <c r="AW28" s="39"/>
      <c r="AX28" s="39"/>
      <c r="AZ28" s="40"/>
      <c r="BA28" s="40"/>
      <c r="BB28" s="40"/>
      <c r="BC28" s="40"/>
      <c r="BD28" s="40"/>
      <c r="BE28" s="40"/>
      <c r="BF28" s="40"/>
      <c r="BH28" s="40"/>
      <c r="BI28" s="40"/>
      <c r="BJ28" s="40"/>
      <c r="BK28" s="40"/>
      <c r="BL28" s="40"/>
      <c r="BM28" s="40"/>
      <c r="BN28" s="40"/>
      <c r="BP28" s="40">
        <f t="shared" si="8"/>
        <v>0</v>
      </c>
      <c r="BQ28" s="40">
        <f t="shared" si="9"/>
        <v>0</v>
      </c>
      <c r="BR28" s="40">
        <f t="shared" si="10"/>
        <v>0</v>
      </c>
      <c r="BS28" s="40">
        <f t="shared" si="11"/>
        <v>0</v>
      </c>
      <c r="BT28" s="40">
        <f t="shared" si="11"/>
        <v>0</v>
      </c>
    </row>
    <row r="29" spans="1:72" ht="15.75" customHeight="1" outlineLevel="1" thickBot="1" x14ac:dyDescent="0.2">
      <c r="A29" s="17"/>
      <c r="B29" s="48" t="s">
        <v>61</v>
      </c>
      <c r="C29" s="49" t="s">
        <v>366</v>
      </c>
      <c r="D29" s="48">
        <v>12000000</v>
      </c>
      <c r="E29" s="50">
        <v>12</v>
      </c>
      <c r="F29" s="49">
        <v>32</v>
      </c>
      <c r="G29" s="49">
        <v>30</v>
      </c>
      <c r="H29" s="49">
        <v>25</v>
      </c>
      <c r="J29" s="51">
        <f t="shared" si="0"/>
        <v>239.28707249999999</v>
      </c>
      <c r="K29" s="52">
        <f t="shared" si="1"/>
        <v>21.269962</v>
      </c>
      <c r="L29" s="49">
        <f t="shared" si="2"/>
        <v>255239544</v>
      </c>
      <c r="M29" s="49">
        <f t="shared" si="3"/>
        <v>93713544</v>
      </c>
      <c r="N29" s="53">
        <v>138237904</v>
      </c>
      <c r="O29" s="54">
        <v>255239544</v>
      </c>
      <c r="P29" s="54">
        <v>85587648</v>
      </c>
      <c r="Q29" s="54">
        <v>0</v>
      </c>
      <c r="R29" s="54">
        <v>8125896</v>
      </c>
      <c r="S29" s="54">
        <v>161405072</v>
      </c>
      <c r="T29" s="54">
        <v>120928</v>
      </c>
      <c r="U29" s="55">
        <v>85.170920100000004</v>
      </c>
      <c r="V29" s="55">
        <v>90.953872899999993</v>
      </c>
      <c r="W29" s="55">
        <v>36.060953099999999</v>
      </c>
      <c r="X29" s="55">
        <v>43.882459500000003</v>
      </c>
      <c r="Y29" s="55">
        <v>42.222736599999998</v>
      </c>
      <c r="Z29" s="55">
        <v>53.398344299999998</v>
      </c>
      <c r="AA29" s="55">
        <v>35.278660899999998</v>
      </c>
      <c r="AB29" s="56">
        <v>86065.424818</v>
      </c>
      <c r="AC29" s="56">
        <v>526.28670099999999</v>
      </c>
      <c r="AE29" s="51" t="str">
        <f t="shared" si="4"/>
        <v>·</v>
      </c>
      <c r="AF29" s="52" t="str">
        <f t="shared" si="5"/>
        <v>·</v>
      </c>
      <c r="AG29" s="49" t="str">
        <f t="shared" si="6"/>
        <v>.</v>
      </c>
      <c r="AH29" s="49" t="str">
        <f t="shared" si="7"/>
        <v>.</v>
      </c>
      <c r="AI29" s="53"/>
      <c r="AJ29" s="54"/>
      <c r="AK29" s="54"/>
      <c r="AL29" s="54"/>
      <c r="AM29" s="54"/>
      <c r="AN29" s="54"/>
      <c r="AO29" s="54"/>
      <c r="AP29" s="55"/>
      <c r="AQ29" s="55"/>
      <c r="AR29" s="55"/>
      <c r="AS29" s="55"/>
      <c r="AT29" s="55"/>
      <c r="AU29" s="55"/>
      <c r="AV29" s="55"/>
      <c r="AW29" s="56"/>
      <c r="AX29" s="56"/>
      <c r="AZ29" s="57"/>
      <c r="BA29" s="57"/>
      <c r="BB29" s="57"/>
      <c r="BC29" s="57"/>
      <c r="BD29" s="57"/>
      <c r="BE29" s="57"/>
      <c r="BF29" s="57"/>
      <c r="BH29" s="57"/>
      <c r="BI29" s="57"/>
      <c r="BJ29" s="57"/>
      <c r="BK29" s="57"/>
      <c r="BL29" s="57"/>
      <c r="BM29" s="57"/>
      <c r="BN29" s="57"/>
      <c r="BP29" s="57">
        <f t="shared" si="8"/>
        <v>0</v>
      </c>
      <c r="BQ29" s="57">
        <f t="shared" si="9"/>
        <v>0</v>
      </c>
      <c r="BR29" s="57">
        <f t="shared" si="10"/>
        <v>0</v>
      </c>
      <c r="BS29" s="57">
        <f t="shared" si="11"/>
        <v>0</v>
      </c>
      <c r="BT29" s="57">
        <f t="shared" si="11"/>
        <v>0</v>
      </c>
    </row>
    <row r="30" spans="1:72" ht="15" customHeight="1" x14ac:dyDescent="0.15">
      <c r="A30" s="33"/>
      <c r="B30" s="33" t="s">
        <v>66</v>
      </c>
      <c r="C30" s="35" t="s">
        <v>362</v>
      </c>
      <c r="D30" s="33">
        <v>5997654</v>
      </c>
      <c r="E30" s="34">
        <v>12</v>
      </c>
      <c r="F30" s="35">
        <v>32</v>
      </c>
      <c r="G30" s="35">
        <v>30</v>
      </c>
      <c r="H30" s="35">
        <v>4</v>
      </c>
      <c r="J30" s="36">
        <f t="shared" si="0"/>
        <v>19.142489999999999</v>
      </c>
      <c r="K30" s="37">
        <f t="shared" si="1"/>
        <v>3.4044404695569299</v>
      </c>
      <c r="L30" s="35">
        <f t="shared" si="2"/>
        <v>20418656</v>
      </c>
      <c r="M30" s="35">
        <f t="shared" si="3"/>
        <v>5486656</v>
      </c>
      <c r="N30" s="46">
        <v>11249408</v>
      </c>
      <c r="O30" s="38">
        <v>20418656</v>
      </c>
      <c r="P30" s="38">
        <v>2288256</v>
      </c>
      <c r="Q30" s="38">
        <v>245048</v>
      </c>
      <c r="R30" s="38">
        <v>2953352</v>
      </c>
      <c r="S30" s="38">
        <v>14857848</v>
      </c>
      <c r="T30" s="38">
        <v>74152</v>
      </c>
      <c r="U30" s="47">
        <v>72.8415021</v>
      </c>
      <c r="V30" s="47">
        <v>74.402173199999993</v>
      </c>
      <c r="W30" s="47">
        <v>38.143368600000002</v>
      </c>
      <c r="X30" s="47">
        <v>44.353807199999999</v>
      </c>
      <c r="Y30" s="47">
        <v>42.9820657</v>
      </c>
      <c r="Z30" s="47">
        <v>47.829445499999999</v>
      </c>
      <c r="AA30" s="47">
        <v>34.404497800000001</v>
      </c>
      <c r="AB30" s="39">
        <v>9900.4192039999998</v>
      </c>
      <c r="AC30" s="39">
        <v>71.105626999999998</v>
      </c>
      <c r="AE30" s="36" t="str">
        <f t="shared" si="4"/>
        <v>·</v>
      </c>
      <c r="AF30" s="37" t="str">
        <f t="shared" si="5"/>
        <v>·</v>
      </c>
      <c r="AG30" s="35" t="str">
        <f t="shared" si="6"/>
        <v>.</v>
      </c>
      <c r="AH30" s="35" t="str">
        <f t="shared" si="7"/>
        <v>.</v>
      </c>
      <c r="AI30" s="46"/>
      <c r="AJ30" s="38"/>
      <c r="AK30" s="38"/>
      <c r="AL30" s="38"/>
      <c r="AM30" s="38"/>
      <c r="AN30" s="38"/>
      <c r="AO30" s="38"/>
      <c r="AP30" s="47"/>
      <c r="AQ30" s="47"/>
      <c r="AR30" s="47"/>
      <c r="AS30" s="47"/>
      <c r="AT30" s="47"/>
      <c r="AU30" s="47"/>
      <c r="AV30" s="47"/>
      <c r="AW30" s="39"/>
      <c r="AX30" s="39"/>
      <c r="AZ30" s="40" t="str">
        <f t="array" ref="AZ30">IF( OR(AND(ISBLANK(L30:L34)),AND(ISBLANK(AG30:AG34)), AND(ISBLANK(U30:U34)),AND(ISBLANK(AP30:AP34))), "·", bdRateExtend( L30:L34,U30:U34, AG30:AG34,AP30:AP34))</f>
        <v>·</v>
      </c>
      <c r="BA30" s="40" t="str">
        <f t="array" ref="BA30">IF( OR(AND(ISBLANK(L30:L34)),AND(ISBLANK(AG30:AG34)), AND(ISBLANK(V30:V34)),AND(ISBLANK(AQ30:AQ34))), "·", bdRateExtend( L30:L34,V30:V34, AG30:AG34,AQ30:AQ34))</f>
        <v>·</v>
      </c>
      <c r="BB30" s="40" t="str" cm="1">
        <f t="array" ref="BB30">IF( OR(AND(ISBLANK(L30:L34)),AND(ISBLANK(AG30:AG34)), AND(ISBLANK(W30:W34)),AND(ISBLANK(AR30:AR34))), "·", bdRateExtend( L30:L34,W30:W34, AG30:AG34,AR30:AR34))</f>
        <v>·</v>
      </c>
      <c r="BC30" s="40" t="str" cm="1">
        <f t="array" ref="BC30">IF( OR(AND(ISBLANK(L30:L34)),AND(ISBLANK(AG30:AG34)), AND(ISBLANK(X30:X34)),AND(ISBLANK(AS30:AS34))), "·", bdRateExtend( L30:L34,X30:X34, AG30:AG34,AS30:AS34))</f>
        <v>·</v>
      </c>
      <c r="BD30" s="40" t="str" cm="1">
        <f t="array" ref="BD30">IF( OR(AND(ISBLANK(L30:L34)),AND(ISBLANK(AG30:AG34)), AND(ISBLANK(Y30:Y34)),AND(ISBLANK(AT30:AT34))), "·", bdRateExtend( L30:L34,Y30:Y34, AG30:AG34,AT30:AT34))</f>
        <v>·</v>
      </c>
      <c r="BE30" s="40" t="str" cm="1">
        <f t="array" ref="BE30">IF( OR(AND(ISBLANK(L30:L34)),AND(ISBLANK(AG30:AG34)), AND(ISBLANK(Z30:Z34)),AND(ISBLANK(AU30:AU34))), "·", bdRateExtend( L30:L34,Z30:Z34, AG30:AG34,AU30:AU34))</f>
        <v>·</v>
      </c>
      <c r="BF30" s="40" t="str" cm="1">
        <f t="array" ref="BF30">IF( OR(AND(ISBLANK(L30:L34)),AND(ISBLANK(AG30:AG34)), AND(ISBLANK(AA30:AA34)),AND(ISBLANK(AV30:AV34))), "·", bdRateExtend( L30:L34,AA30:AA34, AG30:AG34,AV30:AV34))</f>
        <v>·</v>
      </c>
      <c r="BH30" s="40" t="str" cm="1">
        <f t="array" ref="BH30">IF( OR(AND(ISBLANK(M30:M34)),AND(ISBLANK(AH30:AH34)), AND(ISBLANK(U30:U34)),AND(ISBLANK(AP30:AP34))), "·", bdRateExtend( M30:M34,U30:U34, AH30:AH34,AP30:AP34))</f>
        <v>·</v>
      </c>
      <c r="BI30" s="40" t="str" cm="1">
        <f t="array" ref="BI30">IF( OR(AND(ISBLANK(M30:M34)),AND(ISBLANK(AH30:AH34)), AND(ISBLANK(V30:V34)),AND(ISBLANK(AQ30:AQ34))), "·", bdRateExtend( M30:M34,V30:V34, AH30:AH34,AQ30:AQ34))</f>
        <v>·</v>
      </c>
      <c r="BJ30" s="40" t="str" cm="1">
        <f t="array" ref="BJ30">IF( OR(AND(ISBLANK(S30:S34)),AND(ISBLANK(AN30:AN34)), AND(ISBLANK(W30:W34)),AND(ISBLANK(AR30:AR34))), "·", bdRateExtend( S30:S34,W30:W34, AN30:AN34,AR30:AR34))</f>
        <v>·</v>
      </c>
      <c r="BK30" s="40" t="str" cm="1">
        <f t="array" ref="BK30">IF( OR(AND(ISBLANK(S30:S34)),AND(ISBLANK(AN30:AN34)), AND(ISBLANK(X30:X34)),AND(ISBLANK(AS30:AS34))), "·", bdRateExtend( S30:S34,X30:X34, AN30:AN34,AS30:AS34))</f>
        <v>·</v>
      </c>
      <c r="BL30" s="40" t="str" cm="1">
        <f t="array" ref="BL30">IF( OR(AND(ISBLANK(S30:S34)),AND(ISBLANK(AN30:AN34)), AND(ISBLANK(Y30:Y34)),AND(ISBLANK(AT30:AT34))), "·", bdRateExtend( S30:S34,Y30:Y34, AN30:AN34,AT30:AT34))</f>
        <v>·</v>
      </c>
      <c r="BM30" s="40" t="str" cm="1">
        <f t="array" ref="BM30">IF( OR(AND(ISBLANK(M30:M34)),AND(ISBLANK(AH30:AH34)), AND(ISBLANK(Z30:Z34)),AND(ISBLANK(AU30:AU34))), "·", bdRateExtend( M30:M34,Z30:Z34, AH30:AH34,AU30:AU34))</f>
        <v>·</v>
      </c>
      <c r="BN30" s="40" t="str" cm="1">
        <f t="array" ref="BN30">IF( OR(AND(ISBLANK(S30:S34)),AND(ISBLANK(AN30:AN34)), AND(ISBLANK(AA30:AA34)),AND(ISBLANK(AV30:AV34))), "·", bdRateExtend( S30:S34,AA30:AA34, AN30:AN34,AV30:AV34))</f>
        <v>·</v>
      </c>
      <c r="BP30" s="40">
        <f t="shared" si="8"/>
        <v>0</v>
      </c>
      <c r="BQ30" s="40">
        <f t="shared" si="9"/>
        <v>0</v>
      </c>
      <c r="BR30" s="40">
        <f t="shared" si="10"/>
        <v>0</v>
      </c>
      <c r="BS30" s="40">
        <f t="shared" si="11"/>
        <v>0</v>
      </c>
      <c r="BT30" s="40">
        <f t="shared" si="11"/>
        <v>0</v>
      </c>
    </row>
    <row r="31" spans="1:72" ht="15" customHeight="1" outlineLevel="1" x14ac:dyDescent="0.15">
      <c r="A31" s="17"/>
      <c r="B31" s="17" t="s">
        <v>66</v>
      </c>
      <c r="C31" s="19" t="s">
        <v>363</v>
      </c>
      <c r="D31" s="17">
        <v>5997654</v>
      </c>
      <c r="E31" s="18">
        <v>12</v>
      </c>
      <c r="F31" s="19">
        <v>32</v>
      </c>
      <c r="G31" s="19">
        <v>30</v>
      </c>
      <c r="H31" s="19">
        <v>8</v>
      </c>
      <c r="J31" s="20">
        <f t="shared" si="0"/>
        <v>38.296439999999997</v>
      </c>
      <c r="K31" s="21">
        <f t="shared" si="1"/>
        <v>6.8109190693561183</v>
      </c>
      <c r="L31" s="19">
        <f t="shared" si="2"/>
        <v>40849536</v>
      </c>
      <c r="M31" s="19">
        <f t="shared" si="3"/>
        <v>8872080</v>
      </c>
      <c r="N31" s="44">
        <v>5692320</v>
      </c>
      <c r="O31" s="22">
        <v>40849536</v>
      </c>
      <c r="P31" s="22">
        <v>3980016</v>
      </c>
      <c r="Q31" s="22">
        <v>340560</v>
      </c>
      <c r="R31" s="22">
        <v>4551504</v>
      </c>
      <c r="S31" s="22">
        <v>31915768</v>
      </c>
      <c r="T31" s="22">
        <v>61688</v>
      </c>
      <c r="U31" s="45">
        <v>76.143755900000002</v>
      </c>
      <c r="V31" s="45">
        <v>78.277960399999998</v>
      </c>
      <c r="W31" s="45">
        <v>40.471311399999998</v>
      </c>
      <c r="X31" s="45">
        <v>45.774514099999998</v>
      </c>
      <c r="Y31" s="45">
        <v>44.618486300000001</v>
      </c>
      <c r="Z31" s="45">
        <v>49.464435100000003</v>
      </c>
      <c r="AA31" s="45">
        <v>36.381559699999997</v>
      </c>
      <c r="AB31" s="23">
        <v>11182.181414000001</v>
      </c>
      <c r="AC31" s="23">
        <v>83.316608000000002</v>
      </c>
      <c r="AE31" s="20" t="str">
        <f t="shared" si="4"/>
        <v>·</v>
      </c>
      <c r="AF31" s="21" t="str">
        <f t="shared" si="5"/>
        <v>·</v>
      </c>
      <c r="AG31" s="19" t="str">
        <f t="shared" si="6"/>
        <v>.</v>
      </c>
      <c r="AH31" s="19" t="str">
        <f t="shared" si="7"/>
        <v>.</v>
      </c>
      <c r="AI31" s="44"/>
      <c r="AJ31" s="22"/>
      <c r="AK31" s="22"/>
      <c r="AL31" s="22"/>
      <c r="AM31" s="22"/>
      <c r="AN31" s="22"/>
      <c r="AO31" s="22"/>
      <c r="AP31" s="45"/>
      <c r="AQ31" s="45"/>
      <c r="AR31" s="45"/>
      <c r="AS31" s="45"/>
      <c r="AT31" s="45"/>
      <c r="AU31" s="45"/>
      <c r="AV31" s="45"/>
      <c r="AW31" s="23"/>
      <c r="AX31" s="23"/>
      <c r="AZ31" s="24"/>
      <c r="BA31" s="24"/>
      <c r="BB31" s="24"/>
      <c r="BC31" s="24"/>
      <c r="BD31" s="24"/>
      <c r="BE31" s="24"/>
      <c r="BF31" s="24"/>
      <c r="BH31" s="24"/>
      <c r="BI31" s="24"/>
      <c r="BJ31" s="24"/>
      <c r="BK31" s="24"/>
      <c r="BL31" s="24"/>
      <c r="BM31" s="24"/>
      <c r="BN31" s="24"/>
      <c r="BP31" s="24">
        <f t="shared" si="8"/>
        <v>0</v>
      </c>
      <c r="BQ31" s="24">
        <f t="shared" si="9"/>
        <v>0</v>
      </c>
      <c r="BR31" s="24">
        <f t="shared" si="10"/>
        <v>0</v>
      </c>
      <c r="BS31" s="24">
        <f t="shared" si="11"/>
        <v>0</v>
      </c>
      <c r="BT31" s="24">
        <f t="shared" si="11"/>
        <v>0</v>
      </c>
    </row>
    <row r="32" spans="1:72" ht="15" customHeight="1" outlineLevel="1" x14ac:dyDescent="0.15">
      <c r="A32" s="33"/>
      <c r="B32" s="33" t="s">
        <v>66</v>
      </c>
      <c r="C32" s="35" t="s">
        <v>364</v>
      </c>
      <c r="D32" s="33">
        <v>5997654</v>
      </c>
      <c r="E32" s="34">
        <v>12</v>
      </c>
      <c r="F32" s="35">
        <v>32</v>
      </c>
      <c r="G32" s="35">
        <v>30</v>
      </c>
      <c r="H32" s="35">
        <v>12</v>
      </c>
      <c r="J32" s="36">
        <f t="shared" si="0"/>
        <v>56.78895</v>
      </c>
      <c r="K32" s="37">
        <f t="shared" si="1"/>
        <v>10.099762340408432</v>
      </c>
      <c r="L32" s="35">
        <f t="shared" si="2"/>
        <v>60574880</v>
      </c>
      <c r="M32" s="35">
        <f t="shared" si="3"/>
        <v>16906176</v>
      </c>
      <c r="N32" s="46">
        <v>22964192</v>
      </c>
      <c r="O32" s="38">
        <v>60574880</v>
      </c>
      <c r="P32" s="38">
        <v>11564168</v>
      </c>
      <c r="Q32" s="38">
        <v>886160</v>
      </c>
      <c r="R32" s="38">
        <v>4455848</v>
      </c>
      <c r="S32" s="38">
        <v>43607800</v>
      </c>
      <c r="T32" s="38">
        <v>60904</v>
      </c>
      <c r="U32" s="47">
        <v>79.676684199999997</v>
      </c>
      <c r="V32" s="47">
        <v>82.800018699999995</v>
      </c>
      <c r="W32" s="47">
        <v>41.571694399999998</v>
      </c>
      <c r="X32" s="47">
        <v>46.542508599999998</v>
      </c>
      <c r="Y32" s="47">
        <v>45.5827314</v>
      </c>
      <c r="Z32" s="47">
        <v>52.0701088</v>
      </c>
      <c r="AA32" s="47">
        <v>38.752052900000002</v>
      </c>
      <c r="AB32" s="39">
        <v>41085.123509999998</v>
      </c>
      <c r="AC32" s="39">
        <v>278.20508999999998</v>
      </c>
      <c r="AE32" s="36" t="str">
        <f t="shared" si="4"/>
        <v>·</v>
      </c>
      <c r="AF32" s="37" t="str">
        <f t="shared" si="5"/>
        <v>·</v>
      </c>
      <c r="AG32" s="35" t="str">
        <f t="shared" si="6"/>
        <v>.</v>
      </c>
      <c r="AH32" s="35" t="str">
        <f t="shared" si="7"/>
        <v>.</v>
      </c>
      <c r="AI32" s="46"/>
      <c r="AJ32" s="38"/>
      <c r="AK32" s="38"/>
      <c r="AL32" s="38"/>
      <c r="AM32" s="38"/>
      <c r="AN32" s="38"/>
      <c r="AO32" s="38"/>
      <c r="AP32" s="47"/>
      <c r="AQ32" s="47"/>
      <c r="AR32" s="47"/>
      <c r="AS32" s="47"/>
      <c r="AT32" s="47"/>
      <c r="AU32" s="47"/>
      <c r="AV32" s="47"/>
      <c r="AW32" s="39"/>
      <c r="AX32" s="39"/>
      <c r="AZ32" s="40"/>
      <c r="BA32" s="40"/>
      <c r="BB32" s="40"/>
      <c r="BC32" s="40"/>
      <c r="BD32" s="40"/>
      <c r="BE32" s="40"/>
      <c r="BF32" s="40"/>
      <c r="BH32" s="40"/>
      <c r="BI32" s="40"/>
      <c r="BJ32" s="40"/>
      <c r="BK32" s="40"/>
      <c r="BL32" s="40"/>
      <c r="BM32" s="40"/>
      <c r="BN32" s="40"/>
      <c r="BP32" s="40">
        <f t="shared" si="8"/>
        <v>0</v>
      </c>
      <c r="BQ32" s="40">
        <f t="shared" si="9"/>
        <v>0</v>
      </c>
      <c r="BR32" s="40">
        <f t="shared" si="10"/>
        <v>0</v>
      </c>
      <c r="BS32" s="40">
        <f t="shared" si="11"/>
        <v>0</v>
      </c>
      <c r="BT32" s="40">
        <f t="shared" si="11"/>
        <v>0</v>
      </c>
    </row>
    <row r="33" spans="1:72" ht="15" customHeight="1" outlineLevel="1" x14ac:dyDescent="0.15">
      <c r="A33" s="17"/>
      <c r="B33" s="17" t="s">
        <v>66</v>
      </c>
      <c r="C33" s="19" t="s">
        <v>365</v>
      </c>
      <c r="D33" s="17">
        <v>5997654</v>
      </c>
      <c r="E33" s="18">
        <v>12</v>
      </c>
      <c r="F33" s="19">
        <v>32</v>
      </c>
      <c r="G33" s="19">
        <v>30</v>
      </c>
      <c r="H33" s="19">
        <v>17</v>
      </c>
      <c r="J33" s="20">
        <f t="shared" si="0"/>
        <v>79.216290000000001</v>
      </c>
      <c r="K33" s="21">
        <f t="shared" si="1"/>
        <v>14.088404566185378</v>
      </c>
      <c r="L33" s="19">
        <f t="shared" si="2"/>
        <v>84497376</v>
      </c>
      <c r="M33" s="19">
        <f t="shared" si="3"/>
        <v>21885888</v>
      </c>
      <c r="N33" s="44">
        <v>22964192</v>
      </c>
      <c r="O33" s="22">
        <v>84497376</v>
      </c>
      <c r="P33" s="22">
        <v>11564168</v>
      </c>
      <c r="Q33" s="22">
        <v>886160</v>
      </c>
      <c r="R33" s="22">
        <v>9435560</v>
      </c>
      <c r="S33" s="22">
        <v>62549288</v>
      </c>
      <c r="T33" s="22">
        <v>62200</v>
      </c>
      <c r="U33" s="45">
        <v>80.978952399999997</v>
      </c>
      <c r="V33" s="45">
        <v>84.954235299999993</v>
      </c>
      <c r="W33" s="45">
        <v>42.447480400000003</v>
      </c>
      <c r="X33" s="45">
        <v>47.633089200000001</v>
      </c>
      <c r="Y33" s="45">
        <v>46.790469399999999</v>
      </c>
      <c r="Z33" s="45">
        <v>52.995863100000001</v>
      </c>
      <c r="AA33" s="45">
        <v>39.8865093</v>
      </c>
      <c r="AB33" s="23">
        <v>43488.599915999999</v>
      </c>
      <c r="AC33" s="23">
        <v>276.43556899999999</v>
      </c>
      <c r="AE33" s="20" t="str">
        <f t="shared" si="4"/>
        <v>·</v>
      </c>
      <c r="AF33" s="21" t="str">
        <f t="shared" si="5"/>
        <v>·</v>
      </c>
      <c r="AG33" s="19" t="str">
        <f t="shared" si="6"/>
        <v>.</v>
      </c>
      <c r="AH33" s="19" t="str">
        <f t="shared" si="7"/>
        <v>.</v>
      </c>
      <c r="AI33" s="44"/>
      <c r="AJ33" s="22"/>
      <c r="AK33" s="22"/>
      <c r="AL33" s="22"/>
      <c r="AM33" s="22"/>
      <c r="AN33" s="22"/>
      <c r="AO33" s="22"/>
      <c r="AP33" s="45"/>
      <c r="AQ33" s="45"/>
      <c r="AR33" s="45"/>
      <c r="AS33" s="45"/>
      <c r="AT33" s="45"/>
      <c r="AU33" s="45"/>
      <c r="AV33" s="45"/>
      <c r="AW33" s="23"/>
      <c r="AX33" s="23"/>
      <c r="AZ33" s="24"/>
      <c r="BA33" s="24"/>
      <c r="BB33" s="24"/>
      <c r="BC33" s="24"/>
      <c r="BD33" s="24"/>
      <c r="BE33" s="24"/>
      <c r="BF33" s="24"/>
      <c r="BH33" s="24"/>
      <c r="BI33" s="24"/>
      <c r="BJ33" s="24"/>
      <c r="BK33" s="24"/>
      <c r="BL33" s="24"/>
      <c r="BM33" s="24"/>
      <c r="BN33" s="24"/>
      <c r="BP33" s="24">
        <f t="shared" si="8"/>
        <v>0</v>
      </c>
      <c r="BQ33" s="24">
        <f t="shared" si="9"/>
        <v>0</v>
      </c>
      <c r="BR33" s="24">
        <f t="shared" si="10"/>
        <v>0</v>
      </c>
      <c r="BS33" s="24">
        <f t="shared" si="11"/>
        <v>0</v>
      </c>
      <c r="BT33" s="24">
        <f t="shared" si="11"/>
        <v>0</v>
      </c>
    </row>
    <row r="34" spans="1:72" ht="15.75" customHeight="1" outlineLevel="1" thickBot="1" x14ac:dyDescent="0.2">
      <c r="A34" s="33"/>
      <c r="B34" s="25" t="s">
        <v>66</v>
      </c>
      <c r="C34" s="27" t="s">
        <v>366</v>
      </c>
      <c r="D34" s="25">
        <v>5997654</v>
      </c>
      <c r="E34" s="26">
        <v>12</v>
      </c>
      <c r="F34" s="27">
        <v>32</v>
      </c>
      <c r="G34" s="27">
        <v>30</v>
      </c>
      <c r="H34" s="27">
        <v>25</v>
      </c>
      <c r="J34" s="28">
        <f t="shared" si="0"/>
        <v>110.47461749999999</v>
      </c>
      <c r="K34" s="29">
        <f t="shared" si="1"/>
        <v>19.64761421715891</v>
      </c>
      <c r="L34" s="27">
        <f t="shared" si="2"/>
        <v>117839592</v>
      </c>
      <c r="M34" s="27">
        <f t="shared" si="3"/>
        <v>32629824</v>
      </c>
      <c r="N34" s="58">
        <v>57516368</v>
      </c>
      <c r="O34" s="30">
        <v>117839592</v>
      </c>
      <c r="P34" s="30">
        <v>26656232</v>
      </c>
      <c r="Q34" s="30">
        <v>4260144</v>
      </c>
      <c r="R34" s="30">
        <v>1713448</v>
      </c>
      <c r="S34" s="30">
        <v>85149688</v>
      </c>
      <c r="T34" s="30">
        <v>60080</v>
      </c>
      <c r="U34" s="59">
        <v>83.745591599999997</v>
      </c>
      <c r="V34" s="59">
        <v>88.259155399999997</v>
      </c>
      <c r="W34" s="59">
        <v>43.371594999999999</v>
      </c>
      <c r="X34" s="59">
        <v>48.332793700000003</v>
      </c>
      <c r="Y34" s="59">
        <v>47.593777099999997</v>
      </c>
      <c r="Z34" s="59">
        <v>55.621551599999997</v>
      </c>
      <c r="AA34" s="59">
        <v>41.913676199999998</v>
      </c>
      <c r="AB34" s="31">
        <v>43931.960953000002</v>
      </c>
      <c r="AC34" s="31">
        <v>280.43702999999999</v>
      </c>
      <c r="AE34" s="28" t="str">
        <f t="shared" si="4"/>
        <v>·</v>
      </c>
      <c r="AF34" s="29" t="str">
        <f t="shared" si="5"/>
        <v>·</v>
      </c>
      <c r="AG34" s="27" t="str">
        <f t="shared" si="6"/>
        <v>.</v>
      </c>
      <c r="AH34" s="27" t="str">
        <f t="shared" si="7"/>
        <v>.</v>
      </c>
      <c r="AI34" s="58"/>
      <c r="AJ34" s="30"/>
      <c r="AK34" s="30"/>
      <c r="AL34" s="30"/>
      <c r="AM34" s="30"/>
      <c r="AN34" s="30"/>
      <c r="AO34" s="30"/>
      <c r="AP34" s="59"/>
      <c r="AQ34" s="59"/>
      <c r="AR34" s="59"/>
      <c r="AS34" s="59"/>
      <c r="AT34" s="59"/>
      <c r="AU34" s="59"/>
      <c r="AV34" s="59"/>
      <c r="AW34" s="31"/>
      <c r="AX34" s="31"/>
      <c r="AZ34" s="32"/>
      <c r="BA34" s="32"/>
      <c r="BB34" s="32"/>
      <c r="BC34" s="32"/>
      <c r="BD34" s="32"/>
      <c r="BE34" s="32"/>
      <c r="BF34" s="32"/>
      <c r="BH34" s="32"/>
      <c r="BI34" s="32"/>
      <c r="BJ34" s="32"/>
      <c r="BK34" s="32"/>
      <c r="BL34" s="32"/>
      <c r="BM34" s="32"/>
      <c r="BN34" s="32"/>
      <c r="BP34" s="32">
        <f t="shared" si="8"/>
        <v>0</v>
      </c>
      <c r="BQ34" s="32">
        <f t="shared" si="9"/>
        <v>0</v>
      </c>
      <c r="BR34" s="32">
        <f t="shared" si="10"/>
        <v>0</v>
      </c>
      <c r="BS34" s="32">
        <f t="shared" si="11"/>
        <v>0</v>
      </c>
      <c r="BT34" s="32">
        <f t="shared" si="11"/>
        <v>0</v>
      </c>
    </row>
    <row r="35" spans="1:72" ht="15" customHeight="1" x14ac:dyDescent="0.15">
      <c r="A35" s="17"/>
      <c r="B35" s="17" t="s">
        <v>32</v>
      </c>
      <c r="C35" s="19" t="s">
        <v>362</v>
      </c>
      <c r="D35" s="17">
        <v>9000000</v>
      </c>
      <c r="E35" s="18">
        <v>12</v>
      </c>
      <c r="F35" s="19">
        <v>32</v>
      </c>
      <c r="G35" s="19">
        <v>30</v>
      </c>
      <c r="H35" s="19">
        <v>3</v>
      </c>
      <c r="J35" s="20">
        <f t="shared" si="0"/>
        <v>25.274519999999999</v>
      </c>
      <c r="K35" s="21">
        <f t="shared" si="1"/>
        <v>2.9954986666666668</v>
      </c>
      <c r="L35" s="19">
        <f t="shared" si="2"/>
        <v>26959488</v>
      </c>
      <c r="M35" s="19">
        <f t="shared" si="3"/>
        <v>7229672</v>
      </c>
      <c r="N35" s="44">
        <v>34433600</v>
      </c>
      <c r="O35" s="22">
        <v>26959488</v>
      </c>
      <c r="P35" s="22">
        <v>3443616</v>
      </c>
      <c r="Q35" s="22">
        <v>813856</v>
      </c>
      <c r="R35" s="22">
        <v>2972200</v>
      </c>
      <c r="S35" s="22">
        <v>19584568</v>
      </c>
      <c r="T35" s="22">
        <v>145248</v>
      </c>
      <c r="U35" s="45">
        <v>73.354264400000005</v>
      </c>
      <c r="V35" s="45">
        <v>75.055097200000006</v>
      </c>
      <c r="W35" s="45">
        <v>30.215675000000001</v>
      </c>
      <c r="X35" s="45">
        <v>38.959627599999997</v>
      </c>
      <c r="Y35" s="45">
        <v>38.994545299999999</v>
      </c>
      <c r="Z35" s="45">
        <v>48.313001399999997</v>
      </c>
      <c r="AA35" s="45">
        <v>29.328206399999999</v>
      </c>
      <c r="AB35" s="23">
        <v>61780.480540999997</v>
      </c>
      <c r="AC35" s="23">
        <v>512.00710700000002</v>
      </c>
      <c r="AE35" s="20" t="str">
        <f t="shared" si="4"/>
        <v>·</v>
      </c>
      <c r="AF35" s="21" t="str">
        <f t="shared" si="5"/>
        <v>·</v>
      </c>
      <c r="AG35" s="19" t="str">
        <f t="shared" si="6"/>
        <v>.</v>
      </c>
      <c r="AH35" s="19" t="str">
        <f t="shared" si="7"/>
        <v>.</v>
      </c>
      <c r="AI35" s="44"/>
      <c r="AJ35" s="22"/>
      <c r="AK35" s="22"/>
      <c r="AL35" s="22"/>
      <c r="AM35" s="22"/>
      <c r="AN35" s="22"/>
      <c r="AO35" s="22"/>
      <c r="AP35" s="45"/>
      <c r="AQ35" s="45"/>
      <c r="AR35" s="45"/>
      <c r="AS35" s="45"/>
      <c r="AT35" s="45"/>
      <c r="AU35" s="45"/>
      <c r="AV35" s="45"/>
      <c r="AW35" s="23"/>
      <c r="AX35" s="23"/>
      <c r="AZ35" s="24" t="str">
        <f t="array" ref="AZ35">IF( OR(AND(ISBLANK(L35:L39)),AND(ISBLANK(AG35:AG39)), AND(ISBLANK(U35:U39)),AND(ISBLANK(AP35:AP39))), "·", bdRateExtend( L35:L39,U35:U39, AG35:AG39,AP35:AP39))</f>
        <v>·</v>
      </c>
      <c r="BA35" s="24" t="str">
        <f t="array" ref="BA35">IF( OR(AND(ISBLANK(L35:L39)),AND(ISBLANK(AG35:AG39)), AND(ISBLANK(V35:V39)),AND(ISBLANK(AQ35:AQ39))), "·", bdRateExtend( L35:L39,V35:V39, AG35:AG39,AQ35:AQ39))</f>
        <v>·</v>
      </c>
      <c r="BB35" s="24" t="str" cm="1">
        <f t="array" ref="BB35">IF( OR(AND(ISBLANK(L35:L39)),AND(ISBLANK(AG35:AG39)), AND(ISBLANK(W35:W39)),AND(ISBLANK(AR35:AR39))), "·", bdRateExtend( L35:L39,W35:W39, AG35:AG39,AR35:AR39))</f>
        <v>·</v>
      </c>
      <c r="BC35" s="24" t="str" cm="1">
        <f t="array" ref="BC35">IF( OR(AND(ISBLANK(L35:L39)),AND(ISBLANK(AG35:AG39)), AND(ISBLANK(X35:X39)),AND(ISBLANK(AS35:AS39))), "·", bdRateExtend( L35:L39,X35:X39, AG35:AG39,AS35:AS39))</f>
        <v>·</v>
      </c>
      <c r="BD35" s="24" t="str" cm="1">
        <f t="array" ref="BD35">IF( OR(AND(ISBLANK(L35:L39)),AND(ISBLANK(AG35:AG39)), AND(ISBLANK(Y35:Y39)),AND(ISBLANK(AT35:AT39))), "·", bdRateExtend( L35:L39,Y35:Y39, AG35:AG39,AT35:AT39))</f>
        <v>·</v>
      </c>
      <c r="BE35" s="24" t="str" cm="1">
        <f t="array" ref="BE35">IF( OR(AND(ISBLANK(L35:L39)),AND(ISBLANK(AG35:AG39)), AND(ISBLANK(Z35:Z39)),AND(ISBLANK(AU35:AU39))), "·", bdRateExtend( L35:L39,Z35:Z39, AG35:AG39,AU35:AU39))</f>
        <v>·</v>
      </c>
      <c r="BF35" s="24" t="str" cm="1">
        <f t="array" ref="BF35">IF( OR(AND(ISBLANK(L35:L39)),AND(ISBLANK(AG35:AG39)), AND(ISBLANK(AA35:AA39)),AND(ISBLANK(AV35:AV39))), "·", bdRateExtend( L35:L39,AA35:AA39, AG35:AG39,AV35:AV39))</f>
        <v>·</v>
      </c>
      <c r="BH35" s="99" t="str" cm="1">
        <f t="array" ref="BH35">IF( OR(AND(ISBLANK(M35:M39)),AND(ISBLANK(AH35:AH39)), AND(ISBLANK(U35:U39)),AND(ISBLANK(AP35:AP39))), "·", bdRateExtend( M35:M39,U35:U39, AH35:AH39,AP35:AP39))</f>
        <v>·</v>
      </c>
      <c r="BI35" s="24" t="str" cm="1">
        <f t="array" ref="BI35">IF( OR(AND(ISBLANK(M35:M39)),AND(ISBLANK(AH35:AH39)), AND(ISBLANK(V35:V39)),AND(ISBLANK(AQ35:AQ39))), "·", bdRateExtend( M35:M39,V35:V39, AH35:AH39,AQ35:AQ39))</f>
        <v>·</v>
      </c>
      <c r="BJ35" s="24" t="str" cm="1">
        <f t="array" ref="BJ35">IF( OR(AND(ISBLANK(S35:S39)),AND(ISBLANK(AN35:AN39)), AND(ISBLANK(W35:W39)),AND(ISBLANK(AR35:AR39))), "·", bdRateExtend( S35:S39,W35:W39, AN35:AN39,AR35:AR39))</f>
        <v>·</v>
      </c>
      <c r="BK35" s="24" t="str" cm="1">
        <f t="array" ref="BK35">IF( OR(AND(ISBLANK(S35:S39)),AND(ISBLANK(AN35:AN39)), AND(ISBLANK(X35:X39)),AND(ISBLANK(AS35:AS39))), "·", bdRateExtend( S35:S39,X35:X39, AN35:AN39,AS35:AS39))</f>
        <v>·</v>
      </c>
      <c r="BL35" s="24" t="str" cm="1">
        <f t="array" ref="BL35">IF( OR(AND(ISBLANK(S35:S39)),AND(ISBLANK(AN35:AN39)), AND(ISBLANK(Y35:Y39)),AND(ISBLANK(AT35:AT39))), "·", bdRateExtend( S35:S39,Y35:Y39, AN35:AN39,AT35:AT39))</f>
        <v>·</v>
      </c>
      <c r="BM35" s="24" t="str" cm="1">
        <f t="array" ref="BM35">IF( OR(AND(ISBLANK(M35:M39)),AND(ISBLANK(AH35:AH39)), AND(ISBLANK(Z35:Z39)),AND(ISBLANK(AU35:AU39))), "·", bdRateExtend( M35:M39,Z35:Z39, AH35:AH39,AU35:AU39))</f>
        <v>·</v>
      </c>
      <c r="BN35" s="24" t="str" cm="1">
        <f t="array" ref="BN35">IF( OR(AND(ISBLANK(S35:S39)),AND(ISBLANK(AN35:AN39)), AND(ISBLANK(AA35:AA39)),AND(ISBLANK(AV35:AV39))), "·", bdRateExtend( S35:S39,AA35:AA39, AN35:AN39,AV35:AV39))</f>
        <v>·</v>
      </c>
      <c r="BP35" s="24">
        <f t="shared" si="8"/>
        <v>0</v>
      </c>
      <c r="BQ35" s="24">
        <f t="shared" si="9"/>
        <v>0</v>
      </c>
      <c r="BR35" s="24">
        <f t="shared" si="10"/>
        <v>0</v>
      </c>
      <c r="BS35" s="24">
        <f t="shared" si="11"/>
        <v>0</v>
      </c>
      <c r="BT35" s="24">
        <f t="shared" si="11"/>
        <v>0</v>
      </c>
    </row>
    <row r="36" spans="1:72" ht="15" customHeight="1" outlineLevel="1" x14ac:dyDescent="0.15">
      <c r="A36" s="33"/>
      <c r="B36" s="33" t="s">
        <v>32</v>
      </c>
      <c r="C36" s="35" t="s">
        <v>363</v>
      </c>
      <c r="D36" s="33">
        <v>9000000</v>
      </c>
      <c r="E36" s="34">
        <v>12</v>
      </c>
      <c r="F36" s="35">
        <v>32</v>
      </c>
      <c r="G36" s="35">
        <v>30</v>
      </c>
      <c r="H36" s="35">
        <v>4</v>
      </c>
      <c r="J36" s="36">
        <f t="shared" si="0"/>
        <v>35.0742075</v>
      </c>
      <c r="K36" s="37">
        <f t="shared" si="1"/>
        <v>4.1569431111111115</v>
      </c>
      <c r="L36" s="35">
        <f t="shared" si="2"/>
        <v>37412488</v>
      </c>
      <c r="M36" s="35">
        <f t="shared" si="3"/>
        <v>8370824</v>
      </c>
      <c r="N36" s="46">
        <v>68916608</v>
      </c>
      <c r="O36" s="38">
        <v>37412488</v>
      </c>
      <c r="P36" s="38">
        <v>5735696</v>
      </c>
      <c r="Q36" s="38">
        <v>1439656</v>
      </c>
      <c r="R36" s="38">
        <v>1195472</v>
      </c>
      <c r="S36" s="38">
        <v>28893008</v>
      </c>
      <c r="T36" s="38">
        <v>148656</v>
      </c>
      <c r="U36" s="47">
        <v>73.388419999999996</v>
      </c>
      <c r="V36" s="47">
        <v>75.091083299999994</v>
      </c>
      <c r="W36" s="47">
        <v>30.6776357</v>
      </c>
      <c r="X36" s="47">
        <v>39.085040300000003</v>
      </c>
      <c r="Y36" s="47">
        <v>39.164238300000001</v>
      </c>
      <c r="Z36" s="47">
        <v>48.4325045</v>
      </c>
      <c r="AA36" s="47">
        <v>29.627453800000001</v>
      </c>
      <c r="AB36" s="39">
        <v>63607.376336000001</v>
      </c>
      <c r="AC36" s="39">
        <v>472.01495299999999</v>
      </c>
      <c r="AE36" s="36" t="str">
        <f t="shared" si="4"/>
        <v>·</v>
      </c>
      <c r="AF36" s="37" t="str">
        <f t="shared" si="5"/>
        <v>·</v>
      </c>
      <c r="AG36" s="35" t="str">
        <f t="shared" si="6"/>
        <v>.</v>
      </c>
      <c r="AH36" s="35" t="str">
        <f t="shared" si="7"/>
        <v>.</v>
      </c>
      <c r="AI36" s="46"/>
      <c r="AJ36" s="38"/>
      <c r="AK36" s="38"/>
      <c r="AL36" s="38"/>
      <c r="AM36" s="38"/>
      <c r="AN36" s="38"/>
      <c r="AO36" s="38"/>
      <c r="AP36" s="47"/>
      <c r="AQ36" s="47"/>
      <c r="AR36" s="47"/>
      <c r="AS36" s="47"/>
      <c r="AT36" s="47"/>
      <c r="AU36" s="47"/>
      <c r="AV36" s="47"/>
      <c r="AW36" s="39"/>
      <c r="AX36" s="39"/>
      <c r="AZ36" s="40"/>
      <c r="BA36" s="40"/>
      <c r="BB36" s="40"/>
      <c r="BC36" s="40"/>
      <c r="BD36" s="40"/>
      <c r="BE36" s="40"/>
      <c r="BF36" s="40"/>
      <c r="BH36" s="40"/>
      <c r="BI36" s="40"/>
      <c r="BJ36" s="40"/>
      <c r="BK36" s="40"/>
      <c r="BL36" s="40"/>
      <c r="BM36" s="40"/>
      <c r="BN36" s="40"/>
      <c r="BP36" s="40">
        <f t="shared" si="8"/>
        <v>0</v>
      </c>
      <c r="BQ36" s="40">
        <f t="shared" si="9"/>
        <v>0</v>
      </c>
      <c r="BR36" s="40">
        <f t="shared" si="10"/>
        <v>0</v>
      </c>
      <c r="BS36" s="40">
        <f t="shared" si="11"/>
        <v>0</v>
      </c>
      <c r="BT36" s="40">
        <f t="shared" si="11"/>
        <v>0</v>
      </c>
    </row>
    <row r="37" spans="1:72" ht="15" customHeight="1" outlineLevel="1" x14ac:dyDescent="0.15">
      <c r="A37" s="17"/>
      <c r="B37" s="17" t="s">
        <v>32</v>
      </c>
      <c r="C37" s="19" t="s">
        <v>364</v>
      </c>
      <c r="D37" s="17">
        <v>9000000</v>
      </c>
      <c r="E37" s="18">
        <v>12</v>
      </c>
      <c r="F37" s="19">
        <v>32</v>
      </c>
      <c r="G37" s="19">
        <v>30</v>
      </c>
      <c r="H37" s="19">
        <v>6</v>
      </c>
      <c r="J37" s="20">
        <f t="shared" si="0"/>
        <v>52.7331675</v>
      </c>
      <c r="K37" s="21">
        <f t="shared" si="1"/>
        <v>6.249856888888889</v>
      </c>
      <c r="L37" s="19">
        <f t="shared" si="2"/>
        <v>56248712</v>
      </c>
      <c r="M37" s="19">
        <f t="shared" si="3"/>
        <v>12023728</v>
      </c>
      <c r="N37" s="44">
        <v>68916608</v>
      </c>
      <c r="O37" s="22">
        <v>56248712</v>
      </c>
      <c r="P37" s="22">
        <v>5735696</v>
      </c>
      <c r="Q37" s="22">
        <v>1439656</v>
      </c>
      <c r="R37" s="22">
        <v>4848376</v>
      </c>
      <c r="S37" s="22">
        <v>44075504</v>
      </c>
      <c r="T37" s="22">
        <v>149480</v>
      </c>
      <c r="U37" s="45">
        <v>76.539120299999993</v>
      </c>
      <c r="V37" s="45">
        <v>78.774142699999999</v>
      </c>
      <c r="W37" s="45">
        <v>31.336673999999999</v>
      </c>
      <c r="X37" s="45">
        <v>39.175212399999999</v>
      </c>
      <c r="Y37" s="45">
        <v>39.316328200000001</v>
      </c>
      <c r="Z37" s="45">
        <v>50.256015900000001</v>
      </c>
      <c r="AA37" s="45">
        <v>30.4870363</v>
      </c>
      <c r="AB37" s="23">
        <v>64878.685211999997</v>
      </c>
      <c r="AC37" s="23">
        <v>502.009478</v>
      </c>
      <c r="AE37" s="20" t="str">
        <f t="shared" si="4"/>
        <v>·</v>
      </c>
      <c r="AF37" s="21" t="str">
        <f t="shared" si="5"/>
        <v>·</v>
      </c>
      <c r="AG37" s="19" t="str">
        <f t="shared" si="6"/>
        <v>.</v>
      </c>
      <c r="AH37" s="19" t="str">
        <f t="shared" si="7"/>
        <v>.</v>
      </c>
      <c r="AI37" s="44"/>
      <c r="AJ37" s="22"/>
      <c r="AK37" s="22"/>
      <c r="AL37" s="22"/>
      <c r="AM37" s="22"/>
      <c r="AN37" s="22"/>
      <c r="AO37" s="22"/>
      <c r="AP37" s="45"/>
      <c r="AQ37" s="45"/>
      <c r="AR37" s="45"/>
      <c r="AS37" s="45"/>
      <c r="AT37" s="45"/>
      <c r="AU37" s="45"/>
      <c r="AV37" s="45"/>
      <c r="AW37" s="23"/>
      <c r="AX37" s="23"/>
      <c r="AZ37" s="24"/>
      <c r="BA37" s="24"/>
      <c r="BB37" s="24"/>
      <c r="BC37" s="24"/>
      <c r="BD37" s="24"/>
      <c r="BE37" s="24"/>
      <c r="BF37" s="24"/>
      <c r="BH37" s="24"/>
      <c r="BI37" s="24"/>
      <c r="BJ37" s="24"/>
      <c r="BK37" s="24"/>
      <c r="BL37" s="24"/>
      <c r="BM37" s="24"/>
      <c r="BN37" s="24"/>
      <c r="BP37" s="24">
        <f t="shared" si="8"/>
        <v>0</v>
      </c>
      <c r="BQ37" s="24">
        <f t="shared" si="9"/>
        <v>0</v>
      </c>
      <c r="BR37" s="24">
        <f t="shared" si="10"/>
        <v>0</v>
      </c>
      <c r="BS37" s="24">
        <f t="shared" si="11"/>
        <v>0</v>
      </c>
      <c r="BT37" s="24">
        <f t="shared" si="11"/>
        <v>0</v>
      </c>
    </row>
    <row r="38" spans="1:72" ht="15" customHeight="1" outlineLevel="1" x14ac:dyDescent="0.15">
      <c r="A38" s="33"/>
      <c r="B38" s="33" t="s">
        <v>32</v>
      </c>
      <c r="C38" s="35" t="s">
        <v>365</v>
      </c>
      <c r="D38" s="33">
        <v>9000000</v>
      </c>
      <c r="E38" s="34">
        <v>12</v>
      </c>
      <c r="F38" s="35">
        <v>32</v>
      </c>
      <c r="G38" s="35">
        <v>30</v>
      </c>
      <c r="H38" s="35">
        <v>8</v>
      </c>
      <c r="J38" s="36">
        <f t="shared" si="0"/>
        <v>70.249477499999998</v>
      </c>
      <c r="K38" s="37">
        <f t="shared" si="1"/>
        <v>8.3258639999999993</v>
      </c>
      <c r="L38" s="35">
        <f t="shared" si="2"/>
        <v>74932776</v>
      </c>
      <c r="M38" s="35">
        <f t="shared" si="3"/>
        <v>18838232</v>
      </c>
      <c r="N38" s="46">
        <v>137868096</v>
      </c>
      <c r="O38" s="38">
        <v>74932776</v>
      </c>
      <c r="P38" s="38">
        <v>11061688</v>
      </c>
      <c r="Q38" s="38">
        <v>3482288</v>
      </c>
      <c r="R38" s="38">
        <v>4294256</v>
      </c>
      <c r="S38" s="38">
        <v>55947640</v>
      </c>
      <c r="T38" s="38">
        <v>146904</v>
      </c>
      <c r="U38" s="47">
        <v>78.692367300000001</v>
      </c>
      <c r="V38" s="47">
        <v>81.460764900000001</v>
      </c>
      <c r="W38" s="47">
        <v>31.768881400000001</v>
      </c>
      <c r="X38" s="47">
        <v>39.267869699999999</v>
      </c>
      <c r="Y38" s="47">
        <v>39.483523300000002</v>
      </c>
      <c r="Z38" s="47">
        <v>51.662360499999998</v>
      </c>
      <c r="AA38" s="47">
        <v>31.063485799999999</v>
      </c>
      <c r="AB38" s="39">
        <v>65549.253912</v>
      </c>
      <c r="AC38" s="39">
        <v>498.948329</v>
      </c>
      <c r="AE38" s="36" t="str">
        <f t="shared" si="4"/>
        <v>·</v>
      </c>
      <c r="AF38" s="37" t="str">
        <f t="shared" si="5"/>
        <v>·</v>
      </c>
      <c r="AG38" s="35" t="str">
        <f t="shared" si="6"/>
        <v>.</v>
      </c>
      <c r="AH38" s="35" t="str">
        <f t="shared" si="7"/>
        <v>.</v>
      </c>
      <c r="AI38" s="46"/>
      <c r="AJ38" s="38"/>
      <c r="AK38" s="38"/>
      <c r="AL38" s="38"/>
      <c r="AM38" s="38"/>
      <c r="AN38" s="38"/>
      <c r="AO38" s="38"/>
      <c r="AP38" s="47"/>
      <c r="AQ38" s="47"/>
      <c r="AR38" s="47"/>
      <c r="AS38" s="47"/>
      <c r="AT38" s="47"/>
      <c r="AU38" s="47"/>
      <c r="AV38" s="47"/>
      <c r="AW38" s="39"/>
      <c r="AX38" s="39"/>
      <c r="AZ38" s="40"/>
      <c r="BA38" s="40"/>
      <c r="BB38" s="40"/>
      <c r="BC38" s="40"/>
      <c r="BD38" s="40"/>
      <c r="BE38" s="40"/>
      <c r="BF38" s="40"/>
      <c r="BH38" s="40"/>
      <c r="BI38" s="40"/>
      <c r="BJ38" s="40"/>
      <c r="BK38" s="40"/>
      <c r="BL38" s="40"/>
      <c r="BM38" s="40"/>
      <c r="BN38" s="40"/>
      <c r="BP38" s="40">
        <f t="shared" si="8"/>
        <v>0</v>
      </c>
      <c r="BQ38" s="40">
        <f t="shared" si="9"/>
        <v>0</v>
      </c>
      <c r="BR38" s="40">
        <f t="shared" si="10"/>
        <v>0</v>
      </c>
      <c r="BS38" s="40">
        <f t="shared" si="11"/>
        <v>0</v>
      </c>
      <c r="BT38" s="40">
        <f t="shared" si="11"/>
        <v>0</v>
      </c>
    </row>
    <row r="39" spans="1:72" ht="15.75" customHeight="1" outlineLevel="1" thickBot="1" x14ac:dyDescent="0.2">
      <c r="A39" s="17"/>
      <c r="B39" s="48" t="s">
        <v>32</v>
      </c>
      <c r="C39" s="49" t="s">
        <v>366</v>
      </c>
      <c r="D39" s="48">
        <v>9000000</v>
      </c>
      <c r="E39" s="50">
        <v>12</v>
      </c>
      <c r="F39" s="49">
        <v>32</v>
      </c>
      <c r="G39" s="49">
        <v>30</v>
      </c>
      <c r="H39" s="49">
        <v>12</v>
      </c>
      <c r="J39" s="51">
        <f t="shared" si="0"/>
        <v>107.04678749999999</v>
      </c>
      <c r="K39" s="52">
        <f t="shared" si="1"/>
        <v>12.687026666666666</v>
      </c>
      <c r="L39" s="49">
        <f t="shared" si="2"/>
        <v>114183240</v>
      </c>
      <c r="M39" s="49">
        <f t="shared" si="3"/>
        <v>25033008</v>
      </c>
      <c r="N39" s="53">
        <v>206806912</v>
      </c>
      <c r="O39" s="54">
        <v>114183240</v>
      </c>
      <c r="P39" s="54">
        <v>16789192</v>
      </c>
      <c r="Q39" s="54">
        <v>4694272</v>
      </c>
      <c r="R39" s="54">
        <v>3549544</v>
      </c>
      <c r="S39" s="54">
        <v>89005392</v>
      </c>
      <c r="T39" s="54">
        <v>144840</v>
      </c>
      <c r="U39" s="55">
        <v>80.249217900000005</v>
      </c>
      <c r="V39" s="55">
        <v>83.454280999999995</v>
      </c>
      <c r="W39" s="55">
        <v>32.492932600000003</v>
      </c>
      <c r="X39" s="55">
        <v>39.345212199999999</v>
      </c>
      <c r="Y39" s="55">
        <v>39.609935900000004</v>
      </c>
      <c r="Z39" s="55">
        <v>52.604957599999999</v>
      </c>
      <c r="AA39" s="55">
        <v>31.794170999999999</v>
      </c>
      <c r="AB39" s="56">
        <v>68965.250092999995</v>
      </c>
      <c r="AC39" s="56">
        <v>524.13012900000001</v>
      </c>
      <c r="AE39" s="51" t="str">
        <f t="shared" si="4"/>
        <v>·</v>
      </c>
      <c r="AF39" s="52" t="str">
        <f t="shared" si="5"/>
        <v>·</v>
      </c>
      <c r="AG39" s="49" t="str">
        <f t="shared" si="6"/>
        <v>.</v>
      </c>
      <c r="AH39" s="49" t="str">
        <f t="shared" si="7"/>
        <v>.</v>
      </c>
      <c r="AI39" s="53"/>
      <c r="AJ39" s="54"/>
      <c r="AK39" s="54"/>
      <c r="AL39" s="54"/>
      <c r="AM39" s="54"/>
      <c r="AN39" s="54"/>
      <c r="AO39" s="54"/>
      <c r="AP39" s="55"/>
      <c r="AQ39" s="55"/>
      <c r="AR39" s="55"/>
      <c r="AS39" s="55"/>
      <c r="AT39" s="55"/>
      <c r="AU39" s="55"/>
      <c r="AV39" s="55"/>
      <c r="AW39" s="56"/>
      <c r="AX39" s="56"/>
      <c r="AZ39" s="57"/>
      <c r="BA39" s="57"/>
      <c r="BB39" s="57"/>
      <c r="BC39" s="57"/>
      <c r="BD39" s="57"/>
      <c r="BE39" s="57"/>
      <c r="BF39" s="57"/>
      <c r="BH39" s="57"/>
      <c r="BI39" s="57"/>
      <c r="BJ39" s="57"/>
      <c r="BK39" s="57"/>
      <c r="BL39" s="57"/>
      <c r="BM39" s="57"/>
      <c r="BN39" s="57"/>
      <c r="BP39" s="57">
        <f t="shared" si="8"/>
        <v>0</v>
      </c>
      <c r="BQ39" s="57">
        <f t="shared" si="9"/>
        <v>0</v>
      </c>
      <c r="BR39" s="57">
        <f t="shared" si="10"/>
        <v>0</v>
      </c>
      <c r="BS39" s="57">
        <f t="shared" si="11"/>
        <v>0</v>
      </c>
      <c r="BT39" s="57">
        <f t="shared" si="11"/>
        <v>0</v>
      </c>
    </row>
    <row r="40" spans="1:72" ht="15" customHeight="1" x14ac:dyDescent="0.15">
      <c r="A40" s="33"/>
      <c r="B40" s="33" t="s">
        <v>75</v>
      </c>
      <c r="C40" s="35" t="s">
        <v>362</v>
      </c>
      <c r="D40" s="33">
        <v>9000000</v>
      </c>
      <c r="E40" s="34">
        <v>12</v>
      </c>
      <c r="F40" s="35">
        <v>32</v>
      </c>
      <c r="G40" s="35">
        <v>30</v>
      </c>
      <c r="H40" s="35">
        <v>3</v>
      </c>
      <c r="J40" s="36">
        <f t="shared" si="0"/>
        <v>28.094819999999999</v>
      </c>
      <c r="K40" s="37">
        <f t="shared" si="1"/>
        <v>3.3297564444444445</v>
      </c>
      <c r="L40" s="35">
        <f t="shared" si="2"/>
        <v>29967808</v>
      </c>
      <c r="M40" s="35">
        <f t="shared" si="3"/>
        <v>6604504</v>
      </c>
      <c r="N40" s="46">
        <v>34506112</v>
      </c>
      <c r="O40" s="38">
        <v>29967808</v>
      </c>
      <c r="P40" s="38">
        <v>3222424</v>
      </c>
      <c r="Q40" s="38">
        <v>276592</v>
      </c>
      <c r="R40" s="38">
        <v>3105488</v>
      </c>
      <c r="S40" s="38">
        <v>23216608</v>
      </c>
      <c r="T40" s="38">
        <v>146696</v>
      </c>
      <c r="U40" s="47">
        <v>74.4953328</v>
      </c>
      <c r="V40" s="47">
        <v>76.077741599999996</v>
      </c>
      <c r="W40" s="47">
        <v>33.317428499999998</v>
      </c>
      <c r="X40" s="47">
        <v>42.550880300000003</v>
      </c>
      <c r="Y40" s="47">
        <v>42.8732173</v>
      </c>
      <c r="Z40" s="47">
        <v>49.127900699999998</v>
      </c>
      <c r="AA40" s="47">
        <v>32.463822999999998</v>
      </c>
      <c r="AB40" s="39">
        <v>59183.906760999998</v>
      </c>
      <c r="AC40" s="39">
        <v>461.50888300000003</v>
      </c>
      <c r="AE40" s="36" t="str">
        <f t="shared" si="4"/>
        <v>·</v>
      </c>
      <c r="AF40" s="37" t="str">
        <f t="shared" si="5"/>
        <v>·</v>
      </c>
      <c r="AG40" s="35" t="str">
        <f t="shared" si="6"/>
        <v>.</v>
      </c>
      <c r="AH40" s="35" t="str">
        <f t="shared" si="7"/>
        <v>.</v>
      </c>
      <c r="AI40" s="46"/>
      <c r="AJ40" s="38"/>
      <c r="AK40" s="38"/>
      <c r="AL40" s="38"/>
      <c r="AM40" s="38"/>
      <c r="AN40" s="38"/>
      <c r="AO40" s="38"/>
      <c r="AP40" s="47"/>
      <c r="AQ40" s="47"/>
      <c r="AR40" s="47"/>
      <c r="AS40" s="47"/>
      <c r="AT40" s="47"/>
      <c r="AU40" s="47"/>
      <c r="AV40" s="47"/>
      <c r="AW40" s="39"/>
      <c r="AX40" s="39"/>
      <c r="AZ40" s="40" t="str">
        <f t="array" ref="AZ40">IF( OR(AND(ISBLANK(L40:L44)),AND(ISBLANK(AG40:AG44)), AND(ISBLANK(U40:U44)),AND(ISBLANK(AP40:AP44))), "·", bdRateExtend( L40:L44,U40:U44, AG40:AG44,AP40:AP44))</f>
        <v>·</v>
      </c>
      <c r="BA40" s="40" t="str">
        <f t="array" ref="BA40">IF( OR(AND(ISBLANK(L40:L44)),AND(ISBLANK(AG40:AG44)), AND(ISBLANK(V40:V44)),AND(ISBLANK(AQ40:AQ44))), "·", bdRateExtend( L40:L44,V40:V44, AG40:AG44,AQ40:AQ44))</f>
        <v>·</v>
      </c>
      <c r="BB40" s="40" t="str" cm="1">
        <f t="array" ref="BB40">IF( OR(AND(ISBLANK(L40:L44)),AND(ISBLANK(AG40:AG44)), AND(ISBLANK(W40:W44)),AND(ISBLANK(AR40:AR44))), "·", bdRateExtend( L40:L44,W40:W44, AG40:AG44,AR40:AR44))</f>
        <v>·</v>
      </c>
      <c r="BC40" s="40" t="str" cm="1">
        <f t="array" ref="BC40">IF( OR(AND(ISBLANK(L40:L44)),AND(ISBLANK(AG40:AG44)), AND(ISBLANK(X40:X44)),AND(ISBLANK(AS40:AS44))), "·", bdRateExtend( L40:L44,X40:X44, AG40:AG44,AS40:AS44))</f>
        <v>·</v>
      </c>
      <c r="BD40" s="40" t="str" cm="1">
        <f t="array" ref="BD40">IF( OR(AND(ISBLANK(L40:L44)),AND(ISBLANK(AG40:AG44)), AND(ISBLANK(Y40:Y44)),AND(ISBLANK(AT40:AT44))), "·", bdRateExtend( L40:L44,Y40:Y44, AG40:AG44,AT40:AT44))</f>
        <v>·</v>
      </c>
      <c r="BE40" s="40" t="str" cm="1">
        <f t="array" ref="BE40">IF( OR(AND(ISBLANK(L40:L44)),AND(ISBLANK(AG40:AG44)), AND(ISBLANK(Z40:Z44)),AND(ISBLANK(AU40:AU44))), "·", bdRateExtend( L40:L44,Z40:Z44, AG40:AG44,AU40:AU44))</f>
        <v>·</v>
      </c>
      <c r="BF40" s="40" t="str" cm="1">
        <f t="array" ref="BF40">IF( OR(AND(ISBLANK(L40:L44)),AND(ISBLANK(AG40:AG44)), AND(ISBLANK(AA40:AA44)),AND(ISBLANK(AV40:AV44))), "·", bdRateExtend( L40:L44,AA40:AA44, AG40:AG44,AV40:AV44))</f>
        <v>·</v>
      </c>
      <c r="BH40" s="40" t="str" cm="1">
        <f t="array" ref="BH40">IF( OR(AND(ISBLANK(M40:M44)),AND(ISBLANK(AH40:AH44)), AND(ISBLANK(U40:U44)),AND(ISBLANK(AP40:AP44))), "·", bdRateExtend( M40:M44,U40:U44, AH40:AH44,AP40:AP44))</f>
        <v>·</v>
      </c>
      <c r="BI40" s="40" t="str" cm="1">
        <f t="array" ref="BI40">IF( OR(AND(ISBLANK(M40:M44)),AND(ISBLANK(AH40:AH44)), AND(ISBLANK(V40:V44)),AND(ISBLANK(AQ40:AQ44))), "·", bdRateExtend( M40:M44,V40:V44, AH40:AH44,AQ40:AQ44))</f>
        <v>·</v>
      </c>
      <c r="BJ40" s="40" t="str" cm="1">
        <f t="array" ref="BJ40">IF( OR(AND(ISBLANK(S40:S44)),AND(ISBLANK(AN40:AN44)), AND(ISBLANK(W40:W44)),AND(ISBLANK(AR40:AR44))), "·", bdRateExtend( S40:S44,W40:W44, AN40:AN44,AR40:AR44))</f>
        <v>·</v>
      </c>
      <c r="BK40" s="40" t="str" cm="1">
        <f t="array" ref="BK40">IF( OR(AND(ISBLANK(S40:S44)),AND(ISBLANK(AN40:AN44)), AND(ISBLANK(X40:X44)),AND(ISBLANK(AS40:AS44))), "·", bdRateExtend( S40:S44,X40:X44, AN40:AN44,AS40:AS44))</f>
        <v>·</v>
      </c>
      <c r="BL40" s="40" t="str" cm="1">
        <f t="array" ref="BL40">IF( OR(AND(ISBLANK(S40:S44)),AND(ISBLANK(AN40:AN44)), AND(ISBLANK(Y40:Y44)),AND(ISBLANK(AT40:AT44))), "·", bdRateExtend( S40:S44,Y40:Y44, AN40:AN44,AT40:AT44))</f>
        <v>·</v>
      </c>
      <c r="BM40" s="40" t="str" cm="1">
        <f t="array" ref="BM40">IF( OR(AND(ISBLANK(M40:M44)),AND(ISBLANK(AH40:AH44)), AND(ISBLANK(Z40:Z44)),AND(ISBLANK(AU40:AU44))), "·", bdRateExtend( M40:M44,Z40:Z44, AH40:AH44,AU40:AU44))</f>
        <v>·</v>
      </c>
      <c r="BN40" s="40" t="str" cm="1">
        <f t="array" ref="BN40">IF( OR(AND(ISBLANK(S40:S44)),AND(ISBLANK(AN40:AN44)), AND(ISBLANK(AA40:AA44)),AND(ISBLANK(AV40:AV44))), "·", bdRateExtend( S40:S44,AA40:AA44, AN40:AN44,AV40:AV44))</f>
        <v>·</v>
      </c>
      <c r="BP40" s="40">
        <f t="shared" si="8"/>
        <v>0</v>
      </c>
      <c r="BQ40" s="40">
        <f t="shared" si="9"/>
        <v>0</v>
      </c>
      <c r="BR40" s="40">
        <f t="shared" si="10"/>
        <v>0</v>
      </c>
      <c r="BS40" s="40">
        <f t="shared" si="11"/>
        <v>0</v>
      </c>
      <c r="BT40" s="40">
        <f t="shared" si="11"/>
        <v>0</v>
      </c>
    </row>
    <row r="41" spans="1:72" ht="15" customHeight="1" outlineLevel="1" x14ac:dyDescent="0.15">
      <c r="A41" s="17"/>
      <c r="B41" s="17" t="s">
        <v>75</v>
      </c>
      <c r="C41" s="19" t="s">
        <v>363</v>
      </c>
      <c r="D41" s="17">
        <v>9000000</v>
      </c>
      <c r="E41" s="18">
        <v>12</v>
      </c>
      <c r="F41" s="19">
        <v>32</v>
      </c>
      <c r="G41" s="19">
        <v>30</v>
      </c>
      <c r="H41" s="19">
        <v>4</v>
      </c>
      <c r="J41" s="20">
        <f t="shared" si="0"/>
        <v>36.886477499999998</v>
      </c>
      <c r="K41" s="21">
        <f t="shared" si="1"/>
        <v>4.3717306666666671</v>
      </c>
      <c r="L41" s="19">
        <f t="shared" si="2"/>
        <v>39345576</v>
      </c>
      <c r="M41" s="19">
        <f t="shared" si="3"/>
        <v>10596312</v>
      </c>
      <c r="N41" s="44">
        <v>69038912</v>
      </c>
      <c r="O41" s="22">
        <v>39345576</v>
      </c>
      <c r="P41" s="22">
        <v>6127792</v>
      </c>
      <c r="Q41" s="22">
        <v>990392</v>
      </c>
      <c r="R41" s="22">
        <v>3478128</v>
      </c>
      <c r="S41" s="22">
        <v>28599376</v>
      </c>
      <c r="T41" s="22">
        <v>149888</v>
      </c>
      <c r="U41" s="45">
        <v>76.5268497</v>
      </c>
      <c r="V41" s="45">
        <v>78.415625500000004</v>
      </c>
      <c r="W41" s="45">
        <v>33.660924000000001</v>
      </c>
      <c r="X41" s="45">
        <v>42.738847900000003</v>
      </c>
      <c r="Y41" s="45">
        <v>43.170551400000001</v>
      </c>
      <c r="Z41" s="45">
        <v>50.429973799999999</v>
      </c>
      <c r="AA41" s="45">
        <v>32.9924781</v>
      </c>
      <c r="AB41" s="23">
        <v>58913.527320000001</v>
      </c>
      <c r="AC41" s="23">
        <v>505.45609200000001</v>
      </c>
      <c r="AE41" s="20" t="str">
        <f t="shared" si="4"/>
        <v>·</v>
      </c>
      <c r="AF41" s="21" t="str">
        <f t="shared" si="5"/>
        <v>·</v>
      </c>
      <c r="AG41" s="19" t="str">
        <f t="shared" si="6"/>
        <v>.</v>
      </c>
      <c r="AH41" s="19" t="str">
        <f t="shared" si="7"/>
        <v>.</v>
      </c>
      <c r="AI41" s="44"/>
      <c r="AJ41" s="22"/>
      <c r="AK41" s="22"/>
      <c r="AL41" s="22"/>
      <c r="AM41" s="22"/>
      <c r="AN41" s="22"/>
      <c r="AO41" s="22"/>
      <c r="AP41" s="45"/>
      <c r="AQ41" s="45"/>
      <c r="AR41" s="45"/>
      <c r="AS41" s="45"/>
      <c r="AT41" s="45"/>
      <c r="AU41" s="45"/>
      <c r="AV41" s="45"/>
      <c r="AW41" s="23"/>
      <c r="AX41" s="23"/>
      <c r="AZ41" s="24"/>
      <c r="BA41" s="24"/>
      <c r="BB41" s="24"/>
      <c r="BC41" s="24"/>
      <c r="BD41" s="24"/>
      <c r="BE41" s="24"/>
      <c r="BF41" s="24"/>
      <c r="BH41" s="24"/>
      <c r="BI41" s="24"/>
      <c r="BJ41" s="24"/>
      <c r="BK41" s="24"/>
      <c r="BL41" s="24"/>
      <c r="BM41" s="24"/>
      <c r="BN41" s="24"/>
      <c r="BP41" s="24">
        <f t="shared" si="8"/>
        <v>0</v>
      </c>
      <c r="BQ41" s="24">
        <f t="shared" si="9"/>
        <v>0</v>
      </c>
      <c r="BR41" s="24">
        <f t="shared" si="10"/>
        <v>0</v>
      </c>
      <c r="BS41" s="24">
        <f t="shared" si="11"/>
        <v>0</v>
      </c>
      <c r="BT41" s="24">
        <f t="shared" si="11"/>
        <v>0</v>
      </c>
    </row>
    <row r="42" spans="1:72" ht="15" customHeight="1" outlineLevel="1" x14ac:dyDescent="0.15">
      <c r="A42" s="33"/>
      <c r="B42" s="33" t="s">
        <v>75</v>
      </c>
      <c r="C42" s="35" t="s">
        <v>364</v>
      </c>
      <c r="D42" s="33">
        <v>9000000</v>
      </c>
      <c r="E42" s="34">
        <v>12</v>
      </c>
      <c r="F42" s="35">
        <v>32</v>
      </c>
      <c r="G42" s="35">
        <v>30</v>
      </c>
      <c r="H42" s="35">
        <v>6</v>
      </c>
      <c r="J42" s="36">
        <f t="shared" si="0"/>
        <v>56.65296</v>
      </c>
      <c r="K42" s="37">
        <f t="shared" si="1"/>
        <v>6.7144248888888889</v>
      </c>
      <c r="L42" s="35">
        <f t="shared" si="2"/>
        <v>60429824</v>
      </c>
      <c r="M42" s="35">
        <f t="shared" si="3"/>
        <v>15012888</v>
      </c>
      <c r="N42" s="46">
        <v>138089728</v>
      </c>
      <c r="O42" s="38">
        <v>60429824</v>
      </c>
      <c r="P42" s="38">
        <v>10972960</v>
      </c>
      <c r="Q42" s="38">
        <v>1794416</v>
      </c>
      <c r="R42" s="38">
        <v>2245512</v>
      </c>
      <c r="S42" s="38">
        <v>45271968</v>
      </c>
      <c r="T42" s="38">
        <v>144968</v>
      </c>
      <c r="U42" s="47">
        <v>78.149599499999994</v>
      </c>
      <c r="V42" s="47">
        <v>80.311465699999999</v>
      </c>
      <c r="W42" s="47">
        <v>34.289178300000003</v>
      </c>
      <c r="X42" s="47">
        <v>42.885174999999997</v>
      </c>
      <c r="Y42" s="47">
        <v>43.3858733</v>
      </c>
      <c r="Z42" s="47">
        <v>51.405122300000002</v>
      </c>
      <c r="AA42" s="47">
        <v>33.630381800000002</v>
      </c>
      <c r="AB42" s="39">
        <v>62236.999106000003</v>
      </c>
      <c r="AC42" s="39">
        <v>516.51666799999998</v>
      </c>
      <c r="AE42" s="36" t="str">
        <f t="shared" si="4"/>
        <v>·</v>
      </c>
      <c r="AF42" s="37" t="str">
        <f t="shared" si="5"/>
        <v>·</v>
      </c>
      <c r="AG42" s="35" t="str">
        <f t="shared" si="6"/>
        <v>.</v>
      </c>
      <c r="AH42" s="35" t="str">
        <f t="shared" si="7"/>
        <v>.</v>
      </c>
      <c r="AI42" s="46"/>
      <c r="AJ42" s="38"/>
      <c r="AK42" s="38"/>
      <c r="AL42" s="38"/>
      <c r="AM42" s="38"/>
      <c r="AN42" s="38"/>
      <c r="AO42" s="38"/>
      <c r="AP42" s="47"/>
      <c r="AQ42" s="47"/>
      <c r="AR42" s="47"/>
      <c r="AS42" s="47"/>
      <c r="AT42" s="47"/>
      <c r="AU42" s="47"/>
      <c r="AV42" s="47"/>
      <c r="AW42" s="39"/>
      <c r="AX42" s="39"/>
      <c r="AZ42" s="40"/>
      <c r="BA42" s="40"/>
      <c r="BB42" s="40"/>
      <c r="BC42" s="40"/>
      <c r="BD42" s="40"/>
      <c r="BE42" s="40"/>
      <c r="BF42" s="40"/>
      <c r="BH42" s="40"/>
      <c r="BI42" s="40"/>
      <c r="BJ42" s="40"/>
      <c r="BK42" s="40"/>
      <c r="BL42" s="40"/>
      <c r="BM42" s="40"/>
      <c r="BN42" s="40"/>
      <c r="BP42" s="40">
        <f t="shared" si="8"/>
        <v>0</v>
      </c>
      <c r="BQ42" s="40">
        <f t="shared" si="9"/>
        <v>0</v>
      </c>
      <c r="BR42" s="40">
        <f t="shared" si="10"/>
        <v>0</v>
      </c>
      <c r="BS42" s="40">
        <f t="shared" si="11"/>
        <v>0</v>
      </c>
      <c r="BT42" s="40">
        <f t="shared" si="11"/>
        <v>0</v>
      </c>
    </row>
    <row r="43" spans="1:72" ht="15" customHeight="1" outlineLevel="1" x14ac:dyDescent="0.15">
      <c r="A43" s="17"/>
      <c r="B43" s="17" t="s">
        <v>75</v>
      </c>
      <c r="C43" s="19" t="s">
        <v>365</v>
      </c>
      <c r="D43" s="17">
        <v>9000000</v>
      </c>
      <c r="E43" s="18">
        <v>12</v>
      </c>
      <c r="F43" s="19">
        <v>32</v>
      </c>
      <c r="G43" s="19">
        <v>30</v>
      </c>
      <c r="H43" s="19">
        <v>8</v>
      </c>
      <c r="J43" s="20">
        <f t="shared" si="0"/>
        <v>74.043345000000002</v>
      </c>
      <c r="K43" s="21">
        <f t="shared" si="1"/>
        <v>8.7755075555555564</v>
      </c>
      <c r="L43" s="19">
        <f t="shared" si="2"/>
        <v>78979568</v>
      </c>
      <c r="M43" s="19">
        <f t="shared" si="3"/>
        <v>18353928</v>
      </c>
      <c r="N43" s="44">
        <v>138089728</v>
      </c>
      <c r="O43" s="22">
        <v>78979568</v>
      </c>
      <c r="P43" s="22">
        <v>10972960</v>
      </c>
      <c r="Q43" s="22">
        <v>1794416</v>
      </c>
      <c r="R43" s="22">
        <v>5586552</v>
      </c>
      <c r="S43" s="22">
        <v>60476504</v>
      </c>
      <c r="T43" s="22">
        <v>149136</v>
      </c>
      <c r="U43" s="45">
        <v>79.492232099999995</v>
      </c>
      <c r="V43" s="45">
        <v>82.138240499999995</v>
      </c>
      <c r="W43" s="45">
        <v>34.346740799999999</v>
      </c>
      <c r="X43" s="45">
        <v>43.023009399999999</v>
      </c>
      <c r="Y43" s="45">
        <v>43.563047400000002</v>
      </c>
      <c r="Z43" s="45">
        <v>52.310727999999997</v>
      </c>
      <c r="AA43" s="45">
        <v>33.806809199999996</v>
      </c>
      <c r="AB43" s="23">
        <v>19988.134300999998</v>
      </c>
      <c r="AC43" s="23">
        <v>189.737371</v>
      </c>
      <c r="AE43" s="20" t="str">
        <f t="shared" si="4"/>
        <v>·</v>
      </c>
      <c r="AF43" s="21" t="str">
        <f t="shared" si="5"/>
        <v>·</v>
      </c>
      <c r="AG43" s="19" t="str">
        <f t="shared" si="6"/>
        <v>.</v>
      </c>
      <c r="AH43" s="19" t="str">
        <f t="shared" si="7"/>
        <v>.</v>
      </c>
      <c r="AI43" s="44"/>
      <c r="AJ43" s="22"/>
      <c r="AK43" s="22"/>
      <c r="AL43" s="22"/>
      <c r="AM43" s="22"/>
      <c r="AN43" s="22"/>
      <c r="AO43" s="22"/>
      <c r="AP43" s="45"/>
      <c r="AQ43" s="45"/>
      <c r="AR43" s="45"/>
      <c r="AS43" s="45"/>
      <c r="AT43" s="45"/>
      <c r="AU43" s="45"/>
      <c r="AV43" s="45"/>
      <c r="AW43" s="23"/>
      <c r="AX43" s="23"/>
      <c r="AZ43" s="24"/>
      <c r="BA43" s="24"/>
      <c r="BB43" s="24"/>
      <c r="BC43" s="24"/>
      <c r="BD43" s="24"/>
      <c r="BE43" s="24"/>
      <c r="BF43" s="24"/>
      <c r="BH43" s="24"/>
      <c r="BI43" s="24"/>
      <c r="BJ43" s="24"/>
      <c r="BK43" s="24"/>
      <c r="BL43" s="24"/>
      <c r="BM43" s="24"/>
      <c r="BN43" s="24"/>
      <c r="BP43" s="24">
        <f t="shared" si="8"/>
        <v>0</v>
      </c>
      <c r="BQ43" s="24">
        <f t="shared" si="9"/>
        <v>0</v>
      </c>
      <c r="BR43" s="24">
        <f t="shared" si="10"/>
        <v>0</v>
      </c>
      <c r="BS43" s="24">
        <f t="shared" si="11"/>
        <v>0</v>
      </c>
      <c r="BT43" s="24">
        <f t="shared" si="11"/>
        <v>0</v>
      </c>
    </row>
    <row r="44" spans="1:72" ht="15.75" customHeight="1" outlineLevel="1" thickBot="1" x14ac:dyDescent="0.2">
      <c r="A44" s="25"/>
      <c r="B44" s="25" t="s">
        <v>75</v>
      </c>
      <c r="C44" s="27" t="s">
        <v>366</v>
      </c>
      <c r="D44" s="25">
        <v>9000000</v>
      </c>
      <c r="E44" s="26">
        <v>12</v>
      </c>
      <c r="F44" s="27">
        <v>32</v>
      </c>
      <c r="G44" s="27">
        <v>30</v>
      </c>
      <c r="H44" s="27">
        <v>12</v>
      </c>
      <c r="J44" s="28">
        <f t="shared" si="0"/>
        <v>112.47756</v>
      </c>
      <c r="K44" s="29">
        <f t="shared" si="1"/>
        <v>13.330673777777777</v>
      </c>
      <c r="L44" s="27">
        <f t="shared" si="2"/>
        <v>119976064</v>
      </c>
      <c r="M44" s="27">
        <f t="shared" si="3"/>
        <v>23132848</v>
      </c>
      <c r="N44" s="58">
        <v>207140672</v>
      </c>
      <c r="O44" s="30">
        <v>119976064</v>
      </c>
      <c r="P44" s="30">
        <v>15620680</v>
      </c>
      <c r="Q44" s="30">
        <v>2553720</v>
      </c>
      <c r="R44" s="30">
        <v>4958448</v>
      </c>
      <c r="S44" s="30">
        <v>96697824</v>
      </c>
      <c r="T44" s="30">
        <v>145392</v>
      </c>
      <c r="U44" s="59">
        <v>80.927224199999998</v>
      </c>
      <c r="V44" s="59">
        <v>83.988842500000004</v>
      </c>
      <c r="W44" s="59">
        <v>34.924539600000003</v>
      </c>
      <c r="X44" s="59">
        <v>43.130663400000003</v>
      </c>
      <c r="Y44" s="59">
        <v>43.722225700000003</v>
      </c>
      <c r="Z44" s="59">
        <v>53.2254687</v>
      </c>
      <c r="AA44" s="59">
        <v>34.4023489</v>
      </c>
      <c r="AB44" s="31">
        <v>22599.450373</v>
      </c>
      <c r="AC44" s="31">
        <v>220.843962</v>
      </c>
      <c r="AE44" s="28" t="str">
        <f t="shared" si="4"/>
        <v>·</v>
      </c>
      <c r="AF44" s="29" t="str">
        <f t="shared" si="5"/>
        <v>·</v>
      </c>
      <c r="AG44" s="27" t="str">
        <f t="shared" si="6"/>
        <v>.</v>
      </c>
      <c r="AH44" s="27" t="str">
        <f t="shared" si="7"/>
        <v>.</v>
      </c>
      <c r="AI44" s="58"/>
      <c r="AJ44" s="30"/>
      <c r="AK44" s="30"/>
      <c r="AL44" s="30"/>
      <c r="AM44" s="30"/>
      <c r="AN44" s="30"/>
      <c r="AO44" s="30"/>
      <c r="AP44" s="59"/>
      <c r="AQ44" s="59"/>
      <c r="AR44" s="59"/>
      <c r="AS44" s="59"/>
      <c r="AT44" s="59"/>
      <c r="AU44" s="59"/>
      <c r="AV44" s="59"/>
      <c r="AW44" s="31"/>
      <c r="AX44" s="31"/>
      <c r="AZ44" s="32"/>
      <c r="BA44" s="32"/>
      <c r="BB44" s="32"/>
      <c r="BC44" s="32"/>
      <c r="BD44" s="32"/>
      <c r="BE44" s="32"/>
      <c r="BF44" s="32"/>
      <c r="BH44" s="32"/>
      <c r="BI44" s="32"/>
      <c r="BJ44" s="32"/>
      <c r="BK44" s="32"/>
      <c r="BL44" s="32"/>
      <c r="BM44" s="32"/>
      <c r="BN44" s="32"/>
      <c r="BP44" s="32">
        <f t="shared" si="8"/>
        <v>0</v>
      </c>
      <c r="BQ44" s="32">
        <f t="shared" si="9"/>
        <v>0</v>
      </c>
      <c r="BR44" s="32">
        <f t="shared" si="10"/>
        <v>0</v>
      </c>
      <c r="BS44" s="32">
        <f t="shared" si="11"/>
        <v>0</v>
      </c>
      <c r="BT44" s="32">
        <f t="shared" si="11"/>
        <v>0</v>
      </c>
    </row>
    <row r="45" spans="1:72" ht="15" customHeight="1" x14ac:dyDescent="0.15">
      <c r="A45" s="17" t="s">
        <v>427</v>
      </c>
      <c r="B45" s="17" t="s">
        <v>428</v>
      </c>
      <c r="C45" s="19" t="s">
        <v>362</v>
      </c>
      <c r="D45" s="17">
        <v>199984</v>
      </c>
      <c r="E45" s="18">
        <v>10</v>
      </c>
      <c r="F45" s="19">
        <v>1</v>
      </c>
      <c r="G45" s="19">
        <v>30</v>
      </c>
      <c r="H45" s="19">
        <v>4</v>
      </c>
      <c r="J45" s="20">
        <f t="shared" ref="J45:J49" si="12">IF(OR(ISBLANK(O45),ISBLANK(G45)),"·",O45*G45/F45/1000000)</f>
        <v>5.71488</v>
      </c>
      <c r="K45" s="21">
        <f t="shared" ref="K45:K49" si="13">IF(ISBLANK(O45),"·",O45/D45)</f>
        <v>0.95255620449635969</v>
      </c>
      <c r="L45" s="19">
        <f t="shared" ref="L45:L49" si="14">IF(OR(ISBLANK(M45),ISBLANK(S45),ISBLANK(T45)),".",M45+S45+T45)</f>
        <v>190496</v>
      </c>
      <c r="M45" s="19">
        <f t="shared" ref="M45:M49" si="15">IF(OR(ISBLANK(Q45),ISBLANK(P45),ISBLANK(R45)),".",P45+Q45+R45)</f>
        <v>87984</v>
      </c>
      <c r="N45" s="44">
        <v>383872</v>
      </c>
      <c r="O45" s="22">
        <v>190496</v>
      </c>
      <c r="P45" s="22">
        <v>72440</v>
      </c>
      <c r="Q45" s="22">
        <v>0</v>
      </c>
      <c r="R45" s="22">
        <v>15544</v>
      </c>
      <c r="S45" s="22">
        <v>100864</v>
      </c>
      <c r="T45" s="22">
        <v>1648</v>
      </c>
      <c r="U45" s="45">
        <v>76.493702900000002</v>
      </c>
      <c r="V45" s="45">
        <v>79.061057300000002</v>
      </c>
      <c r="W45" s="45">
        <v>30.278041900000002</v>
      </c>
      <c r="X45" s="45">
        <v>42.494525299999999</v>
      </c>
      <c r="Y45" s="45">
        <v>40.849274800000003</v>
      </c>
      <c r="Z45" s="45">
        <v>55.044560400000002</v>
      </c>
      <c r="AA45" s="45">
        <v>29.878969999999999</v>
      </c>
      <c r="AB45" s="23">
        <v>33.206335000000003</v>
      </c>
      <c r="AC45" s="23">
        <v>0.58526100000000003</v>
      </c>
      <c r="AE45" s="20" t="str">
        <f t="shared" ref="AE45:AE49" si="16">IF(OR(ISBLANK(AJ45),ISBLANK(G45)),"·",AJ45*G45/F45/1000000)</f>
        <v>·</v>
      </c>
      <c r="AF45" s="21" t="str">
        <f t="shared" ref="AF45:AF49" si="17">IF(ISBLANK(AJ45),"·",AJ45/D45)</f>
        <v>·</v>
      </c>
      <c r="AG45" s="19" t="str">
        <f t="shared" ref="AG45:AG49" si="18">IF(OR(ISBLANK(AH45),ISBLANK(AN45),ISBLANK(AO45)),".",AH45+AN45+AO45)</f>
        <v>.</v>
      </c>
      <c r="AH45" s="19" t="str">
        <f t="shared" ref="AH45:AH49" si="19">IF(OR(ISBLANK(AL45),ISBLANK(AK45),ISBLANK(AM45)),".",AK45+AL45+AM45)</f>
        <v>.</v>
      </c>
      <c r="AI45" s="44"/>
      <c r="AJ45" s="22"/>
      <c r="AK45" s="22"/>
      <c r="AL45" s="22"/>
      <c r="AM45" s="22"/>
      <c r="AN45" s="22"/>
      <c r="AO45" s="22"/>
      <c r="AP45" s="45"/>
      <c r="AQ45" s="45"/>
      <c r="AR45" s="45"/>
      <c r="AS45" s="45"/>
      <c r="AT45" s="45"/>
      <c r="AU45" s="45"/>
      <c r="AV45" s="45"/>
      <c r="AW45" s="23"/>
      <c r="AX45" s="23"/>
      <c r="AZ45" s="24" t="str">
        <f t="array" ref="AZ45">IF( OR(AND(ISBLANK(L45:L49)),AND(ISBLANK(AG45:AG49)), AND(ISBLANK(U45:U49)),AND(ISBLANK(AP45:AP49))), "·", bdRateExtend( L45:L49,U45:U49, AG45:AG49,AP45:AP49))</f>
        <v>·</v>
      </c>
      <c r="BA45" s="24" t="str">
        <f t="array" ref="BA45">IF( OR(AND(ISBLANK(L45:L49)),AND(ISBLANK(AG45:AG49)), AND(ISBLANK(V45:V49)),AND(ISBLANK(AQ45:AQ49))), "·", bdRateExtend( L45:L49,V45:V49, AG45:AG49,AQ45:AQ49))</f>
        <v>·</v>
      </c>
      <c r="BB45" s="24" t="str" cm="1">
        <f t="array" ref="BB45">IF( OR(AND(ISBLANK(L45:L49)),AND(ISBLANK(AG45:AG49)), AND(ISBLANK(W45:W49)),AND(ISBLANK(AR45:AR49))), "·", bdRateExtend( L45:L49,W45:W49, AG45:AG49,AR45:AR49))</f>
        <v>·</v>
      </c>
      <c r="BC45" s="24" t="str" cm="1">
        <f t="array" ref="BC45">IF( OR(AND(ISBLANK(L45:L49)),AND(ISBLANK(AG45:AG49)), AND(ISBLANK(X45:X49)),AND(ISBLANK(AS45:AS49))), "·", bdRateExtend( L45:L49,X45:X49, AG45:AG49,AS45:AS49))</f>
        <v>·</v>
      </c>
      <c r="BD45" s="24" t="str" cm="1">
        <f t="array" ref="BD45">IF( OR(AND(ISBLANK(L45:L49)),AND(ISBLANK(AG45:AG49)), AND(ISBLANK(Y45:Y49)),AND(ISBLANK(AT45:AT49))), "·", bdRateExtend( L45:L49,Y45:Y49, AG45:AG49,AT45:AT49))</f>
        <v>·</v>
      </c>
      <c r="BE45" s="24" t="str" cm="1">
        <f t="array" ref="BE45">IF( OR(AND(ISBLANK(L45:L49)),AND(ISBLANK(AG45:AG49)), AND(ISBLANK(Z45:Z49)),AND(ISBLANK(AU45:AU49))), "·", bdRateExtend( L45:L49,Z45:Z49, AG45:AG49,AU45:AU49))</f>
        <v>·</v>
      </c>
      <c r="BF45" s="24" t="str" cm="1">
        <f t="array" ref="BF45">IF( OR(AND(ISBLANK(L45:L49)),AND(ISBLANK(AG45:AG49)), AND(ISBLANK(AA45:AA49)),AND(ISBLANK(AV45:AV49))), "·", bdRateExtend( L45:L49,AA45:AA49, AG45:AG49,AV45:AV49))</f>
        <v>·</v>
      </c>
      <c r="BH45" s="24" t="str" cm="1">
        <f t="array" ref="BH45">IF( OR(AND(ISBLANK(M45:M49)),AND(ISBLANK(AH45:AH49)), AND(ISBLANK(U45:U49)),AND(ISBLANK(AP45:AP49))), "·", bdRateExtend( M45:M49,U45:U49, AH45:AH49,AP45:AP49))</f>
        <v>·</v>
      </c>
      <c r="BI45" s="24" t="str" cm="1">
        <f t="array" ref="BI45">IF( OR(AND(ISBLANK(M45:M49)),AND(ISBLANK(AH45:AH49)), AND(ISBLANK(V45:V49)),AND(ISBLANK(AQ45:AQ49))), "·", bdRateExtend( M45:M49,V45:V49, AH45:AH49,AQ45:AQ49))</f>
        <v>·</v>
      </c>
      <c r="BJ45" s="24" t="str" cm="1">
        <f t="array" ref="BJ45">IF( OR(AND(ISBLANK(S45:S49)),AND(ISBLANK(AN45:AN49)), AND(ISBLANK(W45:W49)),AND(ISBLANK(AR45:AR49))), "·", bdRateExtend( S45:S49,W45:W49, AN45:AN49,AR45:AR49))</f>
        <v>·</v>
      </c>
      <c r="BK45" s="24" t="str" cm="1">
        <f t="array" ref="BK45">IF( OR(AND(ISBLANK(S45:S49)),AND(ISBLANK(AN45:AN49)), AND(ISBLANK(X45:X49)),AND(ISBLANK(AS45:AS49))), "·", bdRateExtend( S45:S49,X45:X49, AN45:AN49,AS45:AS49))</f>
        <v>·</v>
      </c>
      <c r="BL45" s="24" t="str" cm="1">
        <f t="array" ref="BL45">IF( OR(AND(ISBLANK(S45:S49)),AND(ISBLANK(AN45:AN49)), AND(ISBLANK(Y45:Y49)),AND(ISBLANK(AT45:AT49))), "·", bdRateExtend( S45:S49,Y45:Y49, AN45:AN49,AT45:AT49))</f>
        <v>·</v>
      </c>
      <c r="BM45" s="24" t="str" cm="1">
        <f t="array" ref="BM45">IF( OR(AND(ISBLANK(M45:M49)),AND(ISBLANK(AH45:AH49)), AND(ISBLANK(Z45:Z49)),AND(ISBLANK(AU45:AU49))), "·", bdRateExtend( M45:M49,Z45:Z49, AH45:AH49,AU45:AU49))</f>
        <v>·</v>
      </c>
      <c r="BN45" s="24" t="str" cm="1">
        <f t="array" ref="BN45">IF( OR(AND(ISBLANK(S45:S49)),AND(ISBLANK(AN45:AN49)), AND(ISBLANK(AA45:AA49)),AND(ISBLANK(AV45:AV49))), "·", bdRateExtend( S45:S49,AA45:AA49, AN45:AN49,AV45:AV49))</f>
        <v>·</v>
      </c>
      <c r="BP45" s="24">
        <f t="shared" ref="BP45:BP49" si="20">IF(AND(AK45=0,AK45=0),0,AK45/P45-1)</f>
        <v>0</v>
      </c>
      <c r="BQ45" s="24">
        <f t="shared" ref="BQ45:BQ49" si="21">IF(AND(AL45=0,AL45=0),0,AL45/Q45-1)</f>
        <v>0</v>
      </c>
      <c r="BR45" s="24">
        <f t="shared" ref="BR45:BR49" si="22">IF(AND(AM45=0,AM45=0),0,AM45/R45-1)</f>
        <v>0</v>
      </c>
      <c r="BS45" s="24">
        <f t="shared" ref="BS45:BS49" si="23">IF(AND(AN45=0,AN45=0),0,AN45/S45-1)</f>
        <v>0</v>
      </c>
      <c r="BT45" s="24">
        <f t="shared" ref="BT45:BT49" si="24">IF(AND(AO45=0,AO45=0),0,AO45/T45-1)</f>
        <v>0</v>
      </c>
    </row>
    <row r="46" spans="1:72" ht="15" customHeight="1" outlineLevel="1" x14ac:dyDescent="0.15">
      <c r="A46" s="33"/>
      <c r="B46" s="33" t="s">
        <v>428</v>
      </c>
      <c r="C46" s="35" t="s">
        <v>363</v>
      </c>
      <c r="D46" s="33">
        <v>199984</v>
      </c>
      <c r="E46" s="34">
        <v>10</v>
      </c>
      <c r="F46" s="35">
        <v>1</v>
      </c>
      <c r="G46" s="35">
        <v>30</v>
      </c>
      <c r="H46" s="35">
        <v>8</v>
      </c>
      <c r="J46" s="36">
        <f t="shared" si="12"/>
        <v>10.2888</v>
      </c>
      <c r="K46" s="37">
        <f t="shared" si="13"/>
        <v>1.714937194975598</v>
      </c>
      <c r="L46" s="35">
        <f t="shared" si="14"/>
        <v>342960</v>
      </c>
      <c r="M46" s="35">
        <f t="shared" si="15"/>
        <v>105808</v>
      </c>
      <c r="N46" s="46">
        <v>383872</v>
      </c>
      <c r="O46" s="38">
        <v>342960</v>
      </c>
      <c r="P46" s="38">
        <v>81088</v>
      </c>
      <c r="Q46" s="38">
        <v>0</v>
      </c>
      <c r="R46" s="38">
        <v>24720</v>
      </c>
      <c r="S46" s="38">
        <v>235496</v>
      </c>
      <c r="T46" s="38">
        <v>1656</v>
      </c>
      <c r="U46" s="47">
        <v>78.244808599999999</v>
      </c>
      <c r="V46" s="47">
        <v>81.361836800000006</v>
      </c>
      <c r="W46" s="47">
        <v>31.540469900000002</v>
      </c>
      <c r="X46" s="47">
        <v>43.652007599999997</v>
      </c>
      <c r="Y46" s="47">
        <v>42.291822500000002</v>
      </c>
      <c r="Z46" s="47">
        <v>56.170851599999999</v>
      </c>
      <c r="AA46" s="47">
        <v>31.075164699999998</v>
      </c>
      <c r="AB46" s="39">
        <v>34.871437999999998</v>
      </c>
      <c r="AC46" s="39">
        <v>0.61441900000000005</v>
      </c>
      <c r="AE46" s="36" t="str">
        <f t="shared" si="16"/>
        <v>·</v>
      </c>
      <c r="AF46" s="37" t="str">
        <f t="shared" si="17"/>
        <v>·</v>
      </c>
      <c r="AG46" s="35" t="str">
        <f t="shared" si="18"/>
        <v>.</v>
      </c>
      <c r="AH46" s="35" t="str">
        <f t="shared" si="19"/>
        <v>.</v>
      </c>
      <c r="AI46" s="46"/>
      <c r="AJ46" s="38"/>
      <c r="AK46" s="38"/>
      <c r="AL46" s="38"/>
      <c r="AM46" s="38"/>
      <c r="AN46" s="38"/>
      <c r="AO46" s="38"/>
      <c r="AP46" s="47"/>
      <c r="AQ46" s="47"/>
      <c r="AR46" s="47"/>
      <c r="AS46" s="47"/>
      <c r="AT46" s="47"/>
      <c r="AU46" s="47"/>
      <c r="AV46" s="47"/>
      <c r="AW46" s="39"/>
      <c r="AX46" s="39"/>
      <c r="AZ46" s="40"/>
      <c r="BA46" s="40"/>
      <c r="BB46" s="40"/>
      <c r="BC46" s="40"/>
      <c r="BD46" s="40"/>
      <c r="BE46" s="40"/>
      <c r="BF46" s="40"/>
      <c r="BH46" s="101"/>
      <c r="BI46" s="101"/>
      <c r="BJ46" s="101"/>
      <c r="BK46" s="101"/>
      <c r="BL46" s="101"/>
      <c r="BM46" s="101"/>
      <c r="BN46" s="101"/>
      <c r="BP46" s="40">
        <f t="shared" si="20"/>
        <v>0</v>
      </c>
      <c r="BQ46" s="40">
        <f t="shared" si="21"/>
        <v>0</v>
      </c>
      <c r="BR46" s="40">
        <f t="shared" si="22"/>
        <v>0</v>
      </c>
      <c r="BS46" s="40">
        <f t="shared" si="23"/>
        <v>0</v>
      </c>
      <c r="BT46" s="40">
        <f t="shared" si="24"/>
        <v>0</v>
      </c>
    </row>
    <row r="47" spans="1:72" ht="15" customHeight="1" outlineLevel="1" x14ac:dyDescent="0.15">
      <c r="A47" s="17"/>
      <c r="B47" s="17" t="s">
        <v>428</v>
      </c>
      <c r="C47" s="19" t="s">
        <v>364</v>
      </c>
      <c r="D47" s="17">
        <v>199984</v>
      </c>
      <c r="E47" s="18">
        <v>10</v>
      </c>
      <c r="F47" s="19">
        <v>1</v>
      </c>
      <c r="G47" s="19">
        <v>30</v>
      </c>
      <c r="H47" s="19">
        <v>11</v>
      </c>
      <c r="J47" s="20">
        <f t="shared" si="12"/>
        <v>27.548159999999999</v>
      </c>
      <c r="K47" s="21">
        <f t="shared" si="13"/>
        <v>4.5917273381870549</v>
      </c>
      <c r="L47" s="19">
        <f t="shared" si="14"/>
        <v>918272</v>
      </c>
      <c r="M47" s="19">
        <f t="shared" si="15"/>
        <v>201688</v>
      </c>
      <c r="N47" s="44">
        <v>767872</v>
      </c>
      <c r="O47" s="22">
        <v>918272</v>
      </c>
      <c r="P47" s="22">
        <v>141704</v>
      </c>
      <c r="Q47" s="22">
        <v>0</v>
      </c>
      <c r="R47" s="22">
        <v>59984</v>
      </c>
      <c r="S47" s="22">
        <v>714904</v>
      </c>
      <c r="T47" s="22">
        <v>1680</v>
      </c>
      <c r="U47" s="45">
        <v>81.334224199999994</v>
      </c>
      <c r="V47" s="45">
        <v>86.582821699999997</v>
      </c>
      <c r="W47" s="45">
        <v>32.737954999999999</v>
      </c>
      <c r="X47" s="45">
        <v>44.933899199999999</v>
      </c>
      <c r="Y47" s="45">
        <v>43.992284499999997</v>
      </c>
      <c r="Z47" s="45">
        <v>58.616900700000002</v>
      </c>
      <c r="AA47" s="45">
        <v>32.434200199999999</v>
      </c>
      <c r="AB47" s="23">
        <v>39.622718999999996</v>
      </c>
      <c r="AC47" s="23">
        <v>0.80384699999999998</v>
      </c>
      <c r="AE47" s="20" t="str">
        <f t="shared" si="16"/>
        <v>·</v>
      </c>
      <c r="AF47" s="21" t="str">
        <f t="shared" si="17"/>
        <v>·</v>
      </c>
      <c r="AG47" s="19" t="str">
        <f t="shared" si="18"/>
        <v>.</v>
      </c>
      <c r="AH47" s="19" t="str">
        <f t="shared" si="19"/>
        <v>.</v>
      </c>
      <c r="AI47" s="44"/>
      <c r="AJ47" s="22"/>
      <c r="AK47" s="22"/>
      <c r="AL47" s="22"/>
      <c r="AM47" s="22"/>
      <c r="AN47" s="22"/>
      <c r="AO47" s="22"/>
      <c r="AP47" s="45"/>
      <c r="AQ47" s="45"/>
      <c r="AR47" s="45"/>
      <c r="AS47" s="45"/>
      <c r="AT47" s="45"/>
      <c r="AU47" s="45"/>
      <c r="AV47" s="45"/>
      <c r="AW47" s="23"/>
      <c r="AX47" s="23"/>
      <c r="AZ47" s="24"/>
      <c r="BA47" s="24"/>
      <c r="BB47" s="24"/>
      <c r="BC47" s="24"/>
      <c r="BD47" s="24"/>
      <c r="BE47" s="24"/>
      <c r="BF47" s="24"/>
      <c r="BH47" s="100"/>
      <c r="BI47" s="100"/>
      <c r="BJ47" s="100"/>
      <c r="BK47" s="100"/>
      <c r="BL47" s="100"/>
      <c r="BM47" s="100"/>
      <c r="BN47" s="100"/>
      <c r="BP47" s="24">
        <f t="shared" si="20"/>
        <v>0</v>
      </c>
      <c r="BQ47" s="24">
        <f t="shared" si="21"/>
        <v>0</v>
      </c>
      <c r="BR47" s="24">
        <f t="shared" si="22"/>
        <v>0</v>
      </c>
      <c r="BS47" s="24">
        <f t="shared" si="23"/>
        <v>0</v>
      </c>
      <c r="BT47" s="24">
        <f t="shared" si="24"/>
        <v>0</v>
      </c>
    </row>
    <row r="48" spans="1:72" ht="15" customHeight="1" outlineLevel="1" x14ac:dyDescent="0.15">
      <c r="A48" s="33"/>
      <c r="B48" s="33" t="s">
        <v>428</v>
      </c>
      <c r="C48" s="35" t="s">
        <v>365</v>
      </c>
      <c r="D48" s="33">
        <v>199984</v>
      </c>
      <c r="E48" s="34">
        <v>10</v>
      </c>
      <c r="F48" s="35">
        <v>1</v>
      </c>
      <c r="G48" s="35">
        <v>30</v>
      </c>
      <c r="H48" s="35">
        <v>14</v>
      </c>
      <c r="J48" s="36">
        <f t="shared" si="12"/>
        <v>50.752560000000003</v>
      </c>
      <c r="K48" s="37">
        <f t="shared" si="13"/>
        <v>8.4594367549403948</v>
      </c>
      <c r="L48" s="35">
        <f t="shared" si="14"/>
        <v>1691752</v>
      </c>
      <c r="M48" s="35">
        <f t="shared" si="15"/>
        <v>303544</v>
      </c>
      <c r="N48" s="46">
        <v>1535744</v>
      </c>
      <c r="O48" s="38">
        <v>1691752</v>
      </c>
      <c r="P48" s="38">
        <v>248112</v>
      </c>
      <c r="Q48" s="38">
        <v>0</v>
      </c>
      <c r="R48" s="38">
        <v>55432</v>
      </c>
      <c r="S48" s="38">
        <v>1386528</v>
      </c>
      <c r="T48" s="38">
        <v>1680</v>
      </c>
      <c r="U48" s="47">
        <v>82.120771199999993</v>
      </c>
      <c r="V48" s="47">
        <v>88.265081100000003</v>
      </c>
      <c r="W48" s="47">
        <v>33.567344599999998</v>
      </c>
      <c r="X48" s="47">
        <v>46.3748389</v>
      </c>
      <c r="Y48" s="47">
        <v>45.425838900000002</v>
      </c>
      <c r="Z48" s="47">
        <v>59.151543500000002</v>
      </c>
      <c r="AA48" s="47">
        <v>33.257023400000001</v>
      </c>
      <c r="AB48" s="39">
        <v>46.996713</v>
      </c>
      <c r="AC48" s="39">
        <v>1.1641319999999999</v>
      </c>
      <c r="AE48" s="36" t="str">
        <f t="shared" si="16"/>
        <v>·</v>
      </c>
      <c r="AF48" s="37" t="str">
        <f t="shared" si="17"/>
        <v>·</v>
      </c>
      <c r="AG48" s="35" t="str">
        <f t="shared" si="18"/>
        <v>.</v>
      </c>
      <c r="AH48" s="35" t="str">
        <f t="shared" si="19"/>
        <v>.</v>
      </c>
      <c r="AI48" s="46"/>
      <c r="AJ48" s="38"/>
      <c r="AK48" s="38"/>
      <c r="AL48" s="38"/>
      <c r="AM48" s="38"/>
      <c r="AN48" s="38"/>
      <c r="AO48" s="38"/>
      <c r="AP48" s="47"/>
      <c r="AQ48" s="47"/>
      <c r="AR48" s="47"/>
      <c r="AS48" s="47"/>
      <c r="AT48" s="47"/>
      <c r="AU48" s="47"/>
      <c r="AV48" s="47"/>
      <c r="AW48" s="39"/>
      <c r="AX48" s="39"/>
      <c r="AZ48" s="40"/>
      <c r="BA48" s="40"/>
      <c r="BB48" s="40"/>
      <c r="BC48" s="40"/>
      <c r="BD48" s="40"/>
      <c r="BE48" s="40"/>
      <c r="BF48" s="40"/>
      <c r="BH48" s="101"/>
      <c r="BI48" s="101"/>
      <c r="BJ48" s="101"/>
      <c r="BK48" s="101"/>
      <c r="BL48" s="101"/>
      <c r="BM48" s="101"/>
      <c r="BN48" s="101"/>
      <c r="BP48" s="40">
        <f t="shared" si="20"/>
        <v>0</v>
      </c>
      <c r="BQ48" s="40">
        <f t="shared" si="21"/>
        <v>0</v>
      </c>
      <c r="BR48" s="40">
        <f t="shared" si="22"/>
        <v>0</v>
      </c>
      <c r="BS48" s="40">
        <f t="shared" si="23"/>
        <v>0</v>
      </c>
      <c r="BT48" s="40">
        <f t="shared" si="24"/>
        <v>0</v>
      </c>
    </row>
    <row r="49" spans="1:72" ht="15.75" customHeight="1" outlineLevel="1" thickBot="1" x14ac:dyDescent="0.2">
      <c r="A49" s="48"/>
      <c r="B49" s="48" t="s">
        <v>428</v>
      </c>
      <c r="C49" s="49" t="s">
        <v>366</v>
      </c>
      <c r="D49" s="48">
        <v>199984</v>
      </c>
      <c r="E49" s="50">
        <v>10</v>
      </c>
      <c r="F49" s="49">
        <v>1</v>
      </c>
      <c r="G49" s="49">
        <v>30</v>
      </c>
      <c r="H49" s="49">
        <v>21</v>
      </c>
      <c r="J49" s="51">
        <f t="shared" si="12"/>
        <v>90.078239999999994</v>
      </c>
      <c r="K49" s="52">
        <f t="shared" si="13"/>
        <v>15.014241139291144</v>
      </c>
      <c r="L49" s="49">
        <f t="shared" si="14"/>
        <v>3002608</v>
      </c>
      <c r="M49" s="49">
        <f t="shared" si="15"/>
        <v>312936</v>
      </c>
      <c r="N49" s="53">
        <v>1535744</v>
      </c>
      <c r="O49" s="54">
        <v>3002608</v>
      </c>
      <c r="P49" s="54">
        <v>248112</v>
      </c>
      <c r="Q49" s="54">
        <v>0</v>
      </c>
      <c r="R49" s="54">
        <v>64824</v>
      </c>
      <c r="S49" s="54">
        <v>2687984</v>
      </c>
      <c r="T49" s="54">
        <v>1688</v>
      </c>
      <c r="U49" s="55">
        <v>82.296570799999998</v>
      </c>
      <c r="V49" s="55">
        <v>88.772984699999995</v>
      </c>
      <c r="W49" s="55">
        <v>34.238238899999999</v>
      </c>
      <c r="X49" s="55">
        <v>48.012117199999999</v>
      </c>
      <c r="Y49" s="55">
        <v>46.998905299999997</v>
      </c>
      <c r="Z49" s="55">
        <v>59.486194699999999</v>
      </c>
      <c r="AA49" s="55">
        <v>33.879080799999997</v>
      </c>
      <c r="AB49" s="56">
        <v>50.429028000000002</v>
      </c>
      <c r="AC49" s="56">
        <v>1.2296480000000001</v>
      </c>
      <c r="AE49" s="51" t="str">
        <f t="shared" si="16"/>
        <v>·</v>
      </c>
      <c r="AF49" s="52" t="str">
        <f t="shared" si="17"/>
        <v>·</v>
      </c>
      <c r="AG49" s="49" t="str">
        <f t="shared" si="18"/>
        <v>.</v>
      </c>
      <c r="AH49" s="49" t="str">
        <f t="shared" si="19"/>
        <v>.</v>
      </c>
      <c r="AI49" s="53"/>
      <c r="AJ49" s="54"/>
      <c r="AK49" s="54"/>
      <c r="AL49" s="54"/>
      <c r="AM49" s="54"/>
      <c r="AN49" s="54"/>
      <c r="AO49" s="54"/>
      <c r="AP49" s="55"/>
      <c r="AQ49" s="55"/>
      <c r="AR49" s="55"/>
      <c r="AS49" s="55"/>
      <c r="AT49" s="55"/>
      <c r="AU49" s="55"/>
      <c r="AV49" s="55"/>
      <c r="AW49" s="56"/>
      <c r="AX49" s="56"/>
      <c r="AZ49" s="57"/>
      <c r="BA49" s="57"/>
      <c r="BB49" s="57"/>
      <c r="BC49" s="57"/>
      <c r="BD49" s="57"/>
      <c r="BE49" s="57"/>
      <c r="BF49" s="57"/>
      <c r="BH49" s="102"/>
      <c r="BI49" s="102"/>
      <c r="BJ49" s="102"/>
      <c r="BK49" s="102"/>
      <c r="BL49" s="102"/>
      <c r="BM49" s="102"/>
      <c r="BN49" s="102"/>
      <c r="BP49" s="57">
        <f t="shared" si="20"/>
        <v>0</v>
      </c>
      <c r="BQ49" s="57">
        <f t="shared" si="21"/>
        <v>0</v>
      </c>
      <c r="BR49" s="57">
        <f t="shared" si="22"/>
        <v>0</v>
      </c>
      <c r="BS49" s="57">
        <f t="shared" si="23"/>
        <v>0</v>
      </c>
      <c r="BT49" s="57">
        <f t="shared" si="24"/>
        <v>0</v>
      </c>
    </row>
    <row r="50" spans="1:72" x14ac:dyDescent="0.15">
      <c r="B50" s="41" t="s">
        <v>7</v>
      </c>
      <c r="K50" s="42">
        <f>AVERAGE(K5:K14)</f>
        <v>12.255289510376141</v>
      </c>
      <c r="L50" s="42"/>
      <c r="M50" s="42"/>
      <c r="T50" s="104"/>
      <c r="AF50" s="42" t="e">
        <f>AVERAGE(AF5:AF14)</f>
        <v>#DIV/0!</v>
      </c>
      <c r="AG50" s="42"/>
      <c r="AH50" s="42"/>
      <c r="AZ50" s="5" t="e">
        <f t="shared" ref="AZ50:BF50" si="25">AVERAGE(AZ5:AZ14)</f>
        <v>#DIV/0!</v>
      </c>
      <c r="BA50" s="5" t="e">
        <f t="shared" si="25"/>
        <v>#DIV/0!</v>
      </c>
      <c r="BB50" s="5" t="e">
        <f t="shared" si="25"/>
        <v>#DIV/0!</v>
      </c>
      <c r="BC50" s="5" t="e">
        <f t="shared" si="25"/>
        <v>#DIV/0!</v>
      </c>
      <c r="BD50" s="5" t="e">
        <f t="shared" si="25"/>
        <v>#DIV/0!</v>
      </c>
      <c r="BE50" s="5" t="e">
        <f t="shared" si="25"/>
        <v>#DIV/0!</v>
      </c>
      <c r="BF50" s="5" t="e">
        <f t="shared" si="25"/>
        <v>#DIV/0!</v>
      </c>
      <c r="BH50" s="5" t="e">
        <f t="shared" ref="BH50:BN50" si="26">AVERAGE(BH5:BH14)</f>
        <v>#DIV/0!</v>
      </c>
      <c r="BI50" s="5" t="e">
        <f t="shared" si="26"/>
        <v>#DIV/0!</v>
      </c>
      <c r="BJ50" s="5" t="e">
        <f t="shared" si="26"/>
        <v>#DIV/0!</v>
      </c>
      <c r="BK50" s="5" t="e">
        <f t="shared" si="26"/>
        <v>#DIV/0!</v>
      </c>
      <c r="BL50" s="5" t="e">
        <f t="shared" si="26"/>
        <v>#DIV/0!</v>
      </c>
      <c r="BM50" s="5" t="e">
        <f t="shared" si="26"/>
        <v>#DIV/0!</v>
      </c>
      <c r="BN50" s="5" t="e">
        <f t="shared" si="26"/>
        <v>#DIV/0!</v>
      </c>
      <c r="BP50" s="5">
        <f>AVERAGE(BP5:BP14)</f>
        <v>0</v>
      </c>
      <c r="BQ50" s="5">
        <f>AVERAGE(BQ5:BQ14)</f>
        <v>0</v>
      </c>
      <c r="BR50" s="5">
        <f>AVERAGE(BR5:BR14)</f>
        <v>0</v>
      </c>
      <c r="BS50" s="5">
        <f>AVERAGE(BS5:BS14)</f>
        <v>0</v>
      </c>
      <c r="BT50" s="5">
        <f>AVERAGE(BT5:BT14)</f>
        <v>0</v>
      </c>
    </row>
    <row r="51" spans="1:72" x14ac:dyDescent="0.15">
      <c r="B51" s="41" t="s">
        <v>8</v>
      </c>
      <c r="K51" s="42">
        <f>AVERAGE(K15:K24)</f>
        <v>8.9511737221242704</v>
      </c>
      <c r="L51" s="42"/>
      <c r="M51" s="42"/>
      <c r="AF51" s="42" t="e">
        <f>AVERAGE(AF15:AF24)</f>
        <v>#DIV/0!</v>
      </c>
      <c r="AG51" s="42"/>
      <c r="AH51" s="42"/>
      <c r="AZ51" s="5" t="e">
        <f t="shared" ref="AZ51:BF51" si="27">AVERAGE(AZ15:AZ24)</f>
        <v>#DIV/0!</v>
      </c>
      <c r="BA51" s="5" t="e">
        <f t="shared" si="27"/>
        <v>#DIV/0!</v>
      </c>
      <c r="BB51" s="5" t="e">
        <f t="shared" si="27"/>
        <v>#DIV/0!</v>
      </c>
      <c r="BC51" s="5" t="e">
        <f t="shared" si="27"/>
        <v>#DIV/0!</v>
      </c>
      <c r="BD51" s="5" t="e">
        <f t="shared" si="27"/>
        <v>#DIV/0!</v>
      </c>
      <c r="BE51" s="5" t="e">
        <f t="shared" si="27"/>
        <v>#DIV/0!</v>
      </c>
      <c r="BF51" s="5" t="e">
        <f t="shared" si="27"/>
        <v>#DIV/0!</v>
      </c>
      <c r="BH51" s="5" t="e">
        <f t="shared" ref="BH51:BN51" si="28">AVERAGE(BH15:BH24)</f>
        <v>#DIV/0!</v>
      </c>
      <c r="BI51" s="5" t="e">
        <f t="shared" si="28"/>
        <v>#DIV/0!</v>
      </c>
      <c r="BJ51" s="5" t="e">
        <f t="shared" si="28"/>
        <v>#DIV/0!</v>
      </c>
      <c r="BK51" s="5" t="e">
        <f t="shared" si="28"/>
        <v>#DIV/0!</v>
      </c>
      <c r="BL51" s="5" t="e">
        <f t="shared" si="28"/>
        <v>#DIV/0!</v>
      </c>
      <c r="BM51" s="5" t="e">
        <f t="shared" si="28"/>
        <v>#DIV/0!</v>
      </c>
      <c r="BN51" s="5" t="e">
        <f t="shared" si="28"/>
        <v>#DIV/0!</v>
      </c>
      <c r="BP51" s="5">
        <f>AVERAGE(BP15:BP24)</f>
        <v>0</v>
      </c>
      <c r="BQ51" s="5">
        <f>AVERAGE(BQ15:BQ24)</f>
        <v>0</v>
      </c>
      <c r="BR51" s="5">
        <f>AVERAGE(BR15:BR24)</f>
        <v>0</v>
      </c>
      <c r="BS51" s="5">
        <f>AVERAGE(BS15:BS24)</f>
        <v>0</v>
      </c>
      <c r="BT51" s="5">
        <f>AVERAGE(BT15:BT24)</f>
        <v>0</v>
      </c>
    </row>
    <row r="52" spans="1:72" x14ac:dyDescent="0.15">
      <c r="B52" s="41" t="s">
        <v>9</v>
      </c>
      <c r="K52" s="42">
        <f>AVERAGE(K25:K44)</f>
        <v>9.0696867664666225</v>
      </c>
      <c r="L52" s="42"/>
      <c r="M52" s="42"/>
      <c r="T52" s="98"/>
      <c r="AF52" s="42" t="e">
        <f>AVERAGE(AF25:AF44)</f>
        <v>#DIV/0!</v>
      </c>
      <c r="AG52" s="42"/>
      <c r="AH52" s="42"/>
      <c r="AZ52" s="5" t="e">
        <f t="shared" ref="AZ52:BF52" si="29">AVERAGE(AZ25:AZ44)</f>
        <v>#DIV/0!</v>
      </c>
      <c r="BA52" s="5" t="e">
        <f t="shared" si="29"/>
        <v>#DIV/0!</v>
      </c>
      <c r="BB52" s="5" t="e">
        <f t="shared" si="29"/>
        <v>#DIV/0!</v>
      </c>
      <c r="BC52" s="5" t="e">
        <f t="shared" si="29"/>
        <v>#DIV/0!</v>
      </c>
      <c r="BD52" s="5" t="e">
        <f t="shared" si="29"/>
        <v>#DIV/0!</v>
      </c>
      <c r="BE52" s="5" t="e">
        <f t="shared" si="29"/>
        <v>#DIV/0!</v>
      </c>
      <c r="BF52" s="5" t="e">
        <f t="shared" si="29"/>
        <v>#DIV/0!</v>
      </c>
      <c r="BH52" s="5" t="e">
        <f t="shared" ref="BH52:BN52" si="30">AVERAGE(BH25:BH44)</f>
        <v>#DIV/0!</v>
      </c>
      <c r="BI52" s="5" t="e">
        <f t="shared" si="30"/>
        <v>#DIV/0!</v>
      </c>
      <c r="BJ52" s="5" t="e">
        <f t="shared" si="30"/>
        <v>#DIV/0!</v>
      </c>
      <c r="BK52" s="5" t="e">
        <f t="shared" si="30"/>
        <v>#DIV/0!</v>
      </c>
      <c r="BL52" s="5" t="e">
        <f t="shared" si="30"/>
        <v>#DIV/0!</v>
      </c>
      <c r="BM52" s="5" t="e">
        <f t="shared" si="30"/>
        <v>#DIV/0!</v>
      </c>
      <c r="BN52" s="5" t="e">
        <f t="shared" si="30"/>
        <v>#DIV/0!</v>
      </c>
      <c r="BP52" s="5">
        <f>AVERAGE(BP25:BP44)</f>
        <v>0</v>
      </c>
      <c r="BQ52" s="5">
        <f>AVERAGE(BQ25:BQ44)</f>
        <v>0</v>
      </c>
      <c r="BR52" s="5">
        <f>AVERAGE(BR25:BR44)</f>
        <v>0</v>
      </c>
      <c r="BS52" s="5">
        <f>AVERAGE(BS25:BS44)</f>
        <v>0</v>
      </c>
      <c r="BT52" s="5">
        <f>AVERAGE(BT25:BT44)</f>
        <v>0</v>
      </c>
    </row>
    <row r="53" spans="1:72" x14ac:dyDescent="0.15">
      <c r="B53" s="41" t="s">
        <v>429</v>
      </c>
      <c r="K53" s="42">
        <f>AVERAGE(K45:K49)</f>
        <v>6.1465797263781097</v>
      </c>
      <c r="L53" s="42"/>
      <c r="M53" s="42"/>
      <c r="AF53" s="42" t="e">
        <f>AVERAGE(AF45:AF49)</f>
        <v>#DIV/0!</v>
      </c>
      <c r="AG53" s="42"/>
      <c r="AH53" s="42"/>
      <c r="AZ53" s="5" t="e">
        <f>AVERAGE(AZ45:AZ49)</f>
        <v>#DIV/0!</v>
      </c>
      <c r="BA53" s="5" t="e">
        <f t="shared" ref="BA53:BN53" si="31">AVERAGE(BA45:BA49)</f>
        <v>#DIV/0!</v>
      </c>
      <c r="BB53" s="5" t="e">
        <f t="shared" si="31"/>
        <v>#DIV/0!</v>
      </c>
      <c r="BC53" s="5" t="e">
        <f t="shared" si="31"/>
        <v>#DIV/0!</v>
      </c>
      <c r="BD53" s="5" t="e">
        <f t="shared" si="31"/>
        <v>#DIV/0!</v>
      </c>
      <c r="BE53" s="5" t="e">
        <f t="shared" si="31"/>
        <v>#DIV/0!</v>
      </c>
      <c r="BF53" s="5" t="e">
        <f t="shared" si="31"/>
        <v>#DIV/0!</v>
      </c>
      <c r="BG53" s="5"/>
      <c r="BH53" s="5" t="e">
        <f t="shared" si="31"/>
        <v>#DIV/0!</v>
      </c>
      <c r="BI53" s="5" t="e">
        <f t="shared" si="31"/>
        <v>#DIV/0!</v>
      </c>
      <c r="BJ53" s="5" t="e">
        <f t="shared" si="31"/>
        <v>#DIV/0!</v>
      </c>
      <c r="BK53" s="5" t="e">
        <f t="shared" si="31"/>
        <v>#DIV/0!</v>
      </c>
      <c r="BL53" s="5" t="e">
        <f t="shared" si="31"/>
        <v>#DIV/0!</v>
      </c>
      <c r="BM53" s="5" t="e">
        <f t="shared" si="31"/>
        <v>#DIV/0!</v>
      </c>
      <c r="BN53" s="5" t="e">
        <f t="shared" si="31"/>
        <v>#DIV/0!</v>
      </c>
      <c r="BP53" s="5">
        <f>AVERAGE(BP45:BP49)</f>
        <v>0</v>
      </c>
      <c r="BQ53" s="5">
        <f t="shared" ref="BQ53:BT53" si="32">AVERAGE(BQ45:BQ49)</f>
        <v>0</v>
      </c>
      <c r="BR53" s="5">
        <f t="shared" si="32"/>
        <v>0</v>
      </c>
      <c r="BS53" s="5">
        <f t="shared" si="32"/>
        <v>0</v>
      </c>
      <c r="BT53" s="5">
        <f t="shared" si="32"/>
        <v>0</v>
      </c>
    </row>
    <row r="54" spans="1:72" x14ac:dyDescent="0.15">
      <c r="B54" s="41" t="s">
        <v>10</v>
      </c>
      <c r="K54" s="42">
        <f>AVERAGE(K5:K49)</f>
        <v>9.4264725841383825</v>
      </c>
      <c r="L54" s="42"/>
      <c r="M54" s="42"/>
      <c r="AF54" s="42" t="e">
        <f>AVERAGE(AF5:AF49)</f>
        <v>#DIV/0!</v>
      </c>
      <c r="AG54" s="42"/>
      <c r="AH54" s="42"/>
      <c r="AZ54" s="5" t="e">
        <f>AVERAGE(AZ5:AZ49)</f>
        <v>#DIV/0!</v>
      </c>
      <c r="BA54" s="5" t="e">
        <f t="shared" ref="BA54:BF54" si="33">AVERAGE(BA5:BA49)</f>
        <v>#DIV/0!</v>
      </c>
      <c r="BB54" s="5" t="e">
        <f t="shared" si="33"/>
        <v>#DIV/0!</v>
      </c>
      <c r="BC54" s="5" t="e">
        <f t="shared" si="33"/>
        <v>#DIV/0!</v>
      </c>
      <c r="BD54" s="5" t="e">
        <f t="shared" si="33"/>
        <v>#DIV/0!</v>
      </c>
      <c r="BE54" s="5" t="e">
        <f t="shared" si="33"/>
        <v>#DIV/0!</v>
      </c>
      <c r="BF54" s="5" t="e">
        <f t="shared" si="33"/>
        <v>#DIV/0!</v>
      </c>
      <c r="BH54" s="5" t="e">
        <f>AVERAGE(BH5:BH49)</f>
        <v>#DIV/0!</v>
      </c>
      <c r="BI54" s="5" t="e">
        <f t="shared" ref="BI54:BN54" si="34">AVERAGE(BI5:BI49)</f>
        <v>#DIV/0!</v>
      </c>
      <c r="BJ54" s="5" t="e">
        <f t="shared" si="34"/>
        <v>#DIV/0!</v>
      </c>
      <c r="BK54" s="5" t="e">
        <f t="shared" si="34"/>
        <v>#DIV/0!</v>
      </c>
      <c r="BL54" s="5" t="e">
        <f t="shared" si="34"/>
        <v>#DIV/0!</v>
      </c>
      <c r="BM54" s="5" t="e">
        <f t="shared" si="34"/>
        <v>#DIV/0!</v>
      </c>
      <c r="BN54" s="5" t="e">
        <f t="shared" si="34"/>
        <v>#DIV/0!</v>
      </c>
      <c r="BP54" s="5">
        <f>AVERAGE(BP5:BP49)</f>
        <v>0</v>
      </c>
      <c r="BQ54" s="5">
        <f t="shared" ref="BQ54:BT54" si="35">AVERAGE(BQ5:BQ49)</f>
        <v>0</v>
      </c>
      <c r="BR54" s="5">
        <f t="shared" si="35"/>
        <v>0</v>
      </c>
      <c r="BS54" s="5">
        <f t="shared" si="35"/>
        <v>0</v>
      </c>
      <c r="BT54" s="5">
        <f t="shared" si="35"/>
        <v>0</v>
      </c>
    </row>
    <row r="55" spans="1:72" x14ac:dyDescent="0.15">
      <c r="A55" s="41" t="s">
        <v>178</v>
      </c>
      <c r="B55" s="41" t="s">
        <v>179</v>
      </c>
      <c r="AB55" s="43">
        <f>SUM(AB5:AB14,AB15:AB24,AB25:AB44,AB45:AB49)</f>
        <v>1440467.360103</v>
      </c>
      <c r="AC55" s="43">
        <f>SUM(AC5:AC14,AC15:AC24,AC25:AC44,AC45:AC49)</f>
        <v>10099.007915</v>
      </c>
      <c r="AW55" s="43">
        <f>SUM(AW5:AW14,AW15:AW24,AW25:AW44,AW45:AW49)</f>
        <v>0</v>
      </c>
      <c r="AX55" s="43">
        <f>SUM(AX5:AX14,AX15:AX24,AX25:AX44,AX45:AX49)</f>
        <v>0</v>
      </c>
    </row>
    <row r="56" spans="1:72" x14ac:dyDescent="0.15">
      <c r="B56" s="41" t="s">
        <v>180</v>
      </c>
      <c r="AJ56" s="98"/>
      <c r="AW56" s="8">
        <f>AW55/AB55</f>
        <v>0</v>
      </c>
      <c r="AX56" s="8">
        <f>AX55/AC55</f>
        <v>0</v>
      </c>
    </row>
    <row r="57" spans="1:72" x14ac:dyDescent="0.15">
      <c r="AJ57" s="98"/>
    </row>
    <row r="58" spans="1:72" x14ac:dyDescent="0.15">
      <c r="AJ58" s="98"/>
      <c r="AL58" s="103"/>
    </row>
    <row r="59" spans="1:72" ht="15.75" customHeight="1" thickBot="1" x14ac:dyDescent="0.2">
      <c r="AJ59" s="98"/>
    </row>
    <row r="60" spans="1:72" x14ac:dyDescent="0.15">
      <c r="AG60" s="88" t="e">
        <f t="shared" ref="AG60:AG99" si="36">AG5-L5</f>
        <v>#VALUE!</v>
      </c>
      <c r="AH60" s="88" t="e">
        <f t="shared" ref="AH60:AH99" si="37">AH5-M5</f>
        <v>#VALUE!</v>
      </c>
      <c r="AI60" s="88">
        <f t="shared" ref="AI60:AI99" si="38">AI5-N5</f>
        <v>-22725696</v>
      </c>
      <c r="AJ60" s="88">
        <f t="shared" ref="AJ60:AJ99" si="39">AJ5-O5</f>
        <v>-41800408</v>
      </c>
      <c r="AK60" s="88">
        <f t="shared" ref="AK60:AK99" si="40">AK5-P5</f>
        <v>-7986928</v>
      </c>
      <c r="AL60" s="88">
        <f t="shared" ref="AL60:AL99" si="41">AL5-Q5</f>
        <v>0</v>
      </c>
      <c r="AM60" s="88">
        <f t="shared" ref="AM60:AM99" si="42">AM5-R5</f>
        <v>-6006304</v>
      </c>
      <c r="AN60" s="88">
        <f t="shared" ref="AN60:AN99" si="43">AN5-S5</f>
        <v>-27663304</v>
      </c>
      <c r="AO60" s="88">
        <f t="shared" ref="AO60:AO99" si="44">AO5-T5</f>
        <v>-143872</v>
      </c>
      <c r="AP60" s="88">
        <f t="shared" ref="AP60:AP99" si="45">AP5-U5</f>
        <v>-68.390141</v>
      </c>
      <c r="AQ60" s="89">
        <f t="shared" ref="AQ60:AQ99" si="46">AQ5-V5</f>
        <v>-69.403587400000006</v>
      </c>
      <c r="AR60" s="89">
        <f t="shared" ref="AR60:AR99" si="47">AR5-W5</f>
        <v>-27.835100700000002</v>
      </c>
      <c r="AS60" s="89">
        <f t="shared" ref="AS60:AS99" si="48">AS5-X5</f>
        <v>-33.481198599999999</v>
      </c>
      <c r="AT60" s="89">
        <f t="shared" ref="AT60:AT99" si="49">AT5-Y5</f>
        <v>-32.859164100000001</v>
      </c>
      <c r="AU60" s="89">
        <f t="shared" ref="AU60:AU99" si="50">AU5-Z5</f>
        <v>-47.920303099999998</v>
      </c>
      <c r="AV60" s="90">
        <f t="shared" ref="AV60:AV99" si="51">AV5-AA5</f>
        <v>-26.6098891</v>
      </c>
    </row>
    <row r="61" spans="1:72" x14ac:dyDescent="0.15">
      <c r="AG61" s="91" t="e">
        <f t="shared" si="36"/>
        <v>#VALUE!</v>
      </c>
      <c r="AH61" s="91" t="e">
        <f t="shared" si="37"/>
        <v>#VALUE!</v>
      </c>
      <c r="AI61" s="91">
        <f t="shared" si="38"/>
        <v>-22725696</v>
      </c>
      <c r="AJ61" s="91">
        <f t="shared" si="39"/>
        <v>-85134560</v>
      </c>
      <c r="AK61" s="91">
        <f t="shared" si="40"/>
        <v>-7986928</v>
      </c>
      <c r="AL61" s="91">
        <f t="shared" si="41"/>
        <v>0</v>
      </c>
      <c r="AM61" s="91">
        <f t="shared" si="42"/>
        <v>-10656264</v>
      </c>
      <c r="AN61" s="91">
        <f t="shared" si="43"/>
        <v>-66353528</v>
      </c>
      <c r="AO61" s="91">
        <f t="shared" si="44"/>
        <v>-137840</v>
      </c>
      <c r="AP61" s="91">
        <f t="shared" si="45"/>
        <v>-69.951700399999993</v>
      </c>
      <c r="AQ61" s="92">
        <f t="shared" si="46"/>
        <v>-71.1365962</v>
      </c>
      <c r="AR61" s="92">
        <f t="shared" si="47"/>
        <v>-31.076722</v>
      </c>
      <c r="AS61" s="92">
        <f t="shared" si="48"/>
        <v>-34.678024299999997</v>
      </c>
      <c r="AT61" s="92">
        <f t="shared" si="49"/>
        <v>-34.186816499999999</v>
      </c>
      <c r="AU61" s="92">
        <f t="shared" si="50"/>
        <v>-48.7709209</v>
      </c>
      <c r="AV61" s="93">
        <f t="shared" si="51"/>
        <v>-28.733892900000001</v>
      </c>
    </row>
    <row r="62" spans="1:72" x14ac:dyDescent="0.15">
      <c r="AG62" s="91" t="e">
        <f t="shared" si="36"/>
        <v>#VALUE!</v>
      </c>
      <c r="AH62" s="91" t="e">
        <f t="shared" si="37"/>
        <v>#VALUE!</v>
      </c>
      <c r="AI62" s="91">
        <f t="shared" si="38"/>
        <v>-45556032</v>
      </c>
      <c r="AJ62" s="91">
        <f t="shared" si="39"/>
        <v>-116970952</v>
      </c>
      <c r="AK62" s="91">
        <f t="shared" si="40"/>
        <v>-12439568</v>
      </c>
      <c r="AL62" s="91">
        <f t="shared" si="41"/>
        <v>0</v>
      </c>
      <c r="AM62" s="91">
        <f t="shared" si="42"/>
        <v>-10255536</v>
      </c>
      <c r="AN62" s="91">
        <f t="shared" si="43"/>
        <v>-94130968</v>
      </c>
      <c r="AO62" s="91">
        <f t="shared" si="44"/>
        <v>-144880</v>
      </c>
      <c r="AP62" s="91">
        <f t="shared" si="45"/>
        <v>-72.390026300000002</v>
      </c>
      <c r="AQ62" s="92">
        <f t="shared" si="46"/>
        <v>-73.953541400000006</v>
      </c>
      <c r="AR62" s="92">
        <f t="shared" si="47"/>
        <v>-32.282027900000003</v>
      </c>
      <c r="AS62" s="92">
        <f t="shared" si="48"/>
        <v>-36.402968899999998</v>
      </c>
      <c r="AT62" s="92">
        <f t="shared" si="49"/>
        <v>-36.135844599999999</v>
      </c>
      <c r="AU62" s="92">
        <f t="shared" si="50"/>
        <v>-50.017482999999999</v>
      </c>
      <c r="AV62" s="93">
        <f t="shared" si="51"/>
        <v>-30.2530456</v>
      </c>
    </row>
    <row r="63" spans="1:72" x14ac:dyDescent="0.15">
      <c r="AG63" s="91" t="e">
        <f t="shared" si="36"/>
        <v>#VALUE!</v>
      </c>
      <c r="AH63" s="91" t="e">
        <f t="shared" si="37"/>
        <v>#VALUE!</v>
      </c>
      <c r="AI63" s="91">
        <f t="shared" si="38"/>
        <v>-91604096</v>
      </c>
      <c r="AJ63" s="91">
        <f t="shared" si="39"/>
        <v>-147417528</v>
      </c>
      <c r="AK63" s="91">
        <f t="shared" si="40"/>
        <v>-20293248</v>
      </c>
      <c r="AL63" s="91">
        <f t="shared" si="41"/>
        <v>0</v>
      </c>
      <c r="AM63" s="91">
        <f t="shared" si="42"/>
        <v>-8813232</v>
      </c>
      <c r="AN63" s="91">
        <f t="shared" si="43"/>
        <v>-118167528</v>
      </c>
      <c r="AO63" s="91">
        <f t="shared" si="44"/>
        <v>-143520</v>
      </c>
      <c r="AP63" s="91">
        <f t="shared" si="45"/>
        <v>-73.298383999999999</v>
      </c>
      <c r="AQ63" s="92">
        <f t="shared" si="46"/>
        <v>-74.9974457</v>
      </c>
      <c r="AR63" s="92">
        <f t="shared" si="47"/>
        <v>-33.247091400000002</v>
      </c>
      <c r="AS63" s="92">
        <f t="shared" si="48"/>
        <v>-36.949862500000002</v>
      </c>
      <c r="AT63" s="92">
        <f t="shared" si="49"/>
        <v>-36.677552900000002</v>
      </c>
      <c r="AU63" s="92">
        <f t="shared" si="50"/>
        <v>-50.671714000000001</v>
      </c>
      <c r="AV63" s="93">
        <f t="shared" si="51"/>
        <v>-31.026782399999998</v>
      </c>
    </row>
    <row r="64" spans="1:72" x14ac:dyDescent="0.15">
      <c r="AG64" s="91" t="e">
        <f t="shared" si="36"/>
        <v>#VALUE!</v>
      </c>
      <c r="AH64" s="91" t="e">
        <f t="shared" si="37"/>
        <v>#VALUE!</v>
      </c>
      <c r="AI64" s="91">
        <f t="shared" si="38"/>
        <v>-91604096</v>
      </c>
      <c r="AJ64" s="91">
        <f t="shared" si="39"/>
        <v>-222770104</v>
      </c>
      <c r="AK64" s="91">
        <f t="shared" si="40"/>
        <v>-20293248</v>
      </c>
      <c r="AL64" s="91">
        <f t="shared" si="41"/>
        <v>0</v>
      </c>
      <c r="AM64" s="91">
        <f t="shared" si="42"/>
        <v>-16037392</v>
      </c>
      <c r="AN64" s="91">
        <f t="shared" si="43"/>
        <v>-186301416</v>
      </c>
      <c r="AO64" s="91">
        <f t="shared" si="44"/>
        <v>-138048</v>
      </c>
      <c r="AP64" s="91">
        <f t="shared" si="45"/>
        <v>-74.956732099999996</v>
      </c>
      <c r="AQ64" s="92">
        <f t="shared" si="46"/>
        <v>-76.939405500000007</v>
      </c>
      <c r="AR64" s="92">
        <f t="shared" si="47"/>
        <v>-34.889373300000003</v>
      </c>
      <c r="AS64" s="92">
        <f t="shared" si="48"/>
        <v>-38.5075973</v>
      </c>
      <c r="AT64" s="92">
        <f t="shared" si="49"/>
        <v>-38.2023358</v>
      </c>
      <c r="AU64" s="92">
        <f t="shared" si="50"/>
        <v>-51.611443800000004</v>
      </c>
      <c r="AV64" s="93">
        <f t="shared" si="51"/>
        <v>-32.413606299999998</v>
      </c>
    </row>
    <row r="65" spans="33:48" x14ac:dyDescent="0.15">
      <c r="AG65" s="91" t="e">
        <f t="shared" si="36"/>
        <v>#VALUE!</v>
      </c>
      <c r="AH65" s="91" t="e">
        <f t="shared" si="37"/>
        <v>#VALUE!</v>
      </c>
      <c r="AI65" s="91">
        <f t="shared" si="38"/>
        <v>-9611840</v>
      </c>
      <c r="AJ65" s="91">
        <f t="shared" si="39"/>
        <v>-50209056</v>
      </c>
      <c r="AK65" s="91">
        <f t="shared" si="40"/>
        <v>-2189872</v>
      </c>
      <c r="AL65" s="91">
        <f t="shared" si="41"/>
        <v>-1611264</v>
      </c>
      <c r="AM65" s="91">
        <f t="shared" si="42"/>
        <v>-12136048</v>
      </c>
      <c r="AN65" s="91">
        <f t="shared" si="43"/>
        <v>-34157440</v>
      </c>
      <c r="AO65" s="91">
        <f t="shared" si="44"/>
        <v>-114432</v>
      </c>
      <c r="AP65" s="91">
        <f t="shared" si="45"/>
        <v>-68.075513999999998</v>
      </c>
      <c r="AQ65" s="92">
        <f t="shared" si="46"/>
        <v>-69.130929600000002</v>
      </c>
      <c r="AR65" s="92">
        <f t="shared" si="47"/>
        <v>-35.963446400000002</v>
      </c>
      <c r="AS65" s="92">
        <f t="shared" si="48"/>
        <v>-46.456014199999998</v>
      </c>
      <c r="AT65" s="92">
        <f t="shared" si="49"/>
        <v>-46.937872400000003</v>
      </c>
      <c r="AU65" s="92">
        <f t="shared" si="50"/>
        <v>-45.716723600000002</v>
      </c>
      <c r="AV65" s="93">
        <f t="shared" si="51"/>
        <v>-32.157355899999999</v>
      </c>
    </row>
    <row r="66" spans="33:48" x14ac:dyDescent="0.15">
      <c r="AG66" s="91" t="e">
        <f t="shared" si="36"/>
        <v>#VALUE!</v>
      </c>
      <c r="AH66" s="91" t="e">
        <f t="shared" si="37"/>
        <v>#VALUE!</v>
      </c>
      <c r="AI66" s="91">
        <f t="shared" si="38"/>
        <v>-19011856</v>
      </c>
      <c r="AJ66" s="91">
        <f t="shared" si="39"/>
        <v>-94972832</v>
      </c>
      <c r="AK66" s="91">
        <f t="shared" si="40"/>
        <v>-7524272</v>
      </c>
      <c r="AL66" s="91">
        <f t="shared" si="41"/>
        <v>-2120000</v>
      </c>
      <c r="AM66" s="91">
        <f t="shared" si="42"/>
        <v>-23034632</v>
      </c>
      <c r="AN66" s="91">
        <f t="shared" si="43"/>
        <v>-62177808</v>
      </c>
      <c r="AO66" s="91">
        <f t="shared" si="44"/>
        <v>-116120</v>
      </c>
      <c r="AP66" s="91">
        <f t="shared" si="45"/>
        <v>-72.302338500000005</v>
      </c>
      <c r="AQ66" s="92">
        <f t="shared" si="46"/>
        <v>-73.929781300000002</v>
      </c>
      <c r="AR66" s="92">
        <f t="shared" si="47"/>
        <v>-37.342124099999999</v>
      </c>
      <c r="AS66" s="92">
        <f t="shared" si="48"/>
        <v>-47.189041600000003</v>
      </c>
      <c r="AT66" s="92">
        <f t="shared" si="49"/>
        <v>-47.783516599999999</v>
      </c>
      <c r="AU66" s="92">
        <f t="shared" si="50"/>
        <v>-48.149323000000003</v>
      </c>
      <c r="AV66" s="93">
        <f t="shared" si="51"/>
        <v>-34.519677100000003</v>
      </c>
    </row>
    <row r="67" spans="33:48" x14ac:dyDescent="0.15">
      <c r="AG67" s="91" t="e">
        <f t="shared" si="36"/>
        <v>#VALUE!</v>
      </c>
      <c r="AH67" s="91" t="e">
        <f t="shared" si="37"/>
        <v>#VALUE!</v>
      </c>
      <c r="AI67" s="91">
        <f t="shared" si="38"/>
        <v>-20935328</v>
      </c>
      <c r="AJ67" s="91">
        <f t="shared" si="39"/>
        <v>-122560872</v>
      </c>
      <c r="AK67" s="91">
        <f t="shared" si="40"/>
        <v>-8586808</v>
      </c>
      <c r="AL67" s="91">
        <f t="shared" si="41"/>
        <v>-2205760</v>
      </c>
      <c r="AM67" s="91">
        <f t="shared" si="42"/>
        <v>-26573832</v>
      </c>
      <c r="AN67" s="91">
        <f t="shared" si="43"/>
        <v>-85077984</v>
      </c>
      <c r="AO67" s="91">
        <f t="shared" si="44"/>
        <v>-116488</v>
      </c>
      <c r="AP67" s="91">
        <f t="shared" si="45"/>
        <v>-72.881377999999998</v>
      </c>
      <c r="AQ67" s="92">
        <f t="shared" si="46"/>
        <v>-74.604152400000004</v>
      </c>
      <c r="AR67" s="92">
        <f t="shared" si="47"/>
        <v>-38.182698600000002</v>
      </c>
      <c r="AS67" s="92">
        <f t="shared" si="48"/>
        <v>-47.505491999999997</v>
      </c>
      <c r="AT67" s="92">
        <f t="shared" si="49"/>
        <v>-48.109767400000003</v>
      </c>
      <c r="AU67" s="92">
        <f t="shared" si="50"/>
        <v>-48.490733200000001</v>
      </c>
      <c r="AV67" s="93">
        <f t="shared" si="51"/>
        <v>-35.138276400000002</v>
      </c>
    </row>
    <row r="68" spans="33:48" x14ac:dyDescent="0.15">
      <c r="AG68" s="91" t="e">
        <f t="shared" si="36"/>
        <v>#VALUE!</v>
      </c>
      <c r="AH68" s="91" t="e">
        <f t="shared" si="37"/>
        <v>#VALUE!</v>
      </c>
      <c r="AI68" s="91">
        <f t="shared" si="38"/>
        <v>-22847344</v>
      </c>
      <c r="AJ68" s="91">
        <f t="shared" si="39"/>
        <v>-157977344</v>
      </c>
      <c r="AK68" s="91">
        <f t="shared" si="40"/>
        <v>-9800344</v>
      </c>
      <c r="AL68" s="91">
        <f t="shared" si="41"/>
        <v>-2301456</v>
      </c>
      <c r="AM68" s="91">
        <f t="shared" si="42"/>
        <v>-28459488</v>
      </c>
      <c r="AN68" s="91">
        <f t="shared" si="43"/>
        <v>-117299336</v>
      </c>
      <c r="AO68" s="91">
        <f t="shared" si="44"/>
        <v>-116720</v>
      </c>
      <c r="AP68" s="91">
        <f t="shared" si="45"/>
        <v>-73.373846099999994</v>
      </c>
      <c r="AQ68" s="92">
        <f t="shared" si="46"/>
        <v>-75.188779499999995</v>
      </c>
      <c r="AR68" s="92">
        <f t="shared" si="47"/>
        <v>-38.934055899999997</v>
      </c>
      <c r="AS68" s="92">
        <f t="shared" si="48"/>
        <v>-48.229532599999999</v>
      </c>
      <c r="AT68" s="92">
        <f t="shared" si="49"/>
        <v>-48.8732617</v>
      </c>
      <c r="AU68" s="92">
        <f t="shared" si="50"/>
        <v>-48.7940623</v>
      </c>
      <c r="AV68" s="93">
        <f t="shared" si="51"/>
        <v>-35.663725100000001</v>
      </c>
    </row>
    <row r="69" spans="33:48" x14ac:dyDescent="0.15">
      <c r="AG69" s="91" t="e">
        <f t="shared" si="36"/>
        <v>#VALUE!</v>
      </c>
      <c r="AH69" s="91" t="e">
        <f t="shared" si="37"/>
        <v>#VALUE!</v>
      </c>
      <c r="AI69" s="91">
        <f t="shared" si="38"/>
        <v>-35325296</v>
      </c>
      <c r="AJ69" s="91">
        <f t="shared" si="39"/>
        <v>-216587512</v>
      </c>
      <c r="AK69" s="91">
        <f t="shared" si="40"/>
        <v>-19867792</v>
      </c>
      <c r="AL69" s="91">
        <f t="shared" si="41"/>
        <v>-2436544</v>
      </c>
      <c r="AM69" s="91">
        <f t="shared" si="42"/>
        <v>-38254152</v>
      </c>
      <c r="AN69" s="91">
        <f t="shared" si="43"/>
        <v>-155910096</v>
      </c>
      <c r="AO69" s="91">
        <f t="shared" si="44"/>
        <v>-118928</v>
      </c>
      <c r="AP69" s="91">
        <f t="shared" si="45"/>
        <v>-75.452477799999997</v>
      </c>
      <c r="AQ69" s="92">
        <f t="shared" si="46"/>
        <v>-77.743848499999999</v>
      </c>
      <c r="AR69" s="92">
        <f t="shared" si="47"/>
        <v>-39.499487600000002</v>
      </c>
      <c r="AS69" s="92">
        <f t="shared" si="48"/>
        <v>-48.5901724</v>
      </c>
      <c r="AT69" s="92">
        <f t="shared" si="49"/>
        <v>-49.261313299999998</v>
      </c>
      <c r="AU69" s="92">
        <f t="shared" si="50"/>
        <v>-50.098559600000002</v>
      </c>
      <c r="AV69" s="93">
        <f t="shared" si="51"/>
        <v>-36.756726100000002</v>
      </c>
    </row>
    <row r="70" spans="33:48" x14ac:dyDescent="0.15">
      <c r="AG70" s="91" t="e">
        <f t="shared" si="36"/>
        <v>#VALUE!</v>
      </c>
      <c r="AH70" s="91" t="e">
        <f t="shared" si="37"/>
        <v>#VALUE!</v>
      </c>
      <c r="AI70" s="91">
        <f t="shared" si="38"/>
        <v>-22706944</v>
      </c>
      <c r="AJ70" s="91">
        <f t="shared" si="39"/>
        <v>-30770664</v>
      </c>
      <c r="AK70" s="91">
        <f t="shared" si="40"/>
        <v>-6594432</v>
      </c>
      <c r="AL70" s="91">
        <f t="shared" si="41"/>
        <v>0</v>
      </c>
      <c r="AM70" s="91">
        <f t="shared" si="42"/>
        <v>-5016816</v>
      </c>
      <c r="AN70" s="91">
        <f t="shared" si="43"/>
        <v>-19010328</v>
      </c>
      <c r="AO70" s="91">
        <f t="shared" si="44"/>
        <v>-149088</v>
      </c>
      <c r="AP70" s="91">
        <f t="shared" si="45"/>
        <v>-70.9818657</v>
      </c>
      <c r="AQ70" s="92">
        <f t="shared" si="46"/>
        <v>-72.304184699999993</v>
      </c>
      <c r="AR70" s="92">
        <f t="shared" si="47"/>
        <v>-35.671441999999999</v>
      </c>
      <c r="AS70" s="92">
        <f t="shared" si="48"/>
        <v>-43.306057099999997</v>
      </c>
      <c r="AT70" s="92">
        <f t="shared" si="49"/>
        <v>-45.119129600000001</v>
      </c>
      <c r="AU70" s="92">
        <f t="shared" si="50"/>
        <v>-45.407006099999997</v>
      </c>
      <c r="AV70" s="93">
        <f t="shared" si="51"/>
        <v>-32.3785186</v>
      </c>
    </row>
    <row r="71" spans="33:48" x14ac:dyDescent="0.15">
      <c r="AG71" s="91" t="e">
        <f t="shared" si="36"/>
        <v>#VALUE!</v>
      </c>
      <c r="AH71" s="91" t="e">
        <f t="shared" si="37"/>
        <v>#VALUE!</v>
      </c>
      <c r="AI71" s="91">
        <f t="shared" si="38"/>
        <v>-22706944</v>
      </c>
      <c r="AJ71" s="91">
        <f t="shared" si="39"/>
        <v>-51030632</v>
      </c>
      <c r="AK71" s="91">
        <f t="shared" si="40"/>
        <v>-7173872</v>
      </c>
      <c r="AL71" s="91">
        <f t="shared" si="41"/>
        <v>0</v>
      </c>
      <c r="AM71" s="91">
        <f t="shared" si="42"/>
        <v>-7640952</v>
      </c>
      <c r="AN71" s="91">
        <f t="shared" si="43"/>
        <v>-36070080</v>
      </c>
      <c r="AO71" s="91">
        <f t="shared" si="44"/>
        <v>-145728</v>
      </c>
      <c r="AP71" s="91">
        <f t="shared" si="45"/>
        <v>-72.622510000000005</v>
      </c>
      <c r="AQ71" s="92">
        <f t="shared" si="46"/>
        <v>-74.115700500000003</v>
      </c>
      <c r="AR71" s="92">
        <f t="shared" si="47"/>
        <v>-38.461798100000003</v>
      </c>
      <c r="AS71" s="92">
        <f t="shared" si="48"/>
        <v>-43.930253499999999</v>
      </c>
      <c r="AT71" s="92">
        <f t="shared" si="49"/>
        <v>-46.365934699999997</v>
      </c>
      <c r="AU71" s="92">
        <f t="shared" si="50"/>
        <v>-46.247832500000001</v>
      </c>
      <c r="AV71" s="93">
        <f t="shared" si="51"/>
        <v>-34.015401599999997</v>
      </c>
    </row>
    <row r="72" spans="33:48" x14ac:dyDescent="0.15">
      <c r="AG72" s="91" t="e">
        <f t="shared" si="36"/>
        <v>#VALUE!</v>
      </c>
      <c r="AH72" s="91" t="e">
        <f t="shared" si="37"/>
        <v>#VALUE!</v>
      </c>
      <c r="AI72" s="91">
        <f t="shared" si="38"/>
        <v>-45429504</v>
      </c>
      <c r="AJ72" s="91">
        <f t="shared" si="39"/>
        <v>-99602352</v>
      </c>
      <c r="AK72" s="91">
        <f t="shared" si="40"/>
        <v>-12009904</v>
      </c>
      <c r="AL72" s="91">
        <f t="shared" si="41"/>
        <v>0</v>
      </c>
      <c r="AM72" s="91">
        <f t="shared" si="42"/>
        <v>-17334304</v>
      </c>
      <c r="AN72" s="91">
        <f t="shared" si="43"/>
        <v>-70113112</v>
      </c>
      <c r="AO72" s="91">
        <f t="shared" si="44"/>
        <v>-145032</v>
      </c>
      <c r="AP72" s="91">
        <f t="shared" si="45"/>
        <v>-77.557658599999996</v>
      </c>
      <c r="AQ72" s="92">
        <f t="shared" si="46"/>
        <v>-79.864423599999995</v>
      </c>
      <c r="AR72" s="92">
        <f t="shared" si="47"/>
        <v>-41.158349700000002</v>
      </c>
      <c r="AS72" s="92">
        <f t="shared" si="48"/>
        <v>-44.806093699999998</v>
      </c>
      <c r="AT72" s="92">
        <f t="shared" si="49"/>
        <v>-48.041277800000003</v>
      </c>
      <c r="AU72" s="92">
        <f t="shared" si="50"/>
        <v>-48.8695837</v>
      </c>
      <c r="AV72" s="93">
        <f t="shared" si="51"/>
        <v>-37.219347300000003</v>
      </c>
    </row>
    <row r="73" spans="33:48" x14ac:dyDescent="0.15">
      <c r="AG73" s="91" t="e">
        <f t="shared" si="36"/>
        <v>#VALUE!</v>
      </c>
      <c r="AH73" s="91" t="e">
        <f t="shared" si="37"/>
        <v>#VALUE!</v>
      </c>
      <c r="AI73" s="91">
        <f t="shared" si="38"/>
        <v>-90872832</v>
      </c>
      <c r="AJ73" s="91">
        <f t="shared" si="39"/>
        <v>-140989584</v>
      </c>
      <c r="AK73" s="91">
        <f t="shared" si="40"/>
        <v>-20637216</v>
      </c>
      <c r="AL73" s="91">
        <f t="shared" si="41"/>
        <v>0</v>
      </c>
      <c r="AM73" s="91">
        <f t="shared" si="42"/>
        <v>-18621296</v>
      </c>
      <c r="AN73" s="91">
        <f t="shared" si="43"/>
        <v>-101582704</v>
      </c>
      <c r="AO73" s="91">
        <f t="shared" si="44"/>
        <v>-148368</v>
      </c>
      <c r="AP73" s="91">
        <f t="shared" si="45"/>
        <v>-78.991263599999996</v>
      </c>
      <c r="AQ73" s="92">
        <f t="shared" si="46"/>
        <v>-81.808735600000006</v>
      </c>
      <c r="AR73" s="92">
        <f t="shared" si="47"/>
        <v>-42.189711299999999</v>
      </c>
      <c r="AS73" s="92">
        <f t="shared" si="48"/>
        <v>-45.5022856</v>
      </c>
      <c r="AT73" s="92">
        <f t="shared" si="49"/>
        <v>-49.186083799999999</v>
      </c>
      <c r="AU73" s="92">
        <f t="shared" si="50"/>
        <v>-49.906813499999998</v>
      </c>
      <c r="AV73" s="93">
        <f t="shared" si="51"/>
        <v>-38.400980199999999</v>
      </c>
    </row>
    <row r="74" spans="33:48" x14ac:dyDescent="0.15">
      <c r="AG74" s="91" t="e">
        <f t="shared" si="36"/>
        <v>#VALUE!</v>
      </c>
      <c r="AH74" s="91" t="e">
        <f t="shared" si="37"/>
        <v>#VALUE!</v>
      </c>
      <c r="AI74" s="91">
        <f t="shared" si="38"/>
        <v>-90872832</v>
      </c>
      <c r="AJ74" s="91">
        <f t="shared" si="39"/>
        <v>-210034408</v>
      </c>
      <c r="AK74" s="91">
        <f t="shared" si="40"/>
        <v>-20637216</v>
      </c>
      <c r="AL74" s="91">
        <f t="shared" si="41"/>
        <v>0</v>
      </c>
      <c r="AM74" s="91">
        <f t="shared" si="42"/>
        <v>-20925080</v>
      </c>
      <c r="AN74" s="91">
        <f t="shared" si="43"/>
        <v>-168320144</v>
      </c>
      <c r="AO74" s="91">
        <f t="shared" si="44"/>
        <v>-151968</v>
      </c>
      <c r="AP74" s="91">
        <f t="shared" si="45"/>
        <v>-79.347429500000004</v>
      </c>
      <c r="AQ74" s="92">
        <f t="shared" si="46"/>
        <v>-82.318791700000006</v>
      </c>
      <c r="AR74" s="92">
        <f t="shared" si="47"/>
        <v>-43.231753900000001</v>
      </c>
      <c r="AS74" s="92">
        <f t="shared" si="48"/>
        <v>-46.450982799999998</v>
      </c>
      <c r="AT74" s="92">
        <f t="shared" si="49"/>
        <v>-50.469792599999998</v>
      </c>
      <c r="AU74" s="92">
        <f t="shared" si="50"/>
        <v>-50.136517900000001</v>
      </c>
      <c r="AV74" s="93">
        <f t="shared" si="51"/>
        <v>-38.961887900000001</v>
      </c>
    </row>
    <row r="75" spans="33:48" x14ac:dyDescent="0.15">
      <c r="AG75" s="91" t="e">
        <f t="shared" si="36"/>
        <v>#VALUE!</v>
      </c>
      <c r="AH75" s="91" t="e">
        <f t="shared" si="37"/>
        <v>#VALUE!</v>
      </c>
      <c r="AI75" s="91">
        <f t="shared" si="38"/>
        <v>-22662720</v>
      </c>
      <c r="AJ75" s="91">
        <f t="shared" si="39"/>
        <v>-29433072</v>
      </c>
      <c r="AK75" s="91">
        <f t="shared" si="40"/>
        <v>-6440896</v>
      </c>
      <c r="AL75" s="91">
        <f t="shared" si="41"/>
        <v>0</v>
      </c>
      <c r="AM75" s="91">
        <f t="shared" si="42"/>
        <v>-4723736</v>
      </c>
      <c r="AN75" s="91">
        <f t="shared" si="43"/>
        <v>-18120184</v>
      </c>
      <c r="AO75" s="91">
        <f t="shared" si="44"/>
        <v>-148256</v>
      </c>
      <c r="AP75" s="91">
        <f t="shared" si="45"/>
        <v>-71.204057800000001</v>
      </c>
      <c r="AQ75" s="92">
        <f t="shared" si="46"/>
        <v>-72.573792499999996</v>
      </c>
      <c r="AR75" s="92">
        <f t="shared" si="47"/>
        <v>-34.573517000000002</v>
      </c>
      <c r="AS75" s="92">
        <f t="shared" si="48"/>
        <v>-42.787827299999996</v>
      </c>
      <c r="AT75" s="92">
        <f t="shared" si="49"/>
        <v>-44.141228499999997</v>
      </c>
      <c r="AU75" s="92">
        <f t="shared" si="50"/>
        <v>-46.421705299999999</v>
      </c>
      <c r="AV75" s="93">
        <f t="shared" si="51"/>
        <v>-31.513841800000002</v>
      </c>
    </row>
    <row r="76" spans="33:48" x14ac:dyDescent="0.15">
      <c r="AG76" s="91" t="e">
        <f t="shared" si="36"/>
        <v>#VALUE!</v>
      </c>
      <c r="AH76" s="91" t="e">
        <f t="shared" si="37"/>
        <v>#VALUE!</v>
      </c>
      <c r="AI76" s="91">
        <f t="shared" si="38"/>
        <v>-22662720</v>
      </c>
      <c r="AJ76" s="91">
        <f t="shared" si="39"/>
        <v>-49509304</v>
      </c>
      <c r="AK76" s="91">
        <f t="shared" si="40"/>
        <v>-7011112</v>
      </c>
      <c r="AL76" s="91">
        <f t="shared" si="41"/>
        <v>0</v>
      </c>
      <c r="AM76" s="91">
        <f t="shared" si="42"/>
        <v>-5221200</v>
      </c>
      <c r="AN76" s="91">
        <f t="shared" si="43"/>
        <v>-37125696</v>
      </c>
      <c r="AO76" s="91">
        <f t="shared" si="44"/>
        <v>-151296</v>
      </c>
      <c r="AP76" s="91">
        <f t="shared" si="45"/>
        <v>-71.683736999999994</v>
      </c>
      <c r="AQ76" s="92">
        <f t="shared" si="46"/>
        <v>-73.105002999999996</v>
      </c>
      <c r="AR76" s="92">
        <f t="shared" si="47"/>
        <v>-37.392113000000002</v>
      </c>
      <c r="AS76" s="92">
        <f t="shared" si="48"/>
        <v>-43.950656899999998</v>
      </c>
      <c r="AT76" s="92">
        <f t="shared" si="49"/>
        <v>-46.014823</v>
      </c>
      <c r="AU76" s="92">
        <f t="shared" si="50"/>
        <v>-46.669257000000002</v>
      </c>
      <c r="AV76" s="93">
        <f t="shared" si="51"/>
        <v>-32.757493400000001</v>
      </c>
    </row>
    <row r="77" spans="33:48" x14ac:dyDescent="0.15">
      <c r="AG77" s="91" t="e">
        <f t="shared" si="36"/>
        <v>#VALUE!</v>
      </c>
      <c r="AH77" s="91" t="e">
        <f t="shared" si="37"/>
        <v>#VALUE!</v>
      </c>
      <c r="AI77" s="91">
        <f t="shared" si="38"/>
        <v>-45333632</v>
      </c>
      <c r="AJ77" s="91">
        <f t="shared" si="39"/>
        <v>-99548688</v>
      </c>
      <c r="AK77" s="91">
        <f t="shared" si="40"/>
        <v>-10686976</v>
      </c>
      <c r="AL77" s="91">
        <f t="shared" si="41"/>
        <v>0</v>
      </c>
      <c r="AM77" s="91">
        <f t="shared" si="42"/>
        <v>-16725256</v>
      </c>
      <c r="AN77" s="91">
        <f t="shared" si="43"/>
        <v>-71991496</v>
      </c>
      <c r="AO77" s="91">
        <f t="shared" si="44"/>
        <v>-144960</v>
      </c>
      <c r="AP77" s="91">
        <f t="shared" si="45"/>
        <v>-77.5534009</v>
      </c>
      <c r="AQ77" s="92">
        <f t="shared" si="46"/>
        <v>-79.973405200000002</v>
      </c>
      <c r="AR77" s="92">
        <f t="shared" si="47"/>
        <v>-40.394096099999999</v>
      </c>
      <c r="AS77" s="92">
        <f t="shared" si="48"/>
        <v>-45.196534499999999</v>
      </c>
      <c r="AT77" s="92">
        <f t="shared" si="49"/>
        <v>-48.082730699999999</v>
      </c>
      <c r="AU77" s="92">
        <f t="shared" si="50"/>
        <v>-49.744788200000002</v>
      </c>
      <c r="AV77" s="93">
        <f t="shared" si="51"/>
        <v>-36.538605099999998</v>
      </c>
    </row>
    <row r="78" spans="33:48" x14ac:dyDescent="0.15">
      <c r="AG78" s="91" t="e">
        <f t="shared" si="36"/>
        <v>#VALUE!</v>
      </c>
      <c r="AH78" s="91" t="e">
        <f t="shared" si="37"/>
        <v>#VALUE!</v>
      </c>
      <c r="AI78" s="91">
        <f t="shared" si="38"/>
        <v>-90678336</v>
      </c>
      <c r="AJ78" s="91">
        <f t="shared" si="39"/>
        <v>-139917072</v>
      </c>
      <c r="AK78" s="91">
        <f t="shared" si="40"/>
        <v>-22488992</v>
      </c>
      <c r="AL78" s="91">
        <f t="shared" si="41"/>
        <v>0</v>
      </c>
      <c r="AM78" s="91">
        <f t="shared" si="42"/>
        <v>-15169640</v>
      </c>
      <c r="AN78" s="91">
        <f t="shared" si="43"/>
        <v>-102109512</v>
      </c>
      <c r="AO78" s="91">
        <f t="shared" si="44"/>
        <v>-148928</v>
      </c>
      <c r="AP78" s="91">
        <f t="shared" si="45"/>
        <v>-78.720608299999995</v>
      </c>
      <c r="AQ78" s="92">
        <f t="shared" si="46"/>
        <v>-81.583275499999999</v>
      </c>
      <c r="AR78" s="92">
        <f t="shared" si="47"/>
        <v>-41.468500300000002</v>
      </c>
      <c r="AS78" s="92">
        <f t="shared" si="48"/>
        <v>-45.721034000000003</v>
      </c>
      <c r="AT78" s="92">
        <f t="shared" si="49"/>
        <v>-48.835815699999998</v>
      </c>
      <c r="AU78" s="92">
        <f t="shared" si="50"/>
        <v>-50.754959300000003</v>
      </c>
      <c r="AV78" s="93">
        <f t="shared" si="51"/>
        <v>-37.622881200000002</v>
      </c>
    </row>
    <row r="79" spans="33:48" x14ac:dyDescent="0.15">
      <c r="AG79" s="91" t="e">
        <f t="shared" si="36"/>
        <v>#VALUE!</v>
      </c>
      <c r="AH79" s="91" t="e">
        <f t="shared" si="37"/>
        <v>#VALUE!</v>
      </c>
      <c r="AI79" s="91">
        <f t="shared" si="38"/>
        <v>-90678336</v>
      </c>
      <c r="AJ79" s="91">
        <f t="shared" si="39"/>
        <v>-207829792</v>
      </c>
      <c r="AK79" s="91">
        <f t="shared" si="40"/>
        <v>-20297784</v>
      </c>
      <c r="AL79" s="91">
        <f t="shared" si="41"/>
        <v>0</v>
      </c>
      <c r="AM79" s="91">
        <f t="shared" si="42"/>
        <v>-19772184</v>
      </c>
      <c r="AN79" s="91">
        <f t="shared" si="43"/>
        <v>-167609808</v>
      </c>
      <c r="AO79" s="91">
        <f t="shared" si="44"/>
        <v>-150016</v>
      </c>
      <c r="AP79" s="91">
        <f t="shared" si="45"/>
        <v>-79.389169999999993</v>
      </c>
      <c r="AQ79" s="92">
        <f t="shared" si="46"/>
        <v>-82.567440700000006</v>
      </c>
      <c r="AR79" s="92">
        <f t="shared" si="47"/>
        <v>-42.4822457</v>
      </c>
      <c r="AS79" s="92">
        <f t="shared" si="48"/>
        <v>-46.795122499999998</v>
      </c>
      <c r="AT79" s="92">
        <f t="shared" si="49"/>
        <v>-50.179298699999997</v>
      </c>
      <c r="AU79" s="92">
        <f t="shared" si="50"/>
        <v>-51.158372800000002</v>
      </c>
      <c r="AV79" s="93">
        <f t="shared" si="51"/>
        <v>-38.362313299999997</v>
      </c>
    </row>
    <row r="80" spans="33:48" x14ac:dyDescent="0.15">
      <c r="AG80" s="91" t="e">
        <f t="shared" si="36"/>
        <v>#VALUE!</v>
      </c>
      <c r="AH80" s="91" t="e">
        <f t="shared" si="37"/>
        <v>#VALUE!</v>
      </c>
      <c r="AI80" s="91">
        <f t="shared" si="38"/>
        <v>-23021184</v>
      </c>
      <c r="AJ80" s="91">
        <f t="shared" si="39"/>
        <v>-42763056</v>
      </c>
      <c r="AK80" s="91">
        <f t="shared" si="40"/>
        <v>-6389976</v>
      </c>
      <c r="AL80" s="91">
        <f t="shared" si="41"/>
        <v>0</v>
      </c>
      <c r="AM80" s="91">
        <f t="shared" si="42"/>
        <v>-5538944</v>
      </c>
      <c r="AN80" s="91">
        <f t="shared" si="43"/>
        <v>-30689312</v>
      </c>
      <c r="AO80" s="91">
        <f t="shared" si="44"/>
        <v>-144824</v>
      </c>
      <c r="AP80" s="91">
        <f t="shared" si="45"/>
        <v>-74.122799599999993</v>
      </c>
      <c r="AQ80" s="92">
        <f t="shared" si="46"/>
        <v>-75.957284900000005</v>
      </c>
      <c r="AR80" s="92">
        <f t="shared" si="47"/>
        <v>-31.096888400000001</v>
      </c>
      <c r="AS80" s="92">
        <f t="shared" si="48"/>
        <v>-39.925121300000001</v>
      </c>
      <c r="AT80" s="92">
        <f t="shared" si="49"/>
        <v>-36.6058758</v>
      </c>
      <c r="AU80" s="92">
        <f t="shared" si="50"/>
        <v>-45.206562300000002</v>
      </c>
      <c r="AV80" s="93">
        <f t="shared" si="51"/>
        <v>-28.204622000000001</v>
      </c>
    </row>
    <row r="81" spans="33:48" x14ac:dyDescent="0.15">
      <c r="AG81" s="91" t="e">
        <f t="shared" si="36"/>
        <v>#VALUE!</v>
      </c>
      <c r="AH81" s="91" t="e">
        <f t="shared" si="37"/>
        <v>#VALUE!</v>
      </c>
      <c r="AI81" s="91">
        <f t="shared" si="38"/>
        <v>-46064000</v>
      </c>
      <c r="AJ81" s="91">
        <f t="shared" si="39"/>
        <v>-84072408</v>
      </c>
      <c r="AK81" s="91">
        <f t="shared" si="40"/>
        <v>-10702824</v>
      </c>
      <c r="AL81" s="91">
        <f t="shared" si="41"/>
        <v>0</v>
      </c>
      <c r="AM81" s="91">
        <f t="shared" si="42"/>
        <v>-8887544</v>
      </c>
      <c r="AN81" s="91">
        <f t="shared" si="43"/>
        <v>-64335096</v>
      </c>
      <c r="AO81" s="91">
        <f t="shared" si="44"/>
        <v>-146944</v>
      </c>
      <c r="AP81" s="91">
        <f t="shared" si="45"/>
        <v>-77.311357700000002</v>
      </c>
      <c r="AQ81" s="92">
        <f t="shared" si="46"/>
        <v>-79.780349700000002</v>
      </c>
      <c r="AR81" s="92">
        <f t="shared" si="47"/>
        <v>-33.485475700000002</v>
      </c>
      <c r="AS81" s="92">
        <f t="shared" si="48"/>
        <v>-41.833840600000002</v>
      </c>
      <c r="AT81" s="92">
        <f t="shared" si="49"/>
        <v>-39.452764500000001</v>
      </c>
      <c r="AU81" s="92">
        <f t="shared" si="50"/>
        <v>-46.832385600000002</v>
      </c>
      <c r="AV81" s="93">
        <f t="shared" si="51"/>
        <v>-31.016321399999999</v>
      </c>
    </row>
    <row r="82" spans="33:48" x14ac:dyDescent="0.15">
      <c r="AG82" s="91" t="e">
        <f t="shared" si="36"/>
        <v>#VALUE!</v>
      </c>
      <c r="AH82" s="91" t="e">
        <f t="shared" si="37"/>
        <v>#VALUE!</v>
      </c>
      <c r="AI82" s="91">
        <f t="shared" si="38"/>
        <v>-92146368</v>
      </c>
      <c r="AJ82" s="91">
        <f t="shared" si="39"/>
        <v>-121676264</v>
      </c>
      <c r="AK82" s="91">
        <f t="shared" si="40"/>
        <v>-20250792</v>
      </c>
      <c r="AL82" s="91">
        <f t="shared" si="41"/>
        <v>0</v>
      </c>
      <c r="AM82" s="91">
        <f t="shared" si="42"/>
        <v>-6995104</v>
      </c>
      <c r="AN82" s="91">
        <f t="shared" si="43"/>
        <v>-94280856</v>
      </c>
      <c r="AO82" s="91">
        <f t="shared" si="44"/>
        <v>-149512</v>
      </c>
      <c r="AP82" s="91">
        <f t="shared" si="45"/>
        <v>-78.736576799999995</v>
      </c>
      <c r="AQ82" s="92">
        <f t="shared" si="46"/>
        <v>-81.564217200000002</v>
      </c>
      <c r="AR82" s="92">
        <f t="shared" si="47"/>
        <v>-34.504025200000001</v>
      </c>
      <c r="AS82" s="92">
        <f t="shared" si="48"/>
        <v>-43.188127399999999</v>
      </c>
      <c r="AT82" s="92">
        <f t="shared" si="49"/>
        <v>-41.248117899999997</v>
      </c>
      <c r="AU82" s="92">
        <f t="shared" si="50"/>
        <v>-48.059910500000001</v>
      </c>
      <c r="AV82" s="93">
        <f t="shared" si="51"/>
        <v>-32.141568900000003</v>
      </c>
    </row>
    <row r="83" spans="33:48" x14ac:dyDescent="0.15">
      <c r="AG83" s="91" t="e">
        <f t="shared" si="36"/>
        <v>#VALUE!</v>
      </c>
      <c r="AH83" s="91" t="e">
        <f t="shared" si="37"/>
        <v>#VALUE!</v>
      </c>
      <c r="AI83" s="91">
        <f t="shared" si="38"/>
        <v>-184310144</v>
      </c>
      <c r="AJ83" s="91">
        <f t="shared" si="39"/>
        <v>-173112472</v>
      </c>
      <c r="AK83" s="91">
        <f t="shared" si="40"/>
        <v>-39549600</v>
      </c>
      <c r="AL83" s="91">
        <f t="shared" si="41"/>
        <v>0</v>
      </c>
      <c r="AM83" s="91">
        <f t="shared" si="42"/>
        <v>-6225208</v>
      </c>
      <c r="AN83" s="91">
        <f t="shared" si="43"/>
        <v>-127189328</v>
      </c>
      <c r="AO83" s="91">
        <f t="shared" si="44"/>
        <v>-148336</v>
      </c>
      <c r="AP83" s="91">
        <f t="shared" si="45"/>
        <v>-80.586494200000004</v>
      </c>
      <c r="AQ83" s="92">
        <f t="shared" si="46"/>
        <v>-84.196049799999997</v>
      </c>
      <c r="AR83" s="92">
        <f t="shared" si="47"/>
        <v>-35.323440699999999</v>
      </c>
      <c r="AS83" s="92">
        <f t="shared" si="48"/>
        <v>-43.543832199999997</v>
      </c>
      <c r="AT83" s="92">
        <f t="shared" si="49"/>
        <v>-41.7405714</v>
      </c>
      <c r="AU83" s="92">
        <f t="shared" si="50"/>
        <v>-49.7710589</v>
      </c>
      <c r="AV83" s="93">
        <f t="shared" si="51"/>
        <v>-33.456446999999997</v>
      </c>
    </row>
    <row r="84" spans="33:48" x14ac:dyDescent="0.15">
      <c r="AG84" s="91" t="e">
        <f t="shared" si="36"/>
        <v>#VALUE!</v>
      </c>
      <c r="AH84" s="91" t="e">
        <f t="shared" si="37"/>
        <v>#VALUE!</v>
      </c>
      <c r="AI84" s="91">
        <f t="shared" si="38"/>
        <v>-138237904</v>
      </c>
      <c r="AJ84" s="91">
        <f t="shared" si="39"/>
        <v>-255239544</v>
      </c>
      <c r="AK84" s="91">
        <f t="shared" si="40"/>
        <v>-85587648</v>
      </c>
      <c r="AL84" s="91">
        <f t="shared" si="41"/>
        <v>0</v>
      </c>
      <c r="AM84" s="91">
        <f t="shared" si="42"/>
        <v>-8125896</v>
      </c>
      <c r="AN84" s="91">
        <f t="shared" si="43"/>
        <v>-161405072</v>
      </c>
      <c r="AO84" s="91">
        <f t="shared" si="44"/>
        <v>-120928</v>
      </c>
      <c r="AP84" s="91">
        <f t="shared" si="45"/>
        <v>-85.170920100000004</v>
      </c>
      <c r="AQ84" s="92">
        <f t="shared" si="46"/>
        <v>-90.953872899999993</v>
      </c>
      <c r="AR84" s="92">
        <f t="shared" si="47"/>
        <v>-36.060953099999999</v>
      </c>
      <c r="AS84" s="92">
        <f t="shared" si="48"/>
        <v>-43.882459500000003</v>
      </c>
      <c r="AT84" s="92">
        <f t="shared" si="49"/>
        <v>-42.222736599999998</v>
      </c>
      <c r="AU84" s="92">
        <f t="shared" si="50"/>
        <v>-53.398344299999998</v>
      </c>
      <c r="AV84" s="93">
        <f t="shared" si="51"/>
        <v>-35.278660899999998</v>
      </c>
    </row>
    <row r="85" spans="33:48" x14ac:dyDescent="0.15">
      <c r="AG85" s="91" t="e">
        <f t="shared" si="36"/>
        <v>#VALUE!</v>
      </c>
      <c r="AH85" s="91" t="e">
        <f t="shared" si="37"/>
        <v>#VALUE!</v>
      </c>
      <c r="AI85" s="91">
        <f t="shared" si="38"/>
        <v>-11249408</v>
      </c>
      <c r="AJ85" s="91">
        <f t="shared" si="39"/>
        <v>-20418656</v>
      </c>
      <c r="AK85" s="91">
        <f t="shared" si="40"/>
        <v>-2288256</v>
      </c>
      <c r="AL85" s="91">
        <f t="shared" si="41"/>
        <v>-245048</v>
      </c>
      <c r="AM85" s="91">
        <f t="shared" si="42"/>
        <v>-2953352</v>
      </c>
      <c r="AN85" s="91">
        <f t="shared" si="43"/>
        <v>-14857848</v>
      </c>
      <c r="AO85" s="91">
        <f t="shared" si="44"/>
        <v>-74152</v>
      </c>
      <c r="AP85" s="91">
        <f t="shared" si="45"/>
        <v>-72.8415021</v>
      </c>
      <c r="AQ85" s="92">
        <f t="shared" si="46"/>
        <v>-74.402173199999993</v>
      </c>
      <c r="AR85" s="92">
        <f t="shared" si="47"/>
        <v>-38.143368600000002</v>
      </c>
      <c r="AS85" s="92">
        <f t="shared" si="48"/>
        <v>-44.353807199999999</v>
      </c>
      <c r="AT85" s="92">
        <f t="shared" si="49"/>
        <v>-42.9820657</v>
      </c>
      <c r="AU85" s="92">
        <f t="shared" si="50"/>
        <v>-47.829445499999999</v>
      </c>
      <c r="AV85" s="93">
        <f t="shared" si="51"/>
        <v>-34.404497800000001</v>
      </c>
    </row>
    <row r="86" spans="33:48" x14ac:dyDescent="0.15">
      <c r="AG86" s="91" t="e">
        <f t="shared" si="36"/>
        <v>#VALUE!</v>
      </c>
      <c r="AH86" s="91" t="e">
        <f t="shared" si="37"/>
        <v>#VALUE!</v>
      </c>
      <c r="AI86" s="91">
        <f t="shared" si="38"/>
        <v>-5692320</v>
      </c>
      <c r="AJ86" s="91">
        <f t="shared" si="39"/>
        <v>-40849536</v>
      </c>
      <c r="AK86" s="91">
        <f t="shared" si="40"/>
        <v>-3980016</v>
      </c>
      <c r="AL86" s="91">
        <f t="shared" si="41"/>
        <v>-340560</v>
      </c>
      <c r="AM86" s="91">
        <f t="shared" si="42"/>
        <v>-4551504</v>
      </c>
      <c r="AN86" s="91">
        <f t="shared" si="43"/>
        <v>-31915768</v>
      </c>
      <c r="AO86" s="91">
        <f t="shared" si="44"/>
        <v>-61688</v>
      </c>
      <c r="AP86" s="91">
        <f t="shared" si="45"/>
        <v>-76.143755900000002</v>
      </c>
      <c r="AQ86" s="92">
        <f t="shared" si="46"/>
        <v>-78.277960399999998</v>
      </c>
      <c r="AR86" s="92">
        <f t="shared" si="47"/>
        <v>-40.471311399999998</v>
      </c>
      <c r="AS86" s="92">
        <f t="shared" si="48"/>
        <v>-45.774514099999998</v>
      </c>
      <c r="AT86" s="92">
        <f t="shared" si="49"/>
        <v>-44.618486300000001</v>
      </c>
      <c r="AU86" s="92">
        <f t="shared" si="50"/>
        <v>-49.464435100000003</v>
      </c>
      <c r="AV86" s="93">
        <f t="shared" si="51"/>
        <v>-36.381559699999997</v>
      </c>
    </row>
    <row r="87" spans="33:48" x14ac:dyDescent="0.15">
      <c r="AG87" s="91" t="e">
        <f t="shared" si="36"/>
        <v>#VALUE!</v>
      </c>
      <c r="AH87" s="91" t="e">
        <f t="shared" si="37"/>
        <v>#VALUE!</v>
      </c>
      <c r="AI87" s="91">
        <f t="shared" si="38"/>
        <v>-22964192</v>
      </c>
      <c r="AJ87" s="91">
        <f t="shared" si="39"/>
        <v>-60574880</v>
      </c>
      <c r="AK87" s="91">
        <f t="shared" si="40"/>
        <v>-11564168</v>
      </c>
      <c r="AL87" s="91">
        <f t="shared" si="41"/>
        <v>-886160</v>
      </c>
      <c r="AM87" s="91">
        <f t="shared" si="42"/>
        <v>-4455848</v>
      </c>
      <c r="AN87" s="91">
        <f t="shared" si="43"/>
        <v>-43607800</v>
      </c>
      <c r="AO87" s="91">
        <f t="shared" si="44"/>
        <v>-60904</v>
      </c>
      <c r="AP87" s="91">
        <f t="shared" si="45"/>
        <v>-79.676684199999997</v>
      </c>
      <c r="AQ87" s="92">
        <f t="shared" si="46"/>
        <v>-82.800018699999995</v>
      </c>
      <c r="AR87" s="92">
        <f t="shared" si="47"/>
        <v>-41.571694399999998</v>
      </c>
      <c r="AS87" s="92">
        <f t="shared" si="48"/>
        <v>-46.542508599999998</v>
      </c>
      <c r="AT87" s="92">
        <f t="shared" si="49"/>
        <v>-45.5827314</v>
      </c>
      <c r="AU87" s="92">
        <f t="shared" si="50"/>
        <v>-52.0701088</v>
      </c>
      <c r="AV87" s="93">
        <f t="shared" si="51"/>
        <v>-38.752052900000002</v>
      </c>
    </row>
    <row r="88" spans="33:48" x14ac:dyDescent="0.15">
      <c r="AG88" s="91" t="e">
        <f t="shared" si="36"/>
        <v>#VALUE!</v>
      </c>
      <c r="AH88" s="91" t="e">
        <f t="shared" si="37"/>
        <v>#VALUE!</v>
      </c>
      <c r="AI88" s="91">
        <f t="shared" si="38"/>
        <v>-22964192</v>
      </c>
      <c r="AJ88" s="91">
        <f t="shared" si="39"/>
        <v>-84497376</v>
      </c>
      <c r="AK88" s="91">
        <f t="shared" si="40"/>
        <v>-11564168</v>
      </c>
      <c r="AL88" s="91">
        <f t="shared" si="41"/>
        <v>-886160</v>
      </c>
      <c r="AM88" s="91">
        <f t="shared" si="42"/>
        <v>-9435560</v>
      </c>
      <c r="AN88" s="91">
        <f t="shared" si="43"/>
        <v>-62549288</v>
      </c>
      <c r="AO88" s="91">
        <f t="shared" si="44"/>
        <v>-62200</v>
      </c>
      <c r="AP88" s="91">
        <f t="shared" si="45"/>
        <v>-80.978952399999997</v>
      </c>
      <c r="AQ88" s="92">
        <f t="shared" si="46"/>
        <v>-84.954235299999993</v>
      </c>
      <c r="AR88" s="92">
        <f t="shared" si="47"/>
        <v>-42.447480400000003</v>
      </c>
      <c r="AS88" s="92">
        <f t="shared" si="48"/>
        <v>-47.633089200000001</v>
      </c>
      <c r="AT88" s="92">
        <f t="shared" si="49"/>
        <v>-46.790469399999999</v>
      </c>
      <c r="AU88" s="92">
        <f t="shared" si="50"/>
        <v>-52.995863100000001</v>
      </c>
      <c r="AV88" s="93">
        <f t="shared" si="51"/>
        <v>-39.8865093</v>
      </c>
    </row>
    <row r="89" spans="33:48" x14ac:dyDescent="0.15">
      <c r="AG89" s="91" t="e">
        <f t="shared" si="36"/>
        <v>#VALUE!</v>
      </c>
      <c r="AH89" s="91" t="e">
        <f t="shared" si="37"/>
        <v>#VALUE!</v>
      </c>
      <c r="AI89" s="91">
        <f t="shared" si="38"/>
        <v>-57516368</v>
      </c>
      <c r="AJ89" s="91">
        <f t="shared" si="39"/>
        <v>-117839592</v>
      </c>
      <c r="AK89" s="91">
        <f t="shared" si="40"/>
        <v>-26656232</v>
      </c>
      <c r="AL89" s="91">
        <f t="shared" si="41"/>
        <v>-4260144</v>
      </c>
      <c r="AM89" s="91">
        <f t="shared" si="42"/>
        <v>-1713448</v>
      </c>
      <c r="AN89" s="91">
        <f t="shared" si="43"/>
        <v>-85149688</v>
      </c>
      <c r="AO89" s="91">
        <f t="shared" si="44"/>
        <v>-60080</v>
      </c>
      <c r="AP89" s="91">
        <f t="shared" si="45"/>
        <v>-83.745591599999997</v>
      </c>
      <c r="AQ89" s="92">
        <f t="shared" si="46"/>
        <v>-88.259155399999997</v>
      </c>
      <c r="AR89" s="92">
        <f t="shared" si="47"/>
        <v>-43.371594999999999</v>
      </c>
      <c r="AS89" s="92">
        <f t="shared" si="48"/>
        <v>-48.332793700000003</v>
      </c>
      <c r="AT89" s="92">
        <f t="shared" si="49"/>
        <v>-47.593777099999997</v>
      </c>
      <c r="AU89" s="92">
        <f t="shared" si="50"/>
        <v>-55.621551599999997</v>
      </c>
      <c r="AV89" s="93">
        <f t="shared" si="51"/>
        <v>-41.913676199999998</v>
      </c>
    </row>
    <row r="90" spans="33:48" x14ac:dyDescent="0.15">
      <c r="AG90" s="91" t="e">
        <f t="shared" si="36"/>
        <v>#VALUE!</v>
      </c>
      <c r="AH90" s="91" t="e">
        <f t="shared" si="37"/>
        <v>#VALUE!</v>
      </c>
      <c r="AI90" s="91">
        <f t="shared" si="38"/>
        <v>-34433600</v>
      </c>
      <c r="AJ90" s="91">
        <f t="shared" si="39"/>
        <v>-26959488</v>
      </c>
      <c r="AK90" s="91">
        <f t="shared" si="40"/>
        <v>-3443616</v>
      </c>
      <c r="AL90" s="91">
        <f t="shared" si="41"/>
        <v>-813856</v>
      </c>
      <c r="AM90" s="91">
        <f t="shared" si="42"/>
        <v>-2972200</v>
      </c>
      <c r="AN90" s="91">
        <f t="shared" si="43"/>
        <v>-19584568</v>
      </c>
      <c r="AO90" s="91">
        <f t="shared" si="44"/>
        <v>-145248</v>
      </c>
      <c r="AP90" s="91">
        <f t="shared" si="45"/>
        <v>-73.354264400000005</v>
      </c>
      <c r="AQ90" s="92">
        <f t="shared" si="46"/>
        <v>-75.055097200000006</v>
      </c>
      <c r="AR90" s="92">
        <f t="shared" si="47"/>
        <v>-30.215675000000001</v>
      </c>
      <c r="AS90" s="92">
        <f t="shared" si="48"/>
        <v>-38.959627599999997</v>
      </c>
      <c r="AT90" s="92">
        <f t="shared" si="49"/>
        <v>-38.994545299999999</v>
      </c>
      <c r="AU90" s="92">
        <f t="shared" si="50"/>
        <v>-48.313001399999997</v>
      </c>
      <c r="AV90" s="93">
        <f t="shared" si="51"/>
        <v>-29.328206399999999</v>
      </c>
    </row>
    <row r="91" spans="33:48" x14ac:dyDescent="0.15">
      <c r="AG91" s="91" t="e">
        <f t="shared" si="36"/>
        <v>#VALUE!</v>
      </c>
      <c r="AH91" s="91" t="e">
        <f t="shared" si="37"/>
        <v>#VALUE!</v>
      </c>
      <c r="AI91" s="91">
        <f t="shared" si="38"/>
        <v>-68916608</v>
      </c>
      <c r="AJ91" s="91">
        <f t="shared" si="39"/>
        <v>-37412488</v>
      </c>
      <c r="AK91" s="91">
        <f t="shared" si="40"/>
        <v>-5735696</v>
      </c>
      <c r="AL91" s="91">
        <f t="shared" si="41"/>
        <v>-1439656</v>
      </c>
      <c r="AM91" s="91">
        <f t="shared" si="42"/>
        <v>-1195472</v>
      </c>
      <c r="AN91" s="91">
        <f t="shared" si="43"/>
        <v>-28893008</v>
      </c>
      <c r="AO91" s="91">
        <f t="shared" si="44"/>
        <v>-148656</v>
      </c>
      <c r="AP91" s="91">
        <f t="shared" si="45"/>
        <v>-73.388419999999996</v>
      </c>
      <c r="AQ91" s="92">
        <f t="shared" si="46"/>
        <v>-75.091083299999994</v>
      </c>
      <c r="AR91" s="92">
        <f t="shared" si="47"/>
        <v>-30.6776357</v>
      </c>
      <c r="AS91" s="92">
        <f t="shared" si="48"/>
        <v>-39.085040300000003</v>
      </c>
      <c r="AT91" s="92">
        <f t="shared" si="49"/>
        <v>-39.164238300000001</v>
      </c>
      <c r="AU91" s="92">
        <f t="shared" si="50"/>
        <v>-48.4325045</v>
      </c>
      <c r="AV91" s="93">
        <f t="shared" si="51"/>
        <v>-29.627453800000001</v>
      </c>
    </row>
    <row r="92" spans="33:48" x14ac:dyDescent="0.15">
      <c r="AG92" s="91" t="e">
        <f t="shared" si="36"/>
        <v>#VALUE!</v>
      </c>
      <c r="AH92" s="91" t="e">
        <f t="shared" si="37"/>
        <v>#VALUE!</v>
      </c>
      <c r="AI92" s="91">
        <f t="shared" si="38"/>
        <v>-68916608</v>
      </c>
      <c r="AJ92" s="91">
        <f t="shared" si="39"/>
        <v>-56248712</v>
      </c>
      <c r="AK92" s="91">
        <f t="shared" si="40"/>
        <v>-5735696</v>
      </c>
      <c r="AL92" s="91">
        <f t="shared" si="41"/>
        <v>-1439656</v>
      </c>
      <c r="AM92" s="91">
        <f t="shared" si="42"/>
        <v>-4848376</v>
      </c>
      <c r="AN92" s="91">
        <f t="shared" si="43"/>
        <v>-44075504</v>
      </c>
      <c r="AO92" s="91">
        <f t="shared" si="44"/>
        <v>-149480</v>
      </c>
      <c r="AP92" s="91">
        <f t="shared" si="45"/>
        <v>-76.539120299999993</v>
      </c>
      <c r="AQ92" s="92">
        <f t="shared" si="46"/>
        <v>-78.774142699999999</v>
      </c>
      <c r="AR92" s="92">
        <f t="shared" si="47"/>
        <v>-31.336673999999999</v>
      </c>
      <c r="AS92" s="92">
        <f t="shared" si="48"/>
        <v>-39.175212399999999</v>
      </c>
      <c r="AT92" s="92">
        <f t="shared" si="49"/>
        <v>-39.316328200000001</v>
      </c>
      <c r="AU92" s="92">
        <f t="shared" si="50"/>
        <v>-50.256015900000001</v>
      </c>
      <c r="AV92" s="93">
        <f t="shared" si="51"/>
        <v>-30.4870363</v>
      </c>
    </row>
    <row r="93" spans="33:48" x14ac:dyDescent="0.15">
      <c r="AG93" s="91" t="e">
        <f t="shared" si="36"/>
        <v>#VALUE!</v>
      </c>
      <c r="AH93" s="91" t="e">
        <f t="shared" si="37"/>
        <v>#VALUE!</v>
      </c>
      <c r="AI93" s="91">
        <f t="shared" si="38"/>
        <v>-137868096</v>
      </c>
      <c r="AJ93" s="91">
        <f t="shared" si="39"/>
        <v>-74932776</v>
      </c>
      <c r="AK93" s="91">
        <f t="shared" si="40"/>
        <v>-11061688</v>
      </c>
      <c r="AL93" s="91">
        <f t="shared" si="41"/>
        <v>-3482288</v>
      </c>
      <c r="AM93" s="91">
        <f t="shared" si="42"/>
        <v>-4294256</v>
      </c>
      <c r="AN93" s="91">
        <f t="shared" si="43"/>
        <v>-55947640</v>
      </c>
      <c r="AO93" s="91">
        <f t="shared" si="44"/>
        <v>-146904</v>
      </c>
      <c r="AP93" s="91">
        <f t="shared" si="45"/>
        <v>-78.692367300000001</v>
      </c>
      <c r="AQ93" s="92">
        <f t="shared" si="46"/>
        <v>-81.460764900000001</v>
      </c>
      <c r="AR93" s="92">
        <f t="shared" si="47"/>
        <v>-31.768881400000001</v>
      </c>
      <c r="AS93" s="92">
        <f t="shared" si="48"/>
        <v>-39.267869699999999</v>
      </c>
      <c r="AT93" s="92">
        <f t="shared" si="49"/>
        <v>-39.483523300000002</v>
      </c>
      <c r="AU93" s="92">
        <f t="shared" si="50"/>
        <v>-51.662360499999998</v>
      </c>
      <c r="AV93" s="93">
        <f t="shared" si="51"/>
        <v>-31.063485799999999</v>
      </c>
    </row>
    <row r="94" spans="33:48" x14ac:dyDescent="0.15">
      <c r="AG94" s="91" t="e">
        <f t="shared" si="36"/>
        <v>#VALUE!</v>
      </c>
      <c r="AH94" s="91" t="e">
        <f t="shared" si="37"/>
        <v>#VALUE!</v>
      </c>
      <c r="AI94" s="91">
        <f t="shared" si="38"/>
        <v>-206806912</v>
      </c>
      <c r="AJ94" s="91">
        <f t="shared" si="39"/>
        <v>-114183240</v>
      </c>
      <c r="AK94" s="91">
        <f t="shared" si="40"/>
        <v>-16789192</v>
      </c>
      <c r="AL94" s="91">
        <f t="shared" si="41"/>
        <v>-4694272</v>
      </c>
      <c r="AM94" s="91">
        <f t="shared" si="42"/>
        <v>-3549544</v>
      </c>
      <c r="AN94" s="91">
        <f t="shared" si="43"/>
        <v>-89005392</v>
      </c>
      <c r="AO94" s="91">
        <f t="shared" si="44"/>
        <v>-144840</v>
      </c>
      <c r="AP94" s="91">
        <f t="shared" si="45"/>
        <v>-80.249217900000005</v>
      </c>
      <c r="AQ94" s="92">
        <f t="shared" si="46"/>
        <v>-83.454280999999995</v>
      </c>
      <c r="AR94" s="92">
        <f t="shared" si="47"/>
        <v>-32.492932600000003</v>
      </c>
      <c r="AS94" s="92">
        <f t="shared" si="48"/>
        <v>-39.345212199999999</v>
      </c>
      <c r="AT94" s="92">
        <f t="shared" si="49"/>
        <v>-39.609935900000004</v>
      </c>
      <c r="AU94" s="92">
        <f t="shared" si="50"/>
        <v>-52.604957599999999</v>
      </c>
      <c r="AV94" s="93">
        <f t="shared" si="51"/>
        <v>-31.794170999999999</v>
      </c>
    </row>
    <row r="95" spans="33:48" x14ac:dyDescent="0.15">
      <c r="AG95" s="91" t="e">
        <f t="shared" si="36"/>
        <v>#VALUE!</v>
      </c>
      <c r="AH95" s="91" t="e">
        <f t="shared" si="37"/>
        <v>#VALUE!</v>
      </c>
      <c r="AI95" s="91">
        <f t="shared" si="38"/>
        <v>-34506112</v>
      </c>
      <c r="AJ95" s="91">
        <f t="shared" si="39"/>
        <v>-29967808</v>
      </c>
      <c r="AK95" s="91">
        <f t="shared" si="40"/>
        <v>-3222424</v>
      </c>
      <c r="AL95" s="91">
        <f t="shared" si="41"/>
        <v>-276592</v>
      </c>
      <c r="AM95" s="91">
        <f t="shared" si="42"/>
        <v>-3105488</v>
      </c>
      <c r="AN95" s="91">
        <f t="shared" si="43"/>
        <v>-23216608</v>
      </c>
      <c r="AO95" s="91">
        <f t="shared" si="44"/>
        <v>-146696</v>
      </c>
      <c r="AP95" s="91">
        <f t="shared" si="45"/>
        <v>-74.4953328</v>
      </c>
      <c r="AQ95" s="92">
        <f t="shared" si="46"/>
        <v>-76.077741599999996</v>
      </c>
      <c r="AR95" s="92">
        <f t="shared" si="47"/>
        <v>-33.317428499999998</v>
      </c>
      <c r="AS95" s="92">
        <f t="shared" si="48"/>
        <v>-42.550880300000003</v>
      </c>
      <c r="AT95" s="92">
        <f t="shared" si="49"/>
        <v>-42.8732173</v>
      </c>
      <c r="AU95" s="92">
        <f t="shared" si="50"/>
        <v>-49.127900699999998</v>
      </c>
      <c r="AV95" s="93">
        <f t="shared" si="51"/>
        <v>-32.463822999999998</v>
      </c>
    </row>
    <row r="96" spans="33:48" x14ac:dyDescent="0.15">
      <c r="AG96" s="91" t="e">
        <f t="shared" si="36"/>
        <v>#VALUE!</v>
      </c>
      <c r="AH96" s="91" t="e">
        <f t="shared" si="37"/>
        <v>#VALUE!</v>
      </c>
      <c r="AI96" s="91">
        <f t="shared" si="38"/>
        <v>-69038912</v>
      </c>
      <c r="AJ96" s="91">
        <f t="shared" si="39"/>
        <v>-39345576</v>
      </c>
      <c r="AK96" s="91">
        <f t="shared" si="40"/>
        <v>-6127792</v>
      </c>
      <c r="AL96" s="91">
        <f t="shared" si="41"/>
        <v>-990392</v>
      </c>
      <c r="AM96" s="91">
        <f t="shared" si="42"/>
        <v>-3478128</v>
      </c>
      <c r="AN96" s="91">
        <f t="shared" si="43"/>
        <v>-28599376</v>
      </c>
      <c r="AO96" s="91">
        <f t="shared" si="44"/>
        <v>-149888</v>
      </c>
      <c r="AP96" s="91">
        <f t="shared" si="45"/>
        <v>-76.5268497</v>
      </c>
      <c r="AQ96" s="92">
        <f t="shared" si="46"/>
        <v>-78.415625500000004</v>
      </c>
      <c r="AR96" s="92">
        <f t="shared" si="47"/>
        <v>-33.660924000000001</v>
      </c>
      <c r="AS96" s="92">
        <f t="shared" si="48"/>
        <v>-42.738847900000003</v>
      </c>
      <c r="AT96" s="92">
        <f t="shared" si="49"/>
        <v>-43.170551400000001</v>
      </c>
      <c r="AU96" s="92">
        <f t="shared" si="50"/>
        <v>-50.429973799999999</v>
      </c>
      <c r="AV96" s="93">
        <f t="shared" si="51"/>
        <v>-32.9924781</v>
      </c>
    </row>
    <row r="97" spans="33:48" x14ac:dyDescent="0.15">
      <c r="AG97" s="91" t="e">
        <f t="shared" si="36"/>
        <v>#VALUE!</v>
      </c>
      <c r="AH97" s="91" t="e">
        <f t="shared" si="37"/>
        <v>#VALUE!</v>
      </c>
      <c r="AI97" s="91">
        <f t="shared" si="38"/>
        <v>-138089728</v>
      </c>
      <c r="AJ97" s="91">
        <f t="shared" si="39"/>
        <v>-60429824</v>
      </c>
      <c r="AK97" s="91">
        <f t="shared" si="40"/>
        <v>-10972960</v>
      </c>
      <c r="AL97" s="91">
        <f t="shared" si="41"/>
        <v>-1794416</v>
      </c>
      <c r="AM97" s="91">
        <f t="shared" si="42"/>
        <v>-2245512</v>
      </c>
      <c r="AN97" s="91">
        <f t="shared" si="43"/>
        <v>-45271968</v>
      </c>
      <c r="AO97" s="91">
        <f t="shared" si="44"/>
        <v>-144968</v>
      </c>
      <c r="AP97" s="91">
        <f t="shared" si="45"/>
        <v>-78.149599499999994</v>
      </c>
      <c r="AQ97" s="92">
        <f t="shared" si="46"/>
        <v>-80.311465699999999</v>
      </c>
      <c r="AR97" s="92">
        <f t="shared" si="47"/>
        <v>-34.289178300000003</v>
      </c>
      <c r="AS97" s="92">
        <f t="shared" si="48"/>
        <v>-42.885174999999997</v>
      </c>
      <c r="AT97" s="92">
        <f t="shared" si="49"/>
        <v>-43.3858733</v>
      </c>
      <c r="AU97" s="92">
        <f t="shared" si="50"/>
        <v>-51.405122300000002</v>
      </c>
      <c r="AV97" s="93">
        <f t="shared" si="51"/>
        <v>-33.630381800000002</v>
      </c>
    </row>
    <row r="98" spans="33:48" x14ac:dyDescent="0.15">
      <c r="AG98" s="91" t="e">
        <f t="shared" si="36"/>
        <v>#VALUE!</v>
      </c>
      <c r="AH98" s="91" t="e">
        <f t="shared" si="37"/>
        <v>#VALUE!</v>
      </c>
      <c r="AI98" s="91">
        <f t="shared" si="38"/>
        <v>-138089728</v>
      </c>
      <c r="AJ98" s="91">
        <f t="shared" si="39"/>
        <v>-78979568</v>
      </c>
      <c r="AK98" s="91">
        <f t="shared" si="40"/>
        <v>-10972960</v>
      </c>
      <c r="AL98" s="91">
        <f t="shared" si="41"/>
        <v>-1794416</v>
      </c>
      <c r="AM98" s="91">
        <f t="shared" si="42"/>
        <v>-5586552</v>
      </c>
      <c r="AN98" s="91">
        <f t="shared" si="43"/>
        <v>-60476504</v>
      </c>
      <c r="AO98" s="91">
        <f t="shared" si="44"/>
        <v>-149136</v>
      </c>
      <c r="AP98" s="91">
        <f t="shared" si="45"/>
        <v>-79.492232099999995</v>
      </c>
      <c r="AQ98" s="92">
        <f t="shared" si="46"/>
        <v>-82.138240499999995</v>
      </c>
      <c r="AR98" s="92">
        <f t="shared" si="47"/>
        <v>-34.346740799999999</v>
      </c>
      <c r="AS98" s="92">
        <f t="shared" si="48"/>
        <v>-43.023009399999999</v>
      </c>
      <c r="AT98" s="92">
        <f t="shared" si="49"/>
        <v>-43.563047400000002</v>
      </c>
      <c r="AU98" s="92">
        <f t="shared" si="50"/>
        <v>-52.310727999999997</v>
      </c>
      <c r="AV98" s="93">
        <f t="shared" si="51"/>
        <v>-33.806809199999996</v>
      </c>
    </row>
    <row r="99" spans="33:48" ht="15.75" customHeight="1" thickBot="1" x14ac:dyDescent="0.2">
      <c r="AG99" s="94" t="e">
        <f t="shared" si="36"/>
        <v>#VALUE!</v>
      </c>
      <c r="AH99" s="94" t="e">
        <f t="shared" si="37"/>
        <v>#VALUE!</v>
      </c>
      <c r="AI99" s="94">
        <f t="shared" si="38"/>
        <v>-207140672</v>
      </c>
      <c r="AJ99" s="94">
        <f t="shared" si="39"/>
        <v>-119976064</v>
      </c>
      <c r="AK99" s="94">
        <f t="shared" si="40"/>
        <v>-15620680</v>
      </c>
      <c r="AL99" s="94">
        <f t="shared" si="41"/>
        <v>-2553720</v>
      </c>
      <c r="AM99" s="94">
        <f t="shared" si="42"/>
        <v>-4958448</v>
      </c>
      <c r="AN99" s="94">
        <f t="shared" si="43"/>
        <v>-96697824</v>
      </c>
      <c r="AO99" s="94">
        <f t="shared" si="44"/>
        <v>-145392</v>
      </c>
      <c r="AP99" s="94">
        <f t="shared" si="45"/>
        <v>-80.927224199999998</v>
      </c>
      <c r="AQ99" s="95">
        <f t="shared" si="46"/>
        <v>-83.988842500000004</v>
      </c>
      <c r="AR99" s="95">
        <f t="shared" si="47"/>
        <v>-34.924539600000003</v>
      </c>
      <c r="AS99" s="95">
        <f t="shared" si="48"/>
        <v>-43.130663400000003</v>
      </c>
      <c r="AT99" s="95">
        <f t="shared" si="49"/>
        <v>-43.722225700000003</v>
      </c>
      <c r="AU99" s="95">
        <f t="shared" si="50"/>
        <v>-53.2254687</v>
      </c>
      <c r="AV99" s="96">
        <f t="shared" si="51"/>
        <v>-34.4023489</v>
      </c>
    </row>
    <row r="100" spans="33:48" x14ac:dyDescent="0.15">
      <c r="AG100" s="91" t="e">
        <f t="shared" ref="AG100:AV103" si="52">AG45-L45</f>
        <v>#VALUE!</v>
      </c>
      <c r="AH100" s="91" t="e">
        <f t="shared" si="52"/>
        <v>#VALUE!</v>
      </c>
      <c r="AI100" s="91">
        <f t="shared" si="52"/>
        <v>-383872</v>
      </c>
      <c r="AJ100" s="91">
        <f t="shared" si="52"/>
        <v>-190496</v>
      </c>
      <c r="AK100" s="91">
        <f t="shared" si="52"/>
        <v>-72440</v>
      </c>
      <c r="AL100" s="91">
        <f t="shared" si="52"/>
        <v>0</v>
      </c>
      <c r="AM100" s="91">
        <f t="shared" si="52"/>
        <v>-15544</v>
      </c>
      <c r="AN100" s="91">
        <f t="shared" si="52"/>
        <v>-100864</v>
      </c>
      <c r="AO100" s="91">
        <f t="shared" si="52"/>
        <v>-1648</v>
      </c>
      <c r="AP100" s="91">
        <f t="shared" si="52"/>
        <v>-76.493702900000002</v>
      </c>
      <c r="AQ100" s="92">
        <f t="shared" si="52"/>
        <v>-79.061057300000002</v>
      </c>
      <c r="AR100" s="92">
        <f t="shared" si="52"/>
        <v>-30.278041900000002</v>
      </c>
      <c r="AS100" s="92">
        <f t="shared" si="52"/>
        <v>-42.494525299999999</v>
      </c>
      <c r="AT100" s="92">
        <f t="shared" si="52"/>
        <v>-40.849274800000003</v>
      </c>
      <c r="AU100" s="92">
        <f t="shared" si="52"/>
        <v>-55.044560400000002</v>
      </c>
      <c r="AV100" s="93">
        <f t="shared" si="52"/>
        <v>-29.878969999999999</v>
      </c>
    </row>
    <row r="101" spans="33:48" x14ac:dyDescent="0.15">
      <c r="AG101" s="91" t="e">
        <f t="shared" si="52"/>
        <v>#VALUE!</v>
      </c>
      <c r="AH101" s="91" t="e">
        <f t="shared" si="52"/>
        <v>#VALUE!</v>
      </c>
      <c r="AI101" s="91">
        <f t="shared" si="52"/>
        <v>-383872</v>
      </c>
      <c r="AJ101" s="91">
        <f t="shared" si="52"/>
        <v>-342960</v>
      </c>
      <c r="AK101" s="91">
        <f t="shared" si="52"/>
        <v>-81088</v>
      </c>
      <c r="AL101" s="91">
        <f t="shared" si="52"/>
        <v>0</v>
      </c>
      <c r="AM101" s="91">
        <f t="shared" si="52"/>
        <v>-24720</v>
      </c>
      <c r="AN101" s="91">
        <f t="shared" si="52"/>
        <v>-235496</v>
      </c>
      <c r="AO101" s="91">
        <f t="shared" si="52"/>
        <v>-1656</v>
      </c>
      <c r="AP101" s="91">
        <f t="shared" si="52"/>
        <v>-78.244808599999999</v>
      </c>
      <c r="AQ101" s="92">
        <f t="shared" si="52"/>
        <v>-81.361836800000006</v>
      </c>
      <c r="AR101" s="92">
        <f t="shared" si="52"/>
        <v>-31.540469900000002</v>
      </c>
      <c r="AS101" s="92">
        <f t="shared" si="52"/>
        <v>-43.652007599999997</v>
      </c>
      <c r="AT101" s="92">
        <f t="shared" si="52"/>
        <v>-42.291822500000002</v>
      </c>
      <c r="AU101" s="92">
        <f t="shared" si="52"/>
        <v>-56.170851599999999</v>
      </c>
      <c r="AV101" s="93">
        <f t="shared" si="52"/>
        <v>-31.075164699999998</v>
      </c>
    </row>
    <row r="102" spans="33:48" x14ac:dyDescent="0.15">
      <c r="AG102" s="91" t="e">
        <f t="shared" si="52"/>
        <v>#VALUE!</v>
      </c>
      <c r="AH102" s="91" t="e">
        <f t="shared" si="52"/>
        <v>#VALUE!</v>
      </c>
      <c r="AI102" s="91">
        <f t="shared" si="52"/>
        <v>-767872</v>
      </c>
      <c r="AJ102" s="91">
        <f t="shared" si="52"/>
        <v>-918272</v>
      </c>
      <c r="AK102" s="91">
        <f t="shared" si="52"/>
        <v>-141704</v>
      </c>
      <c r="AL102" s="91">
        <f t="shared" si="52"/>
        <v>0</v>
      </c>
      <c r="AM102" s="91">
        <f t="shared" si="52"/>
        <v>-59984</v>
      </c>
      <c r="AN102" s="91">
        <f t="shared" si="52"/>
        <v>-714904</v>
      </c>
      <c r="AO102" s="91">
        <f t="shared" si="52"/>
        <v>-1680</v>
      </c>
      <c r="AP102" s="91">
        <f t="shared" si="52"/>
        <v>-81.334224199999994</v>
      </c>
      <c r="AQ102" s="92">
        <f t="shared" si="52"/>
        <v>-86.582821699999997</v>
      </c>
      <c r="AR102" s="92">
        <f t="shared" si="52"/>
        <v>-32.737954999999999</v>
      </c>
      <c r="AS102" s="92">
        <f t="shared" si="52"/>
        <v>-44.933899199999999</v>
      </c>
      <c r="AT102" s="92">
        <f t="shared" si="52"/>
        <v>-43.992284499999997</v>
      </c>
      <c r="AU102" s="92">
        <f t="shared" si="52"/>
        <v>-58.616900700000002</v>
      </c>
      <c r="AV102" s="93">
        <f t="shared" si="52"/>
        <v>-32.434200199999999</v>
      </c>
    </row>
    <row r="103" spans="33:48" x14ac:dyDescent="0.15">
      <c r="AG103" s="91" t="e">
        <f t="shared" si="52"/>
        <v>#VALUE!</v>
      </c>
      <c r="AH103" s="91" t="e">
        <f t="shared" si="52"/>
        <v>#VALUE!</v>
      </c>
      <c r="AI103" s="91">
        <f t="shared" si="52"/>
        <v>-1535744</v>
      </c>
      <c r="AJ103" s="91">
        <f t="shared" si="52"/>
        <v>-1691752</v>
      </c>
      <c r="AK103" s="91">
        <f t="shared" si="52"/>
        <v>-248112</v>
      </c>
      <c r="AL103" s="91">
        <f t="shared" si="52"/>
        <v>0</v>
      </c>
      <c r="AM103" s="91">
        <f t="shared" si="52"/>
        <v>-55432</v>
      </c>
      <c r="AN103" s="91">
        <f t="shared" si="52"/>
        <v>-1386528</v>
      </c>
      <c r="AO103" s="91">
        <f t="shared" si="52"/>
        <v>-1680</v>
      </c>
      <c r="AP103" s="91">
        <f t="shared" si="52"/>
        <v>-82.120771199999993</v>
      </c>
      <c r="AQ103" s="92">
        <f t="shared" si="52"/>
        <v>-88.265081100000003</v>
      </c>
      <c r="AR103" s="92">
        <f t="shared" si="52"/>
        <v>-33.567344599999998</v>
      </c>
      <c r="AS103" s="92">
        <f t="shared" si="52"/>
        <v>-46.3748389</v>
      </c>
      <c r="AT103" s="92">
        <f t="shared" si="52"/>
        <v>-45.425838900000002</v>
      </c>
      <c r="AU103" s="92">
        <f t="shared" si="52"/>
        <v>-59.151543500000002</v>
      </c>
      <c r="AV103" s="93">
        <f t="shared" si="52"/>
        <v>-33.257023400000001</v>
      </c>
    </row>
    <row r="104" spans="33:48" ht="14.25" thickBot="1" x14ac:dyDescent="0.2">
      <c r="AG104" s="94" t="e">
        <f t="shared" ref="AG104:AV104" si="53">AG49-L49</f>
        <v>#VALUE!</v>
      </c>
      <c r="AH104" s="94" t="e">
        <f t="shared" si="53"/>
        <v>#VALUE!</v>
      </c>
      <c r="AI104" s="94">
        <f t="shared" si="53"/>
        <v>-1535744</v>
      </c>
      <c r="AJ104" s="94">
        <f t="shared" si="53"/>
        <v>-3002608</v>
      </c>
      <c r="AK104" s="94">
        <f t="shared" si="53"/>
        <v>-248112</v>
      </c>
      <c r="AL104" s="94">
        <f t="shared" si="53"/>
        <v>0</v>
      </c>
      <c r="AM104" s="94">
        <f t="shared" si="53"/>
        <v>-64824</v>
      </c>
      <c r="AN104" s="94">
        <f t="shared" si="53"/>
        <v>-2687984</v>
      </c>
      <c r="AO104" s="94">
        <f t="shared" si="53"/>
        <v>-1688</v>
      </c>
      <c r="AP104" s="94">
        <f t="shared" si="53"/>
        <v>-82.296570799999998</v>
      </c>
      <c r="AQ104" s="95">
        <f t="shared" si="53"/>
        <v>-88.772984699999995</v>
      </c>
      <c r="AR104" s="95">
        <f t="shared" si="53"/>
        <v>-34.238238899999999</v>
      </c>
      <c r="AS104" s="95">
        <f t="shared" si="53"/>
        <v>-48.012117199999999</v>
      </c>
      <c r="AT104" s="95">
        <f t="shared" si="53"/>
        <v>-46.998905299999997</v>
      </c>
      <c r="AU104" s="95">
        <f t="shared" si="53"/>
        <v>-59.486194699999999</v>
      </c>
      <c r="AV104" s="96">
        <f t="shared" si="53"/>
        <v>-33.879080799999997</v>
      </c>
    </row>
  </sheetData>
  <mergeCells count="52">
    <mergeCell ref="BT2:BT3"/>
    <mergeCell ref="AG2:AG3"/>
    <mergeCell ref="AH2:AH3"/>
    <mergeCell ref="J2:J3"/>
    <mergeCell ref="AJ2:AJ3"/>
    <mergeCell ref="BQ2:BQ3"/>
    <mergeCell ref="L2:L3"/>
    <mergeCell ref="M2:M3"/>
    <mergeCell ref="S2:S3"/>
    <mergeCell ref="T2:T3"/>
    <mergeCell ref="AK2:AK3"/>
    <mergeCell ref="AL2:AL3"/>
    <mergeCell ref="AM2:AM3"/>
    <mergeCell ref="AN2:AN3"/>
    <mergeCell ref="AO2:AO3"/>
    <mergeCell ref="BR2:BR3"/>
    <mergeCell ref="BS2:BS3"/>
    <mergeCell ref="O2:O3"/>
    <mergeCell ref="U2:Y2"/>
    <mergeCell ref="Z2:AA2"/>
    <mergeCell ref="AB2:AB3"/>
    <mergeCell ref="BP2:BP3"/>
    <mergeCell ref="BE2:BF2"/>
    <mergeCell ref="AZ2:BD2"/>
    <mergeCell ref="BH2:BI2"/>
    <mergeCell ref="BJ2:BL2"/>
    <mergeCell ref="BM2:BM3"/>
    <mergeCell ref="BN2:BN3"/>
    <mergeCell ref="P2:P3"/>
    <mergeCell ref="Q2:Q3"/>
    <mergeCell ref="R2:R3"/>
    <mergeCell ref="A2:A3"/>
    <mergeCell ref="B2:B3"/>
    <mergeCell ref="C2:C3"/>
    <mergeCell ref="D2:D3"/>
    <mergeCell ref="E2:E3"/>
    <mergeCell ref="A1:H1"/>
    <mergeCell ref="J1:AC1"/>
    <mergeCell ref="AE1:AX1"/>
    <mergeCell ref="AP2:AT2"/>
    <mergeCell ref="AU2:AV2"/>
    <mergeCell ref="AW2:AW3"/>
    <mergeCell ref="AX2:AX3"/>
    <mergeCell ref="AC2:AC3"/>
    <mergeCell ref="AE2:AE3"/>
    <mergeCell ref="AF2:AF3"/>
    <mergeCell ref="AI2:AI3"/>
    <mergeCell ref="F2:F3"/>
    <mergeCell ref="G2:G3"/>
    <mergeCell ref="H2:H3"/>
    <mergeCell ref="N2:N3"/>
    <mergeCell ref="K2:K3"/>
  </mergeCells>
  <phoneticPr fontId="2" type="noConversion"/>
  <conditionalFormatting sqref="AZ50:AZ52 AZ54:BF54">
    <cfRule type="cellIs" dxfId="111" priority="75" operator="greaterThanOrEqual">
      <formula>0.03</formula>
    </cfRule>
    <cfRule type="cellIs" dxfId="110" priority="76" operator="lessThanOrEqual">
      <formula>-0.03</formula>
    </cfRule>
  </conditionalFormatting>
  <conditionalFormatting sqref="BA50:BA52">
    <cfRule type="cellIs" dxfId="109" priority="71" operator="greaterThanOrEqual">
      <formula>0.03</formula>
    </cfRule>
    <cfRule type="cellIs" dxfId="108" priority="72" operator="lessThanOrEqual">
      <formula>-0.03</formula>
    </cfRule>
  </conditionalFormatting>
  <conditionalFormatting sqref="BB50:BB52">
    <cfRule type="cellIs" dxfId="107" priority="79" operator="greaterThanOrEqual">
      <formula>0.03</formula>
    </cfRule>
    <cfRule type="cellIs" dxfId="106" priority="80" operator="lessThanOrEqual">
      <formula>-0.03</formula>
    </cfRule>
  </conditionalFormatting>
  <conditionalFormatting sqref="BC50:BC52">
    <cfRule type="cellIs" dxfId="105" priority="81" operator="greaterThanOrEqual">
      <formula>0.03</formula>
    </cfRule>
    <cfRule type="cellIs" dxfId="104" priority="82" operator="lessThanOrEqual">
      <formula>-0.03</formula>
    </cfRule>
  </conditionalFormatting>
  <conditionalFormatting sqref="BD50:BD52">
    <cfRule type="cellIs" dxfId="103" priority="73" operator="greaterThanOrEqual">
      <formula>0.03</formula>
    </cfRule>
    <cfRule type="cellIs" dxfId="102" priority="74" operator="lessThanOrEqual">
      <formula>-0.03</formula>
    </cfRule>
  </conditionalFormatting>
  <conditionalFormatting sqref="BE50:BE52">
    <cfRule type="cellIs" dxfId="101" priority="83" operator="greaterThanOrEqual">
      <formula>0.03</formula>
    </cfRule>
    <cfRule type="cellIs" dxfId="100" priority="84" operator="lessThanOrEqual">
      <formula>-0.03</formula>
    </cfRule>
  </conditionalFormatting>
  <conditionalFormatting sqref="BF50:BF52">
    <cfRule type="cellIs" dxfId="99" priority="77" operator="greaterThanOrEqual">
      <formula>0.03</formula>
    </cfRule>
    <cfRule type="cellIs" dxfId="98" priority="78" operator="lessThanOrEqual">
      <formula>-0.03</formula>
    </cfRule>
  </conditionalFormatting>
  <conditionalFormatting sqref="J5:J50">
    <cfRule type="expression" dxfId="97" priority="70">
      <formula>OR(J5 &lt; H5 * 0.9, J5 &gt; H5)</formula>
    </cfRule>
  </conditionalFormatting>
  <conditionalFormatting sqref="AE5:AE50">
    <cfRule type="expression" dxfId="96" priority="69">
      <formula>OR(AE5 &lt; H5 * 0.9, AE5 &gt; H5)</formula>
    </cfRule>
  </conditionalFormatting>
  <conditionalFormatting sqref="BP5:BP52 BP54:BT54">
    <cfRule type="cellIs" dxfId="95" priority="67" operator="greaterThanOrEqual">
      <formula>0.001</formula>
    </cfRule>
    <cfRule type="cellIs" dxfId="94" priority="68" operator="lessThanOrEqual">
      <formula>-0.001</formula>
    </cfRule>
  </conditionalFormatting>
  <conditionalFormatting sqref="BQ5:BQ52">
    <cfRule type="cellIs" dxfId="93" priority="65" operator="greaterThanOrEqual">
      <formula>0.001</formula>
    </cfRule>
    <cfRule type="cellIs" dxfId="92" priority="66" operator="lessThanOrEqual">
      <formula>-0.001</formula>
    </cfRule>
  </conditionalFormatting>
  <conditionalFormatting sqref="BR5:BR52">
    <cfRule type="cellIs" dxfId="91" priority="63" operator="greaterThanOrEqual">
      <formula>0.001</formula>
    </cfRule>
    <cfRule type="cellIs" dxfId="90" priority="64" operator="lessThanOrEqual">
      <formula>-0.001</formula>
    </cfRule>
  </conditionalFormatting>
  <conditionalFormatting sqref="BS5:BS52">
    <cfRule type="cellIs" dxfId="89" priority="61" operator="greaterThanOrEqual">
      <formula>0.001</formula>
    </cfRule>
    <cfRule type="cellIs" dxfId="88" priority="62" operator="lessThanOrEqual">
      <formula>-0.001</formula>
    </cfRule>
  </conditionalFormatting>
  <conditionalFormatting sqref="AG60:AQ99">
    <cfRule type="cellIs" dxfId="87" priority="59" operator="lessThan">
      <formula>0</formula>
    </cfRule>
    <cfRule type="cellIs" dxfId="86" priority="60" operator="greaterThan">
      <formula>0</formula>
    </cfRule>
  </conditionalFormatting>
  <conditionalFormatting sqref="AR60:AV99">
    <cfRule type="cellIs" dxfId="85" priority="57" operator="lessThan">
      <formula>0</formula>
    </cfRule>
    <cfRule type="cellIs" dxfId="84" priority="58" operator="greaterThan">
      <formula>0</formula>
    </cfRule>
  </conditionalFormatting>
  <conditionalFormatting sqref="L5:L49">
    <cfRule type="expression" dxfId="83" priority="54">
      <formula>NOT(L5=O5)</formula>
    </cfRule>
  </conditionalFormatting>
  <conditionalFormatting sqref="AG5:AG49">
    <cfRule type="expression" dxfId="82" priority="53">
      <formula>NOT(AG5=AJ5)</formula>
    </cfRule>
  </conditionalFormatting>
  <conditionalFormatting sqref="BH50:BH52 BH54:BN54">
    <cfRule type="cellIs" dxfId="81" priority="43" operator="greaterThanOrEqual">
      <formula>0.03</formula>
    </cfRule>
    <cfRule type="cellIs" dxfId="80" priority="44" operator="lessThanOrEqual">
      <formula>-0.03</formula>
    </cfRule>
  </conditionalFormatting>
  <conditionalFormatting sqref="BI50:BI52">
    <cfRule type="cellIs" dxfId="79" priority="39" operator="greaterThanOrEqual">
      <formula>0.03</formula>
    </cfRule>
    <cfRule type="cellIs" dxfId="78" priority="40" operator="lessThanOrEqual">
      <formula>-0.03</formula>
    </cfRule>
  </conditionalFormatting>
  <conditionalFormatting sqref="BJ50:BJ52">
    <cfRule type="cellIs" dxfId="77" priority="47" operator="greaterThanOrEqual">
      <formula>0.03</formula>
    </cfRule>
    <cfRule type="cellIs" dxfId="76" priority="48" operator="lessThanOrEqual">
      <formula>-0.03</formula>
    </cfRule>
  </conditionalFormatting>
  <conditionalFormatting sqref="BK50:BK52">
    <cfRule type="cellIs" dxfId="75" priority="49" operator="greaterThanOrEqual">
      <formula>0.03</formula>
    </cfRule>
    <cfRule type="cellIs" dxfId="74" priority="50" operator="lessThanOrEqual">
      <formula>-0.03</formula>
    </cfRule>
  </conditionalFormatting>
  <conditionalFormatting sqref="BL50:BL52">
    <cfRule type="cellIs" dxfId="73" priority="41" operator="greaterThanOrEqual">
      <formula>0.03</formula>
    </cfRule>
    <cfRule type="cellIs" dxfId="72" priority="42" operator="lessThanOrEqual">
      <formula>-0.03</formula>
    </cfRule>
  </conditionalFormatting>
  <conditionalFormatting sqref="BM50:BM52">
    <cfRule type="cellIs" dxfId="71" priority="51" operator="greaterThanOrEqual">
      <formula>0.03</formula>
    </cfRule>
    <cfRule type="cellIs" dxfId="70" priority="52" operator="lessThanOrEqual">
      <formula>-0.03</formula>
    </cfRule>
  </conditionalFormatting>
  <conditionalFormatting sqref="BN50:BN52">
    <cfRule type="cellIs" dxfId="69" priority="45" operator="greaterThanOrEqual">
      <formula>0.03</formula>
    </cfRule>
    <cfRule type="cellIs" dxfId="68" priority="46" operator="lessThanOrEqual">
      <formula>-0.03</formula>
    </cfRule>
  </conditionalFormatting>
  <conditionalFormatting sqref="BT5:BT52">
    <cfRule type="cellIs" dxfId="67" priority="37" operator="greaterThanOrEqual">
      <formula>0.001</formula>
    </cfRule>
    <cfRule type="cellIs" dxfId="66" priority="38" operator="lessThanOrEqual">
      <formula>-0.001</formula>
    </cfRule>
  </conditionalFormatting>
  <conditionalFormatting sqref="AZ5:AZ49">
    <cfRule type="cellIs" dxfId="65" priority="23" operator="greaterThanOrEqual">
      <formula>0.03</formula>
    </cfRule>
    <cfRule type="cellIs" dxfId="64" priority="24" operator="lessThanOrEqual">
      <formula>-0.03</formula>
    </cfRule>
  </conditionalFormatting>
  <conditionalFormatting sqref="BA5:BA49">
    <cfRule type="cellIs" dxfId="63" priority="25" operator="greaterThanOrEqual">
      <formula>0.03</formula>
    </cfRule>
    <cfRule type="cellIs" dxfId="62" priority="26" operator="lessThanOrEqual">
      <formula>-0.03</formula>
    </cfRule>
  </conditionalFormatting>
  <conditionalFormatting sqref="BB5:BB49">
    <cfRule type="cellIs" dxfId="61" priority="33" operator="greaterThanOrEqual">
      <formula>0.03</formula>
    </cfRule>
    <cfRule type="cellIs" dxfId="60" priority="34" operator="lessThanOrEqual">
      <formula>-0.03</formula>
    </cfRule>
  </conditionalFormatting>
  <conditionalFormatting sqref="BC5:BC49">
    <cfRule type="cellIs" dxfId="59" priority="35" operator="greaterThanOrEqual">
      <formula>0.03</formula>
    </cfRule>
    <cfRule type="cellIs" dxfId="58" priority="36" operator="lessThanOrEqual">
      <formula>-0.03</formula>
    </cfRule>
  </conditionalFormatting>
  <conditionalFormatting sqref="BD5:BD49">
    <cfRule type="cellIs" dxfId="57" priority="27" operator="greaterThanOrEqual">
      <formula>0.03</formula>
    </cfRule>
    <cfRule type="cellIs" dxfId="56" priority="28" operator="lessThanOrEqual">
      <formula>-0.03</formula>
    </cfRule>
  </conditionalFormatting>
  <conditionalFormatting sqref="BE5:BE49">
    <cfRule type="cellIs" dxfId="55" priority="29" operator="greaterThanOrEqual">
      <formula>0.03</formula>
    </cfRule>
    <cfRule type="cellIs" dxfId="54" priority="30" operator="lessThanOrEqual">
      <formula>-0.03</formula>
    </cfRule>
  </conditionalFormatting>
  <conditionalFormatting sqref="BF5:BF49">
    <cfRule type="cellIs" dxfId="53" priority="31" operator="greaterThanOrEqual">
      <formula>0.03</formula>
    </cfRule>
    <cfRule type="cellIs" dxfId="52" priority="32" operator="lessThanOrEqual">
      <formula>-0.03</formula>
    </cfRule>
  </conditionalFormatting>
  <conditionalFormatting sqref="BH5:BH49">
    <cfRule type="cellIs" dxfId="51" priority="13" operator="greaterThanOrEqual">
      <formula>0.03</formula>
    </cfRule>
    <cfRule type="cellIs" dxfId="50" priority="14" operator="lessThanOrEqual">
      <formula>-0.03</formula>
    </cfRule>
  </conditionalFormatting>
  <conditionalFormatting sqref="BI5:BI49">
    <cfRule type="cellIs" dxfId="49" priority="9" operator="greaterThanOrEqual">
      <formula>0.03</formula>
    </cfRule>
    <cfRule type="cellIs" dxfId="48" priority="10" operator="lessThanOrEqual">
      <formula>-0.03</formula>
    </cfRule>
  </conditionalFormatting>
  <conditionalFormatting sqref="BJ5:BJ49">
    <cfRule type="cellIs" dxfId="47" priority="17" operator="greaterThanOrEqual">
      <formula>0.03</formula>
    </cfRule>
    <cfRule type="cellIs" dxfId="46" priority="18" operator="lessThanOrEqual">
      <formula>-0.03</formula>
    </cfRule>
  </conditionalFormatting>
  <conditionalFormatting sqref="BK5:BK49">
    <cfRule type="cellIs" dxfId="45" priority="19" operator="greaterThanOrEqual">
      <formula>0.03</formula>
    </cfRule>
    <cfRule type="cellIs" dxfId="44" priority="20" operator="lessThanOrEqual">
      <formula>-0.03</formula>
    </cfRule>
  </conditionalFormatting>
  <conditionalFormatting sqref="BL5:BL49">
    <cfRule type="cellIs" dxfId="43" priority="11" operator="greaterThanOrEqual">
      <formula>0.03</formula>
    </cfRule>
    <cfRule type="cellIs" dxfId="42" priority="12" operator="lessThanOrEqual">
      <formula>-0.03</formula>
    </cfRule>
  </conditionalFormatting>
  <conditionalFormatting sqref="BM5:BM49">
    <cfRule type="cellIs" dxfId="41" priority="21" operator="greaterThanOrEqual">
      <formula>0.03</formula>
    </cfRule>
    <cfRule type="cellIs" dxfId="40" priority="22" operator="lessThanOrEqual">
      <formula>-0.03</formula>
    </cfRule>
  </conditionalFormatting>
  <conditionalFormatting sqref="BN5:BN49">
    <cfRule type="cellIs" dxfId="39" priority="15" operator="greaterThanOrEqual">
      <formula>0.03</formula>
    </cfRule>
    <cfRule type="cellIs" dxfId="38" priority="16" operator="lessThanOrEqual">
      <formula>-0.03</formula>
    </cfRule>
  </conditionalFormatting>
  <conditionalFormatting sqref="AZ53:BN53">
    <cfRule type="cellIs" dxfId="37" priority="7" operator="greaterThanOrEqual">
      <formula>0.03</formula>
    </cfRule>
    <cfRule type="cellIs" dxfId="36" priority="8" operator="lessThanOrEqual">
      <formula>-0.03</formula>
    </cfRule>
  </conditionalFormatting>
  <conditionalFormatting sqref="BP53:BT53">
    <cfRule type="cellIs" dxfId="35" priority="5" operator="greaterThanOrEqual">
      <formula>0.001</formula>
    </cfRule>
    <cfRule type="cellIs" dxfId="34" priority="6" operator="lessThanOrEqual">
      <formula>-0.001</formula>
    </cfRule>
  </conditionalFormatting>
  <conditionalFormatting sqref="AG100:AQ104">
    <cfRule type="cellIs" dxfId="33" priority="3" operator="lessThan">
      <formula>0</formula>
    </cfRule>
    <cfRule type="cellIs" dxfId="32" priority="4" operator="greaterThan">
      <formula>0</formula>
    </cfRule>
  </conditionalFormatting>
  <conditionalFormatting sqref="AR100:AV104">
    <cfRule type="cellIs" dxfId="31" priority="1" operator="lessThan">
      <formula>0</formula>
    </cfRule>
    <cfRule type="cellIs" dxfId="30" priority="2" operator="greaterThan">
      <formula>0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19"/>
  <sheetViews>
    <sheetView workbookViewId="0">
      <selection activeCell="D17" sqref="D17"/>
    </sheetView>
  </sheetViews>
  <sheetFormatPr defaultRowHeight="13.5" x14ac:dyDescent="0.15"/>
  <sheetData>
    <row r="1" spans="1:16" ht="15.75" customHeight="1" thickBot="1" x14ac:dyDescent="0.2">
      <c r="C1" s="131" t="s">
        <v>332</v>
      </c>
      <c r="D1" s="132"/>
      <c r="E1" s="132"/>
      <c r="F1" s="132"/>
      <c r="G1" s="132"/>
      <c r="H1" s="132"/>
      <c r="I1" s="133"/>
      <c r="J1" s="131" t="s">
        <v>367</v>
      </c>
      <c r="K1" s="132"/>
      <c r="L1" s="132"/>
      <c r="M1" s="132"/>
      <c r="N1" s="132"/>
      <c r="O1" s="132"/>
      <c r="P1" s="133"/>
    </row>
    <row r="2" spans="1:16" ht="15.75" customHeight="1" thickBot="1" x14ac:dyDescent="0.2">
      <c r="A2" s="134" t="s">
        <v>149</v>
      </c>
      <c r="B2" s="136" t="s">
        <v>150</v>
      </c>
      <c r="C2" s="138" t="s">
        <v>15</v>
      </c>
      <c r="D2" s="139"/>
      <c r="E2" s="139"/>
      <c r="F2" s="139"/>
      <c r="G2" s="139"/>
      <c r="H2" s="140" t="s">
        <v>16</v>
      </c>
      <c r="I2" s="141"/>
      <c r="J2" s="138" t="s">
        <v>15</v>
      </c>
      <c r="K2" s="139"/>
      <c r="L2" s="139"/>
      <c r="M2" s="139"/>
      <c r="N2" s="139"/>
      <c r="O2" s="140" t="s">
        <v>16</v>
      </c>
      <c r="P2" s="141"/>
    </row>
    <row r="3" spans="1:16" ht="30.75" customHeight="1" thickBot="1" x14ac:dyDescent="0.2">
      <c r="A3" s="135"/>
      <c r="B3" s="137"/>
      <c r="C3" s="60" t="s">
        <v>17</v>
      </c>
      <c r="D3" s="61" t="s">
        <v>18</v>
      </c>
      <c r="E3" s="61" t="s">
        <v>19</v>
      </c>
      <c r="F3" s="61" t="s">
        <v>20</v>
      </c>
      <c r="G3" s="61" t="s">
        <v>21</v>
      </c>
      <c r="H3" s="61" t="s">
        <v>22</v>
      </c>
      <c r="I3" s="62" t="s">
        <v>19</v>
      </c>
      <c r="J3" s="60" t="s">
        <v>17</v>
      </c>
      <c r="K3" s="61" t="s">
        <v>18</v>
      </c>
      <c r="L3" s="61" t="s">
        <v>19</v>
      </c>
      <c r="M3" s="61" t="s">
        <v>20</v>
      </c>
      <c r="N3" s="61" t="s">
        <v>21</v>
      </c>
      <c r="O3" s="61" t="s">
        <v>22</v>
      </c>
      <c r="P3" s="62" t="s">
        <v>19</v>
      </c>
    </row>
    <row r="4" spans="1:16" x14ac:dyDescent="0.15">
      <c r="A4" s="63" t="s">
        <v>175</v>
      </c>
      <c r="B4" s="64" t="s">
        <v>38</v>
      </c>
      <c r="C4" s="65" t="str">
        <f>'C1 lossy AI'!AZ5</f>
        <v>·</v>
      </c>
      <c r="D4" s="24" t="str">
        <f>'C1 lossy AI'!BA5</f>
        <v>·</v>
      </c>
      <c r="E4" s="24" t="str">
        <f>'C1 lossy AI'!BB5</f>
        <v>·</v>
      </c>
      <c r="F4" s="24" t="str">
        <f>'C1 lossy AI'!BC5</f>
        <v>·</v>
      </c>
      <c r="G4" s="24" t="str">
        <f>'C1 lossy AI'!BD5</f>
        <v>·</v>
      </c>
      <c r="H4" s="24" t="str">
        <f>'C1 lossy AI'!BE5</f>
        <v>·</v>
      </c>
      <c r="I4" s="66" t="str">
        <f>'C1 lossy AI'!BF5</f>
        <v>·</v>
      </c>
      <c r="J4" s="65" t="str">
        <f>'C2 lossy RA'!AZ5</f>
        <v>·</v>
      </c>
      <c r="K4" s="24" t="str">
        <f>'C2 lossy RA'!BA5</f>
        <v>·</v>
      </c>
      <c r="L4" s="24" t="str">
        <f>'C2 lossy RA'!BB5</f>
        <v>·</v>
      </c>
      <c r="M4" s="24" t="str">
        <f>'C2 lossy RA'!BC5</f>
        <v>·</v>
      </c>
      <c r="N4" s="24" t="str">
        <f>'C2 lossy RA'!BD5</f>
        <v>·</v>
      </c>
      <c r="O4" s="24" t="str">
        <f>'C2 lossy RA'!BE5</f>
        <v>·</v>
      </c>
      <c r="P4" s="66" t="str">
        <f>'C2 lossy RA'!BF5</f>
        <v>·</v>
      </c>
    </row>
    <row r="5" spans="1:16" x14ac:dyDescent="0.15">
      <c r="A5" s="67"/>
      <c r="B5" s="68" t="s">
        <v>46</v>
      </c>
      <c r="C5" s="69" t="str">
        <f>'C1 lossy AI'!AZ10</f>
        <v>·</v>
      </c>
      <c r="D5" s="40" t="str">
        <f>'C1 lossy AI'!BA10</f>
        <v>·</v>
      </c>
      <c r="E5" s="40" t="str">
        <f>'C1 lossy AI'!BB10</f>
        <v>·</v>
      </c>
      <c r="F5" s="40" t="str">
        <f>'C1 lossy AI'!BC10</f>
        <v>·</v>
      </c>
      <c r="G5" s="40" t="str">
        <f>'C1 lossy AI'!BD10</f>
        <v>·</v>
      </c>
      <c r="H5" s="40" t="str">
        <f>'C1 lossy AI'!BE10</f>
        <v>·</v>
      </c>
      <c r="I5" s="70" t="str">
        <f>'C1 lossy AI'!BF10</f>
        <v>·</v>
      </c>
      <c r="J5" s="69" t="str">
        <f>'C2 lossy RA'!AZ10</f>
        <v>·</v>
      </c>
      <c r="K5" s="40" t="str">
        <f>'C2 lossy RA'!BA10</f>
        <v>·</v>
      </c>
      <c r="L5" s="40" t="str">
        <f>'C2 lossy RA'!BB10</f>
        <v>·</v>
      </c>
      <c r="M5" s="40" t="str">
        <f>'C2 lossy RA'!BC10</f>
        <v>·</v>
      </c>
      <c r="N5" s="40" t="str">
        <f>'C2 lossy RA'!BD10</f>
        <v>·</v>
      </c>
      <c r="O5" s="40" t="str">
        <f>'C2 lossy RA'!BE10</f>
        <v>·</v>
      </c>
      <c r="P5" s="70" t="str">
        <f>'C2 lossy RA'!BF10</f>
        <v>·</v>
      </c>
    </row>
    <row r="6" spans="1:16" x14ac:dyDescent="0.15">
      <c r="A6" s="63" t="s">
        <v>176</v>
      </c>
      <c r="B6" s="64" t="s">
        <v>51</v>
      </c>
      <c r="C6" s="65" t="str">
        <f>'C1 lossy AI'!AZ15</f>
        <v>·</v>
      </c>
      <c r="D6" s="24" t="str">
        <f>'C1 lossy AI'!BA15</f>
        <v>·</v>
      </c>
      <c r="E6" s="24" t="str">
        <f>'C1 lossy AI'!BB15</f>
        <v>·</v>
      </c>
      <c r="F6" s="24" t="str">
        <f>'C1 lossy AI'!BC15</f>
        <v>·</v>
      </c>
      <c r="G6" s="24" t="str">
        <f>'C1 lossy AI'!BD15</f>
        <v>·</v>
      </c>
      <c r="H6" s="24" t="str">
        <f>'C1 lossy AI'!BE15</f>
        <v>·</v>
      </c>
      <c r="I6" s="66" t="str">
        <f>'C1 lossy AI'!BF15</f>
        <v>·</v>
      </c>
      <c r="J6" s="65" t="str">
        <f>'C2 lossy RA'!AZ15</f>
        <v>·</v>
      </c>
      <c r="K6" s="24" t="str">
        <f>'C2 lossy RA'!BA15</f>
        <v>·</v>
      </c>
      <c r="L6" s="24" t="str">
        <f>'C2 lossy RA'!BB15</f>
        <v>·</v>
      </c>
      <c r="M6" s="24" t="str">
        <f>'C2 lossy RA'!BC15</f>
        <v>·</v>
      </c>
      <c r="N6" s="24" t="str">
        <f>'C2 lossy RA'!BD15</f>
        <v>·</v>
      </c>
      <c r="O6" s="24" t="str">
        <f>'C2 lossy RA'!BE15</f>
        <v>·</v>
      </c>
      <c r="P6" s="66" t="str">
        <f>'C2 lossy RA'!BF15</f>
        <v>·</v>
      </c>
    </row>
    <row r="7" spans="1:16" x14ac:dyDescent="0.15">
      <c r="A7" s="67"/>
      <c r="B7" s="68" t="s">
        <v>56</v>
      </c>
      <c r="C7" s="69" t="str">
        <f>'C1 lossy AI'!AZ20</f>
        <v>·</v>
      </c>
      <c r="D7" s="40" t="str">
        <f>'C1 lossy AI'!BA20</f>
        <v>·</v>
      </c>
      <c r="E7" s="40" t="str">
        <f>'C1 lossy AI'!BB20</f>
        <v>·</v>
      </c>
      <c r="F7" s="40" t="str">
        <f>'C1 lossy AI'!BC20</f>
        <v>·</v>
      </c>
      <c r="G7" s="40" t="str">
        <f>'C1 lossy AI'!BD20</f>
        <v>·</v>
      </c>
      <c r="H7" s="40" t="str">
        <f>'C1 lossy AI'!BE20</f>
        <v>·</v>
      </c>
      <c r="I7" s="70" t="str">
        <f>'C1 lossy AI'!BF20</f>
        <v>·</v>
      </c>
      <c r="J7" s="69" t="str">
        <f>'C2 lossy RA'!AZ20</f>
        <v>·</v>
      </c>
      <c r="K7" s="40" t="str">
        <f>'C2 lossy RA'!BA20</f>
        <v>·</v>
      </c>
      <c r="L7" s="40" t="str">
        <f>'C2 lossy RA'!BB20</f>
        <v>·</v>
      </c>
      <c r="M7" s="40" t="str">
        <f>'C2 lossy RA'!BC20</f>
        <v>·</v>
      </c>
      <c r="N7" s="40" t="str">
        <f>'C2 lossy RA'!BD20</f>
        <v>·</v>
      </c>
      <c r="O7" s="40" t="str">
        <f>'C2 lossy RA'!BE20</f>
        <v>·</v>
      </c>
      <c r="P7" s="70" t="str">
        <f>'C2 lossy RA'!BF20</f>
        <v>·</v>
      </c>
    </row>
    <row r="8" spans="1:16" x14ac:dyDescent="0.15">
      <c r="A8" s="63" t="s">
        <v>177</v>
      </c>
      <c r="B8" s="64" t="s">
        <v>61</v>
      </c>
      <c r="C8" s="65" t="str">
        <f>'C1 lossy AI'!AZ25</f>
        <v>·</v>
      </c>
      <c r="D8" s="24" t="str">
        <f>'C1 lossy AI'!BA25</f>
        <v>·</v>
      </c>
      <c r="E8" s="24" t="str">
        <f>'C1 lossy AI'!BB25</f>
        <v>·</v>
      </c>
      <c r="F8" s="24" t="str">
        <f>'C1 lossy AI'!BC25</f>
        <v>·</v>
      </c>
      <c r="G8" s="24" t="str">
        <f>'C1 lossy AI'!BD25</f>
        <v>·</v>
      </c>
      <c r="H8" s="24" t="str">
        <f>'C1 lossy AI'!BE25</f>
        <v>·</v>
      </c>
      <c r="I8" s="66" t="str">
        <f>'C1 lossy AI'!BF25</f>
        <v>·</v>
      </c>
      <c r="J8" s="65" t="str">
        <f>'C2 lossy RA'!AZ25</f>
        <v>·</v>
      </c>
      <c r="K8" s="24" t="str">
        <f>'C2 lossy RA'!BA25</f>
        <v>·</v>
      </c>
      <c r="L8" s="24" t="str">
        <f>'C2 lossy RA'!BB25</f>
        <v>·</v>
      </c>
      <c r="M8" s="24" t="str">
        <f>'C2 lossy RA'!BC25</f>
        <v>·</v>
      </c>
      <c r="N8" s="24" t="str">
        <f>'C2 lossy RA'!BD25</f>
        <v>·</v>
      </c>
      <c r="O8" s="24" t="str">
        <f>'C2 lossy RA'!BE25</f>
        <v>·</v>
      </c>
      <c r="P8" s="66" t="str">
        <f>'C2 lossy RA'!BF25</f>
        <v>·</v>
      </c>
    </row>
    <row r="9" spans="1:16" x14ac:dyDescent="0.15">
      <c r="A9" s="67"/>
      <c r="B9" s="68" t="s">
        <v>66</v>
      </c>
      <c r="C9" s="69" t="str">
        <f>'C1 lossy AI'!AZ30</f>
        <v>·</v>
      </c>
      <c r="D9" s="40" t="str">
        <f>'C1 lossy AI'!BA30</f>
        <v>·</v>
      </c>
      <c r="E9" s="40" t="str">
        <f>'C1 lossy AI'!BB30</f>
        <v>·</v>
      </c>
      <c r="F9" s="40" t="str">
        <f>'C1 lossy AI'!BC30</f>
        <v>·</v>
      </c>
      <c r="G9" s="40" t="str">
        <f>'C1 lossy AI'!BD30</f>
        <v>·</v>
      </c>
      <c r="H9" s="40" t="str">
        <f>'C1 lossy AI'!BE30</f>
        <v>·</v>
      </c>
      <c r="I9" s="70" t="str">
        <f>'C1 lossy AI'!BF30</f>
        <v>·</v>
      </c>
      <c r="J9" s="69" t="str">
        <f>'C2 lossy RA'!AZ30</f>
        <v>·</v>
      </c>
      <c r="K9" s="40" t="str">
        <f>'C2 lossy RA'!BA30</f>
        <v>·</v>
      </c>
      <c r="L9" s="40" t="str">
        <f>'C2 lossy RA'!BB30</f>
        <v>·</v>
      </c>
      <c r="M9" s="40" t="str">
        <f>'C2 lossy RA'!BC30</f>
        <v>·</v>
      </c>
      <c r="N9" s="40" t="str">
        <f>'C2 lossy RA'!BD30</f>
        <v>·</v>
      </c>
      <c r="O9" s="40" t="str">
        <f>'C2 lossy RA'!BE30</f>
        <v>·</v>
      </c>
      <c r="P9" s="70" t="str">
        <f>'C2 lossy RA'!BF30</f>
        <v>·</v>
      </c>
    </row>
    <row r="10" spans="1:16" x14ac:dyDescent="0.15">
      <c r="A10" s="63"/>
      <c r="B10" s="64" t="s">
        <v>32</v>
      </c>
      <c r="C10" s="65" t="str">
        <f>'C1 lossy AI'!AZ35</f>
        <v>·</v>
      </c>
      <c r="D10" s="24" t="str">
        <f>'C1 lossy AI'!BA35</f>
        <v>·</v>
      </c>
      <c r="E10" s="24" t="str">
        <f>'C1 lossy AI'!BB35</f>
        <v>·</v>
      </c>
      <c r="F10" s="24" t="str">
        <f>'C1 lossy AI'!BC35</f>
        <v>·</v>
      </c>
      <c r="G10" s="24" t="str">
        <f>'C1 lossy AI'!BD35</f>
        <v>·</v>
      </c>
      <c r="H10" s="24" t="str">
        <f>'C1 lossy AI'!BE35</f>
        <v>·</v>
      </c>
      <c r="I10" s="66" t="str">
        <f>'C1 lossy AI'!BF35</f>
        <v>·</v>
      </c>
      <c r="J10" s="65" t="str">
        <f>'C2 lossy RA'!AZ35</f>
        <v>·</v>
      </c>
      <c r="K10" s="24" t="str">
        <f>'C2 lossy RA'!BA35</f>
        <v>·</v>
      </c>
      <c r="L10" s="24" t="str">
        <f>'C2 lossy RA'!BB35</f>
        <v>·</v>
      </c>
      <c r="M10" s="24" t="str">
        <f>'C2 lossy RA'!BC35</f>
        <v>·</v>
      </c>
      <c r="N10" s="24" t="str">
        <f>'C2 lossy RA'!BD35</f>
        <v>·</v>
      </c>
      <c r="O10" s="24" t="str">
        <f>'C2 lossy RA'!BE35</f>
        <v>·</v>
      </c>
      <c r="P10" s="66" t="str">
        <f>'C2 lossy RA'!BF35</f>
        <v>·</v>
      </c>
    </row>
    <row r="11" spans="1:16" ht="15.75" customHeight="1" thickBot="1" x14ac:dyDescent="0.2">
      <c r="A11" s="71"/>
      <c r="B11" s="72" t="s">
        <v>75</v>
      </c>
      <c r="C11" s="73" t="str">
        <f>'C1 lossy AI'!AZ40</f>
        <v>·</v>
      </c>
      <c r="D11" s="32" t="str">
        <f>'C1 lossy AI'!BA40</f>
        <v>·</v>
      </c>
      <c r="E11" s="32" t="str">
        <f>'C1 lossy AI'!BB40</f>
        <v>·</v>
      </c>
      <c r="F11" s="32" t="str">
        <f>'C1 lossy AI'!BC40</f>
        <v>·</v>
      </c>
      <c r="G11" s="32" t="str">
        <f>'C1 lossy AI'!BD40</f>
        <v>·</v>
      </c>
      <c r="H11" s="32" t="str">
        <f>'C1 lossy AI'!BE40</f>
        <v>·</v>
      </c>
      <c r="I11" s="74" t="str">
        <f>'C1 lossy AI'!BF40</f>
        <v>·</v>
      </c>
      <c r="J11" s="73" t="str">
        <f>'C2 lossy RA'!AZ40</f>
        <v>·</v>
      </c>
      <c r="K11" s="32" t="str">
        <f>'C2 lossy RA'!BA40</f>
        <v>·</v>
      </c>
      <c r="L11" s="32" t="str">
        <f>'C2 lossy RA'!BB40</f>
        <v>·</v>
      </c>
      <c r="M11" s="32" t="str">
        <f>'C2 lossy RA'!BC40</f>
        <v>·</v>
      </c>
      <c r="N11" s="32" t="str">
        <f>'C2 lossy RA'!BD40</f>
        <v>·</v>
      </c>
      <c r="O11" s="32" t="str">
        <f>'C2 lossy RA'!BE40</f>
        <v>·</v>
      </c>
      <c r="P11" s="74" t="str">
        <f>'C2 lossy RA'!BF40</f>
        <v>·</v>
      </c>
    </row>
    <row r="12" spans="1:16" ht="14.25" thickBot="1" x14ac:dyDescent="0.2">
      <c r="A12" s="63" t="s">
        <v>427</v>
      </c>
      <c r="B12" s="64" t="s">
        <v>428</v>
      </c>
      <c r="C12" s="73" t="str">
        <f>'C1 lossy AI'!AZ45</f>
        <v>·</v>
      </c>
      <c r="D12" s="32" t="str">
        <f>'C1 lossy AI'!BA45</f>
        <v>·</v>
      </c>
      <c r="E12" s="32" t="str">
        <f>'C1 lossy AI'!BB45</f>
        <v>·</v>
      </c>
      <c r="F12" s="32" t="str">
        <f>'C1 lossy AI'!BC45</f>
        <v>·</v>
      </c>
      <c r="G12" s="32" t="str">
        <f>'C1 lossy AI'!BD45</f>
        <v>·</v>
      </c>
      <c r="H12" s="32" t="str">
        <f>'C1 lossy AI'!BE45</f>
        <v>·</v>
      </c>
      <c r="I12" s="74" t="str">
        <f>'C1 lossy AI'!BF45</f>
        <v>·</v>
      </c>
      <c r="J12" s="73" t="str">
        <f>'C2 lossy RA'!AZ45</f>
        <v>·</v>
      </c>
      <c r="K12" s="32" t="str">
        <f>'C2 lossy RA'!BA45</f>
        <v>·</v>
      </c>
      <c r="L12" s="32" t="str">
        <f>'C2 lossy RA'!BB45</f>
        <v>·</v>
      </c>
      <c r="M12" s="32" t="str">
        <f>'C2 lossy RA'!BC45</f>
        <v>·</v>
      </c>
      <c r="N12" s="32" t="str">
        <f>'C2 lossy RA'!BD45</f>
        <v>·</v>
      </c>
      <c r="O12" s="32" t="str">
        <f>'C2 lossy RA'!BE45</f>
        <v>·</v>
      </c>
      <c r="P12" s="74" t="str">
        <f>'C2 lossy RA'!BF45</f>
        <v>·</v>
      </c>
    </row>
    <row r="13" spans="1:16" x14ac:dyDescent="0.15">
      <c r="A13" s="146" t="str">
        <f>Summary!B20</f>
        <v>Cat1-A average</v>
      </c>
      <c r="B13" s="143"/>
      <c r="C13" s="75" t="e">
        <f>Summary!C20</f>
        <v>#DIV/0!</v>
      </c>
      <c r="D13" s="75" t="e">
        <f>Summary!D20</f>
        <v>#DIV/0!</v>
      </c>
      <c r="E13" s="75" t="e">
        <f>Summary!E20</f>
        <v>#DIV/0!</v>
      </c>
      <c r="F13" s="75" t="e">
        <f>Summary!F20</f>
        <v>#DIV/0!</v>
      </c>
      <c r="G13" s="75" t="e">
        <f>Summary!G20</f>
        <v>#DIV/0!</v>
      </c>
      <c r="H13" s="75" t="e">
        <f>Summary!H20</f>
        <v>#DIV/0!</v>
      </c>
      <c r="I13" s="75" t="e">
        <f>Summary!I20</f>
        <v>#DIV/0!</v>
      </c>
      <c r="J13" s="76" t="e">
        <f>Summary!C33</f>
        <v>#DIV/0!</v>
      </c>
      <c r="K13" s="77" t="e">
        <f>Summary!D33</f>
        <v>#DIV/0!</v>
      </c>
      <c r="L13" s="77" t="e">
        <f>Summary!E33</f>
        <v>#DIV/0!</v>
      </c>
      <c r="M13" s="77" t="e">
        <f>Summary!F33</f>
        <v>#DIV/0!</v>
      </c>
      <c r="N13" s="77" t="e">
        <f>Summary!G33</f>
        <v>#DIV/0!</v>
      </c>
      <c r="O13" s="77" t="e">
        <f>Summary!H33</f>
        <v>#DIV/0!</v>
      </c>
      <c r="P13" s="78" t="e">
        <f>Summary!I33</f>
        <v>#DIV/0!</v>
      </c>
    </row>
    <row r="14" spans="1:16" x14ac:dyDescent="0.15">
      <c r="A14" s="147" t="str">
        <f>Summary!B21</f>
        <v>Cat1-B average</v>
      </c>
      <c r="B14" s="148"/>
      <c r="C14" s="79" t="e">
        <f>Summary!C21</f>
        <v>#DIV/0!</v>
      </c>
      <c r="D14" s="79" t="e">
        <f>Summary!D21</f>
        <v>#DIV/0!</v>
      </c>
      <c r="E14" s="79" t="e">
        <f>Summary!E21</f>
        <v>#DIV/0!</v>
      </c>
      <c r="F14" s="79" t="e">
        <f>Summary!F21</f>
        <v>#DIV/0!</v>
      </c>
      <c r="G14" s="79" t="e">
        <f>Summary!G21</f>
        <v>#DIV/0!</v>
      </c>
      <c r="H14" s="79" t="e">
        <f>Summary!H21</f>
        <v>#DIV/0!</v>
      </c>
      <c r="I14" s="79" t="e">
        <f>Summary!I21</f>
        <v>#DIV/0!</v>
      </c>
      <c r="J14" s="80" t="e">
        <f>Summary!C34</f>
        <v>#DIV/0!</v>
      </c>
      <c r="K14" s="79" t="e">
        <f>Summary!D34</f>
        <v>#DIV/0!</v>
      </c>
      <c r="L14" s="79" t="e">
        <f>Summary!E34</f>
        <v>#DIV/0!</v>
      </c>
      <c r="M14" s="79" t="e">
        <f>Summary!F34</f>
        <v>#DIV/0!</v>
      </c>
      <c r="N14" s="79" t="e">
        <f>Summary!G34</f>
        <v>#DIV/0!</v>
      </c>
      <c r="O14" s="79" t="e">
        <f>Summary!H34</f>
        <v>#DIV/0!</v>
      </c>
      <c r="P14" s="81" t="e">
        <f>Summary!I34</f>
        <v>#DIV/0!</v>
      </c>
    </row>
    <row r="15" spans="1:16" x14ac:dyDescent="0.15">
      <c r="A15" s="149" t="str">
        <f>Summary!B22</f>
        <v>Cat1-C average</v>
      </c>
      <c r="B15" s="148"/>
      <c r="C15" s="75" t="e">
        <f>Summary!C22</f>
        <v>#DIV/0!</v>
      </c>
      <c r="D15" s="75" t="e">
        <f>Summary!D22</f>
        <v>#DIV/0!</v>
      </c>
      <c r="E15" s="75" t="e">
        <f>Summary!E22</f>
        <v>#DIV/0!</v>
      </c>
      <c r="F15" s="75" t="e">
        <f>Summary!F22</f>
        <v>#DIV/0!</v>
      </c>
      <c r="G15" s="75" t="e">
        <f>Summary!G22</f>
        <v>#DIV/0!</v>
      </c>
      <c r="H15" s="75" t="e">
        <f>Summary!H22</f>
        <v>#DIV/0!</v>
      </c>
      <c r="I15" s="75" t="e">
        <f>Summary!I22</f>
        <v>#DIV/0!</v>
      </c>
      <c r="J15" s="82" t="e">
        <f>Summary!C35</f>
        <v>#DIV/0!</v>
      </c>
      <c r="K15" s="75" t="e">
        <f>Summary!D35</f>
        <v>#DIV/0!</v>
      </c>
      <c r="L15" s="75" t="e">
        <f>Summary!E35</f>
        <v>#DIV/0!</v>
      </c>
      <c r="M15" s="75" t="e">
        <f>Summary!F35</f>
        <v>#DIV/0!</v>
      </c>
      <c r="N15" s="75" t="e">
        <f>Summary!G35</f>
        <v>#DIV/0!</v>
      </c>
      <c r="O15" s="75" t="e">
        <f>Summary!H35</f>
        <v>#DIV/0!</v>
      </c>
      <c r="P15" s="83" t="e">
        <f>Summary!I35</f>
        <v>#DIV/0!</v>
      </c>
    </row>
    <row r="16" spans="1:16" ht="15.75" customHeight="1" thickBot="1" x14ac:dyDescent="0.2">
      <c r="A16" s="149" t="str">
        <f>Summary!B23</f>
        <v>Cat1-D average</v>
      </c>
      <c r="B16" s="148"/>
      <c r="C16" s="75" t="e">
        <f>Summary!C23</f>
        <v>#DIV/0!</v>
      </c>
      <c r="D16" s="75" t="e">
        <f>Summary!D23</f>
        <v>#DIV/0!</v>
      </c>
      <c r="E16" s="75" t="e">
        <f>Summary!E23</f>
        <v>#DIV/0!</v>
      </c>
      <c r="F16" s="75" t="e">
        <f>Summary!F23</f>
        <v>#DIV/0!</v>
      </c>
      <c r="G16" s="75" t="e">
        <f>Summary!G23</f>
        <v>#DIV/0!</v>
      </c>
      <c r="H16" s="75" t="e">
        <f>Summary!H23</f>
        <v>#DIV/0!</v>
      </c>
      <c r="I16" s="75" t="e">
        <f>Summary!I23</f>
        <v>#DIV/0!</v>
      </c>
      <c r="J16" s="82" t="e">
        <f>Summary!C36</f>
        <v>#DIV/0!</v>
      </c>
      <c r="K16" s="75" t="e">
        <f>Summary!D36</f>
        <v>#DIV/0!</v>
      </c>
      <c r="L16" s="75" t="e">
        <f>Summary!E36</f>
        <v>#DIV/0!</v>
      </c>
      <c r="M16" s="75" t="e">
        <f>Summary!F36</f>
        <v>#DIV/0!</v>
      </c>
      <c r="N16" s="75" t="e">
        <f>Summary!G36</f>
        <v>#DIV/0!</v>
      </c>
      <c r="O16" s="75" t="e">
        <f>Summary!H36</f>
        <v>#DIV/0!</v>
      </c>
      <c r="P16" s="83" t="e">
        <f>Summary!I36</f>
        <v>#DIV/0!</v>
      </c>
    </row>
    <row r="17" spans="1:16" ht="15.75" customHeight="1" thickBot="1" x14ac:dyDescent="0.2">
      <c r="A17" s="150" t="str">
        <f>Summary!B24</f>
        <v>Overall average</v>
      </c>
      <c r="B17" s="133"/>
      <c r="C17" s="84" t="e">
        <f>Summary!C24</f>
        <v>#DIV/0!</v>
      </c>
      <c r="D17" s="84" t="e">
        <f>Summary!D24</f>
        <v>#DIV/0!</v>
      </c>
      <c r="E17" s="84" t="e">
        <f>Summary!E24</f>
        <v>#DIV/0!</v>
      </c>
      <c r="F17" s="84" t="e">
        <f>Summary!F24</f>
        <v>#DIV/0!</v>
      </c>
      <c r="G17" s="84" t="e">
        <f>Summary!G24</f>
        <v>#DIV/0!</v>
      </c>
      <c r="H17" s="84" t="e">
        <f>Summary!H24</f>
        <v>#DIV/0!</v>
      </c>
      <c r="I17" s="84" t="e">
        <f>Summary!I24</f>
        <v>#DIV/0!</v>
      </c>
      <c r="J17" s="85" t="e">
        <f>Summary!C37</f>
        <v>#DIV/0!</v>
      </c>
      <c r="K17" s="84" t="e">
        <f>Summary!D37</f>
        <v>#DIV/0!</v>
      </c>
      <c r="L17" s="84" t="e">
        <f>Summary!E37</f>
        <v>#DIV/0!</v>
      </c>
      <c r="M17" s="84" t="e">
        <f>Summary!F37</f>
        <v>#DIV/0!</v>
      </c>
      <c r="N17" s="84" t="e">
        <f>Summary!G37</f>
        <v>#DIV/0!</v>
      </c>
      <c r="O17" s="84" t="e">
        <f>Summary!H37</f>
        <v>#DIV/0!</v>
      </c>
      <c r="P17" s="86" t="e">
        <f>Summary!I37</f>
        <v>#DIV/0!</v>
      </c>
    </row>
    <row r="18" spans="1:16" x14ac:dyDescent="0.15">
      <c r="A18" s="149" t="str">
        <f>Summary!B25</f>
        <v>Avg. Enc Time [%]</v>
      </c>
      <c r="B18" s="148"/>
      <c r="C18" s="142">
        <f>Summary!C25</f>
        <v>0</v>
      </c>
      <c r="D18" s="139"/>
      <c r="E18" s="139"/>
      <c r="F18" s="139"/>
      <c r="G18" s="139"/>
      <c r="H18" s="139"/>
      <c r="I18" s="143"/>
      <c r="J18" s="142">
        <f>Summary!C38</f>
        <v>0</v>
      </c>
      <c r="K18" s="139"/>
      <c r="L18" s="139"/>
      <c r="M18" s="139"/>
      <c r="N18" s="139"/>
      <c r="O18" s="139"/>
      <c r="P18" s="143"/>
    </row>
    <row r="19" spans="1:16" ht="15.75" customHeight="1" thickBot="1" x14ac:dyDescent="0.2">
      <c r="A19" s="144" t="str">
        <f>Summary!B26</f>
        <v>Avg. Dec Time [%]</v>
      </c>
      <c r="B19" s="137"/>
      <c r="C19" s="145">
        <f>Summary!C26</f>
        <v>0</v>
      </c>
      <c r="D19" s="115"/>
      <c r="E19" s="115"/>
      <c r="F19" s="115"/>
      <c r="G19" s="115"/>
      <c r="H19" s="115"/>
      <c r="I19" s="137"/>
      <c r="J19" s="145">
        <f>Summary!C39</f>
        <v>0</v>
      </c>
      <c r="K19" s="115"/>
      <c r="L19" s="115"/>
      <c r="M19" s="115"/>
      <c r="N19" s="115"/>
      <c r="O19" s="115"/>
      <c r="P19" s="137"/>
    </row>
  </sheetData>
  <mergeCells count="19">
    <mergeCell ref="J18:P18"/>
    <mergeCell ref="A19:B19"/>
    <mergeCell ref="C19:I19"/>
    <mergeCell ref="J19:P19"/>
    <mergeCell ref="A13:B13"/>
    <mergeCell ref="A14:B14"/>
    <mergeCell ref="A16:B16"/>
    <mergeCell ref="A17:B17"/>
    <mergeCell ref="A18:B18"/>
    <mergeCell ref="C18:I18"/>
    <mergeCell ref="A15:B15"/>
    <mergeCell ref="C1:I1"/>
    <mergeCell ref="J1:P1"/>
    <mergeCell ref="A2:A3"/>
    <mergeCell ref="B2:B3"/>
    <mergeCell ref="C2:G2"/>
    <mergeCell ref="H2:I2"/>
    <mergeCell ref="J2:N2"/>
    <mergeCell ref="O2:P2"/>
  </mergeCells>
  <phoneticPr fontId="2" type="noConversion"/>
  <conditionalFormatting sqref="C4:P12">
    <cfRule type="cellIs" dxfId="29" priority="29" operator="greaterThanOrEqual">
      <formula>0.03</formula>
    </cfRule>
    <cfRule type="cellIs" dxfId="28" priority="30" operator="lessThanOrEqual">
      <formula>-0.03</formula>
    </cfRule>
  </conditionalFormatting>
  <conditionalFormatting sqref="C13:C17">
    <cfRule type="cellIs" dxfId="27" priority="27" operator="greaterThanOrEqual">
      <formula>0.03</formula>
    </cfRule>
    <cfRule type="cellIs" dxfId="26" priority="28" operator="lessThanOrEqual">
      <formula>-0.03</formula>
    </cfRule>
  </conditionalFormatting>
  <conditionalFormatting sqref="D13:D17">
    <cfRule type="cellIs" dxfId="25" priority="23" operator="greaterThanOrEqual">
      <formula>0.03</formula>
    </cfRule>
    <cfRule type="cellIs" dxfId="24" priority="24" operator="lessThanOrEqual">
      <formula>-0.03</formula>
    </cfRule>
  </conditionalFormatting>
  <conditionalFormatting sqref="E13:E17">
    <cfRule type="cellIs" dxfId="23" priority="17" operator="greaterThanOrEqual">
      <formula>0.03</formula>
    </cfRule>
    <cfRule type="cellIs" dxfId="22" priority="18" operator="lessThanOrEqual">
      <formula>-0.03</formula>
    </cfRule>
  </conditionalFormatting>
  <conditionalFormatting sqref="F13:F17">
    <cfRule type="cellIs" dxfId="21" priority="15" operator="greaterThanOrEqual">
      <formula>0.03</formula>
    </cfRule>
    <cfRule type="cellIs" dxfId="20" priority="16" operator="lessThanOrEqual">
      <formula>-0.03</formula>
    </cfRule>
  </conditionalFormatting>
  <conditionalFormatting sqref="G13:G17">
    <cfRule type="cellIs" dxfId="19" priority="25" operator="greaterThanOrEqual">
      <formula>0.03</formula>
    </cfRule>
    <cfRule type="cellIs" dxfId="18" priority="26" operator="lessThanOrEqual">
      <formula>-0.03</formula>
    </cfRule>
  </conditionalFormatting>
  <conditionalFormatting sqref="H13:H17">
    <cfRule type="cellIs" dxfId="17" priority="21" operator="greaterThanOrEqual">
      <formula>0.03</formula>
    </cfRule>
    <cfRule type="cellIs" dxfId="16" priority="22" operator="lessThanOrEqual">
      <formula>-0.03</formula>
    </cfRule>
  </conditionalFormatting>
  <conditionalFormatting sqref="I13:I17">
    <cfRule type="cellIs" dxfId="15" priority="19" operator="greaterThanOrEqual">
      <formula>0.03</formula>
    </cfRule>
    <cfRule type="cellIs" dxfId="14" priority="20" operator="lessThanOrEqual">
      <formula>-0.03</formula>
    </cfRule>
  </conditionalFormatting>
  <conditionalFormatting sqref="J13:J17">
    <cfRule type="cellIs" dxfId="13" priority="1" operator="greaterThanOrEqual">
      <formula>0.03</formula>
    </cfRule>
    <cfRule type="cellIs" dxfId="12" priority="2" operator="lessThanOrEqual">
      <formula>-0.03</formula>
    </cfRule>
  </conditionalFormatting>
  <conditionalFormatting sqref="K13:K17">
    <cfRule type="cellIs" dxfId="11" priority="5" operator="greaterThanOrEqual">
      <formula>0.03</formula>
    </cfRule>
    <cfRule type="cellIs" dxfId="10" priority="6" operator="lessThanOrEqual">
      <formula>-0.03</formula>
    </cfRule>
  </conditionalFormatting>
  <conditionalFormatting sqref="L13:L17">
    <cfRule type="cellIs" dxfId="9" priority="9" operator="greaterThanOrEqual">
      <formula>0.03</formula>
    </cfRule>
    <cfRule type="cellIs" dxfId="8" priority="10" operator="lessThanOrEqual">
      <formula>-0.03</formula>
    </cfRule>
  </conditionalFormatting>
  <conditionalFormatting sqref="M13:M17">
    <cfRule type="cellIs" dxfId="7" priority="13" operator="greaterThanOrEqual">
      <formula>0.03</formula>
    </cfRule>
    <cfRule type="cellIs" dxfId="6" priority="14" operator="lessThanOrEqual">
      <formula>-0.03</formula>
    </cfRule>
  </conditionalFormatting>
  <conditionalFormatting sqref="N13:N17">
    <cfRule type="cellIs" dxfId="5" priority="3" operator="greaterThanOrEqual">
      <formula>0.03</formula>
    </cfRule>
    <cfRule type="cellIs" dxfId="4" priority="4" operator="lessThanOrEqual">
      <formula>-0.03</formula>
    </cfRule>
  </conditionalFormatting>
  <conditionalFormatting sqref="O13:O17">
    <cfRule type="cellIs" dxfId="3" priority="7" operator="greaterThanOrEqual">
      <formula>0.03</formula>
    </cfRule>
    <cfRule type="cellIs" dxfId="2" priority="8" operator="lessThanOrEqual">
      <formula>-0.03</formula>
    </cfRule>
  </conditionalFormatting>
  <conditionalFormatting sqref="P13:P17">
    <cfRule type="cellIs" dxfId="1" priority="11" operator="greaterThanOrEqual">
      <formula>0.03</formula>
    </cfRule>
    <cfRule type="cellIs" dxfId="0" priority="12" operator="lessThanOrEqual">
      <formula>-0.03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命名范围</vt:lpstr>
      </vt:variant>
      <vt:variant>
        <vt:i4>1</vt:i4>
      </vt:variant>
    </vt:vector>
  </HeadingPairs>
  <TitlesOfParts>
    <vt:vector size="8" baseType="lpstr">
      <vt:lpstr>Summary</vt:lpstr>
      <vt:lpstr>Graphs</vt:lpstr>
      <vt:lpstr>C0 lossless AI</vt:lpstr>
      <vt:lpstr>names</vt:lpstr>
      <vt:lpstr>C1 lossy AI</vt:lpstr>
      <vt:lpstr>C2 lossy RA</vt:lpstr>
      <vt:lpstr>Results</vt:lpstr>
      <vt:lpstr>Graphs!all_cols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MPEG dynamic mesh coding reporting template WG7/N231</dc:title>
  <dc:creator>Bracco Graziosi, Danillo</dc:creator>
  <cp:lastModifiedBy>Jay</cp:lastModifiedBy>
  <dcterms:created xsi:type="dcterms:W3CDTF">2021-10-29T10:34:58Z</dcterms:created>
  <dcterms:modified xsi:type="dcterms:W3CDTF">2024-06-25T02:55:23Z</dcterms:modified>
</cp:coreProperties>
</file>