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1"/>
  <bookViews>
    <workbookView windowWidth="20917" windowHeight="9210" activeTab="5"/>
  </bookViews>
  <sheets>
    <sheet name="Summary" sheetId="1" r:id="rId1"/>
    <sheet name="Graphs" sheetId="2" r:id="rId2"/>
    <sheet name="C0 lossless AI" sheetId="3" r:id="rId3"/>
    <sheet name="names" sheetId="4" state="hidden" r:id="rId4"/>
    <sheet name="C1 lossy AI" sheetId="5" r:id="rId5"/>
    <sheet name="C2 lossy RA" sheetId="6" r:id="rId6"/>
    <sheet name="Results" sheetId="7" r:id="rId7"/>
  </sheets>
  <definedNames>
    <definedName name="all_cols" localSheetId="1">Graphs!$I$2:$I$54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CONCATENATE(Graphs!graph_a_y_title," (Graph a)")</definedName>
    <definedName name="graph_a_x_range_A" localSheetId="1">IF(ISREF(Graphs!graph_a_x_range_A_),Graphs!graph_a_x_range_A_,{0})</definedName>
    <definedName name="graph_a_x_range_A_" localSheetId="1">INDEX(INDIRECT(VLOOKUP("range."&amp;Graphs!$B$1&amp;"."&amp;Graphs!$B$2,names!$A:$B,2,0)),0,VLOOKUP("col."&amp;Graphs!$B$1&amp;".A."&amp;Graphs!$B$4,names!$A:$B,2,0))</definedName>
    <definedName name="graph_a_x_range_B" localSheetId="1">IF(ISREF(Graphs!graph_a_x_range_B_),Graphs!graph_a_x_range_B_,{0})</definedName>
    <definedName name="graph_a_x_range_B_" localSheetId="1">INDEX(INDIRECT(VLOOKUP("range."&amp;Graphs!$B$1&amp;"."&amp;Graphs!$B$2,names!$A:$B,2,0)),0,VLOOKUP("col."&amp;Graphs!$B$1&amp;".B."&amp;Graphs!$B$4,names!$A:$B,2,0))</definedName>
    <definedName name="graph_a_x_title" localSheetId="1">OFFSET(Graphs!all_cols,MATCH(Graphs!$B$4,Graphs!all_cols,0)-1,1,1,1)</definedName>
    <definedName name="graph_a_y_range_A" localSheetId="1">IF(ISREF(Graphs!graph_a_y_range_A_),Graphs!graph_a_y_range_A_,{0})</definedName>
    <definedName name="graph_a_y_range_A_" localSheetId="1">INDEX(INDIRECT(VLOOKUP("range."&amp;Graphs!$B$1&amp;"."&amp;Graphs!$B$2,names!$A:$B,2,0)),0,VLOOKUP("col."&amp;Graphs!$B$1&amp;".A."&amp;Graphs!$D$4,names!$A:$B,2,0))</definedName>
    <definedName name="graph_a_y_range_B" localSheetId="1">IF(ISREF(Graphs!graph_a_y_range_B_),Graphs!graph_a_y_range_B_,{0})</definedName>
    <definedName name="graph_a_y_range_B_" localSheetId="1">INDEX(INDIRECT(VLOOKUP("range."&amp;Graphs!$B$1&amp;"."&amp;Graphs!$B$2,names!$A:$B,2,0)),0,VLOOKUP("col."&amp;Graphs!$B$1&amp;".B."&amp;Graphs!$D$4,names!$A:$B,2,0))</definedName>
    <definedName name="graph_a_y_title" localSheetId="1">OFFSET(Graphs!all_cols,MATCH(Graphs!$D$4,Graphs!all_cols,0)-1,1,1,1)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CONCATENATE(Graphs!graph_b_y_title," (Graph b)")</definedName>
    <definedName name="graph_b_x_range_A" localSheetId="1">IF(ISREF(Graphs!graph_b_x_range_A_),Graphs!graph_b_x_range_A_,{0})</definedName>
    <definedName name="graph_b_x_range_A_" localSheetId="1">INDEX(INDIRECT(VLOOKUP("range."&amp;Graphs!$B$1&amp;"."&amp;Graphs!$B$2,names!$A:$B,2,0)),0,VLOOKUP("col."&amp;Graphs!$B$1&amp;".A."&amp;Graphs!$B$5,names!$A:$B,2,0))</definedName>
    <definedName name="graph_b_x_range_B" localSheetId="1">IF(ISREF(Graphs!graph_b_x_range_B_),Graphs!graph_b_x_range_B_,{0})</definedName>
    <definedName name="graph_b_x_range_B_" localSheetId="1">INDEX(INDIRECT(VLOOKUP("range."&amp;Graphs!$B$1&amp;"."&amp;Graphs!$B$2,names!$A:$B,2,0)),0,VLOOKUP("col."&amp;Graphs!$B$1&amp;".B."&amp;Graphs!$B$5,names!$A:$B,2,0))</definedName>
    <definedName name="graph_b_x_title" localSheetId="1">OFFSET(Graphs!all_cols,MATCH(Graphs!$B$5,Graphs!all_cols,0)-1,1,1,1)</definedName>
    <definedName name="graph_b_y_range_A" localSheetId="1">IF(ISREF(Graphs!graph_b_y_range_A_),Graphs!graph_b_y_range_A_,{0})</definedName>
    <definedName name="graph_b_y_range_A_" localSheetId="1">INDEX(INDIRECT(VLOOKUP("range."&amp;Graphs!$B$1&amp;"."&amp;Graphs!$B$2,names!$A:$B,2,0)),0,VLOOKUP("col."&amp;Graphs!$B$1&amp;".A."&amp;Graphs!$D$5,names!$A:$B,2,0))</definedName>
    <definedName name="graph_b_y_range_B" localSheetId="1">IF(ISREF(Graphs!graph_b_y_range_B_),Graphs!graph_b_y_range_B_,{0})</definedName>
    <definedName name="graph_b_y_range_B_" localSheetId="1">INDEX(INDIRECT(VLOOKUP("range."&amp;Graphs!$B$1&amp;"."&amp;Graphs!$B$2,names!$A:$B,2,0)),0,VLOOKUP("col."&amp;Graphs!$B$1&amp;".B."&amp;Graphs!$D$5,names!$A:$B,2,0))</definedName>
    <definedName name="graph_b_y_title" localSheetId="1">OFFSET(Graphs!all_cols,MATCH(Graphs!$D$5,Graphs!all_cols,0)-1,1,1,1)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CONCATENATE(Graphs!graph_c_y_title," (Graph c)")</definedName>
    <definedName name="graph_c_x_range_A" localSheetId="1">IF(ISREF(Graphs!graph_c_x_range_A_),Graphs!graph_c_x_range_A_,{0})</definedName>
    <definedName name="graph_c_x_range_A_" localSheetId="1">INDEX(INDIRECT(VLOOKUP("range."&amp;Graphs!$B$1&amp;"."&amp;Graphs!$B$2,names!$A:$B,2,0)),0,VLOOKUP("col."&amp;Graphs!$B$1&amp;".A."&amp;Graphs!$B$6,names!$A:$B,2,0))</definedName>
    <definedName name="graph_c_x_range_B" localSheetId="1">IF(ISREF(Graphs!graph_c_x_range_B_),Graphs!graph_c_x_range_B_,{0})</definedName>
    <definedName name="graph_c_x_range_B_" localSheetId="1">INDEX(INDIRECT(VLOOKUP("range."&amp;Graphs!$B$1&amp;"."&amp;Graphs!$B$2,names!$A:$B,2,0)),0,VLOOKUP("col."&amp;Graphs!$B$1&amp;".B."&amp;Graphs!$B$6,names!$A:$B,2,0))</definedName>
    <definedName name="graph_c_x_title" localSheetId="1">OFFSET(Graphs!all_cols,MATCH(Graphs!$B$6,Graphs!all_cols,0)-1,1,1,1)</definedName>
    <definedName name="graph_c_y_range_A" localSheetId="1">IF(ISREF(Graphs!graph_c_y_range_A_),Graphs!graph_c_y_range_A_,{0})</definedName>
    <definedName name="graph_c_y_range_A_" localSheetId="1">INDEX(INDIRECT(VLOOKUP("range."&amp;Graphs!$B$1&amp;"."&amp;Graphs!$B$2,names!$A:$B,2,0)),0,VLOOKUP("col."&amp;Graphs!$B$1&amp;".A."&amp;Graphs!$D$6,names!$A:$B,2,0))</definedName>
    <definedName name="graph_c_y_range_B" localSheetId="1">IF(ISREF(Graphs!graph_c_y_range_B_),Graphs!graph_c_y_range_B_,{0})</definedName>
    <definedName name="graph_c_y_range_B_" localSheetId="1">INDEX(INDIRECT(VLOOKUP("range."&amp;Graphs!$B$1&amp;"."&amp;Graphs!$B$2,names!$A:$B,2,0)),0,VLOOKUP("col."&amp;Graphs!$B$1&amp;".B."&amp;Graphs!$D$6,names!$A:$B,2,0))</definedName>
    <definedName name="graph_c_y_title" localSheetId="1">OFFSET(Graphs!all_cols,MATCH(Graphs!$D$6,Graphs!all_cols,0)-1,1,1,1)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CONCATENATE(Graphs!graph_d_y_title," (Graph d)")</definedName>
    <definedName name="graph_d_x_range_A" localSheetId="1">IF(ISREF(Graphs!graph_d_x_range_A_),Graphs!graph_d_x_range_A_,{0})</definedName>
    <definedName name="graph_d_x_range_A_" localSheetId="1">INDEX(INDIRECT(VLOOKUP("range."&amp;Graphs!$B$1&amp;"."&amp;Graphs!$B$2,names!$A:$B,2,0)),0,VLOOKUP("col."&amp;Graphs!$B$1&amp;".A."&amp;Graphs!$B$7,names!$A:$B,2,0))</definedName>
    <definedName name="graph_d_x_range_B" localSheetId="1">IF(ISREF(Graphs!graph_d_x_range_B_),Graphs!graph_d_x_range_B_,{0})</definedName>
    <definedName name="graph_d_x_range_B_" localSheetId="1">INDEX(INDIRECT(VLOOKUP("range."&amp;Graphs!$B$1&amp;"."&amp;Graphs!$B$2,names!$A:$B,2,0)),0,VLOOKUP("col."&amp;Graphs!$B$1&amp;".B."&amp;Graphs!$B$7,names!$A:$B,2,0))</definedName>
    <definedName name="graph_d_x_title" localSheetId="1">OFFSET(Graphs!all_cols,MATCH(Graphs!$B$7,Graphs!all_cols,0)-1,1,1,1)</definedName>
    <definedName name="graph_d_y_range_A" localSheetId="1">IF(ISREF(Graphs!graph_d_y_range_A_),Graphs!graph_d_y_range_A_,{0})</definedName>
    <definedName name="graph_d_y_range_A_" localSheetId="1">INDEX(INDIRECT(VLOOKUP("range."&amp;Graphs!$B$1&amp;"."&amp;Graphs!$B$2,names!$A:$B,2,0)),0,VLOOKUP("col."&amp;Graphs!$B$1&amp;".A."&amp;Graphs!$D$7,names!$A:$B,2,0))</definedName>
    <definedName name="graph_d_y_range_B" localSheetId="1">IF(ISREF(Graphs!graph_d_y_range_B_),Graphs!graph_d_y_range_B_,{0})</definedName>
    <definedName name="graph_d_y_range_B_" localSheetId="1">INDEX(INDIRECT(VLOOKUP("range."&amp;Graphs!$B$1&amp;"."&amp;Graphs!$B$2,names!$A:$B,2,0)),0,VLOOKUP("col."&amp;Graphs!$B$1&amp;".B."&amp;Graphs!$D$7,names!$A:$B,2,0))</definedName>
    <definedName name="graph_d_y_title" localSheetId="1">OFFSET(Graphs!all_cols,MATCH(Graphs!$D$7,Graphs!all_cols,0)-1,1,1,1)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CONCATENATE(Graphs!graph_e_y_title," (Graph e)")</definedName>
    <definedName name="graph_e_x_range_A" localSheetId="1">IF(ISREF(Graphs!graph_e_x_range_A_),Graphs!graph_e_x_range_A_,{0})</definedName>
    <definedName name="graph_e_x_range_A_" localSheetId="1">INDEX(INDIRECT(VLOOKUP("range."&amp;Graphs!$B$1&amp;"."&amp;Graphs!$B$2,names!$A:$B,2,0)),0,VLOOKUP("col."&amp;Graphs!$B$1&amp;".A."&amp;Graphs!$B$8,names!$A:$B,2,0))</definedName>
    <definedName name="graph_e_x_range_B" localSheetId="1">IF(ISREF(Graphs!graph_e_x_range_B_),Graphs!graph_e_x_range_B_,{0})</definedName>
    <definedName name="graph_e_x_range_B_" localSheetId="1">INDEX(INDIRECT(VLOOKUP("range."&amp;Graphs!$B$1&amp;"."&amp;Graphs!$B$2,names!$A:$B,2,0)),0,VLOOKUP("col."&amp;Graphs!$B$1&amp;".B."&amp;Graphs!$B$8,names!$A:$B,2,0))</definedName>
    <definedName name="graph_e_x_title" localSheetId="1">OFFSET(Graphs!all_cols,MATCH(Graphs!$B$8,Graphs!all_cols,0)-1,1,1,1)</definedName>
    <definedName name="graph_e_y_range_A" localSheetId="1">IF(ISREF(Graphs!graph_e_y_range_A_),Graphs!graph_e_y_range_A_,{0})</definedName>
    <definedName name="graph_e_y_range_A_" localSheetId="1">INDEX(INDIRECT(VLOOKUP("range."&amp;Graphs!$B$1&amp;"."&amp;Graphs!$B$2,names!$A:$B,2,0)),0,VLOOKUP("col."&amp;Graphs!$B$1&amp;".A."&amp;Graphs!$D$8,names!$A:$B,2,0))</definedName>
    <definedName name="graph_e_y_range_B" localSheetId="1">IF(ISREF(Graphs!graph_e_y_range_B_),Graphs!graph_e_y_range_B_,{0})</definedName>
    <definedName name="graph_e_y_range_B_" localSheetId="1">INDEX(INDIRECT(VLOOKUP("range."&amp;Graphs!$B$1&amp;"."&amp;Graphs!$B$2,names!$A:$B,2,0)),0,VLOOKUP("col."&amp;Graphs!$B$1&amp;".B."&amp;Graphs!$D$8,names!$A:$B,2,0))</definedName>
    <definedName name="graph_e_y_title" localSheetId="1">OFFSET(Graphs!all_cols,MATCH(Graphs!$D$8,Graphs!all_cols,0)-1,1,1,1)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CONCATENATE(Graphs!graph_f_y_title," (Graph f)")</definedName>
    <definedName name="graph_f_x_range_A" localSheetId="1">IF(ISREF(Graphs!graph_f_x_range_A_),Graphs!graph_f_x_range_A_,{0})</definedName>
    <definedName name="graph_f_x_range_A_" localSheetId="1">INDEX(INDIRECT(VLOOKUP("range."&amp;Graphs!$B$1&amp;"."&amp;Graphs!$B$2,names!$A:$B,2,0)),0,VLOOKUP("col."&amp;Graphs!$B$1&amp;".A."&amp;Graphs!$B$9,names!$A:$B,2,0))</definedName>
    <definedName name="graph_f_x_range_B" localSheetId="1">IF(ISREF(Graphs!graph_f_x_range_B_),Graphs!graph_f_x_range_B_,{0})</definedName>
    <definedName name="graph_f_x_range_B_" localSheetId="1">INDEX(INDIRECT(VLOOKUP("range."&amp;Graphs!$B$1&amp;"."&amp;Graphs!$B$2,names!$A:$B,2,0)),0,VLOOKUP("col."&amp;Graphs!$B$1&amp;".B."&amp;Graphs!$B$9,names!$A:$B,2,0))</definedName>
    <definedName name="graph_f_x_title" localSheetId="1">OFFSET(Graphs!all_cols,MATCH(Graphs!$B$9,Graphs!all_cols,0)-1,1,1,1)</definedName>
    <definedName name="graph_f_y_range_A" localSheetId="1">IF(ISREF(Graphs!graph_f_y_range_A_),Graphs!graph_f_y_range_A_,{0})</definedName>
    <definedName name="graph_f_y_range_A_" localSheetId="1">INDEX(INDIRECT(VLOOKUP("range."&amp;Graphs!$B$1&amp;"."&amp;Graphs!$B$2,names!$A:$B,2,0)),0,VLOOKUP("col."&amp;Graphs!$B$1&amp;".A."&amp;Graphs!$D$9,names!$A:$B,2,0))</definedName>
    <definedName name="graph_f_y_range_B" localSheetId="1">IF(ISREF(Graphs!graph_f_y_range_B_),Graphs!graph_f_y_range_B_,{0})</definedName>
    <definedName name="graph_f_y_range_B_" localSheetId="1">INDEX(INDIRECT(VLOOKUP("range."&amp;Graphs!$B$1&amp;"."&amp;Graphs!$B$2,names!$A:$B,2,0)),0,VLOOKUP("col."&amp;Graphs!$B$1&amp;".B."&amp;Graphs!$D$9,names!$A:$B,2,0))</definedName>
    <definedName name="graph_f_y_title" localSheetId="1">OFFSET(Graphs!all_cols,MATCH(Graphs!$D$9,Graphs!all_cols,0)-1,1,1,1)</definedName>
    <definedName name="graph_g_A_title" localSheetId="1">INDIRECT(VLOOKUP("name.A."&amp;Graphs!$B$1,names!$A:$B,2,0))</definedName>
    <definedName name="graph_g_B_title" localSheetId="1">INDIRECT(VLOOKUP("name.B."&amp;Graphs!$B$1,names!$A:$B,2,0))</definedName>
    <definedName name="graph_g_title" localSheetId="1">CONCATENATE(Graphs!graph_g_y_title," (Graph g)")</definedName>
    <definedName name="graph_g_x_range_A" localSheetId="1">IF(ISREF(Graphs!graph_g_x_range_A_),Graphs!graph_g_x_range_A_,{0})</definedName>
    <definedName name="graph_g_x_range_A_" localSheetId="1">INDEX(INDIRECT(VLOOKUP("range."&amp;Graphs!$B$1&amp;"."&amp;Graphs!$B$2,names!$A:$B,2,0)),0,VLOOKUP("col."&amp;Graphs!$B$1&amp;".A."&amp;Graphs!$B$10,names!$A:$B,2,0))</definedName>
    <definedName name="graph_g_x_range_B" localSheetId="1">IF(ISREF(Graphs!graph_g_x_range_B_),Graphs!graph_g_x_range_B_,{0})</definedName>
    <definedName name="graph_g_x_range_B_" localSheetId="1">INDEX(INDIRECT(VLOOKUP("range."&amp;Graphs!$B$1&amp;"."&amp;Graphs!$B$2,names!$A:$B,2,0)),0,VLOOKUP("col."&amp;Graphs!$B$1&amp;".B."&amp;Graphs!$B$10,names!$A:$B,2,0))</definedName>
    <definedName name="graph_g_x_title" localSheetId="1">OFFSET(Graphs!all_cols,MATCH(Graphs!$B$10,Graphs!all_cols,0)-1,1,1,1)</definedName>
    <definedName name="graph_g_y_range_A" localSheetId="1">IF(ISREF(Graphs!graph_g_y_range_A_),Graphs!graph_g_y_range_A_,{0})</definedName>
    <definedName name="graph_g_y_range_A_" localSheetId="1">INDEX(INDIRECT(VLOOKUP("range."&amp;Graphs!$B$1&amp;"."&amp;Graphs!$B$2,names!$A:$B,2,0)),0,VLOOKUP("col."&amp;Graphs!$B$1&amp;".A."&amp;Graphs!$D$10,names!$A:$B,2,0))</definedName>
    <definedName name="graph_g_y_range_B" localSheetId="1">IF(ISREF(Graphs!graph_g_y_range_B_),Graphs!graph_g_y_range_B_,{0})</definedName>
    <definedName name="graph_g_y_range_B_" localSheetId="1">INDEX(INDIRECT(VLOOKUP("range."&amp;Graphs!$B$1&amp;"."&amp;Graphs!$B$2,names!$A:$B,2,0)),0,VLOOKUP("col."&amp;Graphs!$B$1&amp;".B."&amp;Graphs!$D$10,names!$A:$B,2,0))</definedName>
    <definedName name="graph_g_y_title" localSheetId="1">OFFSET(Graphs!all_cols,MATCH(Graphs!$D$10,Graphs!all_cols,0)-1,1,1,1)</definedName>
  </definedNames>
  <calcPr calcId="144525"/>
</workbook>
</file>

<file path=xl/sharedStrings.xml><?xml version="1.0" encoding="utf-8"?>
<sst xmlns="http://schemas.openxmlformats.org/spreadsheetml/2006/main" count="985" uniqueCount="439">
  <si>
    <t>Reference:</t>
  </si>
  <si>
    <t>F300_v11.0</t>
  </si>
  <si>
    <t>Tested:</t>
  </si>
  <si>
    <t>All Intra</t>
  </si>
  <si>
    <t>C0_ai</t>
  </si>
  <si>
    <t>lossless geometry, lossless attributes [all intra]</t>
  </si>
  <si>
    <t>bpif ratio [%]</t>
  </si>
  <si>
    <t>Total</t>
  </si>
  <si>
    <t>Cat1-A average</t>
  </si>
  <si>
    <t>Cat1-B average</t>
  </si>
  <si>
    <t>Cat1-C average</t>
  </si>
  <si>
    <t>Cat1-D average</t>
  </si>
  <si>
    <t>Overall average</t>
  </si>
  <si>
    <t>Avg. Enc Time [%]</t>
  </si>
  <si>
    <t>Avg. Dec Time [%]</t>
  </si>
  <si>
    <t>C1_ai</t>
  </si>
  <si>
    <t>lossy geometry, lossy attributes [all intra]</t>
  </si>
  <si>
    <t>Pointcloud-based BD‑Rate [%]</t>
  </si>
  <si>
    <t>Image-based BD‑Rate [%]</t>
  </si>
  <si>
    <t>D1</t>
  </si>
  <si>
    <t>D2</t>
  </si>
  <si>
    <t>Luma</t>
  </si>
  <si>
    <t>Chroma Cb</t>
  </si>
  <si>
    <t>Chroma Cr</t>
  </si>
  <si>
    <t>Geom</t>
  </si>
  <si>
    <t>Inter, Random Access</t>
  </si>
  <si>
    <t>C2_ra</t>
  </si>
  <si>
    <t>lossy geometry, lossy attributes [inter, random access]</t>
  </si>
  <si>
    <t>Condition:</t>
  </si>
  <si>
    <t>C1 lossy AI</t>
  </si>
  <si>
    <t>← Select this …</t>
  </si>
  <si>
    <t>Columns</t>
  </si>
  <si>
    <t>C2 lossy RA</t>
  </si>
  <si>
    <t>Sequence:</t>
  </si>
  <si>
    <t>rwtt422_voxelised</t>
  </si>
  <si>
    <t>← … then this</t>
  </si>
  <si>
    <t>dec.cb-hpsnr</t>
  </si>
  <si>
    <t>Chroma Cb EtE Hausdorff PSNR [dB]</t>
  </si>
  <si>
    <t>names!$B$93:$S$93</t>
  </si>
  <si>
    <t>names!$B$158:$S$158</t>
  </si>
  <si>
    <t>dec.cb-psnr</t>
  </si>
  <si>
    <t>Chroma Cb End-to-end PSNR [dB]</t>
  </si>
  <si>
    <t>longdress_voxelised</t>
  </si>
  <si>
    <t>X:</t>
  </si>
  <si>
    <t>eqn.bitrate</t>
  </si>
  <si>
    <t>Y:</t>
  </si>
  <si>
    <t>dec.pc-d1-psnr</t>
  </si>
  <si>
    <t>← settings for graph a</t>
  </si>
  <si>
    <t>dec.cr-hpsnr</t>
  </si>
  <si>
    <t>Chroma Cr EtE Hausdorff PSNR [dB]</t>
  </si>
  <si>
    <t>soldier_voxelised</t>
  </si>
  <si>
    <t>dec.pc-d2-psnr</t>
  </si>
  <si>
    <t>← settings for graph b</t>
  </si>
  <si>
    <t>dec.cr-psnr</t>
  </si>
  <si>
    <t>Chroma Cr End-to-end PSNR [dB]</t>
  </si>
  <si>
    <t>basketball_player_voxelised</t>
  </si>
  <si>
    <t>dec.img-geom-psnr</t>
  </si>
  <si>
    <t>← settings for graph c</t>
  </si>
  <si>
    <t>dec.d1-mse</t>
  </si>
  <si>
    <t>D1 Geometry MSE</t>
  </si>
  <si>
    <t>dancer_voxelised</t>
  </si>
  <si>
    <t>dec.pc-y-psnr</t>
  </si>
  <si>
    <t>← settings for graph d</t>
  </si>
  <si>
    <t>dec.d1-psnr</t>
  </si>
  <si>
    <t>D1 Geometry PSNR [dB]</t>
  </si>
  <si>
    <t>football_voxelised</t>
  </si>
  <si>
    <t>dec.pc-cb-psnr</t>
  </si>
  <si>
    <t>← settings for graph e</t>
  </si>
  <si>
    <t>dec.d2-mse</t>
  </si>
  <si>
    <t>D2 Geometry MSE</t>
  </si>
  <si>
    <t>levi_voxelised</t>
  </si>
  <si>
    <t>dec.pc-cr-psnr</t>
  </si>
  <si>
    <t>← settings for graph f</t>
  </si>
  <si>
    <t>dec.d2-psnr</t>
  </si>
  <si>
    <t>D2 Geometry PSNR [dB]</t>
  </si>
  <si>
    <t>mitch_voxelised</t>
  </si>
  <si>
    <t>dec.img-y-psnr</t>
  </si>
  <si>
    <t>← settings for graph g</t>
  </si>
  <si>
    <t>dec.geom-psnr</t>
  </si>
  <si>
    <t>Geo Geometry PSNR [dB]</t>
  </si>
  <si>
    <t>thomas_voxelised</t>
  </si>
  <si>
    <t>Geom Image-based PSNR [dB]</t>
  </si>
  <si>
    <t>Luma Image-based PSNR [dB]</t>
  </si>
  <si>
    <t>dec.numduppoints.mean</t>
  </si>
  <si>
    <t>Mean duplicate points</t>
  </si>
  <si>
    <t>dec.numfaces</t>
  </si>
  <si>
    <t>№ output faces</t>
  </si>
  <si>
    <t>dec.numpoints</t>
  </si>
  <si>
    <t>№ output points</t>
  </si>
  <si>
    <t>dec.numpoints.mean</t>
  </si>
  <si>
    <t>Mean output points</t>
  </si>
  <si>
    <t>Chroma Cb Pointcloud-based PSNR [dB]</t>
  </si>
  <si>
    <t>Chroma Cr Pointcloud-based PSNR [dB]</t>
  </si>
  <si>
    <t>D1 Pointcloud-based PSNR [dB]</t>
  </si>
  <si>
    <t>D2 Pointcloud-based PSNR [dB]</t>
  </si>
  <si>
    <t>Luma Pointcloud-based PSNR [dB]</t>
  </si>
  <si>
    <t>dec.post-recolour.cb-psnr</t>
  </si>
  <si>
    <t>Chroma Cb Post recolour PSNR [dB]</t>
  </si>
  <si>
    <t>dec.post-recolour.cr-psnr</t>
  </si>
  <si>
    <t>Chroma Cr Post recolour PSNR [dB]</t>
  </si>
  <si>
    <t>dec.post-recolour.y-psnr</t>
  </si>
  <si>
    <t>Luma Post recolour PSNR [dB]</t>
  </si>
  <si>
    <t>dec.reflectance-hpsnr</t>
  </si>
  <si>
    <t>Reflectance EtE Hausdorff PSNR [dB]</t>
  </si>
  <si>
    <t>dec.reflectance-psnr</t>
  </si>
  <si>
    <t>Reflectance End-to-end PSNR [dB]</t>
  </si>
  <si>
    <t>dec.utime</t>
  </si>
  <si>
    <t>User Decoder runtime [s]</t>
  </si>
  <si>
    <t>dec.utime.children</t>
  </si>
  <si>
    <t>Child Decoder runtime [s]</t>
  </si>
  <si>
    <t>dec.utime.self</t>
  </si>
  <si>
    <t>Self Decoder runtime [s]</t>
  </si>
  <si>
    <t>dec.y-hpsnr</t>
  </si>
  <si>
    <t>Luma EtE Hausdorff PSNR [dB]</t>
  </si>
  <si>
    <t>dec.y-psnr</t>
  </si>
  <si>
    <t>Luma End-to-end PSNR [dB]</t>
  </si>
  <si>
    <t>enc.bits.colour</t>
  </si>
  <si>
    <t>Colour Bitstream [bits]</t>
  </si>
  <si>
    <t>enc.bits.geometry</t>
  </si>
  <si>
    <t>Geometry Bitstream [bits]</t>
  </si>
  <si>
    <t>enc.bits.occ+patch</t>
  </si>
  <si>
    <t>Occ+Patch Bitstream [bits]</t>
  </si>
  <si>
    <t>enc.bits.reflectance</t>
  </si>
  <si>
    <t>Reflectance Bitstream [bits]</t>
  </si>
  <si>
    <t>enc.ext.bits</t>
  </si>
  <si>
    <t>Total Bitstream [bits]</t>
  </si>
  <si>
    <t>enc.utime</t>
  </si>
  <si>
    <t>User Encoder runtime [s]</t>
  </si>
  <si>
    <t>enc.utime.children</t>
  </si>
  <si>
    <t>Child Encoder runtime [s]</t>
  </si>
  <si>
    <t>enc.utime.self</t>
  </si>
  <si>
    <t>Self Encoder runtime [s]</t>
  </si>
  <si>
    <t>Rate [Mbps]</t>
  </si>
  <si>
    <t>eqn.bits.totalgeometry</t>
  </si>
  <si>
    <t>eqn.bits.totalgeometry Bitstream [bits]</t>
  </si>
  <si>
    <t>eqn.bpf</t>
  </si>
  <si>
    <t>Total Bits per input face [bpif]</t>
  </si>
  <si>
    <t>eqn.bpop</t>
  </si>
  <si>
    <t>Total Bits per output point [bpop]</t>
  </si>
  <si>
    <t>eqn.bpp</t>
  </si>
  <si>
    <t>Total Bits per input point [bpip]</t>
  </si>
  <si>
    <t>eqn.bpp.colour</t>
  </si>
  <si>
    <t>Colour  Bits per input point [bpip]</t>
  </si>
  <si>
    <t>eqn.bpp.geometry</t>
  </si>
  <si>
    <t>Geometry Bits per input point [bpip]</t>
  </si>
  <si>
    <t>eqn.bpp.geometry+occ+patch</t>
  </si>
  <si>
    <t>Tot.Geom Bits per input point [bpip]</t>
  </si>
  <si>
    <t>eqn.bpp.reflectance</t>
  </si>
  <si>
    <t>Reflectance Bits per input point [bpip]</t>
  </si>
  <si>
    <t>eqn.compratio</t>
  </si>
  <si>
    <t>Comp. ratio [%]</t>
  </si>
  <si>
    <t>enc.disp.bytes</t>
  </si>
  <si>
    <t>Displacement Bitstream [bytes]</t>
  </si>
  <si>
    <t>enc.bmesh.intra.bytes</t>
  </si>
  <si>
    <t>BaseMesh Static Bitstream [bytes]</t>
  </si>
  <si>
    <t>enc.bmesh.inter.bytes</t>
  </si>
  <si>
    <t>BaseMesh Motion Bitstream [bytes]</t>
  </si>
  <si>
    <t>enc.meta.bits</t>
  </si>
  <si>
    <t>Meta Bitstream [bytes]</t>
  </si>
  <si>
    <t>eqn.geo.bits</t>
  </si>
  <si>
    <t>Total Geometry Bistream [bits]</t>
  </si>
  <si>
    <t>C0_ai — lossless geometry, lossless attributes [all intra]</t>
  </si>
  <si>
    <t>Class</t>
  </si>
  <si>
    <t>Sequence</t>
  </si>
  <si>
    <t>№ input faces</t>
  </si>
  <si>
    <t>Geometry precision [bits]</t>
  </si>
  <si>
    <t>№ frames</t>
  </si>
  <si>
    <t>Frame rate [fps]</t>
  </si>
  <si>
    <t>Bmesh</t>
  </si>
  <si>
    <t>Total bpif ratio [%]</t>
  </si>
  <si>
    <t>Total bmesh ratio [%]</t>
  </si>
  <si>
    <t>[bits]</t>
  </si>
  <si>
    <t>class</t>
  </si>
  <si>
    <t>sequence</t>
  </si>
  <si>
    <t>src.numfaces</t>
  </si>
  <si>
    <t>src.geometry-precision</t>
  </si>
  <si>
    <t>src.framecount</t>
  </si>
  <si>
    <t>src.framerate</t>
  </si>
  <si>
    <t>A.eqn.bitrate</t>
  </si>
  <si>
    <t>A.eqn.bpf</t>
  </si>
  <si>
    <t>A.enc.ext.bits</t>
  </si>
  <si>
    <t>A.enc.utime</t>
  </si>
  <si>
    <t>A.dec.utime</t>
  </si>
  <si>
    <t>B.eqn.bitrate</t>
  </si>
  <si>
    <t>B.eqn.bpf</t>
  </si>
  <si>
    <t>B.enc.ext.bits</t>
  </si>
  <si>
    <t>B.enc.utime</t>
  </si>
  <si>
    <t>B.dec.utime</t>
  </si>
  <si>
    <t>eqn.ab.ratio-bpf</t>
  </si>
  <si>
    <t>cat1-A</t>
  </si>
  <si>
    <t>cat1-B</t>
  </si>
  <si>
    <t>cat1-C</t>
  </si>
  <si>
    <t>cat1-D</t>
  </si>
  <si>
    <t>Overall</t>
  </si>
  <si>
    <t>Total time [s]</t>
  </si>
  <si>
    <t>Total time [%]</t>
  </si>
  <si>
    <t>col.C0 lossless AI.class</t>
  </si>
  <si>
    <t>col.C0 lossless AI.sequence</t>
  </si>
  <si>
    <t>col.C0 lossless AI.src.numfaces</t>
  </si>
  <si>
    <t>col.C0 lossless AI.src.geometry-precision</t>
  </si>
  <si>
    <t>col.C0 lossless AI.src.framecount</t>
  </si>
  <si>
    <t>col.C0 lossless AI.src.framerate</t>
  </si>
  <si>
    <t>col.C0 lossless AI.A.eqn.bitrate</t>
  </si>
  <si>
    <t>col.C0 lossless AI.A.eqn.bpf</t>
  </si>
  <si>
    <t>col.C0 lossless AI.A.enc.ext.bits</t>
  </si>
  <si>
    <t>col.C0 lossless AI.A.enc.utime</t>
  </si>
  <si>
    <t>col.C0 lossless AI.A.dec.utime</t>
  </si>
  <si>
    <t>col.C0 lossless AI.B.eqn.bitrate</t>
  </si>
  <si>
    <t>col.C0 lossless AI.B.eqn.bpf</t>
  </si>
  <si>
    <t>col.C0 lossless AI.B.enc.ext.bits</t>
  </si>
  <si>
    <t>col.C0 lossless AI.B.enc.utime</t>
  </si>
  <si>
    <t>col.C0 lossless AI.B.dec.utime</t>
  </si>
  <si>
    <t>col.C0 lossless AI.eqn.ab.ratio-bpf</t>
  </si>
  <si>
    <t>name.A.C0 lossless AI</t>
  </si>
  <si>
    <t>'C0 lossless AI'!$H$1</t>
  </si>
  <si>
    <t>name.B.C0 lossless AI</t>
  </si>
  <si>
    <t>'C0 lossless AI'!$N$1</t>
  </si>
  <si>
    <t>range.C0 lossless AI.longdress_voxelised</t>
  </si>
  <si>
    <t>'C0 lossless AI'!$A$5:$T$5</t>
  </si>
  <si>
    <t>range.C0 lossless AI.soldier_voxelised</t>
  </si>
  <si>
    <t>'C0 lossless AI'!$A$6:$T$6</t>
  </si>
  <si>
    <t>range.C0 lossless AI.basketball_player_voxelised</t>
  </si>
  <si>
    <t>'C0 lossless AI'!$A$7:$T$7</t>
  </si>
  <si>
    <t>range.C0 lossless AI.dancer_voxelised</t>
  </si>
  <si>
    <t>'C0 lossless AI'!$A$8:$T$8</t>
  </si>
  <si>
    <t>range.C0 lossless AI.football_voxelised</t>
  </si>
  <si>
    <t>'C0 lossless AI'!$A$9:$T$9</t>
  </si>
  <si>
    <t>range.C0 lossless AI.levi_voxelised</t>
  </si>
  <si>
    <t>'C0 lossless AI'!$A$10:$T$10</t>
  </si>
  <si>
    <t>range.C0 lossless AI.mitch_voxelised</t>
  </si>
  <si>
    <t>'C0 lossless AI'!$A$11:$T$11</t>
  </si>
  <si>
    <t>range.C0 lossless AI.thomas_voxelised</t>
  </si>
  <si>
    <t>'C0 lossless AI'!$A$12:$T$12</t>
  </si>
  <si>
    <t>range.C0 lossless AI.rwtt422_voxelised</t>
  </si>
  <si>
    <t>C0 lossless AI'!$A$13:$T$13</t>
  </si>
  <si>
    <t>col.C1 lossy AI.class</t>
  </si>
  <si>
    <t>col.C1 lossy AI.sequence</t>
  </si>
  <si>
    <t>col.C1 lossy AI.variant</t>
  </si>
  <si>
    <t>col.C1 lossy AI.src.numfaces</t>
  </si>
  <si>
    <t>col.C1 lossy AI.src.geometry-precision</t>
  </si>
  <si>
    <t>col.C1 lossy AI.src.framecount</t>
  </si>
  <si>
    <t>col.C1 lossy AI.src.framerate</t>
  </si>
  <si>
    <t>col.C1 lossy AI.ctc.targetrate</t>
  </si>
  <si>
    <t>col.C1 lossy AI.A.eqn.bitrate</t>
  </si>
  <si>
    <t>col.C1 lossy AI.A.eqn.bpf</t>
  </si>
  <si>
    <t>col.C1 lossy AI.A.eqn.geo.bits</t>
  </si>
  <si>
    <t>col.C1 lossy AI.A.dec.numfaces</t>
  </si>
  <si>
    <t>col.C1 lossy AI.A.enc.ext.bits</t>
  </si>
  <si>
    <t>col.C1 lossy AI.A.enc.bmesh.intra.bytes</t>
  </si>
  <si>
    <t>col.C1 lossy AI.A.enc.bmesh.inter.bytes</t>
  </si>
  <si>
    <t>col.C1 lossy AI.A.enc.disp.bytes</t>
  </si>
  <si>
    <t>col.C1 lossy AI.A.enc.texture.bytes</t>
  </si>
  <si>
    <t>col.C2 lossy AI.A.enc.meta.bits</t>
  </si>
  <si>
    <t>col.C1 lossy AI.A.dec.pc-d1-psnr</t>
  </si>
  <si>
    <t>col.C1 lossy AI.A.dec.pc-d2-psnr</t>
  </si>
  <si>
    <t>col.C1 lossy AI.A.dec.pc-y-psnr</t>
  </si>
  <si>
    <t>col.C1 lossy AI.A.dec.pc-cb-psnr</t>
  </si>
  <si>
    <t>col.C1 lossy AI.A.dec.pc-cr-psnr</t>
  </si>
  <si>
    <t>col.C1 lossy AI.A.dec.img-geom-psnr</t>
  </si>
  <si>
    <t>col.C1 lossy AI.A.dec.img-y-psnr</t>
  </si>
  <si>
    <t>col.C1 lossy AI.A.enc.utime</t>
  </si>
  <si>
    <t>col.C1 lossy AI.A.dec.utime</t>
  </si>
  <si>
    <t>col.C1 lossy AI.B.eqn.bitrate</t>
  </si>
  <si>
    <t>col.C1 lossy AI.B.eqn.bpf</t>
  </si>
  <si>
    <t>col.C1 lossy AI.B.eqn.geo.bits</t>
  </si>
  <si>
    <t>col.C1 lossy AI.B.dec.numfaces</t>
  </si>
  <si>
    <t>col.C1 lossy AI.B.enc.ext.bits</t>
  </si>
  <si>
    <t>col.C1 lossy AI.B.enc.bmesh.intra.bytes</t>
  </si>
  <si>
    <t>col.C1 lossy AI.B.enc.bmesh.inter.bytes</t>
  </si>
  <si>
    <t>col.C1 lossy AI.B.enc.disp.bytes</t>
  </si>
  <si>
    <t>col.C1 lossy AI.B.enc.texture.bytes</t>
  </si>
  <si>
    <t>col.C1 lossy AI.B.enc.meta.bits</t>
  </si>
  <si>
    <t>col.C1 lossy AI.B.dec.pc-d1-psnr</t>
  </si>
  <si>
    <t>col.C1 lossy AI.B.dec.pc-d2-psnr</t>
  </si>
  <si>
    <t>col.C1 lossy AI.B.dec.pc-y-psnr</t>
  </si>
  <si>
    <t>col.C1 lossy AI.B.dec.pc-cb-psnr</t>
  </si>
  <si>
    <t>col.C1 lossy AI.B.dec.pc-cr-psnr</t>
  </si>
  <si>
    <t>col.C1 lossy AI.B.dec.img-geom-psnr</t>
  </si>
  <si>
    <t>col.C1 lossy AI.B.dec.img-y-psnr</t>
  </si>
  <si>
    <t>col.C1 lossy AI.B.enc.utime</t>
  </si>
  <si>
    <t>col.C1 lossy AI.B.dec.utime</t>
  </si>
  <si>
    <t>col.C1 lossy AI.eqn.ab.bdrate-pc-d1</t>
  </si>
  <si>
    <t>col.C1 lossy AI.eqn.ab.bdrate-pc-d2</t>
  </si>
  <si>
    <t>col.C1 lossy AI.eqn.ab.bdrate-pc-y</t>
  </si>
  <si>
    <t>col.C1 lossy AI.eqn.ab.bdrate-pc-cb</t>
  </si>
  <si>
    <t>col.C1 lossy AI.eqn.ab.bdrate-pc-cr</t>
  </si>
  <si>
    <t>col.C1 lossy AI.eqn.ab.bdrate-img-geom</t>
  </si>
  <si>
    <t>col.C1 lossy AI.eqn.ab.bdrate-img-y</t>
  </si>
  <si>
    <t>name.A.C1 lossy AI</t>
  </si>
  <si>
    <t>'C1 lossy AI'!$J$1</t>
  </si>
  <si>
    <t>name.B.C1 lossy AI</t>
  </si>
  <si>
    <t>'C1 lossy AI'!$AE$1</t>
  </si>
  <si>
    <t>range.C1 lossy AI.longdress_voxelised</t>
  </si>
  <si>
    <t>'C1 lossy AI'!$A$5:$BD$9</t>
  </si>
  <si>
    <t>range.C1 lossy AI.soldier_voxelised</t>
  </si>
  <si>
    <t>'C1 lossy AI'!$A$10:$BD$14</t>
  </si>
  <si>
    <t>range.C1 lossy AI.basketball_player_voxelised</t>
  </si>
  <si>
    <t>'C1 lossy AI'!$A$15:$BD$19</t>
  </si>
  <si>
    <t>range.C1 lossy AI.dancer_voxelised</t>
  </si>
  <si>
    <t>'C1 lossy AI'!$A$20:$BD$24</t>
  </si>
  <si>
    <t>range.C1 lossy AI.football_voxelised</t>
  </si>
  <si>
    <t>'C1 lossy AI'!$A$25:$BD$29</t>
  </si>
  <si>
    <t>range.C1 lossy AI.levi_voxelised</t>
  </si>
  <si>
    <t>'C1 lossy AI'!$A$30:$BD$34</t>
  </si>
  <si>
    <t>range.C1 lossy AI.mitch_voxelised</t>
  </si>
  <si>
    <t>'C1 lossy AI'!$A$35:$BD$39</t>
  </si>
  <si>
    <t>range.C1 lossy AI.thomas_voxelised</t>
  </si>
  <si>
    <t>'C1 lossy AI'!$A$40:$BD$44</t>
  </si>
  <si>
    <t>range.C1 lossy AI.rwtt422_voxelised</t>
  </si>
  <si>
    <t>'C1 lossy AI'!$A$45:$BD$49</t>
  </si>
  <si>
    <t>cols.C1 lossy AI</t>
  </si>
  <si>
    <t>col.C2 lossy RA.class</t>
  </si>
  <si>
    <t>col.C2 lossy RA.sequence</t>
  </si>
  <si>
    <t>col.C2 lossy RA.variant</t>
  </si>
  <si>
    <t>col.C2 lossy RA.src.numfaces</t>
  </si>
  <si>
    <t>col.C2 lossy RA.src.geometry-precision</t>
  </si>
  <si>
    <t>col.C2 lossy RA.src.framecount</t>
  </si>
  <si>
    <t>col.C2 lossy RA.src.framerate</t>
  </si>
  <si>
    <t>col.C2 lossy RA.ctc.targetrate</t>
  </si>
  <si>
    <t>col.C2 lossy RA.A.eqn.bitrate</t>
  </si>
  <si>
    <t>col.C2 lossy RA.A.eqn.bpf</t>
  </si>
  <si>
    <t>col.C2 lossy RA.A.eqn.geo.bits</t>
  </si>
  <si>
    <t>col.C2 lossy RA.A.dec.numfaces</t>
  </si>
  <si>
    <t>col.C2 lossy RA.A.enc.ext.bits</t>
  </si>
  <si>
    <t>col.C2 lossy RA.A.enc.bmesh.intra.bytes</t>
  </si>
  <si>
    <t>col.C2 lossy RA.A.enc.bmesh.inter.bytes</t>
  </si>
  <si>
    <t>col.C2 lossy RA.A.enc.disp.bytes</t>
  </si>
  <si>
    <t>col.C2 lossy RA.A.enc.texture.bytes</t>
  </si>
  <si>
    <t>col.C2 lossy RA.A.enc.meta.bits</t>
  </si>
  <si>
    <t>col.C2 lossy RA.A.dec.pc-d1-psnr</t>
  </si>
  <si>
    <t>col.C2 lossy RA.A.dec.pc-d2-psnr</t>
  </si>
  <si>
    <t>col.C2 lossy RA.A.dec.pc-y-psnr</t>
  </si>
  <si>
    <t>col.C2 lossy RA.A.dec.pc-cb-psnr</t>
  </si>
  <si>
    <t>col.C2 lossy RA.A.dec.pc-cr-psnr</t>
  </si>
  <si>
    <t>col.C2 lossy RA.A.dec.img-geom-psnr</t>
  </si>
  <si>
    <t>col.C2 lossy RA.A.dec.img-y-psnr</t>
  </si>
  <si>
    <t>col.C2 lossy RA.A.enc.utime</t>
  </si>
  <si>
    <t>col.C2 lossy RA.A.dec.utime</t>
  </si>
  <si>
    <t>col.C2 lossy RA.B.eqn.bitrate</t>
  </si>
  <si>
    <t>col.C2 lossy RA.B.eqn.bpf</t>
  </si>
  <si>
    <t>col.C2 lossy RA.B.eqn.geo.bits</t>
  </si>
  <si>
    <t>col.C2 lossy RA.B.dec.numfaces</t>
  </si>
  <si>
    <t>col.C2 lossy RA.B.enc.ext.bits</t>
  </si>
  <si>
    <t>col.C2 lossy RA.B.enc.bmesh.intra.bytes</t>
  </si>
  <si>
    <t>col.C2 lossy RA.B.enc.bmesh.inter.bytes</t>
  </si>
  <si>
    <t>col.C2 lossy RA.B.enc.disp.bytes</t>
  </si>
  <si>
    <t>col.C2 lossy RA.B.enc.texture.bytes</t>
  </si>
  <si>
    <t>col.C2 lossy RA.B.enc.meta.bits</t>
  </si>
  <si>
    <t>col.C2 lossy RA.B.dec.pc-d1-psnr</t>
  </si>
  <si>
    <t>col.C2 lossy RA.B.dec.pc-d2-psnr</t>
  </si>
  <si>
    <t>col.C2 lossy RA.B.dec.pc-y-psnr</t>
  </si>
  <si>
    <t>col.C2 lossy RA.B.dec.pc-cb-psnr</t>
  </si>
  <si>
    <t>col.C2 lossy RA.B.dec.pc-cr-psnr</t>
  </si>
  <si>
    <t>col.C2 lossy RA.B.dec.img-geom-psnr</t>
  </si>
  <si>
    <t>col.C2 lossy RA.B.dec.img-y-psnr</t>
  </si>
  <si>
    <t>col.C2 lossy RA.B.enc.utime</t>
  </si>
  <si>
    <t>col.C2 lossy RA.B.dec.utime</t>
  </si>
  <si>
    <t>col.C2 lossy RA.eqn.ab.bdrate-pc-d1</t>
  </si>
  <si>
    <t>col.C2 lossy RA.eqn.ab.bdrate-pc-d2</t>
  </si>
  <si>
    <t>col.C2 lossy RA.eqn.ab.bdrate-pc-y</t>
  </si>
  <si>
    <t>col.C2 lossy RA.eqn.ab.bdrate-pc-cb</t>
  </si>
  <si>
    <t>col.C2 lossy RA.eqn.ab.bdrate-pc-cr</t>
  </si>
  <si>
    <t>col.C2 lossy RA.eqn.ab.bdrate-img-geom</t>
  </si>
  <si>
    <t>col.C2 lossy RA.eqn.ab.bdrate-img-y</t>
  </si>
  <si>
    <t>name.A.C2 lossy RA</t>
  </si>
  <si>
    <t>'C2 lossy RA'!$J$1</t>
  </si>
  <si>
    <t>name.B.C2 lossy RA</t>
  </si>
  <si>
    <t>'C2 lossy RA'!$AE$1</t>
  </si>
  <si>
    <t>range.C2 lossy RA.longdress_voxelised</t>
  </si>
  <si>
    <t>'C2 lossy RA'!$A$5:$BD$9</t>
  </si>
  <si>
    <t>range.C2 lossy RA.soldier_voxelised</t>
  </si>
  <si>
    <t>'C2 lossy RA'!$A$10:$BD$14</t>
  </si>
  <si>
    <t>range.C2 lossy RA.basketball_player_voxelised</t>
  </si>
  <si>
    <t>'C2 lossy RA'!$A$15:$BD$19</t>
  </si>
  <si>
    <t>range.C2 lossy RA.dancer_voxelised</t>
  </si>
  <si>
    <t>'C2 lossy RA'!$A$20:$BD$24</t>
  </si>
  <si>
    <t>range.C2 lossy RA.football_voxelised</t>
  </si>
  <si>
    <t>'C2 lossy RA'!$A$25:$BD$29</t>
  </si>
  <si>
    <t>range.C2 lossy RA.levi_voxelised</t>
  </si>
  <si>
    <t>'C2 lossy RA'!$A$30:$BD$34</t>
  </si>
  <si>
    <t>range.C2 lossy RA.mitch_voxelised</t>
  </si>
  <si>
    <t>'C2 lossy RA'!$A$35:$BD$39</t>
  </si>
  <si>
    <t>range.C2 lossy RA.thomas_voxelised</t>
  </si>
  <si>
    <t>'C2 lossy RA'!$A$40:$BD$44</t>
  </si>
  <si>
    <t>range.C2 lossy RA.rwtt422_voxelised</t>
  </si>
  <si>
    <t>'C2 lossy RA'!$A$45:$BD$49</t>
  </si>
  <si>
    <t>cols.C2 lossy RA</t>
  </si>
  <si>
    <t>C1_ai — lossy geometry, lossy attributes [all intra]</t>
  </si>
  <si>
    <t>Variant</t>
  </si>
  <si>
    <t>Target rate [Mbps]</t>
  </si>
  <si>
    <t>Total Geo Bitstream [bits]</t>
  </si>
  <si>
    <t>Bmesh
Intra
[bits]</t>
  </si>
  <si>
    <t>Bmesh
Inter
[bits]</t>
  </si>
  <si>
    <t>Disp
[bits]</t>
  </si>
  <si>
    <t>Texture
[bits]</t>
  </si>
  <si>
    <t>MetaData
[bits]</t>
  </si>
  <si>
    <t>Pointcloud-based PSNR [dB]</t>
  </si>
  <si>
    <t>Image-based PSNR [dB]</t>
  </si>
  <si>
    <t>Pointcloud-based BD‑TotGeoRate [%]</t>
  </si>
  <si>
    <t>Pointcloud-based BD‑AttrRate [%]</t>
  </si>
  <si>
    <t>Geom Image-based BD‑TotGeoRate [%]</t>
  </si>
  <si>
    <t>Luma Image-based BD‑AttrRate [%]</t>
  </si>
  <si>
    <t>Bmesh intra ratio [%]</t>
  </si>
  <si>
    <t>Bmesh inter ratio [%]</t>
  </si>
  <si>
    <t>Disp ratio
[%]</t>
  </si>
  <si>
    <t>Texture ratio
[%]</t>
  </si>
  <si>
    <t>Meta ratio
[%]</t>
  </si>
  <si>
    <t>variant</t>
  </si>
  <si>
    <t>ctc.targetrate</t>
  </si>
  <si>
    <t>A.dec.numfaces</t>
  </si>
  <si>
    <t>A.dec.pc-d1-psnr</t>
  </si>
  <si>
    <t>A.dec.pc-d2-psnr</t>
  </si>
  <si>
    <t>A.dec.pc-y-psnr</t>
  </si>
  <si>
    <t>A.dec.pc-cb-psnr</t>
  </si>
  <si>
    <t>A.dec.pc-cr-psnr</t>
  </si>
  <si>
    <t>A.dec.img-geom-psnr</t>
  </si>
  <si>
    <t>A.dec.img-y-psnr</t>
  </si>
  <si>
    <t>B.dec.numfaces</t>
  </si>
  <si>
    <t>B.dec.pc-d1-psnr</t>
  </si>
  <si>
    <t>B.dec.pc-d2-psnr</t>
  </si>
  <si>
    <t>B.dec.pc-y-psnr</t>
  </si>
  <si>
    <t>B.dec.pc-cb-psnr</t>
  </si>
  <si>
    <t>B.dec.pc-cr-psnr</t>
  </si>
  <si>
    <t>B.dec.img-geom-psnr</t>
  </si>
  <si>
    <t>B.dec.img-y-psnr</t>
  </si>
  <si>
    <t>eqn.ab.bdrate-pc-d1</t>
  </si>
  <si>
    <t>eqn.ab.bdrate-pc-d2</t>
  </si>
  <si>
    <t>eqn.ab.bdrate-pc-y</t>
  </si>
  <si>
    <t>eqn.ab.bdrate-pc-cb</t>
  </si>
  <si>
    <t>eqn.ab.bdrate-pc-cr</t>
  </si>
  <si>
    <t>eqn.ab.bdrate-img-geom</t>
  </si>
  <si>
    <t>eqn.ab.bdrate-img-y</t>
  </si>
  <si>
    <t>r01</t>
  </si>
  <si>
    <t>r02</t>
  </si>
  <si>
    <t>r03</t>
  </si>
  <si>
    <t>r04</t>
  </si>
  <si>
    <t>r05</t>
  </si>
  <si>
    <t>C2_ra — lossy geometry, lossy attributes [inter, random access]</t>
  </si>
  <si>
    <t>Geom Image-based BD‑TotGemRate [%]</t>
  </si>
</sst>
</file>

<file path=xl/styles.xml><?xml version="1.0" encoding="utf-8"?>
<styleSheet xmlns="http://schemas.openxmlformats.org/spreadsheetml/2006/main">
  <numFmts count="9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0000"/>
    <numFmt numFmtId="177" formatCode="0.0%"/>
    <numFmt numFmtId="178" formatCode="0.000"/>
    <numFmt numFmtId="179" formatCode="[&gt;1000]0;[&gt;100]0.0;0.00"/>
    <numFmt numFmtId="180" formatCode="0.000%"/>
  </numFmts>
  <fonts count="22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0" tint="-0.34998626667073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C4BF97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C4D79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2" fillId="0" borderId="0" applyFont="0" applyFill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4" fillId="17" borderId="17" applyNumberFormat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" fillId="21" borderId="18" applyNumberFormat="0" applyFont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19" applyNumberFormat="0" applyFill="0" applyAlignment="0" applyProtection="0">
      <alignment vertical="center"/>
    </xf>
    <xf numFmtId="0" fontId="14" fillId="0" borderId="19" applyNumberFormat="0" applyFill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9" fillId="0" borderId="20" applyNumberFormat="0" applyFill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15" fillId="25" borderId="21" applyNumberFormat="0" applyAlignment="0" applyProtection="0">
      <alignment vertical="center"/>
    </xf>
    <xf numFmtId="0" fontId="16" fillId="25" borderId="17" applyNumberFormat="0" applyAlignment="0" applyProtection="0">
      <alignment vertical="center"/>
    </xf>
    <xf numFmtId="0" fontId="17" fillId="26" borderId="22" applyNumberFormat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18" fillId="0" borderId="23" applyNumberFormat="0" applyFill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3" fillId="36" borderId="0" applyNumberFormat="0" applyBorder="0" applyAlignment="0" applyProtection="0">
      <alignment vertical="center"/>
    </xf>
    <xf numFmtId="0" fontId="6" fillId="37" borderId="0" applyNumberFormat="0" applyBorder="0" applyAlignment="0" applyProtection="0">
      <alignment vertical="center"/>
    </xf>
    <xf numFmtId="0" fontId="6" fillId="38" borderId="0" applyNumberFormat="0" applyBorder="0" applyAlignment="0" applyProtection="0">
      <alignment vertical="center"/>
    </xf>
    <xf numFmtId="0" fontId="3" fillId="39" borderId="0" applyNumberFormat="0" applyBorder="0" applyAlignment="0" applyProtection="0">
      <alignment vertical="center"/>
    </xf>
    <xf numFmtId="0" fontId="3" fillId="40" borderId="0" applyNumberFormat="0" applyBorder="0" applyAlignment="0" applyProtection="0">
      <alignment vertical="center"/>
    </xf>
    <xf numFmtId="0" fontId="6" fillId="41" borderId="0" applyNumberFormat="0" applyBorder="0" applyAlignment="0" applyProtection="0">
      <alignment vertical="center"/>
    </xf>
    <xf numFmtId="0" fontId="3" fillId="42" borderId="0" applyNumberFormat="0" applyBorder="0" applyAlignment="0" applyProtection="0">
      <alignment vertical="center"/>
    </xf>
    <xf numFmtId="0" fontId="6" fillId="43" borderId="0" applyNumberFormat="0" applyBorder="0" applyAlignment="0" applyProtection="0">
      <alignment vertical="center"/>
    </xf>
    <xf numFmtId="0" fontId="6" fillId="44" borderId="0" applyNumberFormat="0" applyBorder="0" applyAlignment="0" applyProtection="0">
      <alignment vertical="center"/>
    </xf>
    <xf numFmtId="0" fontId="3" fillId="45" borderId="0" applyNumberFormat="0" applyBorder="0" applyAlignment="0" applyProtection="0">
      <alignment vertical="center"/>
    </xf>
    <xf numFmtId="0" fontId="6" fillId="46" borderId="0" applyNumberFormat="0" applyBorder="0" applyAlignment="0" applyProtection="0">
      <alignment vertical="center"/>
    </xf>
  </cellStyleXfs>
  <cellXfs count="139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0" fillId="0" borderId="2" xfId="0" applyBorder="1"/>
    <xf numFmtId="0" fontId="1" fillId="3" borderId="3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0" fillId="0" borderId="6" xfId="0" applyBorder="1"/>
    <xf numFmtId="0" fontId="1" fillId="3" borderId="7" xfId="0" applyFont="1" applyFill="1" applyBorder="1" applyAlignment="1">
      <alignment horizontal="center" wrapText="1"/>
    </xf>
    <xf numFmtId="0" fontId="0" fillId="0" borderId="8" xfId="0" applyBorder="1"/>
    <xf numFmtId="0" fontId="0" fillId="0" borderId="9" xfId="0" applyBorder="1"/>
    <xf numFmtId="0" fontId="1" fillId="3" borderId="8" xfId="0" applyFont="1" applyFill="1" applyBorder="1" applyAlignment="1">
      <alignment horizontal="center" wrapText="1"/>
    </xf>
    <xf numFmtId="0" fontId="1" fillId="3" borderId="10" xfId="0" applyFont="1" applyFill="1" applyBorder="1" applyAlignment="1">
      <alignment horizontal="center" wrapText="1"/>
    </xf>
    <xf numFmtId="0" fontId="0" fillId="4" borderId="11" xfId="0" applyFill="1" applyBorder="1"/>
    <xf numFmtId="0" fontId="0" fillId="4" borderId="12" xfId="0" applyFill="1" applyBorder="1"/>
    <xf numFmtId="177" fontId="0" fillId="4" borderId="11" xfId="0" applyNumberFormat="1" applyFill="1" applyBorder="1" applyAlignment="1">
      <alignment horizontal="center"/>
    </xf>
    <xf numFmtId="177" fontId="0" fillId="4" borderId="0" xfId="0" applyNumberFormat="1" applyFill="1" applyAlignment="1">
      <alignment horizontal="center"/>
    </xf>
    <xf numFmtId="0" fontId="0" fillId="5" borderId="11" xfId="0" applyFill="1" applyBorder="1"/>
    <xf numFmtId="0" fontId="0" fillId="5" borderId="12" xfId="0" applyFill="1" applyBorder="1"/>
    <xf numFmtId="177" fontId="0" fillId="5" borderId="11" xfId="0" applyNumberFormat="1" applyFill="1" applyBorder="1" applyAlignment="1">
      <alignment horizontal="center"/>
    </xf>
    <xf numFmtId="177" fontId="0" fillId="5" borderId="0" xfId="0" applyNumberFormat="1" applyFill="1" applyAlignment="1">
      <alignment horizontal="center"/>
    </xf>
    <xf numFmtId="0" fontId="0" fillId="5" borderId="8" xfId="0" applyFill="1" applyBorder="1"/>
    <xf numFmtId="0" fontId="0" fillId="5" borderId="9" xfId="0" applyFill="1" applyBorder="1"/>
    <xf numFmtId="177" fontId="0" fillId="5" borderId="8" xfId="0" applyNumberFormat="1" applyFill="1" applyBorder="1" applyAlignment="1">
      <alignment horizontal="center"/>
    </xf>
    <xf numFmtId="177" fontId="0" fillId="5" borderId="10" xfId="0" applyNumberFormat="1" applyFill="1" applyBorder="1" applyAlignment="1">
      <alignment horizontal="center"/>
    </xf>
    <xf numFmtId="0" fontId="0" fillId="6" borderId="13" xfId="0" applyFill="1" applyBorder="1" applyAlignment="1">
      <alignment horizontal="left"/>
    </xf>
    <xf numFmtId="0" fontId="0" fillId="0" borderId="7" xfId="0" applyBorder="1"/>
    <xf numFmtId="177" fontId="0" fillId="6" borderId="0" xfId="0" applyNumberFormat="1" applyFill="1" applyAlignment="1">
      <alignment horizontal="center"/>
    </xf>
    <xf numFmtId="0" fontId="0" fillId="7" borderId="14" xfId="0" applyFill="1" applyBorder="1" applyAlignment="1">
      <alignment horizontal="left"/>
    </xf>
    <xf numFmtId="0" fontId="0" fillId="0" borderId="12" xfId="0" applyBorder="1"/>
    <xf numFmtId="177" fontId="0" fillId="7" borderId="0" xfId="0" applyNumberFormat="1" applyFill="1" applyAlignment="1">
      <alignment horizontal="center"/>
    </xf>
    <xf numFmtId="0" fontId="0" fillId="6" borderId="14" xfId="0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0" fillId="0" borderId="4" xfId="0" applyBorder="1"/>
    <xf numFmtId="177" fontId="0" fillId="7" borderId="2" xfId="0" applyNumberFormat="1" applyFill="1" applyBorder="1" applyAlignment="1">
      <alignment horizontal="center"/>
    </xf>
    <xf numFmtId="9" fontId="0" fillId="6" borderId="13" xfId="0" applyNumberFormat="1" applyFill="1" applyBorder="1" applyAlignment="1">
      <alignment horizontal="center"/>
    </xf>
    <xf numFmtId="0" fontId="0" fillId="7" borderId="15" xfId="0" applyFill="1" applyBorder="1" applyAlignment="1">
      <alignment horizontal="left"/>
    </xf>
    <xf numFmtId="9" fontId="0" fillId="7" borderId="15" xfId="0" applyNumberFormat="1" applyFill="1" applyBorder="1" applyAlignment="1">
      <alignment horizontal="center"/>
    </xf>
    <xf numFmtId="0" fontId="0" fillId="0" borderId="10" xfId="0" applyBorder="1"/>
    <xf numFmtId="0" fontId="1" fillId="3" borderId="9" xfId="0" applyFont="1" applyFill="1" applyBorder="1" applyAlignment="1">
      <alignment horizontal="center" wrapText="1"/>
    </xf>
    <xf numFmtId="177" fontId="0" fillId="4" borderId="12" xfId="0" applyNumberFormat="1" applyFill="1" applyBorder="1" applyAlignment="1">
      <alignment horizontal="center"/>
    </xf>
    <xf numFmtId="177" fontId="0" fillId="5" borderId="12" xfId="0" applyNumberFormat="1" applyFill="1" applyBorder="1" applyAlignment="1">
      <alignment horizontal="center"/>
    </xf>
    <xf numFmtId="177" fontId="0" fillId="5" borderId="9" xfId="0" applyNumberFormat="1" applyFill="1" applyBorder="1" applyAlignment="1">
      <alignment horizontal="center"/>
    </xf>
    <xf numFmtId="177" fontId="0" fillId="6" borderId="5" xfId="0" applyNumberFormat="1" applyFill="1" applyBorder="1" applyAlignment="1">
      <alignment horizontal="center"/>
    </xf>
    <xf numFmtId="177" fontId="0" fillId="6" borderId="6" xfId="0" applyNumberFormat="1" applyFill="1" applyBorder="1" applyAlignment="1">
      <alignment horizontal="center"/>
    </xf>
    <xf numFmtId="177" fontId="0" fillId="6" borderId="7" xfId="0" applyNumberFormat="1" applyFill="1" applyBorder="1" applyAlignment="1">
      <alignment horizontal="center"/>
    </xf>
    <xf numFmtId="177" fontId="0" fillId="7" borderId="11" xfId="0" applyNumberFormat="1" applyFill="1" applyBorder="1" applyAlignment="1">
      <alignment horizontal="center"/>
    </xf>
    <xf numFmtId="177" fontId="0" fillId="7" borderId="12" xfId="0" applyNumberFormat="1" applyFill="1" applyBorder="1" applyAlignment="1">
      <alignment horizontal="center"/>
    </xf>
    <xf numFmtId="177" fontId="0" fillId="6" borderId="11" xfId="0" applyNumberFormat="1" applyFill="1" applyBorder="1" applyAlignment="1">
      <alignment horizontal="center"/>
    </xf>
    <xf numFmtId="177" fontId="0" fillId="6" borderId="12" xfId="0" applyNumberFormat="1" applyFill="1" applyBorder="1" applyAlignment="1">
      <alignment horizontal="center"/>
    </xf>
    <xf numFmtId="177" fontId="0" fillId="7" borderId="3" xfId="0" applyNumberFormat="1" applyFill="1" applyBorder="1" applyAlignment="1">
      <alignment horizontal="center"/>
    </xf>
    <xf numFmtId="177" fontId="0" fillId="7" borderId="4" xfId="0" applyNumberFormat="1" applyFill="1" applyBorder="1" applyAlignment="1">
      <alignment horizontal="center"/>
    </xf>
    <xf numFmtId="0" fontId="1" fillId="8" borderId="0" xfId="0" applyFont="1" applyFill="1" applyAlignment="1">
      <alignment horizontal="left" vertical="top"/>
    </xf>
    <xf numFmtId="0" fontId="1" fillId="9" borderId="10" xfId="0" applyFont="1" applyFill="1" applyBorder="1" applyAlignment="1">
      <alignment horizontal="center" wrapText="1"/>
    </xf>
    <xf numFmtId="0" fontId="1" fillId="10" borderId="10" xfId="0" applyFont="1" applyFill="1" applyBorder="1" applyAlignment="1">
      <alignment horizontal="center" wrapText="1"/>
    </xf>
    <xf numFmtId="0" fontId="1" fillId="9" borderId="10" xfId="0" applyFont="1" applyFill="1" applyBorder="1" applyAlignment="1">
      <alignment horizontal="center" textRotation="90" wrapText="1"/>
    </xf>
    <xf numFmtId="0" fontId="1" fillId="10" borderId="10" xfId="0" applyFont="1" applyFill="1" applyBorder="1" applyAlignment="1">
      <alignment horizontal="center" textRotation="90" wrapText="1"/>
    </xf>
    <xf numFmtId="0" fontId="0" fillId="4" borderId="0" xfId="0" applyFill="1"/>
    <xf numFmtId="0" fontId="0" fillId="4" borderId="0" xfId="0" applyFill="1" applyAlignment="1">
      <alignment horizontal="center"/>
    </xf>
    <xf numFmtId="1" fontId="0" fillId="4" borderId="0" xfId="0" applyNumberFormat="1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1" fontId="0" fillId="5" borderId="0" xfId="0" applyNumberFormat="1" applyFill="1" applyAlignment="1">
      <alignment horizontal="center"/>
    </xf>
    <xf numFmtId="0" fontId="0" fillId="4" borderId="10" xfId="0" applyFill="1" applyBorder="1"/>
    <xf numFmtId="0" fontId="0" fillId="4" borderId="10" xfId="0" applyFill="1" applyBorder="1" applyAlignment="1">
      <alignment horizontal="center"/>
    </xf>
    <xf numFmtId="1" fontId="0" fillId="4" borderId="10" xfId="0" applyNumberFormat="1" applyFill="1" applyBorder="1" applyAlignment="1">
      <alignment horizontal="center"/>
    </xf>
    <xf numFmtId="0" fontId="0" fillId="5" borderId="10" xfId="0" applyFill="1" applyBorder="1"/>
    <xf numFmtId="0" fontId="0" fillId="5" borderId="10" xfId="0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0" fontId="1" fillId="11" borderId="0" xfId="0" applyFont="1" applyFill="1" applyAlignment="1">
      <alignment horizontal="center" wrapText="1"/>
    </xf>
    <xf numFmtId="0" fontId="1" fillId="2" borderId="10" xfId="0" applyFont="1" applyFill="1" applyBorder="1" applyAlignment="1">
      <alignment horizontal="center" wrapText="1"/>
    </xf>
    <xf numFmtId="0" fontId="1" fillId="10" borderId="0" xfId="0" applyFont="1" applyFill="1" applyAlignment="1">
      <alignment horizontal="center" wrapText="1"/>
    </xf>
    <xf numFmtId="0" fontId="0" fillId="2" borderId="10" xfId="0" applyFill="1" applyBorder="1"/>
    <xf numFmtId="178" fontId="0" fillId="4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12" borderId="0" xfId="0" applyFill="1"/>
    <xf numFmtId="1" fontId="0" fillId="12" borderId="0" xfId="0" applyNumberFormat="1" applyFill="1" applyAlignment="1">
      <alignment horizontal="center"/>
    </xf>
    <xf numFmtId="178" fontId="0" fillId="5" borderId="0" xfId="0" applyNumberFormat="1" applyFill="1" applyAlignment="1">
      <alignment horizontal="center"/>
    </xf>
    <xf numFmtId="2" fontId="0" fillId="5" borderId="0" xfId="0" applyNumberFormat="1" applyFill="1" applyAlignment="1">
      <alignment horizontal="center"/>
    </xf>
    <xf numFmtId="0" fontId="0" fillId="13" borderId="0" xfId="0" applyFill="1"/>
    <xf numFmtId="1" fontId="0" fillId="13" borderId="0" xfId="0" applyNumberFormat="1" applyFill="1" applyAlignment="1">
      <alignment horizontal="center"/>
    </xf>
    <xf numFmtId="178" fontId="0" fillId="4" borderId="10" xfId="0" applyNumberForma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0" fontId="0" fillId="12" borderId="10" xfId="0" applyFill="1" applyBorder="1"/>
    <xf numFmtId="1" fontId="0" fillId="12" borderId="10" xfId="0" applyNumberFormat="1" applyFill="1" applyBorder="1" applyAlignment="1">
      <alignment horizontal="center"/>
    </xf>
    <xf numFmtId="178" fontId="0" fillId="5" borderId="10" xfId="0" applyNumberFormat="1" applyFill="1" applyBorder="1" applyAlignment="1">
      <alignment horizontal="center"/>
    </xf>
    <xf numFmtId="2" fontId="0" fillId="5" borderId="10" xfId="0" applyNumberFormat="1" applyFill="1" applyBorder="1" applyAlignment="1">
      <alignment horizontal="center"/>
    </xf>
    <xf numFmtId="0" fontId="0" fillId="13" borderId="10" xfId="0" applyFill="1" applyBorder="1"/>
    <xf numFmtId="1" fontId="0" fillId="13" borderId="10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1" fillId="9" borderId="0" xfId="0" applyFont="1" applyFill="1" applyAlignment="1">
      <alignment horizontal="center" wrapText="1"/>
    </xf>
    <xf numFmtId="2" fontId="0" fillId="12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2" borderId="10" xfId="0" applyNumberFormat="1" applyFill="1" applyBorder="1" applyAlignment="1">
      <alignment horizontal="center"/>
    </xf>
    <xf numFmtId="2" fontId="0" fillId="13" borderId="1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1" fillId="14" borderId="0" xfId="0" applyFont="1" applyFill="1" applyAlignment="1">
      <alignment horizontal="center" wrapText="1"/>
    </xf>
    <xf numFmtId="179" fontId="0" fillId="12" borderId="0" xfId="0" applyNumberFormat="1" applyFill="1" applyAlignment="1">
      <alignment horizontal="center"/>
    </xf>
    <xf numFmtId="179" fontId="0" fillId="13" borderId="0" xfId="0" applyNumberFormat="1" applyFill="1" applyAlignment="1">
      <alignment horizontal="center"/>
    </xf>
    <xf numFmtId="179" fontId="0" fillId="12" borderId="10" xfId="0" applyNumberFormat="1" applyFill="1" applyBorder="1" applyAlignment="1">
      <alignment horizontal="center"/>
    </xf>
    <xf numFmtId="179" fontId="0" fillId="13" borderId="10" xfId="0" applyNumberFormat="1" applyFill="1" applyBorder="1" applyAlignment="1">
      <alignment horizontal="center"/>
    </xf>
    <xf numFmtId="179" fontId="0" fillId="0" borderId="0" xfId="0" applyNumberFormat="1" applyAlignment="1">
      <alignment horizontal="center"/>
    </xf>
    <xf numFmtId="10" fontId="0" fillId="0" borderId="0" xfId="0" applyNumberFormat="1"/>
    <xf numFmtId="176" fontId="0" fillId="0" borderId="5" xfId="0" applyNumberFormat="1" applyBorder="1"/>
    <xf numFmtId="176" fontId="0" fillId="0" borderId="11" xfId="0" applyNumberFormat="1" applyBorder="1"/>
    <xf numFmtId="176" fontId="0" fillId="0" borderId="6" xfId="0" applyNumberFormat="1" applyBorder="1"/>
    <xf numFmtId="176" fontId="0" fillId="0" borderId="7" xfId="0" applyNumberFormat="1" applyBorder="1"/>
    <xf numFmtId="176" fontId="0" fillId="0" borderId="0" xfId="0" applyNumberFormat="1"/>
    <xf numFmtId="176" fontId="0" fillId="0" borderId="12" xfId="0" applyNumberFormat="1" applyBorder="1"/>
    <xf numFmtId="177" fontId="0" fillId="4" borderId="10" xfId="0" applyNumberFormat="1" applyFill="1" applyBorder="1" applyAlignment="1">
      <alignment horizontal="center"/>
    </xf>
    <xf numFmtId="177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1" fillId="3" borderId="0" xfId="0" applyFont="1" applyFill="1" applyAlignment="1">
      <alignment horizontal="center" wrapText="1"/>
    </xf>
    <xf numFmtId="180" fontId="0" fillId="5" borderId="0" xfId="0" applyNumberFormat="1" applyFill="1" applyAlignment="1">
      <alignment horizontal="center"/>
    </xf>
    <xf numFmtId="180" fontId="0" fillId="4" borderId="0" xfId="0" applyNumberFormat="1" applyFill="1" applyAlignment="1">
      <alignment horizontal="center"/>
    </xf>
    <xf numFmtId="180" fontId="0" fillId="4" borderId="10" xfId="0" applyNumberFormat="1" applyFill="1" applyBorder="1" applyAlignment="1">
      <alignment horizontal="center"/>
    </xf>
    <xf numFmtId="10" fontId="0" fillId="4" borderId="0" xfId="0" applyNumberFormat="1" applyFill="1" applyAlignment="1">
      <alignment horizontal="center"/>
    </xf>
    <xf numFmtId="176" fontId="0" fillId="0" borderId="8" xfId="0" applyNumberFormat="1" applyBorder="1"/>
    <xf numFmtId="176" fontId="0" fillId="0" borderId="10" xfId="0" applyNumberFormat="1" applyBorder="1"/>
    <xf numFmtId="176" fontId="0" fillId="0" borderId="9" xfId="0" applyNumberFormat="1" applyBorder="1"/>
    <xf numFmtId="0" fontId="0" fillId="5" borderId="2" xfId="0" applyFill="1" applyBorder="1"/>
    <xf numFmtId="1" fontId="0" fillId="5" borderId="2" xfId="0" applyNumberForma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78" fontId="0" fillId="5" borderId="2" xfId="0" applyNumberFormat="1" applyFill="1" applyBorder="1" applyAlignment="1">
      <alignment horizontal="center"/>
    </xf>
    <xf numFmtId="2" fontId="0" fillId="5" borderId="2" xfId="0" applyNumberFormat="1" applyFill="1" applyBorder="1" applyAlignment="1">
      <alignment horizontal="center"/>
    </xf>
    <xf numFmtId="1" fontId="0" fillId="13" borderId="2" xfId="0" applyNumberFormat="1" applyFill="1" applyBorder="1" applyAlignment="1">
      <alignment horizontal="center"/>
    </xf>
    <xf numFmtId="179" fontId="0" fillId="13" borderId="2" xfId="0" applyNumberFormat="1" applyFill="1" applyBorder="1" applyAlignment="1">
      <alignment horizontal="center"/>
    </xf>
    <xf numFmtId="0" fontId="0" fillId="15" borderId="0" xfId="0" applyFill="1"/>
    <xf numFmtId="0" fontId="1" fillId="10" borderId="0" xfId="0" applyFont="1" applyFill="1"/>
    <xf numFmtId="0" fontId="1" fillId="10" borderId="2" xfId="0" applyFont="1" applyFill="1" applyBorder="1" applyAlignment="1">
      <alignment horizontal="center" vertical="center" wrapText="1"/>
    </xf>
    <xf numFmtId="0" fontId="1" fillId="10" borderId="6" xfId="0" applyFont="1" applyFill="1" applyBorder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1" fillId="10" borderId="10" xfId="0" applyFont="1" applyFill="1" applyBorder="1" applyAlignment="1">
      <alignment horizontal="center" vertical="center" wrapText="1"/>
    </xf>
    <xf numFmtId="0" fontId="1" fillId="0" borderId="16" xfId="0" applyFont="1" applyBorder="1"/>
    <xf numFmtId="177" fontId="0" fillId="0" borderId="16" xfId="0" applyNumberForma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0" fontId="1" fillId="9" borderId="0" xfId="0" applyFont="1" applyFill="1" applyAlignment="1">
      <alignment horizontal="center" vertical="center" wrapText="1"/>
    </xf>
    <xf numFmtId="0" fontId="1" fillId="9" borderId="10" xfId="0" applyFont="1" applyFill="1" applyBorder="1" applyAlignment="1">
      <alignment horizontal="center" vertical="center" wrapText="1"/>
    </xf>
    <xf numFmtId="0" fontId="0" fillId="0" borderId="0" xfId="0" quotePrefix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solid"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</border>
    </dxf>
    <dxf>
      <font>
        <b val="1"/>
        <color rgb="FFFF000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D1 Pointcloud-based PSNR [dB] (Graph a)</a:t>
            </a:r>
          </a:p>
        </c:rich>
      </c:tx>
      <c:layout/>
      <c:overlay val="0"/>
    </c:title>
    <c:autoTitleDeleted val="0"/>
    <c:plotArea>
      <c:layout/>
      <c:scatterChart>
        <c:scatterStyle val="line"/>
        <c:varyColors val="0"/>
        <c:ser>
          <c:idx val="0"/>
          <c:order val="0"/>
          <c:tx>
            <c:strRef>
              <c:f>[0]Graphs!graph_a_A_title</c:f>
              <c:strCache>
                <c:ptCount val="1"/>
                <c:pt idx="0">
                  <c:v>F300_08b6_ctc_XDU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[0]Graphs!graph_a_x_range_A</c:f>
              <c:numCache>
                <c:formatCode>0.000</c:formatCode>
                <c:ptCount val="5"/>
                <c:pt idx="0">
                  <c:v>4.23048</c:v>
                </c:pt>
                <c:pt idx="1">
                  <c:v>6.47424</c:v>
                </c:pt>
                <c:pt idx="2">
                  <c:v>10.70928</c:v>
                </c:pt>
                <c:pt idx="3">
                  <c:v>14.26488</c:v>
                </c:pt>
                <c:pt idx="4">
                  <c:v>22.33416</c:v>
                </c:pt>
              </c:numCache>
            </c:numRef>
          </c:xVal>
          <c:yVal>
            <c:numRef>
              <c:f>[0]Graphs!graph_a_y_range_A</c:f>
              <c:numCache>
                <c:formatCode>0.00</c:formatCode>
                <c:ptCount val="5"/>
                <c:pt idx="0">
                  <c:v>74.5244269</c:v>
                </c:pt>
                <c:pt idx="1">
                  <c:v>75.6875305</c:v>
                </c:pt>
                <c:pt idx="2">
                  <c:v>77.2881027</c:v>
                </c:pt>
                <c:pt idx="3">
                  <c:v>78.6877531</c:v>
                </c:pt>
                <c:pt idx="4">
                  <c:v>80.4058053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[0]Graphs!graph_a_B_title</c:f>
              <c:strCache>
                <c:ptCount val="1"/>
                <c:pt idx="0">
                  <c:v>F300_08b6_ctc_Apple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strRef>
              <c:f>[0]Graphs!graph_a_x_range_B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[0]Graphs!graph_a_y_range_B</c:f>
              <c:numCache>
                <c:formatCode>0.00</c:formatCode>
                <c:ptCount val="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87632"/>
        <c:axId val="1453581648"/>
      </c:scatterChart>
      <c:valAx>
        <c:axId val="145358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layout/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453581648"/>
        <c:crosses val="autoZero"/>
        <c:crossBetween val="midCat"/>
      </c:valAx>
      <c:valAx>
        <c:axId val="145358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453587632"/>
        <c:crosses val="autoZero"/>
        <c:crossBetween val="midCat"/>
      </c:valAx>
    </c:plotArea>
    <c:legend>
      <c:legendPos val="b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D2 Pointcloud-based PSNR [dB] (Graph b)</a:t>
            </a:r>
          </a:p>
        </c:rich>
      </c:tx>
      <c:layout/>
      <c:overlay val="0"/>
    </c:title>
    <c:autoTitleDeleted val="0"/>
    <c:plotArea>
      <c:layout/>
      <c:scatterChart>
        <c:scatterStyle val="line"/>
        <c:varyColors val="0"/>
        <c:ser>
          <c:idx val="0"/>
          <c:order val="0"/>
          <c:tx>
            <c:strRef>
              <c:f>[0]Graphs!graph_b_A_title</c:f>
              <c:strCache>
                <c:ptCount val="1"/>
                <c:pt idx="0">
                  <c:v>F300_08b6_ctc_XDU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[0]Graphs!graph_b_x_range_A</c:f>
              <c:numCache>
                <c:formatCode>0.000</c:formatCode>
                <c:ptCount val="5"/>
                <c:pt idx="0">
                  <c:v>4.23048</c:v>
                </c:pt>
                <c:pt idx="1">
                  <c:v>6.47424</c:v>
                </c:pt>
                <c:pt idx="2">
                  <c:v>10.70928</c:v>
                </c:pt>
                <c:pt idx="3">
                  <c:v>14.26488</c:v>
                </c:pt>
                <c:pt idx="4">
                  <c:v>22.33416</c:v>
                </c:pt>
              </c:numCache>
            </c:numRef>
          </c:xVal>
          <c:yVal>
            <c:numRef>
              <c:f>[0]Graphs!graph_b_y_range_A</c:f>
              <c:numCache>
                <c:formatCode>0.00</c:formatCode>
                <c:ptCount val="5"/>
                <c:pt idx="0">
                  <c:v>76.5139341</c:v>
                </c:pt>
                <c:pt idx="1">
                  <c:v>77.9866738</c:v>
                </c:pt>
                <c:pt idx="2">
                  <c:v>79.9297901</c:v>
                </c:pt>
                <c:pt idx="3">
                  <c:v>81.8125401</c:v>
                </c:pt>
                <c:pt idx="4">
                  <c:v>84.4587353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[0]Graphs!graph_b_B_title</c:f>
              <c:strCache>
                <c:ptCount val="1"/>
                <c:pt idx="0">
                  <c:v>F300_08b6_ctc_Apple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strRef>
              <c:f>[0]Graphs!graph_b_x_range_B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[0]Graphs!graph_b_y_range_B</c:f>
              <c:numCache>
                <c:formatCode>0.00</c:formatCode>
                <c:ptCount val="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0352"/>
        <c:axId val="1453583280"/>
      </c:scatterChart>
      <c:valAx>
        <c:axId val="1453590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layout/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453583280"/>
        <c:crosses val="autoZero"/>
        <c:crossBetween val="midCat"/>
      </c:valAx>
      <c:valAx>
        <c:axId val="145358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453590352"/>
        <c:crosses val="autoZero"/>
        <c:crossBetween val="midCat"/>
      </c:valAx>
    </c:plotArea>
    <c:legend>
      <c:legendPos val="b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Geom Image-based PSNR [dB] (Graph c)</a:t>
            </a:r>
          </a:p>
        </c:rich>
      </c:tx>
      <c:layout/>
      <c:overlay val="0"/>
    </c:title>
    <c:autoTitleDeleted val="0"/>
    <c:plotArea>
      <c:layout/>
      <c:scatterChart>
        <c:scatterStyle val="line"/>
        <c:varyColors val="0"/>
        <c:ser>
          <c:idx val="0"/>
          <c:order val="0"/>
          <c:tx>
            <c:strRef>
              <c:f>[0]Graphs!graph_c_A_title</c:f>
              <c:strCache>
                <c:ptCount val="1"/>
                <c:pt idx="0">
                  <c:v>F300_08b6_ctc_XDU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[0]Graphs!graph_c_x_range_A</c:f>
              <c:numCache>
                <c:formatCode>0.000</c:formatCode>
                <c:ptCount val="5"/>
                <c:pt idx="0">
                  <c:v>4.23048</c:v>
                </c:pt>
                <c:pt idx="1">
                  <c:v>6.47424</c:v>
                </c:pt>
                <c:pt idx="2">
                  <c:v>10.70928</c:v>
                </c:pt>
                <c:pt idx="3">
                  <c:v>14.26488</c:v>
                </c:pt>
                <c:pt idx="4">
                  <c:v>22.33416</c:v>
                </c:pt>
              </c:numCache>
            </c:numRef>
          </c:xVal>
          <c:yVal>
            <c:numRef>
              <c:f>[0]Graphs!graph_c_y_range_A</c:f>
              <c:numCache>
                <c:formatCode>0.00</c:formatCode>
                <c:ptCount val="5"/>
                <c:pt idx="0">
                  <c:v>54.1221851</c:v>
                </c:pt>
                <c:pt idx="1">
                  <c:v>54.8310615</c:v>
                </c:pt>
                <c:pt idx="2">
                  <c:v>55.7650285</c:v>
                </c:pt>
                <c:pt idx="3">
                  <c:v>56.752283</c:v>
                </c:pt>
                <c:pt idx="4">
                  <c:v>57.884126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[0]Graphs!graph_c_B_title</c:f>
              <c:strCache>
                <c:ptCount val="1"/>
                <c:pt idx="0">
                  <c:v>F300_08b6_ctc_Apple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strRef>
              <c:f>[0]Graphs!graph_c_x_range_B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[0]Graphs!graph_c_y_range_B</c:f>
              <c:numCache>
                <c:formatCode>0.00</c:formatCode>
                <c:ptCount val="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84368"/>
        <c:axId val="1453575120"/>
      </c:scatterChart>
      <c:valAx>
        <c:axId val="145358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layout/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453575120"/>
        <c:crosses val="autoZero"/>
        <c:crossBetween val="midCat"/>
      </c:valAx>
      <c:valAx>
        <c:axId val="145357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453584368"/>
        <c:crosses val="autoZero"/>
        <c:crossBetween val="midCat"/>
      </c:valAx>
    </c:plotArea>
    <c:legend>
      <c:legendPos val="b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Luma Pointcloud-based PSNR [dB] (Graph d)</a:t>
            </a:r>
          </a:p>
        </c:rich>
      </c:tx>
      <c:layout/>
      <c:overlay val="0"/>
    </c:title>
    <c:autoTitleDeleted val="0"/>
    <c:plotArea>
      <c:layout/>
      <c:scatterChart>
        <c:scatterStyle val="line"/>
        <c:varyColors val="0"/>
        <c:ser>
          <c:idx val="0"/>
          <c:order val="0"/>
          <c:tx>
            <c:strRef>
              <c:f>[0]Graphs!graph_d_A_title</c:f>
              <c:strCache>
                <c:ptCount val="1"/>
                <c:pt idx="0">
                  <c:v>F300_08b6_ctc_XDU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[0]Graphs!graph_d_x_range_A</c:f>
              <c:numCache>
                <c:formatCode>0.000</c:formatCode>
                <c:ptCount val="5"/>
                <c:pt idx="0">
                  <c:v>4.23048</c:v>
                </c:pt>
                <c:pt idx="1">
                  <c:v>6.47424</c:v>
                </c:pt>
                <c:pt idx="2">
                  <c:v>10.70928</c:v>
                </c:pt>
                <c:pt idx="3">
                  <c:v>14.26488</c:v>
                </c:pt>
                <c:pt idx="4">
                  <c:v>22.33416</c:v>
                </c:pt>
              </c:numCache>
            </c:numRef>
          </c:xVal>
          <c:yVal>
            <c:numRef>
              <c:f>[0]Graphs!graph_d_y_range_A</c:f>
              <c:numCache>
                <c:formatCode>0.00</c:formatCode>
                <c:ptCount val="5"/>
                <c:pt idx="0">
                  <c:v>30.2380966</c:v>
                </c:pt>
                <c:pt idx="1">
                  <c:v>31.1577939</c:v>
                </c:pt>
                <c:pt idx="2">
                  <c:v>31.7514739</c:v>
                </c:pt>
                <c:pt idx="3">
                  <c:v>32.3061052</c:v>
                </c:pt>
                <c:pt idx="4">
                  <c:v>33.1278634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[0]Graphs!graph_d_B_title</c:f>
              <c:strCache>
                <c:ptCount val="1"/>
                <c:pt idx="0">
                  <c:v>F300_08b6_ctc_Apple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strRef>
              <c:f>[0]Graphs!graph_d_x_range_B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[0]Graphs!graph_d_y_range_B</c:f>
              <c:numCache>
                <c:formatCode>0.00</c:formatCode>
                <c:ptCount val="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2645344"/>
        <c:axId val="1272641536"/>
      </c:scatterChart>
      <c:valAx>
        <c:axId val="127264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layout/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272641536"/>
        <c:crosses val="autoZero"/>
        <c:crossBetween val="midCat"/>
      </c:valAx>
      <c:valAx>
        <c:axId val="127264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272645344"/>
        <c:crosses val="autoZero"/>
        <c:crossBetween val="midCat"/>
      </c:valAx>
    </c:plotArea>
    <c:legend>
      <c:legendPos val="b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Chroma Cb Pointcloud-based PSNR [dB] (Graph e)</a:t>
            </a:r>
          </a:p>
        </c:rich>
      </c:tx>
      <c:layout/>
      <c:overlay val="0"/>
    </c:title>
    <c:autoTitleDeleted val="0"/>
    <c:plotArea>
      <c:layout/>
      <c:scatterChart>
        <c:scatterStyle val="line"/>
        <c:varyColors val="0"/>
        <c:ser>
          <c:idx val="0"/>
          <c:order val="0"/>
          <c:tx>
            <c:strRef>
              <c:f>[0]Graphs!graph_e_A_title</c:f>
              <c:strCache>
                <c:ptCount val="1"/>
                <c:pt idx="0">
                  <c:v>F300_08b6_ctc_XDU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[0]Graphs!graph_e_x_range_A</c:f>
              <c:numCache>
                <c:formatCode>0.000</c:formatCode>
                <c:ptCount val="5"/>
                <c:pt idx="0">
                  <c:v>4.23048</c:v>
                </c:pt>
                <c:pt idx="1">
                  <c:v>6.47424</c:v>
                </c:pt>
                <c:pt idx="2">
                  <c:v>10.70928</c:v>
                </c:pt>
                <c:pt idx="3">
                  <c:v>14.26488</c:v>
                </c:pt>
                <c:pt idx="4">
                  <c:v>22.33416</c:v>
                </c:pt>
              </c:numCache>
            </c:numRef>
          </c:xVal>
          <c:yVal>
            <c:numRef>
              <c:f>[0]Graphs!graph_e_y_range_A</c:f>
              <c:numCache>
                <c:formatCode>0.00</c:formatCode>
                <c:ptCount val="5"/>
                <c:pt idx="0">
                  <c:v>41.188856</c:v>
                </c:pt>
                <c:pt idx="1">
                  <c:v>42.2831626</c:v>
                </c:pt>
                <c:pt idx="2">
                  <c:v>44.3194516</c:v>
                </c:pt>
                <c:pt idx="3">
                  <c:v>44.6266172</c:v>
                </c:pt>
                <c:pt idx="4">
                  <c:v>45.2935165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[0]Graphs!graph_e_B_title</c:f>
              <c:strCache>
                <c:ptCount val="1"/>
                <c:pt idx="0">
                  <c:v>F300_08b6_ctc_Apple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strRef>
              <c:f>[0]Graphs!graph_e_x_range_B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[0]Graphs!graph_e_y_range_B</c:f>
              <c:numCache>
                <c:formatCode>0.00</c:formatCode>
                <c:ptCount val="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1585984"/>
        <c:axId val="1461581088"/>
      </c:scatterChart>
      <c:valAx>
        <c:axId val="1461585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layout/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461581088"/>
        <c:crosses val="autoZero"/>
        <c:crossBetween val="midCat"/>
      </c:valAx>
      <c:valAx>
        <c:axId val="146158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461585984"/>
        <c:crosses val="autoZero"/>
        <c:crossBetween val="midCat"/>
      </c:valAx>
    </c:plotArea>
    <c:legend>
      <c:legendPos val="b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Chroma Cr Pointcloud-based PSNR [dB] (Graph f)</a:t>
            </a:r>
          </a:p>
        </c:rich>
      </c:tx>
      <c:layout/>
      <c:overlay val="0"/>
    </c:title>
    <c:autoTitleDeleted val="0"/>
    <c:plotArea>
      <c:layout/>
      <c:scatterChart>
        <c:scatterStyle val="line"/>
        <c:varyColors val="0"/>
        <c:ser>
          <c:idx val="0"/>
          <c:order val="0"/>
          <c:tx>
            <c:strRef>
              <c:f>[0]Graphs!graph_f_A_title</c:f>
              <c:strCache>
                <c:ptCount val="1"/>
                <c:pt idx="0">
                  <c:v>F300_08b6_ctc_XDU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[0]Graphs!graph_f_x_range_A</c:f>
              <c:numCache>
                <c:formatCode>0.000</c:formatCode>
                <c:ptCount val="5"/>
                <c:pt idx="0">
                  <c:v>4.23048</c:v>
                </c:pt>
                <c:pt idx="1">
                  <c:v>6.47424</c:v>
                </c:pt>
                <c:pt idx="2">
                  <c:v>10.70928</c:v>
                </c:pt>
                <c:pt idx="3">
                  <c:v>14.26488</c:v>
                </c:pt>
                <c:pt idx="4">
                  <c:v>22.33416</c:v>
                </c:pt>
              </c:numCache>
            </c:numRef>
          </c:xVal>
          <c:yVal>
            <c:numRef>
              <c:f>[0]Graphs!graph_f_y_range_A</c:f>
              <c:numCache>
                <c:formatCode>0.00</c:formatCode>
                <c:ptCount val="5"/>
                <c:pt idx="0">
                  <c:v>39.5955567</c:v>
                </c:pt>
                <c:pt idx="1">
                  <c:v>40.5917211</c:v>
                </c:pt>
                <c:pt idx="2">
                  <c:v>43.1361816</c:v>
                </c:pt>
                <c:pt idx="3">
                  <c:v>43.6057405</c:v>
                </c:pt>
                <c:pt idx="4">
                  <c:v>44.3818292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[0]Graphs!graph_f_B_title</c:f>
              <c:strCache>
                <c:ptCount val="1"/>
                <c:pt idx="0">
                  <c:v>F300_08b6_ctc_Apple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strRef>
              <c:f>[0]Graphs!graph_f_x_range_B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[0]Graphs!graph_f_y_range_B</c:f>
              <c:numCache>
                <c:formatCode>0.00</c:formatCode>
                <c:ptCount val="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1590880"/>
        <c:axId val="1461577280"/>
      </c:scatterChart>
      <c:valAx>
        <c:axId val="1461590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layout/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461577280"/>
        <c:crosses val="autoZero"/>
        <c:crossBetween val="midCat"/>
      </c:valAx>
      <c:valAx>
        <c:axId val="146157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461590880"/>
        <c:crosses val="autoZero"/>
        <c:crossBetween val="midCat"/>
      </c:valAx>
    </c:plotArea>
    <c:legend>
      <c:legendPos val="b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Luma Image-based PSNR [dB] (Graph g)</a:t>
            </a:r>
          </a:p>
        </c:rich>
      </c:tx>
      <c:layout/>
      <c:overlay val="0"/>
    </c:title>
    <c:autoTitleDeleted val="0"/>
    <c:plotArea>
      <c:layout/>
      <c:scatterChart>
        <c:scatterStyle val="line"/>
        <c:varyColors val="0"/>
        <c:ser>
          <c:idx val="0"/>
          <c:order val="0"/>
          <c:tx>
            <c:strRef>
              <c:f>[0]Graphs!graph_g_A_title</c:f>
              <c:strCache>
                <c:ptCount val="1"/>
                <c:pt idx="0">
                  <c:v>F300_08b6_ctc_XDU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[0]Graphs!graph_g_x_range_A</c:f>
              <c:numCache>
                <c:formatCode>0.000</c:formatCode>
                <c:ptCount val="5"/>
                <c:pt idx="0">
                  <c:v>4.23048</c:v>
                </c:pt>
                <c:pt idx="1">
                  <c:v>6.47424</c:v>
                </c:pt>
                <c:pt idx="2">
                  <c:v>10.70928</c:v>
                </c:pt>
                <c:pt idx="3">
                  <c:v>14.26488</c:v>
                </c:pt>
                <c:pt idx="4">
                  <c:v>22.33416</c:v>
                </c:pt>
              </c:numCache>
            </c:numRef>
          </c:xVal>
          <c:yVal>
            <c:numRef>
              <c:f>[0]Graphs!graph_g_y_range_A</c:f>
              <c:numCache>
                <c:formatCode>0.00</c:formatCode>
                <c:ptCount val="5"/>
                <c:pt idx="0">
                  <c:v>29.4319784</c:v>
                </c:pt>
                <c:pt idx="1">
                  <c:v>29.977538</c:v>
                </c:pt>
                <c:pt idx="2">
                  <c:v>31.127217</c:v>
                </c:pt>
                <c:pt idx="3">
                  <c:v>31.7123879</c:v>
                </c:pt>
                <c:pt idx="4">
                  <c:v>32.596453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[0]Graphs!graph_g_B_title</c:f>
              <c:strCache>
                <c:ptCount val="1"/>
                <c:pt idx="0">
                  <c:v>F300_08b6_ctc_Apple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strRef>
              <c:f>[0]Graphs!graph_g_x_range_B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[0]Graphs!graph_g_y_range_B</c:f>
              <c:numCache>
                <c:formatCode>0.00</c:formatCode>
                <c:ptCount val="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1580544"/>
        <c:axId val="1461584896"/>
      </c:scatterChart>
      <c:valAx>
        <c:axId val="146158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layout/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461584896"/>
        <c:crosses val="autoZero"/>
        <c:crossBetween val="midCat"/>
      </c:valAx>
      <c:valAx>
        <c:axId val="146158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461580544"/>
        <c:crosses val="autoZero"/>
        <c:crossBetween val="midCat"/>
      </c:valAx>
    </c:plotArea>
    <c:legend>
      <c:legendPos val="b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7" Type="http://schemas.openxmlformats.org/officeDocument/2006/relationships/chart" Target="../charts/chart7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276225</xdr:colOff>
      <xdr:row>32</xdr:row>
      <xdr:rowOff>114300</xdr:rowOff>
    </xdr:to>
    <xdr:graphicFrame>
      <xdr:nvGraphicFramePr>
        <xdr:cNvPr id="2" name="Chart 1"/>
        <xdr:cNvGraphicFramePr/>
      </xdr:nvGraphicFramePr>
      <xdr:xfrm>
        <a:off x="0" y="1885950"/>
        <a:ext cx="7335520" cy="37147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7</xdr:col>
      <xdr:colOff>276225</xdr:colOff>
      <xdr:row>54</xdr:row>
      <xdr:rowOff>114300</xdr:rowOff>
    </xdr:to>
    <xdr:graphicFrame>
      <xdr:nvGraphicFramePr>
        <xdr:cNvPr id="3" name="Chart 2"/>
        <xdr:cNvGraphicFramePr/>
      </xdr:nvGraphicFramePr>
      <xdr:xfrm>
        <a:off x="0" y="5657850"/>
        <a:ext cx="7335520" cy="37147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7</xdr:col>
      <xdr:colOff>276225</xdr:colOff>
      <xdr:row>76</xdr:row>
      <xdr:rowOff>114300</xdr:rowOff>
    </xdr:to>
    <xdr:graphicFrame>
      <xdr:nvGraphicFramePr>
        <xdr:cNvPr id="4" name="Chart 3"/>
        <xdr:cNvGraphicFramePr/>
      </xdr:nvGraphicFramePr>
      <xdr:xfrm>
        <a:off x="0" y="9429750"/>
        <a:ext cx="7335520" cy="37147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18</xdr:col>
      <xdr:colOff>257175</xdr:colOff>
      <xdr:row>32</xdr:row>
      <xdr:rowOff>114300</xdr:rowOff>
    </xdr:to>
    <xdr:graphicFrame>
      <xdr:nvGraphicFramePr>
        <xdr:cNvPr id="5" name="Chart 4"/>
        <xdr:cNvGraphicFramePr/>
      </xdr:nvGraphicFramePr>
      <xdr:xfrm>
        <a:off x="7713980" y="1885950"/>
        <a:ext cx="7342505" cy="37147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33</xdr:row>
      <xdr:rowOff>0</xdr:rowOff>
    </xdr:from>
    <xdr:to>
      <xdr:col>18</xdr:col>
      <xdr:colOff>257175</xdr:colOff>
      <xdr:row>54</xdr:row>
      <xdr:rowOff>114300</xdr:rowOff>
    </xdr:to>
    <xdr:graphicFrame>
      <xdr:nvGraphicFramePr>
        <xdr:cNvPr id="6" name="Chart 5"/>
        <xdr:cNvGraphicFramePr/>
      </xdr:nvGraphicFramePr>
      <xdr:xfrm>
        <a:off x="7713980" y="5657850"/>
        <a:ext cx="7342505" cy="37147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55</xdr:row>
      <xdr:rowOff>0</xdr:rowOff>
    </xdr:from>
    <xdr:to>
      <xdr:col>18</xdr:col>
      <xdr:colOff>257175</xdr:colOff>
      <xdr:row>76</xdr:row>
      <xdr:rowOff>114300</xdr:rowOff>
    </xdr:to>
    <xdr:graphicFrame>
      <xdr:nvGraphicFramePr>
        <xdr:cNvPr id="7" name="Chart 6"/>
        <xdr:cNvGraphicFramePr/>
      </xdr:nvGraphicFramePr>
      <xdr:xfrm>
        <a:off x="7713980" y="9429750"/>
        <a:ext cx="7342505" cy="37147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30</xdr:col>
      <xdr:colOff>152400</xdr:colOff>
      <xdr:row>32</xdr:row>
      <xdr:rowOff>114300</xdr:rowOff>
    </xdr:to>
    <xdr:graphicFrame>
      <xdr:nvGraphicFramePr>
        <xdr:cNvPr id="8" name="Chart 7"/>
        <xdr:cNvGraphicFramePr/>
      </xdr:nvGraphicFramePr>
      <xdr:xfrm>
        <a:off x="15453995" y="1885950"/>
        <a:ext cx="7353935" cy="37147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I39"/>
  <sheetViews>
    <sheetView zoomScale="90" zoomScaleNormal="90" workbookViewId="0">
      <selection activeCell="C2" sqref="C2:E2"/>
    </sheetView>
  </sheetViews>
  <sheetFormatPr defaultColWidth="9.12389380530973" defaultRowHeight="13.5"/>
  <cols>
    <col min="2" max="2" width="16.6283185840708" customWidth="1"/>
    <col min="3" max="9" width="24.6283185840708" customWidth="1"/>
  </cols>
  <sheetData>
    <row r="1" spans="2:5">
      <c r="B1" t="s">
        <v>0</v>
      </c>
      <c r="C1" s="69" t="s">
        <v>1</v>
      </c>
      <c r="D1" s="69"/>
      <c r="E1" s="69"/>
    </row>
    <row r="2" spans="2:5">
      <c r="B2" t="s">
        <v>2</v>
      </c>
      <c r="C2" s="97"/>
      <c r="D2" s="97"/>
      <c r="E2" s="97"/>
    </row>
    <row r="4" s="129" customFormat="1" spans="2:2">
      <c r="B4" s="129" t="s">
        <v>3</v>
      </c>
    </row>
    <row r="5" ht="14.25"/>
    <row r="6" ht="45" customHeight="1" spans="2:3">
      <c r="B6" s="130" t="s">
        <v>4</v>
      </c>
      <c r="C6" s="131" t="s">
        <v>5</v>
      </c>
    </row>
    <row r="7" spans="3:3">
      <c r="C7" s="132" t="s">
        <v>6</v>
      </c>
    </row>
    <row r="8" ht="14.25" spans="2:3">
      <c r="B8" s="37"/>
      <c r="C8" s="133" t="s">
        <v>7</v>
      </c>
    </row>
    <row r="9" spans="2:3">
      <c r="B9" t="s">
        <v>8</v>
      </c>
      <c r="C9" s="111" t="e">
        <f>'C0 lossless AI'!V14</f>
        <v>#DIV/0!</v>
      </c>
    </row>
    <row r="10" spans="2:3">
      <c r="B10" t="s">
        <v>9</v>
      </c>
      <c r="C10" s="111" t="e">
        <f>'C0 lossless AI'!V15</f>
        <v>#DIV/0!</v>
      </c>
    </row>
    <row r="11" spans="2:3">
      <c r="B11" t="s">
        <v>10</v>
      </c>
      <c r="C11" s="111" t="e">
        <f>'C0 lossless AI'!V16</f>
        <v>#DIV/0!</v>
      </c>
    </row>
    <row r="12" spans="2:3">
      <c r="B12" t="s">
        <v>11</v>
      </c>
      <c r="C12" s="111" t="e">
        <f>'C0 lossless AI'!V18</f>
        <v>#DIV/0!</v>
      </c>
    </row>
    <row r="13" spans="2:3">
      <c r="B13" s="134" t="s">
        <v>12</v>
      </c>
      <c r="C13" s="135" t="e">
        <f>'C0 lossless AI'!V18</f>
        <v>#DIV/0!</v>
      </c>
    </row>
    <row r="14" spans="2:3">
      <c r="B14" t="s">
        <v>13</v>
      </c>
      <c r="C14" s="112" t="e">
        <f>'C0 lossless AI'!S20</f>
        <v>#DIV/0!</v>
      </c>
    </row>
    <row r="15" ht="14.25" spans="2:3">
      <c r="B15" s="37" t="s">
        <v>14</v>
      </c>
      <c r="C15" s="136" t="e">
        <f>'C0 lossless AI'!T20</f>
        <v>#DIV/0!</v>
      </c>
    </row>
    <row r="16" ht="14.25"/>
    <row r="17" ht="14.25" spans="2:9">
      <c r="B17" s="130" t="s">
        <v>15</v>
      </c>
      <c r="C17" s="131" t="s">
        <v>16</v>
      </c>
      <c r="D17" s="6"/>
      <c r="E17" s="6"/>
      <c r="F17" s="6"/>
      <c r="G17" s="6"/>
      <c r="H17" s="6"/>
      <c r="I17" s="6"/>
    </row>
    <row r="18" spans="3:8">
      <c r="C18" s="132" t="s">
        <v>17</v>
      </c>
      <c r="H18" s="137" t="s">
        <v>18</v>
      </c>
    </row>
    <row r="19" ht="14.25" spans="2:9">
      <c r="B19" s="37"/>
      <c r="C19" s="133" t="s">
        <v>19</v>
      </c>
      <c r="D19" s="133" t="s">
        <v>20</v>
      </c>
      <c r="E19" s="133" t="s">
        <v>21</v>
      </c>
      <c r="F19" s="133" t="s">
        <v>22</v>
      </c>
      <c r="G19" s="133" t="s">
        <v>23</v>
      </c>
      <c r="H19" s="138" t="s">
        <v>24</v>
      </c>
      <c r="I19" s="138" t="s">
        <v>21</v>
      </c>
    </row>
    <row r="20" spans="2:9">
      <c r="B20" t="s">
        <v>8</v>
      </c>
      <c r="C20" s="111" t="e">
        <f>'C1 lossy AI'!$AZ$50:$AZ$50</f>
        <v>#DIV/0!</v>
      </c>
      <c r="D20" s="111" t="e">
        <f>'C1 lossy AI'!$BA$50:$BA$50</f>
        <v>#DIV/0!</v>
      </c>
      <c r="E20" s="111" t="e">
        <f>'C1 lossy AI'!$BB$50:$BB$50</f>
        <v>#DIV/0!</v>
      </c>
      <c r="F20" s="111" t="e">
        <f>'C1 lossy AI'!$BC$50:$BC$50</f>
        <v>#DIV/0!</v>
      </c>
      <c r="G20" s="111" t="e">
        <f>'C1 lossy AI'!$BD$50:$BD$50</f>
        <v>#DIV/0!</v>
      </c>
      <c r="H20" s="111" t="e">
        <f>'C1 lossy AI'!$BE$50:$BE$50</f>
        <v>#DIV/0!</v>
      </c>
      <c r="I20" s="111" t="e">
        <f>'C1 lossy AI'!$BF$50:$BF$50</f>
        <v>#DIV/0!</v>
      </c>
    </row>
    <row r="21" spans="2:9">
      <c r="B21" t="s">
        <v>9</v>
      </c>
      <c r="C21" s="111" t="e">
        <f>'C1 lossy AI'!$AZ$51:$AZ$51</f>
        <v>#DIV/0!</v>
      </c>
      <c r="D21" s="111" t="e">
        <f>'C1 lossy AI'!$BA$51:$BA$51</f>
        <v>#DIV/0!</v>
      </c>
      <c r="E21" s="111" t="e">
        <f>'C1 lossy AI'!$BB$51:$BB$51</f>
        <v>#DIV/0!</v>
      </c>
      <c r="F21" s="111" t="e">
        <f>'C1 lossy AI'!$BC$51:$BC$51</f>
        <v>#DIV/0!</v>
      </c>
      <c r="G21" s="111" t="e">
        <f>'C1 lossy AI'!$BD$51:$BD$51</f>
        <v>#DIV/0!</v>
      </c>
      <c r="H21" s="111" t="e">
        <f>'C1 lossy AI'!$BE$51:$BE$51</f>
        <v>#DIV/0!</v>
      </c>
      <c r="I21" s="111" t="e">
        <f>'C1 lossy AI'!$BF$51:$BF$51</f>
        <v>#DIV/0!</v>
      </c>
    </row>
    <row r="22" spans="2:9">
      <c r="B22" t="s">
        <v>10</v>
      </c>
      <c r="C22" s="111" t="e">
        <f>'C1 lossy AI'!$AZ$52:$AZ$52</f>
        <v>#DIV/0!</v>
      </c>
      <c r="D22" s="111" t="e">
        <f>'C1 lossy AI'!$BA$52:$BA$52</f>
        <v>#DIV/0!</v>
      </c>
      <c r="E22" s="111" t="e">
        <f>'C1 lossy AI'!$BB$52:$BB$52</f>
        <v>#DIV/0!</v>
      </c>
      <c r="F22" s="111" t="e">
        <f>'C1 lossy AI'!$BC$52:$BC$52</f>
        <v>#DIV/0!</v>
      </c>
      <c r="G22" s="111" t="e">
        <f>'C1 lossy AI'!$BD$52:$BD$52</f>
        <v>#DIV/0!</v>
      </c>
      <c r="H22" s="111" t="e">
        <f>'C1 lossy AI'!$BE$52:$BE$52</f>
        <v>#DIV/0!</v>
      </c>
      <c r="I22" s="111" t="e">
        <f>'C1 lossy AI'!$BF$52:$BF$52</f>
        <v>#DIV/0!</v>
      </c>
    </row>
    <row r="23" spans="2:9">
      <c r="B23" t="s">
        <v>11</v>
      </c>
      <c r="C23" s="111" t="e">
        <f>'C1 lossy AI'!$AZ$53:$AZ$53</f>
        <v>#DIV/0!</v>
      </c>
      <c r="D23" s="111" t="e">
        <f>'C1 lossy AI'!$BA$53:$BA$53</f>
        <v>#DIV/0!</v>
      </c>
      <c r="E23" s="111" t="e">
        <f>'C1 lossy AI'!$BB$53:$BB$53</f>
        <v>#DIV/0!</v>
      </c>
      <c r="F23" s="111" t="e">
        <f>'C1 lossy AI'!$BC$53:$BC$53</f>
        <v>#DIV/0!</v>
      </c>
      <c r="G23" s="111" t="e">
        <f>'C1 lossy AI'!$BD$53:$BD$53</f>
        <v>#DIV/0!</v>
      </c>
      <c r="H23" s="111" t="e">
        <f>'C1 lossy AI'!$BE$53:$BE$53</f>
        <v>#DIV/0!</v>
      </c>
      <c r="I23" s="111" t="e">
        <f>'C1 lossy AI'!$BF$53:$BF$53</f>
        <v>#DIV/0!</v>
      </c>
    </row>
    <row r="24" spans="2:9">
      <c r="B24" s="134" t="s">
        <v>12</v>
      </c>
      <c r="C24" s="135" t="e">
        <f>'C1 lossy AI'!$AZ$54:$AZ$54</f>
        <v>#DIV/0!</v>
      </c>
      <c r="D24" s="135" t="e">
        <f>'C1 lossy AI'!$BA$54:$BA$54</f>
        <v>#DIV/0!</v>
      </c>
      <c r="E24" s="135" t="e">
        <f>'C1 lossy AI'!$BB$54:$BB$54</f>
        <v>#DIV/0!</v>
      </c>
      <c r="F24" s="135" t="e">
        <f>'C1 lossy AI'!$BC$54:$BC$54</f>
        <v>#DIV/0!</v>
      </c>
      <c r="G24" s="135" t="e">
        <f>'C1 lossy AI'!$BD$54:$BD$54</f>
        <v>#DIV/0!</v>
      </c>
      <c r="H24" s="135" t="e">
        <f>'C1 lossy AI'!$BE$54:$BE$54</f>
        <v>#DIV/0!</v>
      </c>
      <c r="I24" s="135" t="e">
        <f>'C1 lossy AI'!$BF$54:$BF$54</f>
        <v>#DIV/0!</v>
      </c>
    </row>
    <row r="25" spans="2:3">
      <c r="B25" t="s">
        <v>13</v>
      </c>
      <c r="C25" s="112">
        <f>'C1 lossy AI'!AW56</f>
        <v>0</v>
      </c>
    </row>
    <row r="26" ht="14.25" spans="2:9">
      <c r="B26" s="37" t="s">
        <v>14</v>
      </c>
      <c r="C26" s="136">
        <f>'C1 lossy AI'!AX56</f>
        <v>0</v>
      </c>
      <c r="D26" s="37"/>
      <c r="E26" s="37"/>
      <c r="F26" s="37"/>
      <c r="G26" s="37"/>
      <c r="H26" s="37"/>
      <c r="I26" s="37"/>
    </row>
    <row r="28" s="129" customFormat="1" spans="2:2">
      <c r="B28" s="129" t="s">
        <v>25</v>
      </c>
    </row>
    <row r="29" ht="14.25"/>
    <row r="30" ht="14.25" spans="2:9">
      <c r="B30" s="130" t="s">
        <v>26</v>
      </c>
      <c r="C30" s="131" t="s">
        <v>27</v>
      </c>
      <c r="D30" s="6"/>
      <c r="E30" s="6"/>
      <c r="F30" s="6"/>
      <c r="G30" s="6"/>
      <c r="H30" s="6"/>
      <c r="I30" s="6"/>
    </row>
    <row r="31" spans="3:8">
      <c r="C31" s="132" t="s">
        <v>17</v>
      </c>
      <c r="H31" s="137" t="s">
        <v>18</v>
      </c>
    </row>
    <row r="32" ht="14.25" spans="2:9">
      <c r="B32" s="37"/>
      <c r="C32" s="133" t="s">
        <v>19</v>
      </c>
      <c r="D32" s="133" t="s">
        <v>20</v>
      </c>
      <c r="E32" s="133" t="s">
        <v>21</v>
      </c>
      <c r="F32" s="133" t="s">
        <v>22</v>
      </c>
      <c r="G32" s="133" t="s">
        <v>23</v>
      </c>
      <c r="H32" s="138" t="s">
        <v>24</v>
      </c>
      <c r="I32" s="138" t="s">
        <v>21</v>
      </c>
    </row>
    <row r="33" spans="2:9">
      <c r="B33" t="s">
        <v>8</v>
      </c>
      <c r="C33" s="111" t="e">
        <f>'C2 lossy RA'!$AZ$45:$AZ$45</f>
        <v>#DIV/0!</v>
      </c>
      <c r="D33" s="111" t="e">
        <f>'C2 lossy RA'!$BA$45:$BA$45</f>
        <v>#DIV/0!</v>
      </c>
      <c r="E33" s="111" t="e">
        <f>'C2 lossy RA'!$BB$45:$BB$45</f>
        <v>#DIV/0!</v>
      </c>
      <c r="F33" s="111" t="e">
        <f>'C2 lossy RA'!$BC$45:$BC$45</f>
        <v>#DIV/0!</v>
      </c>
      <c r="G33" s="111" t="e">
        <f>'C2 lossy RA'!$BD$45:$BD$45</f>
        <v>#DIV/0!</v>
      </c>
      <c r="H33" s="111" t="e">
        <f>'C2 lossy RA'!$BE$45:$BE$45</f>
        <v>#DIV/0!</v>
      </c>
      <c r="I33" s="111" t="e">
        <f>'C2 lossy RA'!$BF$45:$BF$45</f>
        <v>#DIV/0!</v>
      </c>
    </row>
    <row r="34" spans="2:9">
      <c r="B34" t="s">
        <v>9</v>
      </c>
      <c r="C34" s="111" t="e">
        <f>'C2 lossy RA'!$AZ$46:$AZ$46</f>
        <v>#DIV/0!</v>
      </c>
      <c r="D34" s="111" t="e">
        <f>'C2 lossy RA'!$BA$46:$BA$46</f>
        <v>#DIV/0!</v>
      </c>
      <c r="E34" s="111" t="e">
        <f>'C2 lossy RA'!$BB$46:$BB$46</f>
        <v>#DIV/0!</v>
      </c>
      <c r="F34" s="111" t="e">
        <f>'C2 lossy RA'!$BC$46:$BC$46</f>
        <v>#DIV/0!</v>
      </c>
      <c r="G34" s="111" t="e">
        <f>'C2 lossy RA'!$BD$46:$BD$46</f>
        <v>#DIV/0!</v>
      </c>
      <c r="H34" s="111" t="e">
        <f>'C2 lossy RA'!$BE$46:$BE$46</f>
        <v>#DIV/0!</v>
      </c>
      <c r="I34" s="111" t="e">
        <f>'C2 lossy RA'!$BF$46:$BF$46</f>
        <v>#DIV/0!</v>
      </c>
    </row>
    <row r="35" spans="2:9">
      <c r="B35" t="s">
        <v>10</v>
      </c>
      <c r="C35" s="111" t="e">
        <f>'C2 lossy RA'!$AZ$47:$AZ$47</f>
        <v>#DIV/0!</v>
      </c>
      <c r="D35" s="111" t="e">
        <f>'C2 lossy RA'!$BA$47:$BA$47</f>
        <v>#DIV/0!</v>
      </c>
      <c r="E35" s="111" t="e">
        <f>'C2 lossy RA'!$BB$47:$BB$47</f>
        <v>#DIV/0!</v>
      </c>
      <c r="F35" s="111" t="e">
        <f>'C2 lossy RA'!$BC$47:$BC$47</f>
        <v>#DIV/0!</v>
      </c>
      <c r="G35" s="111" t="e">
        <f>'C2 lossy RA'!$BD$47:$BD$47</f>
        <v>#DIV/0!</v>
      </c>
      <c r="H35" s="111" t="e">
        <f>'C2 lossy RA'!$BE$47:$BE$47</f>
        <v>#DIV/0!</v>
      </c>
      <c r="I35" s="111" t="e">
        <f>'C2 lossy RA'!$BF$47:$BF$47</f>
        <v>#DIV/0!</v>
      </c>
    </row>
    <row r="36" spans="2:9">
      <c r="B36" t="s">
        <v>11</v>
      </c>
      <c r="C36" s="111" t="e">
        <f>'C2 lossy RA'!#REF!</f>
        <v>#REF!</v>
      </c>
      <c r="D36" s="111" t="e">
        <f>'C2 lossy RA'!#REF!</f>
        <v>#REF!</v>
      </c>
      <c r="E36" s="111" t="e">
        <f>'C2 lossy RA'!#REF!</f>
        <v>#REF!</v>
      </c>
      <c r="F36" s="111" t="e">
        <f>'C2 lossy RA'!#REF!</f>
        <v>#REF!</v>
      </c>
      <c r="G36" s="111" t="e">
        <f>'C2 lossy RA'!#REF!</f>
        <v>#REF!</v>
      </c>
      <c r="H36" s="111" t="e">
        <f>'C2 lossy RA'!#REF!</f>
        <v>#REF!</v>
      </c>
      <c r="I36" s="111" t="e">
        <f>'C2 lossy RA'!#REF!</f>
        <v>#REF!</v>
      </c>
    </row>
    <row r="37" spans="2:9">
      <c r="B37" s="134" t="s">
        <v>12</v>
      </c>
      <c r="C37" s="135" t="e">
        <f>'C2 lossy RA'!$AZ$48:$AZ$48</f>
        <v>#DIV/0!</v>
      </c>
      <c r="D37" s="135" t="e">
        <f>'C2 lossy RA'!$BA$48:$BA$48</f>
        <v>#DIV/0!</v>
      </c>
      <c r="E37" s="135" t="e">
        <f>'C2 lossy RA'!$BB$48:$BB$48</f>
        <v>#DIV/0!</v>
      </c>
      <c r="F37" s="135" t="e">
        <f>'C2 lossy RA'!$BC$48:$BC$48</f>
        <v>#DIV/0!</v>
      </c>
      <c r="G37" s="135" t="e">
        <f>'C2 lossy RA'!$BD$48:$BD$48</f>
        <v>#DIV/0!</v>
      </c>
      <c r="H37" s="135" t="e">
        <f>'C2 lossy RA'!$BE$48:$BE$48</f>
        <v>#DIV/0!</v>
      </c>
      <c r="I37" s="135" t="e">
        <f>'C2 lossy RA'!$BF$48:$BF$48</f>
        <v>#DIV/0!</v>
      </c>
    </row>
    <row r="38" spans="2:3">
      <c r="B38" t="s">
        <v>13</v>
      </c>
      <c r="C38" s="112">
        <f>'C2 lossy RA'!AW50</f>
        <v>0</v>
      </c>
    </row>
    <row r="39" ht="14.25" spans="2:9">
      <c r="B39" s="37" t="s">
        <v>14</v>
      </c>
      <c r="C39" s="136">
        <f>'C2 lossy RA'!AX50</f>
        <v>0</v>
      </c>
      <c r="D39" s="37"/>
      <c r="E39" s="37"/>
      <c r="F39" s="37"/>
      <c r="G39" s="37"/>
      <c r="H39" s="37"/>
      <c r="I39" s="37"/>
    </row>
  </sheetData>
  <mergeCells count="15">
    <mergeCell ref="C1:E1"/>
    <mergeCell ref="C2:E2"/>
    <mergeCell ref="C17:I17"/>
    <mergeCell ref="C18:G18"/>
    <mergeCell ref="H18:I18"/>
    <mergeCell ref="C25:I25"/>
    <mergeCell ref="C26:I26"/>
    <mergeCell ref="C30:I30"/>
    <mergeCell ref="C31:G31"/>
    <mergeCell ref="H31:I31"/>
    <mergeCell ref="C38:I38"/>
    <mergeCell ref="C39:I39"/>
    <mergeCell ref="B6:B8"/>
    <mergeCell ref="B17:B19"/>
    <mergeCell ref="B30:B32"/>
  </mergeCells>
  <conditionalFormatting sqref="C9:C13">
    <cfRule type="cellIs" dxfId="0" priority="1" operator="greaterThanOrEqual">
      <formula>1.03</formula>
    </cfRule>
    <cfRule type="cellIs" dxfId="1" priority="2" operator="lessThanOrEqual">
      <formula>0.97</formula>
    </cfRule>
  </conditionalFormatting>
  <conditionalFormatting sqref="C20:C24">
    <cfRule type="cellIs" dxfId="0" priority="15" operator="greaterThanOrEqual">
      <formula>0.03</formula>
    </cfRule>
    <cfRule type="cellIs" dxfId="1" priority="16" operator="lessThanOrEqual">
      <formula>-0.03</formula>
    </cfRule>
  </conditionalFormatting>
  <conditionalFormatting sqref="C33:C37">
    <cfRule type="cellIs" dxfId="0" priority="17" operator="greaterThanOrEqual">
      <formula>0.03</formula>
    </cfRule>
    <cfRule type="cellIs" dxfId="1" priority="18" operator="lessThanOrEqual">
      <formula>-0.03</formula>
    </cfRule>
  </conditionalFormatting>
  <conditionalFormatting sqref="D20:D24">
    <cfRule type="cellIs" dxfId="0" priority="11" operator="greaterThanOrEqual">
      <formula>0.03</formula>
    </cfRule>
    <cfRule type="cellIs" dxfId="1" priority="12" operator="lessThanOrEqual">
      <formula>-0.03</formula>
    </cfRule>
  </conditionalFormatting>
  <conditionalFormatting sqref="D33:D37">
    <cfRule type="cellIs" dxfId="0" priority="21" operator="greaterThanOrEqual">
      <formula>0.03</formula>
    </cfRule>
    <cfRule type="cellIs" dxfId="1" priority="22" operator="lessThanOrEqual">
      <formula>-0.03</formula>
    </cfRule>
  </conditionalFormatting>
  <conditionalFormatting sqref="E20:E24">
    <cfRule type="cellIs" dxfId="0" priority="5" operator="greaterThanOrEqual">
      <formula>0.03</formula>
    </cfRule>
    <cfRule type="cellIs" dxfId="1" priority="6" operator="lessThanOrEqual">
      <formula>-0.03</formula>
    </cfRule>
  </conditionalFormatting>
  <conditionalFormatting sqref="E33:E37">
    <cfRule type="cellIs" dxfId="0" priority="25" operator="greaterThanOrEqual">
      <formula>0.03</formula>
    </cfRule>
    <cfRule type="cellIs" dxfId="1" priority="26" operator="lessThanOrEqual">
      <formula>-0.03</formula>
    </cfRule>
  </conditionalFormatting>
  <conditionalFormatting sqref="F20:F24">
    <cfRule type="cellIs" dxfId="0" priority="3" operator="greaterThanOrEqual">
      <formula>0.03</formula>
    </cfRule>
    <cfRule type="cellIs" dxfId="1" priority="4" operator="lessThanOrEqual">
      <formula>-0.03</formula>
    </cfRule>
  </conditionalFormatting>
  <conditionalFormatting sqref="F33:F37">
    <cfRule type="cellIs" dxfId="0" priority="29" operator="greaterThanOrEqual">
      <formula>0.03</formula>
    </cfRule>
    <cfRule type="cellIs" dxfId="1" priority="30" operator="lessThanOrEqual">
      <formula>-0.03</formula>
    </cfRule>
  </conditionalFormatting>
  <conditionalFormatting sqref="G20:G24">
    <cfRule type="cellIs" dxfId="0" priority="13" operator="greaterThanOrEqual">
      <formula>0.03</formula>
    </cfRule>
    <cfRule type="cellIs" dxfId="1" priority="14" operator="lessThanOrEqual">
      <formula>-0.03</formula>
    </cfRule>
  </conditionalFormatting>
  <conditionalFormatting sqref="G33:G37">
    <cfRule type="cellIs" dxfId="0" priority="19" operator="greaterThanOrEqual">
      <formula>0.03</formula>
    </cfRule>
    <cfRule type="cellIs" dxfId="1" priority="20" operator="lessThanOrEqual">
      <formula>-0.03</formula>
    </cfRule>
  </conditionalFormatting>
  <conditionalFormatting sqref="H20:H24">
    <cfRule type="cellIs" dxfId="0" priority="9" operator="greaterThanOrEqual">
      <formula>0.03</formula>
    </cfRule>
    <cfRule type="cellIs" dxfId="1" priority="10" operator="lessThanOrEqual">
      <formula>-0.03</formula>
    </cfRule>
  </conditionalFormatting>
  <conditionalFormatting sqref="H33:H37">
    <cfRule type="cellIs" dxfId="0" priority="23" operator="greaterThanOrEqual">
      <formula>0.03</formula>
    </cfRule>
    <cfRule type="cellIs" dxfId="1" priority="24" operator="lessThanOrEqual">
      <formula>-0.03</formula>
    </cfRule>
  </conditionalFormatting>
  <conditionalFormatting sqref="I20:I24">
    <cfRule type="cellIs" dxfId="0" priority="7" operator="greaterThanOrEqual">
      <formula>0.03</formula>
    </cfRule>
    <cfRule type="cellIs" dxfId="1" priority="8" operator="lessThanOrEqual">
      <formula>-0.03</formula>
    </cfRule>
  </conditionalFormatting>
  <conditionalFormatting sqref="I33:I37">
    <cfRule type="cellIs" dxfId="0" priority="27" operator="greaterThanOrEqual">
      <formula>0.03</formula>
    </cfRule>
    <cfRule type="cellIs" dxfId="1" priority="28" operator="lessThanOrEqual">
      <formula>-0.03</formula>
    </cfRule>
  </conditionalFormatting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54"/>
  <sheetViews>
    <sheetView zoomScale="70" zoomScaleNormal="70" workbookViewId="0">
      <selection activeCell="B2" sqref="B2"/>
    </sheetView>
  </sheetViews>
  <sheetFormatPr defaultColWidth="9.12389380530973" defaultRowHeight="13.5"/>
  <cols>
    <col min="1" max="1" width="12.6283185840708" customWidth="1"/>
    <col min="2" max="2" width="24.6283185840708" customWidth="1"/>
    <col min="4" max="4" width="24.6283185840708" customWidth="1"/>
    <col min="9" max="9" width="16.6283185840708" customWidth="1"/>
  </cols>
  <sheetData>
    <row r="1" spans="1:14">
      <c r="A1" t="s">
        <v>28</v>
      </c>
      <c r="B1" s="128" t="s">
        <v>29</v>
      </c>
      <c r="C1" t="s">
        <v>30</v>
      </c>
      <c r="I1" t="s">
        <v>31</v>
      </c>
      <c r="M1" t="s">
        <v>29</v>
      </c>
      <c r="N1" t="s">
        <v>32</v>
      </c>
    </row>
    <row r="2" spans="1:14">
      <c r="A2" t="s">
        <v>33</v>
      </c>
      <c r="B2" s="128" t="s">
        <v>34</v>
      </c>
      <c r="C2" t="s">
        <v>35</v>
      </c>
      <c r="I2" t="s">
        <v>36</v>
      </c>
      <c r="J2" t="s">
        <v>37</v>
      </c>
      <c r="M2" t="s">
        <v>38</v>
      </c>
      <c r="N2" t="s">
        <v>39</v>
      </c>
    </row>
    <row r="3" spans="9:14">
      <c r="I3" t="s">
        <v>40</v>
      </c>
      <c r="J3" t="s">
        <v>41</v>
      </c>
      <c r="M3" t="s">
        <v>42</v>
      </c>
      <c r="N3" t="s">
        <v>42</v>
      </c>
    </row>
    <row r="4" spans="1:14">
      <c r="A4" t="s">
        <v>43</v>
      </c>
      <c r="B4" s="128" t="s">
        <v>44</v>
      </c>
      <c r="C4" t="s">
        <v>45</v>
      </c>
      <c r="D4" s="128" t="s">
        <v>46</v>
      </c>
      <c r="E4" t="s">
        <v>47</v>
      </c>
      <c r="I4" t="s">
        <v>48</v>
      </c>
      <c r="J4" t="s">
        <v>49</v>
      </c>
      <c r="M4" t="s">
        <v>50</v>
      </c>
      <c r="N4" t="s">
        <v>50</v>
      </c>
    </row>
    <row r="5" spans="1:14">
      <c r="A5" t="s">
        <v>43</v>
      </c>
      <c r="B5" s="128" t="s">
        <v>44</v>
      </c>
      <c r="C5" t="s">
        <v>45</v>
      </c>
      <c r="D5" s="128" t="s">
        <v>51</v>
      </c>
      <c r="E5" t="s">
        <v>52</v>
      </c>
      <c r="I5" t="s">
        <v>53</v>
      </c>
      <c r="J5" t="s">
        <v>54</v>
      </c>
      <c r="M5" t="s">
        <v>55</v>
      </c>
      <c r="N5" t="s">
        <v>55</v>
      </c>
    </row>
    <row r="6" spans="1:14">
      <c r="A6" t="s">
        <v>43</v>
      </c>
      <c r="B6" s="128" t="s">
        <v>44</v>
      </c>
      <c r="C6" t="s">
        <v>45</v>
      </c>
      <c r="D6" s="128" t="s">
        <v>56</v>
      </c>
      <c r="E6" t="s">
        <v>57</v>
      </c>
      <c r="I6" t="s">
        <v>58</v>
      </c>
      <c r="J6" t="s">
        <v>59</v>
      </c>
      <c r="M6" t="s">
        <v>60</v>
      </c>
      <c r="N6" t="s">
        <v>60</v>
      </c>
    </row>
    <row r="7" spans="1:14">
      <c r="A7" t="s">
        <v>43</v>
      </c>
      <c r="B7" s="128" t="s">
        <v>44</v>
      </c>
      <c r="C7" t="s">
        <v>45</v>
      </c>
      <c r="D7" s="128" t="s">
        <v>61</v>
      </c>
      <c r="E7" t="s">
        <v>62</v>
      </c>
      <c r="I7" t="s">
        <v>63</v>
      </c>
      <c r="J7" t="s">
        <v>64</v>
      </c>
      <c r="M7" t="s">
        <v>65</v>
      </c>
      <c r="N7" t="s">
        <v>65</v>
      </c>
    </row>
    <row r="8" spans="1:14">
      <c r="A8" t="s">
        <v>43</v>
      </c>
      <c r="B8" s="128" t="s">
        <v>44</v>
      </c>
      <c r="C8" t="s">
        <v>45</v>
      </c>
      <c r="D8" s="128" t="s">
        <v>66</v>
      </c>
      <c r="E8" t="s">
        <v>67</v>
      </c>
      <c r="I8" t="s">
        <v>68</v>
      </c>
      <c r="J8" t="s">
        <v>69</v>
      </c>
      <c r="M8" t="s">
        <v>70</v>
      </c>
      <c r="N8" t="s">
        <v>70</v>
      </c>
    </row>
    <row r="9" spans="1:14">
      <c r="A9" t="s">
        <v>43</v>
      </c>
      <c r="B9" s="128" t="s">
        <v>44</v>
      </c>
      <c r="C9" t="s">
        <v>45</v>
      </c>
      <c r="D9" s="128" t="s">
        <v>71</v>
      </c>
      <c r="E9" t="s">
        <v>72</v>
      </c>
      <c r="I9" t="s">
        <v>73</v>
      </c>
      <c r="J9" t="s">
        <v>74</v>
      </c>
      <c r="M9" t="s">
        <v>75</v>
      </c>
      <c r="N9" t="s">
        <v>75</v>
      </c>
    </row>
    <row r="10" spans="1:14">
      <c r="A10" t="s">
        <v>43</v>
      </c>
      <c r="B10" s="128" t="s">
        <v>44</v>
      </c>
      <c r="C10" t="s">
        <v>45</v>
      </c>
      <c r="D10" s="128" t="s">
        <v>76</v>
      </c>
      <c r="E10" t="s">
        <v>77</v>
      </c>
      <c r="I10" t="s">
        <v>78</v>
      </c>
      <c r="J10" t="s">
        <v>79</v>
      </c>
      <c r="M10" t="s">
        <v>80</v>
      </c>
      <c r="N10" t="s">
        <v>80</v>
      </c>
    </row>
    <row r="11" spans="9:14">
      <c r="I11" t="s">
        <v>56</v>
      </c>
      <c r="J11" t="s">
        <v>81</v>
      </c>
      <c r="M11" t="s">
        <v>34</v>
      </c>
      <c r="N11" t="s">
        <v>34</v>
      </c>
    </row>
    <row r="12" spans="9:10">
      <c r="I12" t="s">
        <v>76</v>
      </c>
      <c r="J12" t="s">
        <v>82</v>
      </c>
    </row>
    <row r="13" spans="9:10">
      <c r="I13" t="s">
        <v>83</v>
      </c>
      <c r="J13" t="s">
        <v>84</v>
      </c>
    </row>
    <row r="14" spans="9:10">
      <c r="I14" t="s">
        <v>85</v>
      </c>
      <c r="J14" t="s">
        <v>86</v>
      </c>
    </row>
    <row r="15" spans="9:10">
      <c r="I15" t="s">
        <v>87</v>
      </c>
      <c r="J15" t="s">
        <v>88</v>
      </c>
    </row>
    <row r="16" spans="9:10">
      <c r="I16" t="s">
        <v>89</v>
      </c>
      <c r="J16" t="s">
        <v>90</v>
      </c>
    </row>
    <row r="17" spans="9:10">
      <c r="I17" t="s">
        <v>66</v>
      </c>
      <c r="J17" t="s">
        <v>91</v>
      </c>
    </row>
    <row r="18" spans="9:10">
      <c r="I18" t="s">
        <v>71</v>
      </c>
      <c r="J18" t="s">
        <v>92</v>
      </c>
    </row>
    <row r="19" spans="9:10">
      <c r="I19" t="s">
        <v>46</v>
      </c>
      <c r="J19" t="s">
        <v>93</v>
      </c>
    </row>
    <row r="20" spans="9:10">
      <c r="I20" t="s">
        <v>51</v>
      </c>
      <c r="J20" t="s">
        <v>94</v>
      </c>
    </row>
    <row r="21" spans="9:10">
      <c r="I21" t="s">
        <v>61</v>
      </c>
      <c r="J21" t="s">
        <v>95</v>
      </c>
    </row>
    <row r="22" spans="9:10">
      <c r="I22" t="s">
        <v>96</v>
      </c>
      <c r="J22" t="s">
        <v>97</v>
      </c>
    </row>
    <row r="23" spans="9:10">
      <c r="I23" t="s">
        <v>98</v>
      </c>
      <c r="J23" t="s">
        <v>99</v>
      </c>
    </row>
    <row r="24" spans="9:10">
      <c r="I24" t="s">
        <v>100</v>
      </c>
      <c r="J24" t="s">
        <v>101</v>
      </c>
    </row>
    <row r="25" spans="9:10">
      <c r="I25" t="s">
        <v>102</v>
      </c>
      <c r="J25" t="s">
        <v>103</v>
      </c>
    </row>
    <row r="26" spans="9:10">
      <c r="I26" t="s">
        <v>104</v>
      </c>
      <c r="J26" t="s">
        <v>105</v>
      </c>
    </row>
    <row r="27" spans="9:10">
      <c r="I27" t="s">
        <v>106</v>
      </c>
      <c r="J27" t="s">
        <v>107</v>
      </c>
    </row>
    <row r="28" spans="9:10">
      <c r="I28" t="s">
        <v>108</v>
      </c>
      <c r="J28" t="s">
        <v>109</v>
      </c>
    </row>
    <row r="29" spans="9:10">
      <c r="I29" t="s">
        <v>110</v>
      </c>
      <c r="J29" t="s">
        <v>111</v>
      </c>
    </row>
    <row r="30" spans="9:10">
      <c r="I30" t="s">
        <v>112</v>
      </c>
      <c r="J30" t="s">
        <v>113</v>
      </c>
    </row>
    <row r="31" spans="9:10">
      <c r="I31" t="s">
        <v>114</v>
      </c>
      <c r="J31" t="s">
        <v>115</v>
      </c>
    </row>
    <row r="32" spans="9:10">
      <c r="I32" t="s">
        <v>116</v>
      </c>
      <c r="J32" t="s">
        <v>117</v>
      </c>
    </row>
    <row r="33" spans="9:10">
      <c r="I33" t="s">
        <v>118</v>
      </c>
      <c r="J33" t="s">
        <v>119</v>
      </c>
    </row>
    <row r="34" spans="9:10">
      <c r="I34" t="s">
        <v>120</v>
      </c>
      <c r="J34" t="s">
        <v>121</v>
      </c>
    </row>
    <row r="35" spans="9:10">
      <c r="I35" t="s">
        <v>122</v>
      </c>
      <c r="J35" t="s">
        <v>123</v>
      </c>
    </row>
    <row r="36" spans="9:10">
      <c r="I36" t="s">
        <v>124</v>
      </c>
      <c r="J36" t="s">
        <v>125</v>
      </c>
    </row>
    <row r="37" spans="9:10">
      <c r="I37" t="s">
        <v>126</v>
      </c>
      <c r="J37" t="s">
        <v>127</v>
      </c>
    </row>
    <row r="38" spans="9:10">
      <c r="I38" t="s">
        <v>128</v>
      </c>
      <c r="J38" t="s">
        <v>129</v>
      </c>
    </row>
    <row r="39" spans="9:10">
      <c r="I39" t="s">
        <v>130</v>
      </c>
      <c r="J39" t="s">
        <v>131</v>
      </c>
    </row>
    <row r="40" spans="9:10">
      <c r="I40" t="s">
        <v>44</v>
      </c>
      <c r="J40" t="s">
        <v>132</v>
      </c>
    </row>
    <row r="41" spans="9:10">
      <c r="I41" t="s">
        <v>133</v>
      </c>
      <c r="J41" t="s">
        <v>134</v>
      </c>
    </row>
    <row r="42" spans="9:10">
      <c r="I42" t="s">
        <v>135</v>
      </c>
      <c r="J42" t="s">
        <v>136</v>
      </c>
    </row>
    <row r="43" spans="9:10">
      <c r="I43" t="s">
        <v>137</v>
      </c>
      <c r="J43" t="s">
        <v>138</v>
      </c>
    </row>
    <row r="44" spans="9:10">
      <c r="I44" t="s">
        <v>139</v>
      </c>
      <c r="J44" t="s">
        <v>140</v>
      </c>
    </row>
    <row r="45" spans="9:10">
      <c r="I45" t="s">
        <v>141</v>
      </c>
      <c r="J45" t="s">
        <v>142</v>
      </c>
    </row>
    <row r="46" spans="9:10">
      <c r="I46" t="s">
        <v>143</v>
      </c>
      <c r="J46" t="s">
        <v>144</v>
      </c>
    </row>
    <row r="47" spans="9:10">
      <c r="I47" t="s">
        <v>145</v>
      </c>
      <c r="J47" t="s">
        <v>146</v>
      </c>
    </row>
    <row r="48" spans="9:10">
      <c r="I48" t="s">
        <v>147</v>
      </c>
      <c r="J48" t="s">
        <v>148</v>
      </c>
    </row>
    <row r="49" spans="9:10">
      <c r="I49" t="s">
        <v>149</v>
      </c>
      <c r="J49" t="s">
        <v>150</v>
      </c>
    </row>
    <row r="50" spans="9:10">
      <c r="I50" t="s">
        <v>151</v>
      </c>
      <c r="J50" t="s">
        <v>152</v>
      </c>
    </row>
    <row r="51" spans="9:10">
      <c r="I51" t="s">
        <v>153</v>
      </c>
      <c r="J51" t="s">
        <v>154</v>
      </c>
    </row>
    <row r="52" spans="9:10">
      <c r="I52" t="s">
        <v>155</v>
      </c>
      <c r="J52" t="s">
        <v>156</v>
      </c>
    </row>
    <row r="53" spans="9:10">
      <c r="I53" t="s">
        <v>157</v>
      </c>
      <c r="J53" t="s">
        <v>158</v>
      </c>
    </row>
    <row r="54" spans="9:10">
      <c r="I54" t="s">
        <v>159</v>
      </c>
      <c r="J54" t="s">
        <v>160</v>
      </c>
    </row>
  </sheetData>
  <conditionalFormatting sqref="B2">
    <cfRule type="expression" dxfId="2" priority="1">
      <formula>ISNA(MATCH(B2,OFFSET(M:M,2,MATCH(B1,M1:ZZ1,0)-1,COUNTA(INDEX(M:ZZ,,MATCH(B1,M1:ZZ1,0)))-2),0))</formula>
    </cfRule>
  </conditionalFormatting>
  <conditionalFormatting sqref="B4 D4 B5 D5 B6 D6 B7 D7 B8 D8 B9 D9 B10 D10">
    <cfRule type="expression" dxfId="2" priority="2">
      <formula>ISNA(MATCH(B4,filter_cols,0))</formula>
    </cfRule>
  </conditionalFormatting>
  <dataValidations count="3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:B10 D4:D10">
      <formula1>Graphs!filter_cols</formula1>
    </dataValidation>
  </dataValidations>
  <pageMargins left="0.7" right="0.7" top="0.75" bottom="0.75" header="0.3" footer="0.3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ummaryBelow="0"/>
  </sheetPr>
  <dimension ref="A1:X30"/>
  <sheetViews>
    <sheetView workbookViewId="0">
      <pane xSplit="2" ySplit="4" topLeftCell="H5" activePane="bottomRight" state="frozen"/>
      <selection/>
      <selection pane="topRight"/>
      <selection pane="bottomLeft"/>
      <selection pane="bottomRight" activeCell="O1" sqref="O1:T1"/>
    </sheetView>
  </sheetViews>
  <sheetFormatPr defaultColWidth="9.12389380530973" defaultRowHeight="13.5"/>
  <cols>
    <col min="2" max="2" width="24.6283185840708" customWidth="1"/>
    <col min="3" max="4" width="10.6283185840708" customWidth="1"/>
    <col min="7" max="7" width="1.6283185840708" customWidth="1"/>
    <col min="9" max="9" width="10.6283185840708" customWidth="1"/>
    <col min="10" max="11" width="12.6283185840708" customWidth="1"/>
    <col min="14" max="14" width="1.6283185840708" customWidth="1"/>
    <col min="16" max="16" width="10.6283185840708" customWidth="1"/>
    <col min="17" max="18" width="12.6283185840708" customWidth="1"/>
    <col min="21" max="21" width="1.6283185840708" customWidth="1"/>
    <col min="23" max="23" width="1.6283185840708" customWidth="1"/>
  </cols>
  <sheetData>
    <row r="1" spans="1:15">
      <c r="A1" s="51" t="s">
        <v>161</v>
      </c>
      <c r="H1" s="69" t="str">
        <f>Summary!C1</f>
        <v>F300_v11.0</v>
      </c>
      <c r="O1" s="97">
        <f>Summary!C2</f>
        <v>0</v>
      </c>
    </row>
    <row r="2" ht="30" customHeight="1" spans="1:24">
      <c r="A2" s="52" t="s">
        <v>162</v>
      </c>
      <c r="B2" s="53" t="s">
        <v>163</v>
      </c>
      <c r="C2" s="52" t="s">
        <v>164</v>
      </c>
      <c r="D2" s="53" t="s">
        <v>165</v>
      </c>
      <c r="E2" s="52" t="s">
        <v>166</v>
      </c>
      <c r="F2" s="53" t="s">
        <v>167</v>
      </c>
      <c r="H2" s="52" t="s">
        <v>132</v>
      </c>
      <c r="I2" s="53" t="s">
        <v>136</v>
      </c>
      <c r="J2" s="52" t="s">
        <v>125</v>
      </c>
      <c r="K2" s="90" t="s">
        <v>168</v>
      </c>
      <c r="L2" s="53" t="s">
        <v>127</v>
      </c>
      <c r="M2" s="52" t="s">
        <v>107</v>
      </c>
      <c r="O2" s="53" t="s">
        <v>132</v>
      </c>
      <c r="P2" s="52" t="s">
        <v>136</v>
      </c>
      <c r="Q2" s="53" t="s">
        <v>125</v>
      </c>
      <c r="R2" s="90" t="s">
        <v>168</v>
      </c>
      <c r="S2" s="52" t="s">
        <v>127</v>
      </c>
      <c r="T2" s="53" t="s">
        <v>107</v>
      </c>
      <c r="V2" s="52" t="s">
        <v>169</v>
      </c>
      <c r="X2" s="52" t="s">
        <v>170</v>
      </c>
    </row>
    <row r="3" ht="15.75" customHeight="1" spans="1:24">
      <c r="A3" s="37"/>
      <c r="B3" s="37"/>
      <c r="C3" s="37"/>
      <c r="D3" s="37"/>
      <c r="E3" s="37"/>
      <c r="F3" s="37"/>
      <c r="H3" s="37"/>
      <c r="I3" s="37"/>
      <c r="J3" s="37"/>
      <c r="K3" s="52" t="s">
        <v>171</v>
      </c>
      <c r="L3" s="37"/>
      <c r="M3" s="37"/>
      <c r="O3" s="37"/>
      <c r="P3" s="37"/>
      <c r="Q3" s="37"/>
      <c r="R3" s="52" t="s">
        <v>171</v>
      </c>
      <c r="S3" s="37"/>
      <c r="T3" s="37"/>
      <c r="V3" s="37"/>
      <c r="X3" s="37"/>
    </row>
    <row r="4" ht="48.75" hidden="1" customHeight="1" spans="1:22">
      <c r="A4" s="54" t="s">
        <v>172</v>
      </c>
      <c r="B4" s="55" t="s">
        <v>173</v>
      </c>
      <c r="C4" s="54" t="s">
        <v>174</v>
      </c>
      <c r="D4" s="55" t="s">
        <v>175</v>
      </c>
      <c r="E4" s="54" t="s">
        <v>176</v>
      </c>
      <c r="F4" s="55" t="s">
        <v>177</v>
      </c>
      <c r="H4" s="54" t="s">
        <v>178</v>
      </c>
      <c r="I4" s="55" t="s">
        <v>179</v>
      </c>
      <c r="J4" s="54" t="s">
        <v>180</v>
      </c>
      <c r="K4" s="54"/>
      <c r="L4" s="55" t="s">
        <v>181</v>
      </c>
      <c r="M4" s="54" t="s">
        <v>182</v>
      </c>
      <c r="O4" s="55" t="s">
        <v>183</v>
      </c>
      <c r="P4" s="54" t="s">
        <v>184</v>
      </c>
      <c r="Q4" s="55" t="s">
        <v>185</v>
      </c>
      <c r="R4" s="55"/>
      <c r="S4" s="54" t="s">
        <v>186</v>
      </c>
      <c r="T4" s="55" t="s">
        <v>187</v>
      </c>
      <c r="V4" s="54" t="s">
        <v>188</v>
      </c>
    </row>
    <row r="5" spans="1:24">
      <c r="A5" s="56" t="s">
        <v>189</v>
      </c>
      <c r="B5" s="56" t="s">
        <v>42</v>
      </c>
      <c r="C5" s="56">
        <v>11997440</v>
      </c>
      <c r="D5" s="58">
        <v>10</v>
      </c>
      <c r="E5" s="57">
        <v>300</v>
      </c>
      <c r="F5" s="57">
        <v>30</v>
      </c>
      <c r="H5" s="73">
        <f t="shared" ref="H5:H13" si="0">IF(OR(ISBLANK(J5),ISBLANK(F5)),"·",J5*F5/E5/1000000)</f>
        <v>865.186396</v>
      </c>
      <c r="I5" s="74">
        <f t="shared" ref="I5:I13" si="1">IF(ISBLANK(J5),"·",J5/C5)</f>
        <v>721.142507068174</v>
      </c>
      <c r="J5" s="76">
        <v>8651863960</v>
      </c>
      <c r="K5" s="76">
        <v>128902216</v>
      </c>
      <c r="L5" s="98"/>
      <c r="M5" s="98"/>
      <c r="O5" s="73" t="str">
        <f t="shared" ref="O5:O13" si="2">IF(OR(ISBLANK(Q5),ISBLANK(F5)),"·",Q5*F5/E5/1000000)</f>
        <v>·</v>
      </c>
      <c r="P5" s="74" t="str">
        <f t="shared" ref="P5:P13" si="3">IF(ISBLANK(Q5),"·",Q5/C5)</f>
        <v>·</v>
      </c>
      <c r="Q5" s="98"/>
      <c r="R5" s="98"/>
      <c r="S5" s="98"/>
      <c r="T5" s="98"/>
      <c r="V5" s="15" t="e">
        <f t="shared" ref="V5:V18" si="4">P5/I5</f>
        <v>#VALUE!</v>
      </c>
      <c r="X5" s="15" t="str">
        <f t="shared" ref="X5:X13" si="5">IF(OR(ISBLANK(R5),ISBLANK(K5)),".",R5/K5-1)</f>
        <v>.</v>
      </c>
    </row>
    <row r="6" ht="15.75" customHeight="1" spans="1:24">
      <c r="A6" s="65"/>
      <c r="B6" s="65" t="s">
        <v>50</v>
      </c>
      <c r="C6" s="65">
        <v>9000000</v>
      </c>
      <c r="D6" s="67">
        <v>10</v>
      </c>
      <c r="E6" s="66">
        <v>300</v>
      </c>
      <c r="F6" s="66">
        <v>30</v>
      </c>
      <c r="H6" s="85">
        <f t="shared" si="0"/>
        <v>626.351728</v>
      </c>
      <c r="I6" s="86">
        <f t="shared" si="1"/>
        <v>695.946364444444</v>
      </c>
      <c r="J6" s="88">
        <v>6263517280</v>
      </c>
      <c r="K6" s="88">
        <v>136097968</v>
      </c>
      <c r="L6" s="101"/>
      <c r="M6" s="101"/>
      <c r="O6" s="85" t="str">
        <f t="shared" si="2"/>
        <v>·</v>
      </c>
      <c r="P6" s="86" t="str">
        <f t="shared" si="3"/>
        <v>·</v>
      </c>
      <c r="Q6" s="101"/>
      <c r="R6" s="101"/>
      <c r="S6" s="101"/>
      <c r="T6" s="101"/>
      <c r="V6" s="23" t="e">
        <f t="shared" si="4"/>
        <v>#VALUE!</v>
      </c>
      <c r="X6" s="23" t="str">
        <f t="shared" si="5"/>
        <v>.</v>
      </c>
    </row>
    <row r="7" spans="1:24">
      <c r="A7" s="56" t="s">
        <v>190</v>
      </c>
      <c r="B7" s="56" t="s">
        <v>55</v>
      </c>
      <c r="C7" s="56">
        <v>11842002</v>
      </c>
      <c r="D7" s="58">
        <v>12</v>
      </c>
      <c r="E7" s="57">
        <v>300</v>
      </c>
      <c r="F7" s="57">
        <v>30</v>
      </c>
      <c r="H7" s="73">
        <f t="shared" si="0"/>
        <v>605.1066112</v>
      </c>
      <c r="I7" s="74">
        <f t="shared" si="1"/>
        <v>510.983371899447</v>
      </c>
      <c r="J7" s="76">
        <v>6051066112</v>
      </c>
      <c r="K7" s="76">
        <v>152825416</v>
      </c>
      <c r="L7" s="98"/>
      <c r="M7" s="98"/>
      <c r="O7" s="73" t="str">
        <f t="shared" si="2"/>
        <v>·</v>
      </c>
      <c r="P7" s="74" t="str">
        <f t="shared" si="3"/>
        <v>·</v>
      </c>
      <c r="Q7" s="98"/>
      <c r="R7" s="98"/>
      <c r="S7" s="98"/>
      <c r="T7" s="98"/>
      <c r="V7" s="15" t="e">
        <f t="shared" si="4"/>
        <v>#VALUE!</v>
      </c>
      <c r="X7" s="15" t="str">
        <f t="shared" si="5"/>
        <v>.</v>
      </c>
    </row>
    <row r="8" ht="15.75" customHeight="1" spans="1:24">
      <c r="A8" s="65"/>
      <c r="B8" s="65" t="s">
        <v>60</v>
      </c>
      <c r="C8" s="65">
        <v>11812090</v>
      </c>
      <c r="D8" s="67">
        <v>12</v>
      </c>
      <c r="E8" s="66">
        <v>300</v>
      </c>
      <c r="F8" s="66">
        <v>50</v>
      </c>
      <c r="H8" s="85">
        <f t="shared" si="0"/>
        <v>993.629784</v>
      </c>
      <c r="I8" s="86">
        <f t="shared" si="1"/>
        <v>504.718360933586</v>
      </c>
      <c r="J8" s="88">
        <v>5961778704</v>
      </c>
      <c r="K8" s="88">
        <v>149815440</v>
      </c>
      <c r="L8" s="101"/>
      <c r="M8" s="101"/>
      <c r="O8" s="85" t="str">
        <f t="shared" si="2"/>
        <v>·</v>
      </c>
      <c r="P8" s="86" t="str">
        <f t="shared" si="3"/>
        <v>·</v>
      </c>
      <c r="Q8" s="101"/>
      <c r="R8" s="101"/>
      <c r="S8" s="101"/>
      <c r="T8" s="101"/>
      <c r="V8" s="23" t="e">
        <f t="shared" si="4"/>
        <v>#VALUE!</v>
      </c>
      <c r="X8" s="23" t="str">
        <f t="shared" si="5"/>
        <v>.</v>
      </c>
    </row>
    <row r="9" spans="1:24">
      <c r="A9" s="56" t="s">
        <v>191</v>
      </c>
      <c r="B9" s="56" t="s">
        <v>65</v>
      </c>
      <c r="C9" s="56">
        <v>12000000</v>
      </c>
      <c r="D9" s="58">
        <v>12</v>
      </c>
      <c r="E9" s="57">
        <v>300</v>
      </c>
      <c r="F9" s="57">
        <v>30</v>
      </c>
      <c r="H9" s="73">
        <f t="shared" si="0"/>
        <v>2912.601532</v>
      </c>
      <c r="I9" s="74">
        <f t="shared" si="1"/>
        <v>2427.16794333333</v>
      </c>
      <c r="J9" s="76">
        <v>29126015320</v>
      </c>
      <c r="K9" s="76">
        <v>166070488</v>
      </c>
      <c r="L9" s="98"/>
      <c r="M9" s="98"/>
      <c r="O9" s="73" t="str">
        <f t="shared" si="2"/>
        <v>·</v>
      </c>
      <c r="P9" s="74" t="str">
        <f t="shared" si="3"/>
        <v>·</v>
      </c>
      <c r="Q9" s="98"/>
      <c r="R9" s="98"/>
      <c r="S9" s="98"/>
      <c r="T9" s="98"/>
      <c r="V9" s="15" t="e">
        <f t="shared" si="4"/>
        <v>#VALUE!</v>
      </c>
      <c r="X9" s="15" t="str">
        <f t="shared" si="5"/>
        <v>.</v>
      </c>
    </row>
    <row r="10" spans="1:24">
      <c r="A10" s="59"/>
      <c r="B10" s="59" t="s">
        <v>70</v>
      </c>
      <c r="C10" s="59">
        <v>5997654</v>
      </c>
      <c r="D10" s="61">
        <v>12</v>
      </c>
      <c r="E10" s="60">
        <v>300</v>
      </c>
      <c r="F10" s="60">
        <v>30</v>
      </c>
      <c r="H10" s="77">
        <f t="shared" si="0"/>
        <v>1229.552484</v>
      </c>
      <c r="I10" s="78">
        <f t="shared" si="1"/>
        <v>2050.05571178331</v>
      </c>
      <c r="J10" s="80">
        <v>12295524840</v>
      </c>
      <c r="K10" s="80">
        <v>124774688</v>
      </c>
      <c r="L10" s="99"/>
      <c r="M10" s="99"/>
      <c r="O10" s="77" t="str">
        <f t="shared" si="2"/>
        <v>·</v>
      </c>
      <c r="P10" s="78" t="str">
        <f t="shared" si="3"/>
        <v>·</v>
      </c>
      <c r="Q10" s="99"/>
      <c r="R10" s="99"/>
      <c r="S10" s="99"/>
      <c r="T10" s="99"/>
      <c r="V10" s="19" t="e">
        <f t="shared" si="4"/>
        <v>#VALUE!</v>
      </c>
      <c r="X10" s="19" t="str">
        <f t="shared" si="5"/>
        <v>.</v>
      </c>
    </row>
    <row r="11" spans="1:24">
      <c r="A11" s="56"/>
      <c r="B11" s="56" t="s">
        <v>75</v>
      </c>
      <c r="C11" s="56">
        <v>9000000</v>
      </c>
      <c r="D11" s="58">
        <v>12</v>
      </c>
      <c r="E11" s="57">
        <v>300</v>
      </c>
      <c r="F11" s="57">
        <v>30</v>
      </c>
      <c r="H11" s="73">
        <f t="shared" si="0"/>
        <v>3630.678264</v>
      </c>
      <c r="I11" s="74">
        <f t="shared" si="1"/>
        <v>4034.08696</v>
      </c>
      <c r="J11" s="76">
        <v>36306782640</v>
      </c>
      <c r="K11" s="76">
        <v>141097056</v>
      </c>
      <c r="L11" s="98"/>
      <c r="M11" s="98"/>
      <c r="O11" s="73" t="str">
        <f t="shared" si="2"/>
        <v>·</v>
      </c>
      <c r="P11" s="74" t="str">
        <f t="shared" si="3"/>
        <v>·</v>
      </c>
      <c r="Q11" s="98"/>
      <c r="R11" s="98"/>
      <c r="S11" s="98"/>
      <c r="T11" s="98"/>
      <c r="V11" s="15" t="e">
        <f t="shared" si="4"/>
        <v>#VALUE!</v>
      </c>
      <c r="X11" s="15" t="str">
        <f t="shared" si="5"/>
        <v>.</v>
      </c>
    </row>
    <row r="12" ht="15.75" customHeight="1" spans="1:24">
      <c r="A12" s="65"/>
      <c r="B12" s="65" t="s">
        <v>80</v>
      </c>
      <c r="C12" s="65">
        <v>9000000</v>
      </c>
      <c r="D12" s="67">
        <v>12</v>
      </c>
      <c r="E12" s="66">
        <v>300</v>
      </c>
      <c r="F12" s="66">
        <v>30</v>
      </c>
      <c r="H12" s="85">
        <f t="shared" si="0"/>
        <v>2747.4324968</v>
      </c>
      <c r="I12" s="86">
        <f t="shared" si="1"/>
        <v>3052.70277422222</v>
      </c>
      <c r="J12" s="88">
        <v>27474324968</v>
      </c>
      <c r="K12" s="88">
        <v>132915352</v>
      </c>
      <c r="L12" s="101"/>
      <c r="M12" s="101"/>
      <c r="O12" s="85" t="str">
        <f t="shared" si="2"/>
        <v>·</v>
      </c>
      <c r="P12" s="86" t="str">
        <f t="shared" si="3"/>
        <v>·</v>
      </c>
      <c r="Q12" s="101"/>
      <c r="R12" s="101"/>
      <c r="S12" s="101"/>
      <c r="T12" s="101"/>
      <c r="V12" s="23" t="e">
        <f t="shared" si="4"/>
        <v>#VALUE!</v>
      </c>
      <c r="X12" s="23" t="str">
        <f t="shared" si="5"/>
        <v>.</v>
      </c>
    </row>
    <row r="13" ht="15.75" customHeight="1" spans="1:24">
      <c r="A13" s="121" t="s">
        <v>192</v>
      </c>
      <c r="B13" s="121" t="s">
        <v>34</v>
      </c>
      <c r="C13" s="121">
        <v>199984</v>
      </c>
      <c r="D13" s="122">
        <v>10</v>
      </c>
      <c r="E13" s="123">
        <v>1</v>
      </c>
      <c r="F13" s="123">
        <v>30</v>
      </c>
      <c r="H13" s="124">
        <f t="shared" si="0"/>
        <v>946.34112</v>
      </c>
      <c r="I13" s="125">
        <f t="shared" si="1"/>
        <v>157.736138891111</v>
      </c>
      <c r="J13" s="126">
        <v>31544704</v>
      </c>
      <c r="K13" s="126">
        <v>2158320</v>
      </c>
      <c r="L13" s="127"/>
      <c r="M13" s="127"/>
      <c r="O13" s="124" t="str">
        <f t="shared" si="2"/>
        <v>·</v>
      </c>
      <c r="P13" s="86" t="str">
        <f t="shared" si="3"/>
        <v>·</v>
      </c>
      <c r="Q13" s="126"/>
      <c r="R13" s="126"/>
      <c r="S13" s="127"/>
      <c r="T13" s="127"/>
      <c r="V13" s="23" t="e">
        <f t="shared" si="4"/>
        <v>#VALUE!</v>
      </c>
      <c r="X13" s="23" t="str">
        <f t="shared" si="5"/>
        <v>.</v>
      </c>
    </row>
    <row r="14" spans="2:24">
      <c r="B14" s="68" t="s">
        <v>8</v>
      </c>
      <c r="I14" s="89">
        <f>AVERAGE(I5:I6)</f>
        <v>708.544435756309</v>
      </c>
      <c r="P14" s="89" t="e">
        <f>AVERAGE(P5:P6)</f>
        <v>#DIV/0!</v>
      </c>
      <c r="V14" s="111" t="e">
        <f t="shared" si="4"/>
        <v>#DIV/0!</v>
      </c>
      <c r="X14" s="89" t="e">
        <f>AVERAGE(X5:X6)</f>
        <v>#DIV/0!</v>
      </c>
    </row>
    <row r="15" spans="2:24">
      <c r="B15" s="68" t="s">
        <v>9</v>
      </c>
      <c r="I15" s="89">
        <f>AVERAGE(I7:I8)</f>
        <v>507.850866416517</v>
      </c>
      <c r="P15" s="89" t="e">
        <f>AVERAGE(P7:P8)</f>
        <v>#DIV/0!</v>
      </c>
      <c r="V15" s="111" t="e">
        <f t="shared" si="4"/>
        <v>#DIV/0!</v>
      </c>
      <c r="X15" s="89" t="e">
        <f>AVERAGE(X7:X8)</f>
        <v>#DIV/0!</v>
      </c>
    </row>
    <row r="16" spans="2:24">
      <c r="B16" s="68" t="s">
        <v>10</v>
      </c>
      <c r="I16" s="89">
        <f>AVERAGE(I9:I12)</f>
        <v>2891.00334733472</v>
      </c>
      <c r="P16" s="89" t="e">
        <f>AVERAGE(P9:P12)</f>
        <v>#DIV/0!</v>
      </c>
      <c r="V16" s="111" t="e">
        <f t="shared" si="4"/>
        <v>#DIV/0!</v>
      </c>
      <c r="X16" s="89" t="e">
        <f>AVERAGE(X9:X12)</f>
        <v>#DIV/0!</v>
      </c>
    </row>
    <row r="17" spans="2:24">
      <c r="B17" s="68" t="s">
        <v>11</v>
      </c>
      <c r="I17" s="89">
        <f>AVERAGE(I13)</f>
        <v>157.736138891111</v>
      </c>
      <c r="P17" s="89" t="e">
        <f>AVERAGE(P13)</f>
        <v>#DIV/0!</v>
      </c>
      <c r="V17" s="111" t="e">
        <f t="shared" si="4"/>
        <v>#DIV/0!</v>
      </c>
      <c r="X17" s="89" t="e">
        <f>AVERAGE(X10:X13)</f>
        <v>#DIV/0!</v>
      </c>
    </row>
    <row r="18" spans="2:24">
      <c r="B18" s="68" t="s">
        <v>12</v>
      </c>
      <c r="I18" s="89">
        <f>AVERAGE(I5:I13)</f>
        <v>1572.72668139729</v>
      </c>
      <c r="P18" s="89" t="e">
        <f>AVERAGE(P5:P13)</f>
        <v>#DIV/0!</v>
      </c>
      <c r="V18" s="111" t="e">
        <f t="shared" si="4"/>
        <v>#DIV/0!</v>
      </c>
      <c r="X18" s="89" t="e">
        <f>AVERAGE(X5:X12)</f>
        <v>#DIV/0!</v>
      </c>
    </row>
    <row r="19" spans="1:20">
      <c r="A19" s="68" t="s">
        <v>193</v>
      </c>
      <c r="B19" s="68" t="s">
        <v>194</v>
      </c>
      <c r="L19" s="102">
        <f>SUM(L5:L6,L7:L8,L9:L12)</f>
        <v>0</v>
      </c>
      <c r="M19" s="102">
        <f>SUM(M5:M6,M7:M8,M9:M12)</f>
        <v>0</v>
      </c>
      <c r="S19" s="102">
        <f>SUM(S5:S6,S7:S8,S9:S12)</f>
        <v>0</v>
      </c>
      <c r="T19" s="102">
        <f>SUM(T5:T6,T7:T8,T9:T12)</f>
        <v>0</v>
      </c>
    </row>
    <row r="20" spans="2:20">
      <c r="B20" s="68" t="s">
        <v>195</v>
      </c>
      <c r="S20" s="112" t="e">
        <f>S19/L19</f>
        <v>#DIV/0!</v>
      </c>
      <c r="T20" s="112" t="e">
        <f>T19/M19</f>
        <v>#DIV/0!</v>
      </c>
    </row>
    <row r="22" spans="17:18">
      <c r="Q22" s="96">
        <f>Q5-J5</f>
        <v>-8651863960</v>
      </c>
      <c r="R22" s="96">
        <f>R5-K5</f>
        <v>-128902216</v>
      </c>
    </row>
    <row r="23" spans="17:18">
      <c r="Q23" s="96">
        <f t="shared" ref="Q23:R23" si="6">Q6-J6</f>
        <v>-6263517280</v>
      </c>
      <c r="R23" s="96">
        <f t="shared" si="6"/>
        <v>-136097968</v>
      </c>
    </row>
    <row r="24" spans="17:18">
      <c r="Q24" s="96">
        <f t="shared" ref="Q24:R24" si="7">Q7-J7</f>
        <v>-6051066112</v>
      </c>
      <c r="R24" s="96">
        <f t="shared" si="7"/>
        <v>-152825416</v>
      </c>
    </row>
    <row r="25" spans="17:18">
      <c r="Q25" s="96">
        <f t="shared" ref="Q25:R25" si="8">Q8-J8</f>
        <v>-5961778704</v>
      </c>
      <c r="R25" s="96">
        <f t="shared" si="8"/>
        <v>-149815440</v>
      </c>
    </row>
    <row r="26" spans="17:18">
      <c r="Q26" s="96">
        <f t="shared" ref="Q26:R26" si="9">Q9-J9</f>
        <v>-29126015320</v>
      </c>
      <c r="R26" s="96">
        <f t="shared" si="9"/>
        <v>-166070488</v>
      </c>
    </row>
    <row r="27" spans="17:18">
      <c r="Q27" s="96">
        <f t="shared" ref="Q27:R27" si="10">Q10-J10</f>
        <v>-12295524840</v>
      </c>
      <c r="R27" s="96">
        <f t="shared" si="10"/>
        <v>-124774688</v>
      </c>
    </row>
    <row r="28" spans="17:18">
      <c r="Q28" s="96">
        <f t="shared" ref="Q28:R28" si="11">Q11-J11</f>
        <v>-36306782640</v>
      </c>
      <c r="R28" s="96">
        <f t="shared" si="11"/>
        <v>-141097056</v>
      </c>
    </row>
    <row r="29" spans="17:18">
      <c r="Q29" s="96">
        <f t="shared" ref="Q29:R29" si="12">Q12-J12</f>
        <v>-27474324968</v>
      </c>
      <c r="R29" s="96">
        <f t="shared" si="12"/>
        <v>-132915352</v>
      </c>
    </row>
    <row r="30" spans="17:18">
      <c r="Q30" s="96"/>
      <c r="R30" s="96"/>
    </row>
  </sheetData>
  <mergeCells count="21">
    <mergeCell ref="A1:F1"/>
    <mergeCell ref="H1:M1"/>
    <mergeCell ref="O1:T1"/>
    <mergeCell ref="A2:A3"/>
    <mergeCell ref="B2:B3"/>
    <mergeCell ref="C2:C3"/>
    <mergeCell ref="D2:D3"/>
    <mergeCell ref="E2:E3"/>
    <mergeCell ref="F2:F3"/>
    <mergeCell ref="H2:H3"/>
    <mergeCell ref="I2:I3"/>
    <mergeCell ref="J2:J3"/>
    <mergeCell ref="L2:L3"/>
    <mergeCell ref="M2:M3"/>
    <mergeCell ref="O2:O3"/>
    <mergeCell ref="P2:P3"/>
    <mergeCell ref="Q2:Q3"/>
    <mergeCell ref="S2:S3"/>
    <mergeCell ref="T2:T3"/>
    <mergeCell ref="V2:V3"/>
    <mergeCell ref="X2:X3"/>
  </mergeCells>
  <conditionalFormatting sqref="V5:V18">
    <cfRule type="cellIs" dxfId="0" priority="5" operator="greaterThanOrEqual">
      <formula>1.03</formula>
    </cfRule>
    <cfRule type="cellIs" dxfId="1" priority="6" operator="lessThanOrEqual">
      <formula>0.97</formula>
    </cfRule>
  </conditionalFormatting>
  <conditionalFormatting sqref="X5:X13">
    <cfRule type="cellIs" dxfId="0" priority="3" operator="greaterThanOrEqual">
      <formula>0.1%</formula>
    </cfRule>
    <cfRule type="cellIs" dxfId="1" priority="4" operator="lessThanOrEqual">
      <formula>-0.001</formula>
    </cfRule>
  </conditionalFormatting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S158"/>
  <sheetViews>
    <sheetView topLeftCell="A130" workbookViewId="0">
      <selection activeCell="A155" sqref="A155"/>
    </sheetView>
  </sheetViews>
  <sheetFormatPr defaultColWidth="9.12389380530973" defaultRowHeight="13.5"/>
  <cols>
    <col min="1" max="1" width="41.6283185840708" customWidth="1"/>
  </cols>
  <sheetData>
    <row r="1" spans="1:2">
      <c r="A1" t="s">
        <v>196</v>
      </c>
      <c r="B1">
        <v>1</v>
      </c>
    </row>
    <row r="2" spans="1:2">
      <c r="A2" t="s">
        <v>197</v>
      </c>
      <c r="B2">
        <v>2</v>
      </c>
    </row>
    <row r="3" spans="1:2">
      <c r="A3" t="s">
        <v>198</v>
      </c>
      <c r="B3">
        <v>3</v>
      </c>
    </row>
    <row r="4" spans="1:2">
      <c r="A4" t="s">
        <v>199</v>
      </c>
      <c r="B4">
        <v>4</v>
      </c>
    </row>
    <row r="5" spans="1:2">
      <c r="A5" t="s">
        <v>200</v>
      </c>
      <c r="B5">
        <v>5</v>
      </c>
    </row>
    <row r="6" spans="1:2">
      <c r="A6" t="s">
        <v>201</v>
      </c>
      <c r="B6">
        <v>6</v>
      </c>
    </row>
    <row r="7" spans="1:2">
      <c r="A7" t="s">
        <v>202</v>
      </c>
      <c r="B7">
        <v>8</v>
      </c>
    </row>
    <row r="8" spans="1:2">
      <c r="A8" t="s">
        <v>203</v>
      </c>
      <c r="B8">
        <v>9</v>
      </c>
    </row>
    <row r="9" spans="1:2">
      <c r="A9" t="s">
        <v>204</v>
      </c>
      <c r="B9">
        <v>10</v>
      </c>
    </row>
    <row r="10" spans="1:2">
      <c r="A10" t="s">
        <v>205</v>
      </c>
      <c r="B10">
        <v>11</v>
      </c>
    </row>
    <row r="11" spans="1:2">
      <c r="A11" t="s">
        <v>206</v>
      </c>
      <c r="B11">
        <v>12</v>
      </c>
    </row>
    <row r="12" spans="1:2">
      <c r="A12" t="s">
        <v>207</v>
      </c>
      <c r="B12">
        <v>14</v>
      </c>
    </row>
    <row r="13" spans="1:2">
      <c r="A13" t="s">
        <v>208</v>
      </c>
      <c r="B13">
        <v>15</v>
      </c>
    </row>
    <row r="14" spans="1:2">
      <c r="A14" t="s">
        <v>209</v>
      </c>
      <c r="B14">
        <v>16</v>
      </c>
    </row>
    <row r="15" spans="1:2">
      <c r="A15" t="s">
        <v>210</v>
      </c>
      <c r="B15">
        <v>17</v>
      </c>
    </row>
    <row r="16" spans="1:2">
      <c r="A16" t="s">
        <v>211</v>
      </c>
      <c r="B16">
        <v>18</v>
      </c>
    </row>
    <row r="17" spans="1:2">
      <c r="A17" t="s">
        <v>212</v>
      </c>
      <c r="B17">
        <v>20</v>
      </c>
    </row>
    <row r="18" spans="1:2">
      <c r="A18" t="s">
        <v>213</v>
      </c>
      <c r="B18" t="s">
        <v>214</v>
      </c>
    </row>
    <row r="19" spans="1:2">
      <c r="A19" t="s">
        <v>215</v>
      </c>
      <c r="B19" t="s">
        <v>216</v>
      </c>
    </row>
    <row r="20" spans="1:2">
      <c r="A20" t="s">
        <v>217</v>
      </c>
      <c r="B20" t="s">
        <v>218</v>
      </c>
    </row>
    <row r="21" spans="1:2">
      <c r="A21" t="s">
        <v>219</v>
      </c>
      <c r="B21" t="s">
        <v>220</v>
      </c>
    </row>
    <row r="22" spans="1:2">
      <c r="A22" t="s">
        <v>221</v>
      </c>
      <c r="B22" t="s">
        <v>222</v>
      </c>
    </row>
    <row r="23" spans="1:2">
      <c r="A23" t="s">
        <v>223</v>
      </c>
      <c r="B23" t="s">
        <v>224</v>
      </c>
    </row>
    <row r="24" spans="1:2">
      <c r="A24" t="s">
        <v>225</v>
      </c>
      <c r="B24" t="s">
        <v>226</v>
      </c>
    </row>
    <row r="25" spans="1:2">
      <c r="A25" t="s">
        <v>227</v>
      </c>
      <c r="B25" t="s">
        <v>228</v>
      </c>
    </row>
    <row r="26" spans="1:2">
      <c r="A26" t="s">
        <v>229</v>
      </c>
      <c r="B26" t="s">
        <v>230</v>
      </c>
    </row>
    <row r="27" spans="1:2">
      <c r="A27" t="s">
        <v>231</v>
      </c>
      <c r="B27" t="s">
        <v>232</v>
      </c>
    </row>
    <row r="28" spans="1:2">
      <c r="A28" t="s">
        <v>233</v>
      </c>
      <c r="B28" s="139" t="s">
        <v>234</v>
      </c>
    </row>
    <row r="29" spans="1:2">
      <c r="A29" t="s">
        <v>235</v>
      </c>
      <c r="B29">
        <v>1</v>
      </c>
    </row>
    <row r="30" spans="1:2">
      <c r="A30" t="s">
        <v>236</v>
      </c>
      <c r="B30">
        <v>2</v>
      </c>
    </row>
    <row r="31" spans="1:2">
      <c r="A31" t="s">
        <v>237</v>
      </c>
      <c r="B31">
        <v>3</v>
      </c>
    </row>
    <row r="32" spans="1:2">
      <c r="A32" t="s">
        <v>238</v>
      </c>
      <c r="B32">
        <v>4</v>
      </c>
    </row>
    <row r="33" spans="1:2">
      <c r="A33" t="s">
        <v>239</v>
      </c>
      <c r="B33">
        <v>5</v>
      </c>
    </row>
    <row r="34" spans="1:2">
      <c r="A34" t="s">
        <v>240</v>
      </c>
      <c r="B34">
        <v>6</v>
      </c>
    </row>
    <row r="35" spans="1:2">
      <c r="A35" t="s">
        <v>241</v>
      </c>
      <c r="B35">
        <v>7</v>
      </c>
    </row>
    <row r="36" spans="1:2">
      <c r="A36" t="s">
        <v>242</v>
      </c>
      <c r="B36">
        <v>8</v>
      </c>
    </row>
    <row r="37" spans="1:2">
      <c r="A37" t="s">
        <v>243</v>
      </c>
      <c r="B37">
        <v>10</v>
      </c>
    </row>
    <row r="38" spans="1:2">
      <c r="A38" t="s">
        <v>244</v>
      </c>
      <c r="B38">
        <v>11</v>
      </c>
    </row>
    <row r="39" spans="1:2">
      <c r="A39" t="s">
        <v>245</v>
      </c>
      <c r="B39">
        <v>13</v>
      </c>
    </row>
    <row r="40" spans="1:2">
      <c r="A40" t="s">
        <v>246</v>
      </c>
      <c r="B40">
        <v>14</v>
      </c>
    </row>
    <row r="41" spans="1:2">
      <c r="A41" t="s">
        <v>247</v>
      </c>
      <c r="B41">
        <v>15</v>
      </c>
    </row>
    <row r="42" spans="1:2">
      <c r="A42" t="s">
        <v>248</v>
      </c>
      <c r="B42">
        <v>16</v>
      </c>
    </row>
    <row r="43" spans="1:2">
      <c r="A43" t="s">
        <v>249</v>
      </c>
      <c r="B43">
        <v>17</v>
      </c>
    </row>
    <row r="44" spans="1:2">
      <c r="A44" t="s">
        <v>250</v>
      </c>
      <c r="B44">
        <v>18</v>
      </c>
    </row>
    <row r="45" spans="1:2">
      <c r="A45" t="s">
        <v>251</v>
      </c>
      <c r="B45">
        <v>19</v>
      </c>
    </row>
    <row r="46" spans="1:2">
      <c r="A46" t="s">
        <v>252</v>
      </c>
      <c r="B46">
        <v>20</v>
      </c>
    </row>
    <row r="47" spans="1:2">
      <c r="A47" t="s">
        <v>253</v>
      </c>
      <c r="B47">
        <v>21</v>
      </c>
    </row>
    <row r="48" spans="1:2">
      <c r="A48" t="s">
        <v>254</v>
      </c>
      <c r="B48">
        <v>22</v>
      </c>
    </row>
    <row r="49" spans="1:2">
      <c r="A49" t="s">
        <v>255</v>
      </c>
      <c r="B49">
        <v>23</v>
      </c>
    </row>
    <row r="50" spans="1:2">
      <c r="A50" t="s">
        <v>256</v>
      </c>
      <c r="B50">
        <v>24</v>
      </c>
    </row>
    <row r="51" spans="1:2">
      <c r="A51" t="s">
        <v>257</v>
      </c>
      <c r="B51">
        <v>25</v>
      </c>
    </row>
    <row r="52" spans="1:2">
      <c r="A52" t="s">
        <v>258</v>
      </c>
      <c r="B52">
        <v>26</v>
      </c>
    </row>
    <row r="53" spans="1:2">
      <c r="A53" t="s">
        <v>259</v>
      </c>
      <c r="B53">
        <v>27</v>
      </c>
    </row>
    <row r="54" spans="1:2">
      <c r="A54" t="s">
        <v>260</v>
      </c>
      <c r="B54">
        <v>28</v>
      </c>
    </row>
    <row r="55" spans="1:2">
      <c r="A55" t="s">
        <v>261</v>
      </c>
      <c r="B55">
        <v>29</v>
      </c>
    </row>
    <row r="56" spans="1:2">
      <c r="A56" t="s">
        <v>262</v>
      </c>
      <c r="B56">
        <v>31</v>
      </c>
    </row>
    <row r="57" spans="1:2">
      <c r="A57" t="s">
        <v>263</v>
      </c>
      <c r="B57">
        <v>32</v>
      </c>
    </row>
    <row r="58" spans="1:2">
      <c r="A58" t="s">
        <v>264</v>
      </c>
      <c r="B58">
        <v>34</v>
      </c>
    </row>
    <row r="59" spans="1:2">
      <c r="A59" t="s">
        <v>265</v>
      </c>
      <c r="B59">
        <v>35</v>
      </c>
    </row>
    <row r="60" spans="1:2">
      <c r="A60" t="s">
        <v>266</v>
      </c>
      <c r="B60">
        <v>36</v>
      </c>
    </row>
    <row r="61" spans="1:2">
      <c r="A61" t="s">
        <v>267</v>
      </c>
      <c r="B61">
        <v>37</v>
      </c>
    </row>
    <row r="62" spans="1:2">
      <c r="A62" t="s">
        <v>268</v>
      </c>
      <c r="B62">
        <v>38</v>
      </c>
    </row>
    <row r="63" spans="1:2">
      <c r="A63" t="s">
        <v>269</v>
      </c>
      <c r="B63">
        <v>39</v>
      </c>
    </row>
    <row r="64" spans="1:2">
      <c r="A64" t="s">
        <v>270</v>
      </c>
      <c r="B64">
        <v>40</v>
      </c>
    </row>
    <row r="65" spans="1:2">
      <c r="A65" t="s">
        <v>271</v>
      </c>
      <c r="B65">
        <v>41</v>
      </c>
    </row>
    <row r="66" spans="1:2">
      <c r="A66" t="s">
        <v>272</v>
      </c>
      <c r="B66">
        <v>42</v>
      </c>
    </row>
    <row r="67" spans="1:2">
      <c r="A67" t="s">
        <v>273</v>
      </c>
      <c r="B67">
        <v>43</v>
      </c>
    </row>
    <row r="68" spans="1:2">
      <c r="A68" t="s">
        <v>274</v>
      </c>
      <c r="B68">
        <v>44</v>
      </c>
    </row>
    <row r="69" spans="1:2">
      <c r="A69" t="s">
        <v>275</v>
      </c>
      <c r="B69">
        <v>45</v>
      </c>
    </row>
    <row r="70" spans="1:2">
      <c r="A70" t="s">
        <v>276</v>
      </c>
      <c r="B70">
        <v>46</v>
      </c>
    </row>
    <row r="71" spans="1:2">
      <c r="A71" t="s">
        <v>277</v>
      </c>
      <c r="B71">
        <v>47</v>
      </c>
    </row>
    <row r="72" spans="1:2">
      <c r="A72" t="s">
        <v>278</v>
      </c>
      <c r="B72">
        <v>48</v>
      </c>
    </row>
    <row r="73" spans="1:2">
      <c r="A73" t="s">
        <v>279</v>
      </c>
      <c r="B73">
        <v>49</v>
      </c>
    </row>
    <row r="74" spans="1:2">
      <c r="A74" t="s">
        <v>280</v>
      </c>
      <c r="B74">
        <v>50</v>
      </c>
    </row>
    <row r="75" spans="1:2">
      <c r="A75" t="s">
        <v>281</v>
      </c>
      <c r="B75">
        <v>52</v>
      </c>
    </row>
    <row r="76" spans="1:2">
      <c r="A76" t="s">
        <v>282</v>
      </c>
      <c r="B76">
        <v>53</v>
      </c>
    </row>
    <row r="77" spans="1:2">
      <c r="A77" t="s">
        <v>283</v>
      </c>
      <c r="B77">
        <v>54</v>
      </c>
    </row>
    <row r="78" spans="1:2">
      <c r="A78" t="s">
        <v>284</v>
      </c>
      <c r="B78">
        <v>55</v>
      </c>
    </row>
    <row r="79" spans="1:2">
      <c r="A79" t="s">
        <v>285</v>
      </c>
      <c r="B79">
        <v>56</v>
      </c>
    </row>
    <row r="80" spans="1:2">
      <c r="A80" t="s">
        <v>286</v>
      </c>
      <c r="B80">
        <v>57</v>
      </c>
    </row>
    <row r="81" spans="1:2">
      <c r="A81" t="s">
        <v>287</v>
      </c>
      <c r="B81">
        <v>58</v>
      </c>
    </row>
    <row r="82" spans="1:2">
      <c r="A82" t="s">
        <v>288</v>
      </c>
      <c r="B82" t="s">
        <v>289</v>
      </c>
    </row>
    <row r="83" spans="1:2">
      <c r="A83" t="s">
        <v>290</v>
      </c>
      <c r="B83" s="139" t="s">
        <v>291</v>
      </c>
    </row>
    <row r="84" spans="1:2">
      <c r="A84" t="s">
        <v>292</v>
      </c>
      <c r="B84" s="139" t="s">
        <v>293</v>
      </c>
    </row>
    <row r="85" spans="1:2">
      <c r="A85" t="s">
        <v>294</v>
      </c>
      <c r="B85" s="139" t="s">
        <v>295</v>
      </c>
    </row>
    <row r="86" spans="1:2">
      <c r="A86" t="s">
        <v>296</v>
      </c>
      <c r="B86" s="139" t="s">
        <v>297</v>
      </c>
    </row>
    <row r="87" spans="1:2">
      <c r="A87" t="s">
        <v>298</v>
      </c>
      <c r="B87" s="139" t="s">
        <v>299</v>
      </c>
    </row>
    <row r="88" spans="1:2">
      <c r="A88" t="s">
        <v>300</v>
      </c>
      <c r="B88" s="139" t="s">
        <v>301</v>
      </c>
    </row>
    <row r="89" spans="1:2">
      <c r="A89" t="s">
        <v>302</v>
      </c>
      <c r="B89" s="139" t="s">
        <v>303</v>
      </c>
    </row>
    <row r="90" spans="1:2">
      <c r="A90" t="s">
        <v>304</v>
      </c>
      <c r="B90" s="139" t="s">
        <v>305</v>
      </c>
    </row>
    <row r="91" spans="1:2">
      <c r="A91" t="s">
        <v>306</v>
      </c>
      <c r="B91" s="139" t="s">
        <v>307</v>
      </c>
    </row>
    <row r="92" spans="1:2">
      <c r="A92" t="s">
        <v>308</v>
      </c>
      <c r="B92" s="139" t="s">
        <v>309</v>
      </c>
    </row>
    <row r="93" spans="1:19">
      <c r="A93" t="s">
        <v>310</v>
      </c>
      <c r="B93" t="s">
        <v>61</v>
      </c>
      <c r="C93" t="s">
        <v>106</v>
      </c>
      <c r="D93" t="s">
        <v>56</v>
      </c>
      <c r="E93" t="s">
        <v>135</v>
      </c>
      <c r="F93" t="s">
        <v>46</v>
      </c>
      <c r="G93" t="s">
        <v>51</v>
      </c>
      <c r="H93" t="s">
        <v>76</v>
      </c>
      <c r="I93" t="s">
        <v>44</v>
      </c>
      <c r="J93" t="s">
        <v>71</v>
      </c>
      <c r="K93" t="s">
        <v>124</v>
      </c>
      <c r="L93" t="s">
        <v>66</v>
      </c>
      <c r="M93" t="s">
        <v>85</v>
      </c>
      <c r="N93" t="s">
        <v>126</v>
      </c>
      <c r="O93" t="s">
        <v>151</v>
      </c>
      <c r="P93" t="s">
        <v>153</v>
      </c>
      <c r="Q93" t="s">
        <v>155</v>
      </c>
      <c r="R93" t="s">
        <v>157</v>
      </c>
      <c r="S93" t="s">
        <v>159</v>
      </c>
    </row>
    <row r="94" spans="1:2">
      <c r="A94" t="s">
        <v>311</v>
      </c>
      <c r="B94">
        <v>1</v>
      </c>
    </row>
    <row r="95" spans="1:2">
      <c r="A95" t="s">
        <v>312</v>
      </c>
      <c r="B95">
        <v>2</v>
      </c>
    </row>
    <row r="96" spans="1:2">
      <c r="A96" t="s">
        <v>313</v>
      </c>
      <c r="B96">
        <v>3</v>
      </c>
    </row>
    <row r="97" spans="1:2">
      <c r="A97" t="s">
        <v>314</v>
      </c>
      <c r="B97">
        <v>4</v>
      </c>
    </row>
    <row r="98" spans="1:2">
      <c r="A98" t="s">
        <v>315</v>
      </c>
      <c r="B98">
        <v>5</v>
      </c>
    </row>
    <row r="99" spans="1:2">
      <c r="A99" t="s">
        <v>316</v>
      </c>
      <c r="B99">
        <v>6</v>
      </c>
    </row>
    <row r="100" spans="1:2">
      <c r="A100" t="s">
        <v>317</v>
      </c>
      <c r="B100">
        <v>7</v>
      </c>
    </row>
    <row r="101" spans="1:2">
      <c r="A101" t="s">
        <v>318</v>
      </c>
      <c r="B101">
        <v>8</v>
      </c>
    </row>
    <row r="102" spans="1:2">
      <c r="A102" t="s">
        <v>319</v>
      </c>
      <c r="B102">
        <v>10</v>
      </c>
    </row>
    <row r="103" spans="1:2">
      <c r="A103" t="s">
        <v>320</v>
      </c>
      <c r="B103">
        <v>11</v>
      </c>
    </row>
    <row r="104" spans="1:2">
      <c r="A104" t="s">
        <v>321</v>
      </c>
      <c r="B104">
        <v>13</v>
      </c>
    </row>
    <row r="105" spans="1:2">
      <c r="A105" t="s">
        <v>322</v>
      </c>
      <c r="B105">
        <v>14</v>
      </c>
    </row>
    <row r="106" spans="1:2">
      <c r="A106" t="s">
        <v>323</v>
      </c>
      <c r="B106">
        <v>15</v>
      </c>
    </row>
    <row r="107" spans="1:2">
      <c r="A107" t="s">
        <v>324</v>
      </c>
      <c r="B107">
        <v>16</v>
      </c>
    </row>
    <row r="108" spans="1:2">
      <c r="A108" t="s">
        <v>325</v>
      </c>
      <c r="B108">
        <v>17</v>
      </c>
    </row>
    <row r="109" spans="1:2">
      <c r="A109" t="s">
        <v>326</v>
      </c>
      <c r="B109">
        <v>18</v>
      </c>
    </row>
    <row r="110" spans="1:2">
      <c r="A110" t="s">
        <v>327</v>
      </c>
      <c r="B110">
        <v>19</v>
      </c>
    </row>
    <row r="111" spans="1:2">
      <c r="A111" t="s">
        <v>328</v>
      </c>
      <c r="B111">
        <v>20</v>
      </c>
    </row>
    <row r="112" spans="1:2">
      <c r="A112" t="s">
        <v>329</v>
      </c>
      <c r="B112">
        <v>21</v>
      </c>
    </row>
    <row r="113" spans="1:2">
      <c r="A113" t="s">
        <v>330</v>
      </c>
      <c r="B113">
        <v>22</v>
      </c>
    </row>
    <row r="114" spans="1:2">
      <c r="A114" t="s">
        <v>331</v>
      </c>
      <c r="B114">
        <v>23</v>
      </c>
    </row>
    <row r="115" spans="1:2">
      <c r="A115" t="s">
        <v>332</v>
      </c>
      <c r="B115">
        <v>24</v>
      </c>
    </row>
    <row r="116" spans="1:2">
      <c r="A116" t="s">
        <v>333</v>
      </c>
      <c r="B116">
        <v>25</v>
      </c>
    </row>
    <row r="117" spans="1:2">
      <c r="A117" t="s">
        <v>334</v>
      </c>
      <c r="B117">
        <v>26</v>
      </c>
    </row>
    <row r="118" spans="1:2">
      <c r="A118" t="s">
        <v>335</v>
      </c>
      <c r="B118">
        <v>27</v>
      </c>
    </row>
    <row r="119" spans="1:2">
      <c r="A119" t="s">
        <v>336</v>
      </c>
      <c r="B119">
        <v>28</v>
      </c>
    </row>
    <row r="120" spans="1:2">
      <c r="A120" t="s">
        <v>337</v>
      </c>
      <c r="B120">
        <v>29</v>
      </c>
    </row>
    <row r="121" spans="1:2">
      <c r="A121" t="s">
        <v>338</v>
      </c>
      <c r="B121">
        <v>31</v>
      </c>
    </row>
    <row r="122" spans="1:2">
      <c r="A122" t="s">
        <v>339</v>
      </c>
      <c r="B122">
        <v>32</v>
      </c>
    </row>
    <row r="123" spans="1:2">
      <c r="A123" t="s">
        <v>340</v>
      </c>
      <c r="B123">
        <v>34</v>
      </c>
    </row>
    <row r="124" spans="1:2">
      <c r="A124" t="s">
        <v>341</v>
      </c>
      <c r="B124">
        <v>35</v>
      </c>
    </row>
    <row r="125" spans="1:2">
      <c r="A125" t="s">
        <v>342</v>
      </c>
      <c r="B125">
        <v>36</v>
      </c>
    </row>
    <row r="126" spans="1:2">
      <c r="A126" t="s">
        <v>343</v>
      </c>
      <c r="B126">
        <v>37</v>
      </c>
    </row>
    <row r="127" spans="1:2">
      <c r="A127" t="s">
        <v>344</v>
      </c>
      <c r="B127">
        <v>38</v>
      </c>
    </row>
    <row r="128" spans="1:2">
      <c r="A128" t="s">
        <v>345</v>
      </c>
      <c r="B128">
        <v>39</v>
      </c>
    </row>
    <row r="129" spans="1:2">
      <c r="A129" t="s">
        <v>346</v>
      </c>
      <c r="B129">
        <v>40</v>
      </c>
    </row>
    <row r="130" spans="1:2">
      <c r="A130" t="s">
        <v>347</v>
      </c>
      <c r="B130">
        <v>41</v>
      </c>
    </row>
    <row r="131" spans="1:2">
      <c r="A131" t="s">
        <v>348</v>
      </c>
      <c r="B131">
        <v>42</v>
      </c>
    </row>
    <row r="132" spans="1:2">
      <c r="A132" t="s">
        <v>349</v>
      </c>
      <c r="B132">
        <v>43</v>
      </c>
    </row>
    <row r="133" spans="1:2">
      <c r="A133" t="s">
        <v>350</v>
      </c>
      <c r="B133">
        <v>44</v>
      </c>
    </row>
    <row r="134" spans="1:2">
      <c r="A134" t="s">
        <v>351</v>
      </c>
      <c r="B134">
        <v>45</v>
      </c>
    </row>
    <row r="135" spans="1:2">
      <c r="A135" t="s">
        <v>352</v>
      </c>
      <c r="B135">
        <v>46</v>
      </c>
    </row>
    <row r="136" spans="1:2">
      <c r="A136" t="s">
        <v>353</v>
      </c>
      <c r="B136">
        <v>47</v>
      </c>
    </row>
    <row r="137" spans="1:2">
      <c r="A137" t="s">
        <v>354</v>
      </c>
      <c r="B137">
        <v>48</v>
      </c>
    </row>
    <row r="138" spans="1:2">
      <c r="A138" t="s">
        <v>355</v>
      </c>
      <c r="B138">
        <v>49</v>
      </c>
    </row>
    <row r="139" spans="1:2">
      <c r="A139" t="s">
        <v>356</v>
      </c>
      <c r="B139">
        <v>50</v>
      </c>
    </row>
    <row r="140" spans="1:2">
      <c r="A140" t="s">
        <v>357</v>
      </c>
      <c r="B140">
        <v>52</v>
      </c>
    </row>
    <row r="141" spans="1:2">
      <c r="A141" t="s">
        <v>358</v>
      </c>
      <c r="B141">
        <v>53</v>
      </c>
    </row>
    <row r="142" spans="1:2">
      <c r="A142" t="s">
        <v>359</v>
      </c>
      <c r="B142">
        <v>54</v>
      </c>
    </row>
    <row r="143" spans="1:2">
      <c r="A143" t="s">
        <v>360</v>
      </c>
      <c r="B143">
        <v>55</v>
      </c>
    </row>
    <row r="144" spans="1:2">
      <c r="A144" t="s">
        <v>361</v>
      </c>
      <c r="B144">
        <v>56</v>
      </c>
    </row>
    <row r="145" spans="1:2">
      <c r="A145" t="s">
        <v>362</v>
      </c>
      <c r="B145">
        <v>57</v>
      </c>
    </row>
    <row r="146" spans="1:2">
      <c r="A146" t="s">
        <v>363</v>
      </c>
      <c r="B146">
        <v>58</v>
      </c>
    </row>
    <row r="147" spans="1:2">
      <c r="A147" t="s">
        <v>364</v>
      </c>
      <c r="B147" t="s">
        <v>365</v>
      </c>
    </row>
    <row r="148" spans="1:2">
      <c r="A148" t="s">
        <v>366</v>
      </c>
      <c r="B148" s="139" t="s">
        <v>367</v>
      </c>
    </row>
    <row r="149" spans="1:2">
      <c r="A149" t="s">
        <v>368</v>
      </c>
      <c r="B149" s="139" t="s">
        <v>369</v>
      </c>
    </row>
    <row r="150" spans="1:2">
      <c r="A150" t="s">
        <v>370</v>
      </c>
      <c r="B150" s="139" t="s">
        <v>371</v>
      </c>
    </row>
    <row r="151" spans="1:2">
      <c r="A151" t="s">
        <v>372</v>
      </c>
      <c r="B151" s="139" t="s">
        <v>373</v>
      </c>
    </row>
    <row r="152" spans="1:2">
      <c r="A152" t="s">
        <v>374</v>
      </c>
      <c r="B152" s="139" t="s">
        <v>375</v>
      </c>
    </row>
    <row r="153" spans="1:2">
      <c r="A153" t="s">
        <v>376</v>
      </c>
      <c r="B153" s="139" t="s">
        <v>377</v>
      </c>
    </row>
    <row r="154" spans="1:2">
      <c r="A154" t="s">
        <v>378</v>
      </c>
      <c r="B154" s="139" t="s">
        <v>379</v>
      </c>
    </row>
    <row r="155" spans="1:2">
      <c r="A155" t="s">
        <v>380</v>
      </c>
      <c r="B155" s="139" t="s">
        <v>381</v>
      </c>
    </row>
    <row r="156" spans="1:2">
      <c r="A156" t="s">
        <v>382</v>
      </c>
      <c r="B156" s="139" t="s">
        <v>383</v>
      </c>
    </row>
    <row r="157" spans="1:2">
      <c r="A157" t="s">
        <v>384</v>
      </c>
      <c r="B157" s="139" t="s">
        <v>385</v>
      </c>
    </row>
    <row r="158" spans="1:19">
      <c r="A158" t="s">
        <v>386</v>
      </c>
      <c r="B158" t="s">
        <v>61</v>
      </c>
      <c r="C158" t="s">
        <v>106</v>
      </c>
      <c r="D158" t="s">
        <v>56</v>
      </c>
      <c r="E158" t="s">
        <v>135</v>
      </c>
      <c r="F158" t="s">
        <v>46</v>
      </c>
      <c r="G158" t="s">
        <v>51</v>
      </c>
      <c r="H158" t="s">
        <v>76</v>
      </c>
      <c r="I158" t="s">
        <v>44</v>
      </c>
      <c r="J158" t="s">
        <v>71</v>
      </c>
      <c r="K158" t="s">
        <v>124</v>
      </c>
      <c r="L158" t="s">
        <v>66</v>
      </c>
      <c r="M158" t="s">
        <v>85</v>
      </c>
      <c r="N158" t="s">
        <v>126</v>
      </c>
      <c r="O158" t="s">
        <v>151</v>
      </c>
      <c r="P158" t="s">
        <v>153</v>
      </c>
      <c r="Q158" t="s">
        <v>155</v>
      </c>
      <c r="R158" t="s">
        <v>157</v>
      </c>
      <c r="S158" t="s">
        <v>159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ummaryBelow="0"/>
  </sheetPr>
  <dimension ref="A1:BT104"/>
  <sheetViews>
    <sheetView zoomScale="55" zoomScaleNormal="55" workbookViewId="0">
      <pane xSplit="2" ySplit="4" topLeftCell="C5" activePane="bottomRight" state="frozen"/>
      <selection/>
      <selection pane="topRight"/>
      <selection pane="bottomLeft"/>
      <selection pane="bottomRight" activeCell="AI5" sqref="AI5:AX44"/>
    </sheetView>
  </sheetViews>
  <sheetFormatPr defaultColWidth="9.12389380530973" defaultRowHeight="13.5"/>
  <cols>
    <col min="2" max="2" width="24.6283185840708" customWidth="1"/>
    <col min="4" max="5" width="10.6283185840708" customWidth="1"/>
    <col min="9" max="9" width="1.6283185840708" customWidth="1"/>
    <col min="11" max="11" width="10.6283185840708" customWidth="1"/>
    <col min="12" max="13" width="12.5044247787611" customWidth="1"/>
    <col min="14" max="14" width="10.6283185840708" customWidth="1"/>
    <col min="15" max="20" width="12.6283185840708" customWidth="1"/>
    <col min="21" max="27" width="11.6283185840708" customWidth="1"/>
    <col min="30" max="30" width="1.6283185840708" customWidth="1"/>
    <col min="32" max="32" width="10.6283185840708" customWidth="1"/>
    <col min="33" max="34" width="12.5044247787611" customWidth="1"/>
    <col min="35" max="35" width="10.6283185840708" customWidth="1"/>
    <col min="36" max="41" width="12.6283185840708" customWidth="1"/>
    <col min="42" max="48" width="11.6283185840708" customWidth="1"/>
    <col min="51" max="51" width="1.6283185840708" customWidth="1"/>
    <col min="54" max="58" width="11.6283185840708" customWidth="1"/>
    <col min="59" max="59" width="1.6283185840708" customWidth="1"/>
    <col min="62" max="66" width="11.6283185840708" customWidth="1"/>
    <col min="67" max="67" width="1.6283185840708" customWidth="1"/>
  </cols>
  <sheetData>
    <row r="1" spans="1:31">
      <c r="A1" s="51" t="s">
        <v>387</v>
      </c>
      <c r="J1" s="69" t="str">
        <f>Summary!C1</f>
        <v>F300_v11.0</v>
      </c>
      <c r="AE1" s="97">
        <f>Summary!C2</f>
        <v>0</v>
      </c>
    </row>
    <row r="2" ht="33" customHeight="1" spans="1:72">
      <c r="A2" s="52" t="s">
        <v>162</v>
      </c>
      <c r="B2" s="53" t="s">
        <v>163</v>
      </c>
      <c r="C2" s="52" t="s">
        <v>388</v>
      </c>
      <c r="D2" s="53" t="s">
        <v>164</v>
      </c>
      <c r="E2" s="52" t="s">
        <v>165</v>
      </c>
      <c r="F2" s="53" t="s">
        <v>166</v>
      </c>
      <c r="G2" s="52" t="s">
        <v>167</v>
      </c>
      <c r="H2" s="53" t="s">
        <v>389</v>
      </c>
      <c r="J2" s="52" t="s">
        <v>132</v>
      </c>
      <c r="K2" s="53" t="s">
        <v>136</v>
      </c>
      <c r="L2" s="70" t="s">
        <v>125</v>
      </c>
      <c r="M2" s="53" t="s">
        <v>390</v>
      </c>
      <c r="N2" s="52" t="s">
        <v>86</v>
      </c>
      <c r="O2" s="71" t="s">
        <v>125</v>
      </c>
      <c r="P2" s="71" t="s">
        <v>391</v>
      </c>
      <c r="Q2" s="71" t="s">
        <v>392</v>
      </c>
      <c r="R2" s="71" t="s">
        <v>393</v>
      </c>
      <c r="S2" s="71" t="s">
        <v>394</v>
      </c>
      <c r="T2" s="71" t="s">
        <v>395</v>
      </c>
      <c r="U2" s="90" t="s">
        <v>396</v>
      </c>
      <c r="Z2" s="71" t="s">
        <v>397</v>
      </c>
      <c r="AB2" s="52" t="s">
        <v>127</v>
      </c>
      <c r="AC2" s="53" t="s">
        <v>107</v>
      </c>
      <c r="AE2" s="52" t="s">
        <v>132</v>
      </c>
      <c r="AF2" s="53" t="s">
        <v>136</v>
      </c>
      <c r="AG2" s="70" t="s">
        <v>125</v>
      </c>
      <c r="AH2" s="53" t="s">
        <v>390</v>
      </c>
      <c r="AI2" s="52" t="s">
        <v>86</v>
      </c>
      <c r="AJ2" s="53" t="s">
        <v>125</v>
      </c>
      <c r="AK2" s="71" t="s">
        <v>391</v>
      </c>
      <c r="AL2" s="71" t="s">
        <v>392</v>
      </c>
      <c r="AM2" s="71" t="s">
        <v>393</v>
      </c>
      <c r="AN2" s="71" t="s">
        <v>394</v>
      </c>
      <c r="AO2" s="71" t="s">
        <v>395</v>
      </c>
      <c r="AP2" s="90" t="s">
        <v>396</v>
      </c>
      <c r="AU2" s="71" t="s">
        <v>397</v>
      </c>
      <c r="AW2" s="52" t="s">
        <v>127</v>
      </c>
      <c r="AX2" s="53" t="s">
        <v>107</v>
      </c>
      <c r="AZ2" s="90" t="s">
        <v>17</v>
      </c>
      <c r="BE2" s="71" t="s">
        <v>18</v>
      </c>
      <c r="BH2" s="90" t="s">
        <v>398</v>
      </c>
      <c r="BI2" s="90"/>
      <c r="BJ2" s="113" t="s">
        <v>399</v>
      </c>
      <c r="BK2" s="113"/>
      <c r="BL2" s="113"/>
      <c r="BM2" s="52" t="s">
        <v>400</v>
      </c>
      <c r="BN2" s="53" t="s">
        <v>401</v>
      </c>
      <c r="BP2" s="52" t="s">
        <v>402</v>
      </c>
      <c r="BQ2" s="52" t="s">
        <v>403</v>
      </c>
      <c r="BR2" s="52" t="s">
        <v>404</v>
      </c>
      <c r="BS2" s="52" t="s">
        <v>405</v>
      </c>
      <c r="BT2" s="52" t="s">
        <v>406</v>
      </c>
    </row>
    <row r="3" ht="33" customHeight="1" spans="1:72">
      <c r="A3" s="37"/>
      <c r="B3" s="37"/>
      <c r="C3" s="37"/>
      <c r="D3" s="37"/>
      <c r="E3" s="37"/>
      <c r="F3" s="37"/>
      <c r="G3" s="37"/>
      <c r="H3" s="37"/>
      <c r="J3" s="37"/>
      <c r="K3" s="37"/>
      <c r="L3" s="72"/>
      <c r="M3" s="37"/>
      <c r="N3" s="37"/>
      <c r="O3" s="53"/>
      <c r="P3" s="53"/>
      <c r="Q3" s="53"/>
      <c r="R3" s="53"/>
      <c r="S3" s="53"/>
      <c r="T3" s="53"/>
      <c r="U3" s="52" t="s">
        <v>19</v>
      </c>
      <c r="V3" s="52" t="s">
        <v>20</v>
      </c>
      <c r="W3" s="52" t="s">
        <v>21</v>
      </c>
      <c r="X3" s="52" t="s">
        <v>22</v>
      </c>
      <c r="Y3" s="52" t="s">
        <v>23</v>
      </c>
      <c r="Z3" s="53" t="s">
        <v>24</v>
      </c>
      <c r="AA3" s="53" t="s">
        <v>21</v>
      </c>
      <c r="AB3" s="37"/>
      <c r="AC3" s="37"/>
      <c r="AE3" s="37"/>
      <c r="AF3" s="37"/>
      <c r="AG3" s="72"/>
      <c r="AH3" s="37"/>
      <c r="AI3" s="37"/>
      <c r="AJ3" s="37"/>
      <c r="AK3" s="53"/>
      <c r="AL3" s="53"/>
      <c r="AM3" s="53"/>
      <c r="AN3" s="53"/>
      <c r="AO3" s="53"/>
      <c r="AP3" s="52" t="s">
        <v>19</v>
      </c>
      <c r="AQ3" s="52" t="s">
        <v>20</v>
      </c>
      <c r="AR3" s="52" t="s">
        <v>21</v>
      </c>
      <c r="AS3" s="52" t="s">
        <v>22</v>
      </c>
      <c r="AT3" s="52" t="s">
        <v>23</v>
      </c>
      <c r="AU3" s="53" t="s">
        <v>24</v>
      </c>
      <c r="AV3" s="53" t="s">
        <v>21</v>
      </c>
      <c r="AW3" s="37"/>
      <c r="AX3" s="37"/>
      <c r="AZ3" s="52" t="s">
        <v>19</v>
      </c>
      <c r="BA3" s="52" t="s">
        <v>20</v>
      </c>
      <c r="BB3" s="52" t="s">
        <v>21</v>
      </c>
      <c r="BC3" s="52" t="s">
        <v>22</v>
      </c>
      <c r="BD3" s="52" t="s">
        <v>23</v>
      </c>
      <c r="BE3" s="53" t="s">
        <v>24</v>
      </c>
      <c r="BF3" s="53" t="s">
        <v>21</v>
      </c>
      <c r="BH3" s="52" t="s">
        <v>19</v>
      </c>
      <c r="BI3" s="52" t="s">
        <v>20</v>
      </c>
      <c r="BJ3" s="11" t="s">
        <v>21</v>
      </c>
      <c r="BK3" s="11" t="s">
        <v>22</v>
      </c>
      <c r="BL3" s="11" t="s">
        <v>23</v>
      </c>
      <c r="BM3" s="52"/>
      <c r="BN3" s="53"/>
      <c r="BP3" s="37"/>
      <c r="BQ3" s="37"/>
      <c r="BR3" s="37"/>
      <c r="BS3" s="37"/>
      <c r="BT3" s="37"/>
    </row>
    <row r="4" ht="1.5" hidden="1" customHeight="1" spans="1:66">
      <c r="A4" s="54" t="s">
        <v>172</v>
      </c>
      <c r="B4" s="55" t="s">
        <v>173</v>
      </c>
      <c r="C4" s="54" t="s">
        <v>407</v>
      </c>
      <c r="D4" s="55" t="s">
        <v>174</v>
      </c>
      <c r="E4" s="54" t="s">
        <v>175</v>
      </c>
      <c r="F4" s="55" t="s">
        <v>176</v>
      </c>
      <c r="G4" s="54" t="s">
        <v>177</v>
      </c>
      <c r="H4" s="55" t="s">
        <v>408</v>
      </c>
      <c r="J4" s="54" t="s">
        <v>178</v>
      </c>
      <c r="K4" s="55" t="s">
        <v>179</v>
      </c>
      <c r="L4" s="55"/>
      <c r="M4" s="55"/>
      <c r="N4" s="54" t="s">
        <v>409</v>
      </c>
      <c r="O4" s="55" t="s">
        <v>180</v>
      </c>
      <c r="P4" s="55"/>
      <c r="Q4" s="55"/>
      <c r="R4" s="55"/>
      <c r="S4" s="55"/>
      <c r="T4" s="55"/>
      <c r="U4" s="54" t="s">
        <v>410</v>
      </c>
      <c r="V4" s="54" t="s">
        <v>411</v>
      </c>
      <c r="W4" s="54" t="s">
        <v>412</v>
      </c>
      <c r="X4" s="54" t="s">
        <v>413</v>
      </c>
      <c r="Y4" s="54" t="s">
        <v>414</v>
      </c>
      <c r="Z4" s="55" t="s">
        <v>415</v>
      </c>
      <c r="AA4" s="55" t="s">
        <v>416</v>
      </c>
      <c r="AB4" s="54" t="s">
        <v>181</v>
      </c>
      <c r="AC4" s="55" t="s">
        <v>182</v>
      </c>
      <c r="AE4" s="54" t="s">
        <v>183</v>
      </c>
      <c r="AF4" s="55" t="s">
        <v>184</v>
      </c>
      <c r="AG4" s="55"/>
      <c r="AH4" s="55"/>
      <c r="AI4" s="54" t="s">
        <v>417</v>
      </c>
      <c r="AJ4" s="55" t="s">
        <v>185</v>
      </c>
      <c r="AK4" s="55"/>
      <c r="AL4" s="55"/>
      <c r="AM4" s="55"/>
      <c r="AN4" s="55"/>
      <c r="AO4" s="55"/>
      <c r="AP4" s="54" t="s">
        <v>418</v>
      </c>
      <c r="AQ4" s="54" t="s">
        <v>419</v>
      </c>
      <c r="AR4" s="54" t="s">
        <v>420</v>
      </c>
      <c r="AS4" s="54" t="s">
        <v>421</v>
      </c>
      <c r="AT4" s="54" t="s">
        <v>422</v>
      </c>
      <c r="AU4" s="55" t="s">
        <v>423</v>
      </c>
      <c r="AV4" s="55" t="s">
        <v>424</v>
      </c>
      <c r="AW4" s="54" t="s">
        <v>186</v>
      </c>
      <c r="AX4" s="55" t="s">
        <v>187</v>
      </c>
      <c r="AZ4" s="54" t="s">
        <v>425</v>
      </c>
      <c r="BA4" s="54" t="s">
        <v>426</v>
      </c>
      <c r="BB4" s="54" t="s">
        <v>427</v>
      </c>
      <c r="BC4" s="54" t="s">
        <v>428</v>
      </c>
      <c r="BD4" s="54" t="s">
        <v>429</v>
      </c>
      <c r="BE4" s="55" t="s">
        <v>430</v>
      </c>
      <c r="BF4" s="55" t="s">
        <v>431</v>
      </c>
      <c r="BH4" s="54" t="s">
        <v>425</v>
      </c>
      <c r="BI4" s="54" t="s">
        <v>426</v>
      </c>
      <c r="BJ4" s="54" t="s">
        <v>427</v>
      </c>
      <c r="BK4" s="54" t="s">
        <v>428</v>
      </c>
      <c r="BL4" s="54" t="s">
        <v>429</v>
      </c>
      <c r="BM4" s="55" t="s">
        <v>430</v>
      </c>
      <c r="BN4" s="55" t="s">
        <v>431</v>
      </c>
    </row>
    <row r="5" ht="15" customHeight="1" spans="1:72">
      <c r="A5" s="56" t="s">
        <v>189</v>
      </c>
      <c r="B5" s="56" t="s">
        <v>42</v>
      </c>
      <c r="C5" s="57" t="s">
        <v>432</v>
      </c>
      <c r="D5" s="56">
        <v>11997440</v>
      </c>
      <c r="E5" s="58">
        <v>10</v>
      </c>
      <c r="F5" s="57">
        <v>300</v>
      </c>
      <c r="G5" s="57">
        <v>30</v>
      </c>
      <c r="H5" s="57">
        <v>4</v>
      </c>
      <c r="J5" s="73">
        <f t="shared" ref="J5:J44" si="0">IF(OR(ISBLANK(O5),ISBLANK(G5)),"·",O5*G5/F5/1000000)</f>
        <v>5.1818344</v>
      </c>
      <c r="K5" s="74">
        <f t="shared" ref="K5:K44" si="1">IF(ISBLANK(O5),"·",O5/D5)</f>
        <v>4.31911674490558</v>
      </c>
      <c r="L5" s="57">
        <f t="shared" ref="L5:L44" si="2">IF(OR(ISBLANK(M5),ISBLANK(S5),ISBLANK(T5)),".",M5+S5+T5)</f>
        <v>51818344</v>
      </c>
      <c r="M5" s="57">
        <f t="shared" ref="M5:M44" si="3">IF(OR(ISBLANK(Q5),ISBLANK(P5),ISBLANK(R5)),".",P5+Q5+R5)</f>
        <v>15486328</v>
      </c>
      <c r="N5" s="75">
        <v>22725696</v>
      </c>
      <c r="O5" s="76">
        <v>51818344</v>
      </c>
      <c r="P5" s="76">
        <v>7878072</v>
      </c>
      <c r="Q5" s="76">
        <v>0</v>
      </c>
      <c r="R5" s="76">
        <v>7608256</v>
      </c>
      <c r="S5" s="76">
        <v>36191936</v>
      </c>
      <c r="T5" s="76">
        <v>140080</v>
      </c>
      <c r="U5" s="91">
        <v>69.9250301</v>
      </c>
      <c r="V5" s="91">
        <v>71.1582218</v>
      </c>
      <c r="W5" s="91">
        <v>28.8263672</v>
      </c>
      <c r="X5" s="91">
        <v>33.8884644</v>
      </c>
      <c r="Y5" s="91">
        <v>33.3320823</v>
      </c>
      <c r="Z5" s="91">
        <v>48.876095</v>
      </c>
      <c r="AA5" s="91">
        <v>27.4999681</v>
      </c>
      <c r="AB5" s="98">
        <v>7264.753903</v>
      </c>
      <c r="AC5" s="98">
        <v>66.902</v>
      </c>
      <c r="AE5" s="73" t="str">
        <f t="shared" ref="AE5:AE44" si="4">IF(OR(ISBLANK(AJ5),ISBLANK(G5)),"·",AJ5*G5/F5/1000000)</f>
        <v>·</v>
      </c>
      <c r="AF5" s="74" t="str">
        <f t="shared" ref="AF5:AF44" si="5">IF(ISBLANK(AJ5),"·",AJ5/D5)</f>
        <v>·</v>
      </c>
      <c r="AG5" s="57" t="str">
        <f t="shared" ref="AG5:AG44" si="6">IF(OR(ISBLANK(AH5),ISBLANK(AN5),ISBLANK(AO5)),".",AH5+AN5+AO5)</f>
        <v>.</v>
      </c>
      <c r="AH5" s="57" t="str">
        <f t="shared" ref="AH5:AH44" si="7">IF(OR(ISBLANK(AL5),ISBLANK(AK5),ISBLANK(AM5)),".",AK5+AL5+AM5)</f>
        <v>.</v>
      </c>
      <c r="AI5" s="75"/>
      <c r="AJ5" s="76"/>
      <c r="AK5" s="76"/>
      <c r="AL5" s="76"/>
      <c r="AM5" s="76"/>
      <c r="AN5" s="76"/>
      <c r="AO5" s="76"/>
      <c r="AP5" s="91"/>
      <c r="AQ5" s="91"/>
      <c r="AR5" s="91"/>
      <c r="AS5" s="91"/>
      <c r="AT5" s="91"/>
      <c r="AU5" s="91"/>
      <c r="AV5" s="91"/>
      <c r="AW5" s="98"/>
      <c r="AX5" s="98"/>
      <c r="AZ5" s="15" t="str">
        <f t="array" ref="AZ5">IF(OR(AND(ISBLANK(L5:L9)),AND(ISBLANK(AG5:AG9)),AND(ISBLANK(U5:U9)),AND(ISBLANK(AP5:AP9))),"·",bdRateExtend(L5:L9,U5:U9,AG5:AG9,AP5:AP9))</f>
        <v>·</v>
      </c>
      <c r="BA5" s="15" t="str">
        <f t="array" ref="BA5">IF(OR(AND(ISBLANK(L5:L9)),AND(ISBLANK(AG5:AG9)),AND(ISBLANK(V5:V9)),AND(ISBLANK(AQ5:AQ9))),"·",bdRateExtend(L5:L9,V5:V9,AG5:AG9,AQ5:AQ9))</f>
        <v>·</v>
      </c>
      <c r="BB5" s="15" t="str">
        <f t="array" ref="BB5">IF(OR(AND(ISBLANK(L5:L9)),AND(ISBLANK(AG5:AG9)),AND(ISBLANK(W5:W9)),AND(ISBLANK(AR5:AR9))),"·",bdRateExtend(L5:L9,W5:W9,AG5:AG9,AR5:AR9))</f>
        <v>·</v>
      </c>
      <c r="BC5" s="15" t="str">
        <f t="array" ref="BC5">IF(OR(AND(ISBLANK(L5:L9)),AND(ISBLANK(AG5:AG9)),AND(ISBLANK(X5:X9)),AND(ISBLANK(AS5:AS9))),"·",bdRateExtend(L5:L9,X5:X9,AG5:AG9,AS5:AS9))</f>
        <v>·</v>
      </c>
      <c r="BD5" s="15" t="str">
        <f t="array" ref="BD5">IF(OR(AND(ISBLANK(L5:L9)),AND(ISBLANK(AG5:AG9)),AND(ISBLANK(Y5:Y9)),AND(ISBLANK(AT5:AT9))),"·",bdRateExtend(L5:L9,Y5:Y9,AG5:AG9,AT5:AT9))</f>
        <v>·</v>
      </c>
      <c r="BE5" s="15" t="str">
        <f t="array" ref="BE5">IF(OR(AND(ISBLANK(L5:L9)),AND(ISBLANK(AG5:AG9)),AND(ISBLANK(Z5:Z9)),AND(ISBLANK(AU5:AU9))),"·",bdRateExtend(L5:L9,Z5:Z9,AG5:AG9,AU5:AU9))</f>
        <v>·</v>
      </c>
      <c r="BF5" s="15" t="str">
        <f t="array" ref="BF5">IF(OR(AND(ISBLANK(L5:L9)),AND(ISBLANK(AG5:AG9)),AND(ISBLANK(AA5:AA9)),AND(ISBLANK(AV5:AV9))),"·",bdRateExtend(L5:L9,AA5:AA9,AG5:AG9,AV5:AV9))</f>
        <v>·</v>
      </c>
      <c r="BH5" s="15" t="str">
        <f t="array" ref="BH5">IF(OR(AND(ISBLANK(M5:M9)),AND(ISBLANK(AH5:AH9)),AND(ISBLANK(U5:U9)),AND(ISBLANK(AP5:AP9))),"·",bdRateExtend(M5:M9,U5:U9,AH5:AH9,AP5:AP9))</f>
        <v>·</v>
      </c>
      <c r="BI5" s="15" t="str">
        <f t="array" ref="BI5">IF(OR(AND(ISBLANK(M5:M9)),AND(ISBLANK(AH5:AH9)),AND(ISBLANK(V5:V9)),AND(ISBLANK(AQ5:AQ9))),"·",bdRateExtend(M5:M9,V5:V9,AH5:AH9,AQ5:AQ9))</f>
        <v>·</v>
      </c>
      <c r="BJ5" s="15" t="str">
        <f t="array" ref="BJ5">IF(OR(AND(ISBLANK(S5:S9)),AND(ISBLANK(AN5:AN9)),AND(ISBLANK(W5:W9)),AND(ISBLANK(AR5:AR9))),"·",bdRateExtend(S5:S9,W5:W9,AN5:AN9,AR5:AR9))</f>
        <v>·</v>
      </c>
      <c r="BK5" s="15" t="str">
        <f t="array" ref="BK5">IF(OR(AND(ISBLANK(S5:S9)),AND(ISBLANK(AN5:AN9)),AND(ISBLANK(X5:X9)),AND(ISBLANK(AS5:AS9))),"·",bdRateExtend(S5:S9,X5:X9,AN5:AN9,AS5:AS9))</f>
        <v>·</v>
      </c>
      <c r="BL5" s="15" t="str">
        <f t="array" ref="BL5">IF(OR(AND(ISBLANK(S5:S9)),AND(ISBLANK(AN5:AN9)),AND(ISBLANK(Y5:Y9)),AND(ISBLANK(AT5:AT9))),"·",bdRateExtend(S5:S9,Y5:Y9,AN5:AN9,AT5:AT9))</f>
        <v>·</v>
      </c>
      <c r="BM5" s="15" t="str">
        <f t="array" ref="BM5">IF(OR(AND(ISBLANK(M5:M9)),AND(ISBLANK(AH5:AH9)),AND(ISBLANK(Z5:Z9)),AND(ISBLANK(AU5:AU9))),"·",bdRateExtend(M5:M9,Z5:Z9,AH5:AH9,AU5:AU9))</f>
        <v>·</v>
      </c>
      <c r="BN5" s="15" t="str">
        <f t="array" ref="BN5">IF(OR(AND(ISBLANK(S5:S9)),AND(ISBLANK(AN5:AN9)),AND(ISBLANK(AA5:AA9)),AND(ISBLANK(AV5:AV9))),"·",bdRateExtend(S5:S9,AA5:AA9,AN5:AN9,AV5:AV9))</f>
        <v>·</v>
      </c>
      <c r="BP5" s="15">
        <f t="shared" ref="BP5:BP44" si="8">IF(AND(AK5=0,AK5=0),0,AK5/P5-1)</f>
        <v>0</v>
      </c>
      <c r="BQ5" s="15">
        <f t="shared" ref="BQ5:BQ44" si="9">IF(AND(AL5=0,AL5=0),0,AL5/Q5-1)</f>
        <v>0</v>
      </c>
      <c r="BR5" s="15">
        <f t="shared" ref="BR5:BR44" si="10">IF(AND(AM5=0,AM5=0),0,AM5/R5-1)</f>
        <v>0</v>
      </c>
      <c r="BS5" s="15">
        <f t="shared" ref="BS5:BT44" si="11">IF(AND(AN5=0,AN5=0),0,AN5/S5-1)</f>
        <v>0</v>
      </c>
      <c r="BT5" s="15">
        <f t="shared" si="11"/>
        <v>0</v>
      </c>
    </row>
    <row r="6" ht="15" customHeight="1" outlineLevel="1" spans="1:72">
      <c r="A6" s="59"/>
      <c r="B6" s="59" t="s">
        <v>42</v>
      </c>
      <c r="C6" s="60" t="s">
        <v>433</v>
      </c>
      <c r="D6" s="59">
        <v>11997440</v>
      </c>
      <c r="E6" s="61">
        <v>10</v>
      </c>
      <c r="F6" s="60">
        <v>300</v>
      </c>
      <c r="G6" s="60">
        <v>30</v>
      </c>
      <c r="H6" s="60">
        <v>9</v>
      </c>
      <c r="J6" s="77">
        <f t="shared" si="0"/>
        <v>9.531336</v>
      </c>
      <c r="K6" s="78">
        <f t="shared" si="1"/>
        <v>7.94447482129521</v>
      </c>
      <c r="L6" s="60">
        <f t="shared" si="2"/>
        <v>95313360</v>
      </c>
      <c r="M6" s="60">
        <f t="shared" si="3"/>
        <v>17983344</v>
      </c>
      <c r="N6" s="79">
        <v>22725696</v>
      </c>
      <c r="O6" s="80">
        <v>95313360</v>
      </c>
      <c r="P6" s="80">
        <v>8511736</v>
      </c>
      <c r="Q6" s="80">
        <v>0</v>
      </c>
      <c r="R6" s="80">
        <v>9471608</v>
      </c>
      <c r="S6" s="80">
        <v>77191984</v>
      </c>
      <c r="T6" s="80">
        <v>138032</v>
      </c>
      <c r="U6" s="92">
        <v>70.5938041</v>
      </c>
      <c r="V6" s="92">
        <v>71.9174064</v>
      </c>
      <c r="W6" s="92">
        <v>31.5752352</v>
      </c>
      <c r="X6" s="92">
        <v>35.1062028</v>
      </c>
      <c r="Y6" s="92">
        <v>34.6612372</v>
      </c>
      <c r="Z6" s="92">
        <v>49.1928502</v>
      </c>
      <c r="AA6" s="92">
        <v>29.1133901</v>
      </c>
      <c r="AB6" s="99">
        <v>7765.346392</v>
      </c>
      <c r="AC6" s="99">
        <v>79.008603</v>
      </c>
      <c r="AE6" s="77" t="str">
        <f t="shared" si="4"/>
        <v>·</v>
      </c>
      <c r="AF6" s="78" t="str">
        <f t="shared" si="5"/>
        <v>·</v>
      </c>
      <c r="AG6" s="60" t="str">
        <f t="shared" si="6"/>
        <v>.</v>
      </c>
      <c r="AH6" s="60" t="str">
        <f t="shared" si="7"/>
        <v>.</v>
      </c>
      <c r="AI6" s="79"/>
      <c r="AJ6" s="80"/>
      <c r="AK6" s="80"/>
      <c r="AL6" s="80"/>
      <c r="AM6" s="80"/>
      <c r="AN6" s="80"/>
      <c r="AO6" s="80"/>
      <c r="AP6" s="92"/>
      <c r="AQ6" s="92"/>
      <c r="AR6" s="92"/>
      <c r="AS6" s="92"/>
      <c r="AT6" s="92"/>
      <c r="AU6" s="92"/>
      <c r="AV6" s="92"/>
      <c r="AW6" s="99"/>
      <c r="AX6" s="99"/>
      <c r="AZ6" s="19"/>
      <c r="BA6" s="19"/>
      <c r="BB6" s="19"/>
      <c r="BC6" s="19"/>
      <c r="BD6" s="19"/>
      <c r="BE6" s="19"/>
      <c r="BF6" s="19"/>
      <c r="BH6" s="114"/>
      <c r="BI6" s="114"/>
      <c r="BJ6" s="114"/>
      <c r="BK6" s="114"/>
      <c r="BL6" s="114"/>
      <c r="BM6" s="114"/>
      <c r="BN6" s="114"/>
      <c r="BP6" s="19">
        <f t="shared" si="8"/>
        <v>0</v>
      </c>
      <c r="BQ6" s="19">
        <f t="shared" si="9"/>
        <v>0</v>
      </c>
      <c r="BR6" s="19">
        <f t="shared" si="10"/>
        <v>0</v>
      </c>
      <c r="BS6" s="19">
        <f t="shared" si="11"/>
        <v>0</v>
      </c>
      <c r="BT6" s="19">
        <f t="shared" si="11"/>
        <v>0</v>
      </c>
    </row>
    <row r="7" ht="15" customHeight="1" outlineLevel="1" spans="1:72">
      <c r="A7" s="56"/>
      <c r="B7" s="56" t="s">
        <v>42</v>
      </c>
      <c r="C7" s="57" t="s">
        <v>434</v>
      </c>
      <c r="D7" s="56">
        <v>11997440</v>
      </c>
      <c r="E7" s="58">
        <v>10</v>
      </c>
      <c r="F7" s="57">
        <v>300</v>
      </c>
      <c r="G7" s="57">
        <v>30</v>
      </c>
      <c r="H7" s="57">
        <v>12</v>
      </c>
      <c r="J7" s="73">
        <f t="shared" si="0"/>
        <v>12.8425016</v>
      </c>
      <c r="K7" s="74">
        <f t="shared" si="1"/>
        <v>10.7043682652299</v>
      </c>
      <c r="L7" s="57">
        <f t="shared" si="2"/>
        <v>128425016</v>
      </c>
      <c r="M7" s="57">
        <f t="shared" si="3"/>
        <v>19465000</v>
      </c>
      <c r="N7" s="75">
        <v>45556032</v>
      </c>
      <c r="O7" s="76">
        <v>128425016</v>
      </c>
      <c r="P7" s="76">
        <v>12320704</v>
      </c>
      <c r="Q7" s="76">
        <v>0</v>
      </c>
      <c r="R7" s="76">
        <v>7144296</v>
      </c>
      <c r="S7" s="76">
        <v>108821592</v>
      </c>
      <c r="T7" s="76">
        <v>138424</v>
      </c>
      <c r="U7" s="91">
        <v>71.7771357</v>
      </c>
      <c r="V7" s="91">
        <v>73.2907453</v>
      </c>
      <c r="W7" s="91">
        <v>32.6896701</v>
      </c>
      <c r="X7" s="91">
        <v>36.9021952</v>
      </c>
      <c r="Y7" s="91">
        <v>36.6308561</v>
      </c>
      <c r="Z7" s="91">
        <v>49.9799646</v>
      </c>
      <c r="AA7" s="91">
        <v>30.3206591</v>
      </c>
      <c r="AB7" s="98">
        <v>19846.265646</v>
      </c>
      <c r="AC7" s="98">
        <v>207.333417</v>
      </c>
      <c r="AE7" s="73" t="str">
        <f t="shared" si="4"/>
        <v>·</v>
      </c>
      <c r="AF7" s="74" t="str">
        <f t="shared" si="5"/>
        <v>·</v>
      </c>
      <c r="AG7" s="57" t="str">
        <f t="shared" si="6"/>
        <v>.</v>
      </c>
      <c r="AH7" s="57" t="str">
        <f t="shared" si="7"/>
        <v>.</v>
      </c>
      <c r="AI7" s="75"/>
      <c r="AJ7" s="76"/>
      <c r="AK7" s="76"/>
      <c r="AL7" s="76"/>
      <c r="AM7" s="76"/>
      <c r="AN7" s="76"/>
      <c r="AO7" s="76"/>
      <c r="AP7" s="91"/>
      <c r="AQ7" s="91"/>
      <c r="AR7" s="91"/>
      <c r="AS7" s="91"/>
      <c r="AT7" s="91"/>
      <c r="AU7" s="91"/>
      <c r="AV7" s="91"/>
      <c r="AW7" s="98"/>
      <c r="AX7" s="98"/>
      <c r="AZ7" s="15"/>
      <c r="BA7" s="15"/>
      <c r="BB7" s="15"/>
      <c r="BC7" s="15"/>
      <c r="BD7" s="15"/>
      <c r="BE7" s="15"/>
      <c r="BF7" s="15"/>
      <c r="BH7" s="115"/>
      <c r="BI7" s="115"/>
      <c r="BJ7" s="115"/>
      <c r="BK7" s="115"/>
      <c r="BL7" s="115"/>
      <c r="BM7" s="115"/>
      <c r="BN7" s="115"/>
      <c r="BP7" s="15">
        <f t="shared" si="8"/>
        <v>0</v>
      </c>
      <c r="BQ7" s="15">
        <f t="shared" si="9"/>
        <v>0</v>
      </c>
      <c r="BR7" s="15">
        <f t="shared" si="10"/>
        <v>0</v>
      </c>
      <c r="BS7" s="15">
        <f t="shared" si="11"/>
        <v>0</v>
      </c>
      <c r="BT7" s="15">
        <f t="shared" si="11"/>
        <v>0</v>
      </c>
    </row>
    <row r="8" ht="15" customHeight="1" outlineLevel="1" spans="1:72">
      <c r="A8" s="59"/>
      <c r="B8" s="59" t="s">
        <v>42</v>
      </c>
      <c r="C8" s="60" t="s">
        <v>435</v>
      </c>
      <c r="D8" s="59">
        <v>11997440</v>
      </c>
      <c r="E8" s="61">
        <v>10</v>
      </c>
      <c r="F8" s="60">
        <v>300</v>
      </c>
      <c r="G8" s="60">
        <v>30</v>
      </c>
      <c r="H8" s="60">
        <v>15</v>
      </c>
      <c r="J8" s="77">
        <f t="shared" si="0"/>
        <v>16.0669416</v>
      </c>
      <c r="K8" s="78">
        <f t="shared" si="1"/>
        <v>13.391974954657</v>
      </c>
      <c r="L8" s="60">
        <f t="shared" si="2"/>
        <v>160669416</v>
      </c>
      <c r="M8" s="60">
        <f t="shared" si="3"/>
        <v>26148528</v>
      </c>
      <c r="N8" s="79">
        <v>45556032</v>
      </c>
      <c r="O8" s="80">
        <v>160669416</v>
      </c>
      <c r="P8" s="80">
        <v>13479208</v>
      </c>
      <c r="Q8" s="80">
        <v>0</v>
      </c>
      <c r="R8" s="80">
        <v>12669320</v>
      </c>
      <c r="S8" s="80">
        <v>134377024</v>
      </c>
      <c r="T8" s="80">
        <v>143864</v>
      </c>
      <c r="U8" s="92">
        <v>73.7275526</v>
      </c>
      <c r="V8" s="92">
        <v>75.5357354</v>
      </c>
      <c r="W8" s="92">
        <v>33.6568079</v>
      </c>
      <c r="X8" s="92">
        <v>37.4320238</v>
      </c>
      <c r="Y8" s="92">
        <v>37.1589381</v>
      </c>
      <c r="Z8" s="92">
        <v>50.8769002</v>
      </c>
      <c r="AA8" s="92">
        <v>31.4287206</v>
      </c>
      <c r="AB8" s="99">
        <v>19633.817475</v>
      </c>
      <c r="AC8" s="99">
        <v>211.569671</v>
      </c>
      <c r="AE8" s="77" t="str">
        <f t="shared" si="4"/>
        <v>·</v>
      </c>
      <c r="AF8" s="78" t="str">
        <f t="shared" si="5"/>
        <v>·</v>
      </c>
      <c r="AG8" s="60" t="str">
        <f t="shared" si="6"/>
        <v>.</v>
      </c>
      <c r="AH8" s="60" t="str">
        <f t="shared" si="7"/>
        <v>.</v>
      </c>
      <c r="AI8" s="79"/>
      <c r="AJ8" s="80"/>
      <c r="AK8" s="80"/>
      <c r="AL8" s="80"/>
      <c r="AM8" s="80"/>
      <c r="AN8" s="80"/>
      <c r="AO8" s="80"/>
      <c r="AP8" s="92"/>
      <c r="AQ8" s="92"/>
      <c r="AR8" s="92"/>
      <c r="AS8" s="92"/>
      <c r="AT8" s="92"/>
      <c r="AU8" s="92"/>
      <c r="AV8" s="92"/>
      <c r="AW8" s="99"/>
      <c r="AX8" s="99"/>
      <c r="AZ8" s="19"/>
      <c r="BA8" s="19"/>
      <c r="BB8" s="19"/>
      <c r="BC8" s="19"/>
      <c r="BD8" s="19"/>
      <c r="BE8" s="19"/>
      <c r="BF8" s="19"/>
      <c r="BH8" s="114"/>
      <c r="BI8" s="114"/>
      <c r="BJ8" s="114"/>
      <c r="BK8" s="114"/>
      <c r="BL8" s="114"/>
      <c r="BM8" s="114"/>
      <c r="BN8" s="114"/>
      <c r="BP8" s="19">
        <f t="shared" si="8"/>
        <v>0</v>
      </c>
      <c r="BQ8" s="19">
        <f t="shared" si="9"/>
        <v>0</v>
      </c>
      <c r="BR8" s="19">
        <f t="shared" si="10"/>
        <v>0</v>
      </c>
      <c r="BS8" s="19">
        <f t="shared" si="11"/>
        <v>0</v>
      </c>
      <c r="BT8" s="19">
        <f t="shared" si="11"/>
        <v>0</v>
      </c>
    </row>
    <row r="9" ht="15.75" customHeight="1" outlineLevel="1" spans="1:72">
      <c r="A9" s="56"/>
      <c r="B9" s="62" t="s">
        <v>42</v>
      </c>
      <c r="C9" s="63" t="s">
        <v>436</v>
      </c>
      <c r="D9" s="62">
        <v>11997440</v>
      </c>
      <c r="E9" s="64">
        <v>10</v>
      </c>
      <c r="F9" s="63">
        <v>300</v>
      </c>
      <c r="G9" s="63">
        <v>30</v>
      </c>
      <c r="H9" s="63">
        <v>22</v>
      </c>
      <c r="J9" s="81">
        <f t="shared" si="0"/>
        <v>23.2510992</v>
      </c>
      <c r="K9" s="82">
        <f t="shared" si="1"/>
        <v>19.3800504107543</v>
      </c>
      <c r="L9" s="63">
        <f t="shared" si="2"/>
        <v>232510992</v>
      </c>
      <c r="M9" s="63">
        <f t="shared" si="3"/>
        <v>43049816</v>
      </c>
      <c r="N9" s="83">
        <v>91604096</v>
      </c>
      <c r="O9" s="84">
        <v>232510992</v>
      </c>
      <c r="P9" s="84">
        <v>20148944</v>
      </c>
      <c r="Q9" s="84">
        <v>0</v>
      </c>
      <c r="R9" s="84">
        <v>22900872</v>
      </c>
      <c r="S9" s="84">
        <v>189314704</v>
      </c>
      <c r="T9" s="84">
        <v>146472</v>
      </c>
      <c r="U9" s="93">
        <v>76.6015675</v>
      </c>
      <c r="V9" s="93">
        <v>79.0866318</v>
      </c>
      <c r="W9" s="93">
        <v>34.9931469</v>
      </c>
      <c r="X9" s="93">
        <v>38.5287106</v>
      </c>
      <c r="Y9" s="93">
        <v>38.2332468</v>
      </c>
      <c r="Z9" s="93">
        <v>52.5771874</v>
      </c>
      <c r="AA9" s="93">
        <v>33.0939982</v>
      </c>
      <c r="AB9" s="100">
        <v>24679.344561</v>
      </c>
      <c r="AC9" s="100">
        <v>244.748607</v>
      </c>
      <c r="AE9" s="81" t="str">
        <f t="shared" si="4"/>
        <v>·</v>
      </c>
      <c r="AF9" s="82" t="str">
        <f t="shared" si="5"/>
        <v>·</v>
      </c>
      <c r="AG9" s="63" t="str">
        <f t="shared" si="6"/>
        <v>.</v>
      </c>
      <c r="AH9" s="63" t="str">
        <f t="shared" si="7"/>
        <v>.</v>
      </c>
      <c r="AI9" s="83"/>
      <c r="AJ9" s="84"/>
      <c r="AK9" s="84"/>
      <c r="AL9" s="84"/>
      <c r="AM9" s="84"/>
      <c r="AN9" s="84"/>
      <c r="AO9" s="84"/>
      <c r="AP9" s="93"/>
      <c r="AQ9" s="93"/>
      <c r="AR9" s="93"/>
      <c r="AS9" s="93"/>
      <c r="AT9" s="93"/>
      <c r="AU9" s="93"/>
      <c r="AV9" s="93"/>
      <c r="AW9" s="100"/>
      <c r="AX9" s="100"/>
      <c r="AZ9" s="110"/>
      <c r="BA9" s="110"/>
      <c r="BB9" s="110"/>
      <c r="BC9" s="110"/>
      <c r="BD9" s="110"/>
      <c r="BE9" s="110"/>
      <c r="BF9" s="110"/>
      <c r="BH9" s="116"/>
      <c r="BI9" s="116"/>
      <c r="BJ9" s="116"/>
      <c r="BK9" s="116"/>
      <c r="BL9" s="116"/>
      <c r="BM9" s="116"/>
      <c r="BN9" s="116"/>
      <c r="BP9" s="110">
        <f t="shared" si="8"/>
        <v>0</v>
      </c>
      <c r="BQ9" s="110">
        <f t="shared" si="9"/>
        <v>0</v>
      </c>
      <c r="BR9" s="110">
        <f t="shared" si="10"/>
        <v>0</v>
      </c>
      <c r="BS9" s="110">
        <f t="shared" si="11"/>
        <v>0</v>
      </c>
      <c r="BT9" s="110">
        <f t="shared" si="11"/>
        <v>0</v>
      </c>
    </row>
    <row r="10" ht="15" customHeight="1" spans="1:72">
      <c r="A10" s="59"/>
      <c r="B10" s="59" t="s">
        <v>50</v>
      </c>
      <c r="C10" s="60" t="s">
        <v>432</v>
      </c>
      <c r="D10" s="59">
        <v>9000000</v>
      </c>
      <c r="E10" s="61">
        <v>10</v>
      </c>
      <c r="F10" s="60">
        <v>300</v>
      </c>
      <c r="G10" s="60">
        <v>30</v>
      </c>
      <c r="H10" s="60">
        <v>5</v>
      </c>
      <c r="J10" s="77">
        <f t="shared" si="0"/>
        <v>5.0671712</v>
      </c>
      <c r="K10" s="78">
        <f t="shared" si="1"/>
        <v>5.63019022222222</v>
      </c>
      <c r="L10" s="60">
        <f t="shared" si="2"/>
        <v>50671712</v>
      </c>
      <c r="M10" s="60">
        <f t="shared" si="3"/>
        <v>14491984</v>
      </c>
      <c r="N10" s="79">
        <v>22538688</v>
      </c>
      <c r="O10" s="80">
        <v>50671712</v>
      </c>
      <c r="P10" s="80">
        <v>8312584</v>
      </c>
      <c r="Q10" s="80">
        <v>0</v>
      </c>
      <c r="R10" s="80">
        <v>6179400</v>
      </c>
      <c r="S10" s="80">
        <v>36035440</v>
      </c>
      <c r="T10" s="80">
        <v>144288</v>
      </c>
      <c r="U10" s="92">
        <v>66.0388057</v>
      </c>
      <c r="V10" s="92">
        <v>66.8189755</v>
      </c>
      <c r="W10" s="92">
        <v>32.2769891</v>
      </c>
      <c r="X10" s="92">
        <v>44.9215144</v>
      </c>
      <c r="Y10" s="92">
        <v>45.2196035</v>
      </c>
      <c r="Z10" s="92">
        <v>44.7331058</v>
      </c>
      <c r="AA10" s="92">
        <v>29.8655238</v>
      </c>
      <c r="AB10" s="99">
        <v>18003.907003</v>
      </c>
      <c r="AC10" s="99">
        <v>173.32873</v>
      </c>
      <c r="AE10" s="77" t="str">
        <f t="shared" si="4"/>
        <v>·</v>
      </c>
      <c r="AF10" s="78" t="str">
        <f t="shared" si="5"/>
        <v>·</v>
      </c>
      <c r="AG10" s="60" t="str">
        <f t="shared" si="6"/>
        <v>.</v>
      </c>
      <c r="AH10" s="60" t="str">
        <f t="shared" si="7"/>
        <v>.</v>
      </c>
      <c r="AI10" s="79"/>
      <c r="AJ10" s="80"/>
      <c r="AK10" s="80"/>
      <c r="AL10" s="80"/>
      <c r="AM10" s="80"/>
      <c r="AN10" s="80"/>
      <c r="AO10" s="80"/>
      <c r="AP10" s="92"/>
      <c r="AQ10" s="92"/>
      <c r="AR10" s="92"/>
      <c r="AS10" s="92"/>
      <c r="AT10" s="92"/>
      <c r="AU10" s="92"/>
      <c r="AV10" s="92"/>
      <c r="AW10" s="99"/>
      <c r="AX10" s="99"/>
      <c r="AZ10" s="19" t="str">
        <f t="array" ref="AZ10">IF(OR(AND(ISBLANK(L10:L14)),AND(ISBLANK(AG10:AG14)),AND(ISBLANK(U10:U14)),AND(ISBLANK(AP10:AP14))),"·",bdRateExtend(L10:L14,U10:U14,AG10:AG14,AP10:AP14))</f>
        <v>·</v>
      </c>
      <c r="BA10" s="19" t="str">
        <f t="array" ref="BA10">IF(OR(AND(ISBLANK(L10:L14)),AND(ISBLANK(AG10:AG14)),AND(ISBLANK(V10:V14)),AND(ISBLANK(AQ10:AQ14))),"·",bdRateExtend(L10:L14,V10:V14,AG10:AG14,AQ10:AQ14))</f>
        <v>·</v>
      </c>
      <c r="BB10" s="19" t="str">
        <f t="array" ref="BB10">IF(OR(AND(ISBLANK(L10:L14)),AND(ISBLANK(AG10:AG14)),AND(ISBLANK(W10:W14)),AND(ISBLANK(AR10:AR14))),"·",bdRateExtend(L10:L14,W10:W14,AG10:AG14,AR10:AR14))</f>
        <v>·</v>
      </c>
      <c r="BC10" s="19" t="str">
        <f t="array" ref="BC10">IF(OR(AND(ISBLANK(L10:L14)),AND(ISBLANK(AG10:AG14)),AND(ISBLANK(X10:X14)),AND(ISBLANK(AS10:AS14))),"·",bdRateExtend(L10:L14,X10:X14,AG10:AG14,AS10:AS14))</f>
        <v>·</v>
      </c>
      <c r="BD10" s="19" t="str">
        <f t="array" ref="BD10">IF(OR(AND(ISBLANK(L10:L14)),AND(ISBLANK(AG10:AG14)),AND(ISBLANK(Y10:Y14)),AND(ISBLANK(AT10:AT14))),"·",bdRateExtend(L10:L14,Y10:Y14,AG10:AG14,AT10:AT14))</f>
        <v>·</v>
      </c>
      <c r="BE10" s="19" t="str">
        <f t="array" ref="BE10">IF(OR(AND(ISBLANK(L10:L14)),AND(ISBLANK(AG10:AG14)),AND(ISBLANK(Z10:Z14)),AND(ISBLANK(AU10:AU14))),"·",bdRateExtend(L10:L14,Z10:Z14,AG10:AG14,AU10:AU14))</f>
        <v>·</v>
      </c>
      <c r="BF10" s="19" t="str">
        <f t="array" ref="BF10">IF(OR(AND(ISBLANK(L10:L14)),AND(ISBLANK(AG10:AG14)),AND(ISBLANK(AA10:AA14)),AND(ISBLANK(AV10:AV14))),"·",bdRateExtend(L10:L14,AA10:AA14,AG10:AG14,AV10:AV14))</f>
        <v>·</v>
      </c>
      <c r="BH10" s="19" t="str">
        <f t="array" ref="BH10">IF(OR(AND(ISBLANK(M10:M14)),AND(ISBLANK(AH10:AH14)),AND(ISBLANK(U10:U14)),AND(ISBLANK(AP10:AP14))),"·",bdRateExtend(M10:M14,U10:U14,AH10:AH14,AP10:AP14))</f>
        <v>·</v>
      </c>
      <c r="BI10" s="19" t="str">
        <f t="array" ref="BI10">IF(OR(AND(ISBLANK(M10:M14)),AND(ISBLANK(AH10:AH14)),AND(ISBLANK(V10:V14)),AND(ISBLANK(AQ10:AQ14))),"·",bdRateExtend(M10:M14,V10:V14,AH10:AH14,AQ10:AQ14))</f>
        <v>·</v>
      </c>
      <c r="BJ10" s="19" t="str">
        <f t="array" ref="BJ10">IF(OR(AND(ISBLANK(S10:S14)),AND(ISBLANK(AN10:AN14)),AND(ISBLANK(W10:W14)),AND(ISBLANK(AR10:AR14))),"·",bdRateExtend(S10:S14,W10:W14,AN10:AN14,AR10:AR14))</f>
        <v>·</v>
      </c>
      <c r="BK10" s="19" t="str">
        <f t="array" ref="BK10">IF(OR(AND(ISBLANK(S10:S14)),AND(ISBLANK(AN10:AN14)),AND(ISBLANK(X10:X14)),AND(ISBLANK(AS10:AS14))),"·",bdRateExtend(S10:S14,X10:X14,AN10:AN14,AS10:AS14))</f>
        <v>·</v>
      </c>
      <c r="BL10" s="19" t="str">
        <f t="array" ref="BL10">IF(OR(AND(ISBLANK(S10:S14)),AND(ISBLANK(AN10:AN14)),AND(ISBLANK(Y10:Y14)),AND(ISBLANK(AT10:AT14))),"·",bdRateExtend(S10:S14,Y10:Y14,AN10:AN14,AT10:AT14))</f>
        <v>·</v>
      </c>
      <c r="BM10" s="19" t="str">
        <f t="array" ref="BM10">IF(OR(AND(ISBLANK(M10:M14)),AND(ISBLANK(AH10:AH14)),AND(ISBLANK(Z10:Z14)),AND(ISBLANK(AU10:AU14))),"·",bdRateExtend(M10:M14,Z10:Z14,AH10:AH14,AU10:AU14))</f>
        <v>·</v>
      </c>
      <c r="BN10" s="19" t="str">
        <f t="array" ref="BN10">IF(OR(AND(ISBLANK(S10:S14)),AND(ISBLANK(AN10:AN14)),AND(ISBLANK(AA10:AA14)),AND(ISBLANK(AV10:AV14))),"·",bdRateExtend(S10:S14,AA10:AA14,AN10:AN14,AV10:AV14))</f>
        <v>·</v>
      </c>
      <c r="BP10" s="19">
        <f t="shared" si="8"/>
        <v>0</v>
      </c>
      <c r="BQ10" s="19">
        <f t="shared" si="9"/>
        <v>0</v>
      </c>
      <c r="BR10" s="19">
        <f t="shared" si="10"/>
        <v>0</v>
      </c>
      <c r="BS10" s="19">
        <f t="shared" si="11"/>
        <v>0</v>
      </c>
      <c r="BT10" s="19">
        <f t="shared" si="11"/>
        <v>0</v>
      </c>
    </row>
    <row r="11" ht="15" customHeight="1" outlineLevel="1" spans="1:72">
      <c r="A11" s="56"/>
      <c r="B11" s="56" t="s">
        <v>50</v>
      </c>
      <c r="C11" s="57" t="s">
        <v>433</v>
      </c>
      <c r="D11" s="56">
        <v>9000000</v>
      </c>
      <c r="E11" s="58">
        <v>10</v>
      </c>
      <c r="F11" s="57">
        <v>300</v>
      </c>
      <c r="G11" s="57">
        <v>30</v>
      </c>
      <c r="H11" s="57">
        <v>9</v>
      </c>
      <c r="J11" s="73">
        <f t="shared" si="0"/>
        <v>9.0799464</v>
      </c>
      <c r="K11" s="74">
        <f t="shared" si="1"/>
        <v>10.0888293333333</v>
      </c>
      <c r="L11" s="57">
        <f t="shared" si="2"/>
        <v>90799464</v>
      </c>
      <c r="M11" s="57">
        <f t="shared" si="3"/>
        <v>23091096</v>
      </c>
      <c r="N11" s="75">
        <v>45393792</v>
      </c>
      <c r="O11" s="76">
        <v>90799464</v>
      </c>
      <c r="P11" s="76">
        <v>13067384</v>
      </c>
      <c r="Q11" s="76">
        <v>0</v>
      </c>
      <c r="R11" s="76">
        <v>10023712</v>
      </c>
      <c r="S11" s="76">
        <v>67562720</v>
      </c>
      <c r="T11" s="76">
        <v>145648</v>
      </c>
      <c r="U11" s="91">
        <v>70.4107903</v>
      </c>
      <c r="V11" s="91">
        <v>71.8209044</v>
      </c>
      <c r="W11" s="91">
        <v>34.9766565</v>
      </c>
      <c r="X11" s="91">
        <v>45.5736527</v>
      </c>
      <c r="Y11" s="91">
        <v>45.9567078</v>
      </c>
      <c r="Z11" s="91">
        <v>47.1993345</v>
      </c>
      <c r="AA11" s="91">
        <v>32.5661212</v>
      </c>
      <c r="AB11" s="98">
        <v>20957.502656</v>
      </c>
      <c r="AC11" s="98">
        <v>193.951015</v>
      </c>
      <c r="AE11" s="73" t="str">
        <f t="shared" si="4"/>
        <v>·</v>
      </c>
      <c r="AF11" s="74" t="str">
        <f t="shared" si="5"/>
        <v>·</v>
      </c>
      <c r="AG11" s="57" t="str">
        <f t="shared" si="6"/>
        <v>.</v>
      </c>
      <c r="AH11" s="57" t="str">
        <f t="shared" si="7"/>
        <v>.</v>
      </c>
      <c r="AI11" s="75"/>
      <c r="AJ11" s="76"/>
      <c r="AK11" s="76"/>
      <c r="AL11" s="76"/>
      <c r="AM11" s="76"/>
      <c r="AN11" s="76"/>
      <c r="AO11" s="76"/>
      <c r="AP11" s="91"/>
      <c r="AQ11" s="91"/>
      <c r="AR11" s="91"/>
      <c r="AS11" s="91"/>
      <c r="AT11" s="91"/>
      <c r="AU11" s="91"/>
      <c r="AV11" s="91"/>
      <c r="AW11" s="98"/>
      <c r="AX11" s="98"/>
      <c r="AZ11" s="15"/>
      <c r="BA11" s="15"/>
      <c r="BB11" s="15"/>
      <c r="BC11" s="15"/>
      <c r="BD11" s="15"/>
      <c r="BE11" s="15"/>
      <c r="BF11" s="15"/>
      <c r="BH11" s="15"/>
      <c r="BI11" s="15"/>
      <c r="BJ11" s="15"/>
      <c r="BK11" s="15"/>
      <c r="BL11" s="15"/>
      <c r="BM11" s="15"/>
      <c r="BN11" s="15"/>
      <c r="BP11" s="15">
        <f t="shared" si="8"/>
        <v>0</v>
      </c>
      <c r="BQ11" s="15">
        <f t="shared" si="9"/>
        <v>0</v>
      </c>
      <c r="BR11" s="15">
        <f t="shared" si="10"/>
        <v>0</v>
      </c>
      <c r="BS11" s="15">
        <f t="shared" si="11"/>
        <v>0</v>
      </c>
      <c r="BT11" s="15">
        <f t="shared" si="11"/>
        <v>0</v>
      </c>
    </row>
    <row r="12" ht="15" customHeight="1" outlineLevel="1" spans="1:72">
      <c r="A12" s="59"/>
      <c r="B12" s="59" t="s">
        <v>50</v>
      </c>
      <c r="C12" s="60" t="s">
        <v>434</v>
      </c>
      <c r="D12" s="59">
        <v>9000000</v>
      </c>
      <c r="E12" s="61">
        <v>10</v>
      </c>
      <c r="F12" s="60">
        <v>300</v>
      </c>
      <c r="G12" s="60">
        <v>30</v>
      </c>
      <c r="H12" s="60">
        <v>12</v>
      </c>
      <c r="J12" s="77">
        <f t="shared" si="0"/>
        <v>12.0307488</v>
      </c>
      <c r="K12" s="78">
        <f t="shared" si="1"/>
        <v>13.3674986666667</v>
      </c>
      <c r="L12" s="60">
        <f t="shared" si="2"/>
        <v>120307488</v>
      </c>
      <c r="M12" s="60">
        <f t="shared" si="3"/>
        <v>34939800</v>
      </c>
      <c r="N12" s="79">
        <v>45393792</v>
      </c>
      <c r="O12" s="80">
        <v>120307488</v>
      </c>
      <c r="P12" s="80">
        <v>13067384</v>
      </c>
      <c r="Q12" s="80">
        <v>0</v>
      </c>
      <c r="R12" s="80">
        <v>21872416</v>
      </c>
      <c r="S12" s="80">
        <v>85230248</v>
      </c>
      <c r="T12" s="80">
        <v>137440</v>
      </c>
      <c r="U12" s="92">
        <v>72.9037256</v>
      </c>
      <c r="V12" s="92">
        <v>74.7102258</v>
      </c>
      <c r="W12" s="92">
        <v>36.0483208</v>
      </c>
      <c r="X12" s="92">
        <v>45.8961933</v>
      </c>
      <c r="Y12" s="92">
        <v>46.318563</v>
      </c>
      <c r="Z12" s="92">
        <v>48.4197529</v>
      </c>
      <c r="AA12" s="92">
        <v>33.896996</v>
      </c>
      <c r="AB12" s="99">
        <v>19934.850124</v>
      </c>
      <c r="AC12" s="99">
        <v>212.569031</v>
      </c>
      <c r="AE12" s="77" t="str">
        <f t="shared" si="4"/>
        <v>·</v>
      </c>
      <c r="AF12" s="78" t="str">
        <f t="shared" si="5"/>
        <v>·</v>
      </c>
      <c r="AG12" s="60" t="str">
        <f t="shared" si="6"/>
        <v>.</v>
      </c>
      <c r="AH12" s="60" t="str">
        <f t="shared" si="7"/>
        <v>.</v>
      </c>
      <c r="AI12" s="79"/>
      <c r="AJ12" s="80"/>
      <c r="AK12" s="80"/>
      <c r="AL12" s="80"/>
      <c r="AM12" s="80"/>
      <c r="AN12" s="80"/>
      <c r="AO12" s="80"/>
      <c r="AP12" s="92"/>
      <c r="AQ12" s="92"/>
      <c r="AR12" s="92"/>
      <c r="AS12" s="92"/>
      <c r="AT12" s="92"/>
      <c r="AU12" s="92"/>
      <c r="AV12" s="92"/>
      <c r="AW12" s="99"/>
      <c r="AX12" s="99"/>
      <c r="AZ12" s="19"/>
      <c r="BA12" s="19"/>
      <c r="BB12" s="19"/>
      <c r="BC12" s="19"/>
      <c r="BD12" s="19"/>
      <c r="BE12" s="19"/>
      <c r="BF12" s="19"/>
      <c r="BH12" s="19"/>
      <c r="BI12" s="19"/>
      <c r="BJ12" s="19"/>
      <c r="BK12" s="19"/>
      <c r="BL12" s="19"/>
      <c r="BM12" s="19"/>
      <c r="BN12" s="19"/>
      <c r="BP12" s="19">
        <f t="shared" si="8"/>
        <v>0</v>
      </c>
      <c r="BQ12" s="19">
        <f t="shared" si="9"/>
        <v>0</v>
      </c>
      <c r="BR12" s="19">
        <f t="shared" si="10"/>
        <v>0</v>
      </c>
      <c r="BS12" s="19">
        <f t="shared" si="11"/>
        <v>0</v>
      </c>
      <c r="BT12" s="19">
        <f t="shared" si="11"/>
        <v>0</v>
      </c>
    </row>
    <row r="13" ht="15" customHeight="1" outlineLevel="1" spans="1:72">
      <c r="A13" s="56"/>
      <c r="B13" s="56" t="s">
        <v>50</v>
      </c>
      <c r="C13" s="57" t="s">
        <v>435</v>
      </c>
      <c r="D13" s="56">
        <v>9000000</v>
      </c>
      <c r="E13" s="58">
        <v>10</v>
      </c>
      <c r="F13" s="57">
        <v>300</v>
      </c>
      <c r="G13" s="57">
        <v>30</v>
      </c>
      <c r="H13" s="57">
        <v>15</v>
      </c>
      <c r="J13" s="73">
        <f t="shared" si="0"/>
        <v>15.0403856</v>
      </c>
      <c r="K13" s="74">
        <f t="shared" si="1"/>
        <v>16.7115395555556</v>
      </c>
      <c r="L13" s="57">
        <f t="shared" si="2"/>
        <v>150403856</v>
      </c>
      <c r="M13" s="57">
        <f t="shared" si="3"/>
        <v>42366752</v>
      </c>
      <c r="N13" s="75">
        <v>91443328</v>
      </c>
      <c r="O13" s="76">
        <v>150403856</v>
      </c>
      <c r="P13" s="76">
        <v>21531568</v>
      </c>
      <c r="Q13" s="76">
        <v>0</v>
      </c>
      <c r="R13" s="76">
        <v>20835184</v>
      </c>
      <c r="S13" s="76">
        <v>107891728</v>
      </c>
      <c r="T13" s="76">
        <v>145376</v>
      </c>
      <c r="U13" s="91">
        <v>74.5539507</v>
      </c>
      <c r="V13" s="91">
        <v>76.6804325</v>
      </c>
      <c r="W13" s="91">
        <v>37.120989</v>
      </c>
      <c r="X13" s="91">
        <v>46.6876018</v>
      </c>
      <c r="Y13" s="91">
        <v>47.2268314</v>
      </c>
      <c r="Z13" s="91">
        <v>49.4959461</v>
      </c>
      <c r="AA13" s="91">
        <v>35.0310468</v>
      </c>
      <c r="AB13" s="98">
        <v>25862.097125</v>
      </c>
      <c r="AC13" s="98">
        <v>294.912618</v>
      </c>
      <c r="AE13" s="73" t="str">
        <f t="shared" si="4"/>
        <v>·</v>
      </c>
      <c r="AF13" s="74" t="str">
        <f t="shared" si="5"/>
        <v>·</v>
      </c>
      <c r="AG13" s="57" t="str">
        <f t="shared" si="6"/>
        <v>.</v>
      </c>
      <c r="AH13" s="57" t="str">
        <f t="shared" si="7"/>
        <v>.</v>
      </c>
      <c r="AI13" s="75"/>
      <c r="AJ13" s="76"/>
      <c r="AK13" s="76"/>
      <c r="AL13" s="76"/>
      <c r="AM13" s="76"/>
      <c r="AN13" s="76"/>
      <c r="AO13" s="76"/>
      <c r="AP13" s="91"/>
      <c r="AQ13" s="91"/>
      <c r="AR13" s="91"/>
      <c r="AS13" s="91"/>
      <c r="AT13" s="91"/>
      <c r="AU13" s="91"/>
      <c r="AV13" s="91"/>
      <c r="AW13" s="98"/>
      <c r="AX13" s="98"/>
      <c r="AZ13" s="15"/>
      <c r="BA13" s="15"/>
      <c r="BB13" s="15"/>
      <c r="BC13" s="15"/>
      <c r="BD13" s="15"/>
      <c r="BE13" s="15"/>
      <c r="BF13" s="15"/>
      <c r="BH13" s="15"/>
      <c r="BI13" s="15"/>
      <c r="BJ13" s="15"/>
      <c r="BK13" s="15"/>
      <c r="BL13" s="15"/>
      <c r="BM13" s="15"/>
      <c r="BN13" s="15"/>
      <c r="BP13" s="15">
        <f t="shared" si="8"/>
        <v>0</v>
      </c>
      <c r="BQ13" s="15">
        <f t="shared" si="9"/>
        <v>0</v>
      </c>
      <c r="BR13" s="15">
        <f t="shared" si="10"/>
        <v>0</v>
      </c>
      <c r="BS13" s="15">
        <f t="shared" si="11"/>
        <v>0</v>
      </c>
      <c r="BT13" s="15">
        <f t="shared" si="11"/>
        <v>0</v>
      </c>
    </row>
    <row r="14" ht="15.75" customHeight="1" outlineLevel="1" spans="1:72">
      <c r="A14" s="65"/>
      <c r="B14" s="65" t="s">
        <v>50</v>
      </c>
      <c r="C14" s="66" t="s">
        <v>436</v>
      </c>
      <c r="D14" s="65">
        <v>9000000</v>
      </c>
      <c r="E14" s="67">
        <v>10</v>
      </c>
      <c r="F14" s="66">
        <v>300</v>
      </c>
      <c r="G14" s="66">
        <v>30</v>
      </c>
      <c r="H14" s="66">
        <v>22</v>
      </c>
      <c r="J14" s="85">
        <f t="shared" si="0"/>
        <v>22.1084328</v>
      </c>
      <c r="K14" s="86">
        <f t="shared" si="1"/>
        <v>24.5649253333333</v>
      </c>
      <c r="L14" s="66">
        <f t="shared" si="2"/>
        <v>221084328</v>
      </c>
      <c r="M14" s="66">
        <f t="shared" si="3"/>
        <v>52436920</v>
      </c>
      <c r="N14" s="87">
        <v>91443328</v>
      </c>
      <c r="O14" s="88">
        <v>221084328</v>
      </c>
      <c r="P14" s="88">
        <v>23761456</v>
      </c>
      <c r="Q14" s="88">
        <v>0</v>
      </c>
      <c r="R14" s="88">
        <v>28675464</v>
      </c>
      <c r="S14" s="88">
        <v>168503848</v>
      </c>
      <c r="T14" s="88">
        <v>143560</v>
      </c>
      <c r="U14" s="94">
        <v>75.585639</v>
      </c>
      <c r="V14" s="94">
        <v>77.9780274</v>
      </c>
      <c r="W14" s="94">
        <v>38.8095121</v>
      </c>
      <c r="X14" s="94">
        <v>47.74431</v>
      </c>
      <c r="Y14" s="94">
        <v>48.377021</v>
      </c>
      <c r="Z14" s="94">
        <v>50.0234215</v>
      </c>
      <c r="AA14" s="94">
        <v>36.3071483</v>
      </c>
      <c r="AB14" s="101">
        <v>25337.308392</v>
      </c>
      <c r="AC14" s="101">
        <v>276.49009</v>
      </c>
      <c r="AE14" s="85" t="str">
        <f t="shared" si="4"/>
        <v>·</v>
      </c>
      <c r="AF14" s="86" t="str">
        <f t="shared" si="5"/>
        <v>·</v>
      </c>
      <c r="AG14" s="66" t="str">
        <f t="shared" si="6"/>
        <v>.</v>
      </c>
      <c r="AH14" s="66" t="str">
        <f t="shared" si="7"/>
        <v>.</v>
      </c>
      <c r="AI14" s="87"/>
      <c r="AJ14" s="88"/>
      <c r="AK14" s="88"/>
      <c r="AL14" s="88"/>
      <c r="AM14" s="88"/>
      <c r="AN14" s="88"/>
      <c r="AO14" s="88"/>
      <c r="AP14" s="94"/>
      <c r="AQ14" s="94"/>
      <c r="AR14" s="94"/>
      <c r="AS14" s="94"/>
      <c r="AT14" s="94"/>
      <c r="AU14" s="94"/>
      <c r="AV14" s="94"/>
      <c r="AW14" s="101"/>
      <c r="AX14" s="101"/>
      <c r="AZ14" s="23"/>
      <c r="BA14" s="23"/>
      <c r="BB14" s="23"/>
      <c r="BC14" s="23"/>
      <c r="BD14" s="23"/>
      <c r="BE14" s="23"/>
      <c r="BF14" s="23"/>
      <c r="BH14" s="23"/>
      <c r="BI14" s="23"/>
      <c r="BJ14" s="23"/>
      <c r="BK14" s="23"/>
      <c r="BL14" s="23"/>
      <c r="BM14" s="23"/>
      <c r="BN14" s="23"/>
      <c r="BP14" s="23">
        <f t="shared" si="8"/>
        <v>0</v>
      </c>
      <c r="BQ14" s="23">
        <f t="shared" si="9"/>
        <v>0</v>
      </c>
      <c r="BR14" s="23">
        <f t="shared" si="10"/>
        <v>0</v>
      </c>
      <c r="BS14" s="23">
        <f t="shared" si="11"/>
        <v>0</v>
      </c>
      <c r="BT14" s="23">
        <f t="shared" si="11"/>
        <v>0</v>
      </c>
    </row>
    <row r="15" ht="15" customHeight="1" spans="1:72">
      <c r="A15" s="56" t="s">
        <v>190</v>
      </c>
      <c r="B15" s="56" t="s">
        <v>55</v>
      </c>
      <c r="C15" s="57" t="s">
        <v>432</v>
      </c>
      <c r="D15" s="56">
        <v>11842002</v>
      </c>
      <c r="E15" s="58">
        <v>12</v>
      </c>
      <c r="F15" s="57">
        <v>300</v>
      </c>
      <c r="G15" s="57">
        <v>30</v>
      </c>
      <c r="H15" s="57">
        <v>3</v>
      </c>
      <c r="J15" s="73">
        <f t="shared" si="0"/>
        <v>3.0557672</v>
      </c>
      <c r="K15" s="74">
        <f t="shared" si="1"/>
        <v>2.58044813706331</v>
      </c>
      <c r="L15" s="57">
        <f t="shared" si="2"/>
        <v>30557672</v>
      </c>
      <c r="M15" s="57">
        <f t="shared" si="3"/>
        <v>11000040</v>
      </c>
      <c r="N15" s="75">
        <v>22706944</v>
      </c>
      <c r="O15" s="76">
        <v>30557672</v>
      </c>
      <c r="P15" s="76">
        <v>6498680</v>
      </c>
      <c r="Q15" s="76">
        <v>0</v>
      </c>
      <c r="R15" s="76">
        <v>4501360</v>
      </c>
      <c r="S15" s="76">
        <v>19412264</v>
      </c>
      <c r="T15" s="76">
        <v>145368</v>
      </c>
      <c r="U15" s="91">
        <v>71.424398</v>
      </c>
      <c r="V15" s="91">
        <v>72.7933203</v>
      </c>
      <c r="W15" s="91">
        <v>35.7718767</v>
      </c>
      <c r="X15" s="91">
        <v>43.3018665</v>
      </c>
      <c r="Y15" s="91">
        <v>45.1752812</v>
      </c>
      <c r="Z15" s="91">
        <v>45.7781579</v>
      </c>
      <c r="AA15" s="91">
        <v>32.5374659</v>
      </c>
      <c r="AB15" s="98">
        <v>15257.66111</v>
      </c>
      <c r="AC15" s="98">
        <v>190.943329</v>
      </c>
      <c r="AE15" s="73" t="str">
        <f t="shared" si="4"/>
        <v>·</v>
      </c>
      <c r="AF15" s="74" t="str">
        <f t="shared" si="5"/>
        <v>·</v>
      </c>
      <c r="AG15" s="57" t="str">
        <f t="shared" si="6"/>
        <v>.</v>
      </c>
      <c r="AH15" s="57" t="str">
        <f t="shared" si="7"/>
        <v>.</v>
      </c>
      <c r="AI15" s="75"/>
      <c r="AJ15" s="76"/>
      <c r="AK15" s="76"/>
      <c r="AL15" s="76"/>
      <c r="AM15" s="76"/>
      <c r="AN15" s="76"/>
      <c r="AO15" s="76"/>
      <c r="AP15" s="91"/>
      <c r="AQ15" s="91"/>
      <c r="AR15" s="91"/>
      <c r="AS15" s="91"/>
      <c r="AT15" s="91"/>
      <c r="AU15" s="91"/>
      <c r="AV15" s="91"/>
      <c r="AW15" s="98"/>
      <c r="AX15" s="98"/>
      <c r="AZ15" s="15" t="str">
        <f t="array" ref="AZ15">IF(OR(AND(ISBLANK(L15:L19)),AND(ISBLANK(AG15:AG19)),AND(ISBLANK(U15:U19)),AND(ISBLANK(AP15:AP19))),"·",bdRateExtend(L15:L19,U15:U19,AG15:AG19,AP15:AP19))</f>
        <v>·</v>
      </c>
      <c r="BA15" s="15" t="str">
        <f t="array" ref="BA15">IF(OR(AND(ISBLANK(L15:L19)),AND(ISBLANK(AG15:AG19)),AND(ISBLANK(V15:V19)),AND(ISBLANK(AQ15:AQ19))),"·",bdRateExtend(L15:L19,V15:V19,AG15:AG19,AQ15:AQ19))</f>
        <v>·</v>
      </c>
      <c r="BB15" s="15" t="str">
        <f t="array" ref="BB15">IF(OR(AND(ISBLANK(L15:L19)),AND(ISBLANK(AG15:AG19)),AND(ISBLANK(W15:W19)),AND(ISBLANK(AR15:AR19))),"·",bdRateExtend(L15:L19,W15:W19,AG15:AG19,AR15:AR19))</f>
        <v>·</v>
      </c>
      <c r="BC15" s="15" t="str">
        <f t="array" ref="BC15">IF(OR(AND(ISBLANK(L15:L19)),AND(ISBLANK(AG15:AG19)),AND(ISBLANK(X15:X19)),AND(ISBLANK(AS15:AS19))),"·",bdRateExtend(L15:L19,X15:X19,AG15:AG19,AS15:AS19))</f>
        <v>·</v>
      </c>
      <c r="BD15" s="15" t="str">
        <f t="array" ref="BD15">IF(OR(AND(ISBLANK(L15:L19)),AND(ISBLANK(AG15:AG19)),AND(ISBLANK(Y15:Y19)),AND(ISBLANK(AT15:AT19))),"·",bdRateExtend(L15:L19,Y15:Y19,AG15:AG19,AT15:AT19))</f>
        <v>·</v>
      </c>
      <c r="BE15" s="15" t="str">
        <f t="array" ref="BE15">IF(OR(AND(ISBLANK(L15:L19)),AND(ISBLANK(AG15:AG19)),AND(ISBLANK(Z15:Z19)),AND(ISBLANK(AU15:AU19))),"·",bdRateExtend(L15:L19,Z15:Z19,AG15:AG19,AU15:AU19))</f>
        <v>·</v>
      </c>
      <c r="BF15" s="15" t="str">
        <f t="array" ref="BF15">IF(OR(AND(ISBLANK(L15:L19)),AND(ISBLANK(AG15:AG19)),AND(ISBLANK(AA15:AA19)),AND(ISBLANK(AV15:AV19))),"·",bdRateExtend(L15:L19,AA15:AA19,AG15:AG19,AV15:AV19))</f>
        <v>·</v>
      </c>
      <c r="BH15" s="15" t="str">
        <f t="array" ref="BH15">IF(OR(AND(ISBLANK(M15:M19)),AND(ISBLANK(AH15:AH19)),AND(ISBLANK(U15:U19)),AND(ISBLANK(AP15:AP19))),"·",bdRateExtend(M15:M19,U15:U19,AH15:AH19,AP15:AP19))</f>
        <v>·</v>
      </c>
      <c r="BI15" s="15" t="str">
        <f t="array" ref="BI15">IF(OR(AND(ISBLANK(M15:M19)),AND(ISBLANK(AH15:AH19)),AND(ISBLANK(V15:V19)),AND(ISBLANK(AQ15:AQ19))),"·",bdRateExtend(M15:M19,V15:V19,AH15:AH19,AQ15:AQ19))</f>
        <v>·</v>
      </c>
      <c r="BJ15" s="15" t="str">
        <f t="array" ref="BJ15">IF(OR(AND(ISBLANK(S15:S19)),AND(ISBLANK(AN15:AN19)),AND(ISBLANK(W15:W19)),AND(ISBLANK(AR15:AR19))),"·",bdRateExtend(S15:S19,W15:W19,AN15:AN19,AR15:AR19))</f>
        <v>·</v>
      </c>
      <c r="BK15" s="15" t="str">
        <f t="array" ref="BK15">IF(OR(AND(ISBLANK(S15:S19)),AND(ISBLANK(AN15:AN19)),AND(ISBLANK(X15:X19)),AND(ISBLANK(AS15:AS19))),"·",bdRateExtend(S15:S19,X15:X19,AN15:AN19,AS15:AS19))</f>
        <v>·</v>
      </c>
      <c r="BL15" s="15" t="str">
        <f t="array" ref="BL15">IF(OR(AND(ISBLANK(S15:S19)),AND(ISBLANK(AN15:AN19)),AND(ISBLANK(Y15:Y19)),AND(ISBLANK(AT15:AT19))),"·",bdRateExtend(S15:S19,Y15:Y19,AN15:AN19,AT15:AT19))</f>
        <v>·</v>
      </c>
      <c r="BM15" s="15" t="str">
        <f t="array" ref="BM15">IF(OR(AND(ISBLANK(M15:M19)),AND(ISBLANK(AH15:AH19)),AND(ISBLANK(Z15:Z19)),AND(ISBLANK(AU15:AU19))),"·",bdRateExtend(M15:M19,Z15:Z19,AH15:AH19,AU15:AU19))</f>
        <v>·</v>
      </c>
      <c r="BN15" s="15" t="str">
        <f t="array" ref="BN15">IF(OR(AND(ISBLANK(S15:S19)),AND(ISBLANK(AN15:AN19)),AND(ISBLANK(AA15:AA19)),AND(ISBLANK(AV15:AV19))),"·",bdRateExtend(S15:S19,AA15:AA19,AN15:AN19,AV15:AV19))</f>
        <v>·</v>
      </c>
      <c r="BP15" s="15">
        <f t="shared" si="8"/>
        <v>0</v>
      </c>
      <c r="BQ15" s="15">
        <f t="shared" si="9"/>
        <v>0</v>
      </c>
      <c r="BR15" s="15">
        <f t="shared" si="10"/>
        <v>0</v>
      </c>
      <c r="BS15" s="15">
        <f t="shared" si="11"/>
        <v>0</v>
      </c>
      <c r="BT15" s="15">
        <f t="shared" si="11"/>
        <v>0</v>
      </c>
    </row>
    <row r="16" ht="15" customHeight="1" outlineLevel="1" spans="1:72">
      <c r="A16" s="59"/>
      <c r="B16" s="59" t="s">
        <v>55</v>
      </c>
      <c r="C16" s="60" t="s">
        <v>433</v>
      </c>
      <c r="D16" s="59">
        <v>11842002</v>
      </c>
      <c r="E16" s="61">
        <v>12</v>
      </c>
      <c r="F16" s="60">
        <v>300</v>
      </c>
      <c r="G16" s="60">
        <v>30</v>
      </c>
      <c r="H16" s="60">
        <v>5</v>
      </c>
      <c r="J16" s="77">
        <f t="shared" si="0"/>
        <v>5.1178816</v>
      </c>
      <c r="K16" s="78">
        <f t="shared" si="1"/>
        <v>4.32180437057856</v>
      </c>
      <c r="L16" s="60">
        <f t="shared" si="2"/>
        <v>51178816</v>
      </c>
      <c r="M16" s="60">
        <f t="shared" si="3"/>
        <v>13875752</v>
      </c>
      <c r="N16" s="79">
        <v>22706944</v>
      </c>
      <c r="O16" s="80">
        <v>51178816</v>
      </c>
      <c r="P16" s="80">
        <v>7078376</v>
      </c>
      <c r="Q16" s="80">
        <v>0</v>
      </c>
      <c r="R16" s="80">
        <v>6797376</v>
      </c>
      <c r="S16" s="80">
        <v>37157304</v>
      </c>
      <c r="T16" s="80">
        <v>145760</v>
      </c>
      <c r="U16" s="92">
        <v>73.136002</v>
      </c>
      <c r="V16" s="92">
        <v>74.7056037</v>
      </c>
      <c r="W16" s="92">
        <v>38.5714883</v>
      </c>
      <c r="X16" s="92">
        <v>43.9362995</v>
      </c>
      <c r="Y16" s="92">
        <v>46.4056775</v>
      </c>
      <c r="Z16" s="92">
        <v>46.6052099</v>
      </c>
      <c r="AA16" s="92">
        <v>34.2214085</v>
      </c>
      <c r="AB16" s="99">
        <v>15965.389759</v>
      </c>
      <c r="AC16" s="99">
        <v>177.677636</v>
      </c>
      <c r="AE16" s="77" t="str">
        <f t="shared" si="4"/>
        <v>·</v>
      </c>
      <c r="AF16" s="78" t="str">
        <f t="shared" si="5"/>
        <v>·</v>
      </c>
      <c r="AG16" s="60" t="str">
        <f t="shared" si="6"/>
        <v>.</v>
      </c>
      <c r="AH16" s="60" t="str">
        <f t="shared" si="7"/>
        <v>.</v>
      </c>
      <c r="AI16" s="79"/>
      <c r="AJ16" s="80"/>
      <c r="AK16" s="80"/>
      <c r="AL16" s="80"/>
      <c r="AM16" s="80"/>
      <c r="AN16" s="80"/>
      <c r="AO16" s="80"/>
      <c r="AP16" s="92"/>
      <c r="AQ16" s="92"/>
      <c r="AR16" s="92"/>
      <c r="AS16" s="92"/>
      <c r="AT16" s="92"/>
      <c r="AU16" s="92"/>
      <c r="AV16" s="92"/>
      <c r="AW16" s="99"/>
      <c r="AX16" s="99"/>
      <c r="AZ16" s="19"/>
      <c r="BA16" s="19"/>
      <c r="BB16" s="19"/>
      <c r="BC16" s="19"/>
      <c r="BD16" s="19"/>
      <c r="BE16" s="19"/>
      <c r="BF16" s="19"/>
      <c r="BH16" s="19"/>
      <c r="BI16" s="19"/>
      <c r="BJ16" s="19"/>
      <c r="BK16" s="19"/>
      <c r="BL16" s="19"/>
      <c r="BM16" s="19"/>
      <c r="BN16" s="19"/>
      <c r="BP16" s="19">
        <f t="shared" si="8"/>
        <v>0</v>
      </c>
      <c r="BQ16" s="19">
        <f t="shared" si="9"/>
        <v>0</v>
      </c>
      <c r="BR16" s="19">
        <f t="shared" si="10"/>
        <v>0</v>
      </c>
      <c r="BS16" s="19">
        <f t="shared" si="11"/>
        <v>0</v>
      </c>
      <c r="BT16" s="19">
        <f t="shared" si="11"/>
        <v>0</v>
      </c>
    </row>
    <row r="17" ht="15" customHeight="1" outlineLevel="1" spans="1:72">
      <c r="A17" s="56"/>
      <c r="B17" s="56" t="s">
        <v>55</v>
      </c>
      <c r="C17" s="57" t="s">
        <v>434</v>
      </c>
      <c r="D17" s="56">
        <v>11842002</v>
      </c>
      <c r="E17" s="58">
        <v>12</v>
      </c>
      <c r="F17" s="57">
        <v>300</v>
      </c>
      <c r="G17" s="57">
        <v>30</v>
      </c>
      <c r="H17" s="57">
        <v>10</v>
      </c>
      <c r="J17" s="73">
        <f t="shared" si="0"/>
        <v>9.95678</v>
      </c>
      <c r="K17" s="74">
        <f t="shared" si="1"/>
        <v>8.40802087349757</v>
      </c>
      <c r="L17" s="57">
        <f t="shared" si="2"/>
        <v>99567800</v>
      </c>
      <c r="M17" s="57">
        <f t="shared" si="3"/>
        <v>26773440</v>
      </c>
      <c r="N17" s="75">
        <v>45429504</v>
      </c>
      <c r="O17" s="76">
        <v>99567800</v>
      </c>
      <c r="P17" s="76">
        <v>11896176</v>
      </c>
      <c r="Q17" s="76">
        <v>0</v>
      </c>
      <c r="R17" s="76">
        <v>14877264</v>
      </c>
      <c r="S17" s="76">
        <v>72649824</v>
      </c>
      <c r="T17" s="76">
        <v>144536</v>
      </c>
      <c r="U17" s="91">
        <v>77.8486858</v>
      </c>
      <c r="V17" s="91">
        <v>80.3164287</v>
      </c>
      <c r="W17" s="91">
        <v>41.2138711</v>
      </c>
      <c r="X17" s="91">
        <v>44.8120502</v>
      </c>
      <c r="Y17" s="91">
        <v>48.0424862</v>
      </c>
      <c r="Z17" s="91">
        <v>48.9801166</v>
      </c>
      <c r="AA17" s="91">
        <v>37.3587944</v>
      </c>
      <c r="AB17" s="98">
        <v>18200.303216</v>
      </c>
      <c r="AC17" s="98">
        <v>197.385568</v>
      </c>
      <c r="AE17" s="73" t="str">
        <f t="shared" si="4"/>
        <v>·</v>
      </c>
      <c r="AF17" s="74" t="str">
        <f t="shared" si="5"/>
        <v>·</v>
      </c>
      <c r="AG17" s="57" t="str">
        <f t="shared" si="6"/>
        <v>.</v>
      </c>
      <c r="AH17" s="57" t="str">
        <f t="shared" si="7"/>
        <v>.</v>
      </c>
      <c r="AI17" s="75"/>
      <c r="AJ17" s="76"/>
      <c r="AK17" s="76"/>
      <c r="AL17" s="76"/>
      <c r="AM17" s="76"/>
      <c r="AN17" s="76"/>
      <c r="AO17" s="76"/>
      <c r="AP17" s="91"/>
      <c r="AQ17" s="91"/>
      <c r="AR17" s="91"/>
      <c r="AS17" s="91"/>
      <c r="AT17" s="91"/>
      <c r="AU17" s="91"/>
      <c r="AV17" s="91"/>
      <c r="AW17" s="98"/>
      <c r="AX17" s="98"/>
      <c r="AZ17" s="15"/>
      <c r="BA17" s="15"/>
      <c r="BB17" s="15"/>
      <c r="BC17" s="15"/>
      <c r="BD17" s="15"/>
      <c r="BE17" s="15"/>
      <c r="BF17" s="15"/>
      <c r="BH17" s="15"/>
      <c r="BI17" s="15"/>
      <c r="BJ17" s="15"/>
      <c r="BK17" s="15"/>
      <c r="BL17" s="15"/>
      <c r="BM17" s="15"/>
      <c r="BN17" s="15"/>
      <c r="BP17" s="15">
        <f t="shared" si="8"/>
        <v>0</v>
      </c>
      <c r="BQ17" s="15">
        <f t="shared" si="9"/>
        <v>0</v>
      </c>
      <c r="BR17" s="15">
        <f t="shared" si="10"/>
        <v>0</v>
      </c>
      <c r="BS17" s="15">
        <f t="shared" si="11"/>
        <v>0</v>
      </c>
      <c r="BT17" s="15">
        <f t="shared" si="11"/>
        <v>0</v>
      </c>
    </row>
    <row r="18" ht="15" customHeight="1" outlineLevel="1" spans="1:72">
      <c r="A18" s="59"/>
      <c r="B18" s="59" t="s">
        <v>55</v>
      </c>
      <c r="C18" s="60" t="s">
        <v>435</v>
      </c>
      <c r="D18" s="59">
        <v>11842002</v>
      </c>
      <c r="E18" s="61">
        <v>12</v>
      </c>
      <c r="F18" s="60">
        <v>300</v>
      </c>
      <c r="G18" s="60">
        <v>30</v>
      </c>
      <c r="H18" s="60">
        <v>14</v>
      </c>
      <c r="J18" s="77">
        <f t="shared" si="0"/>
        <v>14.2179376</v>
      </c>
      <c r="K18" s="78">
        <f t="shared" si="1"/>
        <v>12.0063631132641</v>
      </c>
      <c r="L18" s="60">
        <f t="shared" si="2"/>
        <v>142179376</v>
      </c>
      <c r="M18" s="60">
        <f t="shared" si="3"/>
        <v>36597472</v>
      </c>
      <c r="N18" s="79">
        <v>90872832</v>
      </c>
      <c r="O18" s="80">
        <v>142179376</v>
      </c>
      <c r="P18" s="80">
        <v>20499640</v>
      </c>
      <c r="Q18" s="80">
        <v>0</v>
      </c>
      <c r="R18" s="80">
        <v>16097832</v>
      </c>
      <c r="S18" s="80">
        <v>105437576</v>
      </c>
      <c r="T18" s="80">
        <v>144328</v>
      </c>
      <c r="U18" s="92">
        <v>79.1678246</v>
      </c>
      <c r="V18" s="92">
        <v>82.1100624</v>
      </c>
      <c r="W18" s="92">
        <v>42.2146349</v>
      </c>
      <c r="X18" s="92">
        <v>45.5049646</v>
      </c>
      <c r="Y18" s="92">
        <v>49.1936671</v>
      </c>
      <c r="Z18" s="92">
        <v>49.9238299</v>
      </c>
      <c r="AA18" s="92">
        <v>38.4931112</v>
      </c>
      <c r="AB18" s="99">
        <v>22144.930541</v>
      </c>
      <c r="AC18" s="99">
        <v>255.08943</v>
      </c>
      <c r="AE18" s="77" t="str">
        <f t="shared" si="4"/>
        <v>·</v>
      </c>
      <c r="AF18" s="78" t="str">
        <f t="shared" si="5"/>
        <v>·</v>
      </c>
      <c r="AG18" s="60" t="str">
        <f t="shared" si="6"/>
        <v>.</v>
      </c>
      <c r="AH18" s="60" t="str">
        <f t="shared" si="7"/>
        <v>.</v>
      </c>
      <c r="AI18" s="79"/>
      <c r="AJ18" s="80"/>
      <c r="AK18" s="80"/>
      <c r="AL18" s="80"/>
      <c r="AM18" s="80"/>
      <c r="AN18" s="80"/>
      <c r="AO18" s="80"/>
      <c r="AP18" s="92"/>
      <c r="AQ18" s="92"/>
      <c r="AR18" s="92"/>
      <c r="AS18" s="92"/>
      <c r="AT18" s="92"/>
      <c r="AU18" s="92"/>
      <c r="AV18" s="92"/>
      <c r="AW18" s="99"/>
      <c r="AX18" s="99"/>
      <c r="AZ18" s="19"/>
      <c r="BA18" s="19"/>
      <c r="BB18" s="19"/>
      <c r="BC18" s="19"/>
      <c r="BD18" s="19"/>
      <c r="BE18" s="19"/>
      <c r="BF18" s="19"/>
      <c r="BH18" s="19"/>
      <c r="BI18" s="19"/>
      <c r="BJ18" s="19"/>
      <c r="BK18" s="19"/>
      <c r="BL18" s="19"/>
      <c r="BM18" s="19"/>
      <c r="BN18" s="19"/>
      <c r="BP18" s="19">
        <f t="shared" si="8"/>
        <v>0</v>
      </c>
      <c r="BQ18" s="19">
        <f t="shared" si="9"/>
        <v>0</v>
      </c>
      <c r="BR18" s="19">
        <f t="shared" si="10"/>
        <v>0</v>
      </c>
      <c r="BS18" s="19">
        <f t="shared" si="11"/>
        <v>0</v>
      </c>
      <c r="BT18" s="19">
        <f t="shared" si="11"/>
        <v>0</v>
      </c>
    </row>
    <row r="19" ht="15.75" customHeight="1" outlineLevel="1" spans="1:72">
      <c r="A19" s="56"/>
      <c r="B19" s="62" t="s">
        <v>55</v>
      </c>
      <c r="C19" s="63" t="s">
        <v>436</v>
      </c>
      <c r="D19" s="62">
        <v>11842002</v>
      </c>
      <c r="E19" s="64">
        <v>12</v>
      </c>
      <c r="F19" s="63">
        <v>300</v>
      </c>
      <c r="G19" s="63">
        <v>30</v>
      </c>
      <c r="H19" s="63">
        <v>21</v>
      </c>
      <c r="J19" s="81">
        <f t="shared" si="0"/>
        <v>21.3638264</v>
      </c>
      <c r="K19" s="82">
        <f t="shared" si="1"/>
        <v>18.0407218306499</v>
      </c>
      <c r="L19" s="63">
        <f t="shared" si="2"/>
        <v>213638264</v>
      </c>
      <c r="M19" s="63">
        <f t="shared" si="3"/>
        <v>38631616</v>
      </c>
      <c r="N19" s="83">
        <v>90872832</v>
      </c>
      <c r="O19" s="84">
        <v>213638264</v>
      </c>
      <c r="P19" s="84">
        <v>20499640</v>
      </c>
      <c r="Q19" s="84">
        <v>0</v>
      </c>
      <c r="R19" s="84">
        <v>18131976</v>
      </c>
      <c r="S19" s="84">
        <v>174861728</v>
      </c>
      <c r="T19" s="84">
        <v>144920</v>
      </c>
      <c r="U19" s="93">
        <v>79.5199955</v>
      </c>
      <c r="V19" s="93">
        <v>82.6341907</v>
      </c>
      <c r="W19" s="93">
        <v>43.2526235</v>
      </c>
      <c r="X19" s="93">
        <v>46.4564972</v>
      </c>
      <c r="Y19" s="93">
        <v>50.4851238</v>
      </c>
      <c r="Z19" s="93">
        <v>50.1259526</v>
      </c>
      <c r="AA19" s="93">
        <v>39.0461456</v>
      </c>
      <c r="AB19" s="100">
        <v>22249.634341</v>
      </c>
      <c r="AC19" s="100">
        <v>254.060203</v>
      </c>
      <c r="AE19" s="81" t="str">
        <f t="shared" si="4"/>
        <v>·</v>
      </c>
      <c r="AF19" s="82" t="str">
        <f t="shared" si="5"/>
        <v>·</v>
      </c>
      <c r="AG19" s="63" t="str">
        <f t="shared" si="6"/>
        <v>.</v>
      </c>
      <c r="AH19" s="63" t="str">
        <f t="shared" si="7"/>
        <v>.</v>
      </c>
      <c r="AI19" s="83"/>
      <c r="AJ19" s="84"/>
      <c r="AK19" s="84"/>
      <c r="AL19" s="84"/>
      <c r="AM19" s="84"/>
      <c r="AN19" s="84"/>
      <c r="AO19" s="84"/>
      <c r="AP19" s="93"/>
      <c r="AQ19" s="93"/>
      <c r="AR19" s="93"/>
      <c r="AS19" s="93"/>
      <c r="AT19" s="93"/>
      <c r="AU19" s="93"/>
      <c r="AV19" s="93"/>
      <c r="AW19" s="100"/>
      <c r="AX19" s="100"/>
      <c r="AZ19" s="110"/>
      <c r="BA19" s="110"/>
      <c r="BB19" s="110"/>
      <c r="BC19" s="110"/>
      <c r="BD19" s="110"/>
      <c r="BE19" s="110"/>
      <c r="BF19" s="110"/>
      <c r="BH19" s="110"/>
      <c r="BI19" s="110"/>
      <c r="BJ19" s="110"/>
      <c r="BK19" s="110"/>
      <c r="BL19" s="110"/>
      <c r="BM19" s="110"/>
      <c r="BN19" s="110"/>
      <c r="BP19" s="110">
        <f t="shared" si="8"/>
        <v>0</v>
      </c>
      <c r="BQ19" s="110">
        <f t="shared" si="9"/>
        <v>0</v>
      </c>
      <c r="BR19" s="110">
        <f t="shared" si="10"/>
        <v>0</v>
      </c>
      <c r="BS19" s="110">
        <f t="shared" si="11"/>
        <v>0</v>
      </c>
      <c r="BT19" s="110">
        <f t="shared" si="11"/>
        <v>0</v>
      </c>
    </row>
    <row r="20" ht="15" customHeight="1" spans="1:72">
      <c r="A20" s="59"/>
      <c r="B20" s="59" t="s">
        <v>60</v>
      </c>
      <c r="C20" s="60" t="s">
        <v>432</v>
      </c>
      <c r="D20" s="59">
        <v>11812090</v>
      </c>
      <c r="E20" s="61">
        <v>12</v>
      </c>
      <c r="F20" s="60">
        <v>300</v>
      </c>
      <c r="G20" s="60">
        <v>30</v>
      </c>
      <c r="H20" s="60">
        <v>3</v>
      </c>
      <c r="J20" s="77">
        <f t="shared" si="0"/>
        <v>2.9061192</v>
      </c>
      <c r="K20" s="78">
        <f t="shared" si="1"/>
        <v>2.46029212442506</v>
      </c>
      <c r="L20" s="60">
        <f t="shared" si="2"/>
        <v>29061192</v>
      </c>
      <c r="M20" s="60">
        <f t="shared" si="3"/>
        <v>10595400</v>
      </c>
      <c r="N20" s="79">
        <v>22662720</v>
      </c>
      <c r="O20" s="80">
        <v>29061192</v>
      </c>
      <c r="P20" s="80">
        <v>6345432</v>
      </c>
      <c r="Q20" s="80">
        <v>0</v>
      </c>
      <c r="R20" s="80">
        <v>4249968</v>
      </c>
      <c r="S20" s="80">
        <v>18321208</v>
      </c>
      <c r="T20" s="80">
        <v>144584</v>
      </c>
      <c r="U20" s="92">
        <v>71.6368782</v>
      </c>
      <c r="V20" s="92">
        <v>73.0426226</v>
      </c>
      <c r="W20" s="92">
        <v>34.717123</v>
      </c>
      <c r="X20" s="92">
        <v>42.7410961</v>
      </c>
      <c r="Y20" s="92">
        <v>44.1241796</v>
      </c>
      <c r="Z20" s="92">
        <v>46.8245127</v>
      </c>
      <c r="AA20" s="92">
        <v>31.7055884</v>
      </c>
      <c r="AB20" s="99">
        <v>6256.67422</v>
      </c>
      <c r="AC20" s="99">
        <v>58.03556</v>
      </c>
      <c r="AE20" s="77" t="str">
        <f t="shared" si="4"/>
        <v>·</v>
      </c>
      <c r="AF20" s="78" t="str">
        <f t="shared" si="5"/>
        <v>·</v>
      </c>
      <c r="AG20" s="60" t="str">
        <f t="shared" si="6"/>
        <v>.</v>
      </c>
      <c r="AH20" s="60" t="str">
        <f t="shared" si="7"/>
        <v>.</v>
      </c>
      <c r="AI20" s="79"/>
      <c r="AJ20" s="80"/>
      <c r="AK20" s="80"/>
      <c r="AL20" s="80"/>
      <c r="AM20" s="80"/>
      <c r="AN20" s="80"/>
      <c r="AO20" s="80"/>
      <c r="AP20" s="92"/>
      <c r="AQ20" s="92"/>
      <c r="AR20" s="92"/>
      <c r="AS20" s="92"/>
      <c r="AT20" s="92"/>
      <c r="AU20" s="92"/>
      <c r="AV20" s="92"/>
      <c r="AW20" s="99"/>
      <c r="AX20" s="99"/>
      <c r="AZ20" s="19" t="str">
        <f t="array" ref="AZ20">IF(OR(AND(ISBLANK(L20:L24)),AND(ISBLANK(AG20:AG24)),AND(ISBLANK(U20:U24)),AND(ISBLANK(AP20:AP24))),"·",bdRateExtend(L20:L24,U20:U24,AG20:AG24,AP20:AP24))</f>
        <v>·</v>
      </c>
      <c r="BA20" s="19" t="str">
        <f t="array" ref="BA20">IF(OR(AND(ISBLANK(L20:L24)),AND(ISBLANK(AG20:AG24)),AND(ISBLANK(V20:V24)),AND(ISBLANK(AQ20:AQ24))),"·",bdRateExtend(L20:L24,V20:V24,AG20:AG24,AQ20:AQ24))</f>
        <v>·</v>
      </c>
      <c r="BB20" s="19" t="str">
        <f t="array" ref="BB20">IF(OR(AND(ISBLANK(L20:L24)),AND(ISBLANK(AG20:AG24)),AND(ISBLANK(W20:W24)),AND(ISBLANK(AR20:AR24))),"·",bdRateExtend(L20:L24,W20:W24,AG20:AG24,AR20:AR24))</f>
        <v>·</v>
      </c>
      <c r="BC20" s="19" t="str">
        <f t="array" ref="BC20">IF(OR(AND(ISBLANK(L20:L24)),AND(ISBLANK(AG20:AG24)),AND(ISBLANK(X20:X24)),AND(ISBLANK(AS20:AS24))),"·",bdRateExtend(L20:L24,X20:X24,AG20:AG24,AS20:AS24))</f>
        <v>·</v>
      </c>
      <c r="BD20" s="19" t="str">
        <f t="array" ref="BD20">IF(OR(AND(ISBLANK(L20:L24)),AND(ISBLANK(AG20:AG24)),AND(ISBLANK(Y20:Y24)),AND(ISBLANK(AT20:AT24))),"·",bdRateExtend(L20:L24,Y20:Y24,AG20:AG24,AT20:AT24))</f>
        <v>·</v>
      </c>
      <c r="BE20" s="19" t="str">
        <f t="array" ref="BE20">IF(OR(AND(ISBLANK(L20:L24)),AND(ISBLANK(AG20:AG24)),AND(ISBLANK(Z20:Z24)),AND(ISBLANK(AU20:AU24))),"·",bdRateExtend(L20:L24,Z20:Z24,AG20:AG24,AU20:AU24))</f>
        <v>·</v>
      </c>
      <c r="BF20" s="19" t="str">
        <f t="array" ref="BF20">IF(OR(AND(ISBLANK(L20:L24)),AND(ISBLANK(AG20:AG24)),AND(ISBLANK(AA20:AA24)),AND(ISBLANK(AV20:AV24))),"·",bdRateExtend(L20:L24,AA20:AA24,AG20:AG24,AV20:AV24))</f>
        <v>·</v>
      </c>
      <c r="BH20" s="19" t="str">
        <f t="array" ref="BH20">IF(OR(AND(ISBLANK(M20:M24)),AND(ISBLANK(AH20:AH24)),AND(ISBLANK(U20:U24)),AND(ISBLANK(AP20:AP24))),"·",bdRateExtend(M20:M24,U20:U24,AH20:AH24,AP20:AP24))</f>
        <v>·</v>
      </c>
      <c r="BI20" s="19" t="str">
        <f t="array" ref="BI20">IF(OR(AND(ISBLANK(M20:M24)),AND(ISBLANK(AH20:AH24)),AND(ISBLANK(V20:V24)),AND(ISBLANK(AQ20:AQ24))),"·",bdRateExtend(M20:M24,V20:V24,AH20:AH24,AQ20:AQ24))</f>
        <v>·</v>
      </c>
      <c r="BJ20" s="19" t="str">
        <f t="array" ref="BJ20">IF(OR(AND(ISBLANK(S20:S24)),AND(ISBLANK(AN20:AN24)),AND(ISBLANK(W20:W24)),AND(ISBLANK(AR20:AR24))),"·",bdRateExtend(S20:S24,W20:W24,AN20:AN24,AR20:AR24))</f>
        <v>·</v>
      </c>
      <c r="BK20" s="19" t="str">
        <f t="array" ref="BK20">IF(OR(AND(ISBLANK(S20:S24)),AND(ISBLANK(AN20:AN24)),AND(ISBLANK(X20:X24)),AND(ISBLANK(AS20:AS24))),"·",bdRateExtend(S20:S24,X20:X24,AN20:AN24,AS20:AS24))</f>
        <v>·</v>
      </c>
      <c r="BL20" s="19" t="str">
        <f t="array" ref="BL20">IF(OR(AND(ISBLANK(S20:S24)),AND(ISBLANK(AN20:AN24)),AND(ISBLANK(Y20:Y24)),AND(ISBLANK(AT20:AT24))),"·",bdRateExtend(S20:S24,Y20:Y24,AN20:AN24,AT20:AT24))</f>
        <v>·</v>
      </c>
      <c r="BM20" s="19" t="str">
        <f t="array" ref="BM20">IF(OR(AND(ISBLANK(M20:M24)),AND(ISBLANK(AH20:AH24)),AND(ISBLANK(Z20:Z24)),AND(ISBLANK(AU20:AU24))),"·",bdRateExtend(M20:M24,Z20:Z24,AH20:AH24,AU20:AU24))</f>
        <v>·</v>
      </c>
      <c r="BN20" s="19" t="str">
        <f t="array" ref="BN20">IF(OR(AND(ISBLANK(S20:S24)),AND(ISBLANK(AN20:AN24)),AND(ISBLANK(AA20:AA24)),AND(ISBLANK(AV20:AV24))),"·",bdRateExtend(S20:S24,AA20:AA24,AN20:AN24,AV20:AV24))</f>
        <v>·</v>
      </c>
      <c r="BP20" s="19">
        <f t="shared" si="8"/>
        <v>0</v>
      </c>
      <c r="BQ20" s="19">
        <f t="shared" si="9"/>
        <v>0</v>
      </c>
      <c r="BR20" s="19">
        <f t="shared" si="10"/>
        <v>0</v>
      </c>
      <c r="BS20" s="19">
        <f t="shared" si="11"/>
        <v>0</v>
      </c>
      <c r="BT20" s="19">
        <f t="shared" si="11"/>
        <v>0</v>
      </c>
    </row>
    <row r="21" ht="15" customHeight="1" outlineLevel="1" spans="1:72">
      <c r="A21" s="56"/>
      <c r="B21" s="56" t="s">
        <v>60</v>
      </c>
      <c r="C21" s="57" t="s">
        <v>433</v>
      </c>
      <c r="D21" s="56">
        <v>11812090</v>
      </c>
      <c r="E21" s="58">
        <v>12</v>
      </c>
      <c r="F21" s="57">
        <v>300</v>
      </c>
      <c r="G21" s="57">
        <v>30</v>
      </c>
      <c r="H21" s="57">
        <v>5</v>
      </c>
      <c r="J21" s="73">
        <f t="shared" si="0"/>
        <v>4.9243</v>
      </c>
      <c r="K21" s="74">
        <f t="shared" si="1"/>
        <v>4.1688642738076</v>
      </c>
      <c r="L21" s="57">
        <f t="shared" si="2"/>
        <v>49243000</v>
      </c>
      <c r="M21" s="57">
        <f t="shared" si="3"/>
        <v>11091760</v>
      </c>
      <c r="N21" s="75">
        <v>22662720</v>
      </c>
      <c r="O21" s="76">
        <v>49243000</v>
      </c>
      <c r="P21" s="76">
        <v>6345432</v>
      </c>
      <c r="Q21" s="76">
        <v>0</v>
      </c>
      <c r="R21" s="76">
        <v>4746328</v>
      </c>
      <c r="S21" s="76">
        <v>38005288</v>
      </c>
      <c r="T21" s="76">
        <v>145952</v>
      </c>
      <c r="U21" s="91">
        <v>72.0932273</v>
      </c>
      <c r="V21" s="91">
        <v>73.5548681</v>
      </c>
      <c r="W21" s="91">
        <v>37.5286117</v>
      </c>
      <c r="X21" s="91">
        <v>43.9421025</v>
      </c>
      <c r="Y21" s="91">
        <v>45.9959981</v>
      </c>
      <c r="Z21" s="91">
        <v>47.0169846</v>
      </c>
      <c r="AA21" s="91">
        <v>32.9727614</v>
      </c>
      <c r="AB21" s="98">
        <v>14271.598496</v>
      </c>
      <c r="AC21" s="98">
        <v>182.191823</v>
      </c>
      <c r="AE21" s="73" t="str">
        <f t="shared" si="4"/>
        <v>·</v>
      </c>
      <c r="AF21" s="74" t="str">
        <f t="shared" si="5"/>
        <v>·</v>
      </c>
      <c r="AG21" s="57" t="str">
        <f t="shared" si="6"/>
        <v>.</v>
      </c>
      <c r="AH21" s="57" t="str">
        <f t="shared" si="7"/>
        <v>.</v>
      </c>
      <c r="AI21" s="75"/>
      <c r="AJ21" s="76"/>
      <c r="AK21" s="76"/>
      <c r="AL21" s="76"/>
      <c r="AM21" s="76"/>
      <c r="AN21" s="76"/>
      <c r="AO21" s="76"/>
      <c r="AP21" s="91"/>
      <c r="AQ21" s="91"/>
      <c r="AR21" s="91"/>
      <c r="AS21" s="91"/>
      <c r="AT21" s="91"/>
      <c r="AU21" s="91"/>
      <c r="AV21" s="91"/>
      <c r="AW21" s="98"/>
      <c r="AX21" s="98"/>
      <c r="AZ21" s="15"/>
      <c r="BA21" s="15"/>
      <c r="BB21" s="15"/>
      <c r="BC21" s="15"/>
      <c r="BD21" s="15"/>
      <c r="BE21" s="15"/>
      <c r="BF21" s="15"/>
      <c r="BH21" s="15"/>
      <c r="BI21" s="15"/>
      <c r="BJ21" s="15"/>
      <c r="BK21" s="15"/>
      <c r="BL21" s="15"/>
      <c r="BM21" s="15"/>
      <c r="BN21" s="15"/>
      <c r="BP21" s="15">
        <f t="shared" si="8"/>
        <v>0</v>
      </c>
      <c r="BQ21" s="15">
        <f t="shared" si="9"/>
        <v>0</v>
      </c>
      <c r="BR21" s="15">
        <f t="shared" si="10"/>
        <v>0</v>
      </c>
      <c r="BS21" s="15">
        <f t="shared" si="11"/>
        <v>0</v>
      </c>
      <c r="BT21" s="15">
        <f t="shared" si="11"/>
        <v>0</v>
      </c>
    </row>
    <row r="22" ht="15" customHeight="1" outlineLevel="1" spans="1:72">
      <c r="A22" s="59"/>
      <c r="B22" s="59" t="s">
        <v>60</v>
      </c>
      <c r="C22" s="60" t="s">
        <v>434</v>
      </c>
      <c r="D22" s="59">
        <v>11812090</v>
      </c>
      <c r="E22" s="61">
        <v>12</v>
      </c>
      <c r="F22" s="60">
        <v>300</v>
      </c>
      <c r="G22" s="60">
        <v>30</v>
      </c>
      <c r="H22" s="60">
        <v>10</v>
      </c>
      <c r="J22" s="77">
        <f t="shared" si="0"/>
        <v>9.925372</v>
      </c>
      <c r="K22" s="78">
        <f t="shared" si="1"/>
        <v>8.40272297281853</v>
      </c>
      <c r="L22" s="60">
        <f t="shared" si="2"/>
        <v>99253720</v>
      </c>
      <c r="M22" s="60">
        <f t="shared" si="3"/>
        <v>24975584</v>
      </c>
      <c r="N22" s="79">
        <v>45333632</v>
      </c>
      <c r="O22" s="80">
        <v>99253720</v>
      </c>
      <c r="P22" s="80">
        <v>10580056</v>
      </c>
      <c r="Q22" s="80">
        <v>0</v>
      </c>
      <c r="R22" s="80">
        <v>14395528</v>
      </c>
      <c r="S22" s="80">
        <v>74133472</v>
      </c>
      <c r="T22" s="80">
        <v>144664</v>
      </c>
      <c r="U22" s="92">
        <v>77.9595187</v>
      </c>
      <c r="V22" s="92">
        <v>80.5860418</v>
      </c>
      <c r="W22" s="92">
        <v>40.4848605</v>
      </c>
      <c r="X22" s="92">
        <v>45.1989624</v>
      </c>
      <c r="Y22" s="92">
        <v>48.0805766</v>
      </c>
      <c r="Z22" s="92">
        <v>50.015318</v>
      </c>
      <c r="AA22" s="92">
        <v>36.7999396</v>
      </c>
      <c r="AB22" s="99">
        <v>16771.224876</v>
      </c>
      <c r="AC22" s="99">
        <v>219.730531</v>
      </c>
      <c r="AE22" s="77" t="str">
        <f t="shared" si="4"/>
        <v>·</v>
      </c>
      <c r="AF22" s="78" t="str">
        <f t="shared" si="5"/>
        <v>·</v>
      </c>
      <c r="AG22" s="60" t="str">
        <f t="shared" si="6"/>
        <v>.</v>
      </c>
      <c r="AH22" s="60" t="str">
        <f t="shared" si="7"/>
        <v>.</v>
      </c>
      <c r="AI22" s="79"/>
      <c r="AJ22" s="80"/>
      <c r="AK22" s="80"/>
      <c r="AL22" s="80"/>
      <c r="AM22" s="80"/>
      <c r="AN22" s="80"/>
      <c r="AO22" s="80"/>
      <c r="AP22" s="92"/>
      <c r="AQ22" s="92"/>
      <c r="AR22" s="92"/>
      <c r="AS22" s="92"/>
      <c r="AT22" s="92"/>
      <c r="AU22" s="92"/>
      <c r="AV22" s="92"/>
      <c r="AW22" s="99"/>
      <c r="AX22" s="99"/>
      <c r="AZ22" s="19"/>
      <c r="BA22" s="19"/>
      <c r="BB22" s="19"/>
      <c r="BC22" s="19"/>
      <c r="BD22" s="19"/>
      <c r="BE22" s="19"/>
      <c r="BF22" s="19"/>
      <c r="BH22" s="19"/>
      <c r="BI22" s="19"/>
      <c r="BJ22" s="19"/>
      <c r="BK22" s="19"/>
      <c r="BL22" s="19"/>
      <c r="BM22" s="19"/>
      <c r="BN22" s="19"/>
      <c r="BP22" s="19">
        <f t="shared" si="8"/>
        <v>0</v>
      </c>
      <c r="BQ22" s="19">
        <f t="shared" si="9"/>
        <v>0</v>
      </c>
      <c r="BR22" s="19">
        <f t="shared" si="10"/>
        <v>0</v>
      </c>
      <c r="BS22" s="19">
        <f t="shared" si="11"/>
        <v>0</v>
      </c>
      <c r="BT22" s="19">
        <f t="shared" si="11"/>
        <v>0</v>
      </c>
    </row>
    <row r="23" ht="15" customHeight="1" outlineLevel="1" spans="1:72">
      <c r="A23" s="56"/>
      <c r="B23" s="56" t="s">
        <v>60</v>
      </c>
      <c r="C23" s="57" t="s">
        <v>435</v>
      </c>
      <c r="D23" s="56">
        <v>11812090</v>
      </c>
      <c r="E23" s="58">
        <v>12</v>
      </c>
      <c r="F23" s="57">
        <v>300</v>
      </c>
      <c r="G23" s="57">
        <v>30</v>
      </c>
      <c r="H23" s="57">
        <v>14</v>
      </c>
      <c r="J23" s="73">
        <f t="shared" si="0"/>
        <v>14.0903256</v>
      </c>
      <c r="K23" s="74">
        <f t="shared" si="1"/>
        <v>11.9287320025499</v>
      </c>
      <c r="L23" s="57">
        <f t="shared" si="2"/>
        <v>140903256</v>
      </c>
      <c r="M23" s="57">
        <f t="shared" si="3"/>
        <v>35382136</v>
      </c>
      <c r="N23" s="75">
        <v>90678336</v>
      </c>
      <c r="O23" s="76">
        <v>140903256</v>
      </c>
      <c r="P23" s="76">
        <v>22357944</v>
      </c>
      <c r="Q23" s="76">
        <v>0</v>
      </c>
      <c r="R23" s="76">
        <v>13024192</v>
      </c>
      <c r="S23" s="76">
        <v>105374712</v>
      </c>
      <c r="T23" s="76">
        <v>146408</v>
      </c>
      <c r="U23" s="91">
        <v>78.8589656</v>
      </c>
      <c r="V23" s="91">
        <v>81.8200717</v>
      </c>
      <c r="W23" s="91">
        <v>41.4990122</v>
      </c>
      <c r="X23" s="91">
        <v>45.7282176</v>
      </c>
      <c r="Y23" s="91">
        <v>48.8340789</v>
      </c>
      <c r="Z23" s="91">
        <v>50.7961267</v>
      </c>
      <c r="AA23" s="91">
        <v>37.7412754</v>
      </c>
      <c r="AB23" s="98">
        <v>21083.031063</v>
      </c>
      <c r="AC23" s="98">
        <v>247.650836</v>
      </c>
      <c r="AE23" s="73" t="str">
        <f t="shared" si="4"/>
        <v>·</v>
      </c>
      <c r="AF23" s="74" t="str">
        <f t="shared" si="5"/>
        <v>·</v>
      </c>
      <c r="AG23" s="57" t="str">
        <f t="shared" si="6"/>
        <v>.</v>
      </c>
      <c r="AH23" s="57" t="str">
        <f t="shared" si="7"/>
        <v>.</v>
      </c>
      <c r="AI23" s="75"/>
      <c r="AJ23" s="76"/>
      <c r="AK23" s="76"/>
      <c r="AL23" s="76"/>
      <c r="AM23" s="76"/>
      <c r="AN23" s="76"/>
      <c r="AO23" s="76"/>
      <c r="AP23" s="91"/>
      <c r="AQ23" s="91"/>
      <c r="AR23" s="91"/>
      <c r="AS23" s="91"/>
      <c r="AT23" s="91"/>
      <c r="AU23" s="91"/>
      <c r="AV23" s="91"/>
      <c r="AW23" s="98"/>
      <c r="AX23" s="98"/>
      <c r="AZ23" s="15"/>
      <c r="BA23" s="15"/>
      <c r="BB23" s="15"/>
      <c r="BC23" s="15"/>
      <c r="BD23" s="15"/>
      <c r="BE23" s="15"/>
      <c r="BF23" s="15"/>
      <c r="BH23" s="15"/>
      <c r="BI23" s="15"/>
      <c r="BJ23" s="15"/>
      <c r="BK23" s="15"/>
      <c r="BL23" s="15"/>
      <c r="BM23" s="15"/>
      <c r="BN23" s="15"/>
      <c r="BP23" s="15">
        <f t="shared" si="8"/>
        <v>0</v>
      </c>
      <c r="BQ23" s="15">
        <f t="shared" si="9"/>
        <v>0</v>
      </c>
      <c r="BR23" s="15">
        <f t="shared" si="10"/>
        <v>0</v>
      </c>
      <c r="BS23" s="15">
        <f t="shared" si="11"/>
        <v>0</v>
      </c>
      <c r="BT23" s="15">
        <f t="shared" si="11"/>
        <v>0</v>
      </c>
    </row>
    <row r="24" ht="15.75" customHeight="1" outlineLevel="1" spans="1:72">
      <c r="A24" s="65"/>
      <c r="B24" s="65" t="s">
        <v>60</v>
      </c>
      <c r="C24" s="66" t="s">
        <v>436</v>
      </c>
      <c r="D24" s="65">
        <v>11812090</v>
      </c>
      <c r="E24" s="67">
        <v>12</v>
      </c>
      <c r="F24" s="66">
        <v>300</v>
      </c>
      <c r="G24" s="66">
        <v>30</v>
      </c>
      <c r="H24" s="66">
        <v>21</v>
      </c>
      <c r="J24" s="85">
        <f t="shared" si="0"/>
        <v>21.0686296</v>
      </c>
      <c r="K24" s="86">
        <f t="shared" si="1"/>
        <v>17.8364959968981</v>
      </c>
      <c r="L24" s="66">
        <f t="shared" si="2"/>
        <v>210686296</v>
      </c>
      <c r="M24" s="66">
        <f t="shared" si="3"/>
        <v>37363000</v>
      </c>
      <c r="N24" s="87">
        <v>90678336</v>
      </c>
      <c r="O24" s="88">
        <v>210686296</v>
      </c>
      <c r="P24" s="88">
        <v>20162136</v>
      </c>
      <c r="Q24" s="88">
        <v>0</v>
      </c>
      <c r="R24" s="88">
        <v>17200864</v>
      </c>
      <c r="S24" s="88">
        <v>173179712</v>
      </c>
      <c r="T24" s="88">
        <v>143584</v>
      </c>
      <c r="U24" s="94">
        <v>79.5515178</v>
      </c>
      <c r="V24" s="94">
        <v>82.8825684</v>
      </c>
      <c r="W24" s="94">
        <v>42.4954386</v>
      </c>
      <c r="X24" s="94">
        <v>46.8030189</v>
      </c>
      <c r="Y24" s="94">
        <v>50.1941918</v>
      </c>
      <c r="Z24" s="94">
        <v>51.1814658</v>
      </c>
      <c r="AA24" s="94">
        <v>38.5104224</v>
      </c>
      <c r="AB24" s="101">
        <v>21892.007216</v>
      </c>
      <c r="AC24" s="101">
        <v>254.128026</v>
      </c>
      <c r="AE24" s="85" t="str">
        <f t="shared" si="4"/>
        <v>·</v>
      </c>
      <c r="AF24" s="86" t="str">
        <f t="shared" si="5"/>
        <v>·</v>
      </c>
      <c r="AG24" s="66" t="str">
        <f t="shared" si="6"/>
        <v>.</v>
      </c>
      <c r="AH24" s="66" t="str">
        <f t="shared" si="7"/>
        <v>.</v>
      </c>
      <c r="AI24" s="87"/>
      <c r="AJ24" s="88"/>
      <c r="AK24" s="88"/>
      <c r="AL24" s="88"/>
      <c r="AM24" s="88"/>
      <c r="AN24" s="88"/>
      <c r="AO24" s="88"/>
      <c r="AP24" s="94"/>
      <c r="AQ24" s="94"/>
      <c r="AR24" s="94"/>
      <c r="AS24" s="94"/>
      <c r="AT24" s="94"/>
      <c r="AU24" s="94"/>
      <c r="AV24" s="94"/>
      <c r="AW24" s="101"/>
      <c r="AX24" s="101"/>
      <c r="AZ24" s="23"/>
      <c r="BA24" s="23"/>
      <c r="BB24" s="23"/>
      <c r="BC24" s="23"/>
      <c r="BD24" s="23"/>
      <c r="BE24" s="23"/>
      <c r="BF24" s="23"/>
      <c r="BH24" s="23"/>
      <c r="BI24" s="23"/>
      <c r="BJ24" s="23"/>
      <c r="BK24" s="23"/>
      <c r="BL24" s="23"/>
      <c r="BM24" s="23"/>
      <c r="BN24" s="23"/>
      <c r="BP24" s="23">
        <f t="shared" si="8"/>
        <v>0</v>
      </c>
      <c r="BQ24" s="23">
        <f t="shared" si="9"/>
        <v>0</v>
      </c>
      <c r="BR24" s="23">
        <f t="shared" si="10"/>
        <v>0</v>
      </c>
      <c r="BS24" s="23">
        <f t="shared" si="11"/>
        <v>0</v>
      </c>
      <c r="BT24" s="23">
        <f t="shared" si="11"/>
        <v>0</v>
      </c>
    </row>
    <row r="25" ht="15" customHeight="1" spans="1:72">
      <c r="A25" s="56" t="s">
        <v>191</v>
      </c>
      <c r="B25" s="56" t="s">
        <v>65</v>
      </c>
      <c r="C25" s="57" t="s">
        <v>432</v>
      </c>
      <c r="D25" s="56">
        <v>12000000</v>
      </c>
      <c r="E25" s="58">
        <v>12</v>
      </c>
      <c r="F25" s="57">
        <v>300</v>
      </c>
      <c r="G25" s="57">
        <v>30</v>
      </c>
      <c r="H25" s="57">
        <v>4</v>
      </c>
      <c r="J25" s="73">
        <f t="shared" si="0"/>
        <v>4.2095312</v>
      </c>
      <c r="K25" s="74">
        <f t="shared" si="1"/>
        <v>3.50794266666667</v>
      </c>
      <c r="L25" s="57">
        <f t="shared" si="2"/>
        <v>42095312</v>
      </c>
      <c r="M25" s="57">
        <f t="shared" si="3"/>
        <v>10976040</v>
      </c>
      <c r="N25" s="75">
        <v>23021184</v>
      </c>
      <c r="O25" s="76">
        <v>42095312</v>
      </c>
      <c r="P25" s="76">
        <v>6289792</v>
      </c>
      <c r="Q25" s="76">
        <v>0</v>
      </c>
      <c r="R25" s="76">
        <v>4686248</v>
      </c>
      <c r="S25" s="76">
        <v>30973008</v>
      </c>
      <c r="T25" s="76">
        <v>146264</v>
      </c>
      <c r="U25" s="91">
        <v>74.0582754</v>
      </c>
      <c r="V25" s="91">
        <v>75.8887612</v>
      </c>
      <c r="W25" s="91">
        <v>31.1933198</v>
      </c>
      <c r="X25" s="91">
        <v>39.919393</v>
      </c>
      <c r="Y25" s="91">
        <v>36.6231965</v>
      </c>
      <c r="Z25" s="91">
        <v>44.9891014</v>
      </c>
      <c r="AA25" s="91">
        <v>28.250093</v>
      </c>
      <c r="AB25" s="98">
        <v>9041.97939</v>
      </c>
      <c r="AC25" s="98">
        <v>76.407125</v>
      </c>
      <c r="AE25" s="73" t="str">
        <f t="shared" si="4"/>
        <v>·</v>
      </c>
      <c r="AF25" s="74" t="str">
        <f t="shared" si="5"/>
        <v>·</v>
      </c>
      <c r="AG25" s="57" t="str">
        <f t="shared" si="6"/>
        <v>.</v>
      </c>
      <c r="AH25" s="57" t="str">
        <f t="shared" si="7"/>
        <v>.</v>
      </c>
      <c r="AI25" s="75"/>
      <c r="AJ25" s="76"/>
      <c r="AK25" s="76"/>
      <c r="AL25" s="76"/>
      <c r="AM25" s="76"/>
      <c r="AN25" s="76"/>
      <c r="AO25" s="76"/>
      <c r="AP25" s="91"/>
      <c r="AQ25" s="91"/>
      <c r="AR25" s="91"/>
      <c r="AS25" s="91"/>
      <c r="AT25" s="91"/>
      <c r="AU25" s="91"/>
      <c r="AV25" s="91"/>
      <c r="AW25" s="98"/>
      <c r="AX25" s="98"/>
      <c r="AZ25" s="15" t="str">
        <f t="array" ref="AZ25">IF(OR(AND(ISBLANK(L25:L29)),AND(ISBLANK(AG25:AG29)),AND(ISBLANK(U25:U29)),AND(ISBLANK(AP25:AP29))),"·",bdRateExtend(L25:L29,U25:U29,AG25:AG29,AP25:AP29))</f>
        <v>·</v>
      </c>
      <c r="BA25" s="15" t="str">
        <f t="array" ref="BA25">IF(OR(AND(ISBLANK(L25:L29)),AND(ISBLANK(AG25:AG29)),AND(ISBLANK(V25:V29)),AND(ISBLANK(AQ25:AQ29))),"·",bdRateExtend(L25:L29,V25:V29,AG25:AG29,AQ25:AQ29))</f>
        <v>·</v>
      </c>
      <c r="BB25" s="15" t="str">
        <f t="array" ref="BB25">IF(OR(AND(ISBLANK(L25:L29)),AND(ISBLANK(AG25:AG29)),AND(ISBLANK(W25:W29)),AND(ISBLANK(AR25:AR29))),"·",bdRateExtend(L25:L29,W25:W29,AG25:AG29,AR25:AR29))</f>
        <v>·</v>
      </c>
      <c r="BC25" s="15" t="str">
        <f t="array" ref="BC25">IF(OR(AND(ISBLANK(L25:L29)),AND(ISBLANK(AG25:AG29)),AND(ISBLANK(X25:X29)),AND(ISBLANK(AS25:AS29))),"·",bdRateExtend(L25:L29,X25:X29,AG25:AG29,AS25:AS29))</f>
        <v>·</v>
      </c>
      <c r="BD25" s="15" t="str">
        <f t="array" ref="BD25">IF(OR(AND(ISBLANK(L25:L29)),AND(ISBLANK(AG25:AG29)),AND(ISBLANK(Y25:Y29)),AND(ISBLANK(AT25:AT29))),"·",bdRateExtend(L25:L29,Y25:Y29,AG25:AG29,AT25:AT29))</f>
        <v>·</v>
      </c>
      <c r="BE25" s="15" t="str">
        <f t="array" ref="BE25">IF(OR(AND(ISBLANK(L25:L29)),AND(ISBLANK(AG25:AG29)),AND(ISBLANK(Z25:Z29)),AND(ISBLANK(AU25:AU29))),"·",bdRateExtend(L25:L29,Z25:Z29,AG25:AG29,AU25:AU29))</f>
        <v>·</v>
      </c>
      <c r="BF25" s="15" t="str">
        <f t="array" ref="BF25">IF(OR(AND(ISBLANK(L25:L29)),AND(ISBLANK(AG25:AG29)),AND(ISBLANK(AA25:AA29)),AND(ISBLANK(AV25:AV29))),"·",bdRateExtend(L25:L29,AA25:AA29,AG25:AG29,AV25:AV29))</f>
        <v>·</v>
      </c>
      <c r="BH25" s="15" t="str">
        <f t="array" ref="BH25">IF(OR(AND(ISBLANK(M25:M29)),AND(ISBLANK(AH25:AH29)),AND(ISBLANK(U25:U29)),AND(ISBLANK(AP25:AP29))),"·",bdRateExtend(M25:M29,U25:U29,AH25:AH29,AP25:AP29))</f>
        <v>·</v>
      </c>
      <c r="BI25" s="15" t="str">
        <f t="array" ref="BI25">IF(OR(AND(ISBLANK(M25:M29)),AND(ISBLANK(AH25:AH29)),AND(ISBLANK(V25:V29)),AND(ISBLANK(AQ25:AQ29))),"·",bdRateExtend(M25:M29,V25:V29,AH25:AH29,AQ25:AQ29))</f>
        <v>·</v>
      </c>
      <c r="BJ25" s="15" t="str">
        <f t="array" ref="BJ25">IF(OR(AND(ISBLANK(S25:S29)),AND(ISBLANK(AN25:AN29)),AND(ISBLANK(W25:W29)),AND(ISBLANK(AR25:AR29))),"·",bdRateExtend(S25:S29,W25:W29,AN25:AN29,AR25:AR29))</f>
        <v>·</v>
      </c>
      <c r="BK25" s="15" t="str">
        <f t="array" ref="BK25">IF(OR(AND(ISBLANK(S25:S29)),AND(ISBLANK(AN25:AN29)),AND(ISBLANK(X25:X29)),AND(ISBLANK(AS25:AS29))),"·",bdRateExtend(S25:S29,X25:X29,AN25:AN29,AS25:AS29))</f>
        <v>·</v>
      </c>
      <c r="BL25" s="15" t="str">
        <f t="array" ref="BL25">IF(OR(AND(ISBLANK(S25:S29)),AND(ISBLANK(AN25:AN29)),AND(ISBLANK(Y25:Y29)),AND(ISBLANK(AT25:AT29))),"·",bdRateExtend(S25:S29,Y25:Y29,AN25:AN29,AT25:AT29))</f>
        <v>·</v>
      </c>
      <c r="BM25" s="15" t="str">
        <f t="array" ref="BM25">IF(OR(AND(ISBLANK(M25:M29)),AND(ISBLANK(AH25:AH29)),AND(ISBLANK(Z25:Z29)),AND(ISBLANK(AU25:AU29))),"·",bdRateExtend(M25:M29,Z25:Z29,AH25:AH29,AU25:AU29))</f>
        <v>·</v>
      </c>
      <c r="BN25" s="15" t="str">
        <f t="array" ref="BN25">IF(OR(AND(ISBLANK(S25:S29)),AND(ISBLANK(AN25:AN29)),AND(ISBLANK(AA25:AA29)),AND(ISBLANK(AV25:AV29))),"·",bdRateExtend(S25:S29,AA25:AA29,AN25:AN29,AV25:AV29))</f>
        <v>·</v>
      </c>
      <c r="BP25" s="15">
        <f t="shared" si="8"/>
        <v>0</v>
      </c>
      <c r="BQ25" s="15">
        <f t="shared" si="9"/>
        <v>0</v>
      </c>
      <c r="BR25" s="15">
        <f t="shared" si="10"/>
        <v>0</v>
      </c>
      <c r="BS25" s="15">
        <f t="shared" si="11"/>
        <v>0</v>
      </c>
      <c r="BT25" s="15">
        <f t="shared" si="11"/>
        <v>0</v>
      </c>
    </row>
    <row r="26" ht="15" customHeight="1" outlineLevel="1" spans="1:72">
      <c r="A26" s="59"/>
      <c r="B26" s="59" t="s">
        <v>65</v>
      </c>
      <c r="C26" s="60" t="s">
        <v>433</v>
      </c>
      <c r="D26" s="59">
        <v>12000000</v>
      </c>
      <c r="E26" s="61">
        <v>12</v>
      </c>
      <c r="F26" s="60">
        <v>300</v>
      </c>
      <c r="G26" s="60">
        <v>30</v>
      </c>
      <c r="H26" s="60">
        <v>8</v>
      </c>
      <c r="J26" s="77">
        <f t="shared" si="0"/>
        <v>8.3139136</v>
      </c>
      <c r="K26" s="78">
        <f t="shared" si="1"/>
        <v>6.92826133333333</v>
      </c>
      <c r="L26" s="60">
        <f t="shared" si="2"/>
        <v>83139136</v>
      </c>
      <c r="M26" s="60">
        <f t="shared" si="3"/>
        <v>17240536</v>
      </c>
      <c r="N26" s="79">
        <v>46064000</v>
      </c>
      <c r="O26" s="80">
        <v>83139136</v>
      </c>
      <c r="P26" s="80">
        <v>10590528</v>
      </c>
      <c r="Q26" s="80">
        <v>0</v>
      </c>
      <c r="R26" s="80">
        <v>6650008</v>
      </c>
      <c r="S26" s="80">
        <v>65748232</v>
      </c>
      <c r="T26" s="80">
        <v>150368</v>
      </c>
      <c r="U26" s="92">
        <v>76.9680852</v>
      </c>
      <c r="V26" s="92">
        <v>79.343829</v>
      </c>
      <c r="W26" s="92">
        <v>33.4831543</v>
      </c>
      <c r="X26" s="92">
        <v>41.8467928</v>
      </c>
      <c r="Y26" s="92">
        <v>39.464857</v>
      </c>
      <c r="Z26" s="92">
        <v>46.5653337</v>
      </c>
      <c r="AA26" s="92">
        <v>30.9186361</v>
      </c>
      <c r="AB26" s="99">
        <v>18886.689767</v>
      </c>
      <c r="AC26" s="99">
        <v>200.523035</v>
      </c>
      <c r="AE26" s="77" t="str">
        <f t="shared" si="4"/>
        <v>·</v>
      </c>
      <c r="AF26" s="78" t="str">
        <f t="shared" si="5"/>
        <v>·</v>
      </c>
      <c r="AG26" s="60" t="str">
        <f t="shared" si="6"/>
        <v>.</v>
      </c>
      <c r="AH26" s="60" t="str">
        <f t="shared" si="7"/>
        <v>.</v>
      </c>
      <c r="AI26" s="79"/>
      <c r="AJ26" s="80"/>
      <c r="AK26" s="80"/>
      <c r="AL26" s="80"/>
      <c r="AM26" s="80"/>
      <c r="AN26" s="80"/>
      <c r="AO26" s="80"/>
      <c r="AP26" s="92"/>
      <c r="AQ26" s="92"/>
      <c r="AR26" s="92"/>
      <c r="AS26" s="92"/>
      <c r="AT26" s="92"/>
      <c r="AU26" s="92"/>
      <c r="AV26" s="92"/>
      <c r="AW26" s="99"/>
      <c r="AX26" s="99"/>
      <c r="AZ26" s="19"/>
      <c r="BA26" s="19"/>
      <c r="BB26" s="19"/>
      <c r="BC26" s="19"/>
      <c r="BD26" s="19"/>
      <c r="BE26" s="19"/>
      <c r="BF26" s="19"/>
      <c r="BH26" s="19"/>
      <c r="BI26" s="19"/>
      <c r="BJ26" s="19"/>
      <c r="BK26" s="19"/>
      <c r="BL26" s="19"/>
      <c r="BM26" s="19"/>
      <c r="BN26" s="19"/>
      <c r="BP26" s="19">
        <f t="shared" si="8"/>
        <v>0</v>
      </c>
      <c r="BQ26" s="19">
        <f t="shared" si="9"/>
        <v>0</v>
      </c>
      <c r="BR26" s="19">
        <f t="shared" si="10"/>
        <v>0</v>
      </c>
      <c r="BS26" s="19">
        <f t="shared" si="11"/>
        <v>0</v>
      </c>
      <c r="BT26" s="19">
        <f t="shared" si="11"/>
        <v>0</v>
      </c>
    </row>
    <row r="27" ht="15" customHeight="1" outlineLevel="1" spans="1:72">
      <c r="A27" s="56"/>
      <c r="B27" s="56" t="s">
        <v>65</v>
      </c>
      <c r="C27" s="57" t="s">
        <v>434</v>
      </c>
      <c r="D27" s="56">
        <v>12000000</v>
      </c>
      <c r="E27" s="58">
        <v>12</v>
      </c>
      <c r="F27" s="57">
        <v>300</v>
      </c>
      <c r="G27" s="57">
        <v>30</v>
      </c>
      <c r="H27" s="57">
        <v>12</v>
      </c>
      <c r="J27" s="73">
        <f t="shared" si="0"/>
        <v>12.4330448</v>
      </c>
      <c r="K27" s="74">
        <f t="shared" si="1"/>
        <v>10.3608706666667</v>
      </c>
      <c r="L27" s="57">
        <f t="shared" si="2"/>
        <v>124330448</v>
      </c>
      <c r="M27" s="57">
        <f t="shared" si="3"/>
        <v>25887584</v>
      </c>
      <c r="N27" s="75">
        <v>92146368</v>
      </c>
      <c r="O27" s="76">
        <v>124330448</v>
      </c>
      <c r="P27" s="76">
        <v>20113928</v>
      </c>
      <c r="Q27" s="76">
        <v>0</v>
      </c>
      <c r="R27" s="76">
        <v>5773656</v>
      </c>
      <c r="S27" s="76">
        <v>98294760</v>
      </c>
      <c r="T27" s="76">
        <v>148104</v>
      </c>
      <c r="U27" s="91">
        <v>79.0297814</v>
      </c>
      <c r="V27" s="91">
        <v>81.9131368</v>
      </c>
      <c r="W27" s="91">
        <v>34.5543842</v>
      </c>
      <c r="X27" s="91">
        <v>43.2154363</v>
      </c>
      <c r="Y27" s="91">
        <v>41.2796436</v>
      </c>
      <c r="Z27" s="91">
        <v>47.9127972</v>
      </c>
      <c r="AA27" s="91">
        <v>32.2660006</v>
      </c>
      <c r="AB27" s="98">
        <v>51921.150848</v>
      </c>
      <c r="AC27" s="98">
        <v>623.257952</v>
      </c>
      <c r="AE27" s="73" t="str">
        <f t="shared" si="4"/>
        <v>·</v>
      </c>
      <c r="AF27" s="74" t="str">
        <f t="shared" si="5"/>
        <v>·</v>
      </c>
      <c r="AG27" s="57" t="str">
        <f t="shared" si="6"/>
        <v>.</v>
      </c>
      <c r="AH27" s="57" t="str">
        <f t="shared" si="7"/>
        <v>.</v>
      </c>
      <c r="AI27" s="75"/>
      <c r="AJ27" s="76"/>
      <c r="AK27" s="76"/>
      <c r="AL27" s="76"/>
      <c r="AM27" s="76"/>
      <c r="AN27" s="76"/>
      <c r="AO27" s="76"/>
      <c r="AP27" s="91"/>
      <c r="AQ27" s="91"/>
      <c r="AR27" s="91"/>
      <c r="AS27" s="91"/>
      <c r="AT27" s="91"/>
      <c r="AU27" s="91"/>
      <c r="AV27" s="91"/>
      <c r="AW27" s="98"/>
      <c r="AX27" s="98"/>
      <c r="AZ27" s="15"/>
      <c r="BA27" s="15"/>
      <c r="BB27" s="15"/>
      <c r="BC27" s="15"/>
      <c r="BD27" s="15"/>
      <c r="BE27" s="15"/>
      <c r="BF27" s="15"/>
      <c r="BH27" s="15"/>
      <c r="BI27" s="15"/>
      <c r="BJ27" s="15"/>
      <c r="BK27" s="15"/>
      <c r="BL27" s="15"/>
      <c r="BM27" s="15"/>
      <c r="BN27" s="15"/>
      <c r="BP27" s="15">
        <f t="shared" si="8"/>
        <v>0</v>
      </c>
      <c r="BQ27" s="15">
        <f t="shared" si="9"/>
        <v>0</v>
      </c>
      <c r="BR27" s="15">
        <f t="shared" si="10"/>
        <v>0</v>
      </c>
      <c r="BS27" s="15">
        <f t="shared" si="11"/>
        <v>0</v>
      </c>
      <c r="BT27" s="15">
        <f t="shared" si="11"/>
        <v>0</v>
      </c>
    </row>
    <row r="28" ht="15" customHeight="1" outlineLevel="1" spans="1:72">
      <c r="A28" s="59"/>
      <c r="B28" s="59" t="s">
        <v>65</v>
      </c>
      <c r="C28" s="60" t="s">
        <v>435</v>
      </c>
      <c r="D28" s="59">
        <v>12000000</v>
      </c>
      <c r="E28" s="61">
        <v>12</v>
      </c>
      <c r="F28" s="60">
        <v>300</v>
      </c>
      <c r="G28" s="60">
        <v>30</v>
      </c>
      <c r="H28" s="60">
        <v>17</v>
      </c>
      <c r="J28" s="77">
        <f t="shared" si="0"/>
        <v>17.7184416</v>
      </c>
      <c r="K28" s="78">
        <f t="shared" si="1"/>
        <v>14.765368</v>
      </c>
      <c r="L28" s="60">
        <f t="shared" si="2"/>
        <v>177184416</v>
      </c>
      <c r="M28" s="60">
        <f t="shared" si="3"/>
        <v>44288336</v>
      </c>
      <c r="N28" s="79">
        <v>184310144</v>
      </c>
      <c r="O28" s="80">
        <v>177184416</v>
      </c>
      <c r="P28" s="80">
        <v>39366688</v>
      </c>
      <c r="Q28" s="80">
        <v>0</v>
      </c>
      <c r="R28" s="80">
        <v>4921648</v>
      </c>
      <c r="S28" s="80">
        <v>132749560</v>
      </c>
      <c r="T28" s="80">
        <v>146520</v>
      </c>
      <c r="U28" s="92">
        <v>80.5112042</v>
      </c>
      <c r="V28" s="92">
        <v>84.0291372</v>
      </c>
      <c r="W28" s="92">
        <v>35.3151308</v>
      </c>
      <c r="X28" s="92">
        <v>43.5668557</v>
      </c>
      <c r="Y28" s="92">
        <v>41.7625905</v>
      </c>
      <c r="Z28" s="92">
        <v>49.2823979</v>
      </c>
      <c r="AA28" s="92">
        <v>33.4432427</v>
      </c>
      <c r="AB28" s="99">
        <v>60833.865931</v>
      </c>
      <c r="AC28" s="99">
        <v>750.036333</v>
      </c>
      <c r="AE28" s="77" t="str">
        <f t="shared" si="4"/>
        <v>·</v>
      </c>
      <c r="AF28" s="78" t="str">
        <f t="shared" si="5"/>
        <v>·</v>
      </c>
      <c r="AG28" s="60" t="str">
        <f t="shared" si="6"/>
        <v>.</v>
      </c>
      <c r="AH28" s="60" t="str">
        <f t="shared" si="7"/>
        <v>.</v>
      </c>
      <c r="AI28" s="79"/>
      <c r="AJ28" s="80"/>
      <c r="AK28" s="80"/>
      <c r="AL28" s="80"/>
      <c r="AM28" s="80"/>
      <c r="AN28" s="80"/>
      <c r="AO28" s="80"/>
      <c r="AP28" s="92"/>
      <c r="AQ28" s="92"/>
      <c r="AR28" s="92"/>
      <c r="AS28" s="92"/>
      <c r="AT28" s="92"/>
      <c r="AU28" s="92"/>
      <c r="AV28" s="92"/>
      <c r="AW28" s="99"/>
      <c r="AX28" s="99"/>
      <c r="AZ28" s="19"/>
      <c r="BA28" s="19"/>
      <c r="BB28" s="19"/>
      <c r="BC28" s="19"/>
      <c r="BD28" s="19"/>
      <c r="BE28" s="19"/>
      <c r="BF28" s="19"/>
      <c r="BH28" s="19"/>
      <c r="BI28" s="19"/>
      <c r="BJ28" s="19"/>
      <c r="BK28" s="19"/>
      <c r="BL28" s="19"/>
      <c r="BM28" s="19"/>
      <c r="BN28" s="19"/>
      <c r="BP28" s="19">
        <f t="shared" si="8"/>
        <v>0</v>
      </c>
      <c r="BQ28" s="19">
        <f t="shared" si="9"/>
        <v>0</v>
      </c>
      <c r="BR28" s="19">
        <f t="shared" si="10"/>
        <v>0</v>
      </c>
      <c r="BS28" s="19">
        <f t="shared" si="11"/>
        <v>0</v>
      </c>
      <c r="BT28" s="19">
        <f t="shared" si="11"/>
        <v>0</v>
      </c>
    </row>
    <row r="29" ht="15.75" customHeight="1" outlineLevel="1" spans="1:72">
      <c r="A29" s="56"/>
      <c r="B29" s="62" t="s">
        <v>65</v>
      </c>
      <c r="C29" s="63" t="s">
        <v>436</v>
      </c>
      <c r="D29" s="62">
        <v>12000000</v>
      </c>
      <c r="E29" s="64">
        <v>12</v>
      </c>
      <c r="F29" s="63">
        <v>300</v>
      </c>
      <c r="G29" s="63">
        <v>30</v>
      </c>
      <c r="H29" s="63">
        <v>25</v>
      </c>
      <c r="J29" s="81">
        <f t="shared" si="0"/>
        <v>26.1319552</v>
      </c>
      <c r="K29" s="82">
        <f t="shared" si="1"/>
        <v>21.7766293333333</v>
      </c>
      <c r="L29" s="63">
        <f t="shared" si="2"/>
        <v>261319552</v>
      </c>
      <c r="M29" s="63">
        <f t="shared" si="3"/>
        <v>70432400</v>
      </c>
      <c r="N29" s="83">
        <v>368630976</v>
      </c>
      <c r="O29" s="84">
        <v>261319552</v>
      </c>
      <c r="P29" s="84">
        <v>69810808</v>
      </c>
      <c r="Q29" s="84">
        <v>0</v>
      </c>
      <c r="R29" s="84">
        <v>621592</v>
      </c>
      <c r="S29" s="84">
        <v>190743112</v>
      </c>
      <c r="T29" s="84">
        <v>144040</v>
      </c>
      <c r="U29" s="93">
        <v>82.3619296</v>
      </c>
      <c r="V29" s="93">
        <v>86.5971016</v>
      </c>
      <c r="W29" s="93">
        <v>35.9699462</v>
      </c>
      <c r="X29" s="93">
        <v>44.1864252</v>
      </c>
      <c r="Y29" s="93">
        <v>42.57577</v>
      </c>
      <c r="Z29" s="93">
        <v>50.7363341</v>
      </c>
      <c r="AA29" s="93">
        <v>34.488735</v>
      </c>
      <c r="AB29" s="100">
        <v>78268.407561</v>
      </c>
      <c r="AC29" s="100">
        <v>1076.210774</v>
      </c>
      <c r="AE29" s="81" t="str">
        <f t="shared" si="4"/>
        <v>·</v>
      </c>
      <c r="AF29" s="82" t="str">
        <f t="shared" si="5"/>
        <v>·</v>
      </c>
      <c r="AG29" s="63" t="str">
        <f t="shared" si="6"/>
        <v>.</v>
      </c>
      <c r="AH29" s="63" t="str">
        <f t="shared" si="7"/>
        <v>.</v>
      </c>
      <c r="AI29" s="83"/>
      <c r="AJ29" s="84"/>
      <c r="AK29" s="84"/>
      <c r="AL29" s="84"/>
      <c r="AM29" s="84"/>
      <c r="AN29" s="84"/>
      <c r="AO29" s="84"/>
      <c r="AP29" s="93"/>
      <c r="AQ29" s="93"/>
      <c r="AR29" s="93"/>
      <c r="AS29" s="93"/>
      <c r="AT29" s="93"/>
      <c r="AU29" s="93"/>
      <c r="AV29" s="93"/>
      <c r="AW29" s="100"/>
      <c r="AX29" s="100"/>
      <c r="AZ29" s="110"/>
      <c r="BA29" s="110"/>
      <c r="BB29" s="110"/>
      <c r="BC29" s="110"/>
      <c r="BD29" s="110"/>
      <c r="BE29" s="110"/>
      <c r="BF29" s="110"/>
      <c r="BH29" s="110"/>
      <c r="BI29" s="110"/>
      <c r="BJ29" s="110"/>
      <c r="BK29" s="110"/>
      <c r="BL29" s="110"/>
      <c r="BM29" s="110"/>
      <c r="BN29" s="110"/>
      <c r="BP29" s="110">
        <f t="shared" si="8"/>
        <v>0</v>
      </c>
      <c r="BQ29" s="110">
        <f t="shared" si="9"/>
        <v>0</v>
      </c>
      <c r="BR29" s="110">
        <f t="shared" si="10"/>
        <v>0</v>
      </c>
      <c r="BS29" s="110">
        <f t="shared" si="11"/>
        <v>0</v>
      </c>
      <c r="BT29" s="110">
        <f t="shared" si="11"/>
        <v>0</v>
      </c>
    </row>
    <row r="30" ht="15" customHeight="1" spans="1:72">
      <c r="A30" s="59"/>
      <c r="B30" s="59" t="s">
        <v>70</v>
      </c>
      <c r="C30" s="60" t="s">
        <v>432</v>
      </c>
      <c r="D30" s="59">
        <v>5997654</v>
      </c>
      <c r="E30" s="61">
        <v>12</v>
      </c>
      <c r="F30" s="60">
        <v>300</v>
      </c>
      <c r="G30" s="60">
        <v>30</v>
      </c>
      <c r="H30" s="60">
        <v>4</v>
      </c>
      <c r="J30" s="77">
        <f t="shared" si="0"/>
        <v>2.1054864</v>
      </c>
      <c r="K30" s="78">
        <f t="shared" si="1"/>
        <v>3.51051661199529</v>
      </c>
      <c r="L30" s="60">
        <f t="shared" si="2"/>
        <v>21054864</v>
      </c>
      <c r="M30" s="60">
        <f t="shared" si="3"/>
        <v>6625960</v>
      </c>
      <c r="N30" s="79">
        <v>11261056</v>
      </c>
      <c r="O30" s="80">
        <v>21054864</v>
      </c>
      <c r="P30" s="80">
        <v>3546104</v>
      </c>
      <c r="Q30" s="80">
        <v>0</v>
      </c>
      <c r="R30" s="80">
        <v>3079856</v>
      </c>
      <c r="S30" s="80">
        <v>14356048</v>
      </c>
      <c r="T30" s="80">
        <v>72856</v>
      </c>
      <c r="U30" s="92">
        <v>73.9129072</v>
      </c>
      <c r="V30" s="92">
        <v>75.7248239</v>
      </c>
      <c r="W30" s="92">
        <v>37.6295024</v>
      </c>
      <c r="X30" s="92">
        <v>44.0436551</v>
      </c>
      <c r="Y30" s="92">
        <v>42.6408737</v>
      </c>
      <c r="Z30" s="92">
        <v>48.5474456</v>
      </c>
      <c r="AA30" s="92">
        <v>34.6198097</v>
      </c>
      <c r="AB30" s="99">
        <v>7796.354927</v>
      </c>
      <c r="AC30" s="99">
        <v>108.876376</v>
      </c>
      <c r="AE30" s="77" t="str">
        <f t="shared" si="4"/>
        <v>·</v>
      </c>
      <c r="AF30" s="78" t="str">
        <f t="shared" si="5"/>
        <v>·</v>
      </c>
      <c r="AG30" s="60" t="str">
        <f t="shared" si="6"/>
        <v>.</v>
      </c>
      <c r="AH30" s="60" t="str">
        <f t="shared" si="7"/>
        <v>.</v>
      </c>
      <c r="AI30" s="79"/>
      <c r="AJ30" s="80"/>
      <c r="AK30" s="80"/>
      <c r="AL30" s="80"/>
      <c r="AM30" s="80"/>
      <c r="AN30" s="80"/>
      <c r="AO30" s="80"/>
      <c r="AP30" s="92"/>
      <c r="AQ30" s="92"/>
      <c r="AR30" s="92"/>
      <c r="AS30" s="92"/>
      <c r="AT30" s="92"/>
      <c r="AU30" s="92"/>
      <c r="AV30" s="92"/>
      <c r="AW30" s="99"/>
      <c r="AX30" s="99"/>
      <c r="AZ30" s="19" t="str">
        <f t="array" ref="AZ30">IF(OR(AND(ISBLANK(L30:L34)),AND(ISBLANK(AG30:AG34)),AND(ISBLANK(U30:U34)),AND(ISBLANK(AP30:AP34))),"·",bdRateExtend(L30:L34,U30:U34,AG30:AG34,AP30:AP34))</f>
        <v>·</v>
      </c>
      <c r="BA30" s="19" t="str">
        <f t="array" ref="BA30">IF(OR(AND(ISBLANK(L30:L34)),AND(ISBLANK(AG30:AG34)),AND(ISBLANK(V30:V34)),AND(ISBLANK(AQ30:AQ34))),"·",bdRateExtend(L30:L34,V30:V34,AG30:AG34,AQ30:AQ34))</f>
        <v>·</v>
      </c>
      <c r="BB30" s="19" t="str">
        <f t="array" ref="BB30">IF(OR(AND(ISBLANK(L30:L34)),AND(ISBLANK(AG30:AG34)),AND(ISBLANK(W30:W34)),AND(ISBLANK(AR30:AR34))),"·",bdRateExtend(L30:L34,W30:W34,AG30:AG34,AR30:AR34))</f>
        <v>·</v>
      </c>
      <c r="BC30" s="19" t="str">
        <f t="array" ref="BC30">IF(OR(AND(ISBLANK(L30:L34)),AND(ISBLANK(AG30:AG34)),AND(ISBLANK(X30:X34)),AND(ISBLANK(AS30:AS34))),"·",bdRateExtend(L30:L34,X30:X34,AG30:AG34,AS30:AS34))</f>
        <v>·</v>
      </c>
      <c r="BD30" s="19" t="str">
        <f t="array" ref="BD30">IF(OR(AND(ISBLANK(L30:L34)),AND(ISBLANK(AG30:AG34)),AND(ISBLANK(Y30:Y34)),AND(ISBLANK(AT30:AT34))),"·",bdRateExtend(L30:L34,Y30:Y34,AG30:AG34,AT30:AT34))</f>
        <v>·</v>
      </c>
      <c r="BE30" s="19" t="str">
        <f t="array" ref="BE30">IF(OR(AND(ISBLANK(L30:L34)),AND(ISBLANK(AG30:AG34)),AND(ISBLANK(Z30:Z34)),AND(ISBLANK(AU30:AU34))),"·",bdRateExtend(L30:L34,Z30:Z34,AG30:AG34,AU30:AU34))</f>
        <v>·</v>
      </c>
      <c r="BF30" s="19" t="str">
        <f t="array" ref="BF30">IF(OR(AND(ISBLANK(L30:L34)),AND(ISBLANK(AG30:AG34)),AND(ISBLANK(AA30:AA34)),AND(ISBLANK(AV30:AV34))),"·",bdRateExtend(L30:L34,AA30:AA34,AG30:AG34,AV30:AV34))</f>
        <v>·</v>
      </c>
      <c r="BH30" s="19" t="str">
        <f t="array" ref="BH30">IF(OR(AND(ISBLANK(M30:M34)),AND(ISBLANK(AH30:AH34)),AND(ISBLANK(U30:U34)),AND(ISBLANK(AP30:AP34))),"·",bdRateExtend(M30:M34,U30:U34,AH30:AH34,AP30:AP34))</f>
        <v>·</v>
      </c>
      <c r="BI30" s="19" t="str">
        <f t="array" ref="BI30">IF(OR(AND(ISBLANK(M30:M34)),AND(ISBLANK(AH30:AH34)),AND(ISBLANK(V30:V34)),AND(ISBLANK(AQ30:AQ34))),"·",bdRateExtend(M30:M34,V30:V34,AH30:AH34,AQ30:AQ34))</f>
        <v>·</v>
      </c>
      <c r="BJ30" s="19" t="str">
        <f t="array" ref="BJ30">IF(OR(AND(ISBLANK(S30:S34)),AND(ISBLANK(AN30:AN34)),AND(ISBLANK(W30:W34)),AND(ISBLANK(AR30:AR34))),"·",bdRateExtend(S30:S34,W30:W34,AN30:AN34,AR30:AR34))</f>
        <v>·</v>
      </c>
      <c r="BK30" s="19" t="str">
        <f t="array" ref="BK30">IF(OR(AND(ISBLANK(S30:S34)),AND(ISBLANK(AN30:AN34)),AND(ISBLANK(X30:X34)),AND(ISBLANK(AS30:AS34))),"·",bdRateExtend(S30:S34,X30:X34,AN30:AN34,AS30:AS34))</f>
        <v>·</v>
      </c>
      <c r="BL30" s="19" t="str">
        <f t="array" ref="BL30">IF(OR(AND(ISBLANK(S30:S34)),AND(ISBLANK(AN30:AN34)),AND(ISBLANK(Y30:Y34)),AND(ISBLANK(AT30:AT34))),"·",bdRateExtend(S30:S34,Y30:Y34,AN30:AN34,AT30:AT34))</f>
        <v>·</v>
      </c>
      <c r="BM30" s="19" t="str">
        <f t="array" ref="BM30">IF(OR(AND(ISBLANK(M30:M34)),AND(ISBLANK(AH30:AH34)),AND(ISBLANK(Z30:Z34)),AND(ISBLANK(AU30:AU34))),"·",bdRateExtend(M30:M34,Z30:Z34,AH30:AH34,AU30:AU34))</f>
        <v>·</v>
      </c>
      <c r="BN30" s="19" t="str">
        <f t="array" ref="BN30">IF(OR(AND(ISBLANK(S30:S34)),AND(ISBLANK(AN30:AN34)),AND(ISBLANK(AA30:AA34)),AND(ISBLANK(AV30:AV34))),"·",bdRateExtend(S30:S34,AA30:AA34,AN30:AN34,AV30:AV34))</f>
        <v>·</v>
      </c>
      <c r="BP30" s="19">
        <f t="shared" si="8"/>
        <v>0</v>
      </c>
      <c r="BQ30" s="19">
        <f t="shared" si="9"/>
        <v>0</v>
      </c>
      <c r="BR30" s="19">
        <f t="shared" si="10"/>
        <v>0</v>
      </c>
      <c r="BS30" s="19">
        <f t="shared" si="11"/>
        <v>0</v>
      </c>
      <c r="BT30" s="19">
        <f t="shared" si="11"/>
        <v>0</v>
      </c>
    </row>
    <row r="31" ht="15" customHeight="1" outlineLevel="1" spans="1:72">
      <c r="A31" s="56"/>
      <c r="B31" s="56" t="s">
        <v>70</v>
      </c>
      <c r="C31" s="57" t="s">
        <v>433</v>
      </c>
      <c r="D31" s="56">
        <v>5997654</v>
      </c>
      <c r="E31" s="58">
        <v>12</v>
      </c>
      <c r="F31" s="57">
        <v>300</v>
      </c>
      <c r="G31" s="57">
        <v>30</v>
      </c>
      <c r="H31" s="57">
        <v>8</v>
      </c>
      <c r="J31" s="73">
        <f t="shared" si="0"/>
        <v>4.1718704</v>
      </c>
      <c r="K31" s="74">
        <f t="shared" si="1"/>
        <v>6.95583706562599</v>
      </c>
      <c r="L31" s="57">
        <f t="shared" si="2"/>
        <v>41718704</v>
      </c>
      <c r="M31" s="57">
        <f t="shared" si="3"/>
        <v>8740120</v>
      </c>
      <c r="N31" s="75">
        <v>11261056</v>
      </c>
      <c r="O31" s="76">
        <v>41718704</v>
      </c>
      <c r="P31" s="76">
        <v>3546104</v>
      </c>
      <c r="Q31" s="76">
        <v>0</v>
      </c>
      <c r="R31" s="76">
        <v>5194016</v>
      </c>
      <c r="S31" s="76">
        <v>32904752</v>
      </c>
      <c r="T31" s="76">
        <v>73832</v>
      </c>
      <c r="U31" s="91">
        <v>75.5758752</v>
      </c>
      <c r="V31" s="91">
        <v>77.6666681</v>
      </c>
      <c r="W31" s="91">
        <v>39.9594154</v>
      </c>
      <c r="X31" s="91">
        <v>45.737258</v>
      </c>
      <c r="Y31" s="91">
        <v>44.5809225</v>
      </c>
      <c r="Z31" s="91">
        <v>49.4237441</v>
      </c>
      <c r="AA31" s="91">
        <v>36.1295081</v>
      </c>
      <c r="AB31" s="98">
        <v>8185.091312</v>
      </c>
      <c r="AC31" s="98">
        <v>119.427197</v>
      </c>
      <c r="AE31" s="73" t="str">
        <f t="shared" si="4"/>
        <v>·</v>
      </c>
      <c r="AF31" s="74" t="str">
        <f t="shared" si="5"/>
        <v>·</v>
      </c>
      <c r="AG31" s="57" t="str">
        <f t="shared" si="6"/>
        <v>.</v>
      </c>
      <c r="AH31" s="57" t="str">
        <f t="shared" si="7"/>
        <v>.</v>
      </c>
      <c r="AI31" s="75"/>
      <c r="AJ31" s="76"/>
      <c r="AK31" s="76"/>
      <c r="AL31" s="76"/>
      <c r="AM31" s="76"/>
      <c r="AN31" s="76"/>
      <c r="AO31" s="76"/>
      <c r="AP31" s="91"/>
      <c r="AQ31" s="91"/>
      <c r="AR31" s="91"/>
      <c r="AS31" s="91"/>
      <c r="AT31" s="91"/>
      <c r="AU31" s="91"/>
      <c r="AV31" s="91"/>
      <c r="AW31" s="98"/>
      <c r="AX31" s="98"/>
      <c r="AZ31" s="15"/>
      <c r="BA31" s="15"/>
      <c r="BB31" s="15"/>
      <c r="BC31" s="15"/>
      <c r="BD31" s="15"/>
      <c r="BE31" s="15"/>
      <c r="BF31" s="15"/>
      <c r="BH31" s="15"/>
      <c r="BI31" s="15"/>
      <c r="BJ31" s="15"/>
      <c r="BK31" s="15"/>
      <c r="BL31" s="15"/>
      <c r="BM31" s="15"/>
      <c r="BN31" s="15"/>
      <c r="BP31" s="15">
        <f t="shared" si="8"/>
        <v>0</v>
      </c>
      <c r="BQ31" s="15">
        <f t="shared" si="9"/>
        <v>0</v>
      </c>
      <c r="BR31" s="15">
        <f t="shared" si="10"/>
        <v>0</v>
      </c>
      <c r="BS31" s="15">
        <f t="shared" si="11"/>
        <v>0</v>
      </c>
      <c r="BT31" s="15">
        <f t="shared" si="11"/>
        <v>0</v>
      </c>
    </row>
    <row r="32" ht="15" customHeight="1" outlineLevel="1" spans="1:72">
      <c r="A32" s="59"/>
      <c r="B32" s="59" t="s">
        <v>70</v>
      </c>
      <c r="C32" s="60" t="s">
        <v>434</v>
      </c>
      <c r="D32" s="59">
        <v>5997654</v>
      </c>
      <c r="E32" s="61">
        <v>12</v>
      </c>
      <c r="F32" s="60">
        <v>300</v>
      </c>
      <c r="G32" s="60">
        <v>30</v>
      </c>
      <c r="H32" s="60">
        <v>12</v>
      </c>
      <c r="J32" s="77">
        <f t="shared" si="0"/>
        <v>6.3150576</v>
      </c>
      <c r="K32" s="78">
        <f t="shared" si="1"/>
        <v>10.5292129222526</v>
      </c>
      <c r="L32" s="60">
        <f t="shared" si="2"/>
        <v>63150576</v>
      </c>
      <c r="M32" s="60">
        <f t="shared" si="3"/>
        <v>15163000</v>
      </c>
      <c r="N32" s="79">
        <v>11450400</v>
      </c>
      <c r="O32" s="80">
        <v>63150576</v>
      </c>
      <c r="P32" s="80">
        <v>9449216</v>
      </c>
      <c r="Q32" s="80">
        <v>0</v>
      </c>
      <c r="R32" s="80">
        <v>5713784</v>
      </c>
      <c r="S32" s="80">
        <v>47924008</v>
      </c>
      <c r="T32" s="80">
        <v>63568</v>
      </c>
      <c r="U32" s="92">
        <v>78.2062385</v>
      </c>
      <c r="V32" s="92">
        <v>80.8811542</v>
      </c>
      <c r="W32" s="92">
        <v>41.2815828</v>
      </c>
      <c r="X32" s="92">
        <v>46.4662291</v>
      </c>
      <c r="Y32" s="92">
        <v>45.431433</v>
      </c>
      <c r="Z32" s="92">
        <v>51.0175358</v>
      </c>
      <c r="AA32" s="92">
        <v>37.7465944</v>
      </c>
      <c r="AB32" s="99">
        <v>11208.879252</v>
      </c>
      <c r="AC32" s="99">
        <v>86.134915</v>
      </c>
      <c r="AE32" s="77" t="str">
        <f t="shared" si="4"/>
        <v>·</v>
      </c>
      <c r="AF32" s="78" t="str">
        <f t="shared" si="5"/>
        <v>·</v>
      </c>
      <c r="AG32" s="60" t="str">
        <f t="shared" si="6"/>
        <v>.</v>
      </c>
      <c r="AH32" s="60" t="str">
        <f t="shared" si="7"/>
        <v>.</v>
      </c>
      <c r="AI32" s="79"/>
      <c r="AJ32" s="80"/>
      <c r="AK32" s="80"/>
      <c r="AL32" s="80"/>
      <c r="AM32" s="80"/>
      <c r="AN32" s="80"/>
      <c r="AO32" s="80"/>
      <c r="AP32" s="92"/>
      <c r="AQ32" s="92"/>
      <c r="AR32" s="92"/>
      <c r="AS32" s="92"/>
      <c r="AT32" s="92"/>
      <c r="AU32" s="92"/>
      <c r="AV32" s="92"/>
      <c r="AW32" s="99"/>
      <c r="AX32" s="99"/>
      <c r="AZ32" s="19"/>
      <c r="BA32" s="19"/>
      <c r="BB32" s="19"/>
      <c r="BC32" s="19"/>
      <c r="BD32" s="19"/>
      <c r="BE32" s="19"/>
      <c r="BF32" s="19"/>
      <c r="BH32" s="19"/>
      <c r="BI32" s="19"/>
      <c r="BJ32" s="19"/>
      <c r="BK32" s="19"/>
      <c r="BL32" s="19"/>
      <c r="BM32" s="19"/>
      <c r="BN32" s="19"/>
      <c r="BP32" s="19">
        <f t="shared" si="8"/>
        <v>0</v>
      </c>
      <c r="BQ32" s="19">
        <f t="shared" si="9"/>
        <v>0</v>
      </c>
      <c r="BR32" s="19">
        <f t="shared" si="10"/>
        <v>0</v>
      </c>
      <c r="BS32" s="19">
        <f t="shared" si="11"/>
        <v>0</v>
      </c>
      <c r="BT32" s="19">
        <f t="shared" si="11"/>
        <v>0</v>
      </c>
    </row>
    <row r="33" ht="15" customHeight="1" outlineLevel="1" spans="1:72">
      <c r="A33" s="56"/>
      <c r="B33" s="56" t="s">
        <v>70</v>
      </c>
      <c r="C33" s="57" t="s">
        <v>435</v>
      </c>
      <c r="D33" s="56">
        <v>5997654</v>
      </c>
      <c r="E33" s="58">
        <v>12</v>
      </c>
      <c r="F33" s="57">
        <v>300</v>
      </c>
      <c r="G33" s="57">
        <v>30</v>
      </c>
      <c r="H33" s="57">
        <v>17</v>
      </c>
      <c r="J33" s="73">
        <f t="shared" si="0"/>
        <v>9.0999176</v>
      </c>
      <c r="K33" s="74">
        <f t="shared" si="1"/>
        <v>15.1724617658838</v>
      </c>
      <c r="L33" s="57">
        <f t="shared" si="2"/>
        <v>90999176</v>
      </c>
      <c r="M33" s="57">
        <f t="shared" si="3"/>
        <v>18762080</v>
      </c>
      <c r="N33" s="75">
        <v>11450400</v>
      </c>
      <c r="O33" s="76">
        <v>90999176</v>
      </c>
      <c r="P33" s="76">
        <v>9449216</v>
      </c>
      <c r="Q33" s="76">
        <v>0</v>
      </c>
      <c r="R33" s="76">
        <v>9312864</v>
      </c>
      <c r="S33" s="76">
        <v>72174160</v>
      </c>
      <c r="T33" s="76">
        <v>62936</v>
      </c>
      <c r="U33" s="91">
        <v>79.4857838</v>
      </c>
      <c r="V33" s="91">
        <v>82.6769771</v>
      </c>
      <c r="W33" s="91">
        <v>42.2264906</v>
      </c>
      <c r="X33" s="91">
        <v>47.6082557</v>
      </c>
      <c r="Y33" s="91">
        <v>46.7720003</v>
      </c>
      <c r="Z33" s="91">
        <v>51.6440538</v>
      </c>
      <c r="AA33" s="91">
        <v>38.8473997</v>
      </c>
      <c r="AB33" s="98">
        <v>26216.448272</v>
      </c>
      <c r="AC33" s="98">
        <v>397.614917</v>
      </c>
      <c r="AE33" s="73" t="str">
        <f t="shared" si="4"/>
        <v>·</v>
      </c>
      <c r="AF33" s="74" t="str">
        <f t="shared" si="5"/>
        <v>·</v>
      </c>
      <c r="AG33" s="57" t="str">
        <f t="shared" si="6"/>
        <v>.</v>
      </c>
      <c r="AH33" s="57" t="str">
        <f t="shared" si="7"/>
        <v>.</v>
      </c>
      <c r="AI33" s="75"/>
      <c r="AJ33" s="76"/>
      <c r="AK33" s="76"/>
      <c r="AL33" s="76"/>
      <c r="AM33" s="76"/>
      <c r="AN33" s="76"/>
      <c r="AO33" s="76"/>
      <c r="AP33" s="91"/>
      <c r="AQ33" s="91"/>
      <c r="AR33" s="91"/>
      <c r="AS33" s="91"/>
      <c r="AT33" s="91"/>
      <c r="AU33" s="91"/>
      <c r="AV33" s="91"/>
      <c r="AW33" s="98"/>
      <c r="AX33" s="98"/>
      <c r="AZ33" s="15"/>
      <c r="BA33" s="15"/>
      <c r="BB33" s="15"/>
      <c r="BC33" s="15"/>
      <c r="BD33" s="15"/>
      <c r="BE33" s="15"/>
      <c r="BF33" s="15"/>
      <c r="BH33" s="15"/>
      <c r="BI33" s="15"/>
      <c r="BJ33" s="15"/>
      <c r="BK33" s="15"/>
      <c r="BL33" s="15"/>
      <c r="BM33" s="15"/>
      <c r="BN33" s="15"/>
      <c r="BP33" s="15">
        <f t="shared" si="8"/>
        <v>0</v>
      </c>
      <c r="BQ33" s="15">
        <f t="shared" si="9"/>
        <v>0</v>
      </c>
      <c r="BR33" s="15">
        <f t="shared" si="10"/>
        <v>0</v>
      </c>
      <c r="BS33" s="15">
        <f t="shared" si="11"/>
        <v>0</v>
      </c>
      <c r="BT33" s="15">
        <f t="shared" si="11"/>
        <v>0</v>
      </c>
    </row>
    <row r="34" ht="15.75" customHeight="1" outlineLevel="1" spans="1:72">
      <c r="A34" s="59"/>
      <c r="B34" s="65" t="s">
        <v>70</v>
      </c>
      <c r="C34" s="66" t="s">
        <v>436</v>
      </c>
      <c r="D34" s="65">
        <v>5997654</v>
      </c>
      <c r="E34" s="67">
        <v>12</v>
      </c>
      <c r="F34" s="66">
        <v>300</v>
      </c>
      <c r="G34" s="66">
        <v>30</v>
      </c>
      <c r="H34" s="66">
        <v>25</v>
      </c>
      <c r="J34" s="85">
        <f t="shared" si="0"/>
        <v>13.1172864</v>
      </c>
      <c r="K34" s="86">
        <f t="shared" si="1"/>
        <v>21.8706954419178</v>
      </c>
      <c r="L34" s="66">
        <f t="shared" si="2"/>
        <v>131172864</v>
      </c>
      <c r="M34" s="66">
        <f t="shared" si="3"/>
        <v>30177480</v>
      </c>
      <c r="N34" s="87">
        <v>34479248</v>
      </c>
      <c r="O34" s="88">
        <v>131172864</v>
      </c>
      <c r="P34" s="88">
        <v>21653048</v>
      </c>
      <c r="Q34" s="88">
        <v>0</v>
      </c>
      <c r="R34" s="88">
        <v>8524432</v>
      </c>
      <c r="S34" s="88">
        <v>100932520</v>
      </c>
      <c r="T34" s="88">
        <v>62864</v>
      </c>
      <c r="U34" s="94">
        <v>82.2149638</v>
      </c>
      <c r="V34" s="94">
        <v>86.8097324</v>
      </c>
      <c r="W34" s="94">
        <v>43.2117812</v>
      </c>
      <c r="X34" s="94">
        <v>48.346214</v>
      </c>
      <c r="Y34" s="94">
        <v>47.5973418</v>
      </c>
      <c r="Z34" s="94">
        <v>54.0196542</v>
      </c>
      <c r="AA34" s="94">
        <v>40.9473141</v>
      </c>
      <c r="AB34" s="101">
        <v>36313.422419</v>
      </c>
      <c r="AC34" s="101">
        <v>388.66347</v>
      </c>
      <c r="AE34" s="85" t="str">
        <f t="shared" si="4"/>
        <v>·</v>
      </c>
      <c r="AF34" s="86" t="str">
        <f t="shared" si="5"/>
        <v>·</v>
      </c>
      <c r="AG34" s="66" t="str">
        <f t="shared" si="6"/>
        <v>.</v>
      </c>
      <c r="AH34" s="66" t="str">
        <f t="shared" si="7"/>
        <v>.</v>
      </c>
      <c r="AI34" s="87"/>
      <c r="AJ34" s="88"/>
      <c r="AK34" s="88"/>
      <c r="AL34" s="88"/>
      <c r="AM34" s="88"/>
      <c r="AN34" s="88"/>
      <c r="AO34" s="88"/>
      <c r="AP34" s="94"/>
      <c r="AQ34" s="94"/>
      <c r="AR34" s="94"/>
      <c r="AS34" s="94"/>
      <c r="AT34" s="94"/>
      <c r="AU34" s="94"/>
      <c r="AV34" s="94"/>
      <c r="AW34" s="101"/>
      <c r="AX34" s="101"/>
      <c r="AZ34" s="23"/>
      <c r="BA34" s="23"/>
      <c r="BB34" s="23"/>
      <c r="BC34" s="23"/>
      <c r="BD34" s="23"/>
      <c r="BE34" s="23"/>
      <c r="BF34" s="23"/>
      <c r="BH34" s="23"/>
      <c r="BI34" s="23"/>
      <c r="BJ34" s="23"/>
      <c r="BK34" s="23"/>
      <c r="BL34" s="23"/>
      <c r="BM34" s="23"/>
      <c r="BN34" s="23"/>
      <c r="BP34" s="23">
        <f t="shared" si="8"/>
        <v>0</v>
      </c>
      <c r="BQ34" s="23">
        <f t="shared" si="9"/>
        <v>0</v>
      </c>
      <c r="BR34" s="23">
        <f t="shared" si="10"/>
        <v>0</v>
      </c>
      <c r="BS34" s="23">
        <f t="shared" si="11"/>
        <v>0</v>
      </c>
      <c r="BT34" s="23">
        <f t="shared" si="11"/>
        <v>0</v>
      </c>
    </row>
    <row r="35" ht="15" customHeight="1" spans="1:72">
      <c r="A35" s="56"/>
      <c r="B35" s="56" t="s">
        <v>75</v>
      </c>
      <c r="C35" s="57" t="s">
        <v>432</v>
      </c>
      <c r="D35" s="56">
        <v>9000000</v>
      </c>
      <c r="E35" s="58">
        <v>12</v>
      </c>
      <c r="F35" s="57">
        <v>300</v>
      </c>
      <c r="G35" s="57">
        <v>30</v>
      </c>
      <c r="H35" s="57">
        <v>4</v>
      </c>
      <c r="J35" s="73">
        <f t="shared" si="0"/>
        <v>3.9001176</v>
      </c>
      <c r="K35" s="74">
        <f t="shared" si="1"/>
        <v>4.333464</v>
      </c>
      <c r="L35" s="57">
        <f t="shared" si="2"/>
        <v>39001176</v>
      </c>
      <c r="M35" s="57">
        <f t="shared" si="3"/>
        <v>13052576</v>
      </c>
      <c r="N35" s="75">
        <v>17191488</v>
      </c>
      <c r="O35" s="76">
        <v>39001176</v>
      </c>
      <c r="P35" s="76">
        <v>5813240</v>
      </c>
      <c r="Q35" s="76">
        <v>0</v>
      </c>
      <c r="R35" s="76">
        <v>7239336</v>
      </c>
      <c r="S35" s="76">
        <v>25800496</v>
      </c>
      <c r="T35" s="76">
        <v>148104</v>
      </c>
      <c r="U35" s="91">
        <v>71.6108539</v>
      </c>
      <c r="V35" s="91">
        <v>73.0510433</v>
      </c>
      <c r="W35" s="91">
        <v>29.7093339</v>
      </c>
      <c r="X35" s="91">
        <v>38.7658353</v>
      </c>
      <c r="Y35" s="91">
        <v>38.4348422</v>
      </c>
      <c r="Z35" s="91">
        <v>47.7397672</v>
      </c>
      <c r="AA35" s="91">
        <v>28.4805297</v>
      </c>
      <c r="AB35" s="98">
        <v>7306.907539</v>
      </c>
      <c r="AC35" s="98">
        <v>62.617677</v>
      </c>
      <c r="AE35" s="73" t="str">
        <f t="shared" si="4"/>
        <v>·</v>
      </c>
      <c r="AF35" s="74" t="str">
        <f t="shared" si="5"/>
        <v>·</v>
      </c>
      <c r="AG35" s="57" t="str">
        <f t="shared" si="6"/>
        <v>.</v>
      </c>
      <c r="AH35" s="57" t="str">
        <f t="shared" si="7"/>
        <v>.</v>
      </c>
      <c r="AI35" s="75"/>
      <c r="AJ35" s="76"/>
      <c r="AK35" s="76"/>
      <c r="AL35" s="76"/>
      <c r="AM35" s="76"/>
      <c r="AN35" s="76"/>
      <c r="AO35" s="76"/>
      <c r="AP35" s="91"/>
      <c r="AQ35" s="91"/>
      <c r="AR35" s="91"/>
      <c r="AS35" s="91"/>
      <c r="AT35" s="91"/>
      <c r="AU35" s="91"/>
      <c r="AV35" s="91"/>
      <c r="AW35" s="98"/>
      <c r="AX35" s="98"/>
      <c r="AZ35" s="15" t="str">
        <f t="array" ref="AZ35">IF(OR(AND(ISBLANK(L35:L39)),AND(ISBLANK(AG35:AG39)),AND(ISBLANK(U35:U39)),AND(ISBLANK(AP35:AP39))),"·",bdRateExtend(L35:L39,U35:U39,AG35:AG39,AP35:AP39))</f>
        <v>·</v>
      </c>
      <c r="BA35" s="15" t="str">
        <f t="array" ref="BA35">IF(OR(AND(ISBLANK(L35:L39)),AND(ISBLANK(AG35:AG39)),AND(ISBLANK(V35:V39)),AND(ISBLANK(AQ35:AQ39))),"·",bdRateExtend(L35:L39,V35:V39,AG35:AG39,AQ35:AQ39))</f>
        <v>·</v>
      </c>
      <c r="BB35" s="15" t="str">
        <f t="array" ref="BB35">IF(OR(AND(ISBLANK(L35:L39)),AND(ISBLANK(AG35:AG39)),AND(ISBLANK(W35:W39)),AND(ISBLANK(AR35:AR39))),"·",bdRateExtend(L35:L39,W35:W39,AG35:AG39,AR35:AR39))</f>
        <v>·</v>
      </c>
      <c r="BC35" s="15" t="str">
        <f t="array" ref="BC35">IF(OR(AND(ISBLANK(L35:L39)),AND(ISBLANK(AG35:AG39)),AND(ISBLANK(X35:X39)),AND(ISBLANK(AS35:AS39))),"·",bdRateExtend(L35:L39,X35:X39,AG35:AG39,AS35:AS39))</f>
        <v>·</v>
      </c>
      <c r="BD35" s="15" t="str">
        <f t="array" ref="BD35">IF(OR(AND(ISBLANK(L35:L39)),AND(ISBLANK(AG35:AG39)),AND(ISBLANK(Y35:Y39)),AND(ISBLANK(AT35:AT39))),"·",bdRateExtend(L35:L39,Y35:Y39,AG35:AG39,AT35:AT39))</f>
        <v>·</v>
      </c>
      <c r="BE35" s="15" t="str">
        <f t="array" ref="BE35">IF(OR(AND(ISBLANK(L35:L39)),AND(ISBLANK(AG35:AG39)),AND(ISBLANK(Z35:Z39)),AND(ISBLANK(AU35:AU39))),"·",bdRateExtend(L35:L39,Z35:Z39,AG35:AG39,AU35:AU39))</f>
        <v>·</v>
      </c>
      <c r="BF35" s="15" t="str">
        <f t="array" ref="BF35">IF(OR(AND(ISBLANK(L35:L39)),AND(ISBLANK(AG35:AG39)),AND(ISBLANK(AA35:AA39)),AND(ISBLANK(AV35:AV39))),"·",bdRateExtend(L35:L39,AA35:AA39,AG35:AG39,AV35:AV39))</f>
        <v>·</v>
      </c>
      <c r="BH35" s="117" t="str">
        <f t="array" ref="BH35">IF(OR(AND(ISBLANK(M35:M39)),AND(ISBLANK(AH35:AH39)),AND(ISBLANK(U35:U39)),AND(ISBLANK(AP35:AP39))),"·",bdRateExtend(M35:M39,U35:U39,AH35:AH39,AP35:AP39))</f>
        <v>·</v>
      </c>
      <c r="BI35" s="15" t="str">
        <f t="array" ref="BI35">IF(OR(AND(ISBLANK(M35:M39)),AND(ISBLANK(AH35:AH39)),AND(ISBLANK(V35:V39)),AND(ISBLANK(AQ35:AQ39))),"·",bdRateExtend(M35:M39,V35:V39,AH35:AH39,AQ35:AQ39))</f>
        <v>·</v>
      </c>
      <c r="BJ35" s="15" t="str">
        <f t="array" ref="BJ35">IF(OR(AND(ISBLANK(S35:S39)),AND(ISBLANK(AN35:AN39)),AND(ISBLANK(W35:W39)),AND(ISBLANK(AR35:AR39))),"·",bdRateExtend(S35:S39,W35:W39,AN35:AN39,AR35:AR39))</f>
        <v>·</v>
      </c>
      <c r="BK35" s="15" t="str">
        <f t="array" ref="BK35">IF(OR(AND(ISBLANK(S35:S39)),AND(ISBLANK(AN35:AN39)),AND(ISBLANK(X35:X39)),AND(ISBLANK(AS35:AS39))),"·",bdRateExtend(S35:S39,X35:X39,AN35:AN39,AS35:AS39))</f>
        <v>·</v>
      </c>
      <c r="BL35" s="15" t="str">
        <f t="array" ref="BL35">IF(OR(AND(ISBLANK(S35:S39)),AND(ISBLANK(AN35:AN39)),AND(ISBLANK(Y35:Y39)),AND(ISBLANK(AT35:AT39))),"·",bdRateExtend(S35:S39,Y35:Y39,AN35:AN39,AT35:AT39))</f>
        <v>·</v>
      </c>
      <c r="BM35" s="15" t="str">
        <f t="array" ref="BM35">IF(OR(AND(ISBLANK(M35:M39)),AND(ISBLANK(AH35:AH39)),AND(ISBLANK(Z35:Z39)),AND(ISBLANK(AU35:AU39))),"·",bdRateExtend(M35:M39,Z35:Z39,AH35:AH39,AU35:AU39))</f>
        <v>·</v>
      </c>
      <c r="BN35" s="15" t="str">
        <f t="array" ref="BN35">IF(OR(AND(ISBLANK(S35:S39)),AND(ISBLANK(AN35:AN39)),AND(ISBLANK(AA35:AA39)),AND(ISBLANK(AV35:AV39))),"·",bdRateExtend(S35:S39,AA35:AA39,AN35:AN39,AV35:AV39))</f>
        <v>·</v>
      </c>
      <c r="BP35" s="15">
        <f t="shared" si="8"/>
        <v>0</v>
      </c>
      <c r="BQ35" s="15">
        <f t="shared" si="9"/>
        <v>0</v>
      </c>
      <c r="BR35" s="15">
        <f t="shared" si="10"/>
        <v>0</v>
      </c>
      <c r="BS35" s="15">
        <f t="shared" si="11"/>
        <v>0</v>
      </c>
      <c r="BT35" s="15">
        <f t="shared" si="11"/>
        <v>0</v>
      </c>
    </row>
    <row r="36" ht="15" customHeight="1" outlineLevel="1" spans="1:72">
      <c r="A36" s="59"/>
      <c r="B36" s="59" t="s">
        <v>75</v>
      </c>
      <c r="C36" s="60" t="s">
        <v>433</v>
      </c>
      <c r="D36" s="59">
        <v>9000000</v>
      </c>
      <c r="E36" s="61">
        <v>12</v>
      </c>
      <c r="F36" s="60">
        <v>300</v>
      </c>
      <c r="G36" s="60">
        <v>30</v>
      </c>
      <c r="H36" s="60">
        <v>6</v>
      </c>
      <c r="J36" s="77">
        <f t="shared" si="0"/>
        <v>6.0674384</v>
      </c>
      <c r="K36" s="78">
        <f t="shared" si="1"/>
        <v>6.74159822222222</v>
      </c>
      <c r="L36" s="60">
        <f t="shared" si="2"/>
        <v>60674384</v>
      </c>
      <c r="M36" s="60">
        <f t="shared" si="3"/>
        <v>16697008</v>
      </c>
      <c r="N36" s="79">
        <v>34432704</v>
      </c>
      <c r="O36" s="80">
        <v>60674384</v>
      </c>
      <c r="P36" s="80">
        <v>8896032</v>
      </c>
      <c r="Q36" s="80">
        <v>0</v>
      </c>
      <c r="R36" s="80">
        <v>7800976</v>
      </c>
      <c r="S36" s="80">
        <v>43830800</v>
      </c>
      <c r="T36" s="80">
        <v>146576</v>
      </c>
      <c r="U36" s="92">
        <v>74.2847371</v>
      </c>
      <c r="V36" s="92">
        <v>76.1310398</v>
      </c>
      <c r="W36" s="92">
        <v>30.3619829</v>
      </c>
      <c r="X36" s="92">
        <v>38.9421725</v>
      </c>
      <c r="Y36" s="92">
        <v>38.7217801</v>
      </c>
      <c r="Z36" s="92">
        <v>49.1199246</v>
      </c>
      <c r="AA36" s="92">
        <v>28.9743483</v>
      </c>
      <c r="AB36" s="99">
        <v>10003.886341</v>
      </c>
      <c r="AC36" s="99">
        <v>65.391682</v>
      </c>
      <c r="AE36" s="77" t="str">
        <f t="shared" si="4"/>
        <v>·</v>
      </c>
      <c r="AF36" s="78" t="str">
        <f t="shared" si="5"/>
        <v>·</v>
      </c>
      <c r="AG36" s="60" t="str">
        <f t="shared" si="6"/>
        <v>.</v>
      </c>
      <c r="AH36" s="60" t="str">
        <f t="shared" si="7"/>
        <v>.</v>
      </c>
      <c r="AI36" s="79"/>
      <c r="AJ36" s="80"/>
      <c r="AK36" s="80"/>
      <c r="AL36" s="80"/>
      <c r="AM36" s="80"/>
      <c r="AN36" s="80"/>
      <c r="AO36" s="80"/>
      <c r="AP36" s="92"/>
      <c r="AQ36" s="92"/>
      <c r="AR36" s="92"/>
      <c r="AS36" s="92"/>
      <c r="AT36" s="92"/>
      <c r="AU36" s="92"/>
      <c r="AV36" s="92"/>
      <c r="AW36" s="99"/>
      <c r="AX36" s="99"/>
      <c r="AZ36" s="19"/>
      <c r="BA36" s="19"/>
      <c r="BB36" s="19"/>
      <c r="BC36" s="19"/>
      <c r="BD36" s="19"/>
      <c r="BE36" s="19"/>
      <c r="BF36" s="19"/>
      <c r="BH36" s="19"/>
      <c r="BI36" s="19"/>
      <c r="BJ36" s="19"/>
      <c r="BK36" s="19"/>
      <c r="BL36" s="19"/>
      <c r="BM36" s="19"/>
      <c r="BN36" s="19"/>
      <c r="BP36" s="19">
        <f t="shared" si="8"/>
        <v>0</v>
      </c>
      <c r="BQ36" s="19">
        <f t="shared" si="9"/>
        <v>0</v>
      </c>
      <c r="BR36" s="19">
        <f t="shared" si="10"/>
        <v>0</v>
      </c>
      <c r="BS36" s="19">
        <f t="shared" si="11"/>
        <v>0</v>
      </c>
      <c r="BT36" s="19">
        <f t="shared" si="11"/>
        <v>0</v>
      </c>
    </row>
    <row r="37" ht="15" customHeight="1" outlineLevel="1" spans="1:72">
      <c r="A37" s="56"/>
      <c r="B37" s="56" t="s">
        <v>75</v>
      </c>
      <c r="C37" s="57" t="s">
        <v>434</v>
      </c>
      <c r="D37" s="56">
        <v>9000000</v>
      </c>
      <c r="E37" s="58">
        <v>12</v>
      </c>
      <c r="F37" s="57">
        <v>300</v>
      </c>
      <c r="G37" s="57">
        <v>30</v>
      </c>
      <c r="H37" s="57">
        <v>11</v>
      </c>
      <c r="J37" s="73">
        <f t="shared" si="0"/>
        <v>11.0591256</v>
      </c>
      <c r="K37" s="74">
        <f t="shared" si="1"/>
        <v>12.2879173333333</v>
      </c>
      <c r="L37" s="57">
        <f t="shared" si="2"/>
        <v>110591256</v>
      </c>
      <c r="M37" s="57">
        <f t="shared" si="3"/>
        <v>19960808</v>
      </c>
      <c r="N37" s="75">
        <v>68915264</v>
      </c>
      <c r="O37" s="76">
        <v>110591256</v>
      </c>
      <c r="P37" s="76">
        <v>15107456</v>
      </c>
      <c r="Q37" s="76">
        <v>0</v>
      </c>
      <c r="R37" s="76">
        <v>4853352</v>
      </c>
      <c r="S37" s="76">
        <v>90480824</v>
      </c>
      <c r="T37" s="76">
        <v>149624</v>
      </c>
      <c r="U37" s="91">
        <v>75.0869796</v>
      </c>
      <c r="V37" s="91">
        <v>77.0162251</v>
      </c>
      <c r="W37" s="91">
        <v>31.2900206</v>
      </c>
      <c r="X37" s="91">
        <v>39.1725682</v>
      </c>
      <c r="Y37" s="91">
        <v>39.3013987</v>
      </c>
      <c r="Z37" s="91">
        <v>49.6284943</v>
      </c>
      <c r="AA37" s="91">
        <v>30.290074</v>
      </c>
      <c r="AB37" s="98">
        <v>54658.897698</v>
      </c>
      <c r="AC37" s="98">
        <v>604.48652</v>
      </c>
      <c r="AE37" s="73" t="str">
        <f t="shared" si="4"/>
        <v>·</v>
      </c>
      <c r="AF37" s="74" t="str">
        <f t="shared" si="5"/>
        <v>·</v>
      </c>
      <c r="AG37" s="57" t="str">
        <f t="shared" si="6"/>
        <v>.</v>
      </c>
      <c r="AH37" s="57" t="str">
        <f t="shared" si="7"/>
        <v>.</v>
      </c>
      <c r="AI37" s="75"/>
      <c r="AJ37" s="76"/>
      <c r="AK37" s="76"/>
      <c r="AL37" s="76"/>
      <c r="AM37" s="76"/>
      <c r="AN37" s="76"/>
      <c r="AO37" s="76"/>
      <c r="AP37" s="91"/>
      <c r="AQ37" s="91"/>
      <c r="AR37" s="91"/>
      <c r="AS37" s="91"/>
      <c r="AT37" s="91"/>
      <c r="AU37" s="91"/>
      <c r="AV37" s="91"/>
      <c r="AW37" s="98"/>
      <c r="AX37" s="98"/>
      <c r="AZ37" s="15"/>
      <c r="BA37" s="15"/>
      <c r="BB37" s="15"/>
      <c r="BC37" s="15"/>
      <c r="BD37" s="15"/>
      <c r="BE37" s="15"/>
      <c r="BF37" s="15"/>
      <c r="BH37" s="15"/>
      <c r="BI37" s="15"/>
      <c r="BJ37" s="15"/>
      <c r="BK37" s="15"/>
      <c r="BL37" s="15"/>
      <c r="BM37" s="15"/>
      <c r="BN37" s="15"/>
      <c r="BP37" s="15">
        <f t="shared" si="8"/>
        <v>0</v>
      </c>
      <c r="BQ37" s="15">
        <f t="shared" si="9"/>
        <v>0</v>
      </c>
      <c r="BR37" s="15">
        <f t="shared" si="10"/>
        <v>0</v>
      </c>
      <c r="BS37" s="15">
        <f t="shared" si="11"/>
        <v>0</v>
      </c>
      <c r="BT37" s="15">
        <f t="shared" si="11"/>
        <v>0</v>
      </c>
    </row>
    <row r="38" ht="15" customHeight="1" outlineLevel="1" spans="1:72">
      <c r="A38" s="59"/>
      <c r="B38" s="59" t="s">
        <v>75</v>
      </c>
      <c r="C38" s="60" t="s">
        <v>435</v>
      </c>
      <c r="D38" s="59">
        <v>9000000</v>
      </c>
      <c r="E38" s="61">
        <v>12</v>
      </c>
      <c r="F38" s="60">
        <v>300</v>
      </c>
      <c r="G38" s="60">
        <v>30</v>
      </c>
      <c r="H38" s="60">
        <v>16</v>
      </c>
      <c r="J38" s="77">
        <f t="shared" si="0"/>
        <v>16.2203992</v>
      </c>
      <c r="K38" s="78">
        <f t="shared" si="1"/>
        <v>18.0226657777778</v>
      </c>
      <c r="L38" s="60">
        <f t="shared" si="2"/>
        <v>162203992</v>
      </c>
      <c r="M38" s="60">
        <f t="shared" si="3"/>
        <v>26385168</v>
      </c>
      <c r="N38" s="79">
        <v>68915264</v>
      </c>
      <c r="O38" s="80">
        <v>162203992</v>
      </c>
      <c r="P38" s="80">
        <v>16735832</v>
      </c>
      <c r="Q38" s="80">
        <v>0</v>
      </c>
      <c r="R38" s="80">
        <v>9649336</v>
      </c>
      <c r="S38" s="80">
        <v>135667880</v>
      </c>
      <c r="T38" s="80">
        <v>150944</v>
      </c>
      <c r="U38" s="92">
        <v>76.7968371</v>
      </c>
      <c r="V38" s="92">
        <v>79.1131799</v>
      </c>
      <c r="W38" s="92">
        <v>31.9792371</v>
      </c>
      <c r="X38" s="92">
        <v>39.2444304</v>
      </c>
      <c r="Y38" s="92">
        <v>39.4296645</v>
      </c>
      <c r="Z38" s="92">
        <v>50.5711667</v>
      </c>
      <c r="AA38" s="92">
        <v>31.010996</v>
      </c>
      <c r="AB38" s="99">
        <v>54813.267663</v>
      </c>
      <c r="AC38" s="99">
        <v>634.887546</v>
      </c>
      <c r="AE38" s="77" t="str">
        <f t="shared" si="4"/>
        <v>·</v>
      </c>
      <c r="AF38" s="78" t="str">
        <f t="shared" si="5"/>
        <v>·</v>
      </c>
      <c r="AG38" s="60" t="str">
        <f t="shared" si="6"/>
        <v>.</v>
      </c>
      <c r="AH38" s="60" t="str">
        <f t="shared" si="7"/>
        <v>.</v>
      </c>
      <c r="AI38" s="79"/>
      <c r="AJ38" s="80"/>
      <c r="AK38" s="80"/>
      <c r="AL38" s="80"/>
      <c r="AM38" s="80"/>
      <c r="AN38" s="80"/>
      <c r="AO38" s="80"/>
      <c r="AP38" s="92"/>
      <c r="AQ38" s="92"/>
      <c r="AR38" s="92"/>
      <c r="AS38" s="92"/>
      <c r="AT38" s="92"/>
      <c r="AU38" s="92"/>
      <c r="AV38" s="92"/>
      <c r="AW38" s="99"/>
      <c r="AX38" s="99"/>
      <c r="AZ38" s="19"/>
      <c r="BA38" s="19"/>
      <c r="BB38" s="19"/>
      <c r="BC38" s="19"/>
      <c r="BD38" s="19"/>
      <c r="BE38" s="19"/>
      <c r="BF38" s="19"/>
      <c r="BH38" s="19"/>
      <c r="BI38" s="19"/>
      <c r="BJ38" s="19"/>
      <c r="BK38" s="19"/>
      <c r="BL38" s="19"/>
      <c r="BM38" s="19"/>
      <c r="BN38" s="19"/>
      <c r="BP38" s="19">
        <f t="shared" si="8"/>
        <v>0</v>
      </c>
      <c r="BQ38" s="19">
        <f t="shared" si="9"/>
        <v>0</v>
      </c>
      <c r="BR38" s="19">
        <f t="shared" si="10"/>
        <v>0</v>
      </c>
      <c r="BS38" s="19">
        <f t="shared" si="11"/>
        <v>0</v>
      </c>
      <c r="BT38" s="19">
        <f t="shared" si="11"/>
        <v>0</v>
      </c>
    </row>
    <row r="39" ht="15.75" customHeight="1" outlineLevel="1" spans="1:72">
      <c r="A39" s="56"/>
      <c r="B39" s="62" t="s">
        <v>75</v>
      </c>
      <c r="C39" s="63" t="s">
        <v>436</v>
      </c>
      <c r="D39" s="62">
        <v>9000000</v>
      </c>
      <c r="E39" s="64">
        <v>12</v>
      </c>
      <c r="F39" s="63">
        <v>300</v>
      </c>
      <c r="G39" s="63">
        <v>30</v>
      </c>
      <c r="H39" s="63">
        <v>24</v>
      </c>
      <c r="J39" s="81">
        <f t="shared" si="0"/>
        <v>24.3068648</v>
      </c>
      <c r="K39" s="82">
        <f t="shared" si="1"/>
        <v>27.0076275555556</v>
      </c>
      <c r="L39" s="63">
        <f t="shared" si="2"/>
        <v>243068648</v>
      </c>
      <c r="M39" s="63">
        <f t="shared" si="3"/>
        <v>37152312</v>
      </c>
      <c r="N39" s="83">
        <v>137868480</v>
      </c>
      <c r="O39" s="84">
        <v>243068648</v>
      </c>
      <c r="P39" s="84">
        <v>29380392</v>
      </c>
      <c r="Q39" s="84">
        <v>0</v>
      </c>
      <c r="R39" s="84">
        <v>7771920</v>
      </c>
      <c r="S39" s="84">
        <v>205768768</v>
      </c>
      <c r="T39" s="84">
        <v>147568</v>
      </c>
      <c r="U39" s="93">
        <v>79.0110414</v>
      </c>
      <c r="V39" s="93">
        <v>81.8837153</v>
      </c>
      <c r="W39" s="93">
        <v>32.7812888</v>
      </c>
      <c r="X39" s="93">
        <v>39.3287587</v>
      </c>
      <c r="Y39" s="93">
        <v>39.5805149</v>
      </c>
      <c r="Z39" s="93">
        <v>51.786278</v>
      </c>
      <c r="AA39" s="93">
        <v>31.8611116</v>
      </c>
      <c r="AB39" s="100">
        <v>63937.410882</v>
      </c>
      <c r="AC39" s="100">
        <v>662.991485</v>
      </c>
      <c r="AE39" s="81" t="str">
        <f t="shared" si="4"/>
        <v>·</v>
      </c>
      <c r="AF39" s="82" t="str">
        <f t="shared" si="5"/>
        <v>·</v>
      </c>
      <c r="AG39" s="63" t="str">
        <f t="shared" si="6"/>
        <v>.</v>
      </c>
      <c r="AH39" s="63" t="str">
        <f t="shared" si="7"/>
        <v>.</v>
      </c>
      <c r="AI39" s="83"/>
      <c r="AJ39" s="84"/>
      <c r="AK39" s="84"/>
      <c r="AL39" s="84"/>
      <c r="AM39" s="84"/>
      <c r="AN39" s="84"/>
      <c r="AO39" s="84"/>
      <c r="AP39" s="93"/>
      <c r="AQ39" s="93"/>
      <c r="AR39" s="93"/>
      <c r="AS39" s="93"/>
      <c r="AT39" s="93"/>
      <c r="AU39" s="93"/>
      <c r="AV39" s="93"/>
      <c r="AW39" s="100"/>
      <c r="AX39" s="100"/>
      <c r="AZ39" s="110"/>
      <c r="BA39" s="110"/>
      <c r="BB39" s="110"/>
      <c r="BC39" s="110"/>
      <c r="BD39" s="110"/>
      <c r="BE39" s="110"/>
      <c r="BF39" s="110"/>
      <c r="BH39" s="110"/>
      <c r="BI39" s="110"/>
      <c r="BJ39" s="110"/>
      <c r="BK39" s="110"/>
      <c r="BL39" s="110"/>
      <c r="BM39" s="110"/>
      <c r="BN39" s="110"/>
      <c r="BP39" s="110">
        <f t="shared" si="8"/>
        <v>0</v>
      </c>
      <c r="BQ39" s="110">
        <f t="shared" si="9"/>
        <v>0</v>
      </c>
      <c r="BR39" s="110">
        <f t="shared" si="10"/>
        <v>0</v>
      </c>
      <c r="BS39" s="110">
        <f t="shared" si="11"/>
        <v>0</v>
      </c>
      <c r="BT39" s="110">
        <f t="shared" si="11"/>
        <v>0</v>
      </c>
    </row>
    <row r="40" ht="15" customHeight="1" spans="1:72">
      <c r="A40" s="59"/>
      <c r="B40" s="59" t="s">
        <v>80</v>
      </c>
      <c r="C40" s="60" t="s">
        <v>432</v>
      </c>
      <c r="D40" s="59">
        <v>9000000</v>
      </c>
      <c r="E40" s="61">
        <v>12</v>
      </c>
      <c r="F40" s="60">
        <v>300</v>
      </c>
      <c r="G40" s="60">
        <v>30</v>
      </c>
      <c r="H40" s="60">
        <v>4</v>
      </c>
      <c r="J40" s="77">
        <f t="shared" si="0"/>
        <v>3.9963992</v>
      </c>
      <c r="K40" s="78">
        <f t="shared" si="1"/>
        <v>4.44044355555556</v>
      </c>
      <c r="L40" s="60">
        <f t="shared" si="2"/>
        <v>39963992</v>
      </c>
      <c r="M40" s="60">
        <f t="shared" si="3"/>
        <v>11420536</v>
      </c>
      <c r="N40" s="79">
        <v>17235840</v>
      </c>
      <c r="O40" s="80">
        <v>39963992</v>
      </c>
      <c r="P40" s="80">
        <v>5078304</v>
      </c>
      <c r="Q40" s="80">
        <v>0</v>
      </c>
      <c r="R40" s="80">
        <v>6342232</v>
      </c>
      <c r="S40" s="80">
        <v>28396744</v>
      </c>
      <c r="T40" s="80">
        <v>146712</v>
      </c>
      <c r="U40" s="92">
        <v>72.4557867</v>
      </c>
      <c r="V40" s="92">
        <v>73.7628024</v>
      </c>
      <c r="W40" s="92">
        <v>32.5879144</v>
      </c>
      <c r="X40" s="92">
        <v>42.2697354</v>
      </c>
      <c r="Y40" s="92">
        <v>42.5227975</v>
      </c>
      <c r="Z40" s="92">
        <v>48.10713</v>
      </c>
      <c r="AA40" s="92">
        <v>31.762614</v>
      </c>
      <c r="AB40" s="99">
        <v>16269.758052</v>
      </c>
      <c r="AC40" s="99">
        <v>179.229199</v>
      </c>
      <c r="AE40" s="77" t="str">
        <f t="shared" si="4"/>
        <v>·</v>
      </c>
      <c r="AF40" s="78" t="str">
        <f t="shared" si="5"/>
        <v>·</v>
      </c>
      <c r="AG40" s="60" t="str">
        <f t="shared" si="6"/>
        <v>.</v>
      </c>
      <c r="AH40" s="60" t="str">
        <f t="shared" si="7"/>
        <v>.</v>
      </c>
      <c r="AI40" s="79"/>
      <c r="AJ40" s="80"/>
      <c r="AK40" s="80"/>
      <c r="AL40" s="80"/>
      <c r="AM40" s="80"/>
      <c r="AN40" s="80"/>
      <c r="AO40" s="80"/>
      <c r="AP40" s="92"/>
      <c r="AQ40" s="92"/>
      <c r="AR40" s="92"/>
      <c r="AS40" s="92"/>
      <c r="AT40" s="92"/>
      <c r="AU40" s="92"/>
      <c r="AV40" s="92"/>
      <c r="AW40" s="99"/>
      <c r="AX40" s="99"/>
      <c r="AZ40" s="19" t="str">
        <f t="array" ref="AZ40">IF(OR(AND(ISBLANK(L40:L44)),AND(ISBLANK(AG40:AG44)),AND(ISBLANK(U40:U44)),AND(ISBLANK(AP40:AP44))),"·",bdRateExtend(L40:L44,U40:U44,AG40:AG44,AP40:AP44))</f>
        <v>·</v>
      </c>
      <c r="BA40" s="19" t="str">
        <f t="array" ref="BA40">IF(OR(AND(ISBLANK(L40:L44)),AND(ISBLANK(AG40:AG44)),AND(ISBLANK(V40:V44)),AND(ISBLANK(AQ40:AQ44))),"·",bdRateExtend(L40:L44,V40:V44,AG40:AG44,AQ40:AQ44))</f>
        <v>·</v>
      </c>
      <c r="BB40" s="19" t="str">
        <f t="array" ref="BB40">IF(OR(AND(ISBLANK(L40:L44)),AND(ISBLANK(AG40:AG44)),AND(ISBLANK(W40:W44)),AND(ISBLANK(AR40:AR44))),"·",bdRateExtend(L40:L44,W40:W44,AG40:AG44,AR40:AR44))</f>
        <v>·</v>
      </c>
      <c r="BC40" s="19" t="str">
        <f t="array" ref="BC40">IF(OR(AND(ISBLANK(L40:L44)),AND(ISBLANK(AG40:AG44)),AND(ISBLANK(X40:X44)),AND(ISBLANK(AS40:AS44))),"·",bdRateExtend(L40:L44,X40:X44,AG40:AG44,AS40:AS44))</f>
        <v>·</v>
      </c>
      <c r="BD40" s="19" t="str">
        <f t="array" ref="BD40">IF(OR(AND(ISBLANK(L40:L44)),AND(ISBLANK(AG40:AG44)),AND(ISBLANK(Y40:Y44)),AND(ISBLANK(AT40:AT44))),"·",bdRateExtend(L40:L44,Y40:Y44,AG40:AG44,AT40:AT44))</f>
        <v>·</v>
      </c>
      <c r="BE40" s="19" t="str">
        <f t="array" ref="BE40">IF(OR(AND(ISBLANK(L40:L44)),AND(ISBLANK(AG40:AG44)),AND(ISBLANK(Z40:Z44)),AND(ISBLANK(AU40:AU44))),"·",bdRateExtend(L40:L44,Z40:Z44,AG40:AG44,AU40:AU44))</f>
        <v>·</v>
      </c>
      <c r="BF40" s="19" t="str">
        <f t="array" ref="BF40">IF(OR(AND(ISBLANK(L40:L44)),AND(ISBLANK(AG40:AG44)),AND(ISBLANK(AA40:AA44)),AND(ISBLANK(AV40:AV44))),"·",bdRateExtend(L40:L44,AA40:AA44,AG40:AG44,AV40:AV44))</f>
        <v>·</v>
      </c>
      <c r="BH40" s="19" t="str">
        <f t="array" ref="BH40">IF(OR(AND(ISBLANK(M40:M44)),AND(ISBLANK(AH40:AH44)),AND(ISBLANK(U40:U44)),AND(ISBLANK(AP40:AP44))),"·",bdRateExtend(M40:M44,U40:U44,AH40:AH44,AP40:AP44))</f>
        <v>·</v>
      </c>
      <c r="BI40" s="19" t="str">
        <f t="array" ref="BI40">IF(OR(AND(ISBLANK(M40:M44)),AND(ISBLANK(AH40:AH44)),AND(ISBLANK(V40:V44)),AND(ISBLANK(AQ40:AQ44))),"·",bdRateExtend(M40:M44,V40:V44,AH40:AH44,AQ40:AQ44))</f>
        <v>·</v>
      </c>
      <c r="BJ40" s="19" t="str">
        <f t="array" ref="BJ40">IF(OR(AND(ISBLANK(S40:S44)),AND(ISBLANK(AN40:AN44)),AND(ISBLANK(W40:W44)),AND(ISBLANK(AR40:AR44))),"·",bdRateExtend(S40:S44,W40:W44,AN40:AN44,AR40:AR44))</f>
        <v>·</v>
      </c>
      <c r="BK40" s="19" t="str">
        <f t="array" ref="BK40">IF(OR(AND(ISBLANK(S40:S44)),AND(ISBLANK(AN40:AN44)),AND(ISBLANK(X40:X44)),AND(ISBLANK(AS40:AS44))),"·",bdRateExtend(S40:S44,X40:X44,AN40:AN44,AS40:AS44))</f>
        <v>·</v>
      </c>
      <c r="BL40" s="19" t="str">
        <f t="array" ref="BL40">IF(OR(AND(ISBLANK(S40:S44)),AND(ISBLANK(AN40:AN44)),AND(ISBLANK(Y40:Y44)),AND(ISBLANK(AT40:AT44))),"·",bdRateExtend(S40:S44,Y40:Y44,AN40:AN44,AT40:AT44))</f>
        <v>·</v>
      </c>
      <c r="BM40" s="19" t="str">
        <f t="array" ref="BM40">IF(OR(AND(ISBLANK(M40:M44)),AND(ISBLANK(AH40:AH44)),AND(ISBLANK(Z40:Z44)),AND(ISBLANK(AU40:AU44))),"·",bdRateExtend(M40:M44,Z40:Z44,AH40:AH44,AU40:AU44))</f>
        <v>·</v>
      </c>
      <c r="BN40" s="19" t="str">
        <f t="array" ref="BN40">IF(OR(AND(ISBLANK(S40:S44)),AND(ISBLANK(AN40:AN44)),AND(ISBLANK(AA40:AA44)),AND(ISBLANK(AV40:AV44))),"·",bdRateExtend(S40:S44,AA40:AA44,AN40:AN44,AV40:AV44))</f>
        <v>·</v>
      </c>
      <c r="BP40" s="19">
        <f t="shared" si="8"/>
        <v>0</v>
      </c>
      <c r="BQ40" s="19">
        <f t="shared" si="9"/>
        <v>0</v>
      </c>
      <c r="BR40" s="19">
        <f t="shared" si="10"/>
        <v>0</v>
      </c>
      <c r="BS40" s="19">
        <f t="shared" si="11"/>
        <v>0</v>
      </c>
      <c r="BT40" s="19">
        <f t="shared" si="11"/>
        <v>0</v>
      </c>
    </row>
    <row r="41" ht="15" customHeight="1" outlineLevel="1" spans="1:72">
      <c r="A41" s="56"/>
      <c r="B41" s="56" t="s">
        <v>80</v>
      </c>
      <c r="C41" s="57" t="s">
        <v>433</v>
      </c>
      <c r="D41" s="56">
        <v>9000000</v>
      </c>
      <c r="E41" s="58">
        <v>12</v>
      </c>
      <c r="F41" s="57">
        <v>300</v>
      </c>
      <c r="G41" s="57">
        <v>30</v>
      </c>
      <c r="H41" s="57">
        <v>6</v>
      </c>
      <c r="J41" s="73">
        <f t="shared" si="0"/>
        <v>6.0366048</v>
      </c>
      <c r="K41" s="74">
        <f t="shared" si="1"/>
        <v>6.70733866666667</v>
      </c>
      <c r="L41" s="57">
        <f t="shared" si="2"/>
        <v>60366048</v>
      </c>
      <c r="M41" s="57">
        <f t="shared" si="3"/>
        <v>12338888</v>
      </c>
      <c r="N41" s="75">
        <v>17235840</v>
      </c>
      <c r="O41" s="76">
        <v>60366048</v>
      </c>
      <c r="P41" s="76">
        <v>5503152</v>
      </c>
      <c r="Q41" s="76">
        <v>0</v>
      </c>
      <c r="R41" s="76">
        <v>6835736</v>
      </c>
      <c r="S41" s="76">
        <v>47879880</v>
      </c>
      <c r="T41" s="76">
        <v>147280</v>
      </c>
      <c r="U41" s="91">
        <v>72.6832183</v>
      </c>
      <c r="V41" s="91">
        <v>74.0197904</v>
      </c>
      <c r="W41" s="91">
        <v>33.2380384</v>
      </c>
      <c r="X41" s="91">
        <v>42.5194854</v>
      </c>
      <c r="Y41" s="91">
        <v>42.8101315</v>
      </c>
      <c r="Z41" s="91">
        <v>48.2401977</v>
      </c>
      <c r="AA41" s="91">
        <v>32.1791664</v>
      </c>
      <c r="AB41" s="98">
        <v>49411.070365</v>
      </c>
      <c r="AC41" s="98">
        <v>539.013296</v>
      </c>
      <c r="AE41" s="73" t="str">
        <f t="shared" si="4"/>
        <v>·</v>
      </c>
      <c r="AF41" s="74" t="str">
        <f t="shared" si="5"/>
        <v>·</v>
      </c>
      <c r="AG41" s="57" t="str">
        <f t="shared" si="6"/>
        <v>.</v>
      </c>
      <c r="AH41" s="57" t="str">
        <f t="shared" si="7"/>
        <v>.</v>
      </c>
      <c r="AI41" s="75"/>
      <c r="AJ41" s="76"/>
      <c r="AK41" s="76"/>
      <c r="AL41" s="76"/>
      <c r="AM41" s="76"/>
      <c r="AN41" s="76"/>
      <c r="AO41" s="76"/>
      <c r="AP41" s="91"/>
      <c r="AQ41" s="91"/>
      <c r="AR41" s="91"/>
      <c r="AS41" s="91"/>
      <c r="AT41" s="91"/>
      <c r="AU41" s="91"/>
      <c r="AV41" s="91"/>
      <c r="AW41" s="98"/>
      <c r="AX41" s="98"/>
      <c r="AZ41" s="15"/>
      <c r="BA41" s="15"/>
      <c r="BB41" s="15"/>
      <c r="BC41" s="15"/>
      <c r="BD41" s="15"/>
      <c r="BE41" s="15"/>
      <c r="BF41" s="15"/>
      <c r="BH41" s="15"/>
      <c r="BI41" s="15"/>
      <c r="BJ41" s="15"/>
      <c r="BK41" s="15"/>
      <c r="BL41" s="15"/>
      <c r="BM41" s="15"/>
      <c r="BN41" s="15"/>
      <c r="BP41" s="15">
        <f t="shared" si="8"/>
        <v>0</v>
      </c>
      <c r="BQ41" s="15">
        <f t="shared" si="9"/>
        <v>0</v>
      </c>
      <c r="BR41" s="15">
        <f t="shared" si="10"/>
        <v>0</v>
      </c>
      <c r="BS41" s="15">
        <f t="shared" si="11"/>
        <v>0</v>
      </c>
      <c r="BT41" s="15">
        <f t="shared" si="11"/>
        <v>0</v>
      </c>
    </row>
    <row r="42" ht="15" customHeight="1" outlineLevel="1" spans="1:72">
      <c r="A42" s="59"/>
      <c r="B42" s="59" t="s">
        <v>80</v>
      </c>
      <c r="C42" s="60" t="s">
        <v>434</v>
      </c>
      <c r="D42" s="59">
        <v>9000000</v>
      </c>
      <c r="E42" s="61">
        <v>12</v>
      </c>
      <c r="F42" s="60">
        <v>300</v>
      </c>
      <c r="G42" s="60">
        <v>30</v>
      </c>
      <c r="H42" s="60">
        <v>11</v>
      </c>
      <c r="J42" s="77">
        <f t="shared" si="0"/>
        <v>10.885212</v>
      </c>
      <c r="K42" s="78">
        <f t="shared" si="1"/>
        <v>12.09468</v>
      </c>
      <c r="L42" s="60">
        <f t="shared" si="2"/>
        <v>108852120</v>
      </c>
      <c r="M42" s="60">
        <f t="shared" si="3"/>
        <v>20977416</v>
      </c>
      <c r="N42" s="79">
        <v>69038976</v>
      </c>
      <c r="O42" s="80">
        <v>108852120</v>
      </c>
      <c r="P42" s="80">
        <v>14610096</v>
      </c>
      <c r="Q42" s="80">
        <v>0</v>
      </c>
      <c r="R42" s="80">
        <v>6367320</v>
      </c>
      <c r="S42" s="80">
        <v>87724496</v>
      </c>
      <c r="T42" s="80">
        <v>150208</v>
      </c>
      <c r="U42" s="92">
        <v>76.3390679</v>
      </c>
      <c r="V42" s="92">
        <v>78.1999976</v>
      </c>
      <c r="W42" s="92">
        <v>34.1913131</v>
      </c>
      <c r="X42" s="92">
        <v>42.8609168</v>
      </c>
      <c r="Y42" s="92">
        <v>43.3432661</v>
      </c>
      <c r="Z42" s="92">
        <v>50.513347</v>
      </c>
      <c r="AA42" s="92">
        <v>33.3593019</v>
      </c>
      <c r="AB42" s="99">
        <v>55133.709766</v>
      </c>
      <c r="AC42" s="99">
        <v>586.105451</v>
      </c>
      <c r="AE42" s="77" t="str">
        <f t="shared" si="4"/>
        <v>·</v>
      </c>
      <c r="AF42" s="78" t="str">
        <f t="shared" si="5"/>
        <v>·</v>
      </c>
      <c r="AG42" s="60" t="str">
        <f t="shared" si="6"/>
        <v>.</v>
      </c>
      <c r="AH42" s="60" t="str">
        <f t="shared" si="7"/>
        <v>.</v>
      </c>
      <c r="AI42" s="79"/>
      <c r="AJ42" s="80"/>
      <c r="AK42" s="80"/>
      <c r="AL42" s="80"/>
      <c r="AM42" s="80"/>
      <c r="AN42" s="80"/>
      <c r="AO42" s="80"/>
      <c r="AP42" s="92"/>
      <c r="AQ42" s="92"/>
      <c r="AR42" s="92"/>
      <c r="AS42" s="92"/>
      <c r="AT42" s="92"/>
      <c r="AU42" s="92"/>
      <c r="AV42" s="92"/>
      <c r="AW42" s="99"/>
      <c r="AX42" s="99"/>
      <c r="AZ42" s="19"/>
      <c r="BA42" s="19"/>
      <c r="BB42" s="19"/>
      <c r="BC42" s="19"/>
      <c r="BD42" s="19"/>
      <c r="BE42" s="19"/>
      <c r="BF42" s="19"/>
      <c r="BH42" s="19"/>
      <c r="BI42" s="19"/>
      <c r="BJ42" s="19"/>
      <c r="BK42" s="19"/>
      <c r="BL42" s="19"/>
      <c r="BM42" s="19"/>
      <c r="BN42" s="19"/>
      <c r="BP42" s="19">
        <f t="shared" si="8"/>
        <v>0</v>
      </c>
      <c r="BQ42" s="19">
        <f t="shared" si="9"/>
        <v>0</v>
      </c>
      <c r="BR42" s="19">
        <f t="shared" si="10"/>
        <v>0</v>
      </c>
      <c r="BS42" s="19">
        <f t="shared" si="11"/>
        <v>0</v>
      </c>
      <c r="BT42" s="19">
        <f t="shared" si="11"/>
        <v>0</v>
      </c>
    </row>
    <row r="43" ht="15" customHeight="1" outlineLevel="1" spans="1:72">
      <c r="A43" s="56"/>
      <c r="B43" s="56" t="s">
        <v>80</v>
      </c>
      <c r="C43" s="57" t="s">
        <v>435</v>
      </c>
      <c r="D43" s="56">
        <v>9000000</v>
      </c>
      <c r="E43" s="58">
        <v>12</v>
      </c>
      <c r="F43" s="57">
        <v>300</v>
      </c>
      <c r="G43" s="57">
        <v>30</v>
      </c>
      <c r="H43" s="57">
        <v>16</v>
      </c>
      <c r="J43" s="73">
        <f t="shared" si="0"/>
        <v>16.0441256</v>
      </c>
      <c r="K43" s="74">
        <f t="shared" si="1"/>
        <v>17.8268062222222</v>
      </c>
      <c r="L43" s="57">
        <f t="shared" si="2"/>
        <v>160441256</v>
      </c>
      <c r="M43" s="57">
        <f t="shared" si="3"/>
        <v>25341512</v>
      </c>
      <c r="N43" s="75">
        <v>69038976</v>
      </c>
      <c r="O43" s="76">
        <v>160441256</v>
      </c>
      <c r="P43" s="76">
        <v>16230048</v>
      </c>
      <c r="Q43" s="76">
        <v>0</v>
      </c>
      <c r="R43" s="76">
        <v>9111464</v>
      </c>
      <c r="S43" s="76">
        <v>134948880</v>
      </c>
      <c r="T43" s="76">
        <v>150864</v>
      </c>
      <c r="U43" s="91">
        <v>77.3589374</v>
      </c>
      <c r="V43" s="91">
        <v>79.4459872</v>
      </c>
      <c r="W43" s="91">
        <v>34.8669135</v>
      </c>
      <c r="X43" s="91">
        <v>42.9946765</v>
      </c>
      <c r="Y43" s="91">
        <v>43.5309271</v>
      </c>
      <c r="Z43" s="91">
        <v>51.0219752</v>
      </c>
      <c r="AA43" s="91">
        <v>33.9736216</v>
      </c>
      <c r="AB43" s="98">
        <v>55643.84129</v>
      </c>
      <c r="AC43" s="98">
        <v>730.610208</v>
      </c>
      <c r="AE43" s="73" t="str">
        <f t="shared" si="4"/>
        <v>·</v>
      </c>
      <c r="AF43" s="74" t="str">
        <f t="shared" si="5"/>
        <v>·</v>
      </c>
      <c r="AG43" s="57" t="str">
        <f t="shared" si="6"/>
        <v>.</v>
      </c>
      <c r="AH43" s="57" t="str">
        <f t="shared" si="7"/>
        <v>.</v>
      </c>
      <c r="AI43" s="75"/>
      <c r="AJ43" s="76"/>
      <c r="AK43" s="76"/>
      <c r="AL43" s="76"/>
      <c r="AM43" s="76"/>
      <c r="AN43" s="76"/>
      <c r="AO43" s="76"/>
      <c r="AP43" s="91"/>
      <c r="AQ43" s="91"/>
      <c r="AR43" s="91"/>
      <c r="AS43" s="91"/>
      <c r="AT43" s="91"/>
      <c r="AU43" s="91"/>
      <c r="AV43" s="91"/>
      <c r="AW43" s="98"/>
      <c r="AX43" s="98"/>
      <c r="AZ43" s="15"/>
      <c r="BA43" s="15"/>
      <c r="BB43" s="15"/>
      <c r="BC43" s="15"/>
      <c r="BD43" s="15"/>
      <c r="BE43" s="15"/>
      <c r="BF43" s="15"/>
      <c r="BH43" s="15"/>
      <c r="BI43" s="15"/>
      <c r="BJ43" s="15"/>
      <c r="BK43" s="15"/>
      <c r="BL43" s="15"/>
      <c r="BM43" s="15"/>
      <c r="BN43" s="15"/>
      <c r="BP43" s="15">
        <f t="shared" si="8"/>
        <v>0</v>
      </c>
      <c r="BQ43" s="15">
        <f t="shared" si="9"/>
        <v>0</v>
      </c>
      <c r="BR43" s="15">
        <f t="shared" si="10"/>
        <v>0</v>
      </c>
      <c r="BS43" s="15">
        <f t="shared" si="11"/>
        <v>0</v>
      </c>
      <c r="BT43" s="15">
        <f t="shared" si="11"/>
        <v>0</v>
      </c>
    </row>
    <row r="44" ht="15.75" customHeight="1" outlineLevel="1" spans="1:72">
      <c r="A44" s="65"/>
      <c r="B44" s="65" t="s">
        <v>80</v>
      </c>
      <c r="C44" s="66" t="s">
        <v>436</v>
      </c>
      <c r="D44" s="65">
        <v>9000000</v>
      </c>
      <c r="E44" s="67">
        <v>12</v>
      </c>
      <c r="F44" s="66">
        <v>300</v>
      </c>
      <c r="G44" s="66">
        <v>30</v>
      </c>
      <c r="H44" s="66">
        <v>24</v>
      </c>
      <c r="J44" s="85">
        <f t="shared" si="0"/>
        <v>24.1486384</v>
      </c>
      <c r="K44" s="86">
        <f t="shared" si="1"/>
        <v>26.8318204444444</v>
      </c>
      <c r="L44" s="66">
        <f t="shared" si="2"/>
        <v>241486384</v>
      </c>
      <c r="M44" s="66">
        <f t="shared" si="3"/>
        <v>35299528</v>
      </c>
      <c r="N44" s="87">
        <v>138091776</v>
      </c>
      <c r="O44" s="88">
        <v>241486384</v>
      </c>
      <c r="P44" s="88">
        <v>25398744</v>
      </c>
      <c r="Q44" s="88">
        <v>0</v>
      </c>
      <c r="R44" s="88">
        <v>9900784</v>
      </c>
      <c r="S44" s="88">
        <v>206039064</v>
      </c>
      <c r="T44" s="88">
        <v>147792</v>
      </c>
      <c r="U44" s="94">
        <v>79.6911806</v>
      </c>
      <c r="V44" s="94">
        <v>82.3749389</v>
      </c>
      <c r="W44" s="94">
        <v>35.7036644</v>
      </c>
      <c r="X44" s="94">
        <v>43.1238303</v>
      </c>
      <c r="Y44" s="94">
        <v>43.7214446</v>
      </c>
      <c r="Z44" s="94">
        <v>52.4235461</v>
      </c>
      <c r="AA44" s="94">
        <v>34.9286124</v>
      </c>
      <c r="AB44" s="101">
        <v>61738.616387</v>
      </c>
      <c r="AC44" s="101">
        <v>689.573904</v>
      </c>
      <c r="AE44" s="85" t="str">
        <f t="shared" si="4"/>
        <v>·</v>
      </c>
      <c r="AF44" s="86" t="str">
        <f t="shared" si="5"/>
        <v>·</v>
      </c>
      <c r="AG44" s="66" t="str">
        <f t="shared" si="6"/>
        <v>.</v>
      </c>
      <c r="AH44" s="66" t="str">
        <f t="shared" si="7"/>
        <v>.</v>
      </c>
      <c r="AI44" s="87"/>
      <c r="AJ44" s="88"/>
      <c r="AK44" s="88"/>
      <c r="AL44" s="88"/>
      <c r="AM44" s="88"/>
      <c r="AN44" s="88"/>
      <c r="AO44" s="88"/>
      <c r="AP44" s="94"/>
      <c r="AQ44" s="94"/>
      <c r="AR44" s="94"/>
      <c r="AS44" s="94"/>
      <c r="AT44" s="94"/>
      <c r="AU44" s="94"/>
      <c r="AV44" s="94"/>
      <c r="AW44" s="101"/>
      <c r="AX44" s="101"/>
      <c r="AZ44" s="23"/>
      <c r="BA44" s="23"/>
      <c r="BB44" s="23"/>
      <c r="BC44" s="23"/>
      <c r="BD44" s="23"/>
      <c r="BE44" s="23"/>
      <c r="BF44" s="23"/>
      <c r="BH44" s="23"/>
      <c r="BI44" s="23"/>
      <c r="BJ44" s="23"/>
      <c r="BK44" s="23"/>
      <c r="BL44" s="23"/>
      <c r="BM44" s="23"/>
      <c r="BN44" s="23"/>
      <c r="BP44" s="23">
        <f t="shared" si="8"/>
        <v>0</v>
      </c>
      <c r="BQ44" s="23">
        <f t="shared" si="9"/>
        <v>0</v>
      </c>
      <c r="BR44" s="23">
        <f t="shared" si="10"/>
        <v>0</v>
      </c>
      <c r="BS44" s="23">
        <f t="shared" si="11"/>
        <v>0</v>
      </c>
      <c r="BT44" s="23">
        <f t="shared" si="11"/>
        <v>0</v>
      </c>
    </row>
    <row r="45" ht="15" customHeight="1" spans="1:72">
      <c r="A45" s="56" t="s">
        <v>192</v>
      </c>
      <c r="B45" s="56" t="s">
        <v>34</v>
      </c>
      <c r="C45" s="57" t="s">
        <v>432</v>
      </c>
      <c r="D45" s="56">
        <v>199984</v>
      </c>
      <c r="E45" s="58">
        <v>10</v>
      </c>
      <c r="F45" s="57">
        <v>1</v>
      </c>
      <c r="G45" s="57">
        <v>30</v>
      </c>
      <c r="H45" s="57">
        <v>4</v>
      </c>
      <c r="J45" s="73">
        <f t="shared" ref="J45:J49" si="12">IF(OR(ISBLANK(O45),ISBLANK(G45)),"·",O45*G45/F45/1000000)</f>
        <v>4.23048</v>
      </c>
      <c r="K45" s="74">
        <f t="shared" ref="K45:K49" si="13">IF(ISBLANK(O45),"·",O45/D45)</f>
        <v>0.705136410912873</v>
      </c>
      <c r="L45" s="57">
        <f t="shared" ref="L45:L49" si="14">IF(OR(ISBLANK(M45),ISBLANK(S45),ISBLANK(T45)),".",M45+S45+T45)</f>
        <v>141016</v>
      </c>
      <c r="M45" s="57">
        <f t="shared" ref="M45:M49" si="15">IF(OR(ISBLANK(Q45),ISBLANK(P45),ISBLANK(R45)),".",P45+Q45+R45)</f>
        <v>46088</v>
      </c>
      <c r="N45" s="75">
        <v>76800</v>
      </c>
      <c r="O45" s="76">
        <v>141016</v>
      </c>
      <c r="P45" s="76">
        <v>21312</v>
      </c>
      <c r="Q45" s="76">
        <v>0</v>
      </c>
      <c r="R45" s="76">
        <v>24776</v>
      </c>
      <c r="S45" s="76">
        <v>93312</v>
      </c>
      <c r="T45" s="76">
        <v>1616</v>
      </c>
      <c r="U45" s="91">
        <v>74.5244269</v>
      </c>
      <c r="V45" s="91">
        <v>76.5139341</v>
      </c>
      <c r="W45" s="91">
        <v>30.2380966</v>
      </c>
      <c r="X45" s="91">
        <v>41.188856</v>
      </c>
      <c r="Y45" s="91">
        <v>39.5955567</v>
      </c>
      <c r="Z45" s="91">
        <v>54.1221851</v>
      </c>
      <c r="AA45" s="91">
        <v>29.4319784</v>
      </c>
      <c r="AB45" s="98">
        <v>60.69811</v>
      </c>
      <c r="AC45" s="98">
        <v>0.271995</v>
      </c>
      <c r="AE45" s="73" t="str">
        <f t="shared" ref="AE45:AE49" si="16">IF(OR(ISBLANK(AJ45),ISBLANK(G45)),"·",AJ45*G45/F45/1000000)</f>
        <v>·</v>
      </c>
      <c r="AF45" s="74" t="str">
        <f t="shared" ref="AF45:AF49" si="17">IF(ISBLANK(AJ45),"·",AJ45/D45)</f>
        <v>·</v>
      </c>
      <c r="AG45" s="57" t="str">
        <f t="shared" ref="AG45:AG49" si="18">IF(OR(ISBLANK(AH45),ISBLANK(AN45),ISBLANK(AO45)),".",AH45+AN45+AO45)</f>
        <v>.</v>
      </c>
      <c r="AH45" s="57" t="str">
        <f t="shared" ref="AH45:AH49" si="19">IF(OR(ISBLANK(AL45),ISBLANK(AK45),ISBLANK(AM45)),".",AK45+AL45+AM45)</f>
        <v>.</v>
      </c>
      <c r="AI45" s="75"/>
      <c r="AJ45" s="76"/>
      <c r="AK45" s="76"/>
      <c r="AL45" s="76"/>
      <c r="AM45" s="76"/>
      <c r="AN45" s="76"/>
      <c r="AO45" s="76"/>
      <c r="AP45" s="91"/>
      <c r="AQ45" s="91"/>
      <c r="AR45" s="91"/>
      <c r="AS45" s="91"/>
      <c r="AT45" s="91"/>
      <c r="AU45" s="91"/>
      <c r="AV45" s="91"/>
      <c r="AW45" s="98"/>
      <c r="AX45" s="98"/>
      <c r="AZ45" s="15" t="str">
        <f t="array" ref="AZ45">IF(OR(AND(ISBLANK(L45:L49)),AND(ISBLANK(AG45:AG49)),AND(ISBLANK(U45:U49)),AND(ISBLANK(AP45:AP49))),"·",bdRateExtend(L45:L49,U45:U49,AG45:AG49,AP45:AP49))</f>
        <v>·</v>
      </c>
      <c r="BA45" s="15" t="str">
        <f t="array" ref="BA45">IF(OR(AND(ISBLANK(L45:L49)),AND(ISBLANK(AG45:AG49)),AND(ISBLANK(V45:V49)),AND(ISBLANK(AQ45:AQ49))),"·",bdRateExtend(L45:L49,V45:V49,AG45:AG49,AQ45:AQ49))</f>
        <v>·</v>
      </c>
      <c r="BB45" s="15" t="str">
        <f t="array" ref="BB45">IF(OR(AND(ISBLANK(L45:L49)),AND(ISBLANK(AG45:AG49)),AND(ISBLANK(W45:W49)),AND(ISBLANK(AR45:AR49))),"·",bdRateExtend(L45:L49,W45:W49,AG45:AG49,AR45:AR49))</f>
        <v>·</v>
      </c>
      <c r="BC45" s="15" t="str">
        <f t="array" ref="BC45">IF(OR(AND(ISBLANK(L45:L49)),AND(ISBLANK(AG45:AG49)),AND(ISBLANK(X45:X49)),AND(ISBLANK(AS45:AS49))),"·",bdRateExtend(L45:L49,X45:X49,AG45:AG49,AS45:AS49))</f>
        <v>·</v>
      </c>
      <c r="BD45" s="15" t="str">
        <f t="array" ref="BD45">IF(OR(AND(ISBLANK(L45:L49)),AND(ISBLANK(AG45:AG49)),AND(ISBLANK(Y45:Y49)),AND(ISBLANK(AT45:AT49))),"·",bdRateExtend(L45:L49,Y45:Y49,AG45:AG49,AT45:AT49))</f>
        <v>·</v>
      </c>
      <c r="BE45" s="15" t="str">
        <f t="array" ref="BE45">IF(OR(AND(ISBLANK(L45:L49)),AND(ISBLANK(AG45:AG49)),AND(ISBLANK(Z45:Z49)),AND(ISBLANK(AU45:AU49))),"·",bdRateExtend(L45:L49,Z45:Z49,AG45:AG49,AU45:AU49))</f>
        <v>·</v>
      </c>
      <c r="BF45" s="15" t="str">
        <f t="array" ref="BF45">IF(OR(AND(ISBLANK(L45:L49)),AND(ISBLANK(AG45:AG49)),AND(ISBLANK(AA45:AA49)),AND(ISBLANK(AV45:AV49))),"·",bdRateExtend(L45:L49,AA45:AA49,AG45:AG49,AV45:AV49))</f>
        <v>·</v>
      </c>
      <c r="BH45" s="15" t="str">
        <f t="array" ref="BH45">IF(OR(AND(ISBLANK(M45:M49)),AND(ISBLANK(AH45:AH49)),AND(ISBLANK(U45:U49)),AND(ISBLANK(AP45:AP49))),"·",bdRateExtend(M45:M49,U45:U49,AH45:AH49,AP45:AP49))</f>
        <v>·</v>
      </c>
      <c r="BI45" s="15" t="str">
        <f t="array" ref="BI45">IF(OR(AND(ISBLANK(M45:M49)),AND(ISBLANK(AH45:AH49)),AND(ISBLANK(V45:V49)),AND(ISBLANK(AQ45:AQ49))),"·",bdRateExtend(M45:M49,V45:V49,AH45:AH49,AQ45:AQ49))</f>
        <v>·</v>
      </c>
      <c r="BJ45" s="15" t="str">
        <f t="array" ref="BJ45">IF(OR(AND(ISBLANK(S45:S49)),AND(ISBLANK(AN45:AN49)),AND(ISBLANK(W45:W49)),AND(ISBLANK(AR45:AR49))),"·",bdRateExtend(S45:S49,W45:W49,AN45:AN49,AR45:AR49))</f>
        <v>·</v>
      </c>
      <c r="BK45" s="15" t="str">
        <f t="array" ref="BK45">IF(OR(AND(ISBLANK(S45:S49)),AND(ISBLANK(AN45:AN49)),AND(ISBLANK(X45:X49)),AND(ISBLANK(AS45:AS49))),"·",bdRateExtend(S45:S49,X45:X49,AN45:AN49,AS45:AS49))</f>
        <v>·</v>
      </c>
      <c r="BL45" s="15" t="str">
        <f t="array" ref="BL45">IF(OR(AND(ISBLANK(S45:S49)),AND(ISBLANK(AN45:AN49)),AND(ISBLANK(Y45:Y49)),AND(ISBLANK(AT45:AT49))),"·",bdRateExtend(S45:S49,Y45:Y49,AN45:AN49,AT45:AT49))</f>
        <v>·</v>
      </c>
      <c r="BM45" s="15" t="str">
        <f t="array" ref="BM45">IF(OR(AND(ISBLANK(M45:M49)),AND(ISBLANK(AH45:AH49)),AND(ISBLANK(Z45:Z49)),AND(ISBLANK(AU45:AU49))),"·",bdRateExtend(M45:M49,Z45:Z49,AH45:AH49,AU45:AU49))</f>
        <v>·</v>
      </c>
      <c r="BN45" s="15" t="str">
        <f t="array" ref="BN45">IF(OR(AND(ISBLANK(S45:S49)),AND(ISBLANK(AN45:AN49)),AND(ISBLANK(AA45:AA49)),AND(ISBLANK(AV45:AV49))),"·",bdRateExtend(S45:S49,AA45:AA49,AN45:AN49,AV45:AV49))</f>
        <v>·</v>
      </c>
      <c r="BP45" s="15">
        <f t="shared" ref="BP45:BP49" si="20">IF(AND(AK45=0,AK45=0),0,AK45/P45-1)</f>
        <v>0</v>
      </c>
      <c r="BQ45" s="15">
        <f t="shared" ref="BQ45:BQ49" si="21">IF(AND(AL45=0,AL45=0),0,AL45/Q45-1)</f>
        <v>0</v>
      </c>
      <c r="BR45" s="15">
        <f t="shared" ref="BR45:BR49" si="22">IF(AND(AM45=0,AM45=0),0,AM45/R45-1)</f>
        <v>0</v>
      </c>
      <c r="BS45" s="15">
        <f t="shared" ref="BS45:BS49" si="23">IF(AND(AN45=0,AN45=0),0,AN45/S45-1)</f>
        <v>0</v>
      </c>
      <c r="BT45" s="15">
        <f t="shared" ref="BT45:BT49" si="24">IF(AND(AO45=0,AO45=0),0,AO45/T45-1)</f>
        <v>0</v>
      </c>
    </row>
    <row r="46" ht="15" customHeight="1" outlineLevel="1" spans="1:72">
      <c r="A46" s="59"/>
      <c r="B46" s="59" t="s">
        <v>34</v>
      </c>
      <c r="C46" s="60" t="s">
        <v>433</v>
      </c>
      <c r="D46" s="59">
        <v>199984</v>
      </c>
      <c r="E46" s="61">
        <v>10</v>
      </c>
      <c r="F46" s="60">
        <v>1</v>
      </c>
      <c r="G46" s="60">
        <v>30</v>
      </c>
      <c r="H46" s="60">
        <v>9</v>
      </c>
      <c r="J46" s="77">
        <f t="shared" si="12"/>
        <v>6.47424</v>
      </c>
      <c r="K46" s="78">
        <f t="shared" si="13"/>
        <v>1.07912633010641</v>
      </c>
      <c r="L46" s="60">
        <f t="shared" si="14"/>
        <v>215808</v>
      </c>
      <c r="M46" s="60">
        <f t="shared" si="15"/>
        <v>56224</v>
      </c>
      <c r="N46" s="79">
        <v>153600</v>
      </c>
      <c r="O46" s="80">
        <v>215808</v>
      </c>
      <c r="P46" s="80">
        <v>35072</v>
      </c>
      <c r="Q46" s="80">
        <v>0</v>
      </c>
      <c r="R46" s="80">
        <v>21152</v>
      </c>
      <c r="S46" s="80">
        <v>157928</v>
      </c>
      <c r="T46" s="80">
        <v>1656</v>
      </c>
      <c r="U46" s="92">
        <v>75.6875305</v>
      </c>
      <c r="V46" s="92">
        <v>77.9866738</v>
      </c>
      <c r="W46" s="92">
        <v>31.1577939</v>
      </c>
      <c r="X46" s="92">
        <v>42.2831626</v>
      </c>
      <c r="Y46" s="92">
        <v>40.5917211</v>
      </c>
      <c r="Z46" s="92">
        <v>54.8310615</v>
      </c>
      <c r="AA46" s="92">
        <v>29.977538</v>
      </c>
      <c r="AB46" s="99">
        <v>54.479059</v>
      </c>
      <c r="AC46" s="99">
        <v>0.370327</v>
      </c>
      <c r="AE46" s="77" t="str">
        <f t="shared" si="16"/>
        <v>·</v>
      </c>
      <c r="AF46" s="78" t="str">
        <f t="shared" si="17"/>
        <v>·</v>
      </c>
      <c r="AG46" s="60" t="str">
        <f t="shared" si="18"/>
        <v>.</v>
      </c>
      <c r="AH46" s="60" t="str">
        <f t="shared" si="19"/>
        <v>.</v>
      </c>
      <c r="AI46" s="79"/>
      <c r="AJ46" s="80"/>
      <c r="AK46" s="80"/>
      <c r="AL46" s="80"/>
      <c r="AM46" s="80"/>
      <c r="AN46" s="80"/>
      <c r="AO46" s="80"/>
      <c r="AP46" s="92"/>
      <c r="AQ46" s="92"/>
      <c r="AR46" s="92"/>
      <c r="AS46" s="92"/>
      <c r="AT46" s="92"/>
      <c r="AU46" s="92"/>
      <c r="AV46" s="92"/>
      <c r="AW46" s="99"/>
      <c r="AX46" s="99"/>
      <c r="AZ46" s="19"/>
      <c r="BA46" s="19"/>
      <c r="BB46" s="19"/>
      <c r="BC46" s="19"/>
      <c r="BD46" s="19"/>
      <c r="BE46" s="19"/>
      <c r="BF46" s="19"/>
      <c r="BH46" s="114"/>
      <c r="BI46" s="114"/>
      <c r="BJ46" s="114"/>
      <c r="BK46" s="114"/>
      <c r="BL46" s="114"/>
      <c r="BM46" s="114"/>
      <c r="BN46" s="114"/>
      <c r="BP46" s="19">
        <f t="shared" si="20"/>
        <v>0</v>
      </c>
      <c r="BQ46" s="19">
        <f t="shared" si="21"/>
        <v>0</v>
      </c>
      <c r="BR46" s="19">
        <f t="shared" si="22"/>
        <v>0</v>
      </c>
      <c r="BS46" s="19">
        <f t="shared" si="23"/>
        <v>0</v>
      </c>
      <c r="BT46" s="19">
        <f t="shared" si="24"/>
        <v>0</v>
      </c>
    </row>
    <row r="47" ht="15" customHeight="1" outlineLevel="1" spans="1:72">
      <c r="A47" s="56"/>
      <c r="B47" s="56" t="s">
        <v>34</v>
      </c>
      <c r="C47" s="57" t="s">
        <v>434</v>
      </c>
      <c r="D47" s="56">
        <v>199984</v>
      </c>
      <c r="E47" s="58">
        <v>10</v>
      </c>
      <c r="F47" s="57">
        <v>1</v>
      </c>
      <c r="G47" s="57">
        <v>30</v>
      </c>
      <c r="H47" s="57">
        <v>12</v>
      </c>
      <c r="J47" s="73">
        <f t="shared" si="12"/>
        <v>10.70928</v>
      </c>
      <c r="K47" s="74">
        <f t="shared" si="13"/>
        <v>1.78502280182415</v>
      </c>
      <c r="L47" s="57">
        <f t="shared" si="14"/>
        <v>356976</v>
      </c>
      <c r="M47" s="57">
        <f t="shared" si="15"/>
        <v>81536</v>
      </c>
      <c r="N47" s="75">
        <v>307200</v>
      </c>
      <c r="O47" s="76">
        <v>356976</v>
      </c>
      <c r="P47" s="76">
        <v>66592</v>
      </c>
      <c r="Q47" s="76">
        <v>0</v>
      </c>
      <c r="R47" s="76">
        <v>14944</v>
      </c>
      <c r="S47" s="76">
        <v>273784</v>
      </c>
      <c r="T47" s="76">
        <v>1656</v>
      </c>
      <c r="U47" s="91">
        <v>77.2881027</v>
      </c>
      <c r="V47" s="91">
        <v>79.9297901</v>
      </c>
      <c r="W47" s="91">
        <v>31.7514739</v>
      </c>
      <c r="X47" s="91">
        <v>44.3194516</v>
      </c>
      <c r="Y47" s="91">
        <v>43.1361816</v>
      </c>
      <c r="Z47" s="91">
        <v>55.7650285</v>
      </c>
      <c r="AA47" s="91">
        <v>31.127217</v>
      </c>
      <c r="AB47" s="98">
        <v>187.92705</v>
      </c>
      <c r="AC47" s="98">
        <v>1.981479</v>
      </c>
      <c r="AE47" s="73" t="str">
        <f t="shared" si="16"/>
        <v>·</v>
      </c>
      <c r="AF47" s="74" t="str">
        <f t="shared" si="17"/>
        <v>·</v>
      </c>
      <c r="AG47" s="57" t="str">
        <f t="shared" si="18"/>
        <v>.</v>
      </c>
      <c r="AH47" s="57" t="str">
        <f t="shared" si="19"/>
        <v>.</v>
      </c>
      <c r="AI47" s="75"/>
      <c r="AJ47" s="76"/>
      <c r="AK47" s="76"/>
      <c r="AL47" s="76"/>
      <c r="AM47" s="76"/>
      <c r="AN47" s="76"/>
      <c r="AO47" s="76"/>
      <c r="AP47" s="91"/>
      <c r="AQ47" s="91"/>
      <c r="AR47" s="91"/>
      <c r="AS47" s="91"/>
      <c r="AT47" s="91"/>
      <c r="AU47" s="91"/>
      <c r="AV47" s="91"/>
      <c r="AW47" s="98"/>
      <c r="AX47" s="98"/>
      <c r="AZ47" s="15"/>
      <c r="BA47" s="15"/>
      <c r="BB47" s="15"/>
      <c r="BC47" s="15"/>
      <c r="BD47" s="15"/>
      <c r="BE47" s="15"/>
      <c r="BF47" s="15"/>
      <c r="BH47" s="115"/>
      <c r="BI47" s="115"/>
      <c r="BJ47" s="115"/>
      <c r="BK47" s="115"/>
      <c r="BL47" s="115"/>
      <c r="BM47" s="115"/>
      <c r="BN47" s="115"/>
      <c r="BP47" s="15">
        <f t="shared" si="20"/>
        <v>0</v>
      </c>
      <c r="BQ47" s="15">
        <f t="shared" si="21"/>
        <v>0</v>
      </c>
      <c r="BR47" s="15">
        <f t="shared" si="22"/>
        <v>0</v>
      </c>
      <c r="BS47" s="15">
        <f t="shared" si="23"/>
        <v>0</v>
      </c>
      <c r="BT47" s="15">
        <f t="shared" si="24"/>
        <v>0</v>
      </c>
    </row>
    <row r="48" ht="15" customHeight="1" outlineLevel="1" spans="1:72">
      <c r="A48" s="59"/>
      <c r="B48" s="59" t="s">
        <v>34</v>
      </c>
      <c r="C48" s="60" t="s">
        <v>435</v>
      </c>
      <c r="D48" s="59">
        <v>199984</v>
      </c>
      <c r="E48" s="61">
        <v>10</v>
      </c>
      <c r="F48" s="60">
        <v>1</v>
      </c>
      <c r="G48" s="60">
        <v>30</v>
      </c>
      <c r="H48" s="60">
        <v>15</v>
      </c>
      <c r="J48" s="77">
        <f t="shared" si="12"/>
        <v>14.26488</v>
      </c>
      <c r="K48" s="78">
        <f t="shared" si="13"/>
        <v>2.37767021361709</v>
      </c>
      <c r="L48" s="60">
        <f t="shared" si="14"/>
        <v>475496</v>
      </c>
      <c r="M48" s="60">
        <f t="shared" si="15"/>
        <v>90760</v>
      </c>
      <c r="N48" s="79">
        <v>307200</v>
      </c>
      <c r="O48" s="80">
        <v>475496</v>
      </c>
      <c r="P48" s="80">
        <v>66592</v>
      </c>
      <c r="Q48" s="80">
        <v>0</v>
      </c>
      <c r="R48" s="80">
        <v>24168</v>
      </c>
      <c r="S48" s="80">
        <v>383064</v>
      </c>
      <c r="T48" s="80">
        <v>1672</v>
      </c>
      <c r="U48" s="92">
        <v>78.6877531</v>
      </c>
      <c r="V48" s="92">
        <v>81.8125401</v>
      </c>
      <c r="W48" s="92">
        <v>32.3061052</v>
      </c>
      <c r="X48" s="92">
        <v>44.6266172</v>
      </c>
      <c r="Y48" s="92">
        <v>43.6057405</v>
      </c>
      <c r="Z48" s="92">
        <v>56.752283</v>
      </c>
      <c r="AA48" s="92">
        <v>31.7123879</v>
      </c>
      <c r="AB48" s="99">
        <v>206.893753</v>
      </c>
      <c r="AC48" s="99">
        <v>2.01161</v>
      </c>
      <c r="AE48" s="77" t="str">
        <f t="shared" si="16"/>
        <v>·</v>
      </c>
      <c r="AF48" s="78" t="str">
        <f t="shared" si="17"/>
        <v>·</v>
      </c>
      <c r="AG48" s="60" t="str">
        <f t="shared" si="18"/>
        <v>.</v>
      </c>
      <c r="AH48" s="60" t="str">
        <f t="shared" si="19"/>
        <v>.</v>
      </c>
      <c r="AI48" s="79"/>
      <c r="AJ48" s="80"/>
      <c r="AK48" s="80"/>
      <c r="AL48" s="80"/>
      <c r="AM48" s="80"/>
      <c r="AN48" s="80"/>
      <c r="AO48" s="80"/>
      <c r="AP48" s="92"/>
      <c r="AQ48" s="92"/>
      <c r="AR48" s="92"/>
      <c r="AS48" s="92"/>
      <c r="AT48" s="92"/>
      <c r="AU48" s="92"/>
      <c r="AV48" s="92"/>
      <c r="AW48" s="99"/>
      <c r="AX48" s="99"/>
      <c r="AZ48" s="19"/>
      <c r="BA48" s="19"/>
      <c r="BB48" s="19"/>
      <c r="BC48" s="19"/>
      <c r="BD48" s="19"/>
      <c r="BE48" s="19"/>
      <c r="BF48" s="19"/>
      <c r="BH48" s="114"/>
      <c r="BI48" s="114"/>
      <c r="BJ48" s="114"/>
      <c r="BK48" s="114"/>
      <c r="BL48" s="114"/>
      <c r="BM48" s="114"/>
      <c r="BN48" s="114"/>
      <c r="BP48" s="19">
        <f t="shared" si="20"/>
        <v>0</v>
      </c>
      <c r="BQ48" s="19">
        <f t="shared" si="21"/>
        <v>0</v>
      </c>
      <c r="BR48" s="19">
        <f t="shared" si="22"/>
        <v>0</v>
      </c>
      <c r="BS48" s="19">
        <f t="shared" si="23"/>
        <v>0</v>
      </c>
      <c r="BT48" s="19">
        <f t="shared" si="24"/>
        <v>0</v>
      </c>
    </row>
    <row r="49" ht="15.75" customHeight="1" outlineLevel="1" spans="1:72">
      <c r="A49" s="62"/>
      <c r="B49" s="62" t="s">
        <v>34</v>
      </c>
      <c r="C49" s="63" t="s">
        <v>436</v>
      </c>
      <c r="D49" s="62">
        <v>199984</v>
      </c>
      <c r="E49" s="64">
        <v>10</v>
      </c>
      <c r="F49" s="63">
        <v>1</v>
      </c>
      <c r="G49" s="63">
        <v>30</v>
      </c>
      <c r="H49" s="63">
        <v>22</v>
      </c>
      <c r="J49" s="81">
        <f t="shared" si="12"/>
        <v>22.33416</v>
      </c>
      <c r="K49" s="82">
        <f t="shared" si="13"/>
        <v>3.72265781262501</v>
      </c>
      <c r="L49" s="63">
        <f t="shared" si="14"/>
        <v>744472</v>
      </c>
      <c r="M49" s="63">
        <f t="shared" si="15"/>
        <v>147416</v>
      </c>
      <c r="N49" s="83">
        <v>614272</v>
      </c>
      <c r="O49" s="84">
        <v>744472</v>
      </c>
      <c r="P49" s="84">
        <v>118952</v>
      </c>
      <c r="Q49" s="84">
        <v>0</v>
      </c>
      <c r="R49" s="84">
        <v>28464</v>
      </c>
      <c r="S49" s="84">
        <v>595352</v>
      </c>
      <c r="T49" s="84">
        <v>1704</v>
      </c>
      <c r="U49" s="93">
        <v>80.4058053</v>
      </c>
      <c r="V49" s="93">
        <v>84.4587353</v>
      </c>
      <c r="W49" s="93">
        <v>33.1278634</v>
      </c>
      <c r="X49" s="93">
        <v>45.2935165</v>
      </c>
      <c r="Y49" s="93">
        <v>44.3818292</v>
      </c>
      <c r="Z49" s="93">
        <v>57.884126</v>
      </c>
      <c r="AA49" s="93">
        <v>32.596453</v>
      </c>
      <c r="AB49" s="100">
        <v>227.319005</v>
      </c>
      <c r="AC49" s="100">
        <v>2.514387</v>
      </c>
      <c r="AE49" s="81" t="str">
        <f t="shared" si="16"/>
        <v>·</v>
      </c>
      <c r="AF49" s="82" t="str">
        <f t="shared" si="17"/>
        <v>·</v>
      </c>
      <c r="AG49" s="63" t="str">
        <f t="shared" si="18"/>
        <v>.</v>
      </c>
      <c r="AH49" s="63" t="str">
        <f t="shared" si="19"/>
        <v>.</v>
      </c>
      <c r="AI49" s="83"/>
      <c r="AJ49" s="84"/>
      <c r="AK49" s="84"/>
      <c r="AL49" s="84"/>
      <c r="AM49" s="84"/>
      <c r="AN49" s="84"/>
      <c r="AO49" s="84"/>
      <c r="AP49" s="93"/>
      <c r="AQ49" s="93"/>
      <c r="AR49" s="93"/>
      <c r="AS49" s="93"/>
      <c r="AT49" s="93"/>
      <c r="AU49" s="93"/>
      <c r="AV49" s="93"/>
      <c r="AW49" s="100"/>
      <c r="AX49" s="100"/>
      <c r="AZ49" s="110"/>
      <c r="BA49" s="110"/>
      <c r="BB49" s="110"/>
      <c r="BC49" s="110"/>
      <c r="BD49" s="110"/>
      <c r="BE49" s="110"/>
      <c r="BF49" s="110"/>
      <c r="BH49" s="116"/>
      <c r="BI49" s="116"/>
      <c r="BJ49" s="116"/>
      <c r="BK49" s="116"/>
      <c r="BL49" s="116"/>
      <c r="BM49" s="116"/>
      <c r="BN49" s="116"/>
      <c r="BP49" s="110">
        <f t="shared" si="20"/>
        <v>0</v>
      </c>
      <c r="BQ49" s="110">
        <f t="shared" si="21"/>
        <v>0</v>
      </c>
      <c r="BR49" s="110">
        <f t="shared" si="22"/>
        <v>0</v>
      </c>
      <c r="BS49" s="110">
        <f t="shared" si="23"/>
        <v>0</v>
      </c>
      <c r="BT49" s="110">
        <f t="shared" si="24"/>
        <v>0</v>
      </c>
    </row>
    <row r="50" spans="2:72">
      <c r="B50" s="68" t="s">
        <v>8</v>
      </c>
      <c r="K50" s="89">
        <f>AVERAGE(K5:K14)</f>
        <v>12.6102968307953</v>
      </c>
      <c r="L50" s="89"/>
      <c r="M50" s="89"/>
      <c r="AF50" s="89" t="e">
        <f>AVERAGE(AF5:AF14)</f>
        <v>#DIV/0!</v>
      </c>
      <c r="AG50" s="89"/>
      <c r="AH50" s="89"/>
      <c r="AZ50" s="111" t="e">
        <f t="shared" ref="AZ50:BF50" si="25">AVERAGE(AZ5:AZ14)</f>
        <v>#DIV/0!</v>
      </c>
      <c r="BA50" s="111" t="e">
        <f t="shared" si="25"/>
        <v>#DIV/0!</v>
      </c>
      <c r="BB50" s="111" t="e">
        <f t="shared" si="25"/>
        <v>#DIV/0!</v>
      </c>
      <c r="BC50" s="111" t="e">
        <f t="shared" si="25"/>
        <v>#DIV/0!</v>
      </c>
      <c r="BD50" s="111" t="e">
        <f t="shared" si="25"/>
        <v>#DIV/0!</v>
      </c>
      <c r="BE50" s="111" t="e">
        <f t="shared" si="25"/>
        <v>#DIV/0!</v>
      </c>
      <c r="BF50" s="111" t="e">
        <f t="shared" si="25"/>
        <v>#DIV/0!</v>
      </c>
      <c r="BH50" s="111" t="e">
        <f t="shared" ref="BH50:BN50" si="26">AVERAGE(BH5:BH14)</f>
        <v>#DIV/0!</v>
      </c>
      <c r="BI50" s="111" t="e">
        <f t="shared" si="26"/>
        <v>#DIV/0!</v>
      </c>
      <c r="BJ50" s="111" t="e">
        <f t="shared" si="26"/>
        <v>#DIV/0!</v>
      </c>
      <c r="BK50" s="111" t="e">
        <f t="shared" si="26"/>
        <v>#DIV/0!</v>
      </c>
      <c r="BL50" s="111" t="e">
        <f t="shared" si="26"/>
        <v>#DIV/0!</v>
      </c>
      <c r="BM50" s="111" t="e">
        <f t="shared" si="26"/>
        <v>#DIV/0!</v>
      </c>
      <c r="BN50" s="111" t="e">
        <f t="shared" si="26"/>
        <v>#DIV/0!</v>
      </c>
      <c r="BP50" s="111">
        <f>AVERAGE(BP5:BP14)</f>
        <v>0</v>
      </c>
      <c r="BQ50" s="111">
        <f>AVERAGE(BQ5:BQ14)</f>
        <v>0</v>
      </c>
      <c r="BR50" s="111">
        <f>AVERAGE(BR5:BR14)</f>
        <v>0</v>
      </c>
      <c r="BS50" s="111">
        <f>AVERAGE(BS5:BS14)</f>
        <v>0</v>
      </c>
      <c r="BT50" s="111">
        <f>AVERAGE(BT5:BT14)</f>
        <v>0</v>
      </c>
    </row>
    <row r="51" spans="2:72">
      <c r="B51" s="68" t="s">
        <v>9</v>
      </c>
      <c r="K51" s="89">
        <f>AVERAGE(K15:K24)</f>
        <v>9.01544656955527</v>
      </c>
      <c r="L51" s="89"/>
      <c r="M51" s="89"/>
      <c r="AF51" s="89" t="e">
        <f>AVERAGE(AF15:AF24)</f>
        <v>#DIV/0!</v>
      </c>
      <c r="AG51" s="89"/>
      <c r="AH51" s="89"/>
      <c r="AZ51" s="111" t="e">
        <f t="shared" ref="AZ51:BF51" si="27">AVERAGE(AZ15:AZ24)</f>
        <v>#DIV/0!</v>
      </c>
      <c r="BA51" s="111" t="e">
        <f t="shared" si="27"/>
        <v>#DIV/0!</v>
      </c>
      <c r="BB51" s="111" t="e">
        <f t="shared" si="27"/>
        <v>#DIV/0!</v>
      </c>
      <c r="BC51" s="111" t="e">
        <f t="shared" si="27"/>
        <v>#DIV/0!</v>
      </c>
      <c r="BD51" s="111" t="e">
        <f t="shared" si="27"/>
        <v>#DIV/0!</v>
      </c>
      <c r="BE51" s="111" t="e">
        <f t="shared" si="27"/>
        <v>#DIV/0!</v>
      </c>
      <c r="BF51" s="111" t="e">
        <f t="shared" si="27"/>
        <v>#DIV/0!</v>
      </c>
      <c r="BH51" s="111" t="e">
        <f t="shared" ref="BH51:BN51" si="28">AVERAGE(BH15:BH24)</f>
        <v>#DIV/0!</v>
      </c>
      <c r="BI51" s="111" t="e">
        <f t="shared" si="28"/>
        <v>#DIV/0!</v>
      </c>
      <c r="BJ51" s="111" t="e">
        <f t="shared" si="28"/>
        <v>#DIV/0!</v>
      </c>
      <c r="BK51" s="111" t="e">
        <f t="shared" si="28"/>
        <v>#DIV/0!</v>
      </c>
      <c r="BL51" s="111" t="e">
        <f t="shared" si="28"/>
        <v>#DIV/0!</v>
      </c>
      <c r="BM51" s="111" t="e">
        <f t="shared" si="28"/>
        <v>#DIV/0!</v>
      </c>
      <c r="BN51" s="111" t="e">
        <f t="shared" si="28"/>
        <v>#DIV/0!</v>
      </c>
      <c r="BP51" s="111">
        <f>AVERAGE(BP15:BP24)</f>
        <v>0</v>
      </c>
      <c r="BQ51" s="111">
        <f>AVERAGE(BQ15:BQ24)</f>
        <v>0</v>
      </c>
      <c r="BR51" s="111">
        <f>AVERAGE(BR15:BR24)</f>
        <v>0</v>
      </c>
      <c r="BS51" s="111">
        <f>AVERAGE(BS15:BS24)</f>
        <v>0</v>
      </c>
      <c r="BT51" s="111">
        <f>AVERAGE(BT15:BT24)</f>
        <v>0</v>
      </c>
    </row>
    <row r="52" spans="2:72">
      <c r="B52" s="68" t="s">
        <v>10</v>
      </c>
      <c r="K52" s="89">
        <f>AVERAGE(K25:K44)</f>
        <v>12.5836078792727</v>
      </c>
      <c r="L52" s="89"/>
      <c r="M52" s="89"/>
      <c r="AF52" s="89" t="e">
        <f>AVERAGE(AF25:AF44)</f>
        <v>#DIV/0!</v>
      </c>
      <c r="AG52" s="89"/>
      <c r="AH52" s="89"/>
      <c r="AZ52" s="111" t="e">
        <f t="shared" ref="AZ52:BF52" si="29">AVERAGE(AZ25:AZ44)</f>
        <v>#DIV/0!</v>
      </c>
      <c r="BA52" s="111" t="e">
        <f t="shared" si="29"/>
        <v>#DIV/0!</v>
      </c>
      <c r="BB52" s="111" t="e">
        <f t="shared" si="29"/>
        <v>#DIV/0!</v>
      </c>
      <c r="BC52" s="111" t="e">
        <f t="shared" si="29"/>
        <v>#DIV/0!</v>
      </c>
      <c r="BD52" s="111" t="e">
        <f t="shared" si="29"/>
        <v>#DIV/0!</v>
      </c>
      <c r="BE52" s="111" t="e">
        <f t="shared" si="29"/>
        <v>#DIV/0!</v>
      </c>
      <c r="BF52" s="111" t="e">
        <f t="shared" si="29"/>
        <v>#DIV/0!</v>
      </c>
      <c r="BH52" s="111" t="e">
        <f t="shared" ref="BH52:BN52" si="30">AVERAGE(BH25:BH44)</f>
        <v>#DIV/0!</v>
      </c>
      <c r="BI52" s="111" t="e">
        <f t="shared" si="30"/>
        <v>#DIV/0!</v>
      </c>
      <c r="BJ52" s="111" t="e">
        <f t="shared" si="30"/>
        <v>#DIV/0!</v>
      </c>
      <c r="BK52" s="111" t="e">
        <f t="shared" si="30"/>
        <v>#DIV/0!</v>
      </c>
      <c r="BL52" s="111" t="e">
        <f t="shared" si="30"/>
        <v>#DIV/0!</v>
      </c>
      <c r="BM52" s="111" t="e">
        <f t="shared" si="30"/>
        <v>#DIV/0!</v>
      </c>
      <c r="BN52" s="111" t="e">
        <f t="shared" si="30"/>
        <v>#DIV/0!</v>
      </c>
      <c r="BP52" s="111">
        <f>AVERAGE(BP25:BP44)</f>
        <v>0</v>
      </c>
      <c r="BQ52" s="111">
        <f>AVERAGE(BQ25:BQ44)</f>
        <v>0</v>
      </c>
      <c r="BR52" s="111">
        <f>AVERAGE(BR25:BR44)</f>
        <v>0</v>
      </c>
      <c r="BS52" s="111">
        <f>AVERAGE(BS25:BS44)</f>
        <v>0</v>
      </c>
      <c r="BT52" s="111">
        <f>AVERAGE(BT25:BT44)</f>
        <v>0</v>
      </c>
    </row>
    <row r="53" spans="2:72">
      <c r="B53" s="68" t="s">
        <v>11</v>
      </c>
      <c r="K53" s="89">
        <f>AVERAGE(K45:K49)</f>
        <v>1.93392271381711</v>
      </c>
      <c r="L53" s="89"/>
      <c r="M53" s="89"/>
      <c r="AF53" s="89" t="e">
        <f>AVERAGE(AF45:AF49)</f>
        <v>#DIV/0!</v>
      </c>
      <c r="AG53" s="89"/>
      <c r="AH53" s="89"/>
      <c r="AZ53" s="111" t="e">
        <f>AVERAGE(AZ45:AZ49)</f>
        <v>#DIV/0!</v>
      </c>
      <c r="BA53" s="111" t="e">
        <f t="shared" ref="BA53:BN53" si="31">AVERAGE(BA45:BA49)</f>
        <v>#DIV/0!</v>
      </c>
      <c r="BB53" s="111" t="e">
        <f t="shared" si="31"/>
        <v>#DIV/0!</v>
      </c>
      <c r="BC53" s="111" t="e">
        <f t="shared" si="31"/>
        <v>#DIV/0!</v>
      </c>
      <c r="BD53" s="111" t="e">
        <f t="shared" si="31"/>
        <v>#DIV/0!</v>
      </c>
      <c r="BE53" s="111" t="e">
        <f t="shared" si="31"/>
        <v>#DIV/0!</v>
      </c>
      <c r="BF53" s="111" t="e">
        <f t="shared" si="31"/>
        <v>#DIV/0!</v>
      </c>
      <c r="BG53" s="111"/>
      <c r="BH53" s="111" t="e">
        <f t="shared" si="31"/>
        <v>#DIV/0!</v>
      </c>
      <c r="BI53" s="111" t="e">
        <f t="shared" si="31"/>
        <v>#DIV/0!</v>
      </c>
      <c r="BJ53" s="111" t="e">
        <f t="shared" si="31"/>
        <v>#DIV/0!</v>
      </c>
      <c r="BK53" s="111" t="e">
        <f t="shared" si="31"/>
        <v>#DIV/0!</v>
      </c>
      <c r="BL53" s="111" t="e">
        <f t="shared" si="31"/>
        <v>#DIV/0!</v>
      </c>
      <c r="BM53" s="111" t="e">
        <f t="shared" si="31"/>
        <v>#DIV/0!</v>
      </c>
      <c r="BN53" s="111" t="e">
        <f t="shared" si="31"/>
        <v>#DIV/0!</v>
      </c>
      <c r="BP53" s="111">
        <f>AVERAGE(BP45:BP49)</f>
        <v>0</v>
      </c>
      <c r="BQ53" s="111">
        <f t="shared" ref="BQ53:BT53" si="32">AVERAGE(BQ45:BQ49)</f>
        <v>0</v>
      </c>
      <c r="BR53" s="111">
        <f t="shared" si="32"/>
        <v>0</v>
      </c>
      <c r="BS53" s="111">
        <f t="shared" si="32"/>
        <v>0</v>
      </c>
      <c r="BT53" s="111">
        <f t="shared" si="32"/>
        <v>0</v>
      </c>
    </row>
    <row r="54" spans="2:72">
      <c r="B54" s="68" t="s">
        <v>12</v>
      </c>
      <c r="K54" s="89">
        <f>AVERAGE(K5:K49)</f>
        <v>10.6133156701788</v>
      </c>
      <c r="L54" s="89"/>
      <c r="M54" s="89"/>
      <c r="AF54" s="89" t="e">
        <f>AVERAGE(AF5:AF49)</f>
        <v>#DIV/0!</v>
      </c>
      <c r="AG54" s="89"/>
      <c r="AH54" s="89"/>
      <c r="AJ54" s="96"/>
      <c r="AK54" s="96"/>
      <c r="AZ54" s="111" t="e">
        <f t="shared" ref="AZ54:BF54" si="33">AVERAGE(AZ5:AZ49)</f>
        <v>#DIV/0!</v>
      </c>
      <c r="BA54" s="111" t="e">
        <f t="shared" si="33"/>
        <v>#DIV/0!</v>
      </c>
      <c r="BB54" s="111" t="e">
        <f t="shared" si="33"/>
        <v>#DIV/0!</v>
      </c>
      <c r="BC54" s="111" t="e">
        <f t="shared" si="33"/>
        <v>#DIV/0!</v>
      </c>
      <c r="BD54" s="111" t="e">
        <f t="shared" si="33"/>
        <v>#DIV/0!</v>
      </c>
      <c r="BE54" s="111" t="e">
        <f t="shared" si="33"/>
        <v>#DIV/0!</v>
      </c>
      <c r="BF54" s="111" t="e">
        <f t="shared" si="33"/>
        <v>#DIV/0!</v>
      </c>
      <c r="BH54" s="111" t="e">
        <f t="shared" ref="BH54:BN54" si="34">AVERAGE(BH5:BH49)</f>
        <v>#DIV/0!</v>
      </c>
      <c r="BI54" s="111" t="e">
        <f t="shared" si="34"/>
        <v>#DIV/0!</v>
      </c>
      <c r="BJ54" s="111" t="e">
        <f t="shared" si="34"/>
        <v>#DIV/0!</v>
      </c>
      <c r="BK54" s="111" t="e">
        <f t="shared" si="34"/>
        <v>#DIV/0!</v>
      </c>
      <c r="BL54" s="111" t="e">
        <f t="shared" si="34"/>
        <v>#DIV/0!</v>
      </c>
      <c r="BM54" s="111" t="e">
        <f t="shared" si="34"/>
        <v>#DIV/0!</v>
      </c>
      <c r="BN54" s="111" t="e">
        <f t="shared" si="34"/>
        <v>#DIV/0!</v>
      </c>
      <c r="BP54" s="111">
        <f>AVERAGE(BP5:BP49)</f>
        <v>0</v>
      </c>
      <c r="BQ54" s="111">
        <f t="shared" ref="BQ54:BT54" si="35">AVERAGE(BQ5:BQ49)</f>
        <v>0</v>
      </c>
      <c r="BR54" s="111">
        <f t="shared" si="35"/>
        <v>0</v>
      </c>
      <c r="BS54" s="111">
        <f t="shared" si="35"/>
        <v>0</v>
      </c>
      <c r="BT54" s="111">
        <f t="shared" si="35"/>
        <v>0</v>
      </c>
    </row>
    <row r="55" spans="1:50">
      <c r="A55" s="68" t="s">
        <v>193</v>
      </c>
      <c r="B55" s="68" t="s">
        <v>194</v>
      </c>
      <c r="AB55" s="102">
        <f>SUM(AB5:AB14,AB15:AB24,AB25:AB44,AB45:AB49)</f>
        <v>1101704.620754</v>
      </c>
      <c r="AC55" s="102">
        <f>SUM(AC5:AC14,AC15:AC24,AC25:AC44,AC45:AC49)</f>
        <v>12586.915584</v>
      </c>
      <c r="AW55" s="102">
        <f>SUM(AW5:AW14,AW15:AW24,AW25:AW44,AW45:AW49)</f>
        <v>0</v>
      </c>
      <c r="AX55" s="102">
        <f>SUM(AX5:AX14,AX15:AX24,AX25:AX44,AX45:AX49)</f>
        <v>0</v>
      </c>
    </row>
    <row r="56" spans="2:50">
      <c r="B56" s="68" t="s">
        <v>195</v>
      </c>
      <c r="AW56" s="112">
        <f>AW55/AB55</f>
        <v>0</v>
      </c>
      <c r="AX56" s="112">
        <f>AX55/AC55</f>
        <v>0</v>
      </c>
    </row>
    <row r="59" ht="15.75" customHeight="1"/>
    <row r="60" spans="33:48">
      <c r="AG60" s="104" t="e">
        <f t="shared" ref="AG60:AG98" si="36">AG5-L5</f>
        <v>#VALUE!</v>
      </c>
      <c r="AH60" s="104" t="e">
        <f t="shared" ref="AH60:AH98" si="37">AH5-M5</f>
        <v>#VALUE!</v>
      </c>
      <c r="AI60" s="104">
        <f t="shared" ref="AI60:AI98" si="38">AI5-N5</f>
        <v>-22725696</v>
      </c>
      <c r="AJ60" s="104">
        <f t="shared" ref="AJ60:AJ98" si="39">AJ5-O5</f>
        <v>-51818344</v>
      </c>
      <c r="AK60" s="104">
        <f t="shared" ref="AK60:AK98" si="40">AK5-P5</f>
        <v>-7878072</v>
      </c>
      <c r="AL60" s="104">
        <f t="shared" ref="AL60:AL98" si="41">AL5-Q5</f>
        <v>0</v>
      </c>
      <c r="AM60" s="104">
        <f t="shared" ref="AM60:AM98" si="42">AM5-R5</f>
        <v>-7608256</v>
      </c>
      <c r="AN60" s="104">
        <f t="shared" ref="AN60:AN98" si="43">AN5-S5</f>
        <v>-36191936</v>
      </c>
      <c r="AO60" s="104">
        <f t="shared" ref="AO60:AO98" si="44">AO5-T5</f>
        <v>-140080</v>
      </c>
      <c r="AP60" s="104">
        <f t="shared" ref="AP60:AP98" si="45">AP5-U5</f>
        <v>-69.9250301</v>
      </c>
      <c r="AQ60" s="106">
        <f t="shared" ref="AQ60:AQ98" si="46">AQ5-V5</f>
        <v>-71.1582218</v>
      </c>
      <c r="AR60" s="106">
        <f t="shared" ref="AR60:AR98" si="47">AR5-W5</f>
        <v>-28.8263672</v>
      </c>
      <c r="AS60" s="106">
        <f t="shared" ref="AS60:AS98" si="48">AS5-X5</f>
        <v>-33.8884644</v>
      </c>
      <c r="AT60" s="106">
        <f t="shared" ref="AT60:AT98" si="49">AT5-Y5</f>
        <v>-33.3320823</v>
      </c>
      <c r="AU60" s="106">
        <f t="shared" ref="AU60:AU98" si="50">AU5-Z5</f>
        <v>-48.876095</v>
      </c>
      <c r="AV60" s="107">
        <f t="shared" ref="AV60:AV98" si="51">AV5-AA5</f>
        <v>-27.4999681</v>
      </c>
    </row>
    <row r="61" spans="33:48">
      <c r="AG61" s="105" t="e">
        <f t="shared" si="36"/>
        <v>#VALUE!</v>
      </c>
      <c r="AH61" s="105" t="e">
        <f t="shared" si="37"/>
        <v>#VALUE!</v>
      </c>
      <c r="AI61" s="105">
        <f t="shared" si="38"/>
        <v>-22725696</v>
      </c>
      <c r="AJ61" s="105">
        <f t="shared" si="39"/>
        <v>-95313360</v>
      </c>
      <c r="AK61" s="105">
        <f t="shared" si="40"/>
        <v>-8511736</v>
      </c>
      <c r="AL61" s="105">
        <f t="shared" si="41"/>
        <v>0</v>
      </c>
      <c r="AM61" s="105">
        <f t="shared" si="42"/>
        <v>-9471608</v>
      </c>
      <c r="AN61" s="105">
        <f t="shared" si="43"/>
        <v>-77191984</v>
      </c>
      <c r="AO61" s="105">
        <f t="shared" si="44"/>
        <v>-138032</v>
      </c>
      <c r="AP61" s="105">
        <f t="shared" si="45"/>
        <v>-70.5938041</v>
      </c>
      <c r="AQ61" s="108">
        <f t="shared" si="46"/>
        <v>-71.9174064</v>
      </c>
      <c r="AR61" s="108">
        <f t="shared" si="47"/>
        <v>-31.5752352</v>
      </c>
      <c r="AS61" s="108">
        <f t="shared" si="48"/>
        <v>-35.1062028</v>
      </c>
      <c r="AT61" s="108">
        <f t="shared" si="49"/>
        <v>-34.6612372</v>
      </c>
      <c r="AU61" s="108">
        <f t="shared" si="50"/>
        <v>-49.1928502</v>
      </c>
      <c r="AV61" s="109">
        <f t="shared" si="51"/>
        <v>-29.1133901</v>
      </c>
    </row>
    <row r="62" spans="33:48">
      <c r="AG62" s="105" t="e">
        <f t="shared" si="36"/>
        <v>#VALUE!</v>
      </c>
      <c r="AH62" s="105" t="e">
        <f t="shared" si="37"/>
        <v>#VALUE!</v>
      </c>
      <c r="AI62" s="105">
        <f t="shared" si="38"/>
        <v>-45556032</v>
      </c>
      <c r="AJ62" s="105">
        <f t="shared" si="39"/>
        <v>-128425016</v>
      </c>
      <c r="AK62" s="105">
        <f t="shared" si="40"/>
        <v>-12320704</v>
      </c>
      <c r="AL62" s="105">
        <f t="shared" si="41"/>
        <v>0</v>
      </c>
      <c r="AM62" s="105">
        <f t="shared" si="42"/>
        <v>-7144296</v>
      </c>
      <c r="AN62" s="105">
        <f t="shared" si="43"/>
        <v>-108821592</v>
      </c>
      <c r="AO62" s="105">
        <f t="shared" si="44"/>
        <v>-138424</v>
      </c>
      <c r="AP62" s="105">
        <f t="shared" si="45"/>
        <v>-71.7771357</v>
      </c>
      <c r="AQ62" s="108">
        <f t="shared" si="46"/>
        <v>-73.2907453</v>
      </c>
      <c r="AR62" s="108">
        <f t="shared" si="47"/>
        <v>-32.6896701</v>
      </c>
      <c r="AS62" s="108">
        <f t="shared" si="48"/>
        <v>-36.9021952</v>
      </c>
      <c r="AT62" s="108">
        <f t="shared" si="49"/>
        <v>-36.6308561</v>
      </c>
      <c r="AU62" s="108">
        <f t="shared" si="50"/>
        <v>-49.9799646</v>
      </c>
      <c r="AV62" s="109">
        <f t="shared" si="51"/>
        <v>-30.3206591</v>
      </c>
    </row>
    <row r="63" spans="33:48">
      <c r="AG63" s="105" t="e">
        <f t="shared" si="36"/>
        <v>#VALUE!</v>
      </c>
      <c r="AH63" s="105" t="e">
        <f t="shared" si="37"/>
        <v>#VALUE!</v>
      </c>
      <c r="AI63" s="105">
        <f t="shared" si="38"/>
        <v>-45556032</v>
      </c>
      <c r="AJ63" s="105">
        <f t="shared" si="39"/>
        <v>-160669416</v>
      </c>
      <c r="AK63" s="105">
        <f t="shared" si="40"/>
        <v>-13479208</v>
      </c>
      <c r="AL63" s="105">
        <f t="shared" si="41"/>
        <v>0</v>
      </c>
      <c r="AM63" s="105">
        <f t="shared" si="42"/>
        <v>-12669320</v>
      </c>
      <c r="AN63" s="105">
        <f t="shared" si="43"/>
        <v>-134377024</v>
      </c>
      <c r="AO63" s="105">
        <f t="shared" si="44"/>
        <v>-143864</v>
      </c>
      <c r="AP63" s="105">
        <f t="shared" si="45"/>
        <v>-73.7275526</v>
      </c>
      <c r="AQ63" s="108">
        <f t="shared" si="46"/>
        <v>-75.5357354</v>
      </c>
      <c r="AR63" s="108">
        <f t="shared" si="47"/>
        <v>-33.6568079</v>
      </c>
      <c r="AS63" s="108">
        <f t="shared" si="48"/>
        <v>-37.4320238</v>
      </c>
      <c r="AT63" s="108">
        <f t="shared" si="49"/>
        <v>-37.1589381</v>
      </c>
      <c r="AU63" s="108">
        <f t="shared" si="50"/>
        <v>-50.8769002</v>
      </c>
      <c r="AV63" s="109">
        <f t="shared" si="51"/>
        <v>-31.4287206</v>
      </c>
    </row>
    <row r="64" spans="33:48">
      <c r="AG64" s="105" t="e">
        <f t="shared" si="36"/>
        <v>#VALUE!</v>
      </c>
      <c r="AH64" s="105" t="e">
        <f t="shared" si="37"/>
        <v>#VALUE!</v>
      </c>
      <c r="AI64" s="105">
        <f t="shared" si="38"/>
        <v>-91604096</v>
      </c>
      <c r="AJ64" s="105">
        <f t="shared" si="39"/>
        <v>-232510992</v>
      </c>
      <c r="AK64" s="105">
        <f t="shared" si="40"/>
        <v>-20148944</v>
      </c>
      <c r="AL64" s="105">
        <f t="shared" si="41"/>
        <v>0</v>
      </c>
      <c r="AM64" s="105">
        <f t="shared" si="42"/>
        <v>-22900872</v>
      </c>
      <c r="AN64" s="105">
        <f t="shared" si="43"/>
        <v>-189314704</v>
      </c>
      <c r="AO64" s="105">
        <f t="shared" si="44"/>
        <v>-146472</v>
      </c>
      <c r="AP64" s="105">
        <f t="shared" si="45"/>
        <v>-76.6015675</v>
      </c>
      <c r="AQ64" s="108">
        <f t="shared" si="46"/>
        <v>-79.0866318</v>
      </c>
      <c r="AR64" s="108">
        <f t="shared" si="47"/>
        <v>-34.9931469</v>
      </c>
      <c r="AS64" s="108">
        <f t="shared" si="48"/>
        <v>-38.5287106</v>
      </c>
      <c r="AT64" s="108">
        <f t="shared" si="49"/>
        <v>-38.2332468</v>
      </c>
      <c r="AU64" s="108">
        <f t="shared" si="50"/>
        <v>-52.5771874</v>
      </c>
      <c r="AV64" s="109">
        <f t="shared" si="51"/>
        <v>-33.0939982</v>
      </c>
    </row>
    <row r="65" spans="33:48">
      <c r="AG65" s="105" t="e">
        <f t="shared" si="36"/>
        <v>#VALUE!</v>
      </c>
      <c r="AH65" s="105" t="e">
        <f t="shared" si="37"/>
        <v>#VALUE!</v>
      </c>
      <c r="AI65" s="105">
        <f t="shared" si="38"/>
        <v>-22538688</v>
      </c>
      <c r="AJ65" s="105">
        <f t="shared" si="39"/>
        <v>-50671712</v>
      </c>
      <c r="AK65" s="105">
        <f t="shared" si="40"/>
        <v>-8312584</v>
      </c>
      <c r="AL65" s="105">
        <f t="shared" si="41"/>
        <v>0</v>
      </c>
      <c r="AM65" s="105">
        <f t="shared" si="42"/>
        <v>-6179400</v>
      </c>
      <c r="AN65" s="105">
        <f t="shared" si="43"/>
        <v>-36035440</v>
      </c>
      <c r="AO65" s="105">
        <f t="shared" si="44"/>
        <v>-144288</v>
      </c>
      <c r="AP65" s="105">
        <f t="shared" si="45"/>
        <v>-66.0388057</v>
      </c>
      <c r="AQ65" s="108">
        <f t="shared" si="46"/>
        <v>-66.8189755</v>
      </c>
      <c r="AR65" s="108">
        <f t="shared" si="47"/>
        <v>-32.2769891</v>
      </c>
      <c r="AS65" s="108">
        <f t="shared" si="48"/>
        <v>-44.9215144</v>
      </c>
      <c r="AT65" s="108">
        <f t="shared" si="49"/>
        <v>-45.2196035</v>
      </c>
      <c r="AU65" s="108">
        <f t="shared" si="50"/>
        <v>-44.7331058</v>
      </c>
      <c r="AV65" s="109">
        <f t="shared" si="51"/>
        <v>-29.8655238</v>
      </c>
    </row>
    <row r="66" spans="33:48">
      <c r="AG66" s="105" t="e">
        <f t="shared" si="36"/>
        <v>#VALUE!</v>
      </c>
      <c r="AH66" s="105" t="e">
        <f t="shared" si="37"/>
        <v>#VALUE!</v>
      </c>
      <c r="AI66" s="105">
        <f t="shared" si="38"/>
        <v>-45393792</v>
      </c>
      <c r="AJ66" s="105">
        <f t="shared" si="39"/>
        <v>-90799464</v>
      </c>
      <c r="AK66" s="105">
        <f t="shared" si="40"/>
        <v>-13067384</v>
      </c>
      <c r="AL66" s="105">
        <f t="shared" si="41"/>
        <v>0</v>
      </c>
      <c r="AM66" s="105">
        <f t="shared" si="42"/>
        <v>-10023712</v>
      </c>
      <c r="AN66" s="105">
        <f t="shared" si="43"/>
        <v>-67562720</v>
      </c>
      <c r="AO66" s="105">
        <f t="shared" si="44"/>
        <v>-145648</v>
      </c>
      <c r="AP66" s="105">
        <f t="shared" si="45"/>
        <v>-70.4107903</v>
      </c>
      <c r="AQ66" s="108">
        <f t="shared" si="46"/>
        <v>-71.8209044</v>
      </c>
      <c r="AR66" s="108">
        <f t="shared" si="47"/>
        <v>-34.9766565</v>
      </c>
      <c r="AS66" s="108">
        <f t="shared" si="48"/>
        <v>-45.5736527</v>
      </c>
      <c r="AT66" s="108">
        <f t="shared" si="49"/>
        <v>-45.9567078</v>
      </c>
      <c r="AU66" s="108">
        <f t="shared" si="50"/>
        <v>-47.1993345</v>
      </c>
      <c r="AV66" s="109">
        <f t="shared" si="51"/>
        <v>-32.5661212</v>
      </c>
    </row>
    <row r="67" spans="33:48">
      <c r="AG67" s="105" t="e">
        <f t="shared" si="36"/>
        <v>#VALUE!</v>
      </c>
      <c r="AH67" s="105" t="e">
        <f t="shared" si="37"/>
        <v>#VALUE!</v>
      </c>
      <c r="AI67" s="105">
        <f t="shared" si="38"/>
        <v>-45393792</v>
      </c>
      <c r="AJ67" s="105">
        <f t="shared" si="39"/>
        <v>-120307488</v>
      </c>
      <c r="AK67" s="105">
        <f t="shared" si="40"/>
        <v>-13067384</v>
      </c>
      <c r="AL67" s="105">
        <f t="shared" si="41"/>
        <v>0</v>
      </c>
      <c r="AM67" s="105">
        <f t="shared" si="42"/>
        <v>-21872416</v>
      </c>
      <c r="AN67" s="105">
        <f t="shared" si="43"/>
        <v>-85230248</v>
      </c>
      <c r="AO67" s="105">
        <f t="shared" si="44"/>
        <v>-137440</v>
      </c>
      <c r="AP67" s="105">
        <f t="shared" si="45"/>
        <v>-72.9037256</v>
      </c>
      <c r="AQ67" s="108">
        <f t="shared" si="46"/>
        <v>-74.7102258</v>
      </c>
      <c r="AR67" s="108">
        <f t="shared" si="47"/>
        <v>-36.0483208</v>
      </c>
      <c r="AS67" s="108">
        <f t="shared" si="48"/>
        <v>-45.8961933</v>
      </c>
      <c r="AT67" s="108">
        <f t="shared" si="49"/>
        <v>-46.318563</v>
      </c>
      <c r="AU67" s="108">
        <f t="shared" si="50"/>
        <v>-48.4197529</v>
      </c>
      <c r="AV67" s="109">
        <f t="shared" si="51"/>
        <v>-33.896996</v>
      </c>
    </row>
    <row r="68" spans="33:48">
      <c r="AG68" s="105" t="e">
        <f t="shared" si="36"/>
        <v>#VALUE!</v>
      </c>
      <c r="AH68" s="105" t="e">
        <f t="shared" si="37"/>
        <v>#VALUE!</v>
      </c>
      <c r="AI68" s="105">
        <f t="shared" si="38"/>
        <v>-91443328</v>
      </c>
      <c r="AJ68" s="105">
        <f t="shared" si="39"/>
        <v>-150403856</v>
      </c>
      <c r="AK68" s="105">
        <f t="shared" si="40"/>
        <v>-21531568</v>
      </c>
      <c r="AL68" s="105">
        <f t="shared" si="41"/>
        <v>0</v>
      </c>
      <c r="AM68" s="105">
        <f t="shared" si="42"/>
        <v>-20835184</v>
      </c>
      <c r="AN68" s="105">
        <f t="shared" si="43"/>
        <v>-107891728</v>
      </c>
      <c r="AO68" s="105">
        <f t="shared" si="44"/>
        <v>-145376</v>
      </c>
      <c r="AP68" s="105">
        <f t="shared" si="45"/>
        <v>-74.5539507</v>
      </c>
      <c r="AQ68" s="108">
        <f t="shared" si="46"/>
        <v>-76.6804325</v>
      </c>
      <c r="AR68" s="108">
        <f t="shared" si="47"/>
        <v>-37.120989</v>
      </c>
      <c r="AS68" s="108">
        <f t="shared" si="48"/>
        <v>-46.6876018</v>
      </c>
      <c r="AT68" s="108">
        <f t="shared" si="49"/>
        <v>-47.2268314</v>
      </c>
      <c r="AU68" s="108">
        <f t="shared" si="50"/>
        <v>-49.4959461</v>
      </c>
      <c r="AV68" s="109">
        <f t="shared" si="51"/>
        <v>-35.0310468</v>
      </c>
    </row>
    <row r="69" spans="33:48">
      <c r="AG69" s="105" t="e">
        <f t="shared" si="36"/>
        <v>#VALUE!</v>
      </c>
      <c r="AH69" s="105" t="e">
        <f t="shared" si="37"/>
        <v>#VALUE!</v>
      </c>
      <c r="AI69" s="105">
        <f t="shared" si="38"/>
        <v>-91443328</v>
      </c>
      <c r="AJ69" s="105">
        <f t="shared" si="39"/>
        <v>-221084328</v>
      </c>
      <c r="AK69" s="105">
        <f t="shared" si="40"/>
        <v>-23761456</v>
      </c>
      <c r="AL69" s="105">
        <f t="shared" si="41"/>
        <v>0</v>
      </c>
      <c r="AM69" s="105">
        <f t="shared" si="42"/>
        <v>-28675464</v>
      </c>
      <c r="AN69" s="105">
        <f t="shared" si="43"/>
        <v>-168503848</v>
      </c>
      <c r="AO69" s="105">
        <f t="shared" si="44"/>
        <v>-143560</v>
      </c>
      <c r="AP69" s="105">
        <f t="shared" si="45"/>
        <v>-75.585639</v>
      </c>
      <c r="AQ69" s="108">
        <f t="shared" si="46"/>
        <v>-77.9780274</v>
      </c>
      <c r="AR69" s="108">
        <f t="shared" si="47"/>
        <v>-38.8095121</v>
      </c>
      <c r="AS69" s="108">
        <f t="shared" si="48"/>
        <v>-47.74431</v>
      </c>
      <c r="AT69" s="108">
        <f t="shared" si="49"/>
        <v>-48.377021</v>
      </c>
      <c r="AU69" s="108">
        <f t="shared" si="50"/>
        <v>-50.0234215</v>
      </c>
      <c r="AV69" s="109">
        <f t="shared" si="51"/>
        <v>-36.3071483</v>
      </c>
    </row>
    <row r="70" spans="33:48">
      <c r="AG70" s="105" t="e">
        <f t="shared" si="36"/>
        <v>#VALUE!</v>
      </c>
      <c r="AH70" s="105" t="e">
        <f t="shared" si="37"/>
        <v>#VALUE!</v>
      </c>
      <c r="AI70" s="105">
        <f t="shared" si="38"/>
        <v>-22706944</v>
      </c>
      <c r="AJ70" s="105">
        <f t="shared" si="39"/>
        <v>-30557672</v>
      </c>
      <c r="AK70" s="105">
        <f t="shared" si="40"/>
        <v>-6498680</v>
      </c>
      <c r="AL70" s="105">
        <f t="shared" si="41"/>
        <v>0</v>
      </c>
      <c r="AM70" s="105">
        <f t="shared" si="42"/>
        <v>-4501360</v>
      </c>
      <c r="AN70" s="105">
        <f t="shared" si="43"/>
        <v>-19412264</v>
      </c>
      <c r="AO70" s="105">
        <f t="shared" si="44"/>
        <v>-145368</v>
      </c>
      <c r="AP70" s="105">
        <f t="shared" si="45"/>
        <v>-71.424398</v>
      </c>
      <c r="AQ70" s="108">
        <f t="shared" si="46"/>
        <v>-72.7933203</v>
      </c>
      <c r="AR70" s="108">
        <f t="shared" si="47"/>
        <v>-35.7718767</v>
      </c>
      <c r="AS70" s="108">
        <f t="shared" si="48"/>
        <v>-43.3018665</v>
      </c>
      <c r="AT70" s="108">
        <f t="shared" si="49"/>
        <v>-45.1752812</v>
      </c>
      <c r="AU70" s="108">
        <f t="shared" si="50"/>
        <v>-45.7781579</v>
      </c>
      <c r="AV70" s="109">
        <f t="shared" si="51"/>
        <v>-32.5374659</v>
      </c>
    </row>
    <row r="71" spans="33:48">
      <c r="AG71" s="105" t="e">
        <f t="shared" si="36"/>
        <v>#VALUE!</v>
      </c>
      <c r="AH71" s="105" t="e">
        <f t="shared" si="37"/>
        <v>#VALUE!</v>
      </c>
      <c r="AI71" s="105">
        <f t="shared" si="38"/>
        <v>-22706944</v>
      </c>
      <c r="AJ71" s="105">
        <f t="shared" si="39"/>
        <v>-51178816</v>
      </c>
      <c r="AK71" s="105">
        <f t="shared" si="40"/>
        <v>-7078376</v>
      </c>
      <c r="AL71" s="105">
        <f t="shared" si="41"/>
        <v>0</v>
      </c>
      <c r="AM71" s="105">
        <f t="shared" si="42"/>
        <v>-6797376</v>
      </c>
      <c r="AN71" s="105">
        <f t="shared" si="43"/>
        <v>-37157304</v>
      </c>
      <c r="AO71" s="105">
        <f t="shared" si="44"/>
        <v>-145760</v>
      </c>
      <c r="AP71" s="105">
        <f t="shared" si="45"/>
        <v>-73.136002</v>
      </c>
      <c r="AQ71" s="108">
        <f t="shared" si="46"/>
        <v>-74.7056037</v>
      </c>
      <c r="AR71" s="108">
        <f t="shared" si="47"/>
        <v>-38.5714883</v>
      </c>
      <c r="AS71" s="108">
        <f t="shared" si="48"/>
        <v>-43.9362995</v>
      </c>
      <c r="AT71" s="108">
        <f t="shared" si="49"/>
        <v>-46.4056775</v>
      </c>
      <c r="AU71" s="108">
        <f t="shared" si="50"/>
        <v>-46.6052099</v>
      </c>
      <c r="AV71" s="109">
        <f t="shared" si="51"/>
        <v>-34.2214085</v>
      </c>
    </row>
    <row r="72" spans="33:48">
      <c r="AG72" s="105" t="e">
        <f t="shared" si="36"/>
        <v>#VALUE!</v>
      </c>
      <c r="AH72" s="105" t="e">
        <f t="shared" si="37"/>
        <v>#VALUE!</v>
      </c>
      <c r="AI72" s="105">
        <f t="shared" si="38"/>
        <v>-45429504</v>
      </c>
      <c r="AJ72" s="105">
        <f t="shared" si="39"/>
        <v>-99567800</v>
      </c>
      <c r="AK72" s="105">
        <f t="shared" si="40"/>
        <v>-11896176</v>
      </c>
      <c r="AL72" s="105">
        <f t="shared" si="41"/>
        <v>0</v>
      </c>
      <c r="AM72" s="105">
        <f t="shared" si="42"/>
        <v>-14877264</v>
      </c>
      <c r="AN72" s="105">
        <f t="shared" si="43"/>
        <v>-72649824</v>
      </c>
      <c r="AO72" s="105">
        <f t="shared" si="44"/>
        <v>-144536</v>
      </c>
      <c r="AP72" s="105">
        <f t="shared" si="45"/>
        <v>-77.8486858</v>
      </c>
      <c r="AQ72" s="108">
        <f t="shared" si="46"/>
        <v>-80.3164287</v>
      </c>
      <c r="AR72" s="108">
        <f t="shared" si="47"/>
        <v>-41.2138711</v>
      </c>
      <c r="AS72" s="108">
        <f t="shared" si="48"/>
        <v>-44.8120502</v>
      </c>
      <c r="AT72" s="108">
        <f t="shared" si="49"/>
        <v>-48.0424862</v>
      </c>
      <c r="AU72" s="108">
        <f t="shared" si="50"/>
        <v>-48.9801166</v>
      </c>
      <c r="AV72" s="109">
        <f t="shared" si="51"/>
        <v>-37.3587944</v>
      </c>
    </row>
    <row r="73" spans="33:48">
      <c r="AG73" s="105" t="e">
        <f t="shared" si="36"/>
        <v>#VALUE!</v>
      </c>
      <c r="AH73" s="105" t="e">
        <f t="shared" si="37"/>
        <v>#VALUE!</v>
      </c>
      <c r="AI73" s="105">
        <f t="shared" si="38"/>
        <v>-90872832</v>
      </c>
      <c r="AJ73" s="105">
        <f t="shared" si="39"/>
        <v>-142179376</v>
      </c>
      <c r="AK73" s="105">
        <f t="shared" si="40"/>
        <v>-20499640</v>
      </c>
      <c r="AL73" s="105">
        <f t="shared" si="41"/>
        <v>0</v>
      </c>
      <c r="AM73" s="105">
        <f t="shared" si="42"/>
        <v>-16097832</v>
      </c>
      <c r="AN73" s="105">
        <f t="shared" si="43"/>
        <v>-105437576</v>
      </c>
      <c r="AO73" s="105">
        <f t="shared" si="44"/>
        <v>-144328</v>
      </c>
      <c r="AP73" s="105">
        <f t="shared" si="45"/>
        <v>-79.1678246</v>
      </c>
      <c r="AQ73" s="108">
        <f t="shared" si="46"/>
        <v>-82.1100624</v>
      </c>
      <c r="AR73" s="108">
        <f t="shared" si="47"/>
        <v>-42.2146349</v>
      </c>
      <c r="AS73" s="108">
        <f t="shared" si="48"/>
        <v>-45.5049646</v>
      </c>
      <c r="AT73" s="108">
        <f t="shared" si="49"/>
        <v>-49.1936671</v>
      </c>
      <c r="AU73" s="108">
        <f t="shared" si="50"/>
        <v>-49.9238299</v>
      </c>
      <c r="AV73" s="109">
        <f t="shared" si="51"/>
        <v>-38.4931112</v>
      </c>
    </row>
    <row r="74" spans="33:48">
      <c r="AG74" s="105" t="e">
        <f t="shared" si="36"/>
        <v>#VALUE!</v>
      </c>
      <c r="AH74" s="105" t="e">
        <f t="shared" si="37"/>
        <v>#VALUE!</v>
      </c>
      <c r="AI74" s="105">
        <f t="shared" si="38"/>
        <v>-90872832</v>
      </c>
      <c r="AJ74" s="105">
        <f t="shared" si="39"/>
        <v>-213638264</v>
      </c>
      <c r="AK74" s="105">
        <f t="shared" si="40"/>
        <v>-20499640</v>
      </c>
      <c r="AL74" s="105">
        <f t="shared" si="41"/>
        <v>0</v>
      </c>
      <c r="AM74" s="105">
        <f t="shared" si="42"/>
        <v>-18131976</v>
      </c>
      <c r="AN74" s="105">
        <f t="shared" si="43"/>
        <v>-174861728</v>
      </c>
      <c r="AO74" s="105">
        <f t="shared" si="44"/>
        <v>-144920</v>
      </c>
      <c r="AP74" s="105">
        <f t="shared" si="45"/>
        <v>-79.5199955</v>
      </c>
      <c r="AQ74" s="108">
        <f t="shared" si="46"/>
        <v>-82.6341907</v>
      </c>
      <c r="AR74" s="108">
        <f t="shared" si="47"/>
        <v>-43.2526235</v>
      </c>
      <c r="AS74" s="108">
        <f t="shared" si="48"/>
        <v>-46.4564972</v>
      </c>
      <c r="AT74" s="108">
        <f t="shared" si="49"/>
        <v>-50.4851238</v>
      </c>
      <c r="AU74" s="108">
        <f t="shared" si="50"/>
        <v>-50.1259526</v>
      </c>
      <c r="AV74" s="109">
        <f t="shared" si="51"/>
        <v>-39.0461456</v>
      </c>
    </row>
    <row r="75" spans="33:48">
      <c r="AG75" s="105" t="e">
        <f t="shared" si="36"/>
        <v>#VALUE!</v>
      </c>
      <c r="AH75" s="105" t="e">
        <f t="shared" si="37"/>
        <v>#VALUE!</v>
      </c>
      <c r="AI75" s="105">
        <f t="shared" si="38"/>
        <v>-22662720</v>
      </c>
      <c r="AJ75" s="105">
        <f t="shared" si="39"/>
        <v>-29061192</v>
      </c>
      <c r="AK75" s="105">
        <f t="shared" si="40"/>
        <v>-6345432</v>
      </c>
      <c r="AL75" s="105">
        <f t="shared" si="41"/>
        <v>0</v>
      </c>
      <c r="AM75" s="105">
        <f t="shared" si="42"/>
        <v>-4249968</v>
      </c>
      <c r="AN75" s="105">
        <f t="shared" si="43"/>
        <v>-18321208</v>
      </c>
      <c r="AO75" s="105">
        <f t="shared" si="44"/>
        <v>-144584</v>
      </c>
      <c r="AP75" s="105">
        <f t="shared" si="45"/>
        <v>-71.6368782</v>
      </c>
      <c r="AQ75" s="108">
        <f t="shared" si="46"/>
        <v>-73.0426226</v>
      </c>
      <c r="AR75" s="108">
        <f t="shared" si="47"/>
        <v>-34.717123</v>
      </c>
      <c r="AS75" s="108">
        <f t="shared" si="48"/>
        <v>-42.7410961</v>
      </c>
      <c r="AT75" s="108">
        <f t="shared" si="49"/>
        <v>-44.1241796</v>
      </c>
      <c r="AU75" s="108">
        <f t="shared" si="50"/>
        <v>-46.8245127</v>
      </c>
      <c r="AV75" s="109">
        <f t="shared" si="51"/>
        <v>-31.7055884</v>
      </c>
    </row>
    <row r="76" spans="33:48">
      <c r="AG76" s="105" t="e">
        <f t="shared" si="36"/>
        <v>#VALUE!</v>
      </c>
      <c r="AH76" s="105" t="e">
        <f t="shared" si="37"/>
        <v>#VALUE!</v>
      </c>
      <c r="AI76" s="105">
        <f t="shared" si="38"/>
        <v>-22662720</v>
      </c>
      <c r="AJ76" s="105">
        <f t="shared" si="39"/>
        <v>-49243000</v>
      </c>
      <c r="AK76" s="105">
        <f t="shared" si="40"/>
        <v>-6345432</v>
      </c>
      <c r="AL76" s="105">
        <f t="shared" si="41"/>
        <v>0</v>
      </c>
      <c r="AM76" s="105">
        <f t="shared" si="42"/>
        <v>-4746328</v>
      </c>
      <c r="AN76" s="105">
        <f t="shared" si="43"/>
        <v>-38005288</v>
      </c>
      <c r="AO76" s="105">
        <f t="shared" si="44"/>
        <v>-145952</v>
      </c>
      <c r="AP76" s="105">
        <f t="shared" si="45"/>
        <v>-72.0932273</v>
      </c>
      <c r="AQ76" s="108">
        <f t="shared" si="46"/>
        <v>-73.5548681</v>
      </c>
      <c r="AR76" s="108">
        <f t="shared" si="47"/>
        <v>-37.5286117</v>
      </c>
      <c r="AS76" s="108">
        <f t="shared" si="48"/>
        <v>-43.9421025</v>
      </c>
      <c r="AT76" s="108">
        <f t="shared" si="49"/>
        <v>-45.9959981</v>
      </c>
      <c r="AU76" s="108">
        <f t="shared" si="50"/>
        <v>-47.0169846</v>
      </c>
      <c r="AV76" s="109">
        <f t="shared" si="51"/>
        <v>-32.9727614</v>
      </c>
    </row>
    <row r="77" spans="33:48">
      <c r="AG77" s="105" t="e">
        <f t="shared" si="36"/>
        <v>#VALUE!</v>
      </c>
      <c r="AH77" s="105" t="e">
        <f t="shared" si="37"/>
        <v>#VALUE!</v>
      </c>
      <c r="AI77" s="105">
        <f t="shared" si="38"/>
        <v>-45333632</v>
      </c>
      <c r="AJ77" s="105">
        <f t="shared" si="39"/>
        <v>-99253720</v>
      </c>
      <c r="AK77" s="105">
        <f t="shared" si="40"/>
        <v>-10580056</v>
      </c>
      <c r="AL77" s="105">
        <f t="shared" si="41"/>
        <v>0</v>
      </c>
      <c r="AM77" s="105">
        <f t="shared" si="42"/>
        <v>-14395528</v>
      </c>
      <c r="AN77" s="105">
        <f t="shared" si="43"/>
        <v>-74133472</v>
      </c>
      <c r="AO77" s="105">
        <f t="shared" si="44"/>
        <v>-144664</v>
      </c>
      <c r="AP77" s="105">
        <f t="shared" si="45"/>
        <v>-77.9595187</v>
      </c>
      <c r="AQ77" s="108">
        <f t="shared" si="46"/>
        <v>-80.5860418</v>
      </c>
      <c r="AR77" s="108">
        <f t="shared" si="47"/>
        <v>-40.4848605</v>
      </c>
      <c r="AS77" s="108">
        <f t="shared" si="48"/>
        <v>-45.1989624</v>
      </c>
      <c r="AT77" s="108">
        <f t="shared" si="49"/>
        <v>-48.0805766</v>
      </c>
      <c r="AU77" s="108">
        <f t="shared" si="50"/>
        <v>-50.015318</v>
      </c>
      <c r="AV77" s="109">
        <f t="shared" si="51"/>
        <v>-36.7999396</v>
      </c>
    </row>
    <row r="78" spans="33:48">
      <c r="AG78" s="105" t="e">
        <f t="shared" si="36"/>
        <v>#VALUE!</v>
      </c>
      <c r="AH78" s="105" t="e">
        <f t="shared" si="37"/>
        <v>#VALUE!</v>
      </c>
      <c r="AI78" s="105">
        <f t="shared" si="38"/>
        <v>-90678336</v>
      </c>
      <c r="AJ78" s="105">
        <f t="shared" si="39"/>
        <v>-140903256</v>
      </c>
      <c r="AK78" s="105">
        <f t="shared" si="40"/>
        <v>-22357944</v>
      </c>
      <c r="AL78" s="105">
        <f t="shared" si="41"/>
        <v>0</v>
      </c>
      <c r="AM78" s="105">
        <f t="shared" si="42"/>
        <v>-13024192</v>
      </c>
      <c r="AN78" s="105">
        <f t="shared" si="43"/>
        <v>-105374712</v>
      </c>
      <c r="AO78" s="105">
        <f t="shared" si="44"/>
        <v>-146408</v>
      </c>
      <c r="AP78" s="105">
        <f t="shared" si="45"/>
        <v>-78.8589656</v>
      </c>
      <c r="AQ78" s="108">
        <f t="shared" si="46"/>
        <v>-81.8200717</v>
      </c>
      <c r="AR78" s="108">
        <f t="shared" si="47"/>
        <v>-41.4990122</v>
      </c>
      <c r="AS78" s="108">
        <f t="shared" si="48"/>
        <v>-45.7282176</v>
      </c>
      <c r="AT78" s="108">
        <f t="shared" si="49"/>
        <v>-48.8340789</v>
      </c>
      <c r="AU78" s="108">
        <f t="shared" si="50"/>
        <v>-50.7961267</v>
      </c>
      <c r="AV78" s="109">
        <f t="shared" si="51"/>
        <v>-37.7412754</v>
      </c>
    </row>
    <row r="79" spans="33:48">
      <c r="AG79" s="105" t="e">
        <f t="shared" si="36"/>
        <v>#VALUE!</v>
      </c>
      <c r="AH79" s="105" t="e">
        <f t="shared" si="37"/>
        <v>#VALUE!</v>
      </c>
      <c r="AI79" s="105">
        <f t="shared" si="38"/>
        <v>-90678336</v>
      </c>
      <c r="AJ79" s="105">
        <f t="shared" si="39"/>
        <v>-210686296</v>
      </c>
      <c r="AK79" s="105">
        <f t="shared" si="40"/>
        <v>-20162136</v>
      </c>
      <c r="AL79" s="105">
        <f t="shared" si="41"/>
        <v>0</v>
      </c>
      <c r="AM79" s="105">
        <f t="shared" si="42"/>
        <v>-17200864</v>
      </c>
      <c r="AN79" s="105">
        <f t="shared" si="43"/>
        <v>-173179712</v>
      </c>
      <c r="AO79" s="105">
        <f t="shared" si="44"/>
        <v>-143584</v>
      </c>
      <c r="AP79" s="105">
        <f t="shared" si="45"/>
        <v>-79.5515178</v>
      </c>
      <c r="AQ79" s="108">
        <f t="shared" si="46"/>
        <v>-82.8825684</v>
      </c>
      <c r="AR79" s="108">
        <f t="shared" si="47"/>
        <v>-42.4954386</v>
      </c>
      <c r="AS79" s="108">
        <f t="shared" si="48"/>
        <v>-46.8030189</v>
      </c>
      <c r="AT79" s="108">
        <f t="shared" si="49"/>
        <v>-50.1941918</v>
      </c>
      <c r="AU79" s="108">
        <f t="shared" si="50"/>
        <v>-51.1814658</v>
      </c>
      <c r="AV79" s="109">
        <f t="shared" si="51"/>
        <v>-38.5104224</v>
      </c>
    </row>
    <row r="80" spans="33:48">
      <c r="AG80" s="105" t="e">
        <f t="shared" si="36"/>
        <v>#VALUE!</v>
      </c>
      <c r="AH80" s="105" t="e">
        <f t="shared" si="37"/>
        <v>#VALUE!</v>
      </c>
      <c r="AI80" s="105">
        <f t="shared" si="38"/>
        <v>-23021184</v>
      </c>
      <c r="AJ80" s="105">
        <f t="shared" si="39"/>
        <v>-42095312</v>
      </c>
      <c r="AK80" s="105">
        <f t="shared" si="40"/>
        <v>-6289792</v>
      </c>
      <c r="AL80" s="105">
        <f t="shared" si="41"/>
        <v>0</v>
      </c>
      <c r="AM80" s="105">
        <f t="shared" si="42"/>
        <v>-4686248</v>
      </c>
      <c r="AN80" s="105">
        <f t="shared" si="43"/>
        <v>-30973008</v>
      </c>
      <c r="AO80" s="105">
        <f t="shared" si="44"/>
        <v>-146264</v>
      </c>
      <c r="AP80" s="105">
        <f t="shared" si="45"/>
        <v>-74.0582754</v>
      </c>
      <c r="AQ80" s="108">
        <f t="shared" si="46"/>
        <v>-75.8887612</v>
      </c>
      <c r="AR80" s="108">
        <f t="shared" si="47"/>
        <v>-31.1933198</v>
      </c>
      <c r="AS80" s="108">
        <f t="shared" si="48"/>
        <v>-39.919393</v>
      </c>
      <c r="AT80" s="108">
        <f t="shared" si="49"/>
        <v>-36.6231965</v>
      </c>
      <c r="AU80" s="108">
        <f t="shared" si="50"/>
        <v>-44.9891014</v>
      </c>
      <c r="AV80" s="109">
        <f t="shared" si="51"/>
        <v>-28.250093</v>
      </c>
    </row>
    <row r="81" spans="33:48">
      <c r="AG81" s="105" t="e">
        <f t="shared" si="36"/>
        <v>#VALUE!</v>
      </c>
      <c r="AH81" s="105" t="e">
        <f t="shared" si="37"/>
        <v>#VALUE!</v>
      </c>
      <c r="AI81" s="105">
        <f t="shared" si="38"/>
        <v>-46064000</v>
      </c>
      <c r="AJ81" s="105">
        <f t="shared" si="39"/>
        <v>-83139136</v>
      </c>
      <c r="AK81" s="105">
        <f t="shared" si="40"/>
        <v>-10590528</v>
      </c>
      <c r="AL81" s="105">
        <f t="shared" si="41"/>
        <v>0</v>
      </c>
      <c r="AM81" s="105">
        <f t="shared" si="42"/>
        <v>-6650008</v>
      </c>
      <c r="AN81" s="105">
        <f t="shared" si="43"/>
        <v>-65748232</v>
      </c>
      <c r="AO81" s="105">
        <f t="shared" si="44"/>
        <v>-150368</v>
      </c>
      <c r="AP81" s="105">
        <f t="shared" si="45"/>
        <v>-76.9680852</v>
      </c>
      <c r="AQ81" s="108">
        <f t="shared" si="46"/>
        <v>-79.343829</v>
      </c>
      <c r="AR81" s="108">
        <f t="shared" si="47"/>
        <v>-33.4831543</v>
      </c>
      <c r="AS81" s="108">
        <f t="shared" si="48"/>
        <v>-41.8467928</v>
      </c>
      <c r="AT81" s="108">
        <f t="shared" si="49"/>
        <v>-39.464857</v>
      </c>
      <c r="AU81" s="108">
        <f t="shared" si="50"/>
        <v>-46.5653337</v>
      </c>
      <c r="AV81" s="109">
        <f t="shared" si="51"/>
        <v>-30.9186361</v>
      </c>
    </row>
    <row r="82" spans="33:48">
      <c r="AG82" s="105" t="e">
        <f t="shared" si="36"/>
        <v>#VALUE!</v>
      </c>
      <c r="AH82" s="105" t="e">
        <f t="shared" si="37"/>
        <v>#VALUE!</v>
      </c>
      <c r="AI82" s="105">
        <f t="shared" si="38"/>
        <v>-92146368</v>
      </c>
      <c r="AJ82" s="105">
        <f t="shared" si="39"/>
        <v>-124330448</v>
      </c>
      <c r="AK82" s="105">
        <f t="shared" si="40"/>
        <v>-20113928</v>
      </c>
      <c r="AL82" s="105">
        <f t="shared" si="41"/>
        <v>0</v>
      </c>
      <c r="AM82" s="105">
        <f t="shared" si="42"/>
        <v>-5773656</v>
      </c>
      <c r="AN82" s="105">
        <f t="shared" si="43"/>
        <v>-98294760</v>
      </c>
      <c r="AO82" s="105">
        <f t="shared" si="44"/>
        <v>-148104</v>
      </c>
      <c r="AP82" s="105">
        <f t="shared" si="45"/>
        <v>-79.0297814</v>
      </c>
      <c r="AQ82" s="108">
        <f t="shared" si="46"/>
        <v>-81.9131368</v>
      </c>
      <c r="AR82" s="108">
        <f t="shared" si="47"/>
        <v>-34.5543842</v>
      </c>
      <c r="AS82" s="108">
        <f t="shared" si="48"/>
        <v>-43.2154363</v>
      </c>
      <c r="AT82" s="108">
        <f t="shared" si="49"/>
        <v>-41.2796436</v>
      </c>
      <c r="AU82" s="108">
        <f t="shared" si="50"/>
        <v>-47.9127972</v>
      </c>
      <c r="AV82" s="109">
        <f t="shared" si="51"/>
        <v>-32.2660006</v>
      </c>
    </row>
    <row r="83" spans="33:48">
      <c r="AG83" s="105" t="e">
        <f t="shared" si="36"/>
        <v>#VALUE!</v>
      </c>
      <c r="AH83" s="105" t="e">
        <f t="shared" si="37"/>
        <v>#VALUE!</v>
      </c>
      <c r="AI83" s="105">
        <f t="shared" si="38"/>
        <v>-184310144</v>
      </c>
      <c r="AJ83" s="105">
        <f t="shared" si="39"/>
        <v>-177184416</v>
      </c>
      <c r="AK83" s="105">
        <f t="shared" si="40"/>
        <v>-39366688</v>
      </c>
      <c r="AL83" s="105">
        <f t="shared" si="41"/>
        <v>0</v>
      </c>
      <c r="AM83" s="105">
        <f t="shared" si="42"/>
        <v>-4921648</v>
      </c>
      <c r="AN83" s="105">
        <f t="shared" si="43"/>
        <v>-132749560</v>
      </c>
      <c r="AO83" s="105">
        <f t="shared" si="44"/>
        <v>-146520</v>
      </c>
      <c r="AP83" s="105">
        <f t="shared" si="45"/>
        <v>-80.5112042</v>
      </c>
      <c r="AQ83" s="108">
        <f t="shared" si="46"/>
        <v>-84.0291372</v>
      </c>
      <c r="AR83" s="108">
        <f t="shared" si="47"/>
        <v>-35.3151308</v>
      </c>
      <c r="AS83" s="108">
        <f t="shared" si="48"/>
        <v>-43.5668557</v>
      </c>
      <c r="AT83" s="108">
        <f t="shared" si="49"/>
        <v>-41.7625905</v>
      </c>
      <c r="AU83" s="108">
        <f t="shared" si="50"/>
        <v>-49.2823979</v>
      </c>
      <c r="AV83" s="109">
        <f t="shared" si="51"/>
        <v>-33.4432427</v>
      </c>
    </row>
    <row r="84" spans="33:48">
      <c r="AG84" s="105" t="e">
        <f t="shared" si="36"/>
        <v>#VALUE!</v>
      </c>
      <c r="AH84" s="105" t="e">
        <f t="shared" si="37"/>
        <v>#VALUE!</v>
      </c>
      <c r="AI84" s="105">
        <f t="shared" si="38"/>
        <v>-368630976</v>
      </c>
      <c r="AJ84" s="105">
        <f t="shared" si="39"/>
        <v>-261319552</v>
      </c>
      <c r="AK84" s="105">
        <f t="shared" si="40"/>
        <v>-69810808</v>
      </c>
      <c r="AL84" s="105">
        <f t="shared" si="41"/>
        <v>0</v>
      </c>
      <c r="AM84" s="105">
        <f t="shared" si="42"/>
        <v>-621592</v>
      </c>
      <c r="AN84" s="105">
        <f t="shared" si="43"/>
        <v>-190743112</v>
      </c>
      <c r="AO84" s="105">
        <f t="shared" si="44"/>
        <v>-144040</v>
      </c>
      <c r="AP84" s="105">
        <f t="shared" si="45"/>
        <v>-82.3619296</v>
      </c>
      <c r="AQ84" s="108">
        <f t="shared" si="46"/>
        <v>-86.5971016</v>
      </c>
      <c r="AR84" s="108">
        <f t="shared" si="47"/>
        <v>-35.9699462</v>
      </c>
      <c r="AS84" s="108">
        <f t="shared" si="48"/>
        <v>-44.1864252</v>
      </c>
      <c r="AT84" s="108">
        <f t="shared" si="49"/>
        <v>-42.57577</v>
      </c>
      <c r="AU84" s="108">
        <f t="shared" si="50"/>
        <v>-50.7363341</v>
      </c>
      <c r="AV84" s="109">
        <f t="shared" si="51"/>
        <v>-34.488735</v>
      </c>
    </row>
    <row r="85" spans="33:48">
      <c r="AG85" s="105" t="e">
        <f t="shared" si="36"/>
        <v>#VALUE!</v>
      </c>
      <c r="AH85" s="105" t="e">
        <f t="shared" si="37"/>
        <v>#VALUE!</v>
      </c>
      <c r="AI85" s="105">
        <f t="shared" si="38"/>
        <v>-11261056</v>
      </c>
      <c r="AJ85" s="105">
        <f t="shared" si="39"/>
        <v>-21054864</v>
      </c>
      <c r="AK85" s="105">
        <f t="shared" si="40"/>
        <v>-3546104</v>
      </c>
      <c r="AL85" s="105">
        <f t="shared" si="41"/>
        <v>0</v>
      </c>
      <c r="AM85" s="105">
        <f t="shared" si="42"/>
        <v>-3079856</v>
      </c>
      <c r="AN85" s="105">
        <f t="shared" si="43"/>
        <v>-14356048</v>
      </c>
      <c r="AO85" s="105">
        <f t="shared" si="44"/>
        <v>-72856</v>
      </c>
      <c r="AP85" s="105">
        <f t="shared" si="45"/>
        <v>-73.9129072</v>
      </c>
      <c r="AQ85" s="108">
        <f t="shared" si="46"/>
        <v>-75.7248239</v>
      </c>
      <c r="AR85" s="108">
        <f t="shared" si="47"/>
        <v>-37.6295024</v>
      </c>
      <c r="AS85" s="108">
        <f t="shared" si="48"/>
        <v>-44.0436551</v>
      </c>
      <c r="AT85" s="108">
        <f t="shared" si="49"/>
        <v>-42.6408737</v>
      </c>
      <c r="AU85" s="108">
        <f t="shared" si="50"/>
        <v>-48.5474456</v>
      </c>
      <c r="AV85" s="109">
        <f t="shared" si="51"/>
        <v>-34.6198097</v>
      </c>
    </row>
    <row r="86" spans="33:48">
      <c r="AG86" s="105" t="e">
        <f t="shared" si="36"/>
        <v>#VALUE!</v>
      </c>
      <c r="AH86" s="105" t="e">
        <f t="shared" si="37"/>
        <v>#VALUE!</v>
      </c>
      <c r="AI86" s="105">
        <f t="shared" si="38"/>
        <v>-11261056</v>
      </c>
      <c r="AJ86" s="105">
        <f t="shared" si="39"/>
        <v>-41718704</v>
      </c>
      <c r="AK86" s="105">
        <f t="shared" si="40"/>
        <v>-3546104</v>
      </c>
      <c r="AL86" s="105">
        <f t="shared" si="41"/>
        <v>0</v>
      </c>
      <c r="AM86" s="105">
        <f t="shared" si="42"/>
        <v>-5194016</v>
      </c>
      <c r="AN86" s="105">
        <f t="shared" si="43"/>
        <v>-32904752</v>
      </c>
      <c r="AO86" s="105">
        <f t="shared" si="44"/>
        <v>-73832</v>
      </c>
      <c r="AP86" s="105">
        <f t="shared" si="45"/>
        <v>-75.5758752</v>
      </c>
      <c r="AQ86" s="108">
        <f t="shared" si="46"/>
        <v>-77.6666681</v>
      </c>
      <c r="AR86" s="108">
        <f t="shared" si="47"/>
        <v>-39.9594154</v>
      </c>
      <c r="AS86" s="108">
        <f t="shared" si="48"/>
        <v>-45.737258</v>
      </c>
      <c r="AT86" s="108">
        <f t="shared" si="49"/>
        <v>-44.5809225</v>
      </c>
      <c r="AU86" s="108">
        <f t="shared" si="50"/>
        <v>-49.4237441</v>
      </c>
      <c r="AV86" s="109">
        <f t="shared" si="51"/>
        <v>-36.1295081</v>
      </c>
    </row>
    <row r="87" spans="33:48">
      <c r="AG87" s="105" t="e">
        <f t="shared" si="36"/>
        <v>#VALUE!</v>
      </c>
      <c r="AH87" s="105" t="e">
        <f t="shared" si="37"/>
        <v>#VALUE!</v>
      </c>
      <c r="AI87" s="105">
        <f t="shared" si="38"/>
        <v>-11450400</v>
      </c>
      <c r="AJ87" s="105">
        <f t="shared" si="39"/>
        <v>-63150576</v>
      </c>
      <c r="AK87" s="105">
        <f t="shared" si="40"/>
        <v>-9449216</v>
      </c>
      <c r="AL87" s="105">
        <f t="shared" si="41"/>
        <v>0</v>
      </c>
      <c r="AM87" s="105">
        <f t="shared" si="42"/>
        <v>-5713784</v>
      </c>
      <c r="AN87" s="105">
        <f t="shared" si="43"/>
        <v>-47924008</v>
      </c>
      <c r="AO87" s="105">
        <f t="shared" si="44"/>
        <v>-63568</v>
      </c>
      <c r="AP87" s="105">
        <f t="shared" si="45"/>
        <v>-78.2062385</v>
      </c>
      <c r="AQ87" s="108">
        <f t="shared" si="46"/>
        <v>-80.8811542</v>
      </c>
      <c r="AR87" s="108">
        <f t="shared" si="47"/>
        <v>-41.2815828</v>
      </c>
      <c r="AS87" s="108">
        <f t="shared" si="48"/>
        <v>-46.4662291</v>
      </c>
      <c r="AT87" s="108">
        <f t="shared" si="49"/>
        <v>-45.431433</v>
      </c>
      <c r="AU87" s="108">
        <f t="shared" si="50"/>
        <v>-51.0175358</v>
      </c>
      <c r="AV87" s="109">
        <f t="shared" si="51"/>
        <v>-37.7465944</v>
      </c>
    </row>
    <row r="88" spans="33:48">
      <c r="AG88" s="105" t="e">
        <f t="shared" si="36"/>
        <v>#VALUE!</v>
      </c>
      <c r="AH88" s="105" t="e">
        <f t="shared" si="37"/>
        <v>#VALUE!</v>
      </c>
      <c r="AI88" s="105">
        <f t="shared" si="38"/>
        <v>-11450400</v>
      </c>
      <c r="AJ88" s="105">
        <f t="shared" si="39"/>
        <v>-90999176</v>
      </c>
      <c r="AK88" s="105">
        <f t="shared" si="40"/>
        <v>-9449216</v>
      </c>
      <c r="AL88" s="105">
        <f t="shared" si="41"/>
        <v>0</v>
      </c>
      <c r="AM88" s="105">
        <f t="shared" si="42"/>
        <v>-9312864</v>
      </c>
      <c r="AN88" s="105">
        <f t="shared" si="43"/>
        <v>-72174160</v>
      </c>
      <c r="AO88" s="105">
        <f t="shared" si="44"/>
        <v>-62936</v>
      </c>
      <c r="AP88" s="105">
        <f t="shared" si="45"/>
        <v>-79.4857838</v>
      </c>
      <c r="AQ88" s="108">
        <f t="shared" si="46"/>
        <v>-82.6769771</v>
      </c>
      <c r="AR88" s="108">
        <f t="shared" si="47"/>
        <v>-42.2264906</v>
      </c>
      <c r="AS88" s="108">
        <f t="shared" si="48"/>
        <v>-47.6082557</v>
      </c>
      <c r="AT88" s="108">
        <f t="shared" si="49"/>
        <v>-46.7720003</v>
      </c>
      <c r="AU88" s="108">
        <f t="shared" si="50"/>
        <v>-51.6440538</v>
      </c>
      <c r="AV88" s="109">
        <f t="shared" si="51"/>
        <v>-38.8473997</v>
      </c>
    </row>
    <row r="89" spans="33:48">
      <c r="AG89" s="105" t="e">
        <f t="shared" si="36"/>
        <v>#VALUE!</v>
      </c>
      <c r="AH89" s="105" t="e">
        <f t="shared" si="37"/>
        <v>#VALUE!</v>
      </c>
      <c r="AI89" s="105">
        <f t="shared" si="38"/>
        <v>-34479248</v>
      </c>
      <c r="AJ89" s="105">
        <f t="shared" si="39"/>
        <v>-131172864</v>
      </c>
      <c r="AK89" s="105">
        <f t="shared" si="40"/>
        <v>-21653048</v>
      </c>
      <c r="AL89" s="105">
        <f t="shared" si="41"/>
        <v>0</v>
      </c>
      <c r="AM89" s="105">
        <f t="shared" si="42"/>
        <v>-8524432</v>
      </c>
      <c r="AN89" s="105">
        <f t="shared" si="43"/>
        <v>-100932520</v>
      </c>
      <c r="AO89" s="105">
        <f t="shared" si="44"/>
        <v>-62864</v>
      </c>
      <c r="AP89" s="105">
        <f t="shared" si="45"/>
        <v>-82.2149638</v>
      </c>
      <c r="AQ89" s="108">
        <f t="shared" si="46"/>
        <v>-86.8097324</v>
      </c>
      <c r="AR89" s="108">
        <f t="shared" si="47"/>
        <v>-43.2117812</v>
      </c>
      <c r="AS89" s="108">
        <f t="shared" si="48"/>
        <v>-48.346214</v>
      </c>
      <c r="AT89" s="108">
        <f t="shared" si="49"/>
        <v>-47.5973418</v>
      </c>
      <c r="AU89" s="108">
        <f t="shared" si="50"/>
        <v>-54.0196542</v>
      </c>
      <c r="AV89" s="109">
        <f t="shared" si="51"/>
        <v>-40.9473141</v>
      </c>
    </row>
    <row r="90" spans="33:48">
      <c r="AG90" s="105" t="e">
        <f t="shared" si="36"/>
        <v>#VALUE!</v>
      </c>
      <c r="AH90" s="105" t="e">
        <f t="shared" si="37"/>
        <v>#VALUE!</v>
      </c>
      <c r="AI90" s="105">
        <f t="shared" si="38"/>
        <v>-17191488</v>
      </c>
      <c r="AJ90" s="105">
        <f t="shared" si="39"/>
        <v>-39001176</v>
      </c>
      <c r="AK90" s="105">
        <f t="shared" si="40"/>
        <v>-5813240</v>
      </c>
      <c r="AL90" s="105">
        <f t="shared" si="41"/>
        <v>0</v>
      </c>
      <c r="AM90" s="105">
        <f t="shared" si="42"/>
        <v>-7239336</v>
      </c>
      <c r="AN90" s="105">
        <f t="shared" si="43"/>
        <v>-25800496</v>
      </c>
      <c r="AO90" s="105">
        <f t="shared" si="44"/>
        <v>-148104</v>
      </c>
      <c r="AP90" s="105">
        <f t="shared" si="45"/>
        <v>-71.6108539</v>
      </c>
      <c r="AQ90" s="108">
        <f t="shared" si="46"/>
        <v>-73.0510433</v>
      </c>
      <c r="AR90" s="108">
        <f t="shared" si="47"/>
        <v>-29.7093339</v>
      </c>
      <c r="AS90" s="108">
        <f t="shared" si="48"/>
        <v>-38.7658353</v>
      </c>
      <c r="AT90" s="108">
        <f t="shared" si="49"/>
        <v>-38.4348422</v>
      </c>
      <c r="AU90" s="108">
        <f t="shared" si="50"/>
        <v>-47.7397672</v>
      </c>
      <c r="AV90" s="109">
        <f t="shared" si="51"/>
        <v>-28.4805297</v>
      </c>
    </row>
    <row r="91" spans="33:48">
      <c r="AG91" s="105" t="e">
        <f t="shared" si="36"/>
        <v>#VALUE!</v>
      </c>
      <c r="AH91" s="105" t="e">
        <f t="shared" si="37"/>
        <v>#VALUE!</v>
      </c>
      <c r="AI91" s="105">
        <f t="shared" si="38"/>
        <v>-34432704</v>
      </c>
      <c r="AJ91" s="105">
        <f t="shared" si="39"/>
        <v>-60674384</v>
      </c>
      <c r="AK91" s="105">
        <f t="shared" si="40"/>
        <v>-8896032</v>
      </c>
      <c r="AL91" s="105">
        <f t="shared" si="41"/>
        <v>0</v>
      </c>
      <c r="AM91" s="105">
        <f t="shared" si="42"/>
        <v>-7800976</v>
      </c>
      <c r="AN91" s="105">
        <f t="shared" si="43"/>
        <v>-43830800</v>
      </c>
      <c r="AO91" s="105">
        <f t="shared" si="44"/>
        <v>-146576</v>
      </c>
      <c r="AP91" s="105">
        <f t="shared" si="45"/>
        <v>-74.2847371</v>
      </c>
      <c r="AQ91" s="108">
        <f t="shared" si="46"/>
        <v>-76.1310398</v>
      </c>
      <c r="AR91" s="108">
        <f t="shared" si="47"/>
        <v>-30.3619829</v>
      </c>
      <c r="AS91" s="108">
        <f t="shared" si="48"/>
        <v>-38.9421725</v>
      </c>
      <c r="AT91" s="108">
        <f t="shared" si="49"/>
        <v>-38.7217801</v>
      </c>
      <c r="AU91" s="108">
        <f t="shared" si="50"/>
        <v>-49.1199246</v>
      </c>
      <c r="AV91" s="109">
        <f t="shared" si="51"/>
        <v>-28.9743483</v>
      </c>
    </row>
    <row r="92" spans="33:48">
      <c r="AG92" s="105" t="e">
        <f t="shared" si="36"/>
        <v>#VALUE!</v>
      </c>
      <c r="AH92" s="105" t="e">
        <f t="shared" si="37"/>
        <v>#VALUE!</v>
      </c>
      <c r="AI92" s="105">
        <f t="shared" si="38"/>
        <v>-68915264</v>
      </c>
      <c r="AJ92" s="105">
        <f t="shared" si="39"/>
        <v>-110591256</v>
      </c>
      <c r="AK92" s="105">
        <f t="shared" si="40"/>
        <v>-15107456</v>
      </c>
      <c r="AL92" s="105">
        <f t="shared" si="41"/>
        <v>0</v>
      </c>
      <c r="AM92" s="105">
        <f t="shared" si="42"/>
        <v>-4853352</v>
      </c>
      <c r="AN92" s="105">
        <f t="shared" si="43"/>
        <v>-90480824</v>
      </c>
      <c r="AO92" s="105">
        <f t="shared" si="44"/>
        <v>-149624</v>
      </c>
      <c r="AP92" s="105">
        <f t="shared" si="45"/>
        <v>-75.0869796</v>
      </c>
      <c r="AQ92" s="108">
        <f t="shared" si="46"/>
        <v>-77.0162251</v>
      </c>
      <c r="AR92" s="108">
        <f t="shared" si="47"/>
        <v>-31.2900206</v>
      </c>
      <c r="AS92" s="108">
        <f t="shared" si="48"/>
        <v>-39.1725682</v>
      </c>
      <c r="AT92" s="108">
        <f t="shared" si="49"/>
        <v>-39.3013987</v>
      </c>
      <c r="AU92" s="108">
        <f t="shared" si="50"/>
        <v>-49.6284943</v>
      </c>
      <c r="AV92" s="109">
        <f t="shared" si="51"/>
        <v>-30.290074</v>
      </c>
    </row>
    <row r="93" spans="33:48">
      <c r="AG93" s="105" t="e">
        <f t="shared" si="36"/>
        <v>#VALUE!</v>
      </c>
      <c r="AH93" s="105" t="e">
        <f t="shared" si="37"/>
        <v>#VALUE!</v>
      </c>
      <c r="AI93" s="105">
        <f t="shared" si="38"/>
        <v>-68915264</v>
      </c>
      <c r="AJ93" s="105">
        <f t="shared" si="39"/>
        <v>-162203992</v>
      </c>
      <c r="AK93" s="105">
        <f t="shared" si="40"/>
        <v>-16735832</v>
      </c>
      <c r="AL93" s="105">
        <f t="shared" si="41"/>
        <v>0</v>
      </c>
      <c r="AM93" s="105">
        <f t="shared" si="42"/>
        <v>-9649336</v>
      </c>
      <c r="AN93" s="105">
        <f t="shared" si="43"/>
        <v>-135667880</v>
      </c>
      <c r="AO93" s="105">
        <f t="shared" si="44"/>
        <v>-150944</v>
      </c>
      <c r="AP93" s="105">
        <f t="shared" si="45"/>
        <v>-76.7968371</v>
      </c>
      <c r="AQ93" s="108">
        <f t="shared" si="46"/>
        <v>-79.1131799</v>
      </c>
      <c r="AR93" s="108">
        <f t="shared" si="47"/>
        <v>-31.9792371</v>
      </c>
      <c r="AS93" s="108">
        <f t="shared" si="48"/>
        <v>-39.2444304</v>
      </c>
      <c r="AT93" s="108">
        <f t="shared" si="49"/>
        <v>-39.4296645</v>
      </c>
      <c r="AU93" s="108">
        <f t="shared" si="50"/>
        <v>-50.5711667</v>
      </c>
      <c r="AV93" s="109">
        <f t="shared" si="51"/>
        <v>-31.010996</v>
      </c>
    </row>
    <row r="94" spans="33:48">
      <c r="AG94" s="105" t="e">
        <f t="shared" si="36"/>
        <v>#VALUE!</v>
      </c>
      <c r="AH94" s="105" t="e">
        <f t="shared" si="37"/>
        <v>#VALUE!</v>
      </c>
      <c r="AI94" s="105">
        <f t="shared" si="38"/>
        <v>-137868480</v>
      </c>
      <c r="AJ94" s="105">
        <f t="shared" si="39"/>
        <v>-243068648</v>
      </c>
      <c r="AK94" s="105">
        <f t="shared" si="40"/>
        <v>-29380392</v>
      </c>
      <c r="AL94" s="105">
        <f t="shared" si="41"/>
        <v>0</v>
      </c>
      <c r="AM94" s="105">
        <f t="shared" si="42"/>
        <v>-7771920</v>
      </c>
      <c r="AN94" s="105">
        <f t="shared" si="43"/>
        <v>-205768768</v>
      </c>
      <c r="AO94" s="105">
        <f t="shared" si="44"/>
        <v>-147568</v>
      </c>
      <c r="AP94" s="105">
        <f t="shared" si="45"/>
        <v>-79.0110414</v>
      </c>
      <c r="AQ94" s="108">
        <f t="shared" si="46"/>
        <v>-81.8837153</v>
      </c>
      <c r="AR94" s="108">
        <f t="shared" si="47"/>
        <v>-32.7812888</v>
      </c>
      <c r="AS94" s="108">
        <f t="shared" si="48"/>
        <v>-39.3287587</v>
      </c>
      <c r="AT94" s="108">
        <f t="shared" si="49"/>
        <v>-39.5805149</v>
      </c>
      <c r="AU94" s="108">
        <f t="shared" si="50"/>
        <v>-51.786278</v>
      </c>
      <c r="AV94" s="109">
        <f t="shared" si="51"/>
        <v>-31.8611116</v>
      </c>
    </row>
    <row r="95" spans="33:48">
      <c r="AG95" s="105" t="e">
        <f t="shared" si="36"/>
        <v>#VALUE!</v>
      </c>
      <c r="AH95" s="105" t="e">
        <f t="shared" si="37"/>
        <v>#VALUE!</v>
      </c>
      <c r="AI95" s="105">
        <f t="shared" si="38"/>
        <v>-17235840</v>
      </c>
      <c r="AJ95" s="105">
        <f t="shared" si="39"/>
        <v>-39963992</v>
      </c>
      <c r="AK95" s="105">
        <f t="shared" si="40"/>
        <v>-5078304</v>
      </c>
      <c r="AL95" s="105">
        <f t="shared" si="41"/>
        <v>0</v>
      </c>
      <c r="AM95" s="105">
        <f t="shared" si="42"/>
        <v>-6342232</v>
      </c>
      <c r="AN95" s="105">
        <f t="shared" si="43"/>
        <v>-28396744</v>
      </c>
      <c r="AO95" s="105">
        <f t="shared" si="44"/>
        <v>-146712</v>
      </c>
      <c r="AP95" s="105">
        <f t="shared" si="45"/>
        <v>-72.4557867</v>
      </c>
      <c r="AQ95" s="108">
        <f t="shared" si="46"/>
        <v>-73.7628024</v>
      </c>
      <c r="AR95" s="108">
        <f t="shared" si="47"/>
        <v>-32.5879144</v>
      </c>
      <c r="AS95" s="108">
        <f t="shared" si="48"/>
        <v>-42.2697354</v>
      </c>
      <c r="AT95" s="108">
        <f t="shared" si="49"/>
        <v>-42.5227975</v>
      </c>
      <c r="AU95" s="108">
        <f t="shared" si="50"/>
        <v>-48.10713</v>
      </c>
      <c r="AV95" s="109">
        <f t="shared" si="51"/>
        <v>-31.762614</v>
      </c>
    </row>
    <row r="96" spans="33:48">
      <c r="AG96" s="105" t="e">
        <f t="shared" si="36"/>
        <v>#VALUE!</v>
      </c>
      <c r="AH96" s="105" t="e">
        <f t="shared" si="37"/>
        <v>#VALUE!</v>
      </c>
      <c r="AI96" s="105">
        <f t="shared" si="38"/>
        <v>-17235840</v>
      </c>
      <c r="AJ96" s="105">
        <f t="shared" si="39"/>
        <v>-60366048</v>
      </c>
      <c r="AK96" s="105">
        <f t="shared" si="40"/>
        <v>-5503152</v>
      </c>
      <c r="AL96" s="105">
        <f t="shared" si="41"/>
        <v>0</v>
      </c>
      <c r="AM96" s="105">
        <f t="shared" si="42"/>
        <v>-6835736</v>
      </c>
      <c r="AN96" s="105">
        <f t="shared" si="43"/>
        <v>-47879880</v>
      </c>
      <c r="AO96" s="105">
        <f t="shared" si="44"/>
        <v>-147280</v>
      </c>
      <c r="AP96" s="105">
        <f t="shared" si="45"/>
        <v>-72.6832183</v>
      </c>
      <c r="AQ96" s="108">
        <f t="shared" si="46"/>
        <v>-74.0197904</v>
      </c>
      <c r="AR96" s="108">
        <f t="shared" si="47"/>
        <v>-33.2380384</v>
      </c>
      <c r="AS96" s="108">
        <f t="shared" si="48"/>
        <v>-42.5194854</v>
      </c>
      <c r="AT96" s="108">
        <f t="shared" si="49"/>
        <v>-42.8101315</v>
      </c>
      <c r="AU96" s="108">
        <f t="shared" si="50"/>
        <v>-48.2401977</v>
      </c>
      <c r="AV96" s="109">
        <f t="shared" si="51"/>
        <v>-32.1791664</v>
      </c>
    </row>
    <row r="97" spans="33:48">
      <c r="AG97" s="105" t="e">
        <f t="shared" si="36"/>
        <v>#VALUE!</v>
      </c>
      <c r="AH97" s="105" t="e">
        <f t="shared" si="37"/>
        <v>#VALUE!</v>
      </c>
      <c r="AI97" s="105">
        <f t="shared" si="38"/>
        <v>-69038976</v>
      </c>
      <c r="AJ97" s="105">
        <f t="shared" si="39"/>
        <v>-108852120</v>
      </c>
      <c r="AK97" s="105">
        <f t="shared" si="40"/>
        <v>-14610096</v>
      </c>
      <c r="AL97" s="105">
        <f t="shared" si="41"/>
        <v>0</v>
      </c>
      <c r="AM97" s="105">
        <f t="shared" si="42"/>
        <v>-6367320</v>
      </c>
      <c r="AN97" s="105">
        <f t="shared" si="43"/>
        <v>-87724496</v>
      </c>
      <c r="AO97" s="105">
        <f t="shared" si="44"/>
        <v>-150208</v>
      </c>
      <c r="AP97" s="105">
        <f t="shared" si="45"/>
        <v>-76.3390679</v>
      </c>
      <c r="AQ97" s="108">
        <f t="shared" si="46"/>
        <v>-78.1999976</v>
      </c>
      <c r="AR97" s="108">
        <f t="shared" si="47"/>
        <v>-34.1913131</v>
      </c>
      <c r="AS97" s="108">
        <f t="shared" si="48"/>
        <v>-42.8609168</v>
      </c>
      <c r="AT97" s="108">
        <f t="shared" si="49"/>
        <v>-43.3432661</v>
      </c>
      <c r="AU97" s="108">
        <f t="shared" si="50"/>
        <v>-50.513347</v>
      </c>
      <c r="AV97" s="109">
        <f t="shared" si="51"/>
        <v>-33.3593019</v>
      </c>
    </row>
    <row r="98" spans="33:48">
      <c r="AG98" s="105" t="e">
        <f t="shared" si="36"/>
        <v>#VALUE!</v>
      </c>
      <c r="AH98" s="105" t="e">
        <f t="shared" si="37"/>
        <v>#VALUE!</v>
      </c>
      <c r="AI98" s="105">
        <f t="shared" si="38"/>
        <v>-69038976</v>
      </c>
      <c r="AJ98" s="105">
        <f t="shared" si="39"/>
        <v>-160441256</v>
      </c>
      <c r="AK98" s="105">
        <f t="shared" si="40"/>
        <v>-16230048</v>
      </c>
      <c r="AL98" s="105">
        <f t="shared" si="41"/>
        <v>0</v>
      </c>
      <c r="AM98" s="105">
        <f t="shared" si="42"/>
        <v>-9111464</v>
      </c>
      <c r="AN98" s="105">
        <f t="shared" si="43"/>
        <v>-134948880</v>
      </c>
      <c r="AO98" s="105">
        <f t="shared" si="44"/>
        <v>-150864</v>
      </c>
      <c r="AP98" s="105">
        <f t="shared" si="45"/>
        <v>-77.3589374</v>
      </c>
      <c r="AQ98" s="108">
        <f t="shared" si="46"/>
        <v>-79.4459872</v>
      </c>
      <c r="AR98" s="108">
        <f t="shared" si="47"/>
        <v>-34.8669135</v>
      </c>
      <c r="AS98" s="108">
        <f t="shared" si="48"/>
        <v>-42.9946765</v>
      </c>
      <c r="AT98" s="108">
        <f t="shared" si="49"/>
        <v>-43.5309271</v>
      </c>
      <c r="AU98" s="108">
        <f t="shared" si="50"/>
        <v>-51.0219752</v>
      </c>
      <c r="AV98" s="109">
        <f t="shared" si="51"/>
        <v>-33.9736216</v>
      </c>
    </row>
    <row r="99" ht="15.75" customHeight="1" spans="33:48">
      <c r="AG99" s="118" t="e">
        <f t="shared" ref="AG99" si="52">AG44-L44</f>
        <v>#VALUE!</v>
      </c>
      <c r="AH99" s="118" t="e">
        <f t="shared" ref="AH99" si="53">AH44-M44</f>
        <v>#VALUE!</v>
      </c>
      <c r="AI99" s="118">
        <f t="shared" ref="AI99" si="54">AI44-N44</f>
        <v>-138091776</v>
      </c>
      <c r="AJ99" s="118">
        <f t="shared" ref="AJ99" si="55">AJ44-O44</f>
        <v>-241486384</v>
      </c>
      <c r="AK99" s="118">
        <f t="shared" ref="AK99" si="56">AK44-P44</f>
        <v>-25398744</v>
      </c>
      <c r="AL99" s="118">
        <f t="shared" ref="AL99" si="57">AL44-Q44</f>
        <v>0</v>
      </c>
      <c r="AM99" s="118">
        <f t="shared" ref="AM99" si="58">AM44-R44</f>
        <v>-9900784</v>
      </c>
      <c r="AN99" s="118">
        <f t="shared" ref="AN99" si="59">AN44-S44</f>
        <v>-206039064</v>
      </c>
      <c r="AO99" s="118">
        <f t="shared" ref="AO99" si="60">AO44-T44</f>
        <v>-147792</v>
      </c>
      <c r="AP99" s="118">
        <f t="shared" ref="AP99" si="61">AP44-U44</f>
        <v>-79.6911806</v>
      </c>
      <c r="AQ99" s="119">
        <f t="shared" ref="AQ99" si="62">AQ44-V44</f>
        <v>-82.3749389</v>
      </c>
      <c r="AR99" s="119">
        <f t="shared" ref="AR99" si="63">AR44-W44</f>
        <v>-35.7036644</v>
      </c>
      <c r="AS99" s="119">
        <f t="shared" ref="AS99" si="64">AS44-X44</f>
        <v>-43.1238303</v>
      </c>
      <c r="AT99" s="119">
        <f t="shared" ref="AT99" si="65">AT44-Y44</f>
        <v>-43.7214446</v>
      </c>
      <c r="AU99" s="119">
        <f t="shared" ref="AU99" si="66">AU44-Z44</f>
        <v>-52.4235461</v>
      </c>
      <c r="AV99" s="120">
        <f t="shared" ref="AV99" si="67">AV44-AA44</f>
        <v>-34.9286124</v>
      </c>
    </row>
    <row r="100" spans="33:48">
      <c r="AG100" s="105" t="e">
        <f t="shared" ref="AG100:AV103" si="68">AG45-L45</f>
        <v>#VALUE!</v>
      </c>
      <c r="AH100" s="105" t="e">
        <f t="shared" si="68"/>
        <v>#VALUE!</v>
      </c>
      <c r="AI100" s="105">
        <f t="shared" si="68"/>
        <v>-76800</v>
      </c>
      <c r="AJ100" s="105">
        <f t="shared" si="68"/>
        <v>-141016</v>
      </c>
      <c r="AK100" s="105">
        <f t="shared" si="68"/>
        <v>-21312</v>
      </c>
      <c r="AL100" s="105">
        <f t="shared" si="68"/>
        <v>0</v>
      </c>
      <c r="AM100" s="105">
        <f t="shared" si="68"/>
        <v>-24776</v>
      </c>
      <c r="AN100" s="105">
        <f t="shared" si="68"/>
        <v>-93312</v>
      </c>
      <c r="AO100" s="105">
        <f t="shared" si="68"/>
        <v>-1616</v>
      </c>
      <c r="AP100" s="105">
        <f t="shared" si="68"/>
        <v>-74.5244269</v>
      </c>
      <c r="AQ100" s="108">
        <f t="shared" si="68"/>
        <v>-76.5139341</v>
      </c>
      <c r="AR100" s="108">
        <f t="shared" si="68"/>
        <v>-30.2380966</v>
      </c>
      <c r="AS100" s="108">
        <f t="shared" si="68"/>
        <v>-41.188856</v>
      </c>
      <c r="AT100" s="108">
        <f t="shared" si="68"/>
        <v>-39.5955567</v>
      </c>
      <c r="AU100" s="108">
        <f t="shared" si="68"/>
        <v>-54.1221851</v>
      </c>
      <c r="AV100" s="109">
        <f t="shared" si="68"/>
        <v>-29.4319784</v>
      </c>
    </row>
    <row r="101" spans="33:48">
      <c r="AG101" s="105" t="e">
        <f t="shared" si="68"/>
        <v>#VALUE!</v>
      </c>
      <c r="AH101" s="105" t="e">
        <f t="shared" si="68"/>
        <v>#VALUE!</v>
      </c>
      <c r="AI101" s="105">
        <f t="shared" si="68"/>
        <v>-153600</v>
      </c>
      <c r="AJ101" s="105">
        <f t="shared" si="68"/>
        <v>-215808</v>
      </c>
      <c r="AK101" s="105">
        <f t="shared" si="68"/>
        <v>-35072</v>
      </c>
      <c r="AL101" s="105">
        <f t="shared" si="68"/>
        <v>0</v>
      </c>
      <c r="AM101" s="105">
        <f t="shared" si="68"/>
        <v>-21152</v>
      </c>
      <c r="AN101" s="105">
        <f t="shared" si="68"/>
        <v>-157928</v>
      </c>
      <c r="AO101" s="105">
        <f t="shared" si="68"/>
        <v>-1656</v>
      </c>
      <c r="AP101" s="105">
        <f t="shared" si="68"/>
        <v>-75.6875305</v>
      </c>
      <c r="AQ101" s="108">
        <f t="shared" si="68"/>
        <v>-77.9866738</v>
      </c>
      <c r="AR101" s="108">
        <f t="shared" si="68"/>
        <v>-31.1577939</v>
      </c>
      <c r="AS101" s="108">
        <f t="shared" si="68"/>
        <v>-42.2831626</v>
      </c>
      <c r="AT101" s="108">
        <f t="shared" si="68"/>
        <v>-40.5917211</v>
      </c>
      <c r="AU101" s="108">
        <f t="shared" si="68"/>
        <v>-54.8310615</v>
      </c>
      <c r="AV101" s="109">
        <f t="shared" si="68"/>
        <v>-29.977538</v>
      </c>
    </row>
    <row r="102" spans="33:48">
      <c r="AG102" s="105" t="e">
        <f t="shared" si="68"/>
        <v>#VALUE!</v>
      </c>
      <c r="AH102" s="105" t="e">
        <f t="shared" si="68"/>
        <v>#VALUE!</v>
      </c>
      <c r="AI102" s="105">
        <f t="shared" si="68"/>
        <v>-307200</v>
      </c>
      <c r="AJ102" s="105">
        <f t="shared" si="68"/>
        <v>-356976</v>
      </c>
      <c r="AK102" s="105">
        <f t="shared" si="68"/>
        <v>-66592</v>
      </c>
      <c r="AL102" s="105">
        <f t="shared" si="68"/>
        <v>0</v>
      </c>
      <c r="AM102" s="105">
        <f t="shared" si="68"/>
        <v>-14944</v>
      </c>
      <c r="AN102" s="105">
        <f t="shared" si="68"/>
        <v>-273784</v>
      </c>
      <c r="AO102" s="105">
        <f t="shared" si="68"/>
        <v>-1656</v>
      </c>
      <c r="AP102" s="105">
        <f t="shared" si="68"/>
        <v>-77.2881027</v>
      </c>
      <c r="AQ102" s="108">
        <f t="shared" si="68"/>
        <v>-79.9297901</v>
      </c>
      <c r="AR102" s="108">
        <f t="shared" si="68"/>
        <v>-31.7514739</v>
      </c>
      <c r="AS102" s="108">
        <f t="shared" si="68"/>
        <v>-44.3194516</v>
      </c>
      <c r="AT102" s="108">
        <f t="shared" si="68"/>
        <v>-43.1361816</v>
      </c>
      <c r="AU102" s="108">
        <f t="shared" si="68"/>
        <v>-55.7650285</v>
      </c>
      <c r="AV102" s="109">
        <f t="shared" si="68"/>
        <v>-31.127217</v>
      </c>
    </row>
    <row r="103" spans="33:48">
      <c r="AG103" s="105" t="e">
        <f t="shared" si="68"/>
        <v>#VALUE!</v>
      </c>
      <c r="AH103" s="105" t="e">
        <f t="shared" si="68"/>
        <v>#VALUE!</v>
      </c>
      <c r="AI103" s="105">
        <f t="shared" si="68"/>
        <v>-307200</v>
      </c>
      <c r="AJ103" s="105">
        <f t="shared" si="68"/>
        <v>-475496</v>
      </c>
      <c r="AK103" s="105">
        <f t="shared" si="68"/>
        <v>-66592</v>
      </c>
      <c r="AL103" s="105">
        <f t="shared" si="68"/>
        <v>0</v>
      </c>
      <c r="AM103" s="105">
        <f t="shared" si="68"/>
        <v>-24168</v>
      </c>
      <c r="AN103" s="105">
        <f t="shared" si="68"/>
        <v>-383064</v>
      </c>
      <c r="AO103" s="105">
        <f t="shared" si="68"/>
        <v>-1672</v>
      </c>
      <c r="AP103" s="105">
        <f t="shared" si="68"/>
        <v>-78.6877531</v>
      </c>
      <c r="AQ103" s="108">
        <f t="shared" si="68"/>
        <v>-81.8125401</v>
      </c>
      <c r="AR103" s="108">
        <f t="shared" si="68"/>
        <v>-32.3061052</v>
      </c>
      <c r="AS103" s="108">
        <f t="shared" si="68"/>
        <v>-44.6266172</v>
      </c>
      <c r="AT103" s="108">
        <f t="shared" si="68"/>
        <v>-43.6057405</v>
      </c>
      <c r="AU103" s="108">
        <f t="shared" si="68"/>
        <v>-56.752283</v>
      </c>
      <c r="AV103" s="109">
        <f t="shared" si="68"/>
        <v>-31.7123879</v>
      </c>
    </row>
    <row r="104" ht="14.25" spans="33:48">
      <c r="AG104" s="118" t="e">
        <f t="shared" ref="AG104" si="69">AG49-L49</f>
        <v>#VALUE!</v>
      </c>
      <c r="AH104" s="118" t="e">
        <f t="shared" ref="AH104" si="70">AH49-M49</f>
        <v>#VALUE!</v>
      </c>
      <c r="AI104" s="118">
        <f t="shared" ref="AI104" si="71">AI49-N49</f>
        <v>-614272</v>
      </c>
      <c r="AJ104" s="118">
        <f t="shared" ref="AJ104" si="72">AJ49-O49</f>
        <v>-744472</v>
      </c>
      <c r="AK104" s="118">
        <f t="shared" ref="AK104" si="73">AK49-P49</f>
        <v>-118952</v>
      </c>
      <c r="AL104" s="118">
        <f t="shared" ref="AL104" si="74">AL49-Q49</f>
        <v>0</v>
      </c>
      <c r="AM104" s="118">
        <f t="shared" ref="AM104" si="75">AM49-R49</f>
        <v>-28464</v>
      </c>
      <c r="AN104" s="118">
        <f t="shared" ref="AN104" si="76">AN49-S49</f>
        <v>-595352</v>
      </c>
      <c r="AO104" s="118">
        <f t="shared" ref="AO104" si="77">AO49-T49</f>
        <v>-1704</v>
      </c>
      <c r="AP104" s="118">
        <f t="shared" ref="AP104" si="78">AP49-U49</f>
        <v>-80.4058053</v>
      </c>
      <c r="AQ104" s="119">
        <f t="shared" ref="AQ104" si="79">AQ49-V49</f>
        <v>-84.4587353</v>
      </c>
      <c r="AR104" s="119">
        <f t="shared" ref="AR104" si="80">AR49-W49</f>
        <v>-33.1278634</v>
      </c>
      <c r="AS104" s="119">
        <f t="shared" ref="AS104" si="81">AS49-X49</f>
        <v>-45.2935165</v>
      </c>
      <c r="AT104" s="119">
        <f t="shared" ref="AT104" si="82">AT49-Y49</f>
        <v>-44.3818292</v>
      </c>
      <c r="AU104" s="119">
        <f t="shared" ref="AU104" si="83">AU49-Z49</f>
        <v>-57.884126</v>
      </c>
      <c r="AV104" s="120">
        <f t="shared" ref="AV104" si="84">AV49-AA49</f>
        <v>-32.596453</v>
      </c>
    </row>
  </sheetData>
  <mergeCells count="52">
    <mergeCell ref="A1:H1"/>
    <mergeCell ref="J1:AC1"/>
    <mergeCell ref="AE1:AX1"/>
    <mergeCell ref="U2:Y2"/>
    <mergeCell ref="Z2:AA2"/>
    <mergeCell ref="AP2:AT2"/>
    <mergeCell ref="AU2:AV2"/>
    <mergeCell ref="AZ2:BD2"/>
    <mergeCell ref="BE2:BF2"/>
    <mergeCell ref="BH2:BI2"/>
    <mergeCell ref="BJ2:BL2"/>
    <mergeCell ref="A2:A3"/>
    <mergeCell ref="B2:B3"/>
    <mergeCell ref="C2:C3"/>
    <mergeCell ref="D2:D3"/>
    <mergeCell ref="E2:E3"/>
    <mergeCell ref="F2:F3"/>
    <mergeCell ref="G2:G3"/>
    <mergeCell ref="H2:H3"/>
    <mergeCell ref="J2:J3"/>
    <mergeCell ref="K2:K3"/>
    <mergeCell ref="L2:L3"/>
    <mergeCell ref="M2:M3"/>
    <mergeCell ref="N2:N3"/>
    <mergeCell ref="O2:O3"/>
    <mergeCell ref="P2:P3"/>
    <mergeCell ref="Q2:Q3"/>
    <mergeCell ref="R2:R3"/>
    <mergeCell ref="S2:S3"/>
    <mergeCell ref="T2:T3"/>
    <mergeCell ref="AB2:AB3"/>
    <mergeCell ref="AC2:AC3"/>
    <mergeCell ref="AE2:AE3"/>
    <mergeCell ref="AF2:AF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AW2:AW3"/>
    <mergeCell ref="AX2:AX3"/>
    <mergeCell ref="BM2:BM3"/>
    <mergeCell ref="BN2:BN3"/>
    <mergeCell ref="BP2:BP3"/>
    <mergeCell ref="BQ2:BQ3"/>
    <mergeCell ref="BR2:BR3"/>
    <mergeCell ref="BS2:BS3"/>
    <mergeCell ref="BT2:BT3"/>
  </mergeCells>
  <conditionalFormatting sqref="J5:J50">
    <cfRule type="expression" dxfId="3" priority="36">
      <formula>OR(J5&lt;H5*0.9,J5&gt;H5)</formula>
    </cfRule>
  </conditionalFormatting>
  <conditionalFormatting sqref="L5:L49">
    <cfRule type="expression" dxfId="4" priority="22">
      <formula>NOT(L5=O5)</formula>
    </cfRule>
  </conditionalFormatting>
  <conditionalFormatting sqref="AE5:AE50">
    <cfRule type="expression" dxfId="3" priority="35">
      <formula>OR(AE5&lt;H5*0.9,AE5&gt;H5)</formula>
    </cfRule>
  </conditionalFormatting>
  <conditionalFormatting sqref="AG5:AG49">
    <cfRule type="expression" dxfId="4" priority="21">
      <formula>NOT(AG5=AJ5)</formula>
    </cfRule>
  </conditionalFormatting>
  <conditionalFormatting sqref="BQ5:BQ52">
    <cfRule type="cellIs" dxfId="0" priority="31" operator="greaterThanOrEqual">
      <formula>0.001</formula>
    </cfRule>
    <cfRule type="cellIs" dxfId="1" priority="32" operator="lessThanOrEqual">
      <formula>-0.001</formula>
    </cfRule>
  </conditionalFormatting>
  <conditionalFormatting sqref="BR5:BR52">
    <cfRule type="cellIs" dxfId="0" priority="29" operator="greaterThanOrEqual">
      <formula>0.001</formula>
    </cfRule>
    <cfRule type="cellIs" dxfId="1" priority="30" operator="lessThanOrEqual">
      <formula>-0.001</formula>
    </cfRule>
  </conditionalFormatting>
  <conditionalFormatting sqref="BS5:BS52">
    <cfRule type="cellIs" dxfId="0" priority="27" operator="greaterThanOrEqual">
      <formula>0.001</formula>
    </cfRule>
    <cfRule type="cellIs" dxfId="1" priority="28" operator="lessThanOrEqual">
      <formula>-0.001</formula>
    </cfRule>
  </conditionalFormatting>
  <conditionalFormatting sqref="BT5:BT52">
    <cfRule type="cellIs" dxfId="0" priority="5" operator="greaterThanOrEqual">
      <formula>0.001</formula>
    </cfRule>
    <cfRule type="cellIs" dxfId="1" priority="6" operator="lessThanOrEqual">
      <formula>-0.001</formula>
    </cfRule>
  </conditionalFormatting>
  <conditionalFormatting sqref="AZ5:AZ54 BA53:BN53">
    <cfRule type="cellIs" dxfId="0" priority="37" operator="greaterThanOrEqual">
      <formula>0.03</formula>
    </cfRule>
    <cfRule type="cellIs" dxfId="1" priority="38" operator="lessThanOrEqual">
      <formula>-0.03</formula>
    </cfRule>
  </conditionalFormatting>
  <conditionalFormatting sqref="BA5:BA52 BA54">
    <cfRule type="cellIs" dxfId="0" priority="39" operator="greaterThanOrEqual">
      <formula>0.03</formula>
    </cfRule>
    <cfRule type="cellIs" dxfId="1" priority="40" operator="lessThanOrEqual">
      <formula>-0.03</formula>
    </cfRule>
  </conditionalFormatting>
  <conditionalFormatting sqref="BB5:BB52 BB54">
    <cfRule type="cellIs" dxfId="0" priority="47" operator="greaterThanOrEqual">
      <formula>0.03</formula>
    </cfRule>
    <cfRule type="cellIs" dxfId="1" priority="48" operator="lessThanOrEqual">
      <formula>-0.03</formula>
    </cfRule>
  </conditionalFormatting>
  <conditionalFormatting sqref="BC5:BC52 BC54">
    <cfRule type="cellIs" dxfId="0" priority="49" operator="greaterThanOrEqual">
      <formula>0.03</formula>
    </cfRule>
    <cfRule type="cellIs" dxfId="1" priority="50" operator="lessThanOrEqual">
      <formula>-0.03</formula>
    </cfRule>
  </conditionalFormatting>
  <conditionalFormatting sqref="BD5:BD52 BD54">
    <cfRule type="cellIs" dxfId="0" priority="41" operator="greaterThanOrEqual">
      <formula>0.03</formula>
    </cfRule>
    <cfRule type="cellIs" dxfId="1" priority="42" operator="lessThanOrEqual">
      <formula>-0.03</formula>
    </cfRule>
  </conditionalFormatting>
  <conditionalFormatting sqref="BE5:BE52 BE54">
    <cfRule type="cellIs" dxfId="0" priority="43" operator="greaterThanOrEqual">
      <formula>0.03</formula>
    </cfRule>
    <cfRule type="cellIs" dxfId="1" priority="44" operator="lessThanOrEqual">
      <formula>-0.03</formula>
    </cfRule>
  </conditionalFormatting>
  <conditionalFormatting sqref="BF5:BF52 BF54">
    <cfRule type="cellIs" dxfId="0" priority="45" operator="greaterThanOrEqual">
      <formula>0.03</formula>
    </cfRule>
    <cfRule type="cellIs" dxfId="1" priority="46" operator="lessThanOrEqual">
      <formula>-0.03</formula>
    </cfRule>
  </conditionalFormatting>
  <conditionalFormatting sqref="BH5:BH52 BH54">
    <cfRule type="cellIs" dxfId="0" priority="11" operator="greaterThanOrEqual">
      <formula>0.03</formula>
    </cfRule>
    <cfRule type="cellIs" dxfId="1" priority="12" operator="lessThanOrEqual">
      <formula>-0.03</formula>
    </cfRule>
  </conditionalFormatting>
  <conditionalFormatting sqref="BI5:BI52 BI54">
    <cfRule type="cellIs" dxfId="0" priority="7" operator="greaterThanOrEqual">
      <formula>0.03</formula>
    </cfRule>
    <cfRule type="cellIs" dxfId="1" priority="8" operator="lessThanOrEqual">
      <formula>-0.03</formula>
    </cfRule>
  </conditionalFormatting>
  <conditionalFormatting sqref="BJ5:BJ52 BJ54">
    <cfRule type="cellIs" dxfId="0" priority="15" operator="greaterThanOrEqual">
      <formula>0.03</formula>
    </cfRule>
    <cfRule type="cellIs" dxfId="1" priority="16" operator="lessThanOrEqual">
      <formula>-0.03</formula>
    </cfRule>
  </conditionalFormatting>
  <conditionalFormatting sqref="BK5:BK52 BK54">
    <cfRule type="cellIs" dxfId="0" priority="17" operator="greaterThanOrEqual">
      <formula>0.03</formula>
    </cfRule>
    <cfRule type="cellIs" dxfId="1" priority="18" operator="lessThanOrEqual">
      <formula>-0.03</formula>
    </cfRule>
  </conditionalFormatting>
  <conditionalFormatting sqref="BL5:BL52 BL54">
    <cfRule type="cellIs" dxfId="0" priority="9" operator="greaterThanOrEqual">
      <formula>0.03</formula>
    </cfRule>
    <cfRule type="cellIs" dxfId="1" priority="10" operator="lessThanOrEqual">
      <formula>-0.03</formula>
    </cfRule>
  </conditionalFormatting>
  <conditionalFormatting sqref="BM5:BM52 BM54">
    <cfRule type="cellIs" dxfId="0" priority="19" operator="greaterThanOrEqual">
      <formula>0.03</formula>
    </cfRule>
    <cfRule type="cellIs" dxfId="1" priority="20" operator="lessThanOrEqual">
      <formula>-0.03</formula>
    </cfRule>
  </conditionalFormatting>
  <conditionalFormatting sqref="BN5:BN52 BN54">
    <cfRule type="cellIs" dxfId="0" priority="13" operator="greaterThanOrEqual">
      <formula>0.03</formula>
    </cfRule>
    <cfRule type="cellIs" dxfId="1" priority="14" operator="lessThanOrEqual">
      <formula>-0.03</formula>
    </cfRule>
  </conditionalFormatting>
  <conditionalFormatting sqref="BP5:BP54 BQ53:BT54">
    <cfRule type="cellIs" dxfId="0" priority="33" operator="greaterThanOrEqual">
      <formula>0.001</formula>
    </cfRule>
    <cfRule type="cellIs" dxfId="1" priority="34" operator="lessThanOrEqual">
      <formula>-0.001</formula>
    </cfRule>
  </conditionalFormatting>
  <conditionalFormatting sqref="AG60:AQ99">
    <cfRule type="cellIs" dxfId="5" priority="25" operator="lessThan">
      <formula>0</formula>
    </cfRule>
    <cfRule type="cellIs" dxfId="5" priority="26" operator="greaterThan">
      <formula>0</formula>
    </cfRule>
  </conditionalFormatting>
  <conditionalFormatting sqref="AR60:AV99">
    <cfRule type="cellIs" dxfId="5" priority="23" operator="lessThan">
      <formula>0</formula>
    </cfRule>
    <cfRule type="cellIs" dxfId="5" priority="24" operator="greaterThan">
      <formula>0</formula>
    </cfRule>
  </conditionalFormatting>
  <conditionalFormatting sqref="AG100:AQ104">
    <cfRule type="cellIs" dxfId="5" priority="3" operator="lessThan">
      <formula>0</formula>
    </cfRule>
    <cfRule type="cellIs" dxfId="5" priority="4" operator="greaterThan">
      <formula>0</formula>
    </cfRule>
  </conditionalFormatting>
  <conditionalFormatting sqref="AR100:AV104">
    <cfRule type="cellIs" dxfId="5" priority="1" operator="lessThan">
      <formula>0</formula>
    </cfRule>
    <cfRule type="cellIs" dxfId="5" priority="2" operator="greaterThan">
      <formula>0</formula>
    </cfRule>
  </conditionalFormatting>
  <pageMargins left="0.7" right="0.7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ummaryBelow="0"/>
  </sheetPr>
  <dimension ref="A1:BT98"/>
  <sheetViews>
    <sheetView tabSelected="1" zoomScale="80" zoomScaleNormal="80" workbookViewId="0">
      <pane xSplit="2" ySplit="4" topLeftCell="C21" activePane="bottomRight" state="frozen"/>
      <selection/>
      <selection pane="topRight"/>
      <selection pane="bottomLeft"/>
      <selection pane="bottomRight" activeCell="AI5" sqref="AI5:AX44"/>
    </sheetView>
  </sheetViews>
  <sheetFormatPr defaultColWidth="9.12389380530973" defaultRowHeight="13.5"/>
  <cols>
    <col min="2" max="2" width="24.6283185840708" customWidth="1"/>
    <col min="4" max="5" width="10.6283185840708" customWidth="1"/>
    <col min="9" max="9" width="1.6283185840708" customWidth="1"/>
    <col min="11" max="11" width="10.6283185840708" customWidth="1"/>
    <col min="12" max="13" width="12.5044247787611" customWidth="1"/>
    <col min="14" max="14" width="10.6283185840708" customWidth="1"/>
    <col min="15" max="20" width="12.6283185840708" customWidth="1"/>
    <col min="21" max="27" width="11.6283185840708" customWidth="1"/>
    <col min="30" max="30" width="1.6283185840708" customWidth="1"/>
    <col min="32" max="32" width="10.6283185840708" customWidth="1"/>
    <col min="33" max="34" width="12.5044247787611" customWidth="1"/>
    <col min="35" max="35" width="10.6283185840708" customWidth="1"/>
    <col min="36" max="41" width="12.6283185840708" customWidth="1"/>
    <col min="42" max="48" width="11.6283185840708" customWidth="1"/>
    <col min="51" max="51" width="1.6283185840708" customWidth="1"/>
    <col min="54" max="58" width="11.6283185840708" customWidth="1"/>
    <col min="59" max="59" width="1.6283185840708" customWidth="1"/>
    <col min="62" max="66" width="11.6283185840708" customWidth="1"/>
    <col min="67" max="67" width="1.6283185840708" customWidth="1"/>
  </cols>
  <sheetData>
    <row r="1" spans="1:31">
      <c r="A1" s="51" t="s">
        <v>437</v>
      </c>
      <c r="J1" s="69" t="str">
        <f>Summary!C1</f>
        <v>F300_v11.0</v>
      </c>
      <c r="AE1" s="97">
        <f>Summary!C2</f>
        <v>0</v>
      </c>
    </row>
    <row r="2" ht="33" customHeight="1" spans="1:72">
      <c r="A2" s="52" t="s">
        <v>162</v>
      </c>
      <c r="B2" s="53" t="s">
        <v>163</v>
      </c>
      <c r="C2" s="52" t="s">
        <v>388</v>
      </c>
      <c r="D2" s="53" t="s">
        <v>164</v>
      </c>
      <c r="E2" s="52" t="s">
        <v>165</v>
      </c>
      <c r="F2" s="53" t="s">
        <v>166</v>
      </c>
      <c r="G2" s="52" t="s">
        <v>167</v>
      </c>
      <c r="H2" s="53" t="s">
        <v>389</v>
      </c>
      <c r="J2" s="52" t="s">
        <v>132</v>
      </c>
      <c r="K2" s="53" t="s">
        <v>136</v>
      </c>
      <c r="L2" s="70" t="s">
        <v>125</v>
      </c>
      <c r="M2" s="53" t="s">
        <v>390</v>
      </c>
      <c r="N2" s="52" t="s">
        <v>86</v>
      </c>
      <c r="O2" s="53" t="s">
        <v>125</v>
      </c>
      <c r="P2" s="71" t="s">
        <v>391</v>
      </c>
      <c r="Q2" s="71" t="s">
        <v>392</v>
      </c>
      <c r="R2" s="71" t="s">
        <v>393</v>
      </c>
      <c r="S2" s="71" t="s">
        <v>394</v>
      </c>
      <c r="T2" s="71" t="s">
        <v>395</v>
      </c>
      <c r="U2" s="90" t="s">
        <v>396</v>
      </c>
      <c r="Z2" s="71" t="s">
        <v>397</v>
      </c>
      <c r="AB2" s="52" t="s">
        <v>127</v>
      </c>
      <c r="AC2" s="53" t="s">
        <v>107</v>
      </c>
      <c r="AE2" s="52" t="s">
        <v>132</v>
      </c>
      <c r="AF2" s="53" t="s">
        <v>136</v>
      </c>
      <c r="AG2" s="70" t="s">
        <v>125</v>
      </c>
      <c r="AH2" s="53" t="s">
        <v>390</v>
      </c>
      <c r="AI2" s="52" t="s">
        <v>86</v>
      </c>
      <c r="AJ2" s="53" t="s">
        <v>125</v>
      </c>
      <c r="AK2" s="71" t="s">
        <v>391</v>
      </c>
      <c r="AL2" s="71" t="s">
        <v>392</v>
      </c>
      <c r="AM2" s="71" t="s">
        <v>393</v>
      </c>
      <c r="AN2" s="71" t="s">
        <v>394</v>
      </c>
      <c r="AO2" s="71" t="s">
        <v>395</v>
      </c>
      <c r="AP2" s="90" t="s">
        <v>396</v>
      </c>
      <c r="AU2" s="71" t="s">
        <v>397</v>
      </c>
      <c r="AW2" s="52" t="s">
        <v>127</v>
      </c>
      <c r="AX2" s="53" t="s">
        <v>107</v>
      </c>
      <c r="AZ2" s="90" t="s">
        <v>17</v>
      </c>
      <c r="BE2" s="71" t="s">
        <v>18</v>
      </c>
      <c r="BH2" s="90" t="s">
        <v>398</v>
      </c>
      <c r="BI2" s="90"/>
      <c r="BJ2" s="113" t="s">
        <v>399</v>
      </c>
      <c r="BK2" s="113"/>
      <c r="BL2" s="113"/>
      <c r="BM2" s="52" t="s">
        <v>438</v>
      </c>
      <c r="BN2" s="53" t="s">
        <v>401</v>
      </c>
      <c r="BP2" s="52" t="s">
        <v>402</v>
      </c>
      <c r="BQ2" s="52" t="s">
        <v>403</v>
      </c>
      <c r="BR2" s="52" t="s">
        <v>404</v>
      </c>
      <c r="BS2" s="52" t="s">
        <v>405</v>
      </c>
      <c r="BT2" s="52" t="s">
        <v>406</v>
      </c>
    </row>
    <row r="3" ht="33" customHeight="1" spans="1:72">
      <c r="A3" s="37"/>
      <c r="B3" s="37"/>
      <c r="C3" s="37"/>
      <c r="D3" s="37"/>
      <c r="E3" s="37"/>
      <c r="F3" s="37"/>
      <c r="G3" s="37"/>
      <c r="H3" s="37"/>
      <c r="J3" s="37"/>
      <c r="K3" s="37"/>
      <c r="L3" s="72"/>
      <c r="M3" s="37"/>
      <c r="N3" s="37"/>
      <c r="O3" s="37"/>
      <c r="P3" s="53"/>
      <c r="Q3" s="53"/>
      <c r="R3" s="53"/>
      <c r="S3" s="53"/>
      <c r="T3" s="53"/>
      <c r="U3" s="52" t="s">
        <v>19</v>
      </c>
      <c r="V3" s="52" t="s">
        <v>20</v>
      </c>
      <c r="W3" s="52" t="s">
        <v>21</v>
      </c>
      <c r="X3" s="52" t="s">
        <v>22</v>
      </c>
      <c r="Y3" s="52" t="s">
        <v>23</v>
      </c>
      <c r="Z3" s="53" t="s">
        <v>24</v>
      </c>
      <c r="AA3" s="53" t="s">
        <v>21</v>
      </c>
      <c r="AB3" s="37"/>
      <c r="AC3" s="37"/>
      <c r="AE3" s="37"/>
      <c r="AF3" s="37"/>
      <c r="AG3" s="72"/>
      <c r="AH3" s="37"/>
      <c r="AI3" s="37"/>
      <c r="AJ3" s="37"/>
      <c r="AK3" s="53"/>
      <c r="AL3" s="53"/>
      <c r="AM3" s="53"/>
      <c r="AN3" s="53"/>
      <c r="AO3" s="53"/>
      <c r="AP3" s="52" t="s">
        <v>19</v>
      </c>
      <c r="AQ3" s="52" t="s">
        <v>20</v>
      </c>
      <c r="AR3" s="52" t="s">
        <v>21</v>
      </c>
      <c r="AS3" s="52" t="s">
        <v>22</v>
      </c>
      <c r="AT3" s="52" t="s">
        <v>23</v>
      </c>
      <c r="AU3" s="53" t="s">
        <v>24</v>
      </c>
      <c r="AV3" s="53" t="s">
        <v>21</v>
      </c>
      <c r="AW3" s="37"/>
      <c r="AX3" s="37"/>
      <c r="AZ3" s="52" t="s">
        <v>19</v>
      </c>
      <c r="BA3" s="52" t="s">
        <v>20</v>
      </c>
      <c r="BB3" s="52" t="s">
        <v>21</v>
      </c>
      <c r="BC3" s="52" t="s">
        <v>22</v>
      </c>
      <c r="BD3" s="52" t="s">
        <v>23</v>
      </c>
      <c r="BE3" s="53" t="s">
        <v>24</v>
      </c>
      <c r="BF3" s="53" t="s">
        <v>21</v>
      </c>
      <c r="BH3" s="52" t="s">
        <v>19</v>
      </c>
      <c r="BI3" s="52" t="s">
        <v>20</v>
      </c>
      <c r="BJ3" s="11" t="s">
        <v>21</v>
      </c>
      <c r="BK3" s="11" t="s">
        <v>22</v>
      </c>
      <c r="BL3" s="11" t="s">
        <v>23</v>
      </c>
      <c r="BM3" s="52"/>
      <c r="BN3" s="53"/>
      <c r="BP3" s="37"/>
      <c r="BQ3" s="37"/>
      <c r="BR3" s="37"/>
      <c r="BS3" s="37"/>
      <c r="BT3" s="37"/>
    </row>
    <row r="4" ht="54" hidden="1" customHeight="1" spans="1:66">
      <c r="A4" s="54" t="s">
        <v>172</v>
      </c>
      <c r="B4" s="55" t="s">
        <v>173</v>
      </c>
      <c r="C4" s="54" t="s">
        <v>407</v>
      </c>
      <c r="D4" s="55" t="s">
        <v>174</v>
      </c>
      <c r="E4" s="54" t="s">
        <v>175</v>
      </c>
      <c r="F4" s="55" t="s">
        <v>176</v>
      </c>
      <c r="G4" s="54" t="s">
        <v>177</v>
      </c>
      <c r="H4" s="55" t="s">
        <v>408</v>
      </c>
      <c r="J4" s="54" t="s">
        <v>178</v>
      </c>
      <c r="K4" s="55" t="s">
        <v>179</v>
      </c>
      <c r="L4" s="55"/>
      <c r="M4" s="55"/>
      <c r="N4" s="54" t="s">
        <v>409</v>
      </c>
      <c r="O4" s="55" t="s">
        <v>180</v>
      </c>
      <c r="P4" s="55"/>
      <c r="Q4" s="55"/>
      <c r="R4" s="55"/>
      <c r="S4" s="55"/>
      <c r="T4" s="55"/>
      <c r="U4" s="54" t="s">
        <v>410</v>
      </c>
      <c r="V4" s="54" t="s">
        <v>411</v>
      </c>
      <c r="W4" s="54" t="s">
        <v>412</v>
      </c>
      <c r="X4" s="54" t="s">
        <v>413</v>
      </c>
      <c r="Y4" s="54" t="s">
        <v>414</v>
      </c>
      <c r="Z4" s="55" t="s">
        <v>415</v>
      </c>
      <c r="AA4" s="55" t="s">
        <v>416</v>
      </c>
      <c r="AB4" s="54" t="s">
        <v>181</v>
      </c>
      <c r="AC4" s="55" t="s">
        <v>182</v>
      </c>
      <c r="AE4" s="54" t="s">
        <v>183</v>
      </c>
      <c r="AF4" s="55" t="s">
        <v>184</v>
      </c>
      <c r="AG4" s="55"/>
      <c r="AH4" s="55"/>
      <c r="AI4" s="54" t="s">
        <v>417</v>
      </c>
      <c r="AJ4" s="55" t="s">
        <v>185</v>
      </c>
      <c r="AK4" s="55"/>
      <c r="AL4" s="55"/>
      <c r="AM4" s="55"/>
      <c r="AN4" s="55"/>
      <c r="AO4" s="55"/>
      <c r="AP4" s="54" t="s">
        <v>418</v>
      </c>
      <c r="AQ4" s="54" t="s">
        <v>419</v>
      </c>
      <c r="AR4" s="54" t="s">
        <v>420</v>
      </c>
      <c r="AS4" s="54" t="s">
        <v>421</v>
      </c>
      <c r="AT4" s="54" t="s">
        <v>422</v>
      </c>
      <c r="AU4" s="55" t="s">
        <v>423</v>
      </c>
      <c r="AV4" s="55" t="s">
        <v>424</v>
      </c>
      <c r="AW4" s="54" t="s">
        <v>186</v>
      </c>
      <c r="AX4" s="55" t="s">
        <v>187</v>
      </c>
      <c r="AZ4" s="54" t="s">
        <v>425</v>
      </c>
      <c r="BA4" s="54" t="s">
        <v>426</v>
      </c>
      <c r="BB4" s="54" t="s">
        <v>427</v>
      </c>
      <c r="BC4" s="54" t="s">
        <v>428</v>
      </c>
      <c r="BD4" s="54" t="s">
        <v>429</v>
      </c>
      <c r="BE4" s="55" t="s">
        <v>430</v>
      </c>
      <c r="BF4" s="55" t="s">
        <v>431</v>
      </c>
      <c r="BH4" s="54" t="s">
        <v>425</v>
      </c>
      <c r="BI4" s="54" t="s">
        <v>426</v>
      </c>
      <c r="BJ4" s="54" t="s">
        <v>427</v>
      </c>
      <c r="BK4" s="54" t="s">
        <v>428</v>
      </c>
      <c r="BL4" s="54" t="s">
        <v>429</v>
      </c>
      <c r="BM4" s="55" t="s">
        <v>430</v>
      </c>
      <c r="BN4" s="55" t="s">
        <v>431</v>
      </c>
    </row>
    <row r="5" ht="15" customHeight="1" spans="1:72">
      <c r="A5" s="56" t="s">
        <v>189</v>
      </c>
      <c r="B5" s="56" t="s">
        <v>42</v>
      </c>
      <c r="C5" s="57" t="s">
        <v>432</v>
      </c>
      <c r="D5" s="56">
        <v>11997440</v>
      </c>
      <c r="E5" s="58">
        <v>10</v>
      </c>
      <c r="F5" s="57">
        <v>300</v>
      </c>
      <c r="G5" s="57">
        <v>30</v>
      </c>
      <c r="H5" s="57">
        <v>4</v>
      </c>
      <c r="J5" s="73">
        <f t="shared" ref="J5:J44" si="0">IF(OR(ISBLANK(O5),ISBLANK(G5)),"·",O5*G5/F5/1000000)</f>
        <v>4.1109816</v>
      </c>
      <c r="K5" s="74">
        <f t="shared" ref="K5:K44" si="1">IF(ISBLANK(O5),"·",O5/D5)</f>
        <v>3.42654899711939</v>
      </c>
      <c r="L5" s="57">
        <f t="shared" ref="L5:L44" si="2">IF(OR(ISBLANK(M5),ISBLANK(S5),ISBLANK(T5)),".",M5+S5+T5)</f>
        <v>41109816</v>
      </c>
      <c r="M5" s="57">
        <f t="shared" ref="M5:M44" si="3">IF(OR(ISBLANK(Q5),ISBLANK(P5),ISBLANK(R5)),".",P5+Q5+R5)</f>
        <v>13292152</v>
      </c>
      <c r="N5" s="75">
        <v>22725696</v>
      </c>
      <c r="O5" s="76">
        <v>41109816</v>
      </c>
      <c r="P5" s="76">
        <v>7878072</v>
      </c>
      <c r="Q5" s="76">
        <v>0</v>
      </c>
      <c r="R5" s="76">
        <v>5414080</v>
      </c>
      <c r="S5" s="76">
        <v>27688856</v>
      </c>
      <c r="T5" s="76">
        <v>128808</v>
      </c>
      <c r="U5" s="91">
        <v>68.8374896</v>
      </c>
      <c r="V5" s="91">
        <v>69.9286439</v>
      </c>
      <c r="W5" s="91">
        <v>27.8699635</v>
      </c>
      <c r="X5" s="91">
        <v>33.4950457</v>
      </c>
      <c r="Y5" s="91">
        <v>32.8806388</v>
      </c>
      <c r="Z5" s="91">
        <v>48.3495288</v>
      </c>
      <c r="AA5" s="91">
        <v>26.7105906</v>
      </c>
      <c r="AB5" s="98">
        <v>12145.857254</v>
      </c>
      <c r="AC5" s="98">
        <v>53.982224</v>
      </c>
      <c r="AE5" s="73" t="str">
        <f t="shared" ref="AE5:AE44" si="4">IF(OR(ISBLANK(AJ5),ISBLANK(G5)),"·",AJ5*G5/F5/1000000)</f>
        <v>·</v>
      </c>
      <c r="AF5" s="74" t="str">
        <f t="shared" ref="AF5:AF44" si="5">IF(ISBLANK(AJ5),"·",AJ5/D5)</f>
        <v>·</v>
      </c>
      <c r="AG5" s="57" t="str">
        <f t="shared" ref="AG5:AG44" si="6">IF(OR(ISBLANK(AH5),ISBLANK(AN5),ISBLANK(AO5)),".",AH5+AN5+AO5)</f>
        <v>.</v>
      </c>
      <c r="AH5" s="57" t="str">
        <f t="shared" ref="AH5:AH44" si="7">IF(OR(ISBLANK(AL5),ISBLANK(AK5),ISBLANK(AM5)),".",AK5+AL5+AM5)</f>
        <v>.</v>
      </c>
      <c r="AI5" s="75"/>
      <c r="AJ5" s="76"/>
      <c r="AK5" s="76"/>
      <c r="AL5" s="76"/>
      <c r="AM5" s="76"/>
      <c r="AN5" s="76"/>
      <c r="AO5" s="76"/>
      <c r="AP5" s="91"/>
      <c r="AQ5" s="91"/>
      <c r="AR5" s="91"/>
      <c r="AS5" s="91"/>
      <c r="AT5" s="91"/>
      <c r="AU5" s="91"/>
      <c r="AV5" s="91"/>
      <c r="AW5" s="98"/>
      <c r="AX5" s="98"/>
      <c r="AZ5" s="15" t="str">
        <f t="array" ref="AZ5">IF(OR(AND(ISBLANK(L5:L9)),AND(ISBLANK(AG5:AG9)),AND(ISBLANK(U5:U9)),AND(ISBLANK(AP5:AP9))),"·",bdRateExtend(L5:L9,U5:U9,AG5:AG9,AP5:AP9))</f>
        <v>·</v>
      </c>
      <c r="BA5" s="15" t="str">
        <f t="array" ref="BA5">IF(OR(AND(ISBLANK(L5:L9)),AND(ISBLANK(AG5:AG9)),AND(ISBLANK(V5:V9)),AND(ISBLANK(AQ5:AQ9))),"·",bdRateExtend(L5:L9,V5:V9,AG5:AG9,AQ5:AQ9))</f>
        <v>·</v>
      </c>
      <c r="BB5" s="15" t="str">
        <f t="array" ref="BB5">IF(OR(AND(ISBLANK(L5:L9)),AND(ISBLANK(AG5:AG9)),AND(ISBLANK(W5:W9)),AND(ISBLANK(AR5:AR9))),"·",bdRateExtend(L5:L9,W5:W9,AG5:AG9,AR5:AR9))</f>
        <v>·</v>
      </c>
      <c r="BC5" s="15" t="str">
        <f t="array" ref="BC5">IF(OR(AND(ISBLANK(L5:L9)),AND(ISBLANK(AG5:AG9)),AND(ISBLANK(X5:X9)),AND(ISBLANK(AS5:AS9))),"·",bdRateExtend(L5:L9,X5:X9,AG5:AG9,AS5:AS9))</f>
        <v>·</v>
      </c>
      <c r="BD5" s="15" t="str">
        <f t="array" ref="BD5">IF(OR(AND(ISBLANK(L5:L9)),AND(ISBLANK(AG5:AG9)),AND(ISBLANK(Y5:Y9)),AND(ISBLANK(AT5:AT9))),"·",bdRateExtend(L5:L9,Y5:Y9,AG5:AG9,AT5:AT9))</f>
        <v>·</v>
      </c>
      <c r="BE5" s="15" t="str">
        <f t="array" ref="BE5">IF(OR(AND(ISBLANK(L5:L9)),AND(ISBLANK(AG5:AG9)),AND(ISBLANK(Z5:Z9)),AND(ISBLANK(AU5:AU9))),"·",bdRateExtend(L5:L9,Z5:Z9,AG5:AG9,AU5:AU9))</f>
        <v>·</v>
      </c>
      <c r="BF5" s="15" t="str">
        <f t="array" ref="BF5">IF(OR(AND(ISBLANK(L5:L9)),AND(ISBLANK(AG5:AG9)),AND(ISBLANK(AA5:AA9)),AND(ISBLANK(AV5:AV9))),"·",bdRateExtend(L5:L9,AA5:AA9,AG5:AG9,AV5:AV9))</f>
        <v>·</v>
      </c>
      <c r="BH5" s="15" t="str">
        <f t="array" ref="BH5">IF(OR(AND(ISBLANK(M5:M9)),AND(ISBLANK(AH5:AH9)),AND(ISBLANK(U5:U9)),AND(ISBLANK(AP5:AP9))),"·",bdRateExtend(M5:M9,U5:U9,AH5:AH9,AP5:AP9))</f>
        <v>·</v>
      </c>
      <c r="BI5" s="15" t="str">
        <f t="array" ref="BI5">IF(OR(AND(ISBLANK(M5:M9)),AND(ISBLANK(AH5:AH9)),AND(ISBLANK(V5:V9)),AND(ISBLANK(AQ5:AQ9))),"·",bdRateExtend(M5:M9,V5:V9,AH5:AH9,AQ5:AQ9))</f>
        <v>·</v>
      </c>
      <c r="BJ5" s="15" t="str">
        <f t="array" ref="BJ5">IF(OR(AND(ISBLANK(S5:S9)),AND(ISBLANK(AN5:AN9)),AND(ISBLANK(W5:W9)),AND(ISBLANK(AR5:AR9))),"·",bdRateExtend(S5:S9,W5:W9,AN5:AN9,AR5:AR9))</f>
        <v>·</v>
      </c>
      <c r="BK5" s="15" t="str">
        <f t="array" ref="BK5">IF(OR(AND(ISBLANK(S5:S9)),AND(ISBLANK(AN5:AN9)),AND(ISBLANK(X5:X9)),AND(ISBLANK(AS5:AS9))),"·",bdRateExtend(S5:S9,X5:X9,AN5:AN9,AS5:AS9))</f>
        <v>·</v>
      </c>
      <c r="BL5" s="15" t="str">
        <f t="array" ref="BL5">IF(OR(AND(ISBLANK(S5:S9)),AND(ISBLANK(AN5:AN9)),AND(ISBLANK(Y5:Y9)),AND(ISBLANK(AT5:AT9))),"·",bdRateExtend(S5:S9,Y5:Y9,AN5:AN9,AT5:AT9))</f>
        <v>·</v>
      </c>
      <c r="BM5" s="15" t="str">
        <f t="array" ref="BM5">IF(OR(AND(ISBLANK(M5:M9)),AND(ISBLANK(AH5:AH9)),AND(ISBLANK(Z5:Z9)),AND(ISBLANK(AU5:AU9))),"·",bdRateExtend(M5:M9,Z5:Z9,AH5:AH9,AU5:AU9))</f>
        <v>·</v>
      </c>
      <c r="BN5" s="15" t="str">
        <f t="array" ref="BN5">IF(OR(AND(ISBLANK(S5:S9)),AND(ISBLANK(AN5:AN9)),AND(ISBLANK(AA5:AA9)),AND(ISBLANK(AV5:AV9))),"·",bdRateExtend(S5:S9,AA5:AA9,AN5:AN9,AV5:AV9))</f>
        <v>·</v>
      </c>
      <c r="BP5" s="15">
        <f t="shared" ref="BP5:BP44" si="8">IF(AND(AK5=0,AK5=0),0,AK5/P5-1)</f>
        <v>0</v>
      </c>
      <c r="BQ5" s="15">
        <f t="shared" ref="BQ5:BQ44" si="9">IF(AND(AL5=0,AL5=0),0,AL5/Q5-1)</f>
        <v>0</v>
      </c>
      <c r="BR5" s="15">
        <f t="shared" ref="BR5:BR44" si="10">IF(AND(AM5=0,AM5=0),0,AM5/R5-1)</f>
        <v>0</v>
      </c>
      <c r="BS5" s="15">
        <f t="shared" ref="BS5:BT44" si="11">IF(AND(AN5=0,AN5=0),0,AN5/S5-1)</f>
        <v>0</v>
      </c>
      <c r="BT5" s="15">
        <f t="shared" si="11"/>
        <v>0</v>
      </c>
    </row>
    <row r="6" ht="15" customHeight="1" outlineLevel="1" spans="1:72">
      <c r="A6" s="59"/>
      <c r="B6" s="59" t="s">
        <v>42</v>
      </c>
      <c r="C6" s="60" t="s">
        <v>433</v>
      </c>
      <c r="D6" s="59">
        <v>11997440</v>
      </c>
      <c r="E6" s="61">
        <v>10</v>
      </c>
      <c r="F6" s="60">
        <v>300</v>
      </c>
      <c r="G6" s="60">
        <v>30</v>
      </c>
      <c r="H6" s="60">
        <v>8</v>
      </c>
      <c r="J6" s="77">
        <f t="shared" si="0"/>
        <v>8.3784176</v>
      </c>
      <c r="K6" s="78">
        <f t="shared" si="1"/>
        <v>6.98350448095594</v>
      </c>
      <c r="L6" s="60">
        <f t="shared" si="2"/>
        <v>83784176</v>
      </c>
      <c r="M6" s="60">
        <f t="shared" si="3"/>
        <v>17341680</v>
      </c>
      <c r="N6" s="79">
        <v>22725696</v>
      </c>
      <c r="O6" s="80">
        <v>83784176</v>
      </c>
      <c r="P6" s="80">
        <v>7878072</v>
      </c>
      <c r="Q6" s="80">
        <v>0</v>
      </c>
      <c r="R6" s="80">
        <v>9463608</v>
      </c>
      <c r="S6" s="80">
        <v>66319672</v>
      </c>
      <c r="T6" s="80">
        <v>122824</v>
      </c>
      <c r="U6" s="92">
        <v>70.5894919</v>
      </c>
      <c r="V6" s="92">
        <v>71.9121364</v>
      </c>
      <c r="W6" s="92">
        <v>31.13719</v>
      </c>
      <c r="X6" s="92">
        <v>34.6932321</v>
      </c>
      <c r="Y6" s="92">
        <v>34.2088436</v>
      </c>
      <c r="Z6" s="92">
        <v>49.1865107</v>
      </c>
      <c r="AA6" s="92">
        <v>28.9168552</v>
      </c>
      <c r="AB6" s="99">
        <v>13609.212446</v>
      </c>
      <c r="AC6" s="99">
        <v>57.032026</v>
      </c>
      <c r="AE6" s="77" t="str">
        <f t="shared" si="4"/>
        <v>·</v>
      </c>
      <c r="AF6" s="78" t="str">
        <f t="shared" si="5"/>
        <v>·</v>
      </c>
      <c r="AG6" s="60" t="str">
        <f t="shared" si="6"/>
        <v>.</v>
      </c>
      <c r="AH6" s="60" t="str">
        <f t="shared" si="7"/>
        <v>.</v>
      </c>
      <c r="AI6" s="79"/>
      <c r="AJ6" s="80"/>
      <c r="AK6" s="80"/>
      <c r="AL6" s="80"/>
      <c r="AM6" s="80"/>
      <c r="AN6" s="80"/>
      <c r="AO6" s="80"/>
      <c r="AP6" s="92"/>
      <c r="AQ6" s="92"/>
      <c r="AR6" s="92"/>
      <c r="AS6" s="92"/>
      <c r="AT6" s="92"/>
      <c r="AU6" s="92"/>
      <c r="AV6" s="92"/>
      <c r="AW6" s="99"/>
      <c r="AX6" s="99"/>
      <c r="AZ6" s="19"/>
      <c r="BA6" s="19"/>
      <c r="BB6" s="19"/>
      <c r="BC6" s="19"/>
      <c r="BD6" s="19"/>
      <c r="BE6" s="19"/>
      <c r="BF6" s="19"/>
      <c r="BH6" s="114"/>
      <c r="BI6" s="114"/>
      <c r="BJ6" s="114"/>
      <c r="BK6" s="114"/>
      <c r="BL6" s="114"/>
      <c r="BM6" s="114"/>
      <c r="BN6" s="114"/>
      <c r="BP6" s="19">
        <f t="shared" si="8"/>
        <v>0</v>
      </c>
      <c r="BQ6" s="19">
        <f t="shared" si="9"/>
        <v>0</v>
      </c>
      <c r="BR6" s="19">
        <f t="shared" si="10"/>
        <v>0</v>
      </c>
      <c r="BS6" s="19">
        <f t="shared" si="11"/>
        <v>0</v>
      </c>
      <c r="BT6" s="19">
        <f t="shared" si="11"/>
        <v>0</v>
      </c>
    </row>
    <row r="7" ht="15" customHeight="1" outlineLevel="1" spans="1:72">
      <c r="A7" s="56"/>
      <c r="B7" s="56" t="s">
        <v>42</v>
      </c>
      <c r="C7" s="57" t="s">
        <v>434</v>
      </c>
      <c r="D7" s="56">
        <v>11997440</v>
      </c>
      <c r="E7" s="58">
        <v>10</v>
      </c>
      <c r="F7" s="57">
        <v>300</v>
      </c>
      <c r="G7" s="57">
        <v>30</v>
      </c>
      <c r="H7" s="57">
        <v>11</v>
      </c>
      <c r="J7" s="73">
        <f t="shared" si="0"/>
        <v>11.5594512</v>
      </c>
      <c r="K7" s="74">
        <f t="shared" si="1"/>
        <v>9.6349314520431</v>
      </c>
      <c r="L7" s="57">
        <f t="shared" si="2"/>
        <v>115594512</v>
      </c>
      <c r="M7" s="57">
        <f t="shared" si="3"/>
        <v>21399512</v>
      </c>
      <c r="N7" s="75">
        <v>45556032</v>
      </c>
      <c r="O7" s="76">
        <v>115594512</v>
      </c>
      <c r="P7" s="76">
        <v>12320704</v>
      </c>
      <c r="Q7" s="76">
        <v>0</v>
      </c>
      <c r="R7" s="76">
        <v>9078808</v>
      </c>
      <c r="S7" s="76">
        <v>94071296</v>
      </c>
      <c r="T7" s="76">
        <v>123704</v>
      </c>
      <c r="U7" s="91">
        <v>72.6160651</v>
      </c>
      <c r="V7" s="91">
        <v>74.2456582</v>
      </c>
      <c r="W7" s="91">
        <v>32.3176052</v>
      </c>
      <c r="X7" s="91">
        <v>36.4166748</v>
      </c>
      <c r="Y7" s="91">
        <v>36.1531238</v>
      </c>
      <c r="Z7" s="91">
        <v>50.372403</v>
      </c>
      <c r="AA7" s="91">
        <v>30.3648794</v>
      </c>
      <c r="AB7" s="98">
        <v>36425.215525</v>
      </c>
      <c r="AC7" s="98">
        <v>201.454078</v>
      </c>
      <c r="AE7" s="73" t="str">
        <f t="shared" si="4"/>
        <v>·</v>
      </c>
      <c r="AF7" s="74" t="str">
        <f t="shared" si="5"/>
        <v>·</v>
      </c>
      <c r="AG7" s="57" t="str">
        <f t="shared" si="6"/>
        <v>.</v>
      </c>
      <c r="AH7" s="57" t="str">
        <f t="shared" si="7"/>
        <v>.</v>
      </c>
      <c r="AI7" s="75"/>
      <c r="AJ7" s="76"/>
      <c r="AK7" s="76"/>
      <c r="AL7" s="76"/>
      <c r="AM7" s="76"/>
      <c r="AN7" s="76"/>
      <c r="AO7" s="76"/>
      <c r="AP7" s="91"/>
      <c r="AQ7" s="91"/>
      <c r="AR7" s="91"/>
      <c r="AS7" s="91"/>
      <c r="AT7" s="91"/>
      <c r="AU7" s="91"/>
      <c r="AV7" s="91"/>
      <c r="AW7" s="98"/>
      <c r="AX7" s="98"/>
      <c r="AZ7" s="15"/>
      <c r="BA7" s="15"/>
      <c r="BB7" s="15"/>
      <c r="BC7" s="15"/>
      <c r="BD7" s="15"/>
      <c r="BE7" s="15"/>
      <c r="BF7" s="15"/>
      <c r="BH7" s="115"/>
      <c r="BI7" s="115"/>
      <c r="BJ7" s="115"/>
      <c r="BK7" s="115"/>
      <c r="BL7" s="115"/>
      <c r="BM7" s="115"/>
      <c r="BN7" s="115"/>
      <c r="BP7" s="15">
        <f t="shared" si="8"/>
        <v>0</v>
      </c>
      <c r="BQ7" s="15">
        <f t="shared" si="9"/>
        <v>0</v>
      </c>
      <c r="BR7" s="15">
        <f t="shared" si="10"/>
        <v>0</v>
      </c>
      <c r="BS7" s="15">
        <f t="shared" si="11"/>
        <v>0</v>
      </c>
      <c r="BT7" s="15">
        <f t="shared" si="11"/>
        <v>0</v>
      </c>
    </row>
    <row r="8" ht="15" customHeight="1" outlineLevel="1" spans="1:72">
      <c r="A8" s="59"/>
      <c r="B8" s="59" t="s">
        <v>42</v>
      </c>
      <c r="C8" s="60" t="s">
        <v>435</v>
      </c>
      <c r="D8" s="59">
        <v>11997440</v>
      </c>
      <c r="E8" s="61">
        <v>10</v>
      </c>
      <c r="F8" s="60">
        <v>300</v>
      </c>
      <c r="G8" s="60">
        <v>30</v>
      </c>
      <c r="H8" s="60">
        <v>14</v>
      </c>
      <c r="J8" s="77">
        <f t="shared" si="0"/>
        <v>14.604816</v>
      </c>
      <c r="K8" s="78">
        <f t="shared" si="1"/>
        <v>12.1732769657527</v>
      </c>
      <c r="L8" s="60">
        <f t="shared" si="2"/>
        <v>146048160</v>
      </c>
      <c r="M8" s="60">
        <f t="shared" si="3"/>
        <v>27751288</v>
      </c>
      <c r="N8" s="79">
        <v>91604096</v>
      </c>
      <c r="O8" s="80">
        <v>146048160</v>
      </c>
      <c r="P8" s="80">
        <v>20148944</v>
      </c>
      <c r="Q8" s="80">
        <v>0</v>
      </c>
      <c r="R8" s="80">
        <v>7602344</v>
      </c>
      <c r="S8" s="80">
        <v>118171320</v>
      </c>
      <c r="T8" s="80">
        <v>125552</v>
      </c>
      <c r="U8" s="92">
        <v>73.4792977</v>
      </c>
      <c r="V8" s="92">
        <v>75.2392347</v>
      </c>
      <c r="W8" s="92">
        <v>33.277265</v>
      </c>
      <c r="X8" s="92">
        <v>36.9613614</v>
      </c>
      <c r="Y8" s="92">
        <v>36.6942469</v>
      </c>
      <c r="Z8" s="92">
        <v>51.0161211</v>
      </c>
      <c r="AA8" s="92">
        <v>31.1412137</v>
      </c>
      <c r="AB8" s="99">
        <v>41336.58285</v>
      </c>
      <c r="AC8" s="99">
        <v>211.726421</v>
      </c>
      <c r="AE8" s="77" t="str">
        <f t="shared" si="4"/>
        <v>·</v>
      </c>
      <c r="AF8" s="78" t="str">
        <f t="shared" si="5"/>
        <v>·</v>
      </c>
      <c r="AG8" s="60" t="str">
        <f t="shared" si="6"/>
        <v>.</v>
      </c>
      <c r="AH8" s="60" t="str">
        <f t="shared" si="7"/>
        <v>.</v>
      </c>
      <c r="AI8" s="79"/>
      <c r="AJ8" s="80"/>
      <c r="AK8" s="80"/>
      <c r="AL8" s="80"/>
      <c r="AM8" s="80"/>
      <c r="AN8" s="80"/>
      <c r="AO8" s="80"/>
      <c r="AP8" s="92"/>
      <c r="AQ8" s="92"/>
      <c r="AR8" s="92"/>
      <c r="AS8" s="92"/>
      <c r="AT8" s="92"/>
      <c r="AU8" s="92"/>
      <c r="AV8" s="92"/>
      <c r="AW8" s="99"/>
      <c r="AX8" s="99"/>
      <c r="AZ8" s="19"/>
      <c r="BA8" s="19"/>
      <c r="BB8" s="19"/>
      <c r="BC8" s="19"/>
      <c r="BD8" s="19"/>
      <c r="BE8" s="19"/>
      <c r="BF8" s="19"/>
      <c r="BH8" s="114"/>
      <c r="BI8" s="114"/>
      <c r="BJ8" s="114"/>
      <c r="BK8" s="114"/>
      <c r="BL8" s="114"/>
      <c r="BM8" s="114"/>
      <c r="BN8" s="114"/>
      <c r="BP8" s="19">
        <f t="shared" si="8"/>
        <v>0</v>
      </c>
      <c r="BQ8" s="19">
        <f t="shared" si="9"/>
        <v>0</v>
      </c>
      <c r="BR8" s="19">
        <f t="shared" si="10"/>
        <v>0</v>
      </c>
      <c r="BS8" s="19">
        <f t="shared" si="11"/>
        <v>0</v>
      </c>
      <c r="BT8" s="19">
        <f t="shared" si="11"/>
        <v>0</v>
      </c>
    </row>
    <row r="9" ht="15.75" customHeight="1" outlineLevel="1" spans="1:72">
      <c r="A9" s="56"/>
      <c r="B9" s="62" t="s">
        <v>42</v>
      </c>
      <c r="C9" s="63" t="s">
        <v>436</v>
      </c>
      <c r="D9" s="62">
        <v>11997440</v>
      </c>
      <c r="E9" s="64">
        <v>10</v>
      </c>
      <c r="F9" s="63">
        <v>300</v>
      </c>
      <c r="G9" s="63">
        <v>30</v>
      </c>
      <c r="H9" s="63">
        <v>21</v>
      </c>
      <c r="J9" s="81">
        <f t="shared" si="0"/>
        <v>22.0499216</v>
      </c>
      <c r="K9" s="82">
        <f t="shared" si="1"/>
        <v>18.378855489171</v>
      </c>
      <c r="L9" s="63">
        <f t="shared" si="2"/>
        <v>220499216</v>
      </c>
      <c r="M9" s="63">
        <f t="shared" si="3"/>
        <v>34238296</v>
      </c>
      <c r="N9" s="83">
        <v>91604096</v>
      </c>
      <c r="O9" s="84">
        <v>220499216</v>
      </c>
      <c r="P9" s="84">
        <v>20148944</v>
      </c>
      <c r="Q9" s="84">
        <v>0</v>
      </c>
      <c r="R9" s="84">
        <v>14089352</v>
      </c>
      <c r="S9" s="84">
        <v>186142840</v>
      </c>
      <c r="T9" s="84">
        <v>118080</v>
      </c>
      <c r="U9" s="93">
        <v>75.1107266</v>
      </c>
      <c r="V9" s="93">
        <v>77.1842747</v>
      </c>
      <c r="W9" s="93">
        <v>34.9107389</v>
      </c>
      <c r="X9" s="93">
        <v>38.5189341</v>
      </c>
      <c r="Y9" s="93">
        <v>38.2169108</v>
      </c>
      <c r="Z9" s="93">
        <v>51.8494372</v>
      </c>
      <c r="AA9" s="93">
        <v>32.5101264</v>
      </c>
      <c r="AB9" s="100">
        <v>45159.038219</v>
      </c>
      <c r="AC9" s="100">
        <v>221.714859</v>
      </c>
      <c r="AE9" s="81" t="str">
        <f t="shared" si="4"/>
        <v>·</v>
      </c>
      <c r="AF9" s="82" t="str">
        <f t="shared" si="5"/>
        <v>·</v>
      </c>
      <c r="AG9" s="63" t="str">
        <f t="shared" si="6"/>
        <v>.</v>
      </c>
      <c r="AH9" s="63" t="str">
        <f t="shared" si="7"/>
        <v>.</v>
      </c>
      <c r="AI9" s="83"/>
      <c r="AJ9" s="84"/>
      <c r="AK9" s="84"/>
      <c r="AL9" s="84"/>
      <c r="AM9" s="84"/>
      <c r="AN9" s="84"/>
      <c r="AO9" s="84"/>
      <c r="AP9" s="93"/>
      <c r="AQ9" s="93"/>
      <c r="AR9" s="93"/>
      <c r="AS9" s="93"/>
      <c r="AT9" s="93"/>
      <c r="AU9" s="93"/>
      <c r="AV9" s="93"/>
      <c r="AW9" s="100"/>
      <c r="AX9" s="100"/>
      <c r="AZ9" s="110"/>
      <c r="BA9" s="110"/>
      <c r="BB9" s="110"/>
      <c r="BC9" s="110"/>
      <c r="BD9" s="110"/>
      <c r="BE9" s="110"/>
      <c r="BF9" s="110"/>
      <c r="BH9" s="116"/>
      <c r="BI9" s="116"/>
      <c r="BJ9" s="116"/>
      <c r="BK9" s="116"/>
      <c r="BL9" s="116"/>
      <c r="BM9" s="116"/>
      <c r="BN9" s="116"/>
      <c r="BP9" s="110">
        <f t="shared" si="8"/>
        <v>0</v>
      </c>
      <c r="BQ9" s="110">
        <f t="shared" si="9"/>
        <v>0</v>
      </c>
      <c r="BR9" s="110">
        <f t="shared" si="10"/>
        <v>0</v>
      </c>
      <c r="BS9" s="110">
        <f t="shared" si="11"/>
        <v>0</v>
      </c>
      <c r="BT9" s="110">
        <f t="shared" si="11"/>
        <v>0</v>
      </c>
    </row>
    <row r="10" ht="15" customHeight="1" spans="1:72">
      <c r="A10" s="59"/>
      <c r="B10" s="59" t="s">
        <v>50</v>
      </c>
      <c r="C10" s="60" t="s">
        <v>432</v>
      </c>
      <c r="D10" s="59">
        <v>9000000</v>
      </c>
      <c r="E10" s="61">
        <v>10</v>
      </c>
      <c r="F10" s="60">
        <v>300</v>
      </c>
      <c r="G10" s="60">
        <v>30</v>
      </c>
      <c r="H10" s="60">
        <v>4</v>
      </c>
      <c r="J10" s="77">
        <f t="shared" si="0"/>
        <v>5.0382248</v>
      </c>
      <c r="K10" s="78">
        <f t="shared" si="1"/>
        <v>5.59802755555556</v>
      </c>
      <c r="L10" s="60">
        <f t="shared" si="2"/>
        <v>50382248</v>
      </c>
      <c r="M10" s="60">
        <f t="shared" si="3"/>
        <v>16107272</v>
      </c>
      <c r="N10" s="79">
        <v>9611840</v>
      </c>
      <c r="O10" s="80">
        <v>50382248</v>
      </c>
      <c r="P10" s="80">
        <v>2170624</v>
      </c>
      <c r="Q10" s="80">
        <v>1606056</v>
      </c>
      <c r="R10" s="80">
        <v>12330592</v>
      </c>
      <c r="S10" s="80">
        <v>34180328</v>
      </c>
      <c r="T10" s="80">
        <v>94648</v>
      </c>
      <c r="U10" s="92">
        <v>68.4609251</v>
      </c>
      <c r="V10" s="92">
        <v>69.5785311</v>
      </c>
      <c r="W10" s="92">
        <v>36.0530661</v>
      </c>
      <c r="X10" s="92">
        <v>46.4530843</v>
      </c>
      <c r="Y10" s="92">
        <v>46.9470263</v>
      </c>
      <c r="Z10" s="92">
        <v>45.9842131</v>
      </c>
      <c r="AA10" s="92">
        <v>32.4345807</v>
      </c>
      <c r="AB10" s="99">
        <v>36187.732665</v>
      </c>
      <c r="AC10" s="99">
        <v>152.516018</v>
      </c>
      <c r="AE10" s="77" t="str">
        <f t="shared" si="4"/>
        <v>·</v>
      </c>
      <c r="AF10" s="78" t="str">
        <f t="shared" si="5"/>
        <v>·</v>
      </c>
      <c r="AG10" s="60" t="str">
        <f t="shared" si="6"/>
        <v>.</v>
      </c>
      <c r="AH10" s="60" t="str">
        <f t="shared" si="7"/>
        <v>.</v>
      </c>
      <c r="AI10" s="79"/>
      <c r="AJ10" s="80"/>
      <c r="AK10" s="80"/>
      <c r="AL10" s="80"/>
      <c r="AM10" s="80"/>
      <c r="AN10" s="80"/>
      <c r="AO10" s="80"/>
      <c r="AP10" s="92"/>
      <c r="AQ10" s="92"/>
      <c r="AR10" s="92"/>
      <c r="AS10" s="92"/>
      <c r="AT10" s="92"/>
      <c r="AU10" s="92"/>
      <c r="AV10" s="92"/>
      <c r="AW10" s="99"/>
      <c r="AX10" s="99"/>
      <c r="AZ10" s="19" t="str">
        <f t="array" ref="AZ10">IF(OR(AND(ISBLANK(L10:L14)),AND(ISBLANK(AG10:AG14)),AND(ISBLANK(U10:U14)),AND(ISBLANK(AP10:AP14))),"·",bdRateExtend(L10:L14,U10:U14,AG10:AG14,AP10:AP14))</f>
        <v>·</v>
      </c>
      <c r="BA10" s="19" t="str">
        <f t="array" ref="BA10">IF(OR(AND(ISBLANK(L10:L14)),AND(ISBLANK(AG10:AG14)),AND(ISBLANK(V10:V14)),AND(ISBLANK(AQ10:AQ14))),"·",bdRateExtend(L10:L14,V10:V14,AG10:AG14,AQ10:AQ14))</f>
        <v>·</v>
      </c>
      <c r="BB10" s="19" t="str">
        <f t="array" ref="BB10">IF(OR(AND(ISBLANK(L10:L14)),AND(ISBLANK(AG10:AG14)),AND(ISBLANK(W10:W14)),AND(ISBLANK(AR10:AR14))),"·",bdRateExtend(L10:L14,W10:W14,AG10:AG14,AR10:AR14))</f>
        <v>·</v>
      </c>
      <c r="BC10" s="19" t="str">
        <f t="array" ref="BC10">IF(OR(AND(ISBLANK(L10:L14)),AND(ISBLANK(AG10:AG14)),AND(ISBLANK(X10:X14)),AND(ISBLANK(AS10:AS14))),"·",bdRateExtend(L10:L14,X10:X14,AG10:AG14,AS10:AS14))</f>
        <v>·</v>
      </c>
      <c r="BD10" s="19" t="str">
        <f t="array" ref="BD10">IF(OR(AND(ISBLANK(L10:L14)),AND(ISBLANK(AG10:AG14)),AND(ISBLANK(Y10:Y14)),AND(ISBLANK(AT10:AT14))),"·",bdRateExtend(L10:L14,Y10:Y14,AG10:AG14,AT10:AT14))</f>
        <v>·</v>
      </c>
      <c r="BE10" s="19" t="str">
        <f t="array" ref="BE10">IF(OR(AND(ISBLANK(L10:L14)),AND(ISBLANK(AG10:AG14)),AND(ISBLANK(Z10:Z14)),AND(ISBLANK(AU10:AU14))),"·",bdRateExtend(L10:L14,Z10:Z14,AG10:AG14,AU10:AU14))</f>
        <v>·</v>
      </c>
      <c r="BF10" s="19" t="str">
        <f t="array" ref="BF10">IF(OR(AND(ISBLANK(L10:L14)),AND(ISBLANK(AG10:AG14)),AND(ISBLANK(AA10:AA14)),AND(ISBLANK(AV10:AV14))),"·",bdRateExtend(L10:L14,AA10:AA14,AG10:AG14,AV10:AV14))</f>
        <v>·</v>
      </c>
      <c r="BH10" s="19" t="str">
        <f t="array" ref="BH10">IF(OR(AND(ISBLANK(M10:M14)),AND(ISBLANK(AH10:AH14)),AND(ISBLANK(U10:U14)),AND(ISBLANK(AP10:AP14))),"·",bdRateExtend(M10:M14,U10:U14,AH10:AH14,AP10:AP14))</f>
        <v>·</v>
      </c>
      <c r="BI10" s="19" t="str">
        <f t="array" ref="BI10">IF(OR(AND(ISBLANK(M10:M14)),AND(ISBLANK(AH10:AH14)),AND(ISBLANK(V10:V14)),AND(ISBLANK(AQ10:AQ14))),"·",bdRateExtend(M10:M14,V10:V14,AH10:AH14,AQ10:AQ14))</f>
        <v>·</v>
      </c>
      <c r="BJ10" s="19" t="str">
        <f t="array" ref="BJ10">IF(OR(AND(ISBLANK(S10:S14)),AND(ISBLANK(AN10:AN14)),AND(ISBLANK(W10:W14)),AND(ISBLANK(AR10:AR14))),"·",bdRateExtend(S10:S14,W10:W14,AN10:AN14,AR10:AR14))</f>
        <v>·</v>
      </c>
      <c r="BK10" s="19" t="str">
        <f t="array" ref="BK10">IF(OR(AND(ISBLANK(S10:S14)),AND(ISBLANK(AN10:AN14)),AND(ISBLANK(X10:X14)),AND(ISBLANK(AS10:AS14))),"·",bdRateExtend(S10:S14,X10:X14,AN10:AN14,AS10:AS14))</f>
        <v>·</v>
      </c>
      <c r="BL10" s="19" t="str">
        <f t="array" ref="BL10">IF(OR(AND(ISBLANK(S10:S14)),AND(ISBLANK(AN10:AN14)),AND(ISBLANK(Y10:Y14)),AND(ISBLANK(AT10:AT14))),"·",bdRateExtend(S10:S14,Y10:Y14,AN10:AN14,AT10:AT14))</f>
        <v>·</v>
      </c>
      <c r="BM10" s="19" t="str">
        <f t="array" ref="BM10">IF(OR(AND(ISBLANK(M10:M14)),AND(ISBLANK(AH10:AH14)),AND(ISBLANK(Z10:Z14)),AND(ISBLANK(AU10:AU14))),"·",bdRateExtend(M10:M14,Z10:Z14,AH10:AH14,AU10:AU14))</f>
        <v>·</v>
      </c>
      <c r="BN10" s="19" t="str">
        <f t="array" ref="BN10">IF(OR(AND(ISBLANK(S10:S14)),AND(ISBLANK(AN10:AN14)),AND(ISBLANK(AA10:AA14)),AND(ISBLANK(AV10:AV14))),"·",bdRateExtend(S10:S14,AA10:AA14,AN10:AN14,AV10:AV14))</f>
        <v>·</v>
      </c>
      <c r="BP10" s="19">
        <f t="shared" si="8"/>
        <v>0</v>
      </c>
      <c r="BQ10" s="19">
        <f t="shared" si="9"/>
        <v>0</v>
      </c>
      <c r="BR10" s="19">
        <f t="shared" si="10"/>
        <v>0</v>
      </c>
      <c r="BS10" s="19">
        <f t="shared" si="11"/>
        <v>0</v>
      </c>
      <c r="BT10" s="19">
        <f t="shared" si="11"/>
        <v>0</v>
      </c>
    </row>
    <row r="11" ht="15" customHeight="1" outlineLevel="1" spans="1:72">
      <c r="A11" s="56"/>
      <c r="B11" s="56" t="s">
        <v>50</v>
      </c>
      <c r="C11" s="57" t="s">
        <v>433</v>
      </c>
      <c r="D11" s="56">
        <v>9000000</v>
      </c>
      <c r="E11" s="58">
        <v>10</v>
      </c>
      <c r="F11" s="57">
        <v>300</v>
      </c>
      <c r="G11" s="57">
        <v>30</v>
      </c>
      <c r="H11" s="57">
        <v>8</v>
      </c>
      <c r="J11" s="73">
        <f t="shared" si="0"/>
        <v>9.5045088</v>
      </c>
      <c r="K11" s="74">
        <f t="shared" si="1"/>
        <v>10.5605653333333</v>
      </c>
      <c r="L11" s="57">
        <f t="shared" si="2"/>
        <v>95045088</v>
      </c>
      <c r="M11" s="57">
        <f t="shared" si="3"/>
        <v>32723744</v>
      </c>
      <c r="N11" s="75">
        <v>19011856</v>
      </c>
      <c r="O11" s="76">
        <v>95045088</v>
      </c>
      <c r="P11" s="76">
        <v>7479600</v>
      </c>
      <c r="Q11" s="76">
        <v>2115688</v>
      </c>
      <c r="R11" s="76">
        <v>23128456</v>
      </c>
      <c r="S11" s="76">
        <v>62223896</v>
      </c>
      <c r="T11" s="76">
        <v>97448</v>
      </c>
      <c r="U11" s="91">
        <v>72.4641452</v>
      </c>
      <c r="V11" s="91">
        <v>74.1029457</v>
      </c>
      <c r="W11" s="91">
        <v>37.3701156</v>
      </c>
      <c r="X11" s="91">
        <v>47.1924867</v>
      </c>
      <c r="Y11" s="91">
        <v>47.7815396</v>
      </c>
      <c r="Z11" s="91">
        <v>48.3154021</v>
      </c>
      <c r="AA11" s="91">
        <v>34.6438591</v>
      </c>
      <c r="AB11" s="98">
        <v>47016.018367</v>
      </c>
      <c r="AC11" s="98">
        <v>144.949207</v>
      </c>
      <c r="AE11" s="73" t="str">
        <f t="shared" si="4"/>
        <v>·</v>
      </c>
      <c r="AF11" s="74" t="str">
        <f t="shared" si="5"/>
        <v>·</v>
      </c>
      <c r="AG11" s="57" t="str">
        <f t="shared" si="6"/>
        <v>.</v>
      </c>
      <c r="AH11" s="57" t="str">
        <f t="shared" si="7"/>
        <v>.</v>
      </c>
      <c r="AI11" s="75"/>
      <c r="AJ11" s="76"/>
      <c r="AK11" s="76"/>
      <c r="AL11" s="76"/>
      <c r="AM11" s="76"/>
      <c r="AN11" s="76"/>
      <c r="AO11" s="76"/>
      <c r="AP11" s="91"/>
      <c r="AQ11" s="91"/>
      <c r="AR11" s="91"/>
      <c r="AS11" s="91"/>
      <c r="AT11" s="91"/>
      <c r="AU11" s="91"/>
      <c r="AV11" s="91"/>
      <c r="AW11" s="98"/>
      <c r="AX11" s="98"/>
      <c r="AZ11" s="15"/>
      <c r="BA11" s="15"/>
      <c r="BB11" s="15"/>
      <c r="BC11" s="15"/>
      <c r="BD11" s="15"/>
      <c r="BE11" s="15"/>
      <c r="BF11" s="15"/>
      <c r="BH11" s="15"/>
      <c r="BI11" s="15"/>
      <c r="BJ11" s="15"/>
      <c r="BK11" s="15"/>
      <c r="BL11" s="15"/>
      <c r="BM11" s="15"/>
      <c r="BN11" s="15"/>
      <c r="BP11" s="15">
        <f t="shared" si="8"/>
        <v>0</v>
      </c>
      <c r="BQ11" s="15">
        <f t="shared" si="9"/>
        <v>0</v>
      </c>
      <c r="BR11" s="15">
        <f t="shared" si="10"/>
        <v>0</v>
      </c>
      <c r="BS11" s="15">
        <f t="shared" si="11"/>
        <v>0</v>
      </c>
      <c r="BT11" s="15">
        <f t="shared" si="11"/>
        <v>0</v>
      </c>
    </row>
    <row r="12" ht="15" customHeight="1" outlineLevel="1" spans="1:72">
      <c r="A12" s="59"/>
      <c r="B12" s="59" t="s">
        <v>50</v>
      </c>
      <c r="C12" s="60" t="s">
        <v>434</v>
      </c>
      <c r="D12" s="59">
        <v>9000000</v>
      </c>
      <c r="E12" s="61">
        <v>10</v>
      </c>
      <c r="F12" s="60">
        <v>300</v>
      </c>
      <c r="G12" s="60">
        <v>30</v>
      </c>
      <c r="H12" s="60">
        <v>11</v>
      </c>
      <c r="J12" s="77">
        <f t="shared" si="0"/>
        <v>12.2581336</v>
      </c>
      <c r="K12" s="78">
        <f t="shared" si="1"/>
        <v>13.6201484444444</v>
      </c>
      <c r="L12" s="60">
        <f t="shared" si="2"/>
        <v>122581336</v>
      </c>
      <c r="M12" s="60">
        <f t="shared" si="3"/>
        <v>37405488</v>
      </c>
      <c r="N12" s="79">
        <v>20935328</v>
      </c>
      <c r="O12" s="80">
        <v>122581336</v>
      </c>
      <c r="P12" s="80">
        <v>8537584</v>
      </c>
      <c r="Q12" s="80">
        <v>2201648</v>
      </c>
      <c r="R12" s="80">
        <v>26666256</v>
      </c>
      <c r="S12" s="80">
        <v>85078336</v>
      </c>
      <c r="T12" s="80">
        <v>97512</v>
      </c>
      <c r="U12" s="92">
        <v>73.0307456</v>
      </c>
      <c r="V12" s="92">
        <v>74.7664345</v>
      </c>
      <c r="W12" s="92">
        <v>38.2139126</v>
      </c>
      <c r="X12" s="92">
        <v>47.5127845</v>
      </c>
      <c r="Y12" s="92">
        <v>48.119196</v>
      </c>
      <c r="Z12" s="92">
        <v>48.6489457</v>
      </c>
      <c r="AA12" s="92">
        <v>35.2692655</v>
      </c>
      <c r="AB12" s="99">
        <v>51211.809558</v>
      </c>
      <c r="AC12" s="99">
        <v>139.385608</v>
      </c>
      <c r="AE12" s="77" t="str">
        <f t="shared" si="4"/>
        <v>·</v>
      </c>
      <c r="AF12" s="78" t="str">
        <f t="shared" si="5"/>
        <v>·</v>
      </c>
      <c r="AG12" s="60" t="str">
        <f t="shared" si="6"/>
        <v>.</v>
      </c>
      <c r="AH12" s="60" t="str">
        <f t="shared" si="7"/>
        <v>.</v>
      </c>
      <c r="AI12" s="79"/>
      <c r="AJ12" s="80"/>
      <c r="AK12" s="80"/>
      <c r="AL12" s="80"/>
      <c r="AM12" s="80"/>
      <c r="AN12" s="80"/>
      <c r="AO12" s="80"/>
      <c r="AP12" s="92"/>
      <c r="AQ12" s="92"/>
      <c r="AR12" s="92"/>
      <c r="AS12" s="92"/>
      <c r="AT12" s="92"/>
      <c r="AU12" s="92"/>
      <c r="AV12" s="92"/>
      <c r="AW12" s="99"/>
      <c r="AX12" s="99"/>
      <c r="AZ12" s="19"/>
      <c r="BA12" s="19"/>
      <c r="BB12" s="19"/>
      <c r="BC12" s="19"/>
      <c r="BD12" s="19"/>
      <c r="BE12" s="19"/>
      <c r="BF12" s="19"/>
      <c r="BH12" s="19"/>
      <c r="BI12" s="19"/>
      <c r="BJ12" s="19"/>
      <c r="BK12" s="19"/>
      <c r="BL12" s="19"/>
      <c r="BM12" s="19"/>
      <c r="BN12" s="19"/>
      <c r="BP12" s="19">
        <f t="shared" si="8"/>
        <v>0</v>
      </c>
      <c r="BQ12" s="19">
        <f t="shared" si="9"/>
        <v>0</v>
      </c>
      <c r="BR12" s="19">
        <f t="shared" si="10"/>
        <v>0</v>
      </c>
      <c r="BS12" s="19">
        <f t="shared" si="11"/>
        <v>0</v>
      </c>
      <c r="BT12" s="19">
        <f t="shared" si="11"/>
        <v>0</v>
      </c>
    </row>
    <row r="13" ht="15" customHeight="1" outlineLevel="1" spans="1:72">
      <c r="A13" s="56"/>
      <c r="B13" s="56" t="s">
        <v>50</v>
      </c>
      <c r="C13" s="57" t="s">
        <v>435</v>
      </c>
      <c r="D13" s="56">
        <v>9000000</v>
      </c>
      <c r="E13" s="58">
        <v>10</v>
      </c>
      <c r="F13" s="57">
        <v>300</v>
      </c>
      <c r="G13" s="57">
        <v>30</v>
      </c>
      <c r="H13" s="57">
        <v>14</v>
      </c>
      <c r="J13" s="73">
        <f t="shared" si="0"/>
        <v>15.7987976</v>
      </c>
      <c r="K13" s="74">
        <f t="shared" si="1"/>
        <v>17.5542195555556</v>
      </c>
      <c r="L13" s="57">
        <f t="shared" si="2"/>
        <v>157987976</v>
      </c>
      <c r="M13" s="57">
        <f t="shared" si="3"/>
        <v>40575320</v>
      </c>
      <c r="N13" s="75">
        <v>22847344</v>
      </c>
      <c r="O13" s="76">
        <v>157987976</v>
      </c>
      <c r="P13" s="76">
        <v>9746096</v>
      </c>
      <c r="Q13" s="76">
        <v>2297400</v>
      </c>
      <c r="R13" s="76">
        <v>28531824</v>
      </c>
      <c r="S13" s="76">
        <v>117314072</v>
      </c>
      <c r="T13" s="76">
        <v>98584</v>
      </c>
      <c r="U13" s="91">
        <v>73.4941239</v>
      </c>
      <c r="V13" s="91">
        <v>75.3217606</v>
      </c>
      <c r="W13" s="91">
        <v>38.9665738</v>
      </c>
      <c r="X13" s="91">
        <v>48.2205308</v>
      </c>
      <c r="Y13" s="91">
        <v>48.8833904</v>
      </c>
      <c r="Z13" s="91">
        <v>48.9204662</v>
      </c>
      <c r="AA13" s="91">
        <v>35.7804174</v>
      </c>
      <c r="AB13" s="98">
        <v>54308.776519</v>
      </c>
      <c r="AC13" s="98">
        <v>144.468842</v>
      </c>
      <c r="AE13" s="73" t="str">
        <f t="shared" si="4"/>
        <v>·</v>
      </c>
      <c r="AF13" s="74" t="str">
        <f t="shared" si="5"/>
        <v>·</v>
      </c>
      <c r="AG13" s="57" t="str">
        <f t="shared" si="6"/>
        <v>.</v>
      </c>
      <c r="AH13" s="57" t="str">
        <f t="shared" si="7"/>
        <v>.</v>
      </c>
      <c r="AI13" s="75"/>
      <c r="AJ13" s="76"/>
      <c r="AK13" s="76"/>
      <c r="AL13" s="76"/>
      <c r="AM13" s="76"/>
      <c r="AN13" s="76"/>
      <c r="AO13" s="76"/>
      <c r="AP13" s="91"/>
      <c r="AQ13" s="91"/>
      <c r="AR13" s="91"/>
      <c r="AS13" s="91"/>
      <c r="AT13" s="91"/>
      <c r="AU13" s="91"/>
      <c r="AV13" s="91"/>
      <c r="AW13" s="98"/>
      <c r="AX13" s="98"/>
      <c r="AZ13" s="15"/>
      <c r="BA13" s="15"/>
      <c r="BB13" s="15"/>
      <c r="BC13" s="15"/>
      <c r="BD13" s="15"/>
      <c r="BE13" s="15"/>
      <c r="BF13" s="15"/>
      <c r="BH13" s="15"/>
      <c r="BI13" s="15"/>
      <c r="BJ13" s="15"/>
      <c r="BK13" s="15"/>
      <c r="BL13" s="15"/>
      <c r="BM13" s="15"/>
      <c r="BN13" s="15"/>
      <c r="BP13" s="15">
        <f t="shared" si="8"/>
        <v>0</v>
      </c>
      <c r="BQ13" s="15">
        <f t="shared" si="9"/>
        <v>0</v>
      </c>
      <c r="BR13" s="15">
        <f t="shared" si="10"/>
        <v>0</v>
      </c>
      <c r="BS13" s="15">
        <f t="shared" si="11"/>
        <v>0</v>
      </c>
      <c r="BT13" s="15">
        <f t="shared" si="11"/>
        <v>0</v>
      </c>
    </row>
    <row r="14" ht="15.75" customHeight="1" outlineLevel="1" spans="1:72">
      <c r="A14" s="65"/>
      <c r="B14" s="65" t="s">
        <v>50</v>
      </c>
      <c r="C14" s="66" t="s">
        <v>436</v>
      </c>
      <c r="D14" s="65">
        <v>9000000</v>
      </c>
      <c r="E14" s="67">
        <v>10</v>
      </c>
      <c r="F14" s="66">
        <v>300</v>
      </c>
      <c r="G14" s="66">
        <v>30</v>
      </c>
      <c r="H14" s="66">
        <v>21</v>
      </c>
      <c r="J14" s="85">
        <f t="shared" si="0"/>
        <v>21.6459016</v>
      </c>
      <c r="K14" s="86">
        <f t="shared" si="1"/>
        <v>24.0510017777778</v>
      </c>
      <c r="L14" s="66">
        <f t="shared" si="2"/>
        <v>216459016</v>
      </c>
      <c r="M14" s="66">
        <f t="shared" si="3"/>
        <v>60426280</v>
      </c>
      <c r="N14" s="87">
        <v>35325296</v>
      </c>
      <c r="O14" s="88">
        <v>216459016</v>
      </c>
      <c r="P14" s="88">
        <v>19770392</v>
      </c>
      <c r="Q14" s="88">
        <v>2433592</v>
      </c>
      <c r="R14" s="88">
        <v>38222296</v>
      </c>
      <c r="S14" s="88">
        <v>155930008</v>
      </c>
      <c r="T14" s="88">
        <v>102728</v>
      </c>
      <c r="U14" s="94">
        <v>75.5059447</v>
      </c>
      <c r="V14" s="94">
        <v>77.7984448</v>
      </c>
      <c r="W14" s="94">
        <v>39.5141865</v>
      </c>
      <c r="X14" s="94">
        <v>48.5917608</v>
      </c>
      <c r="Y14" s="94">
        <v>49.2598299</v>
      </c>
      <c r="Z14" s="94">
        <v>50.1950061</v>
      </c>
      <c r="AA14" s="94">
        <v>36.8226482</v>
      </c>
      <c r="AB14" s="101">
        <v>66208.826053</v>
      </c>
      <c r="AC14" s="101">
        <v>138.040098</v>
      </c>
      <c r="AE14" s="85" t="str">
        <f t="shared" si="4"/>
        <v>·</v>
      </c>
      <c r="AF14" s="86" t="str">
        <f t="shared" si="5"/>
        <v>·</v>
      </c>
      <c r="AG14" s="66" t="str">
        <f t="shared" si="6"/>
        <v>.</v>
      </c>
      <c r="AH14" s="66" t="str">
        <f t="shared" si="7"/>
        <v>.</v>
      </c>
      <c r="AI14" s="87"/>
      <c r="AJ14" s="88"/>
      <c r="AK14" s="88"/>
      <c r="AL14" s="88"/>
      <c r="AM14" s="88"/>
      <c r="AN14" s="88"/>
      <c r="AO14" s="88"/>
      <c r="AP14" s="94"/>
      <c r="AQ14" s="94"/>
      <c r="AR14" s="94"/>
      <c r="AS14" s="94"/>
      <c r="AT14" s="94"/>
      <c r="AU14" s="94"/>
      <c r="AV14" s="94"/>
      <c r="AW14" s="101"/>
      <c r="AX14" s="101"/>
      <c r="AZ14" s="23"/>
      <c r="BA14" s="23"/>
      <c r="BB14" s="23"/>
      <c r="BC14" s="23"/>
      <c r="BD14" s="23"/>
      <c r="BE14" s="23"/>
      <c r="BF14" s="23"/>
      <c r="BH14" s="23"/>
      <c r="BI14" s="23"/>
      <c r="BJ14" s="23"/>
      <c r="BK14" s="23"/>
      <c r="BL14" s="23"/>
      <c r="BM14" s="23"/>
      <c r="BN14" s="23"/>
      <c r="BP14" s="23">
        <f t="shared" si="8"/>
        <v>0</v>
      </c>
      <c r="BQ14" s="23">
        <f t="shared" si="9"/>
        <v>0</v>
      </c>
      <c r="BR14" s="23">
        <f t="shared" si="10"/>
        <v>0</v>
      </c>
      <c r="BS14" s="23">
        <f t="shared" si="11"/>
        <v>0</v>
      </c>
      <c r="BT14" s="23">
        <f t="shared" si="11"/>
        <v>0</v>
      </c>
    </row>
    <row r="15" ht="15" customHeight="1" spans="1:72">
      <c r="A15" s="56" t="s">
        <v>190</v>
      </c>
      <c r="B15" s="56" t="s">
        <v>55</v>
      </c>
      <c r="C15" s="57" t="s">
        <v>432</v>
      </c>
      <c r="D15" s="56">
        <v>11842002</v>
      </c>
      <c r="E15" s="58">
        <v>12</v>
      </c>
      <c r="F15" s="57">
        <v>300</v>
      </c>
      <c r="G15" s="57">
        <v>30</v>
      </c>
      <c r="H15" s="57">
        <v>3</v>
      </c>
      <c r="J15" s="73">
        <f t="shared" si="0"/>
        <v>3.0017992</v>
      </c>
      <c r="K15" s="74">
        <f t="shared" si="1"/>
        <v>2.5348747618857</v>
      </c>
      <c r="L15" s="57">
        <f t="shared" si="2"/>
        <v>30017992</v>
      </c>
      <c r="M15" s="57">
        <f t="shared" si="3"/>
        <v>10959832</v>
      </c>
      <c r="N15" s="75">
        <v>22706944</v>
      </c>
      <c r="O15" s="76">
        <v>30017992</v>
      </c>
      <c r="P15" s="76">
        <v>6498680</v>
      </c>
      <c r="Q15" s="76">
        <v>0</v>
      </c>
      <c r="R15" s="76">
        <v>4461152</v>
      </c>
      <c r="S15" s="76">
        <v>18935528</v>
      </c>
      <c r="T15" s="76">
        <v>122632</v>
      </c>
      <c r="U15" s="91">
        <v>71.424398</v>
      </c>
      <c r="V15" s="91">
        <v>72.7933203</v>
      </c>
      <c r="W15" s="91">
        <v>35.7513932</v>
      </c>
      <c r="X15" s="91">
        <v>43.3182183</v>
      </c>
      <c r="Y15" s="91">
        <v>45.1129261</v>
      </c>
      <c r="Z15" s="91">
        <v>45.7781579</v>
      </c>
      <c r="AA15" s="91">
        <v>32.5285301</v>
      </c>
      <c r="AB15" s="98">
        <v>29371.269638</v>
      </c>
      <c r="AC15" s="98">
        <v>159.878183</v>
      </c>
      <c r="AE15" s="73" t="str">
        <f t="shared" si="4"/>
        <v>·</v>
      </c>
      <c r="AF15" s="74" t="str">
        <f t="shared" si="5"/>
        <v>·</v>
      </c>
      <c r="AG15" s="57" t="str">
        <f t="shared" si="6"/>
        <v>.</v>
      </c>
      <c r="AH15" s="57" t="str">
        <f t="shared" si="7"/>
        <v>.</v>
      </c>
      <c r="AI15" s="75"/>
      <c r="AJ15" s="76"/>
      <c r="AK15" s="76"/>
      <c r="AL15" s="76"/>
      <c r="AM15" s="76"/>
      <c r="AN15" s="76"/>
      <c r="AO15" s="76"/>
      <c r="AP15" s="91"/>
      <c r="AQ15" s="91"/>
      <c r="AR15" s="91"/>
      <c r="AS15" s="91"/>
      <c r="AT15" s="91"/>
      <c r="AU15" s="91"/>
      <c r="AV15" s="91"/>
      <c r="AW15" s="98"/>
      <c r="AX15" s="98"/>
      <c r="AZ15" s="15" t="str">
        <f t="array" ref="AZ15">IF(OR(AND(ISBLANK(L15:L19)),AND(ISBLANK(AG15:AG19)),AND(ISBLANK(U15:U19)),AND(ISBLANK(AP15:AP19))),"·",bdRateExtend(L15:L19,U15:U19,AG15:AG19,AP15:AP19))</f>
        <v>·</v>
      </c>
      <c r="BA15" s="15" t="str">
        <f t="array" ref="BA15">IF(OR(AND(ISBLANK(L15:L19)),AND(ISBLANK(AG15:AG19)),AND(ISBLANK(V15:V19)),AND(ISBLANK(AQ15:AQ19))),"·",bdRateExtend(L15:L19,V15:V19,AG15:AG19,AQ15:AQ19))</f>
        <v>·</v>
      </c>
      <c r="BB15" s="15" t="str">
        <f t="array" ref="BB15">IF(OR(AND(ISBLANK(L15:L19)),AND(ISBLANK(AG15:AG19)),AND(ISBLANK(W15:W19)),AND(ISBLANK(AR15:AR19))),"·",bdRateExtend(L15:L19,W15:W19,AG15:AG19,AR15:AR19))</f>
        <v>·</v>
      </c>
      <c r="BC15" s="15" t="str">
        <f t="array" ref="BC15">IF(OR(AND(ISBLANK(L15:L19)),AND(ISBLANK(AG15:AG19)),AND(ISBLANK(X15:X19)),AND(ISBLANK(AS15:AS19))),"·",bdRateExtend(L15:L19,X15:X19,AG15:AG19,AS15:AS19))</f>
        <v>·</v>
      </c>
      <c r="BD15" s="15" t="str">
        <f t="array" ref="BD15">IF(OR(AND(ISBLANK(L15:L19)),AND(ISBLANK(AG15:AG19)),AND(ISBLANK(Y15:Y19)),AND(ISBLANK(AT15:AT19))),"·",bdRateExtend(L15:L19,Y15:Y19,AG15:AG19,AT15:AT19))</f>
        <v>·</v>
      </c>
      <c r="BE15" s="15" t="str">
        <f t="array" ref="BE15">IF(OR(AND(ISBLANK(L15:L19)),AND(ISBLANK(AG15:AG19)),AND(ISBLANK(Z15:Z19)),AND(ISBLANK(AU15:AU19))),"·",bdRateExtend(L15:L19,Z15:Z19,AG15:AG19,AU15:AU19))</f>
        <v>·</v>
      </c>
      <c r="BF15" s="15" t="str">
        <f t="array" ref="BF15">IF(OR(AND(ISBLANK(L15:L19)),AND(ISBLANK(AG15:AG19)),AND(ISBLANK(AA15:AA19)),AND(ISBLANK(AV15:AV19))),"·",bdRateExtend(L15:L19,AA15:AA19,AG15:AG19,AV15:AV19))</f>
        <v>·</v>
      </c>
      <c r="BH15" s="15" t="str">
        <f t="array" ref="BH15">IF(OR(AND(ISBLANK(M15:M19)),AND(ISBLANK(AH15:AH19)),AND(ISBLANK(U15:U19)),AND(ISBLANK(AP15:AP19))),"·",bdRateExtend(M15:M19,U15:U19,AH15:AH19,AP15:AP19))</f>
        <v>·</v>
      </c>
      <c r="BI15" s="15" t="str">
        <f t="array" ref="BI15">IF(OR(AND(ISBLANK(M15:M19)),AND(ISBLANK(AH15:AH19)),AND(ISBLANK(V15:V19)),AND(ISBLANK(AQ15:AQ19))),"·",bdRateExtend(M15:M19,V15:V19,AH15:AH19,AQ15:AQ19))</f>
        <v>·</v>
      </c>
      <c r="BJ15" s="15" t="str">
        <f t="array" ref="BJ15">IF(OR(AND(ISBLANK(S15:S19)),AND(ISBLANK(AN15:AN19)),AND(ISBLANK(W15:W19)),AND(ISBLANK(AR15:AR19))),"·",bdRateExtend(S15:S19,W15:W19,AN15:AN19,AR15:AR19))</f>
        <v>·</v>
      </c>
      <c r="BK15" s="15" t="str">
        <f t="array" ref="BK15">IF(OR(AND(ISBLANK(S15:S19)),AND(ISBLANK(AN15:AN19)),AND(ISBLANK(X15:X19)),AND(ISBLANK(AS15:AS19))),"·",bdRateExtend(S15:S19,X15:X19,AN15:AN19,AS15:AS19))</f>
        <v>·</v>
      </c>
      <c r="BL15" s="15" t="str">
        <f t="array" ref="BL15">IF(OR(AND(ISBLANK(S15:S19)),AND(ISBLANK(AN15:AN19)),AND(ISBLANK(Y15:Y19)),AND(ISBLANK(AT15:AT19))),"·",bdRateExtend(S15:S19,Y15:Y19,AN15:AN19,AT15:AT19))</f>
        <v>·</v>
      </c>
      <c r="BM15" s="15" t="str">
        <f t="array" ref="BM15">IF(OR(AND(ISBLANK(M15:M19)),AND(ISBLANK(AH15:AH19)),AND(ISBLANK(Z15:Z19)),AND(ISBLANK(AU15:AU19))),"·",bdRateExtend(M15:M19,Z15:Z19,AH15:AH19,AU15:AU19))</f>
        <v>·</v>
      </c>
      <c r="BN15" s="15" t="str">
        <f t="array" ref="BN15">IF(OR(AND(ISBLANK(S15:S19)),AND(ISBLANK(AN15:AN19)),AND(ISBLANK(AA15:AA19)),AND(ISBLANK(AV15:AV19))),"·",bdRateExtend(S15:S19,AA15:AA19,AN15:AN19,AV15:AV19))</f>
        <v>·</v>
      </c>
      <c r="BP15" s="15">
        <f t="shared" si="8"/>
        <v>0</v>
      </c>
      <c r="BQ15" s="15">
        <f t="shared" si="9"/>
        <v>0</v>
      </c>
      <c r="BR15" s="15">
        <f t="shared" si="10"/>
        <v>0</v>
      </c>
      <c r="BS15" s="15">
        <f t="shared" si="11"/>
        <v>0</v>
      </c>
      <c r="BT15" s="15">
        <f t="shared" si="11"/>
        <v>0</v>
      </c>
    </row>
    <row r="16" ht="15" customHeight="1" outlineLevel="1" spans="1:72">
      <c r="A16" s="59"/>
      <c r="B16" s="59" t="s">
        <v>55</v>
      </c>
      <c r="C16" s="60" t="s">
        <v>433</v>
      </c>
      <c r="D16" s="59">
        <v>11842002</v>
      </c>
      <c r="E16" s="61">
        <v>12</v>
      </c>
      <c r="F16" s="60">
        <v>300</v>
      </c>
      <c r="G16" s="60">
        <v>30</v>
      </c>
      <c r="H16" s="60">
        <v>5</v>
      </c>
      <c r="J16" s="77">
        <f t="shared" si="0"/>
        <v>4.9816912</v>
      </c>
      <c r="K16" s="78">
        <f t="shared" si="1"/>
        <v>4.20679814105757</v>
      </c>
      <c r="L16" s="60">
        <f t="shared" si="2"/>
        <v>49816912</v>
      </c>
      <c r="M16" s="60">
        <f t="shared" si="3"/>
        <v>13834976</v>
      </c>
      <c r="N16" s="79">
        <v>22706944</v>
      </c>
      <c r="O16" s="80">
        <v>49816912</v>
      </c>
      <c r="P16" s="80">
        <v>7078376</v>
      </c>
      <c r="Q16" s="80">
        <v>0</v>
      </c>
      <c r="R16" s="80">
        <v>6756600</v>
      </c>
      <c r="S16" s="80">
        <v>35858832</v>
      </c>
      <c r="T16" s="80">
        <v>123104</v>
      </c>
      <c r="U16" s="92">
        <v>73.136002</v>
      </c>
      <c r="V16" s="92">
        <v>74.7056037</v>
      </c>
      <c r="W16" s="92">
        <v>38.5598333</v>
      </c>
      <c r="X16" s="92">
        <v>43.9458328</v>
      </c>
      <c r="Y16" s="92">
        <v>46.3806659</v>
      </c>
      <c r="Z16" s="92">
        <v>46.6052099</v>
      </c>
      <c r="AA16" s="92">
        <v>34.218029</v>
      </c>
      <c r="AB16" s="99">
        <v>30803.850723</v>
      </c>
      <c r="AC16" s="99">
        <v>173.166336</v>
      </c>
      <c r="AE16" s="77" t="str">
        <f t="shared" si="4"/>
        <v>·</v>
      </c>
      <c r="AF16" s="78" t="str">
        <f t="shared" si="5"/>
        <v>·</v>
      </c>
      <c r="AG16" s="60" t="str">
        <f t="shared" si="6"/>
        <v>.</v>
      </c>
      <c r="AH16" s="60" t="str">
        <f t="shared" si="7"/>
        <v>.</v>
      </c>
      <c r="AI16" s="79"/>
      <c r="AJ16" s="80"/>
      <c r="AK16" s="80"/>
      <c r="AL16" s="80"/>
      <c r="AM16" s="80"/>
      <c r="AN16" s="80"/>
      <c r="AO16" s="80"/>
      <c r="AP16" s="92"/>
      <c r="AQ16" s="92"/>
      <c r="AR16" s="92"/>
      <c r="AS16" s="92"/>
      <c r="AT16" s="92"/>
      <c r="AU16" s="92"/>
      <c r="AV16" s="92"/>
      <c r="AW16" s="99"/>
      <c r="AX16" s="99"/>
      <c r="AZ16" s="19"/>
      <c r="BA16" s="19"/>
      <c r="BB16" s="19"/>
      <c r="BC16" s="19"/>
      <c r="BD16" s="19"/>
      <c r="BE16" s="19"/>
      <c r="BF16" s="19"/>
      <c r="BH16" s="19"/>
      <c r="BI16" s="19"/>
      <c r="BJ16" s="19"/>
      <c r="BK16" s="19"/>
      <c r="BL16" s="19"/>
      <c r="BM16" s="19"/>
      <c r="BN16" s="19"/>
      <c r="BP16" s="19">
        <f t="shared" si="8"/>
        <v>0</v>
      </c>
      <c r="BQ16" s="19">
        <f t="shared" si="9"/>
        <v>0</v>
      </c>
      <c r="BR16" s="19">
        <f t="shared" si="10"/>
        <v>0</v>
      </c>
      <c r="BS16" s="19">
        <f t="shared" si="11"/>
        <v>0</v>
      </c>
      <c r="BT16" s="19">
        <f t="shared" si="11"/>
        <v>0</v>
      </c>
    </row>
    <row r="17" ht="15" customHeight="1" outlineLevel="1" spans="1:72">
      <c r="A17" s="56"/>
      <c r="B17" s="56" t="s">
        <v>55</v>
      </c>
      <c r="C17" s="57" t="s">
        <v>434</v>
      </c>
      <c r="D17" s="56">
        <v>11842002</v>
      </c>
      <c r="E17" s="58">
        <v>12</v>
      </c>
      <c r="F17" s="57">
        <v>300</v>
      </c>
      <c r="G17" s="57">
        <v>30</v>
      </c>
      <c r="H17" s="57">
        <v>10</v>
      </c>
      <c r="J17" s="73">
        <f t="shared" si="0"/>
        <v>9.6609168</v>
      </c>
      <c r="K17" s="74">
        <f t="shared" si="1"/>
        <v>8.15817865931791</v>
      </c>
      <c r="L17" s="57">
        <f t="shared" si="2"/>
        <v>96609168</v>
      </c>
      <c r="M17" s="57">
        <f t="shared" si="3"/>
        <v>26718264</v>
      </c>
      <c r="N17" s="75">
        <v>45429504</v>
      </c>
      <c r="O17" s="76">
        <v>96609168</v>
      </c>
      <c r="P17" s="76">
        <v>11896176</v>
      </c>
      <c r="Q17" s="76">
        <v>0</v>
      </c>
      <c r="R17" s="76">
        <v>14822088</v>
      </c>
      <c r="S17" s="76">
        <v>69769432</v>
      </c>
      <c r="T17" s="76">
        <v>121472</v>
      </c>
      <c r="U17" s="91">
        <v>77.8486858</v>
      </c>
      <c r="V17" s="91">
        <v>80.3164287</v>
      </c>
      <c r="W17" s="91">
        <v>41.2109023</v>
      </c>
      <c r="X17" s="91">
        <v>44.8143709</v>
      </c>
      <c r="Y17" s="91">
        <v>48.0547325</v>
      </c>
      <c r="Z17" s="91">
        <v>48.9801166</v>
      </c>
      <c r="AA17" s="91">
        <v>37.3580026</v>
      </c>
      <c r="AB17" s="98">
        <v>34888.719298</v>
      </c>
      <c r="AC17" s="98">
        <v>173.219633</v>
      </c>
      <c r="AE17" s="73" t="str">
        <f t="shared" si="4"/>
        <v>·</v>
      </c>
      <c r="AF17" s="74" t="str">
        <f t="shared" si="5"/>
        <v>·</v>
      </c>
      <c r="AG17" s="57" t="str">
        <f t="shared" si="6"/>
        <v>.</v>
      </c>
      <c r="AH17" s="57" t="str">
        <f t="shared" si="7"/>
        <v>.</v>
      </c>
      <c r="AI17" s="75"/>
      <c r="AJ17" s="76"/>
      <c r="AK17" s="76"/>
      <c r="AL17" s="76"/>
      <c r="AM17" s="76"/>
      <c r="AN17" s="76"/>
      <c r="AO17" s="76"/>
      <c r="AP17" s="91"/>
      <c r="AQ17" s="91"/>
      <c r="AR17" s="91"/>
      <c r="AS17" s="91"/>
      <c r="AT17" s="91"/>
      <c r="AU17" s="91"/>
      <c r="AV17" s="91"/>
      <c r="AW17" s="98"/>
      <c r="AX17" s="98"/>
      <c r="AZ17" s="15"/>
      <c r="BA17" s="15"/>
      <c r="BB17" s="15"/>
      <c r="BC17" s="15"/>
      <c r="BD17" s="15"/>
      <c r="BE17" s="15"/>
      <c r="BF17" s="15"/>
      <c r="BH17" s="15"/>
      <c r="BI17" s="15"/>
      <c r="BJ17" s="15"/>
      <c r="BK17" s="15"/>
      <c r="BL17" s="15"/>
      <c r="BM17" s="15"/>
      <c r="BN17" s="15"/>
      <c r="BP17" s="15">
        <f t="shared" si="8"/>
        <v>0</v>
      </c>
      <c r="BQ17" s="15">
        <f t="shared" si="9"/>
        <v>0</v>
      </c>
      <c r="BR17" s="15">
        <f t="shared" si="10"/>
        <v>0</v>
      </c>
      <c r="BS17" s="15">
        <f t="shared" si="11"/>
        <v>0</v>
      </c>
      <c r="BT17" s="15">
        <f t="shared" si="11"/>
        <v>0</v>
      </c>
    </row>
    <row r="18" ht="15" customHeight="1" outlineLevel="1" spans="1:72">
      <c r="A18" s="59"/>
      <c r="B18" s="59" t="s">
        <v>55</v>
      </c>
      <c r="C18" s="60" t="s">
        <v>435</v>
      </c>
      <c r="D18" s="59">
        <v>11842002</v>
      </c>
      <c r="E18" s="61">
        <v>12</v>
      </c>
      <c r="F18" s="60">
        <v>300</v>
      </c>
      <c r="G18" s="60">
        <v>30</v>
      </c>
      <c r="H18" s="60">
        <v>14</v>
      </c>
      <c r="J18" s="77">
        <f t="shared" si="0"/>
        <v>13.7878776</v>
      </c>
      <c r="K18" s="78">
        <f t="shared" si="1"/>
        <v>11.643198168688</v>
      </c>
      <c r="L18" s="60">
        <f t="shared" si="2"/>
        <v>137878776</v>
      </c>
      <c r="M18" s="60">
        <f t="shared" si="3"/>
        <v>36525712</v>
      </c>
      <c r="N18" s="79">
        <v>90872832</v>
      </c>
      <c r="O18" s="80">
        <v>137878776</v>
      </c>
      <c r="P18" s="80">
        <v>20499640</v>
      </c>
      <c r="Q18" s="80">
        <v>0</v>
      </c>
      <c r="R18" s="80">
        <v>16026072</v>
      </c>
      <c r="S18" s="80">
        <v>101231920</v>
      </c>
      <c r="T18" s="80">
        <v>121144</v>
      </c>
      <c r="U18" s="92">
        <v>79.1678246</v>
      </c>
      <c r="V18" s="92">
        <v>82.1100624</v>
      </c>
      <c r="W18" s="92">
        <v>42.2150226</v>
      </c>
      <c r="X18" s="92">
        <v>45.5069418</v>
      </c>
      <c r="Y18" s="92">
        <v>49.1991158</v>
      </c>
      <c r="Z18" s="92">
        <v>49.9238299</v>
      </c>
      <c r="AA18" s="92">
        <v>38.4934811</v>
      </c>
      <c r="AB18" s="99">
        <v>38715.2755</v>
      </c>
      <c r="AC18" s="99">
        <v>235.974409</v>
      </c>
      <c r="AE18" s="77" t="str">
        <f t="shared" si="4"/>
        <v>·</v>
      </c>
      <c r="AF18" s="78" t="str">
        <f t="shared" si="5"/>
        <v>·</v>
      </c>
      <c r="AG18" s="60" t="str">
        <f t="shared" si="6"/>
        <v>.</v>
      </c>
      <c r="AH18" s="60" t="str">
        <f t="shared" si="7"/>
        <v>.</v>
      </c>
      <c r="AI18" s="79"/>
      <c r="AJ18" s="80"/>
      <c r="AK18" s="80"/>
      <c r="AL18" s="80"/>
      <c r="AM18" s="80"/>
      <c r="AN18" s="80"/>
      <c r="AO18" s="80"/>
      <c r="AP18" s="92"/>
      <c r="AQ18" s="92"/>
      <c r="AR18" s="92"/>
      <c r="AS18" s="92"/>
      <c r="AT18" s="92"/>
      <c r="AU18" s="92"/>
      <c r="AV18" s="92"/>
      <c r="AW18" s="99"/>
      <c r="AX18" s="99"/>
      <c r="AZ18" s="19"/>
      <c r="BA18" s="19"/>
      <c r="BB18" s="19"/>
      <c r="BC18" s="19"/>
      <c r="BD18" s="19"/>
      <c r="BE18" s="19"/>
      <c r="BF18" s="19"/>
      <c r="BH18" s="19"/>
      <c r="BI18" s="19"/>
      <c r="BJ18" s="19"/>
      <c r="BK18" s="19"/>
      <c r="BL18" s="19"/>
      <c r="BM18" s="19"/>
      <c r="BN18" s="19"/>
      <c r="BP18" s="19">
        <f t="shared" si="8"/>
        <v>0</v>
      </c>
      <c r="BQ18" s="19">
        <f t="shared" si="9"/>
        <v>0</v>
      </c>
      <c r="BR18" s="19">
        <f t="shared" si="10"/>
        <v>0</v>
      </c>
      <c r="BS18" s="19">
        <f t="shared" si="11"/>
        <v>0</v>
      </c>
      <c r="BT18" s="19">
        <f t="shared" si="11"/>
        <v>0</v>
      </c>
    </row>
    <row r="19" ht="15.75" customHeight="1" outlineLevel="1" spans="1:72">
      <c r="A19" s="56"/>
      <c r="B19" s="62" t="s">
        <v>55</v>
      </c>
      <c r="C19" s="63" t="s">
        <v>436</v>
      </c>
      <c r="D19" s="62">
        <v>11842002</v>
      </c>
      <c r="E19" s="64">
        <v>12</v>
      </c>
      <c r="F19" s="63">
        <v>300</v>
      </c>
      <c r="G19" s="63">
        <v>30</v>
      </c>
      <c r="H19" s="63">
        <v>21</v>
      </c>
      <c r="J19" s="81">
        <f t="shared" si="0"/>
        <v>20.6434504</v>
      </c>
      <c r="K19" s="82">
        <f t="shared" si="1"/>
        <v>17.4323990149639</v>
      </c>
      <c r="L19" s="63">
        <f t="shared" si="2"/>
        <v>206434504</v>
      </c>
      <c r="M19" s="63">
        <f t="shared" si="3"/>
        <v>38561184</v>
      </c>
      <c r="N19" s="83">
        <v>90872832</v>
      </c>
      <c r="O19" s="84">
        <v>206434504</v>
      </c>
      <c r="P19" s="84">
        <v>20499640</v>
      </c>
      <c r="Q19" s="84">
        <v>0</v>
      </c>
      <c r="R19" s="84">
        <v>18061544</v>
      </c>
      <c r="S19" s="84">
        <v>167751632</v>
      </c>
      <c r="T19" s="84">
        <v>121688</v>
      </c>
      <c r="U19" s="93">
        <v>79.5199955</v>
      </c>
      <c r="V19" s="93">
        <v>82.6341907</v>
      </c>
      <c r="W19" s="93">
        <v>43.2545719</v>
      </c>
      <c r="X19" s="93">
        <v>46.4572272</v>
      </c>
      <c r="Y19" s="93">
        <v>50.4825422</v>
      </c>
      <c r="Z19" s="93">
        <v>50.1259526</v>
      </c>
      <c r="AA19" s="93">
        <v>39.0468408</v>
      </c>
      <c r="AB19" s="100">
        <v>42632.692873</v>
      </c>
      <c r="AC19" s="100">
        <v>240.976027</v>
      </c>
      <c r="AE19" s="81" t="str">
        <f t="shared" si="4"/>
        <v>·</v>
      </c>
      <c r="AF19" s="82" t="str">
        <f t="shared" si="5"/>
        <v>·</v>
      </c>
      <c r="AG19" s="63" t="str">
        <f t="shared" si="6"/>
        <v>.</v>
      </c>
      <c r="AH19" s="63" t="str">
        <f t="shared" si="7"/>
        <v>.</v>
      </c>
      <c r="AI19" s="83"/>
      <c r="AJ19" s="84"/>
      <c r="AK19" s="84"/>
      <c r="AL19" s="84"/>
      <c r="AM19" s="84"/>
      <c r="AN19" s="84"/>
      <c r="AO19" s="84"/>
      <c r="AP19" s="93"/>
      <c r="AQ19" s="93"/>
      <c r="AR19" s="93"/>
      <c r="AS19" s="93"/>
      <c r="AT19" s="93"/>
      <c r="AU19" s="93"/>
      <c r="AV19" s="93"/>
      <c r="AW19" s="100"/>
      <c r="AX19" s="100"/>
      <c r="AZ19" s="110"/>
      <c r="BA19" s="110"/>
      <c r="BB19" s="110"/>
      <c r="BC19" s="110"/>
      <c r="BD19" s="110"/>
      <c r="BE19" s="110"/>
      <c r="BF19" s="110"/>
      <c r="BH19" s="110"/>
      <c r="BI19" s="110"/>
      <c r="BJ19" s="110"/>
      <c r="BK19" s="110"/>
      <c r="BL19" s="110"/>
      <c r="BM19" s="110"/>
      <c r="BN19" s="110"/>
      <c r="BP19" s="110">
        <f t="shared" si="8"/>
        <v>0</v>
      </c>
      <c r="BQ19" s="110">
        <f t="shared" si="9"/>
        <v>0</v>
      </c>
      <c r="BR19" s="110">
        <f t="shared" si="10"/>
        <v>0</v>
      </c>
      <c r="BS19" s="110">
        <f t="shared" si="11"/>
        <v>0</v>
      </c>
      <c r="BT19" s="110">
        <f t="shared" si="11"/>
        <v>0</v>
      </c>
    </row>
    <row r="20" ht="15" customHeight="1" spans="1:72">
      <c r="A20" s="59"/>
      <c r="B20" s="59" t="s">
        <v>60</v>
      </c>
      <c r="C20" s="60" t="s">
        <v>432</v>
      </c>
      <c r="D20" s="59">
        <v>11812090</v>
      </c>
      <c r="E20" s="61">
        <v>12</v>
      </c>
      <c r="F20" s="60">
        <v>300</v>
      </c>
      <c r="G20" s="60">
        <v>30</v>
      </c>
      <c r="H20" s="60">
        <v>3</v>
      </c>
      <c r="J20" s="77">
        <f t="shared" si="0"/>
        <v>2.873268</v>
      </c>
      <c r="K20" s="78">
        <f t="shared" si="1"/>
        <v>2.43248061943314</v>
      </c>
      <c r="L20" s="60">
        <f t="shared" si="2"/>
        <v>28732680</v>
      </c>
      <c r="M20" s="60">
        <f t="shared" si="3"/>
        <v>10555216</v>
      </c>
      <c r="N20" s="79">
        <v>22662720</v>
      </c>
      <c r="O20" s="80">
        <v>28732680</v>
      </c>
      <c r="P20" s="80">
        <v>6345432</v>
      </c>
      <c r="Q20" s="80">
        <v>0</v>
      </c>
      <c r="R20" s="80">
        <v>4209784</v>
      </c>
      <c r="S20" s="80">
        <v>18055768</v>
      </c>
      <c r="T20" s="80">
        <v>121696</v>
      </c>
      <c r="U20" s="92">
        <v>71.6368782</v>
      </c>
      <c r="V20" s="92">
        <v>73.0426226</v>
      </c>
      <c r="W20" s="92">
        <v>34.6830399</v>
      </c>
      <c r="X20" s="92">
        <v>42.8026872</v>
      </c>
      <c r="Y20" s="92">
        <v>44.1580347</v>
      </c>
      <c r="Z20" s="92">
        <v>46.8245127</v>
      </c>
      <c r="AA20" s="92">
        <v>31.6924547</v>
      </c>
      <c r="AB20" s="99">
        <v>10580.745824</v>
      </c>
      <c r="AC20" s="99">
        <v>59.849509</v>
      </c>
      <c r="AE20" s="77" t="str">
        <f t="shared" si="4"/>
        <v>·</v>
      </c>
      <c r="AF20" s="78" t="str">
        <f t="shared" si="5"/>
        <v>·</v>
      </c>
      <c r="AG20" s="60" t="str">
        <f t="shared" si="6"/>
        <v>.</v>
      </c>
      <c r="AH20" s="60" t="str">
        <f t="shared" si="7"/>
        <v>.</v>
      </c>
      <c r="AI20" s="79"/>
      <c r="AJ20" s="80"/>
      <c r="AK20" s="80"/>
      <c r="AL20" s="80"/>
      <c r="AM20" s="80"/>
      <c r="AN20" s="80"/>
      <c r="AO20" s="80"/>
      <c r="AP20" s="92"/>
      <c r="AQ20" s="92"/>
      <c r="AR20" s="92"/>
      <c r="AS20" s="92"/>
      <c r="AT20" s="92"/>
      <c r="AU20" s="92"/>
      <c r="AV20" s="92"/>
      <c r="AW20" s="99"/>
      <c r="AX20" s="99"/>
      <c r="AZ20" s="19" t="str">
        <f t="array" ref="AZ20">IF(OR(AND(ISBLANK(L20:L24)),AND(ISBLANK(AG20:AG24)),AND(ISBLANK(U20:U24)),AND(ISBLANK(AP20:AP24))),"·",bdRateExtend(L20:L24,U20:U24,AG20:AG24,AP20:AP24))</f>
        <v>·</v>
      </c>
      <c r="BA20" s="19" t="str">
        <f t="array" ref="BA20">IF(OR(AND(ISBLANK(L20:L24)),AND(ISBLANK(AG20:AG24)),AND(ISBLANK(V20:V24)),AND(ISBLANK(AQ20:AQ24))),"·",bdRateExtend(L20:L24,V20:V24,AG20:AG24,AQ20:AQ24))</f>
        <v>·</v>
      </c>
      <c r="BB20" s="19" t="str">
        <f t="array" ref="BB20">IF(OR(AND(ISBLANK(L20:L24)),AND(ISBLANK(AG20:AG24)),AND(ISBLANK(W20:W24)),AND(ISBLANK(AR20:AR24))),"·",bdRateExtend(L20:L24,W20:W24,AG20:AG24,AR20:AR24))</f>
        <v>·</v>
      </c>
      <c r="BC20" s="19" t="str">
        <f t="array" ref="BC20">IF(OR(AND(ISBLANK(L20:L24)),AND(ISBLANK(AG20:AG24)),AND(ISBLANK(X20:X24)),AND(ISBLANK(AS20:AS24))),"·",bdRateExtend(L20:L24,X20:X24,AG20:AG24,AS20:AS24))</f>
        <v>·</v>
      </c>
      <c r="BD20" s="19" t="str">
        <f t="array" ref="BD20">IF(OR(AND(ISBLANK(L20:L24)),AND(ISBLANK(AG20:AG24)),AND(ISBLANK(Y20:Y24)),AND(ISBLANK(AT20:AT24))),"·",bdRateExtend(L20:L24,Y20:Y24,AG20:AG24,AT20:AT24))</f>
        <v>·</v>
      </c>
      <c r="BE20" s="19" t="str">
        <f t="array" ref="BE20">IF(OR(AND(ISBLANK(L20:L24)),AND(ISBLANK(AG20:AG24)),AND(ISBLANK(Z20:Z24)),AND(ISBLANK(AU20:AU24))),"·",bdRateExtend(L20:L24,Z20:Z24,AG20:AG24,AU20:AU24))</f>
        <v>·</v>
      </c>
      <c r="BF20" s="19" t="str">
        <f t="array" ref="BF20">IF(OR(AND(ISBLANK(L20:L24)),AND(ISBLANK(AG20:AG24)),AND(ISBLANK(AA20:AA24)),AND(ISBLANK(AV20:AV24))),"·",bdRateExtend(L20:L24,AA20:AA24,AG20:AG24,AV20:AV24))</f>
        <v>·</v>
      </c>
      <c r="BH20" s="19" t="str">
        <f t="array" ref="BH20">IF(OR(AND(ISBLANK(M20:M24)),AND(ISBLANK(AH20:AH24)),AND(ISBLANK(U20:U24)),AND(ISBLANK(AP20:AP24))),"·",bdRateExtend(M20:M24,U20:U24,AH20:AH24,AP20:AP24))</f>
        <v>·</v>
      </c>
      <c r="BI20" s="19" t="str">
        <f t="array" ref="BI20">IF(OR(AND(ISBLANK(M20:M24)),AND(ISBLANK(AH20:AH24)),AND(ISBLANK(V20:V24)),AND(ISBLANK(AQ20:AQ24))),"·",bdRateExtend(M20:M24,V20:V24,AH20:AH24,AQ20:AQ24))</f>
        <v>·</v>
      </c>
      <c r="BJ20" s="19" t="str">
        <f t="array" ref="BJ20">IF(OR(AND(ISBLANK(S20:S24)),AND(ISBLANK(AN20:AN24)),AND(ISBLANK(W20:W24)),AND(ISBLANK(AR20:AR24))),"·",bdRateExtend(S20:S24,W20:W24,AN20:AN24,AR20:AR24))</f>
        <v>·</v>
      </c>
      <c r="BK20" s="19" t="str">
        <f t="array" ref="BK20">IF(OR(AND(ISBLANK(S20:S24)),AND(ISBLANK(AN20:AN24)),AND(ISBLANK(X20:X24)),AND(ISBLANK(AS20:AS24))),"·",bdRateExtend(S20:S24,X20:X24,AN20:AN24,AS20:AS24))</f>
        <v>·</v>
      </c>
      <c r="BL20" s="19" t="str">
        <f t="array" ref="BL20">IF(OR(AND(ISBLANK(S20:S24)),AND(ISBLANK(AN20:AN24)),AND(ISBLANK(Y20:Y24)),AND(ISBLANK(AT20:AT24))),"·",bdRateExtend(S20:S24,Y20:Y24,AN20:AN24,AT20:AT24))</f>
        <v>·</v>
      </c>
      <c r="BM20" s="19" t="str">
        <f t="array" ref="BM20">IF(OR(AND(ISBLANK(M20:M24)),AND(ISBLANK(AH20:AH24)),AND(ISBLANK(Z20:Z24)),AND(ISBLANK(AU20:AU24))),"·",bdRateExtend(M20:M24,Z20:Z24,AH20:AH24,AU20:AU24))</f>
        <v>·</v>
      </c>
      <c r="BN20" s="19" t="str">
        <f t="array" ref="BN20">IF(OR(AND(ISBLANK(S20:S24)),AND(ISBLANK(AN20:AN24)),AND(ISBLANK(AA20:AA24)),AND(ISBLANK(AV20:AV24))),"·",bdRateExtend(S20:S24,AA20:AA24,AN20:AN24,AV20:AV24))</f>
        <v>·</v>
      </c>
      <c r="BP20" s="19">
        <f t="shared" si="8"/>
        <v>0</v>
      </c>
      <c r="BQ20" s="19">
        <f t="shared" si="9"/>
        <v>0</v>
      </c>
      <c r="BR20" s="19">
        <f t="shared" si="10"/>
        <v>0</v>
      </c>
      <c r="BS20" s="19">
        <f t="shared" si="11"/>
        <v>0</v>
      </c>
      <c r="BT20" s="19">
        <f t="shared" si="11"/>
        <v>0</v>
      </c>
    </row>
    <row r="21" ht="15" customHeight="1" outlineLevel="1" spans="1:72">
      <c r="A21" s="56"/>
      <c r="B21" s="56" t="s">
        <v>60</v>
      </c>
      <c r="C21" s="57" t="s">
        <v>433</v>
      </c>
      <c r="D21" s="56">
        <v>11812090</v>
      </c>
      <c r="E21" s="58">
        <v>12</v>
      </c>
      <c r="F21" s="57">
        <v>300</v>
      </c>
      <c r="G21" s="57">
        <v>30</v>
      </c>
      <c r="H21" s="57">
        <v>5</v>
      </c>
      <c r="J21" s="73">
        <f t="shared" si="0"/>
        <v>4.8607856</v>
      </c>
      <c r="K21" s="74">
        <f t="shared" si="1"/>
        <v>4.11509360324887</v>
      </c>
      <c r="L21" s="57">
        <f t="shared" si="2"/>
        <v>48607856</v>
      </c>
      <c r="M21" s="57">
        <f t="shared" si="3"/>
        <v>11578432</v>
      </c>
      <c r="N21" s="75">
        <v>22662720</v>
      </c>
      <c r="O21" s="76">
        <v>48607856</v>
      </c>
      <c r="P21" s="76">
        <v>6915384</v>
      </c>
      <c r="Q21" s="76">
        <v>0</v>
      </c>
      <c r="R21" s="76">
        <v>4663048</v>
      </c>
      <c r="S21" s="76">
        <v>36904928</v>
      </c>
      <c r="T21" s="76">
        <v>124496</v>
      </c>
      <c r="U21" s="91">
        <v>72.1006018</v>
      </c>
      <c r="V21" s="91">
        <v>73.5638279</v>
      </c>
      <c r="W21" s="91">
        <v>37.5225236</v>
      </c>
      <c r="X21" s="91">
        <v>43.9659025</v>
      </c>
      <c r="Y21" s="91">
        <v>46.0310191</v>
      </c>
      <c r="Z21" s="91">
        <v>47.0418709</v>
      </c>
      <c r="AA21" s="91">
        <v>32.9791613</v>
      </c>
      <c r="AB21" s="98">
        <v>30208.846388</v>
      </c>
      <c r="AC21" s="98">
        <v>166.949669</v>
      </c>
      <c r="AE21" s="73" t="str">
        <f t="shared" si="4"/>
        <v>·</v>
      </c>
      <c r="AF21" s="74" t="str">
        <f t="shared" si="5"/>
        <v>·</v>
      </c>
      <c r="AG21" s="57" t="str">
        <f t="shared" si="6"/>
        <v>.</v>
      </c>
      <c r="AH21" s="57" t="str">
        <f t="shared" si="7"/>
        <v>.</v>
      </c>
      <c r="AI21" s="75"/>
      <c r="AJ21" s="76"/>
      <c r="AK21" s="76"/>
      <c r="AL21" s="76"/>
      <c r="AM21" s="76"/>
      <c r="AN21" s="76"/>
      <c r="AO21" s="76"/>
      <c r="AP21" s="91"/>
      <c r="AQ21" s="91"/>
      <c r="AR21" s="91"/>
      <c r="AS21" s="91"/>
      <c r="AT21" s="91"/>
      <c r="AU21" s="91"/>
      <c r="AV21" s="91"/>
      <c r="AW21" s="98"/>
      <c r="AX21" s="98"/>
      <c r="AZ21" s="15"/>
      <c r="BA21" s="15"/>
      <c r="BB21" s="15"/>
      <c r="BC21" s="15"/>
      <c r="BD21" s="15"/>
      <c r="BE21" s="15"/>
      <c r="BF21" s="15"/>
      <c r="BH21" s="15"/>
      <c r="BI21" s="15"/>
      <c r="BJ21" s="15"/>
      <c r="BK21" s="15"/>
      <c r="BL21" s="15"/>
      <c r="BM21" s="15"/>
      <c r="BN21" s="15"/>
      <c r="BP21" s="15">
        <f t="shared" si="8"/>
        <v>0</v>
      </c>
      <c r="BQ21" s="15">
        <f t="shared" si="9"/>
        <v>0</v>
      </c>
      <c r="BR21" s="15">
        <f t="shared" si="10"/>
        <v>0</v>
      </c>
      <c r="BS21" s="15">
        <f t="shared" si="11"/>
        <v>0</v>
      </c>
      <c r="BT21" s="15">
        <f t="shared" si="11"/>
        <v>0</v>
      </c>
    </row>
    <row r="22" ht="15" customHeight="1" outlineLevel="1" spans="1:72">
      <c r="A22" s="59"/>
      <c r="B22" s="59" t="s">
        <v>60</v>
      </c>
      <c r="C22" s="60" t="s">
        <v>434</v>
      </c>
      <c r="D22" s="59">
        <v>11812090</v>
      </c>
      <c r="E22" s="61">
        <v>12</v>
      </c>
      <c r="F22" s="60">
        <v>300</v>
      </c>
      <c r="G22" s="60">
        <v>30</v>
      </c>
      <c r="H22" s="60">
        <v>10</v>
      </c>
      <c r="J22" s="77">
        <f t="shared" si="0"/>
        <v>9.6615384</v>
      </c>
      <c r="K22" s="78">
        <f t="shared" si="1"/>
        <v>8.17936402448678</v>
      </c>
      <c r="L22" s="60">
        <f t="shared" si="2"/>
        <v>96615384</v>
      </c>
      <c r="M22" s="60">
        <f t="shared" si="3"/>
        <v>24923240</v>
      </c>
      <c r="N22" s="79">
        <v>45333632</v>
      </c>
      <c r="O22" s="80">
        <v>96615384</v>
      </c>
      <c r="P22" s="80">
        <v>10580056</v>
      </c>
      <c r="Q22" s="80">
        <v>0</v>
      </c>
      <c r="R22" s="80">
        <v>14343184</v>
      </c>
      <c r="S22" s="80">
        <v>71570736</v>
      </c>
      <c r="T22" s="80">
        <v>121408</v>
      </c>
      <c r="U22" s="92">
        <v>77.9595187</v>
      </c>
      <c r="V22" s="92">
        <v>80.5860419</v>
      </c>
      <c r="W22" s="92">
        <v>40.4808908</v>
      </c>
      <c r="X22" s="92">
        <v>45.2059607</v>
      </c>
      <c r="Y22" s="92">
        <v>48.0927237</v>
      </c>
      <c r="Z22" s="92">
        <v>50.015318</v>
      </c>
      <c r="AA22" s="92">
        <v>36.799207</v>
      </c>
      <c r="AB22" s="99">
        <v>32704.445014</v>
      </c>
      <c r="AC22" s="99">
        <v>190.692588</v>
      </c>
      <c r="AE22" s="77" t="str">
        <f t="shared" si="4"/>
        <v>·</v>
      </c>
      <c r="AF22" s="78" t="str">
        <f t="shared" si="5"/>
        <v>·</v>
      </c>
      <c r="AG22" s="60" t="str">
        <f t="shared" si="6"/>
        <v>.</v>
      </c>
      <c r="AH22" s="60" t="str">
        <f t="shared" si="7"/>
        <v>.</v>
      </c>
      <c r="AI22" s="79"/>
      <c r="AJ22" s="80"/>
      <c r="AK22" s="80"/>
      <c r="AL22" s="80"/>
      <c r="AM22" s="80"/>
      <c r="AN22" s="80"/>
      <c r="AO22" s="80"/>
      <c r="AP22" s="92"/>
      <c r="AQ22" s="92"/>
      <c r="AR22" s="92"/>
      <c r="AS22" s="92"/>
      <c r="AT22" s="92"/>
      <c r="AU22" s="92"/>
      <c r="AV22" s="92"/>
      <c r="AW22" s="99"/>
      <c r="AX22" s="99"/>
      <c r="AZ22" s="19"/>
      <c r="BA22" s="19"/>
      <c r="BB22" s="19"/>
      <c r="BC22" s="19"/>
      <c r="BD22" s="19"/>
      <c r="BE22" s="19"/>
      <c r="BF22" s="19"/>
      <c r="BH22" s="19"/>
      <c r="BI22" s="19"/>
      <c r="BJ22" s="19"/>
      <c r="BK22" s="19"/>
      <c r="BL22" s="19"/>
      <c r="BM22" s="19"/>
      <c r="BN22" s="19"/>
      <c r="BP22" s="19">
        <f t="shared" si="8"/>
        <v>0</v>
      </c>
      <c r="BQ22" s="19">
        <f t="shared" si="9"/>
        <v>0</v>
      </c>
      <c r="BR22" s="19">
        <f t="shared" si="10"/>
        <v>0</v>
      </c>
      <c r="BS22" s="19">
        <f t="shared" si="11"/>
        <v>0</v>
      </c>
      <c r="BT22" s="19">
        <f t="shared" si="11"/>
        <v>0</v>
      </c>
    </row>
    <row r="23" ht="15" customHeight="1" outlineLevel="1" spans="1:72">
      <c r="A23" s="56"/>
      <c r="B23" s="56" t="s">
        <v>60</v>
      </c>
      <c r="C23" s="57" t="s">
        <v>435</v>
      </c>
      <c r="D23" s="56">
        <v>11812090</v>
      </c>
      <c r="E23" s="58">
        <v>12</v>
      </c>
      <c r="F23" s="57">
        <v>300</v>
      </c>
      <c r="G23" s="57">
        <v>30</v>
      </c>
      <c r="H23" s="57">
        <v>14</v>
      </c>
      <c r="J23" s="73">
        <f t="shared" si="0"/>
        <v>13.7166376</v>
      </c>
      <c r="K23" s="74">
        <f t="shared" si="1"/>
        <v>11.6123713923616</v>
      </c>
      <c r="L23" s="57">
        <f t="shared" si="2"/>
        <v>137166376</v>
      </c>
      <c r="M23" s="57">
        <f t="shared" si="3"/>
        <v>35302296</v>
      </c>
      <c r="N23" s="75">
        <v>90678336</v>
      </c>
      <c r="O23" s="76">
        <v>137166376</v>
      </c>
      <c r="P23" s="76">
        <v>22357944</v>
      </c>
      <c r="Q23" s="76">
        <v>0</v>
      </c>
      <c r="R23" s="76">
        <v>12944352</v>
      </c>
      <c r="S23" s="76">
        <v>101741080</v>
      </c>
      <c r="T23" s="76">
        <v>123000</v>
      </c>
      <c r="U23" s="91">
        <v>78.8589656</v>
      </c>
      <c r="V23" s="91">
        <v>81.8200717</v>
      </c>
      <c r="W23" s="91">
        <v>41.4986742</v>
      </c>
      <c r="X23" s="91">
        <v>45.7312858</v>
      </c>
      <c r="Y23" s="91">
        <v>48.8417614</v>
      </c>
      <c r="Z23" s="91">
        <v>50.7961267</v>
      </c>
      <c r="AA23" s="91">
        <v>37.7415303</v>
      </c>
      <c r="AB23" s="98">
        <v>38073.8535</v>
      </c>
      <c r="AC23" s="98">
        <v>271.333512</v>
      </c>
      <c r="AE23" s="73" t="str">
        <f t="shared" si="4"/>
        <v>·</v>
      </c>
      <c r="AF23" s="74" t="str">
        <f t="shared" si="5"/>
        <v>·</v>
      </c>
      <c r="AG23" s="57" t="str">
        <f t="shared" si="6"/>
        <v>.</v>
      </c>
      <c r="AH23" s="57" t="str">
        <f t="shared" si="7"/>
        <v>.</v>
      </c>
      <c r="AI23" s="75"/>
      <c r="AJ23" s="76"/>
      <c r="AK23" s="76"/>
      <c r="AL23" s="76"/>
      <c r="AM23" s="76"/>
      <c r="AN23" s="76"/>
      <c r="AO23" s="76"/>
      <c r="AP23" s="91"/>
      <c r="AQ23" s="91"/>
      <c r="AR23" s="91"/>
      <c r="AS23" s="91"/>
      <c r="AT23" s="91"/>
      <c r="AU23" s="91"/>
      <c r="AV23" s="91"/>
      <c r="AW23" s="98"/>
      <c r="AX23" s="98"/>
      <c r="AZ23" s="15"/>
      <c r="BA23" s="15"/>
      <c r="BB23" s="15"/>
      <c r="BC23" s="15"/>
      <c r="BD23" s="15"/>
      <c r="BE23" s="15"/>
      <c r="BF23" s="15"/>
      <c r="BH23" s="15"/>
      <c r="BI23" s="15"/>
      <c r="BJ23" s="15"/>
      <c r="BK23" s="15"/>
      <c r="BL23" s="15"/>
      <c r="BM23" s="15"/>
      <c r="BN23" s="15"/>
      <c r="BP23" s="15">
        <f t="shared" si="8"/>
        <v>0</v>
      </c>
      <c r="BQ23" s="15">
        <f t="shared" si="9"/>
        <v>0</v>
      </c>
      <c r="BR23" s="15">
        <f t="shared" si="10"/>
        <v>0</v>
      </c>
      <c r="BS23" s="15">
        <f t="shared" si="11"/>
        <v>0</v>
      </c>
      <c r="BT23" s="15">
        <f t="shared" si="11"/>
        <v>0</v>
      </c>
    </row>
    <row r="24" ht="15.75" customHeight="1" outlineLevel="1" spans="1:72">
      <c r="A24" s="65"/>
      <c r="B24" s="65" t="s">
        <v>60</v>
      </c>
      <c r="C24" s="66" t="s">
        <v>436</v>
      </c>
      <c r="D24" s="65">
        <v>11812090</v>
      </c>
      <c r="E24" s="67">
        <v>12</v>
      </c>
      <c r="F24" s="66">
        <v>300</v>
      </c>
      <c r="G24" s="66">
        <v>30</v>
      </c>
      <c r="H24" s="66">
        <v>21</v>
      </c>
      <c r="J24" s="85">
        <f t="shared" si="0"/>
        <v>20.4329096</v>
      </c>
      <c r="K24" s="86">
        <f t="shared" si="1"/>
        <v>17.2983016553379</v>
      </c>
      <c r="L24" s="66">
        <f t="shared" si="2"/>
        <v>204329096</v>
      </c>
      <c r="M24" s="66">
        <f t="shared" si="3"/>
        <v>37292968</v>
      </c>
      <c r="N24" s="87">
        <v>90678336</v>
      </c>
      <c r="O24" s="88">
        <v>204329096</v>
      </c>
      <c r="P24" s="88">
        <v>20162136</v>
      </c>
      <c r="Q24" s="88">
        <v>0</v>
      </c>
      <c r="R24" s="88">
        <v>17130832</v>
      </c>
      <c r="S24" s="88">
        <v>166916008</v>
      </c>
      <c r="T24" s="88">
        <v>120120</v>
      </c>
      <c r="U24" s="94">
        <v>79.5515178</v>
      </c>
      <c r="V24" s="94">
        <v>82.8825684</v>
      </c>
      <c r="W24" s="94">
        <v>42.4979889</v>
      </c>
      <c r="X24" s="94">
        <v>46.8028592</v>
      </c>
      <c r="Y24" s="94">
        <v>50.1935421</v>
      </c>
      <c r="Z24" s="94">
        <v>51.1814658</v>
      </c>
      <c r="AA24" s="94">
        <v>38.511491</v>
      </c>
      <c r="AB24" s="101">
        <v>41459.408124</v>
      </c>
      <c r="AC24" s="101">
        <v>217.097856</v>
      </c>
      <c r="AE24" s="85" t="str">
        <f t="shared" si="4"/>
        <v>·</v>
      </c>
      <c r="AF24" s="86" t="str">
        <f t="shared" si="5"/>
        <v>·</v>
      </c>
      <c r="AG24" s="66" t="str">
        <f t="shared" si="6"/>
        <v>.</v>
      </c>
      <c r="AH24" s="66" t="str">
        <f t="shared" si="7"/>
        <v>.</v>
      </c>
      <c r="AI24" s="87"/>
      <c r="AJ24" s="88"/>
      <c r="AK24" s="88"/>
      <c r="AL24" s="88"/>
      <c r="AM24" s="88"/>
      <c r="AN24" s="88"/>
      <c r="AO24" s="88"/>
      <c r="AP24" s="94"/>
      <c r="AQ24" s="94"/>
      <c r="AR24" s="94"/>
      <c r="AS24" s="94"/>
      <c r="AT24" s="94"/>
      <c r="AU24" s="94"/>
      <c r="AV24" s="94"/>
      <c r="AW24" s="101"/>
      <c r="AX24" s="101"/>
      <c r="AZ24" s="23"/>
      <c r="BA24" s="23"/>
      <c r="BB24" s="23"/>
      <c r="BC24" s="23"/>
      <c r="BD24" s="23"/>
      <c r="BE24" s="23"/>
      <c r="BF24" s="23"/>
      <c r="BH24" s="23"/>
      <c r="BI24" s="23"/>
      <c r="BJ24" s="23"/>
      <c r="BK24" s="23"/>
      <c r="BL24" s="23"/>
      <c r="BM24" s="23"/>
      <c r="BN24" s="23"/>
      <c r="BP24" s="23">
        <f t="shared" si="8"/>
        <v>0</v>
      </c>
      <c r="BQ24" s="23">
        <f t="shared" si="9"/>
        <v>0</v>
      </c>
      <c r="BR24" s="23">
        <f t="shared" si="10"/>
        <v>0</v>
      </c>
      <c r="BS24" s="23">
        <f t="shared" si="11"/>
        <v>0</v>
      </c>
      <c r="BT24" s="23">
        <f t="shared" si="11"/>
        <v>0</v>
      </c>
    </row>
    <row r="25" ht="15" customHeight="1" spans="1:72">
      <c r="A25" s="56" t="s">
        <v>191</v>
      </c>
      <c r="B25" s="56" t="s">
        <v>65</v>
      </c>
      <c r="C25" s="57" t="s">
        <v>432</v>
      </c>
      <c r="D25" s="56">
        <v>12000000</v>
      </c>
      <c r="E25" s="58">
        <v>12</v>
      </c>
      <c r="F25" s="57">
        <v>300</v>
      </c>
      <c r="G25" s="57">
        <v>30</v>
      </c>
      <c r="H25" s="57">
        <v>4</v>
      </c>
      <c r="J25" s="73">
        <f t="shared" si="0"/>
        <v>4.193652</v>
      </c>
      <c r="K25" s="74">
        <f t="shared" si="1"/>
        <v>3.49471</v>
      </c>
      <c r="L25" s="57">
        <f t="shared" si="2"/>
        <v>41936520</v>
      </c>
      <c r="M25" s="57">
        <f t="shared" si="3"/>
        <v>11274000</v>
      </c>
      <c r="N25" s="75">
        <v>23021184</v>
      </c>
      <c r="O25" s="76">
        <v>41936520</v>
      </c>
      <c r="P25" s="76">
        <v>6289792</v>
      </c>
      <c r="Q25" s="76">
        <v>0</v>
      </c>
      <c r="R25" s="76">
        <v>4984208</v>
      </c>
      <c r="S25" s="76">
        <v>30540928</v>
      </c>
      <c r="T25" s="76">
        <v>121592</v>
      </c>
      <c r="U25" s="91">
        <v>74.3686974</v>
      </c>
      <c r="V25" s="91">
        <v>76.2503624</v>
      </c>
      <c r="W25" s="91">
        <v>31.1854999</v>
      </c>
      <c r="X25" s="91">
        <v>39.9282093</v>
      </c>
      <c r="Y25" s="91">
        <v>36.6218507</v>
      </c>
      <c r="Z25" s="91">
        <v>45.087157</v>
      </c>
      <c r="AA25" s="91">
        <v>28.3240479</v>
      </c>
      <c r="AB25" s="98">
        <v>12592.98849</v>
      </c>
      <c r="AC25" s="98">
        <v>51.744952</v>
      </c>
      <c r="AE25" s="73" t="str">
        <f t="shared" si="4"/>
        <v>·</v>
      </c>
      <c r="AF25" s="74" t="str">
        <f t="shared" si="5"/>
        <v>·</v>
      </c>
      <c r="AG25" s="57" t="str">
        <f t="shared" si="6"/>
        <v>.</v>
      </c>
      <c r="AH25" s="57" t="str">
        <f t="shared" si="7"/>
        <v>.</v>
      </c>
      <c r="AI25" s="75"/>
      <c r="AJ25" s="76"/>
      <c r="AK25" s="76"/>
      <c r="AL25" s="76"/>
      <c r="AM25" s="76"/>
      <c r="AN25" s="76"/>
      <c r="AO25" s="76"/>
      <c r="AP25" s="91"/>
      <c r="AQ25" s="91"/>
      <c r="AR25" s="91"/>
      <c r="AS25" s="91"/>
      <c r="AT25" s="91"/>
      <c r="AU25" s="91"/>
      <c r="AV25" s="91"/>
      <c r="AW25" s="98"/>
      <c r="AX25" s="98"/>
      <c r="AZ25" s="15" t="str">
        <f t="array" ref="AZ25">IF(OR(AND(ISBLANK(L25:L29)),AND(ISBLANK(AG25:AG29)),AND(ISBLANK(U25:U29)),AND(ISBLANK(AP25:AP29))),"·",bdRateExtend(L25:L29,U25:U29,AG25:AG29,AP25:AP29))</f>
        <v>·</v>
      </c>
      <c r="BA25" s="15" t="str">
        <f t="array" ref="BA25">IF(OR(AND(ISBLANK(L25:L29)),AND(ISBLANK(AG25:AG29)),AND(ISBLANK(V25:V29)),AND(ISBLANK(AQ25:AQ29))),"·",bdRateExtend(L25:L29,V25:V29,AG25:AG29,AQ25:AQ29))</f>
        <v>·</v>
      </c>
      <c r="BB25" s="15" t="str">
        <f t="array" ref="BB25">IF(OR(AND(ISBLANK(L25:L29)),AND(ISBLANK(AG25:AG29)),AND(ISBLANK(W25:W29)),AND(ISBLANK(AR25:AR29))),"·",bdRateExtend(L25:L29,W25:W29,AG25:AG29,AR25:AR29))</f>
        <v>·</v>
      </c>
      <c r="BC25" s="15" t="str">
        <f t="array" ref="BC25">IF(OR(AND(ISBLANK(L25:L29)),AND(ISBLANK(AG25:AG29)),AND(ISBLANK(X25:X29)),AND(ISBLANK(AS25:AS29))),"·",bdRateExtend(L25:L29,X25:X29,AG25:AG29,AS25:AS29))</f>
        <v>·</v>
      </c>
      <c r="BD25" s="15" t="str">
        <f t="array" ref="BD25">IF(OR(AND(ISBLANK(L25:L29)),AND(ISBLANK(AG25:AG29)),AND(ISBLANK(Y25:Y29)),AND(ISBLANK(AT25:AT29))),"·",bdRateExtend(L25:L29,Y25:Y29,AG25:AG29,AT25:AT29))</f>
        <v>·</v>
      </c>
      <c r="BE25" s="15" t="str">
        <f t="array" ref="BE25">IF(OR(AND(ISBLANK(L25:L29)),AND(ISBLANK(AG25:AG29)),AND(ISBLANK(Z25:Z29)),AND(ISBLANK(AU25:AU29))),"·",bdRateExtend(L25:L29,Z25:Z29,AG25:AG29,AU25:AU29))</f>
        <v>·</v>
      </c>
      <c r="BF25" s="15" t="str">
        <f t="array" ref="BF25">IF(OR(AND(ISBLANK(L25:L29)),AND(ISBLANK(AG25:AG29)),AND(ISBLANK(AA25:AA29)),AND(ISBLANK(AV25:AV29))),"·",bdRateExtend(L25:L29,AA25:AA29,AG25:AG29,AV25:AV29))</f>
        <v>·</v>
      </c>
      <c r="BH25" s="15" t="str">
        <f t="array" ref="BH25">IF(OR(AND(ISBLANK(M25:M29)),AND(ISBLANK(AH25:AH29)),AND(ISBLANK(U25:U29)),AND(ISBLANK(AP25:AP29))),"·",bdRateExtend(M25:M29,U25:U29,AH25:AH29,AP25:AP29))</f>
        <v>·</v>
      </c>
      <c r="BI25" s="15" t="str">
        <f t="array" ref="BI25">IF(OR(AND(ISBLANK(M25:M29)),AND(ISBLANK(AH25:AH29)),AND(ISBLANK(V25:V29)),AND(ISBLANK(AQ25:AQ29))),"·",bdRateExtend(M25:M29,V25:V29,AH25:AH29,AQ25:AQ29))</f>
        <v>·</v>
      </c>
      <c r="BJ25" s="15" t="str">
        <f t="array" ref="BJ25">IF(OR(AND(ISBLANK(S25:S29)),AND(ISBLANK(AN25:AN29)),AND(ISBLANK(W25:W29)),AND(ISBLANK(AR25:AR29))),"·",bdRateExtend(S25:S29,W25:W29,AN25:AN29,AR25:AR29))</f>
        <v>·</v>
      </c>
      <c r="BK25" s="15" t="str">
        <f t="array" ref="BK25">IF(OR(AND(ISBLANK(S25:S29)),AND(ISBLANK(AN25:AN29)),AND(ISBLANK(X25:X29)),AND(ISBLANK(AS25:AS29))),"·",bdRateExtend(S25:S29,X25:X29,AN25:AN29,AS25:AS29))</f>
        <v>·</v>
      </c>
      <c r="BL25" s="15" t="str">
        <f t="array" ref="BL25">IF(OR(AND(ISBLANK(S25:S29)),AND(ISBLANK(AN25:AN29)),AND(ISBLANK(Y25:Y29)),AND(ISBLANK(AT25:AT29))),"·",bdRateExtend(S25:S29,Y25:Y29,AN25:AN29,AT25:AT29))</f>
        <v>·</v>
      </c>
      <c r="BM25" s="15" t="str">
        <f t="array" ref="BM25">IF(OR(AND(ISBLANK(M25:M29)),AND(ISBLANK(AH25:AH29)),AND(ISBLANK(Z25:Z29)),AND(ISBLANK(AU25:AU29))),"·",bdRateExtend(M25:M29,Z25:Z29,AH25:AH29,AU25:AU29))</f>
        <v>·</v>
      </c>
      <c r="BN25" s="15" t="str">
        <f t="array" ref="BN25">IF(OR(AND(ISBLANK(S25:S29)),AND(ISBLANK(AN25:AN29)),AND(ISBLANK(AA25:AA29)),AND(ISBLANK(AV25:AV29))),"·",bdRateExtend(S25:S29,AA25:AA29,AN25:AN29,AV25:AV29))</f>
        <v>·</v>
      </c>
      <c r="BP25" s="15">
        <f t="shared" ref="BP25:BT29" si="12">IF(AND(AK25=0,AK25=0),0,AK25/P25-1)</f>
        <v>0</v>
      </c>
      <c r="BQ25" s="15">
        <f t="shared" si="12"/>
        <v>0</v>
      </c>
      <c r="BR25" s="15">
        <f t="shared" si="12"/>
        <v>0</v>
      </c>
      <c r="BS25" s="15">
        <f t="shared" si="12"/>
        <v>0</v>
      </c>
      <c r="BT25" s="15">
        <f t="shared" si="12"/>
        <v>0</v>
      </c>
    </row>
    <row r="26" ht="15" customHeight="1" outlineLevel="1" spans="1:72">
      <c r="A26" s="59"/>
      <c r="B26" s="59" t="s">
        <v>65</v>
      </c>
      <c r="C26" s="60" t="s">
        <v>433</v>
      </c>
      <c r="D26" s="59">
        <v>12000000</v>
      </c>
      <c r="E26" s="61">
        <v>12</v>
      </c>
      <c r="F26" s="60">
        <v>300</v>
      </c>
      <c r="G26" s="60">
        <v>30</v>
      </c>
      <c r="H26" s="60">
        <v>8</v>
      </c>
      <c r="J26" s="77">
        <f t="shared" si="0"/>
        <v>8.1941896</v>
      </c>
      <c r="K26" s="78">
        <f t="shared" si="1"/>
        <v>6.82849133333333</v>
      </c>
      <c r="L26" s="60">
        <f t="shared" si="2"/>
        <v>81941896</v>
      </c>
      <c r="M26" s="60">
        <f t="shared" si="3"/>
        <v>17868880</v>
      </c>
      <c r="N26" s="79">
        <v>46064000</v>
      </c>
      <c r="O26" s="80">
        <v>81941896</v>
      </c>
      <c r="P26" s="80">
        <v>10590528</v>
      </c>
      <c r="Q26" s="80">
        <v>0</v>
      </c>
      <c r="R26" s="80">
        <v>7278352</v>
      </c>
      <c r="S26" s="80">
        <v>63949744</v>
      </c>
      <c r="T26" s="80">
        <v>123272</v>
      </c>
      <c r="U26" s="92">
        <v>77.3029332</v>
      </c>
      <c r="V26" s="92">
        <v>79.7716723</v>
      </c>
      <c r="W26" s="92">
        <v>33.5074045</v>
      </c>
      <c r="X26" s="92">
        <v>41.8417944</v>
      </c>
      <c r="Y26" s="92">
        <v>39.4681248</v>
      </c>
      <c r="Z26" s="92">
        <v>46.6791412</v>
      </c>
      <c r="AA26" s="92">
        <v>31.0640945</v>
      </c>
      <c r="AB26" s="99">
        <v>33836.625993</v>
      </c>
      <c r="AC26" s="99">
        <v>200.384875</v>
      </c>
      <c r="AE26" s="77" t="str">
        <f t="shared" si="4"/>
        <v>·</v>
      </c>
      <c r="AF26" s="78" t="str">
        <f t="shared" si="5"/>
        <v>·</v>
      </c>
      <c r="AG26" s="60" t="str">
        <f t="shared" si="6"/>
        <v>.</v>
      </c>
      <c r="AH26" s="60" t="str">
        <f t="shared" si="7"/>
        <v>.</v>
      </c>
      <c r="AI26" s="79"/>
      <c r="AJ26" s="80"/>
      <c r="AK26" s="80"/>
      <c r="AL26" s="80"/>
      <c r="AM26" s="80"/>
      <c r="AN26" s="80"/>
      <c r="AO26" s="80"/>
      <c r="AP26" s="92"/>
      <c r="AQ26" s="92"/>
      <c r="AR26" s="92"/>
      <c r="AS26" s="92"/>
      <c r="AT26" s="92"/>
      <c r="AU26" s="92"/>
      <c r="AV26" s="92"/>
      <c r="AW26" s="99"/>
      <c r="AX26" s="99"/>
      <c r="AZ26" s="19"/>
      <c r="BA26" s="19"/>
      <c r="BB26" s="19"/>
      <c r="BC26" s="19"/>
      <c r="BD26" s="19"/>
      <c r="BE26" s="19"/>
      <c r="BF26" s="19"/>
      <c r="BH26" s="19"/>
      <c r="BI26" s="19"/>
      <c r="BJ26" s="19"/>
      <c r="BK26" s="19"/>
      <c r="BL26" s="19"/>
      <c r="BM26" s="19"/>
      <c r="BN26" s="19"/>
      <c r="BP26" s="19">
        <f t="shared" si="12"/>
        <v>0</v>
      </c>
      <c r="BQ26" s="19">
        <f t="shared" si="12"/>
        <v>0</v>
      </c>
      <c r="BR26" s="19">
        <f t="shared" si="12"/>
        <v>0</v>
      </c>
      <c r="BS26" s="19">
        <f t="shared" si="12"/>
        <v>0</v>
      </c>
      <c r="BT26" s="19">
        <f t="shared" si="12"/>
        <v>0</v>
      </c>
    </row>
    <row r="27" ht="15" customHeight="1" outlineLevel="1" spans="1:72">
      <c r="A27" s="56"/>
      <c r="B27" s="56" t="s">
        <v>65</v>
      </c>
      <c r="C27" s="57" t="s">
        <v>434</v>
      </c>
      <c r="D27" s="56">
        <v>12000000</v>
      </c>
      <c r="E27" s="58">
        <v>12</v>
      </c>
      <c r="F27" s="57">
        <v>300</v>
      </c>
      <c r="G27" s="57">
        <v>30</v>
      </c>
      <c r="H27" s="57">
        <v>12</v>
      </c>
      <c r="J27" s="73">
        <f t="shared" si="0"/>
        <v>12.0069544</v>
      </c>
      <c r="K27" s="74">
        <f t="shared" si="1"/>
        <v>10.0057953333333</v>
      </c>
      <c r="L27" s="57">
        <f t="shared" si="2"/>
        <v>120069544</v>
      </c>
      <c r="M27" s="57">
        <f t="shared" si="3"/>
        <v>26195184</v>
      </c>
      <c r="N27" s="75">
        <v>92146368</v>
      </c>
      <c r="O27" s="76">
        <v>120069544</v>
      </c>
      <c r="P27" s="76">
        <v>20113928</v>
      </c>
      <c r="Q27" s="76">
        <v>0</v>
      </c>
      <c r="R27" s="76">
        <v>6081256</v>
      </c>
      <c r="S27" s="76">
        <v>93755744</v>
      </c>
      <c r="T27" s="76">
        <v>118616</v>
      </c>
      <c r="U27" s="91">
        <v>79.125771</v>
      </c>
      <c r="V27" s="91">
        <v>82.0806177</v>
      </c>
      <c r="W27" s="91">
        <v>34.5708727</v>
      </c>
      <c r="X27" s="91">
        <v>43.2034296</v>
      </c>
      <c r="Y27" s="91">
        <v>41.2769254</v>
      </c>
      <c r="Z27" s="91">
        <v>47.9738842</v>
      </c>
      <c r="AA27" s="91">
        <v>32.3190431</v>
      </c>
      <c r="AB27" s="98">
        <v>79828.281201</v>
      </c>
      <c r="AC27" s="98">
        <v>518.181696</v>
      </c>
      <c r="AE27" s="73" t="str">
        <f t="shared" si="4"/>
        <v>·</v>
      </c>
      <c r="AF27" s="74" t="str">
        <f t="shared" si="5"/>
        <v>·</v>
      </c>
      <c r="AG27" s="57" t="str">
        <f t="shared" si="6"/>
        <v>.</v>
      </c>
      <c r="AH27" s="57" t="str">
        <f t="shared" si="7"/>
        <v>.</v>
      </c>
      <c r="AI27" s="75"/>
      <c r="AJ27" s="76"/>
      <c r="AK27" s="76"/>
      <c r="AL27" s="76"/>
      <c r="AM27" s="76"/>
      <c r="AN27" s="76"/>
      <c r="AO27" s="76"/>
      <c r="AP27" s="91"/>
      <c r="AQ27" s="91"/>
      <c r="AR27" s="91"/>
      <c r="AS27" s="91"/>
      <c r="AT27" s="91"/>
      <c r="AU27" s="91"/>
      <c r="AV27" s="91"/>
      <c r="AW27" s="98"/>
      <c r="AX27" s="98"/>
      <c r="AZ27" s="15"/>
      <c r="BA27" s="15"/>
      <c r="BB27" s="15"/>
      <c r="BC27" s="15"/>
      <c r="BD27" s="15"/>
      <c r="BE27" s="15"/>
      <c r="BF27" s="15"/>
      <c r="BH27" s="15"/>
      <c r="BI27" s="15"/>
      <c r="BJ27" s="15"/>
      <c r="BK27" s="15"/>
      <c r="BL27" s="15"/>
      <c r="BM27" s="15"/>
      <c r="BN27" s="15"/>
      <c r="BP27" s="15">
        <f t="shared" si="12"/>
        <v>0</v>
      </c>
      <c r="BQ27" s="15">
        <f t="shared" si="12"/>
        <v>0</v>
      </c>
      <c r="BR27" s="15">
        <f t="shared" si="12"/>
        <v>0</v>
      </c>
      <c r="BS27" s="15">
        <f t="shared" si="12"/>
        <v>0</v>
      </c>
      <c r="BT27" s="15">
        <f t="shared" si="12"/>
        <v>0</v>
      </c>
    </row>
    <row r="28" ht="15" customHeight="1" outlineLevel="1" spans="1:72">
      <c r="A28" s="59"/>
      <c r="B28" s="59" t="s">
        <v>65</v>
      </c>
      <c r="C28" s="60" t="s">
        <v>435</v>
      </c>
      <c r="D28" s="59">
        <v>12000000</v>
      </c>
      <c r="E28" s="61">
        <v>12</v>
      </c>
      <c r="F28" s="60">
        <v>300</v>
      </c>
      <c r="G28" s="60">
        <v>30</v>
      </c>
      <c r="H28" s="60">
        <v>17</v>
      </c>
      <c r="J28" s="77">
        <f t="shared" si="0"/>
        <v>17.164728</v>
      </c>
      <c r="K28" s="78">
        <f t="shared" si="1"/>
        <v>14.30394</v>
      </c>
      <c r="L28" s="60">
        <f t="shared" si="2"/>
        <v>171647280</v>
      </c>
      <c r="M28" s="60">
        <f t="shared" si="3"/>
        <v>45021192</v>
      </c>
      <c r="N28" s="79">
        <v>184310144</v>
      </c>
      <c r="O28" s="80">
        <v>171647280</v>
      </c>
      <c r="P28" s="80">
        <v>39366688</v>
      </c>
      <c r="Q28" s="80">
        <v>0</v>
      </c>
      <c r="R28" s="80">
        <v>5654504</v>
      </c>
      <c r="S28" s="80">
        <v>126511448</v>
      </c>
      <c r="T28" s="80">
        <v>114640</v>
      </c>
      <c r="U28" s="92">
        <v>80.7573316</v>
      </c>
      <c r="V28" s="92">
        <v>84.4431071</v>
      </c>
      <c r="W28" s="92">
        <v>35.3395869</v>
      </c>
      <c r="X28" s="92">
        <v>43.5506386</v>
      </c>
      <c r="Y28" s="92">
        <v>41.7599776</v>
      </c>
      <c r="Z28" s="92">
        <v>49.3696344</v>
      </c>
      <c r="AA28" s="92">
        <v>33.5445483</v>
      </c>
      <c r="AB28" s="99">
        <v>89308.989971</v>
      </c>
      <c r="AC28" s="99">
        <v>670.224074</v>
      </c>
      <c r="AE28" s="77" t="str">
        <f t="shared" si="4"/>
        <v>·</v>
      </c>
      <c r="AF28" s="78" t="str">
        <f t="shared" si="5"/>
        <v>·</v>
      </c>
      <c r="AG28" s="60" t="str">
        <f t="shared" si="6"/>
        <v>.</v>
      </c>
      <c r="AH28" s="60" t="str">
        <f t="shared" si="7"/>
        <v>.</v>
      </c>
      <c r="AI28" s="79"/>
      <c r="AJ28" s="80"/>
      <c r="AK28" s="80"/>
      <c r="AL28" s="80"/>
      <c r="AM28" s="80"/>
      <c r="AN28" s="80"/>
      <c r="AO28" s="80"/>
      <c r="AP28" s="92"/>
      <c r="AQ28" s="92"/>
      <c r="AR28" s="92"/>
      <c r="AS28" s="92"/>
      <c r="AT28" s="92"/>
      <c r="AU28" s="92"/>
      <c r="AV28" s="92"/>
      <c r="AW28" s="99"/>
      <c r="AX28" s="99"/>
      <c r="AZ28" s="19"/>
      <c r="BA28" s="19"/>
      <c r="BB28" s="19"/>
      <c r="BC28" s="19"/>
      <c r="BD28" s="19"/>
      <c r="BE28" s="19"/>
      <c r="BF28" s="19"/>
      <c r="BH28" s="19"/>
      <c r="BI28" s="19"/>
      <c r="BJ28" s="19"/>
      <c r="BK28" s="19"/>
      <c r="BL28" s="19"/>
      <c r="BM28" s="19"/>
      <c r="BN28" s="19"/>
      <c r="BP28" s="19">
        <f t="shared" si="12"/>
        <v>0</v>
      </c>
      <c r="BQ28" s="19">
        <f t="shared" si="12"/>
        <v>0</v>
      </c>
      <c r="BR28" s="19">
        <f t="shared" si="12"/>
        <v>0</v>
      </c>
      <c r="BS28" s="19">
        <f t="shared" si="12"/>
        <v>0</v>
      </c>
      <c r="BT28" s="19">
        <f t="shared" si="12"/>
        <v>0</v>
      </c>
    </row>
    <row r="29" ht="15.75" customHeight="1" outlineLevel="1" spans="1:72">
      <c r="A29" s="56"/>
      <c r="B29" s="62" t="s">
        <v>65</v>
      </c>
      <c r="C29" s="63" t="s">
        <v>436</v>
      </c>
      <c r="D29" s="62">
        <v>12000000</v>
      </c>
      <c r="E29" s="64">
        <v>12</v>
      </c>
      <c r="F29" s="63">
        <v>300</v>
      </c>
      <c r="G29" s="63">
        <v>30</v>
      </c>
      <c r="H29" s="63">
        <v>25</v>
      </c>
      <c r="J29" s="81">
        <f t="shared" si="0"/>
        <v>25.4887208</v>
      </c>
      <c r="K29" s="82">
        <f t="shared" si="1"/>
        <v>21.2406006666667</v>
      </c>
      <c r="L29" s="63">
        <f t="shared" si="2"/>
        <v>254887208</v>
      </c>
      <c r="M29" s="63">
        <f t="shared" si="3"/>
        <v>93368552</v>
      </c>
      <c r="N29" s="83">
        <v>138237904</v>
      </c>
      <c r="O29" s="84">
        <v>254887208</v>
      </c>
      <c r="P29" s="84">
        <v>85192808</v>
      </c>
      <c r="Q29" s="84">
        <v>0</v>
      </c>
      <c r="R29" s="84">
        <v>8175744</v>
      </c>
      <c r="S29" s="84">
        <v>161416168</v>
      </c>
      <c r="T29" s="84">
        <v>102488</v>
      </c>
      <c r="U29" s="93">
        <v>85.154513</v>
      </c>
      <c r="V29" s="93">
        <v>90.9475694</v>
      </c>
      <c r="W29" s="93">
        <v>36.0558186</v>
      </c>
      <c r="X29" s="93">
        <v>43.8810821</v>
      </c>
      <c r="Y29" s="93">
        <v>42.2233412</v>
      </c>
      <c r="Z29" s="93">
        <v>53.3720011</v>
      </c>
      <c r="AA29" s="93">
        <v>35.2753243</v>
      </c>
      <c r="AB29" s="100">
        <v>64633.254417</v>
      </c>
      <c r="AC29" s="100">
        <v>265.51719</v>
      </c>
      <c r="AE29" s="81" t="str">
        <f t="shared" si="4"/>
        <v>·</v>
      </c>
      <c r="AF29" s="82" t="str">
        <f t="shared" si="5"/>
        <v>·</v>
      </c>
      <c r="AG29" s="63" t="str">
        <f t="shared" si="6"/>
        <v>.</v>
      </c>
      <c r="AH29" s="63" t="str">
        <f t="shared" si="7"/>
        <v>.</v>
      </c>
      <c r="AI29" s="83"/>
      <c r="AJ29" s="84"/>
      <c r="AK29" s="84"/>
      <c r="AL29" s="84"/>
      <c r="AM29" s="84"/>
      <c r="AN29" s="84"/>
      <c r="AO29" s="84"/>
      <c r="AP29" s="93"/>
      <c r="AQ29" s="93"/>
      <c r="AR29" s="93"/>
      <c r="AS29" s="93"/>
      <c r="AT29" s="93"/>
      <c r="AU29" s="93"/>
      <c r="AV29" s="93"/>
      <c r="AW29" s="100"/>
      <c r="AX29" s="100"/>
      <c r="AZ29" s="110"/>
      <c r="BA29" s="110"/>
      <c r="BB29" s="110"/>
      <c r="BC29" s="110"/>
      <c r="BD29" s="110"/>
      <c r="BE29" s="110"/>
      <c r="BF29" s="110"/>
      <c r="BH29" s="110"/>
      <c r="BI29" s="110"/>
      <c r="BJ29" s="110"/>
      <c r="BK29" s="110"/>
      <c r="BL29" s="110"/>
      <c r="BM29" s="110"/>
      <c r="BN29" s="110"/>
      <c r="BP29" s="110">
        <f t="shared" si="12"/>
        <v>0</v>
      </c>
      <c r="BQ29" s="110">
        <f t="shared" si="12"/>
        <v>0</v>
      </c>
      <c r="BR29" s="110">
        <f t="shared" si="12"/>
        <v>0</v>
      </c>
      <c r="BS29" s="110">
        <f t="shared" si="12"/>
        <v>0</v>
      </c>
      <c r="BT29" s="110">
        <f t="shared" si="12"/>
        <v>0</v>
      </c>
    </row>
    <row r="30" ht="15" customHeight="1" spans="1:72">
      <c r="A30" s="59"/>
      <c r="B30" s="59" t="s">
        <v>70</v>
      </c>
      <c r="C30" s="60" t="s">
        <v>432</v>
      </c>
      <c r="D30" s="59">
        <v>5997654</v>
      </c>
      <c r="E30" s="61">
        <v>12</v>
      </c>
      <c r="F30" s="60">
        <v>300</v>
      </c>
      <c r="G30" s="60">
        <v>30</v>
      </c>
      <c r="H30" s="60">
        <v>4</v>
      </c>
      <c r="J30" s="77">
        <f t="shared" si="0"/>
        <v>2.0029112</v>
      </c>
      <c r="K30" s="78">
        <f t="shared" si="1"/>
        <v>3.3394910743434</v>
      </c>
      <c r="L30" s="60">
        <f t="shared" si="2"/>
        <v>20029112</v>
      </c>
      <c r="M30" s="60">
        <f t="shared" si="3"/>
        <v>5250144</v>
      </c>
      <c r="N30" s="79">
        <v>11249408</v>
      </c>
      <c r="O30" s="80">
        <v>20029112</v>
      </c>
      <c r="P30" s="80">
        <v>2257704</v>
      </c>
      <c r="Q30" s="80">
        <v>245032</v>
      </c>
      <c r="R30" s="80">
        <v>2747408</v>
      </c>
      <c r="S30" s="80">
        <v>14718072</v>
      </c>
      <c r="T30" s="80">
        <v>60896</v>
      </c>
      <c r="U30" s="92">
        <v>73.5814624</v>
      </c>
      <c r="V30" s="92">
        <v>75.3128723</v>
      </c>
      <c r="W30" s="92">
        <v>38.2196822</v>
      </c>
      <c r="X30" s="92">
        <v>44.3779519</v>
      </c>
      <c r="Y30" s="92">
        <v>43.0222067</v>
      </c>
      <c r="Z30" s="92">
        <v>48.4553381</v>
      </c>
      <c r="AA30" s="92">
        <v>34.7480735</v>
      </c>
      <c r="AB30" s="99">
        <v>14655.369447</v>
      </c>
      <c r="AC30" s="99">
        <v>83.494861</v>
      </c>
      <c r="AE30" s="77" t="str">
        <f t="shared" si="4"/>
        <v>·</v>
      </c>
      <c r="AF30" s="78" t="str">
        <f t="shared" si="5"/>
        <v>·</v>
      </c>
      <c r="AG30" s="60" t="str">
        <f t="shared" si="6"/>
        <v>.</v>
      </c>
      <c r="AH30" s="60" t="str">
        <f t="shared" si="7"/>
        <v>.</v>
      </c>
      <c r="AI30" s="79"/>
      <c r="AJ30" s="80"/>
      <c r="AK30" s="80"/>
      <c r="AL30" s="80"/>
      <c r="AM30" s="80"/>
      <c r="AN30" s="80"/>
      <c r="AO30" s="80"/>
      <c r="AP30" s="92"/>
      <c r="AQ30" s="92"/>
      <c r="AR30" s="92"/>
      <c r="AS30" s="92"/>
      <c r="AT30" s="92"/>
      <c r="AU30" s="92"/>
      <c r="AV30" s="92"/>
      <c r="AW30" s="99"/>
      <c r="AX30" s="99"/>
      <c r="AZ30" s="19" t="str">
        <f t="array" ref="AZ30">IF(OR(AND(ISBLANK(L30:L34)),AND(ISBLANK(AG30:AG34)),AND(ISBLANK(U30:U34)),AND(ISBLANK(AP30:AP34))),"·",bdRateExtend(L30:L34,U30:U34,AG30:AG34,AP30:AP34))</f>
        <v>·</v>
      </c>
      <c r="BA30" s="19" t="str">
        <f t="array" ref="BA30">IF(OR(AND(ISBLANK(L30:L34)),AND(ISBLANK(AG30:AG34)),AND(ISBLANK(V30:V34)),AND(ISBLANK(AQ30:AQ34))),"·",bdRateExtend(L30:L34,V30:V34,AG30:AG34,AQ30:AQ34))</f>
        <v>·</v>
      </c>
      <c r="BB30" s="19" t="str">
        <f t="array" ref="BB30">IF(OR(AND(ISBLANK(L30:L34)),AND(ISBLANK(AG30:AG34)),AND(ISBLANK(W30:W34)),AND(ISBLANK(AR30:AR34))),"·",bdRateExtend(L30:L34,W30:W34,AG30:AG34,AR30:AR34))</f>
        <v>·</v>
      </c>
      <c r="BC30" s="19" t="str">
        <f t="array" ref="BC30">IF(OR(AND(ISBLANK(L30:L34)),AND(ISBLANK(AG30:AG34)),AND(ISBLANK(X30:X34)),AND(ISBLANK(AS30:AS34))),"·",bdRateExtend(L30:L34,X30:X34,AG30:AG34,AS30:AS34))</f>
        <v>·</v>
      </c>
      <c r="BD30" s="19" t="str">
        <f t="array" ref="BD30">IF(OR(AND(ISBLANK(L30:L34)),AND(ISBLANK(AG30:AG34)),AND(ISBLANK(Y30:Y34)),AND(ISBLANK(AT30:AT34))),"·",bdRateExtend(L30:L34,Y30:Y34,AG30:AG34,AT30:AT34))</f>
        <v>·</v>
      </c>
      <c r="BE30" s="19" t="str">
        <f t="array" ref="BE30">IF(OR(AND(ISBLANK(L30:L34)),AND(ISBLANK(AG30:AG34)),AND(ISBLANK(Z30:Z34)),AND(ISBLANK(AU30:AU34))),"·",bdRateExtend(L30:L34,Z30:Z34,AG30:AG34,AU30:AU34))</f>
        <v>·</v>
      </c>
      <c r="BF30" s="19" t="str">
        <f t="array" ref="BF30">IF(OR(AND(ISBLANK(L30:L34)),AND(ISBLANK(AG30:AG34)),AND(ISBLANK(AA30:AA34)),AND(ISBLANK(AV30:AV34))),"·",bdRateExtend(L30:L34,AA30:AA34,AG30:AG34,AV30:AV34))</f>
        <v>·</v>
      </c>
      <c r="BH30" s="19" t="str">
        <f t="array" ref="BH30">IF(OR(AND(ISBLANK(M30:M34)),AND(ISBLANK(AH30:AH34)),AND(ISBLANK(U30:U34)),AND(ISBLANK(AP30:AP34))),"·",bdRateExtend(M30:M34,U30:U34,AH30:AH34,AP30:AP34))</f>
        <v>·</v>
      </c>
      <c r="BI30" s="19" t="str">
        <f t="array" ref="BI30">IF(OR(AND(ISBLANK(M30:M34)),AND(ISBLANK(AH30:AH34)),AND(ISBLANK(V30:V34)),AND(ISBLANK(AQ30:AQ34))),"·",bdRateExtend(M30:M34,V30:V34,AH30:AH34,AQ30:AQ34))</f>
        <v>·</v>
      </c>
      <c r="BJ30" s="19" t="str">
        <f t="array" ref="BJ30">IF(OR(AND(ISBLANK(S30:S34)),AND(ISBLANK(AN30:AN34)),AND(ISBLANK(W30:W34)),AND(ISBLANK(AR30:AR34))),"·",bdRateExtend(S30:S34,W30:W34,AN30:AN34,AR30:AR34))</f>
        <v>·</v>
      </c>
      <c r="BK30" s="19" t="str">
        <f t="array" ref="BK30">IF(OR(AND(ISBLANK(S30:S34)),AND(ISBLANK(AN30:AN34)),AND(ISBLANK(X30:X34)),AND(ISBLANK(AS30:AS34))),"·",bdRateExtend(S30:S34,X30:X34,AN30:AN34,AS30:AS34))</f>
        <v>·</v>
      </c>
      <c r="BL30" s="19" t="str">
        <f t="array" ref="BL30">IF(OR(AND(ISBLANK(S30:S34)),AND(ISBLANK(AN30:AN34)),AND(ISBLANK(Y30:Y34)),AND(ISBLANK(AT30:AT34))),"·",bdRateExtend(S30:S34,Y30:Y34,AN30:AN34,AT30:AT34))</f>
        <v>·</v>
      </c>
      <c r="BM30" s="19" t="str">
        <f t="array" ref="BM30">IF(OR(AND(ISBLANK(M30:M34)),AND(ISBLANK(AH30:AH34)),AND(ISBLANK(Z30:Z34)),AND(ISBLANK(AU30:AU34))),"·",bdRateExtend(M30:M34,Z30:Z34,AH30:AH34,AU30:AU34))</f>
        <v>·</v>
      </c>
      <c r="BN30" s="19" t="str">
        <f t="array" ref="BN30">IF(OR(AND(ISBLANK(S30:S34)),AND(ISBLANK(AN30:AN34)),AND(ISBLANK(AA30:AA34)),AND(ISBLANK(AV30:AV34))),"·",bdRateExtend(S30:S34,AA30:AA34,AN30:AN34,AV30:AV34))</f>
        <v>·</v>
      </c>
      <c r="BP30" s="19">
        <f t="shared" si="8"/>
        <v>0</v>
      </c>
      <c r="BQ30" s="19">
        <f t="shared" si="9"/>
        <v>0</v>
      </c>
      <c r="BR30" s="19">
        <f t="shared" si="10"/>
        <v>0</v>
      </c>
      <c r="BS30" s="19">
        <f t="shared" si="11"/>
        <v>0</v>
      </c>
      <c r="BT30" s="19">
        <f t="shared" si="11"/>
        <v>0</v>
      </c>
    </row>
    <row r="31" ht="15" customHeight="1" outlineLevel="1" spans="1:72">
      <c r="A31" s="56"/>
      <c r="B31" s="56" t="s">
        <v>70</v>
      </c>
      <c r="C31" s="57" t="s">
        <v>433</v>
      </c>
      <c r="D31" s="56">
        <v>5997654</v>
      </c>
      <c r="E31" s="58">
        <v>12</v>
      </c>
      <c r="F31" s="57">
        <v>300</v>
      </c>
      <c r="G31" s="57">
        <v>30</v>
      </c>
      <c r="H31" s="57">
        <v>8</v>
      </c>
      <c r="J31" s="73">
        <f t="shared" si="0"/>
        <v>4.0809712</v>
      </c>
      <c r="K31" s="74">
        <f t="shared" si="1"/>
        <v>6.80427913981033</v>
      </c>
      <c r="L31" s="57">
        <f t="shared" si="2"/>
        <v>40809712</v>
      </c>
      <c r="M31" s="57">
        <f t="shared" si="3"/>
        <v>8823904</v>
      </c>
      <c r="N31" s="75">
        <v>5692320</v>
      </c>
      <c r="O31" s="76">
        <v>40809712</v>
      </c>
      <c r="P31" s="76">
        <v>3943200</v>
      </c>
      <c r="Q31" s="76">
        <v>340520</v>
      </c>
      <c r="R31" s="76">
        <v>4540184</v>
      </c>
      <c r="S31" s="76">
        <v>31931216</v>
      </c>
      <c r="T31" s="76">
        <v>54592</v>
      </c>
      <c r="U31" s="91">
        <v>76.2668445</v>
      </c>
      <c r="V31" s="91">
        <v>78.4322372</v>
      </c>
      <c r="W31" s="91">
        <v>40.4759344</v>
      </c>
      <c r="X31" s="91">
        <v>45.7798589</v>
      </c>
      <c r="Y31" s="91">
        <v>44.6182611</v>
      </c>
      <c r="Z31" s="91">
        <v>49.5149246</v>
      </c>
      <c r="AA31" s="91">
        <v>36.4270794</v>
      </c>
      <c r="AB31" s="98">
        <v>16536.166483</v>
      </c>
      <c r="AC31" s="98">
        <v>83.751682</v>
      </c>
      <c r="AE31" s="73" t="str">
        <f t="shared" si="4"/>
        <v>·</v>
      </c>
      <c r="AF31" s="74" t="str">
        <f t="shared" si="5"/>
        <v>·</v>
      </c>
      <c r="AG31" s="57" t="str">
        <f t="shared" si="6"/>
        <v>.</v>
      </c>
      <c r="AH31" s="57" t="str">
        <f t="shared" si="7"/>
        <v>.</v>
      </c>
      <c r="AI31" s="75"/>
      <c r="AJ31" s="76"/>
      <c r="AK31" s="76"/>
      <c r="AL31" s="76"/>
      <c r="AM31" s="76"/>
      <c r="AN31" s="76"/>
      <c r="AO31" s="76"/>
      <c r="AP31" s="91"/>
      <c r="AQ31" s="91"/>
      <c r="AR31" s="91"/>
      <c r="AS31" s="91"/>
      <c r="AT31" s="91"/>
      <c r="AU31" s="91"/>
      <c r="AV31" s="91"/>
      <c r="AW31" s="98"/>
      <c r="AX31" s="98"/>
      <c r="AZ31" s="15"/>
      <c r="BA31" s="15"/>
      <c r="BB31" s="15"/>
      <c r="BC31" s="15"/>
      <c r="BD31" s="15"/>
      <c r="BE31" s="15"/>
      <c r="BF31" s="15"/>
      <c r="BH31" s="15"/>
      <c r="BI31" s="15"/>
      <c r="BJ31" s="15"/>
      <c r="BK31" s="15"/>
      <c r="BL31" s="15"/>
      <c r="BM31" s="15"/>
      <c r="BN31" s="15"/>
      <c r="BP31" s="15">
        <f t="shared" si="8"/>
        <v>0</v>
      </c>
      <c r="BQ31" s="15">
        <f t="shared" si="9"/>
        <v>0</v>
      </c>
      <c r="BR31" s="15">
        <f t="shared" si="10"/>
        <v>0</v>
      </c>
      <c r="BS31" s="15">
        <f t="shared" si="11"/>
        <v>0</v>
      </c>
      <c r="BT31" s="15">
        <f t="shared" si="11"/>
        <v>0</v>
      </c>
    </row>
    <row r="32" ht="15" customHeight="1" outlineLevel="1" spans="1:72">
      <c r="A32" s="59"/>
      <c r="B32" s="59" t="s">
        <v>70</v>
      </c>
      <c r="C32" s="60" t="s">
        <v>434</v>
      </c>
      <c r="D32" s="59">
        <v>5997654</v>
      </c>
      <c r="E32" s="61">
        <v>12</v>
      </c>
      <c r="F32" s="60">
        <v>300</v>
      </c>
      <c r="G32" s="60">
        <v>30</v>
      </c>
      <c r="H32" s="60">
        <v>12</v>
      </c>
      <c r="J32" s="77">
        <f t="shared" si="0"/>
        <v>6.052276</v>
      </c>
      <c r="K32" s="78">
        <f t="shared" si="1"/>
        <v>10.0910722759266</v>
      </c>
      <c r="L32" s="60">
        <f t="shared" si="2"/>
        <v>60522760</v>
      </c>
      <c r="M32" s="60">
        <f t="shared" si="3"/>
        <v>16823816</v>
      </c>
      <c r="N32" s="79">
        <v>22964192</v>
      </c>
      <c r="O32" s="80">
        <v>60522760</v>
      </c>
      <c r="P32" s="80">
        <v>11500104</v>
      </c>
      <c r="Q32" s="80">
        <v>886064</v>
      </c>
      <c r="R32" s="80">
        <v>4437648</v>
      </c>
      <c r="S32" s="80">
        <v>43645896</v>
      </c>
      <c r="T32" s="80">
        <v>53048</v>
      </c>
      <c r="U32" s="92">
        <v>79.7269497</v>
      </c>
      <c r="V32" s="92">
        <v>82.8814653</v>
      </c>
      <c r="W32" s="92">
        <v>41.5717186</v>
      </c>
      <c r="X32" s="92">
        <v>46.5549511</v>
      </c>
      <c r="Y32" s="92">
        <v>45.5849492</v>
      </c>
      <c r="Z32" s="92">
        <v>52.0676509</v>
      </c>
      <c r="AA32" s="92">
        <v>38.7727798</v>
      </c>
      <c r="AB32" s="99">
        <v>56493.086354</v>
      </c>
      <c r="AC32" s="99">
        <v>340.215291</v>
      </c>
      <c r="AE32" s="77" t="str">
        <f t="shared" si="4"/>
        <v>·</v>
      </c>
      <c r="AF32" s="78" t="str">
        <f t="shared" si="5"/>
        <v>·</v>
      </c>
      <c r="AG32" s="60" t="str">
        <f t="shared" si="6"/>
        <v>.</v>
      </c>
      <c r="AH32" s="60" t="str">
        <f t="shared" si="7"/>
        <v>.</v>
      </c>
      <c r="AI32" s="79"/>
      <c r="AJ32" s="80"/>
      <c r="AK32" s="80"/>
      <c r="AL32" s="80"/>
      <c r="AM32" s="80"/>
      <c r="AN32" s="80"/>
      <c r="AO32" s="80"/>
      <c r="AP32" s="92"/>
      <c r="AQ32" s="92"/>
      <c r="AR32" s="92"/>
      <c r="AS32" s="92"/>
      <c r="AT32" s="92"/>
      <c r="AU32" s="92"/>
      <c r="AV32" s="92"/>
      <c r="AW32" s="99"/>
      <c r="AX32" s="99"/>
      <c r="AZ32" s="19"/>
      <c r="BA32" s="19"/>
      <c r="BB32" s="19"/>
      <c r="BC32" s="19"/>
      <c r="BD32" s="19"/>
      <c r="BE32" s="19"/>
      <c r="BF32" s="19"/>
      <c r="BH32" s="19"/>
      <c r="BI32" s="19"/>
      <c r="BJ32" s="19"/>
      <c r="BK32" s="19"/>
      <c r="BL32" s="19"/>
      <c r="BM32" s="19"/>
      <c r="BN32" s="19"/>
      <c r="BP32" s="19">
        <f t="shared" si="8"/>
        <v>0</v>
      </c>
      <c r="BQ32" s="19">
        <f t="shared" si="9"/>
        <v>0</v>
      </c>
      <c r="BR32" s="19">
        <f t="shared" si="10"/>
        <v>0</v>
      </c>
      <c r="BS32" s="19">
        <f t="shared" si="11"/>
        <v>0</v>
      </c>
      <c r="BT32" s="19">
        <f t="shared" si="11"/>
        <v>0</v>
      </c>
    </row>
    <row r="33" ht="15" customHeight="1" outlineLevel="1" spans="1:72">
      <c r="A33" s="56"/>
      <c r="B33" s="56" t="s">
        <v>70</v>
      </c>
      <c r="C33" s="57" t="s">
        <v>435</v>
      </c>
      <c r="D33" s="56">
        <v>5997654</v>
      </c>
      <c r="E33" s="58">
        <v>12</v>
      </c>
      <c r="F33" s="57">
        <v>300</v>
      </c>
      <c r="G33" s="57">
        <v>30</v>
      </c>
      <c r="H33" s="57">
        <v>17</v>
      </c>
      <c r="J33" s="73">
        <f t="shared" si="0"/>
        <v>8.4406248</v>
      </c>
      <c r="K33" s="74">
        <f t="shared" si="1"/>
        <v>14.0732106253545</v>
      </c>
      <c r="L33" s="57">
        <f t="shared" si="2"/>
        <v>84406248</v>
      </c>
      <c r="M33" s="57">
        <f t="shared" si="3"/>
        <v>21767360</v>
      </c>
      <c r="N33" s="75">
        <v>22964192</v>
      </c>
      <c r="O33" s="76">
        <v>84406248</v>
      </c>
      <c r="P33" s="76">
        <v>11500104</v>
      </c>
      <c r="Q33" s="76">
        <v>886064</v>
      </c>
      <c r="R33" s="76">
        <v>9381192</v>
      </c>
      <c r="S33" s="76">
        <v>62584904</v>
      </c>
      <c r="T33" s="76">
        <v>53984</v>
      </c>
      <c r="U33" s="91">
        <v>81.0527995</v>
      </c>
      <c r="V33" s="91">
        <v>85.1075961</v>
      </c>
      <c r="W33" s="91">
        <v>42.4453774</v>
      </c>
      <c r="X33" s="91">
        <v>47.6312188</v>
      </c>
      <c r="Y33" s="91">
        <v>46.786614</v>
      </c>
      <c r="Z33" s="91">
        <v>53.0372532</v>
      </c>
      <c r="AA33" s="91">
        <v>39.9295952</v>
      </c>
      <c r="AB33" s="98">
        <v>58973.206217</v>
      </c>
      <c r="AC33" s="98">
        <v>243.082217</v>
      </c>
      <c r="AE33" s="73" t="str">
        <f t="shared" si="4"/>
        <v>·</v>
      </c>
      <c r="AF33" s="74" t="str">
        <f t="shared" si="5"/>
        <v>·</v>
      </c>
      <c r="AG33" s="57" t="str">
        <f t="shared" si="6"/>
        <v>.</v>
      </c>
      <c r="AH33" s="57" t="str">
        <f t="shared" si="7"/>
        <v>.</v>
      </c>
      <c r="AI33" s="75"/>
      <c r="AJ33" s="76"/>
      <c r="AK33" s="76"/>
      <c r="AL33" s="76"/>
      <c r="AM33" s="76"/>
      <c r="AN33" s="76"/>
      <c r="AO33" s="76"/>
      <c r="AP33" s="91"/>
      <c r="AQ33" s="91"/>
      <c r="AR33" s="91"/>
      <c r="AS33" s="91"/>
      <c r="AT33" s="91"/>
      <c r="AU33" s="91"/>
      <c r="AV33" s="91"/>
      <c r="AW33" s="98"/>
      <c r="AX33" s="98"/>
      <c r="AZ33" s="15"/>
      <c r="BA33" s="15"/>
      <c r="BB33" s="15"/>
      <c r="BC33" s="15"/>
      <c r="BD33" s="15"/>
      <c r="BE33" s="15"/>
      <c r="BF33" s="15"/>
      <c r="BH33" s="15"/>
      <c r="BI33" s="15"/>
      <c r="BJ33" s="15"/>
      <c r="BK33" s="15"/>
      <c r="BL33" s="15"/>
      <c r="BM33" s="15"/>
      <c r="BN33" s="15"/>
      <c r="BP33" s="15">
        <f t="shared" si="8"/>
        <v>0</v>
      </c>
      <c r="BQ33" s="15">
        <f t="shared" si="9"/>
        <v>0</v>
      </c>
      <c r="BR33" s="15">
        <f t="shared" si="10"/>
        <v>0</v>
      </c>
      <c r="BS33" s="15">
        <f t="shared" si="11"/>
        <v>0</v>
      </c>
      <c r="BT33" s="15">
        <f t="shared" si="11"/>
        <v>0</v>
      </c>
    </row>
    <row r="34" ht="15.75" customHeight="1" outlineLevel="1" spans="1:72">
      <c r="A34" s="59"/>
      <c r="B34" s="65" t="s">
        <v>70</v>
      </c>
      <c r="C34" s="66" t="s">
        <v>436</v>
      </c>
      <c r="D34" s="65">
        <v>5997654</v>
      </c>
      <c r="E34" s="67">
        <v>12</v>
      </c>
      <c r="F34" s="66">
        <v>300</v>
      </c>
      <c r="G34" s="66">
        <v>30</v>
      </c>
      <c r="H34" s="66">
        <v>25</v>
      </c>
      <c r="J34" s="85">
        <f t="shared" si="0"/>
        <v>11.7605656</v>
      </c>
      <c r="K34" s="86">
        <f t="shared" si="1"/>
        <v>19.6086096330332</v>
      </c>
      <c r="L34" s="66">
        <f t="shared" si="2"/>
        <v>117605656</v>
      </c>
      <c r="M34" s="66">
        <f t="shared" si="3"/>
        <v>32481160</v>
      </c>
      <c r="N34" s="87">
        <v>57516368</v>
      </c>
      <c r="O34" s="88">
        <v>117605656</v>
      </c>
      <c r="P34" s="88">
        <v>26553488</v>
      </c>
      <c r="Q34" s="88">
        <v>4259272</v>
      </c>
      <c r="R34" s="88">
        <v>1668400</v>
      </c>
      <c r="S34" s="88">
        <v>85072648</v>
      </c>
      <c r="T34" s="88">
        <v>51848</v>
      </c>
      <c r="U34" s="94">
        <v>83.9996627</v>
      </c>
      <c r="V34" s="94">
        <v>88.7178295</v>
      </c>
      <c r="W34" s="94">
        <v>43.4020238</v>
      </c>
      <c r="X34" s="94">
        <v>48.3363728</v>
      </c>
      <c r="Y34" s="94">
        <v>47.5947734</v>
      </c>
      <c r="Z34" s="94">
        <v>55.6669218</v>
      </c>
      <c r="AA34" s="94">
        <v>41.9847139</v>
      </c>
      <c r="AB34" s="101">
        <v>73258.256426</v>
      </c>
      <c r="AC34" s="101">
        <v>301.64017</v>
      </c>
      <c r="AE34" s="85" t="str">
        <f t="shared" si="4"/>
        <v>·</v>
      </c>
      <c r="AF34" s="86" t="str">
        <f t="shared" si="5"/>
        <v>·</v>
      </c>
      <c r="AG34" s="66" t="str">
        <f t="shared" si="6"/>
        <v>.</v>
      </c>
      <c r="AH34" s="66" t="str">
        <f t="shared" si="7"/>
        <v>.</v>
      </c>
      <c r="AI34" s="87"/>
      <c r="AJ34" s="88"/>
      <c r="AK34" s="88"/>
      <c r="AL34" s="88"/>
      <c r="AM34" s="88"/>
      <c r="AN34" s="88"/>
      <c r="AO34" s="88"/>
      <c r="AP34" s="94"/>
      <c r="AQ34" s="94"/>
      <c r="AR34" s="94"/>
      <c r="AS34" s="94"/>
      <c r="AT34" s="94"/>
      <c r="AU34" s="94"/>
      <c r="AV34" s="94"/>
      <c r="AW34" s="101"/>
      <c r="AX34" s="101"/>
      <c r="AZ34" s="23"/>
      <c r="BA34" s="23"/>
      <c r="BB34" s="23"/>
      <c r="BC34" s="23"/>
      <c r="BD34" s="23"/>
      <c r="BE34" s="23"/>
      <c r="BF34" s="23"/>
      <c r="BH34" s="23"/>
      <c r="BI34" s="23"/>
      <c r="BJ34" s="23"/>
      <c r="BK34" s="23"/>
      <c r="BL34" s="23"/>
      <c r="BM34" s="23"/>
      <c r="BN34" s="23"/>
      <c r="BP34" s="23">
        <f t="shared" si="8"/>
        <v>0</v>
      </c>
      <c r="BQ34" s="23">
        <f t="shared" si="9"/>
        <v>0</v>
      </c>
      <c r="BR34" s="23">
        <f t="shared" si="10"/>
        <v>0</v>
      </c>
      <c r="BS34" s="23">
        <f t="shared" si="11"/>
        <v>0</v>
      </c>
      <c r="BT34" s="23">
        <f t="shared" si="11"/>
        <v>0</v>
      </c>
    </row>
    <row r="35" ht="15" customHeight="1" spans="1:72">
      <c r="A35" s="56"/>
      <c r="B35" s="56" t="s">
        <v>75</v>
      </c>
      <c r="C35" s="57" t="s">
        <v>432</v>
      </c>
      <c r="D35" s="56">
        <v>9000000</v>
      </c>
      <c r="E35" s="58">
        <v>12</v>
      </c>
      <c r="F35" s="57">
        <v>300</v>
      </c>
      <c r="G35" s="57">
        <v>30</v>
      </c>
      <c r="H35" s="57">
        <v>3</v>
      </c>
      <c r="J35" s="73">
        <f t="shared" si="0"/>
        <v>2.6551872</v>
      </c>
      <c r="K35" s="74">
        <f t="shared" si="1"/>
        <v>2.950208</v>
      </c>
      <c r="L35" s="57">
        <f t="shared" si="2"/>
        <v>26551872</v>
      </c>
      <c r="M35" s="57">
        <f t="shared" si="3"/>
        <v>6892928</v>
      </c>
      <c r="N35" s="75">
        <v>34433600</v>
      </c>
      <c r="O35" s="76">
        <v>26551872</v>
      </c>
      <c r="P35" s="76">
        <v>3404352</v>
      </c>
      <c r="Q35" s="76">
        <v>813168</v>
      </c>
      <c r="R35" s="76">
        <v>2675408</v>
      </c>
      <c r="S35" s="76">
        <v>19544816</v>
      </c>
      <c r="T35" s="76">
        <v>114128</v>
      </c>
      <c r="U35" s="91">
        <v>73.4189289</v>
      </c>
      <c r="V35" s="91">
        <v>75.1627821</v>
      </c>
      <c r="W35" s="91">
        <v>30.2279754</v>
      </c>
      <c r="X35" s="91">
        <v>38.9666278</v>
      </c>
      <c r="Y35" s="91">
        <v>39.003961</v>
      </c>
      <c r="Z35" s="91">
        <v>48.6555242</v>
      </c>
      <c r="AA35" s="91">
        <v>29.3914961</v>
      </c>
      <c r="AB35" s="98">
        <v>70330.679355</v>
      </c>
      <c r="AC35" s="98">
        <v>496.649036</v>
      </c>
      <c r="AE35" s="73" t="str">
        <f t="shared" si="4"/>
        <v>·</v>
      </c>
      <c r="AF35" s="74" t="str">
        <f t="shared" si="5"/>
        <v>·</v>
      </c>
      <c r="AG35" s="57" t="str">
        <f t="shared" si="6"/>
        <v>.</v>
      </c>
      <c r="AH35" s="57" t="str">
        <f t="shared" si="7"/>
        <v>.</v>
      </c>
      <c r="AI35" s="75"/>
      <c r="AJ35" s="76"/>
      <c r="AK35" s="76"/>
      <c r="AL35" s="76"/>
      <c r="AM35" s="76"/>
      <c r="AN35" s="76"/>
      <c r="AO35" s="76"/>
      <c r="AP35" s="91"/>
      <c r="AQ35" s="91"/>
      <c r="AR35" s="91"/>
      <c r="AS35" s="91"/>
      <c r="AT35" s="91"/>
      <c r="AU35" s="91"/>
      <c r="AV35" s="91"/>
      <c r="AW35" s="98"/>
      <c r="AX35" s="98"/>
      <c r="AZ35" s="15" t="str">
        <f t="array" ref="AZ35">IF(OR(AND(ISBLANK(L35:L39)),AND(ISBLANK(AG35:AG39)),AND(ISBLANK(U35:U39)),AND(ISBLANK(AP35:AP39))),"·",bdRateExtend(L35:L39,U35:U39,AG35:AG39,AP35:AP39))</f>
        <v>·</v>
      </c>
      <c r="BA35" s="15" t="str">
        <f t="array" ref="BA35">IF(OR(AND(ISBLANK(L35:L39)),AND(ISBLANK(AG35:AG39)),AND(ISBLANK(V35:V39)),AND(ISBLANK(AQ35:AQ39))),"·",bdRateExtend(L35:L39,V35:V39,AG35:AG39,AQ35:AQ39))</f>
        <v>·</v>
      </c>
      <c r="BB35" s="15" t="str">
        <f t="array" ref="BB35">IF(OR(AND(ISBLANK(L35:L39)),AND(ISBLANK(AG35:AG39)),AND(ISBLANK(W35:W39)),AND(ISBLANK(AR35:AR39))),"·",bdRateExtend(L35:L39,W35:W39,AG35:AG39,AR35:AR39))</f>
        <v>·</v>
      </c>
      <c r="BC35" s="15" t="str">
        <f t="array" ref="BC35">IF(OR(AND(ISBLANK(L35:L39)),AND(ISBLANK(AG35:AG39)),AND(ISBLANK(X35:X39)),AND(ISBLANK(AS35:AS39))),"·",bdRateExtend(L35:L39,X35:X39,AG35:AG39,AS35:AS39))</f>
        <v>·</v>
      </c>
      <c r="BD35" s="15" t="str">
        <f t="array" ref="BD35">IF(OR(AND(ISBLANK(L35:L39)),AND(ISBLANK(AG35:AG39)),AND(ISBLANK(Y35:Y39)),AND(ISBLANK(AT35:AT39))),"·",bdRateExtend(L35:L39,Y35:Y39,AG35:AG39,AT35:AT39))</f>
        <v>·</v>
      </c>
      <c r="BE35" s="15" t="str">
        <f t="array" ref="BE35">IF(OR(AND(ISBLANK(L35:L39)),AND(ISBLANK(AG35:AG39)),AND(ISBLANK(Z35:Z39)),AND(ISBLANK(AU35:AU39))),"·",bdRateExtend(L35:L39,Z35:Z39,AG35:AG39,AU35:AU39))</f>
        <v>·</v>
      </c>
      <c r="BF35" s="15" t="str">
        <f t="array" ref="BF35">IF(OR(AND(ISBLANK(L35:L39)),AND(ISBLANK(AG35:AG39)),AND(ISBLANK(AA35:AA39)),AND(ISBLANK(AV35:AV39))),"·",bdRateExtend(L35:L39,AA35:AA39,AG35:AG39,AV35:AV39))</f>
        <v>·</v>
      </c>
      <c r="BH35" s="117" t="str">
        <f t="array" ref="BH35">IF(OR(AND(ISBLANK(M35:M39)),AND(ISBLANK(AH35:AH39)),AND(ISBLANK(U35:U39)),AND(ISBLANK(AP35:AP39))),"·",bdRateExtend(M35:M39,U35:U39,AH35:AH39,AP35:AP39))</f>
        <v>·</v>
      </c>
      <c r="BI35" s="15" t="str">
        <f t="array" ref="BI35">IF(OR(AND(ISBLANK(M35:M39)),AND(ISBLANK(AH35:AH39)),AND(ISBLANK(V35:V39)),AND(ISBLANK(AQ35:AQ39))),"·",bdRateExtend(M35:M39,V35:V39,AH35:AH39,AQ35:AQ39))</f>
        <v>·</v>
      </c>
      <c r="BJ35" s="15" t="str">
        <f t="array" ref="BJ35">IF(OR(AND(ISBLANK(S35:S39)),AND(ISBLANK(AN35:AN39)),AND(ISBLANK(W35:W39)),AND(ISBLANK(AR35:AR39))),"·",bdRateExtend(S35:S39,W35:W39,AN35:AN39,AR35:AR39))</f>
        <v>·</v>
      </c>
      <c r="BK35" s="15" t="str">
        <f t="array" ref="BK35">IF(OR(AND(ISBLANK(S35:S39)),AND(ISBLANK(AN35:AN39)),AND(ISBLANK(X35:X39)),AND(ISBLANK(AS35:AS39))),"·",bdRateExtend(S35:S39,X35:X39,AN35:AN39,AS35:AS39))</f>
        <v>·</v>
      </c>
      <c r="BL35" s="15" t="str">
        <f t="array" ref="BL35">IF(OR(AND(ISBLANK(S35:S39)),AND(ISBLANK(AN35:AN39)),AND(ISBLANK(Y35:Y39)),AND(ISBLANK(AT35:AT39))),"·",bdRateExtend(S35:S39,Y35:Y39,AN35:AN39,AT35:AT39))</f>
        <v>·</v>
      </c>
      <c r="BM35" s="15" t="str">
        <f t="array" ref="BM35">IF(OR(AND(ISBLANK(M35:M39)),AND(ISBLANK(AH35:AH39)),AND(ISBLANK(Z35:Z39)),AND(ISBLANK(AU35:AU39))),"·",bdRateExtend(M35:M39,Z35:Z39,AH35:AH39,AU35:AU39))</f>
        <v>·</v>
      </c>
      <c r="BN35" s="15" t="str">
        <f t="array" ref="BN35">IF(OR(AND(ISBLANK(S35:S39)),AND(ISBLANK(AN35:AN39)),AND(ISBLANK(AA35:AA39)),AND(ISBLANK(AV35:AV39))),"·",bdRateExtend(S35:S39,AA35:AA39,AN35:AN39,AV35:AV39))</f>
        <v>·</v>
      </c>
      <c r="BP35" s="15">
        <f t="shared" si="8"/>
        <v>0</v>
      </c>
      <c r="BQ35" s="15">
        <f t="shared" si="9"/>
        <v>0</v>
      </c>
      <c r="BR35" s="15">
        <f t="shared" si="10"/>
        <v>0</v>
      </c>
      <c r="BS35" s="15">
        <f t="shared" si="11"/>
        <v>0</v>
      </c>
      <c r="BT35" s="15">
        <f t="shared" si="11"/>
        <v>0</v>
      </c>
    </row>
    <row r="36" ht="15" customHeight="1" outlineLevel="1" spans="1:72">
      <c r="A36" s="59"/>
      <c r="B36" s="59" t="s">
        <v>75</v>
      </c>
      <c r="C36" s="60" t="s">
        <v>433</v>
      </c>
      <c r="D36" s="59">
        <v>9000000</v>
      </c>
      <c r="E36" s="61">
        <v>12</v>
      </c>
      <c r="F36" s="60">
        <v>300</v>
      </c>
      <c r="G36" s="60">
        <v>30</v>
      </c>
      <c r="H36" s="60">
        <v>4</v>
      </c>
      <c r="J36" s="77">
        <f t="shared" si="0"/>
        <v>3.7315832</v>
      </c>
      <c r="K36" s="78">
        <f t="shared" si="1"/>
        <v>4.14620355555556</v>
      </c>
      <c r="L36" s="60">
        <f t="shared" si="2"/>
        <v>37315832</v>
      </c>
      <c r="M36" s="60">
        <f t="shared" si="3"/>
        <v>8312792</v>
      </c>
      <c r="N36" s="79">
        <v>68916608</v>
      </c>
      <c r="O36" s="80">
        <v>37315832</v>
      </c>
      <c r="P36" s="80">
        <v>5691272</v>
      </c>
      <c r="Q36" s="80">
        <v>1439104</v>
      </c>
      <c r="R36" s="80">
        <v>1182416</v>
      </c>
      <c r="S36" s="80">
        <v>28888336</v>
      </c>
      <c r="T36" s="80">
        <v>114704</v>
      </c>
      <c r="U36" s="92">
        <v>73.7622312</v>
      </c>
      <c r="V36" s="92">
        <v>75.5204227</v>
      </c>
      <c r="W36" s="92">
        <v>30.7064407</v>
      </c>
      <c r="X36" s="92">
        <v>39.0886437</v>
      </c>
      <c r="Y36" s="92">
        <v>39.1786413</v>
      </c>
      <c r="Z36" s="92">
        <v>48.9337802</v>
      </c>
      <c r="AA36" s="92">
        <v>29.7338066</v>
      </c>
      <c r="AB36" s="99">
        <v>74610.34947</v>
      </c>
      <c r="AC36" s="99">
        <v>519.52461</v>
      </c>
      <c r="AE36" s="77" t="str">
        <f t="shared" si="4"/>
        <v>·</v>
      </c>
      <c r="AF36" s="78" t="str">
        <f t="shared" si="5"/>
        <v>·</v>
      </c>
      <c r="AG36" s="60" t="str">
        <f t="shared" si="6"/>
        <v>.</v>
      </c>
      <c r="AH36" s="60" t="str">
        <f t="shared" si="7"/>
        <v>.</v>
      </c>
      <c r="AI36" s="79"/>
      <c r="AJ36" s="80"/>
      <c r="AK36" s="80"/>
      <c r="AL36" s="80"/>
      <c r="AM36" s="80"/>
      <c r="AN36" s="80"/>
      <c r="AO36" s="80"/>
      <c r="AP36" s="92"/>
      <c r="AQ36" s="92"/>
      <c r="AR36" s="92"/>
      <c r="AS36" s="92"/>
      <c r="AT36" s="92"/>
      <c r="AU36" s="92"/>
      <c r="AV36" s="92"/>
      <c r="AW36" s="99"/>
      <c r="AX36" s="99"/>
      <c r="AZ36" s="19"/>
      <c r="BA36" s="19"/>
      <c r="BB36" s="19"/>
      <c r="BC36" s="19"/>
      <c r="BD36" s="19"/>
      <c r="BE36" s="19"/>
      <c r="BF36" s="19"/>
      <c r="BH36" s="19"/>
      <c r="BI36" s="19"/>
      <c r="BJ36" s="19"/>
      <c r="BK36" s="19"/>
      <c r="BL36" s="19"/>
      <c r="BM36" s="19"/>
      <c r="BN36" s="19"/>
      <c r="BP36" s="19">
        <f t="shared" si="8"/>
        <v>0</v>
      </c>
      <c r="BQ36" s="19">
        <f t="shared" si="9"/>
        <v>0</v>
      </c>
      <c r="BR36" s="19">
        <f t="shared" si="10"/>
        <v>0</v>
      </c>
      <c r="BS36" s="19">
        <f t="shared" si="11"/>
        <v>0</v>
      </c>
      <c r="BT36" s="19">
        <f t="shared" si="11"/>
        <v>0</v>
      </c>
    </row>
    <row r="37" ht="15" customHeight="1" outlineLevel="1" spans="1:72">
      <c r="A37" s="56"/>
      <c r="B37" s="56" t="s">
        <v>75</v>
      </c>
      <c r="C37" s="57" t="s">
        <v>434</v>
      </c>
      <c r="D37" s="56">
        <v>9000000</v>
      </c>
      <c r="E37" s="58">
        <v>12</v>
      </c>
      <c r="F37" s="57">
        <v>300</v>
      </c>
      <c r="G37" s="57">
        <v>30</v>
      </c>
      <c r="H37" s="57">
        <v>6</v>
      </c>
      <c r="J37" s="73">
        <f t="shared" si="0"/>
        <v>5.5480488</v>
      </c>
      <c r="K37" s="74">
        <f t="shared" si="1"/>
        <v>6.16449866666667</v>
      </c>
      <c r="L37" s="57">
        <f t="shared" si="2"/>
        <v>55480488</v>
      </c>
      <c r="M37" s="57">
        <f t="shared" si="3"/>
        <v>11327168</v>
      </c>
      <c r="N37" s="75">
        <v>68916608</v>
      </c>
      <c r="O37" s="76">
        <v>55480488</v>
      </c>
      <c r="P37" s="76">
        <v>5691272</v>
      </c>
      <c r="Q37" s="76">
        <v>1439104</v>
      </c>
      <c r="R37" s="76">
        <v>4196792</v>
      </c>
      <c r="S37" s="76">
        <v>44037336</v>
      </c>
      <c r="T37" s="76">
        <v>115984</v>
      </c>
      <c r="U37" s="91">
        <v>76.5271388</v>
      </c>
      <c r="V37" s="91">
        <v>78.7886348</v>
      </c>
      <c r="W37" s="91">
        <v>31.3397934</v>
      </c>
      <c r="X37" s="91">
        <v>39.175565</v>
      </c>
      <c r="Y37" s="91">
        <v>39.3203915</v>
      </c>
      <c r="Z37" s="91">
        <v>50.4139002</v>
      </c>
      <c r="AA37" s="91">
        <v>30.5252918</v>
      </c>
      <c r="AB37" s="98">
        <v>81180.075845</v>
      </c>
      <c r="AC37" s="98">
        <v>526.338286</v>
      </c>
      <c r="AE37" s="73" t="str">
        <f t="shared" si="4"/>
        <v>·</v>
      </c>
      <c r="AF37" s="74" t="str">
        <f t="shared" si="5"/>
        <v>·</v>
      </c>
      <c r="AG37" s="57" t="str">
        <f t="shared" si="6"/>
        <v>.</v>
      </c>
      <c r="AH37" s="57" t="str">
        <f t="shared" si="7"/>
        <v>.</v>
      </c>
      <c r="AI37" s="75"/>
      <c r="AJ37" s="76"/>
      <c r="AK37" s="76"/>
      <c r="AL37" s="76"/>
      <c r="AM37" s="76"/>
      <c r="AN37" s="76"/>
      <c r="AO37" s="76"/>
      <c r="AP37" s="91"/>
      <c r="AQ37" s="91"/>
      <c r="AR37" s="91"/>
      <c r="AS37" s="91"/>
      <c r="AT37" s="91"/>
      <c r="AU37" s="91"/>
      <c r="AV37" s="91"/>
      <c r="AW37" s="98"/>
      <c r="AX37" s="98"/>
      <c r="AZ37" s="15"/>
      <c r="BA37" s="15"/>
      <c r="BB37" s="15"/>
      <c r="BC37" s="15"/>
      <c r="BD37" s="15"/>
      <c r="BE37" s="15"/>
      <c r="BF37" s="15"/>
      <c r="BH37" s="15"/>
      <c r="BI37" s="15"/>
      <c r="BJ37" s="15"/>
      <c r="BK37" s="15"/>
      <c r="BL37" s="15"/>
      <c r="BM37" s="15"/>
      <c r="BN37" s="15"/>
      <c r="BP37" s="15">
        <f t="shared" si="8"/>
        <v>0</v>
      </c>
      <c r="BQ37" s="15">
        <f t="shared" si="9"/>
        <v>0</v>
      </c>
      <c r="BR37" s="15">
        <f t="shared" si="10"/>
        <v>0</v>
      </c>
      <c r="BS37" s="15">
        <f t="shared" si="11"/>
        <v>0</v>
      </c>
      <c r="BT37" s="15">
        <f t="shared" si="11"/>
        <v>0</v>
      </c>
    </row>
    <row r="38" ht="15" customHeight="1" outlineLevel="1" spans="1:72">
      <c r="A38" s="59"/>
      <c r="B38" s="59" t="s">
        <v>75</v>
      </c>
      <c r="C38" s="60" t="s">
        <v>435</v>
      </c>
      <c r="D38" s="59">
        <v>9000000</v>
      </c>
      <c r="E38" s="61">
        <v>12</v>
      </c>
      <c r="F38" s="60">
        <v>300</v>
      </c>
      <c r="G38" s="60">
        <v>30</v>
      </c>
      <c r="H38" s="60">
        <v>8</v>
      </c>
      <c r="J38" s="77">
        <f t="shared" si="0"/>
        <v>7.4329088</v>
      </c>
      <c r="K38" s="78">
        <f t="shared" si="1"/>
        <v>8.25878755555556</v>
      </c>
      <c r="L38" s="60">
        <f t="shared" si="2"/>
        <v>74329088</v>
      </c>
      <c r="M38" s="60">
        <f t="shared" si="3"/>
        <v>18252944</v>
      </c>
      <c r="N38" s="79">
        <v>137868096</v>
      </c>
      <c r="O38" s="80">
        <v>74329088</v>
      </c>
      <c r="P38" s="80">
        <v>11006064</v>
      </c>
      <c r="Q38" s="80">
        <v>3482088</v>
      </c>
      <c r="R38" s="80">
        <v>3764792</v>
      </c>
      <c r="S38" s="80">
        <v>55963992</v>
      </c>
      <c r="T38" s="80">
        <v>112152</v>
      </c>
      <c r="U38" s="92">
        <v>78.9516626</v>
      </c>
      <c r="V38" s="92">
        <v>81.8426152</v>
      </c>
      <c r="W38" s="92">
        <v>31.7733887</v>
      </c>
      <c r="X38" s="92">
        <v>39.2678077</v>
      </c>
      <c r="Y38" s="92">
        <v>39.4827248</v>
      </c>
      <c r="Z38" s="92">
        <v>51.7751192</v>
      </c>
      <c r="AA38" s="92">
        <v>31.1084623</v>
      </c>
      <c r="AB38" s="99">
        <v>69753.454512</v>
      </c>
      <c r="AC38" s="99">
        <v>557.811449</v>
      </c>
      <c r="AE38" s="77" t="str">
        <f t="shared" si="4"/>
        <v>·</v>
      </c>
      <c r="AF38" s="78" t="str">
        <f t="shared" si="5"/>
        <v>·</v>
      </c>
      <c r="AG38" s="60" t="str">
        <f t="shared" si="6"/>
        <v>.</v>
      </c>
      <c r="AH38" s="60" t="str">
        <f t="shared" si="7"/>
        <v>.</v>
      </c>
      <c r="AI38" s="79"/>
      <c r="AJ38" s="80"/>
      <c r="AK38" s="80"/>
      <c r="AL38" s="80"/>
      <c r="AM38" s="80"/>
      <c r="AN38" s="80"/>
      <c r="AO38" s="80"/>
      <c r="AP38" s="92"/>
      <c r="AQ38" s="92"/>
      <c r="AR38" s="92"/>
      <c r="AS38" s="92"/>
      <c r="AT38" s="92"/>
      <c r="AU38" s="92"/>
      <c r="AV38" s="92"/>
      <c r="AW38" s="99"/>
      <c r="AX38" s="99"/>
      <c r="AZ38" s="19"/>
      <c r="BA38" s="19"/>
      <c r="BB38" s="19"/>
      <c r="BC38" s="19"/>
      <c r="BD38" s="19"/>
      <c r="BE38" s="19"/>
      <c r="BF38" s="19"/>
      <c r="BH38" s="19"/>
      <c r="BI38" s="19"/>
      <c r="BJ38" s="19"/>
      <c r="BK38" s="19"/>
      <c r="BL38" s="19"/>
      <c r="BM38" s="19"/>
      <c r="BN38" s="19"/>
      <c r="BP38" s="19">
        <f t="shared" si="8"/>
        <v>0</v>
      </c>
      <c r="BQ38" s="19">
        <f t="shared" si="9"/>
        <v>0</v>
      </c>
      <c r="BR38" s="19">
        <f t="shared" si="10"/>
        <v>0</v>
      </c>
      <c r="BS38" s="19">
        <f t="shared" si="11"/>
        <v>0</v>
      </c>
      <c r="BT38" s="19">
        <f t="shared" si="11"/>
        <v>0</v>
      </c>
    </row>
    <row r="39" ht="15.75" customHeight="1" outlineLevel="1" spans="1:72">
      <c r="A39" s="56"/>
      <c r="B39" s="62" t="s">
        <v>75</v>
      </c>
      <c r="C39" s="63" t="s">
        <v>436</v>
      </c>
      <c r="D39" s="62">
        <v>9000000</v>
      </c>
      <c r="E39" s="64">
        <v>12</v>
      </c>
      <c r="F39" s="63">
        <v>300</v>
      </c>
      <c r="G39" s="63">
        <v>30</v>
      </c>
      <c r="H39" s="63">
        <v>12</v>
      </c>
      <c r="J39" s="81">
        <f t="shared" si="0"/>
        <v>11.3828584</v>
      </c>
      <c r="K39" s="82">
        <f t="shared" si="1"/>
        <v>12.6476204444444</v>
      </c>
      <c r="L39" s="63">
        <f t="shared" si="2"/>
        <v>113828584</v>
      </c>
      <c r="M39" s="63">
        <f t="shared" si="3"/>
        <v>24748056</v>
      </c>
      <c r="N39" s="83">
        <v>206806912</v>
      </c>
      <c r="O39" s="84">
        <v>113828584</v>
      </c>
      <c r="P39" s="84">
        <v>16713608</v>
      </c>
      <c r="Q39" s="84">
        <v>4694032</v>
      </c>
      <c r="R39" s="84">
        <v>3340416</v>
      </c>
      <c r="S39" s="84">
        <v>88970768</v>
      </c>
      <c r="T39" s="84">
        <v>109760</v>
      </c>
      <c r="U39" s="93">
        <v>80.371546</v>
      </c>
      <c r="V39" s="93">
        <v>83.7599929</v>
      </c>
      <c r="W39" s="93">
        <v>32.4868853</v>
      </c>
      <c r="X39" s="93">
        <v>39.3431194</v>
      </c>
      <c r="Y39" s="93">
        <v>39.6113114</v>
      </c>
      <c r="Z39" s="93">
        <v>52.6378075</v>
      </c>
      <c r="AA39" s="93">
        <v>31.8292091</v>
      </c>
      <c r="AB39" s="100">
        <v>79810.633501</v>
      </c>
      <c r="AC39" s="100">
        <v>690.150573</v>
      </c>
      <c r="AE39" s="81" t="str">
        <f t="shared" si="4"/>
        <v>·</v>
      </c>
      <c r="AF39" s="82" t="str">
        <f t="shared" si="5"/>
        <v>·</v>
      </c>
      <c r="AG39" s="63" t="str">
        <f t="shared" si="6"/>
        <v>.</v>
      </c>
      <c r="AH39" s="63" t="str">
        <f t="shared" si="7"/>
        <v>.</v>
      </c>
      <c r="AI39" s="83"/>
      <c r="AJ39" s="84"/>
      <c r="AK39" s="84"/>
      <c r="AL39" s="84"/>
      <c r="AM39" s="84"/>
      <c r="AN39" s="84"/>
      <c r="AO39" s="84"/>
      <c r="AP39" s="93"/>
      <c r="AQ39" s="93"/>
      <c r="AR39" s="93"/>
      <c r="AS39" s="93"/>
      <c r="AT39" s="93"/>
      <c r="AU39" s="93"/>
      <c r="AV39" s="93"/>
      <c r="AW39" s="100"/>
      <c r="AX39" s="100"/>
      <c r="AZ39" s="110"/>
      <c r="BA39" s="110"/>
      <c r="BB39" s="110"/>
      <c r="BC39" s="110"/>
      <c r="BD39" s="110"/>
      <c r="BE39" s="110"/>
      <c r="BF39" s="110"/>
      <c r="BH39" s="110"/>
      <c r="BI39" s="110"/>
      <c r="BJ39" s="110"/>
      <c r="BK39" s="110"/>
      <c r="BL39" s="110"/>
      <c r="BM39" s="110"/>
      <c r="BN39" s="110"/>
      <c r="BP39" s="110">
        <f t="shared" si="8"/>
        <v>0</v>
      </c>
      <c r="BQ39" s="110">
        <f t="shared" si="9"/>
        <v>0</v>
      </c>
      <c r="BR39" s="110">
        <f t="shared" si="10"/>
        <v>0</v>
      </c>
      <c r="BS39" s="110">
        <f t="shared" si="11"/>
        <v>0</v>
      </c>
      <c r="BT39" s="110">
        <f t="shared" si="11"/>
        <v>0</v>
      </c>
    </row>
    <row r="40" ht="15" customHeight="1" spans="1:72">
      <c r="A40" s="59"/>
      <c r="B40" s="59" t="s">
        <v>80</v>
      </c>
      <c r="C40" s="60" t="s">
        <v>432</v>
      </c>
      <c r="D40" s="59">
        <v>9000000</v>
      </c>
      <c r="E40" s="61">
        <v>12</v>
      </c>
      <c r="F40" s="60">
        <v>300</v>
      </c>
      <c r="G40" s="60">
        <v>30</v>
      </c>
      <c r="H40" s="60">
        <v>3</v>
      </c>
      <c r="J40" s="77">
        <f t="shared" si="0"/>
        <v>2.9532416</v>
      </c>
      <c r="K40" s="78">
        <f t="shared" si="1"/>
        <v>3.28137955555556</v>
      </c>
      <c r="L40" s="60">
        <f t="shared" si="2"/>
        <v>29532416</v>
      </c>
      <c r="M40" s="60">
        <f t="shared" si="3"/>
        <v>6294584</v>
      </c>
      <c r="N40" s="79">
        <v>34506112</v>
      </c>
      <c r="O40" s="80">
        <v>29532416</v>
      </c>
      <c r="P40" s="80">
        <v>3186816</v>
      </c>
      <c r="Q40" s="80">
        <v>276192</v>
      </c>
      <c r="R40" s="80">
        <v>2831576</v>
      </c>
      <c r="S40" s="80">
        <v>23121248</v>
      </c>
      <c r="T40" s="80">
        <v>116584</v>
      </c>
      <c r="U40" s="92">
        <v>74.6562536</v>
      </c>
      <c r="V40" s="92">
        <v>76.2798794</v>
      </c>
      <c r="W40" s="92">
        <v>33.3440224</v>
      </c>
      <c r="X40" s="92">
        <v>42.564777</v>
      </c>
      <c r="Y40" s="92">
        <v>42.8876548</v>
      </c>
      <c r="Z40" s="92">
        <v>49.396476</v>
      </c>
      <c r="AA40" s="92">
        <v>32.5445132</v>
      </c>
      <c r="AB40" s="99">
        <v>72375.210252</v>
      </c>
      <c r="AC40" s="99">
        <v>468.608096</v>
      </c>
      <c r="AE40" s="77" t="str">
        <f t="shared" si="4"/>
        <v>·</v>
      </c>
      <c r="AF40" s="78" t="str">
        <f t="shared" si="5"/>
        <v>·</v>
      </c>
      <c r="AG40" s="60" t="str">
        <f t="shared" si="6"/>
        <v>.</v>
      </c>
      <c r="AH40" s="60" t="str">
        <f t="shared" si="7"/>
        <v>.</v>
      </c>
      <c r="AI40" s="79"/>
      <c r="AJ40" s="80"/>
      <c r="AK40" s="80"/>
      <c r="AL40" s="80"/>
      <c r="AM40" s="80"/>
      <c r="AN40" s="80"/>
      <c r="AO40" s="80"/>
      <c r="AP40" s="92"/>
      <c r="AQ40" s="92"/>
      <c r="AR40" s="92"/>
      <c r="AS40" s="92"/>
      <c r="AT40" s="92"/>
      <c r="AU40" s="92"/>
      <c r="AV40" s="92"/>
      <c r="AW40" s="99"/>
      <c r="AX40" s="99"/>
      <c r="AZ40" s="19" t="str">
        <f t="array" ref="AZ40">IF(OR(AND(ISBLANK(L40:L44)),AND(ISBLANK(AG40:AG44)),AND(ISBLANK(U40:U44)),AND(ISBLANK(AP40:AP44))),"·",bdRateExtend(L40:L44,U40:U44,AG40:AG44,AP40:AP44))</f>
        <v>·</v>
      </c>
      <c r="BA40" s="19" t="str">
        <f t="array" ref="BA40">IF(OR(AND(ISBLANK(L40:L44)),AND(ISBLANK(AG40:AG44)),AND(ISBLANK(V40:V44)),AND(ISBLANK(AQ40:AQ44))),"·",bdRateExtend(L40:L44,V40:V44,AG40:AG44,AQ40:AQ44))</f>
        <v>·</v>
      </c>
      <c r="BB40" s="19" t="str">
        <f t="array" ref="BB40">IF(OR(AND(ISBLANK(L40:L44)),AND(ISBLANK(AG40:AG44)),AND(ISBLANK(W40:W44)),AND(ISBLANK(AR40:AR44))),"·",bdRateExtend(L40:L44,W40:W44,AG40:AG44,AR40:AR44))</f>
        <v>·</v>
      </c>
      <c r="BC40" s="19" t="str">
        <f t="array" ref="BC40">IF(OR(AND(ISBLANK(L40:L44)),AND(ISBLANK(AG40:AG44)),AND(ISBLANK(X40:X44)),AND(ISBLANK(AS40:AS44))),"·",bdRateExtend(L40:L44,X40:X44,AG40:AG44,AS40:AS44))</f>
        <v>·</v>
      </c>
      <c r="BD40" s="19" t="str">
        <f t="array" ref="BD40">IF(OR(AND(ISBLANK(L40:L44)),AND(ISBLANK(AG40:AG44)),AND(ISBLANK(Y40:Y44)),AND(ISBLANK(AT40:AT44))),"·",bdRateExtend(L40:L44,Y40:Y44,AG40:AG44,AT40:AT44))</f>
        <v>·</v>
      </c>
      <c r="BE40" s="19" t="str">
        <f t="array" ref="BE40">IF(OR(AND(ISBLANK(L40:L44)),AND(ISBLANK(AG40:AG44)),AND(ISBLANK(Z40:Z44)),AND(ISBLANK(AU40:AU44))),"·",bdRateExtend(L40:L44,Z40:Z44,AG40:AG44,AU40:AU44))</f>
        <v>·</v>
      </c>
      <c r="BF40" s="19" t="str">
        <f t="array" ref="BF40">IF(OR(AND(ISBLANK(L40:L44)),AND(ISBLANK(AG40:AG44)),AND(ISBLANK(AA40:AA44)),AND(ISBLANK(AV40:AV44))),"·",bdRateExtend(L40:L44,AA40:AA44,AG40:AG44,AV40:AV44))</f>
        <v>·</v>
      </c>
      <c r="BH40" s="19" t="str">
        <f t="array" ref="BH40">IF(OR(AND(ISBLANK(M40:M44)),AND(ISBLANK(AH40:AH44)),AND(ISBLANK(U40:U44)),AND(ISBLANK(AP40:AP44))),"·",bdRateExtend(M40:M44,U40:U44,AH40:AH44,AP40:AP44))</f>
        <v>·</v>
      </c>
      <c r="BI40" s="19" t="str">
        <f t="array" ref="BI40">IF(OR(AND(ISBLANK(M40:M44)),AND(ISBLANK(AH40:AH44)),AND(ISBLANK(V40:V44)),AND(ISBLANK(AQ40:AQ44))),"·",bdRateExtend(M40:M44,V40:V44,AH40:AH44,AQ40:AQ44))</f>
        <v>·</v>
      </c>
      <c r="BJ40" s="19" t="str">
        <f t="array" ref="BJ40">IF(OR(AND(ISBLANK(S40:S44)),AND(ISBLANK(AN40:AN44)),AND(ISBLANK(W40:W44)),AND(ISBLANK(AR40:AR44))),"·",bdRateExtend(S40:S44,W40:W44,AN40:AN44,AR40:AR44))</f>
        <v>·</v>
      </c>
      <c r="BK40" s="19" t="str">
        <f t="array" ref="BK40">IF(OR(AND(ISBLANK(S40:S44)),AND(ISBLANK(AN40:AN44)),AND(ISBLANK(X40:X44)),AND(ISBLANK(AS40:AS44))),"·",bdRateExtend(S40:S44,X40:X44,AN40:AN44,AS40:AS44))</f>
        <v>·</v>
      </c>
      <c r="BL40" s="19" t="str">
        <f t="array" ref="BL40">IF(OR(AND(ISBLANK(S40:S44)),AND(ISBLANK(AN40:AN44)),AND(ISBLANK(Y40:Y44)),AND(ISBLANK(AT40:AT44))),"·",bdRateExtend(S40:S44,Y40:Y44,AN40:AN44,AT40:AT44))</f>
        <v>·</v>
      </c>
      <c r="BM40" s="19" t="str">
        <f t="array" ref="BM40">IF(OR(AND(ISBLANK(M40:M44)),AND(ISBLANK(AH40:AH44)),AND(ISBLANK(Z40:Z44)),AND(ISBLANK(AU40:AU44))),"·",bdRateExtend(M40:M44,Z40:Z44,AH40:AH44,AU40:AU44))</f>
        <v>·</v>
      </c>
      <c r="BN40" s="19" t="str">
        <f t="array" ref="BN40">IF(OR(AND(ISBLANK(S40:S44)),AND(ISBLANK(AN40:AN44)),AND(ISBLANK(AA40:AA44)),AND(ISBLANK(AV40:AV44))),"·",bdRateExtend(S40:S44,AA40:AA44,AN40:AN44,AV40:AV44))</f>
        <v>·</v>
      </c>
      <c r="BP40" s="19">
        <f t="shared" si="8"/>
        <v>0</v>
      </c>
      <c r="BQ40" s="19">
        <f t="shared" si="9"/>
        <v>0</v>
      </c>
      <c r="BR40" s="19">
        <f t="shared" si="10"/>
        <v>0</v>
      </c>
      <c r="BS40" s="19">
        <f t="shared" si="11"/>
        <v>0</v>
      </c>
      <c r="BT40" s="19">
        <f t="shared" si="11"/>
        <v>0</v>
      </c>
    </row>
    <row r="41" ht="15" customHeight="1" outlineLevel="1" spans="1:72">
      <c r="A41" s="56"/>
      <c r="B41" s="56" t="s">
        <v>80</v>
      </c>
      <c r="C41" s="57" t="s">
        <v>433</v>
      </c>
      <c r="D41" s="56">
        <v>9000000</v>
      </c>
      <c r="E41" s="58">
        <v>12</v>
      </c>
      <c r="F41" s="57">
        <v>300</v>
      </c>
      <c r="G41" s="57">
        <v>30</v>
      </c>
      <c r="H41" s="57">
        <v>4</v>
      </c>
      <c r="J41" s="73">
        <f t="shared" si="0"/>
        <v>3.8652112</v>
      </c>
      <c r="K41" s="74">
        <f t="shared" si="1"/>
        <v>4.29467911111111</v>
      </c>
      <c r="L41" s="57">
        <f t="shared" si="2"/>
        <v>38652112</v>
      </c>
      <c r="M41" s="57">
        <f t="shared" si="3"/>
        <v>9986112</v>
      </c>
      <c r="N41" s="75">
        <v>69038912</v>
      </c>
      <c r="O41" s="76">
        <v>38652112</v>
      </c>
      <c r="P41" s="76">
        <v>6087632</v>
      </c>
      <c r="Q41" s="76">
        <v>990016</v>
      </c>
      <c r="R41" s="76">
        <v>2908464</v>
      </c>
      <c r="S41" s="76">
        <v>28551104</v>
      </c>
      <c r="T41" s="76">
        <v>114896</v>
      </c>
      <c r="U41" s="91">
        <v>76.6132013</v>
      </c>
      <c r="V41" s="91">
        <v>78.5386871</v>
      </c>
      <c r="W41" s="91">
        <v>33.6679082</v>
      </c>
      <c r="X41" s="91">
        <v>42.7394061</v>
      </c>
      <c r="Y41" s="91">
        <v>43.1704783</v>
      </c>
      <c r="Z41" s="91">
        <v>50.6577647</v>
      </c>
      <c r="AA41" s="91">
        <v>33.0292572</v>
      </c>
      <c r="AB41" s="98">
        <v>73962.293402</v>
      </c>
      <c r="AC41" s="98">
        <v>573.535415</v>
      </c>
      <c r="AE41" s="73" t="str">
        <f t="shared" si="4"/>
        <v>·</v>
      </c>
      <c r="AF41" s="74" t="str">
        <f t="shared" si="5"/>
        <v>·</v>
      </c>
      <c r="AG41" s="57" t="str">
        <f t="shared" si="6"/>
        <v>.</v>
      </c>
      <c r="AH41" s="57" t="str">
        <f t="shared" si="7"/>
        <v>.</v>
      </c>
      <c r="AI41" s="75"/>
      <c r="AJ41" s="76"/>
      <c r="AK41" s="76"/>
      <c r="AL41" s="76"/>
      <c r="AM41" s="76"/>
      <c r="AN41" s="76"/>
      <c r="AO41" s="76"/>
      <c r="AP41" s="91"/>
      <c r="AQ41" s="91"/>
      <c r="AR41" s="91"/>
      <c r="AS41" s="91"/>
      <c r="AT41" s="91"/>
      <c r="AU41" s="91"/>
      <c r="AV41" s="91"/>
      <c r="AW41" s="98"/>
      <c r="AX41" s="98"/>
      <c r="AZ41" s="15"/>
      <c r="BA41" s="15"/>
      <c r="BB41" s="15"/>
      <c r="BC41" s="15"/>
      <c r="BD41" s="15"/>
      <c r="BE41" s="15"/>
      <c r="BF41" s="15"/>
      <c r="BH41" s="15"/>
      <c r="BI41" s="15"/>
      <c r="BJ41" s="15"/>
      <c r="BK41" s="15"/>
      <c r="BL41" s="15"/>
      <c r="BM41" s="15"/>
      <c r="BN41" s="15"/>
      <c r="BP41" s="15">
        <f t="shared" si="8"/>
        <v>0</v>
      </c>
      <c r="BQ41" s="15">
        <f t="shared" si="9"/>
        <v>0</v>
      </c>
      <c r="BR41" s="15">
        <f t="shared" si="10"/>
        <v>0</v>
      </c>
      <c r="BS41" s="15">
        <f t="shared" si="11"/>
        <v>0</v>
      </c>
      <c r="BT41" s="15">
        <f t="shared" si="11"/>
        <v>0</v>
      </c>
    </row>
    <row r="42" ht="15" customHeight="1" outlineLevel="1" spans="1:72">
      <c r="A42" s="59"/>
      <c r="B42" s="59" t="s">
        <v>80</v>
      </c>
      <c r="C42" s="60" t="s">
        <v>434</v>
      </c>
      <c r="D42" s="59">
        <v>9000000</v>
      </c>
      <c r="E42" s="61">
        <v>12</v>
      </c>
      <c r="F42" s="60">
        <v>300</v>
      </c>
      <c r="G42" s="60">
        <v>30</v>
      </c>
      <c r="H42" s="60">
        <v>6</v>
      </c>
      <c r="J42" s="77">
        <f t="shared" si="0"/>
        <v>6.0192832</v>
      </c>
      <c r="K42" s="78">
        <f t="shared" si="1"/>
        <v>6.68809244444444</v>
      </c>
      <c r="L42" s="60">
        <f t="shared" si="2"/>
        <v>60192832</v>
      </c>
      <c r="M42" s="60">
        <f t="shared" si="3"/>
        <v>14845240</v>
      </c>
      <c r="N42" s="79">
        <v>138089728</v>
      </c>
      <c r="O42" s="80">
        <v>60192832</v>
      </c>
      <c r="P42" s="80">
        <v>10917968</v>
      </c>
      <c r="Q42" s="80">
        <v>1794216</v>
      </c>
      <c r="R42" s="80">
        <v>2133056</v>
      </c>
      <c r="S42" s="80">
        <v>45236064</v>
      </c>
      <c r="T42" s="80">
        <v>111528</v>
      </c>
      <c r="U42" s="92">
        <v>78.4283302</v>
      </c>
      <c r="V42" s="92">
        <v>80.692389</v>
      </c>
      <c r="W42" s="92">
        <v>34.2944046</v>
      </c>
      <c r="X42" s="92">
        <v>42.8927609</v>
      </c>
      <c r="Y42" s="92">
        <v>43.4028165</v>
      </c>
      <c r="Z42" s="92">
        <v>51.7530668</v>
      </c>
      <c r="AA42" s="92">
        <v>33.6896295</v>
      </c>
      <c r="AB42" s="99">
        <v>85263.078351</v>
      </c>
      <c r="AC42" s="99">
        <v>571.439355</v>
      </c>
      <c r="AE42" s="77" t="str">
        <f t="shared" si="4"/>
        <v>·</v>
      </c>
      <c r="AF42" s="78" t="str">
        <f t="shared" si="5"/>
        <v>·</v>
      </c>
      <c r="AG42" s="60" t="str">
        <f t="shared" si="6"/>
        <v>.</v>
      </c>
      <c r="AH42" s="60" t="str">
        <f t="shared" si="7"/>
        <v>.</v>
      </c>
      <c r="AI42" s="79"/>
      <c r="AJ42" s="80"/>
      <c r="AK42" s="80"/>
      <c r="AL42" s="80"/>
      <c r="AM42" s="80"/>
      <c r="AN42" s="80"/>
      <c r="AO42" s="80"/>
      <c r="AP42" s="92"/>
      <c r="AQ42" s="92"/>
      <c r="AR42" s="92"/>
      <c r="AS42" s="92"/>
      <c r="AT42" s="92"/>
      <c r="AU42" s="92"/>
      <c r="AV42" s="92"/>
      <c r="AW42" s="99"/>
      <c r="AX42" s="99"/>
      <c r="AZ42" s="19"/>
      <c r="BA42" s="19"/>
      <c r="BB42" s="19"/>
      <c r="BC42" s="19"/>
      <c r="BD42" s="19"/>
      <c r="BE42" s="19"/>
      <c r="BF42" s="19"/>
      <c r="BH42" s="19"/>
      <c r="BI42" s="19"/>
      <c r="BJ42" s="19"/>
      <c r="BK42" s="19"/>
      <c r="BL42" s="19"/>
      <c r="BM42" s="19"/>
      <c r="BN42" s="19"/>
      <c r="BP42" s="19">
        <f t="shared" si="8"/>
        <v>0</v>
      </c>
      <c r="BQ42" s="19">
        <f t="shared" si="9"/>
        <v>0</v>
      </c>
      <c r="BR42" s="19">
        <f t="shared" si="10"/>
        <v>0</v>
      </c>
      <c r="BS42" s="19">
        <f t="shared" si="11"/>
        <v>0</v>
      </c>
      <c r="BT42" s="19">
        <f t="shared" si="11"/>
        <v>0</v>
      </c>
    </row>
    <row r="43" ht="15" customHeight="1" outlineLevel="1" spans="1:72">
      <c r="A43" s="56"/>
      <c r="B43" s="56" t="s">
        <v>80</v>
      </c>
      <c r="C43" s="57" t="s">
        <v>435</v>
      </c>
      <c r="D43" s="56">
        <v>9000000</v>
      </c>
      <c r="E43" s="58">
        <v>12</v>
      </c>
      <c r="F43" s="57">
        <v>300</v>
      </c>
      <c r="G43" s="57">
        <v>30</v>
      </c>
      <c r="H43" s="57">
        <v>8</v>
      </c>
      <c r="J43" s="73">
        <f t="shared" si="0"/>
        <v>7.8103832</v>
      </c>
      <c r="K43" s="74">
        <f t="shared" si="1"/>
        <v>8.67820355555556</v>
      </c>
      <c r="L43" s="57">
        <f t="shared" si="2"/>
        <v>78103832</v>
      </c>
      <c r="M43" s="57">
        <f t="shared" si="3"/>
        <v>17543600</v>
      </c>
      <c r="N43" s="75">
        <v>138089728</v>
      </c>
      <c r="O43" s="76">
        <v>78103832</v>
      </c>
      <c r="P43" s="76">
        <v>10917968</v>
      </c>
      <c r="Q43" s="76">
        <v>1794216</v>
      </c>
      <c r="R43" s="76">
        <v>4831416</v>
      </c>
      <c r="S43" s="76">
        <v>60447240</v>
      </c>
      <c r="T43" s="76">
        <v>112992</v>
      </c>
      <c r="U43" s="91">
        <v>79.7351944</v>
      </c>
      <c r="V43" s="91">
        <v>82.4761285</v>
      </c>
      <c r="W43" s="91">
        <v>34.3469189</v>
      </c>
      <c r="X43" s="91">
        <v>43.0253306</v>
      </c>
      <c r="Y43" s="91">
        <v>43.5684757</v>
      </c>
      <c r="Z43" s="91">
        <v>52.462475</v>
      </c>
      <c r="AA43" s="91">
        <v>33.8370238</v>
      </c>
      <c r="AB43" s="98">
        <v>41814.411706</v>
      </c>
      <c r="AC43" s="98">
        <v>280.332387</v>
      </c>
      <c r="AE43" s="73" t="str">
        <f t="shared" si="4"/>
        <v>·</v>
      </c>
      <c r="AF43" s="74" t="str">
        <f t="shared" si="5"/>
        <v>·</v>
      </c>
      <c r="AG43" s="57" t="str">
        <f t="shared" si="6"/>
        <v>.</v>
      </c>
      <c r="AH43" s="57" t="str">
        <f t="shared" si="7"/>
        <v>.</v>
      </c>
      <c r="AI43" s="75"/>
      <c r="AJ43" s="76"/>
      <c r="AK43" s="76"/>
      <c r="AL43" s="76"/>
      <c r="AM43" s="76"/>
      <c r="AN43" s="76"/>
      <c r="AO43" s="76"/>
      <c r="AP43" s="91"/>
      <c r="AQ43" s="91"/>
      <c r="AR43" s="91"/>
      <c r="AS43" s="91"/>
      <c r="AT43" s="91"/>
      <c r="AU43" s="91"/>
      <c r="AV43" s="91"/>
      <c r="AW43" s="98"/>
      <c r="AX43" s="98"/>
      <c r="AZ43" s="15"/>
      <c r="BA43" s="15"/>
      <c r="BB43" s="15"/>
      <c r="BC43" s="15"/>
      <c r="BD43" s="15"/>
      <c r="BE43" s="15"/>
      <c r="BF43" s="15"/>
      <c r="BH43" s="15"/>
      <c r="BI43" s="15"/>
      <c r="BJ43" s="15"/>
      <c r="BK43" s="15"/>
      <c r="BL43" s="15"/>
      <c r="BM43" s="15"/>
      <c r="BN43" s="15"/>
      <c r="BP43" s="15">
        <f t="shared" si="8"/>
        <v>0</v>
      </c>
      <c r="BQ43" s="15">
        <f t="shared" si="9"/>
        <v>0</v>
      </c>
      <c r="BR43" s="15">
        <f t="shared" si="10"/>
        <v>0</v>
      </c>
      <c r="BS43" s="15">
        <f t="shared" si="11"/>
        <v>0</v>
      </c>
      <c r="BT43" s="15">
        <f t="shared" si="11"/>
        <v>0</v>
      </c>
    </row>
    <row r="44" ht="15.75" customHeight="1" outlineLevel="1" spans="1:72">
      <c r="A44" s="65"/>
      <c r="B44" s="65" t="s">
        <v>80</v>
      </c>
      <c r="C44" s="66" t="s">
        <v>436</v>
      </c>
      <c r="D44" s="65">
        <v>9000000</v>
      </c>
      <c r="E44" s="67">
        <v>12</v>
      </c>
      <c r="F44" s="66">
        <v>300</v>
      </c>
      <c r="G44" s="66">
        <v>30</v>
      </c>
      <c r="H44" s="66">
        <v>12</v>
      </c>
      <c r="J44" s="85">
        <f t="shared" si="0"/>
        <v>11.9573464</v>
      </c>
      <c r="K44" s="86">
        <f t="shared" si="1"/>
        <v>13.2859404444444</v>
      </c>
      <c r="L44" s="66">
        <f t="shared" si="2"/>
        <v>119573464</v>
      </c>
      <c r="M44" s="66">
        <f t="shared" si="3"/>
        <v>22813872</v>
      </c>
      <c r="N44" s="87">
        <v>207140672</v>
      </c>
      <c r="O44" s="88">
        <v>119573464</v>
      </c>
      <c r="P44" s="88">
        <v>15549952</v>
      </c>
      <c r="Q44" s="88">
        <v>2553648</v>
      </c>
      <c r="R44" s="88">
        <v>4710272</v>
      </c>
      <c r="S44" s="88">
        <v>96650048</v>
      </c>
      <c r="T44" s="88">
        <v>109544</v>
      </c>
      <c r="U44" s="94">
        <v>81.1193697</v>
      </c>
      <c r="V44" s="94">
        <v>84.3578627</v>
      </c>
      <c r="W44" s="94">
        <v>34.9168171</v>
      </c>
      <c r="X44" s="94">
        <v>43.1290567</v>
      </c>
      <c r="Y44" s="94">
        <v>43.7263848</v>
      </c>
      <c r="Z44" s="94">
        <v>53.253805</v>
      </c>
      <c r="AA44" s="94">
        <v>34.4212464</v>
      </c>
      <c r="AB44" s="101">
        <v>52572.662904</v>
      </c>
      <c r="AC44" s="101">
        <v>364.823002</v>
      </c>
      <c r="AE44" s="85" t="str">
        <f t="shared" si="4"/>
        <v>·</v>
      </c>
      <c r="AF44" s="86" t="str">
        <f t="shared" si="5"/>
        <v>·</v>
      </c>
      <c r="AG44" s="66" t="str">
        <f t="shared" si="6"/>
        <v>.</v>
      </c>
      <c r="AH44" s="66" t="str">
        <f t="shared" si="7"/>
        <v>.</v>
      </c>
      <c r="AI44" s="87"/>
      <c r="AJ44" s="88"/>
      <c r="AK44" s="88"/>
      <c r="AL44" s="88"/>
      <c r="AM44" s="88"/>
      <c r="AN44" s="88"/>
      <c r="AO44" s="88"/>
      <c r="AP44" s="94"/>
      <c r="AQ44" s="94"/>
      <c r="AR44" s="94"/>
      <c r="AS44" s="94"/>
      <c r="AT44" s="94"/>
      <c r="AU44" s="94"/>
      <c r="AV44" s="94"/>
      <c r="AW44" s="101"/>
      <c r="AX44" s="101"/>
      <c r="AZ44" s="23"/>
      <c r="BA44" s="23"/>
      <c r="BB44" s="23"/>
      <c r="BC44" s="23"/>
      <c r="BD44" s="23"/>
      <c r="BE44" s="23"/>
      <c r="BF44" s="23"/>
      <c r="BH44" s="23"/>
      <c r="BI44" s="23"/>
      <c r="BJ44" s="23"/>
      <c r="BK44" s="23"/>
      <c r="BL44" s="23"/>
      <c r="BM44" s="23"/>
      <c r="BN44" s="23"/>
      <c r="BP44" s="23">
        <f t="shared" si="8"/>
        <v>0</v>
      </c>
      <c r="BQ44" s="23">
        <f t="shared" si="9"/>
        <v>0</v>
      </c>
      <c r="BR44" s="23">
        <f t="shared" si="10"/>
        <v>0</v>
      </c>
      <c r="BS44" s="23">
        <f t="shared" si="11"/>
        <v>0</v>
      </c>
      <c r="BT44" s="23">
        <f t="shared" si="11"/>
        <v>0</v>
      </c>
    </row>
    <row r="45" spans="2:72">
      <c r="B45" s="68" t="s">
        <v>8</v>
      </c>
      <c r="K45" s="89">
        <f>AVERAGE(K5:K14)</f>
        <v>12.1981080051709</v>
      </c>
      <c r="L45" s="89"/>
      <c r="M45" s="89"/>
      <c r="T45" s="95"/>
      <c r="AF45" s="89" t="e">
        <f>AVERAGE(AF5:AF14)</f>
        <v>#DIV/0!</v>
      </c>
      <c r="AG45" s="89"/>
      <c r="AH45" s="89"/>
      <c r="AZ45" s="111" t="e">
        <f t="shared" ref="AZ45:BF45" si="13">AVERAGE(AZ5:AZ14)</f>
        <v>#DIV/0!</v>
      </c>
      <c r="BA45" s="111" t="e">
        <f t="shared" si="13"/>
        <v>#DIV/0!</v>
      </c>
      <c r="BB45" s="111" t="e">
        <f t="shared" si="13"/>
        <v>#DIV/0!</v>
      </c>
      <c r="BC45" s="111" t="e">
        <f t="shared" si="13"/>
        <v>#DIV/0!</v>
      </c>
      <c r="BD45" s="111" t="e">
        <f t="shared" si="13"/>
        <v>#DIV/0!</v>
      </c>
      <c r="BE45" s="111" t="e">
        <f t="shared" si="13"/>
        <v>#DIV/0!</v>
      </c>
      <c r="BF45" s="111" t="e">
        <f t="shared" si="13"/>
        <v>#DIV/0!</v>
      </c>
      <c r="BH45" s="111" t="e">
        <f t="shared" ref="BH45:BN45" si="14">AVERAGE(BH5:BH14)</f>
        <v>#DIV/0!</v>
      </c>
      <c r="BI45" s="111" t="e">
        <f t="shared" si="14"/>
        <v>#DIV/0!</v>
      </c>
      <c r="BJ45" s="111" t="e">
        <f t="shared" si="14"/>
        <v>#DIV/0!</v>
      </c>
      <c r="BK45" s="111" t="e">
        <f t="shared" si="14"/>
        <v>#DIV/0!</v>
      </c>
      <c r="BL45" s="111" t="e">
        <f t="shared" si="14"/>
        <v>#DIV/0!</v>
      </c>
      <c r="BM45" s="111" t="e">
        <f t="shared" si="14"/>
        <v>#DIV/0!</v>
      </c>
      <c r="BN45" s="111" t="e">
        <f t="shared" si="14"/>
        <v>#DIV/0!</v>
      </c>
      <c r="BP45" s="111">
        <f>AVERAGE(BP5:BP14)</f>
        <v>0</v>
      </c>
      <c r="BQ45" s="111">
        <f>AVERAGE(BQ5:BQ14)</f>
        <v>0</v>
      </c>
      <c r="BR45" s="111">
        <f>AVERAGE(BR5:BR14)</f>
        <v>0</v>
      </c>
      <c r="BS45" s="111">
        <f>AVERAGE(BS5:BS14)</f>
        <v>0</v>
      </c>
      <c r="BT45" s="111">
        <f>AVERAGE(BT5:BT14)</f>
        <v>0</v>
      </c>
    </row>
    <row r="46" spans="2:72">
      <c r="B46" s="68" t="s">
        <v>9</v>
      </c>
      <c r="K46" s="89">
        <f>AVERAGE(K15:K24)</f>
        <v>8.76130600407813</v>
      </c>
      <c r="L46" s="89"/>
      <c r="M46" s="89"/>
      <c r="AF46" s="89" t="e">
        <f>AVERAGE(AF15:AF24)</f>
        <v>#DIV/0!</v>
      </c>
      <c r="AG46" s="89"/>
      <c r="AH46" s="89"/>
      <c r="AZ46" s="111" t="e">
        <f t="shared" ref="AZ46:BF46" si="15">AVERAGE(AZ15:AZ24)</f>
        <v>#DIV/0!</v>
      </c>
      <c r="BA46" s="111" t="e">
        <f t="shared" si="15"/>
        <v>#DIV/0!</v>
      </c>
      <c r="BB46" s="111" t="e">
        <f t="shared" si="15"/>
        <v>#DIV/0!</v>
      </c>
      <c r="BC46" s="111" t="e">
        <f t="shared" si="15"/>
        <v>#DIV/0!</v>
      </c>
      <c r="BD46" s="111" t="e">
        <f t="shared" si="15"/>
        <v>#DIV/0!</v>
      </c>
      <c r="BE46" s="111" t="e">
        <f t="shared" si="15"/>
        <v>#DIV/0!</v>
      </c>
      <c r="BF46" s="111" t="e">
        <f t="shared" si="15"/>
        <v>#DIV/0!</v>
      </c>
      <c r="BH46" s="111" t="e">
        <f t="shared" ref="BH46:BN46" si="16">AVERAGE(BH15:BH24)</f>
        <v>#DIV/0!</v>
      </c>
      <c r="BI46" s="111" t="e">
        <f t="shared" si="16"/>
        <v>#DIV/0!</v>
      </c>
      <c r="BJ46" s="111" t="e">
        <f t="shared" si="16"/>
        <v>#DIV/0!</v>
      </c>
      <c r="BK46" s="111" t="e">
        <f t="shared" si="16"/>
        <v>#DIV/0!</v>
      </c>
      <c r="BL46" s="111" t="e">
        <f t="shared" si="16"/>
        <v>#DIV/0!</v>
      </c>
      <c r="BM46" s="111" t="e">
        <f t="shared" si="16"/>
        <v>#DIV/0!</v>
      </c>
      <c r="BN46" s="111" t="e">
        <f t="shared" si="16"/>
        <v>#DIV/0!</v>
      </c>
      <c r="BP46" s="111">
        <f>AVERAGE(BP15:BP24)</f>
        <v>0</v>
      </c>
      <c r="BQ46" s="111">
        <f>AVERAGE(BQ15:BQ24)</f>
        <v>0</v>
      </c>
      <c r="BR46" s="111">
        <f>AVERAGE(BR15:BR24)</f>
        <v>0</v>
      </c>
      <c r="BS46" s="111">
        <f>AVERAGE(BS15:BS24)</f>
        <v>0</v>
      </c>
      <c r="BT46" s="111">
        <f>AVERAGE(BT15:BT24)</f>
        <v>0</v>
      </c>
    </row>
    <row r="47" spans="2:72">
      <c r="B47" s="68" t="s">
        <v>10</v>
      </c>
      <c r="K47" s="89">
        <f>AVERAGE(K25:K44)</f>
        <v>9.00929067075673</v>
      </c>
      <c r="L47" s="89"/>
      <c r="M47" s="89"/>
      <c r="T47" s="96"/>
      <c r="AF47" s="89" t="e">
        <f>AVERAGE(AF25:AF44)</f>
        <v>#DIV/0!</v>
      </c>
      <c r="AG47" s="89"/>
      <c r="AH47" s="89"/>
      <c r="AZ47" s="111" t="e">
        <f t="shared" ref="AZ47:BF47" si="17">AVERAGE(AZ25:AZ44)</f>
        <v>#DIV/0!</v>
      </c>
      <c r="BA47" s="111" t="e">
        <f t="shared" si="17"/>
        <v>#DIV/0!</v>
      </c>
      <c r="BB47" s="111" t="e">
        <f t="shared" si="17"/>
        <v>#DIV/0!</v>
      </c>
      <c r="BC47" s="111" t="e">
        <f t="shared" si="17"/>
        <v>#DIV/0!</v>
      </c>
      <c r="BD47" s="111" t="e">
        <f t="shared" si="17"/>
        <v>#DIV/0!</v>
      </c>
      <c r="BE47" s="111" t="e">
        <f t="shared" si="17"/>
        <v>#DIV/0!</v>
      </c>
      <c r="BF47" s="111" t="e">
        <f t="shared" si="17"/>
        <v>#DIV/0!</v>
      </c>
      <c r="BH47" s="111" t="e">
        <f t="shared" ref="BH47:BN47" si="18">AVERAGE(BH25:BH44)</f>
        <v>#DIV/0!</v>
      </c>
      <c r="BI47" s="111" t="e">
        <f t="shared" si="18"/>
        <v>#DIV/0!</v>
      </c>
      <c r="BJ47" s="111" t="e">
        <f t="shared" si="18"/>
        <v>#DIV/0!</v>
      </c>
      <c r="BK47" s="111" t="e">
        <f t="shared" si="18"/>
        <v>#DIV/0!</v>
      </c>
      <c r="BL47" s="111" t="e">
        <f t="shared" si="18"/>
        <v>#DIV/0!</v>
      </c>
      <c r="BM47" s="111" t="e">
        <f t="shared" si="18"/>
        <v>#DIV/0!</v>
      </c>
      <c r="BN47" s="111" t="e">
        <f t="shared" si="18"/>
        <v>#DIV/0!</v>
      </c>
      <c r="BP47" s="111">
        <f>AVERAGE(BP25:BP44)</f>
        <v>0</v>
      </c>
      <c r="BQ47" s="111">
        <f>AVERAGE(BQ25:BQ44)</f>
        <v>0</v>
      </c>
      <c r="BR47" s="111">
        <f>AVERAGE(BR25:BR44)</f>
        <v>0</v>
      </c>
      <c r="BS47" s="111">
        <f>AVERAGE(BS25:BS44)</f>
        <v>0</v>
      </c>
      <c r="BT47" s="111">
        <f>AVERAGE(BT25:BT44)</f>
        <v>0</v>
      </c>
    </row>
    <row r="48" spans="2:72">
      <c r="B48" s="68" t="s">
        <v>12</v>
      </c>
      <c r="K48" s="89">
        <f>AVERAGE(K5:K44)</f>
        <v>9.74449883769062</v>
      </c>
      <c r="L48" s="89"/>
      <c r="M48" s="89"/>
      <c r="AF48" s="89" t="e">
        <f>AVERAGE(AF5:AF44)</f>
        <v>#DIV/0!</v>
      </c>
      <c r="AG48" s="89"/>
      <c r="AH48" s="89"/>
      <c r="AZ48" s="111" t="e">
        <f t="shared" ref="AZ48:BF48" si="19">AVERAGE(AZ5:AZ44)</f>
        <v>#DIV/0!</v>
      </c>
      <c r="BA48" s="111" t="e">
        <f t="shared" si="19"/>
        <v>#DIV/0!</v>
      </c>
      <c r="BB48" s="111" t="e">
        <f t="shared" si="19"/>
        <v>#DIV/0!</v>
      </c>
      <c r="BC48" s="111" t="e">
        <f t="shared" si="19"/>
        <v>#DIV/0!</v>
      </c>
      <c r="BD48" s="111" t="e">
        <f t="shared" si="19"/>
        <v>#DIV/0!</v>
      </c>
      <c r="BE48" s="111" t="e">
        <f t="shared" si="19"/>
        <v>#DIV/0!</v>
      </c>
      <c r="BF48" s="111" t="e">
        <f t="shared" si="19"/>
        <v>#DIV/0!</v>
      </c>
      <c r="BH48" s="111" t="e">
        <f t="shared" ref="BH48:BN48" si="20">AVERAGE(BH5:BH44)</f>
        <v>#DIV/0!</v>
      </c>
      <c r="BI48" s="111" t="e">
        <f t="shared" si="20"/>
        <v>#DIV/0!</v>
      </c>
      <c r="BJ48" s="111" t="e">
        <f t="shared" si="20"/>
        <v>#DIV/0!</v>
      </c>
      <c r="BK48" s="111" t="e">
        <f t="shared" si="20"/>
        <v>#DIV/0!</v>
      </c>
      <c r="BL48" s="111" t="e">
        <f t="shared" si="20"/>
        <v>#DIV/0!</v>
      </c>
      <c r="BM48" s="111" t="e">
        <f t="shared" si="20"/>
        <v>#DIV/0!</v>
      </c>
      <c r="BN48" s="111" t="e">
        <f t="shared" si="20"/>
        <v>#DIV/0!</v>
      </c>
      <c r="BP48" s="111">
        <f>AVERAGE(BP5:BP44)</f>
        <v>0</v>
      </c>
      <c r="BQ48" s="111">
        <f>AVERAGE(BQ5:BQ44)</f>
        <v>0</v>
      </c>
      <c r="BR48" s="111">
        <f>AVERAGE(BR5:BR44)</f>
        <v>0</v>
      </c>
      <c r="BS48" s="111">
        <f>AVERAGE(BS5:BS44)</f>
        <v>0</v>
      </c>
      <c r="BT48" s="111">
        <f>AVERAGE(BT5:BT44)</f>
        <v>0</v>
      </c>
    </row>
    <row r="49" spans="1:50">
      <c r="A49" s="68" t="s">
        <v>193</v>
      </c>
      <c r="B49" s="68" t="s">
        <v>194</v>
      </c>
      <c r="AB49" s="102">
        <f>SUM(AB5:AB14,AB15:AB24,AB25:AB44)</f>
        <v>1934837.250635</v>
      </c>
      <c r="AC49" s="102">
        <f>SUM(AC5:AC14,AC15:AC24,AC25:AC44)</f>
        <v>11161.85632</v>
      </c>
      <c r="AW49" s="102">
        <f>SUM(AW5:AW14,AW15:AW24,AW25:AW44)</f>
        <v>0</v>
      </c>
      <c r="AX49" s="102">
        <f>SUM(AX5:AX14,AX15:AX24,AX25:AX44)</f>
        <v>0</v>
      </c>
    </row>
    <row r="50" spans="2:50">
      <c r="B50" s="68" t="s">
        <v>195</v>
      </c>
      <c r="AJ50" s="96"/>
      <c r="AW50" s="112">
        <f>AW49/AB49</f>
        <v>0</v>
      </c>
      <c r="AX50" s="112">
        <f>AX49/AC49</f>
        <v>0</v>
      </c>
    </row>
    <row r="51" spans="36:36">
      <c r="AJ51" s="96"/>
    </row>
    <row r="52" spans="36:38">
      <c r="AJ52" s="96"/>
      <c r="AL52" s="103"/>
    </row>
    <row r="53" ht="15.75" customHeight="1" spans="36:36">
      <c r="AJ53" s="96"/>
    </row>
    <row r="54" spans="33:48">
      <c r="AG54" s="104" t="e">
        <f t="shared" ref="AG54:AG93" si="21">AG5-L5</f>
        <v>#VALUE!</v>
      </c>
      <c r="AH54" s="104" t="e">
        <f t="shared" ref="AH54:AH93" si="22">AH5-M5</f>
        <v>#VALUE!</v>
      </c>
      <c r="AI54" s="104">
        <f t="shared" ref="AI54:AI93" si="23">AI5-N5</f>
        <v>-22725696</v>
      </c>
      <c r="AJ54" s="104">
        <f t="shared" ref="AJ54:AJ93" si="24">AJ5-O5</f>
        <v>-41109816</v>
      </c>
      <c r="AK54" s="104">
        <f t="shared" ref="AK54:AK93" si="25">AK5-P5</f>
        <v>-7878072</v>
      </c>
      <c r="AL54" s="104">
        <f t="shared" ref="AL54:AL93" si="26">AL5-Q5</f>
        <v>0</v>
      </c>
      <c r="AM54" s="104">
        <f t="shared" ref="AM54:AM93" si="27">AM5-R5</f>
        <v>-5414080</v>
      </c>
      <c r="AN54" s="104">
        <f t="shared" ref="AN54:AN93" si="28">AN5-S5</f>
        <v>-27688856</v>
      </c>
      <c r="AO54" s="104">
        <f t="shared" ref="AO54:AO93" si="29">AO5-T5</f>
        <v>-128808</v>
      </c>
      <c r="AP54" s="104">
        <f t="shared" ref="AP54:AP93" si="30">AP5-U5</f>
        <v>-68.8374896</v>
      </c>
      <c r="AQ54" s="106">
        <f t="shared" ref="AQ54:AQ93" si="31">AQ5-V5</f>
        <v>-69.9286439</v>
      </c>
      <c r="AR54" s="106">
        <f t="shared" ref="AR54:AR93" si="32">AR5-W5</f>
        <v>-27.8699635</v>
      </c>
      <c r="AS54" s="106">
        <f t="shared" ref="AS54:AS93" si="33">AS5-X5</f>
        <v>-33.4950457</v>
      </c>
      <c r="AT54" s="106">
        <f t="shared" ref="AT54:AT93" si="34">AT5-Y5</f>
        <v>-32.8806388</v>
      </c>
      <c r="AU54" s="106">
        <f t="shared" ref="AU54:AU93" si="35">AU5-Z5</f>
        <v>-48.3495288</v>
      </c>
      <c r="AV54" s="107">
        <f t="shared" ref="AV54:AV93" si="36">AV5-AA5</f>
        <v>-26.7105906</v>
      </c>
    </row>
    <row r="55" spans="33:48">
      <c r="AG55" s="105" t="e">
        <f t="shared" si="21"/>
        <v>#VALUE!</v>
      </c>
      <c r="AH55" s="105" t="e">
        <f t="shared" si="22"/>
        <v>#VALUE!</v>
      </c>
      <c r="AI55" s="105">
        <f t="shared" si="23"/>
        <v>-22725696</v>
      </c>
      <c r="AJ55" s="105">
        <f t="shared" si="24"/>
        <v>-83784176</v>
      </c>
      <c r="AK55" s="105">
        <f t="shared" si="25"/>
        <v>-7878072</v>
      </c>
      <c r="AL55" s="105">
        <f t="shared" si="26"/>
        <v>0</v>
      </c>
      <c r="AM55" s="105">
        <f t="shared" si="27"/>
        <v>-9463608</v>
      </c>
      <c r="AN55" s="105">
        <f t="shared" si="28"/>
        <v>-66319672</v>
      </c>
      <c r="AO55" s="105">
        <f t="shared" si="29"/>
        <v>-122824</v>
      </c>
      <c r="AP55" s="105">
        <f t="shared" si="30"/>
        <v>-70.5894919</v>
      </c>
      <c r="AQ55" s="108">
        <f t="shared" si="31"/>
        <v>-71.9121364</v>
      </c>
      <c r="AR55" s="108">
        <f t="shared" si="32"/>
        <v>-31.13719</v>
      </c>
      <c r="AS55" s="108">
        <f t="shared" si="33"/>
        <v>-34.6932321</v>
      </c>
      <c r="AT55" s="108">
        <f t="shared" si="34"/>
        <v>-34.2088436</v>
      </c>
      <c r="AU55" s="108">
        <f t="shared" si="35"/>
        <v>-49.1865107</v>
      </c>
      <c r="AV55" s="109">
        <f t="shared" si="36"/>
        <v>-28.9168552</v>
      </c>
    </row>
    <row r="56" spans="33:48">
      <c r="AG56" s="105" t="e">
        <f t="shared" si="21"/>
        <v>#VALUE!</v>
      </c>
      <c r="AH56" s="105" t="e">
        <f t="shared" si="22"/>
        <v>#VALUE!</v>
      </c>
      <c r="AI56" s="105">
        <f t="shared" si="23"/>
        <v>-45556032</v>
      </c>
      <c r="AJ56" s="105">
        <f t="shared" si="24"/>
        <v>-115594512</v>
      </c>
      <c r="AK56" s="105">
        <f t="shared" si="25"/>
        <v>-12320704</v>
      </c>
      <c r="AL56" s="105">
        <f t="shared" si="26"/>
        <v>0</v>
      </c>
      <c r="AM56" s="105">
        <f t="shared" si="27"/>
        <v>-9078808</v>
      </c>
      <c r="AN56" s="105">
        <f t="shared" si="28"/>
        <v>-94071296</v>
      </c>
      <c r="AO56" s="105">
        <f t="shared" si="29"/>
        <v>-123704</v>
      </c>
      <c r="AP56" s="105">
        <f t="shared" si="30"/>
        <v>-72.6160651</v>
      </c>
      <c r="AQ56" s="108">
        <f t="shared" si="31"/>
        <v>-74.2456582</v>
      </c>
      <c r="AR56" s="108">
        <f t="shared" si="32"/>
        <v>-32.3176052</v>
      </c>
      <c r="AS56" s="108">
        <f t="shared" si="33"/>
        <v>-36.4166748</v>
      </c>
      <c r="AT56" s="108">
        <f t="shared" si="34"/>
        <v>-36.1531238</v>
      </c>
      <c r="AU56" s="108">
        <f t="shared" si="35"/>
        <v>-50.372403</v>
      </c>
      <c r="AV56" s="109">
        <f t="shared" si="36"/>
        <v>-30.3648794</v>
      </c>
    </row>
    <row r="57" spans="33:48">
      <c r="AG57" s="105" t="e">
        <f t="shared" si="21"/>
        <v>#VALUE!</v>
      </c>
      <c r="AH57" s="105" t="e">
        <f t="shared" si="22"/>
        <v>#VALUE!</v>
      </c>
      <c r="AI57" s="105">
        <f t="shared" si="23"/>
        <v>-91604096</v>
      </c>
      <c r="AJ57" s="105">
        <f t="shared" si="24"/>
        <v>-146048160</v>
      </c>
      <c r="AK57" s="105">
        <f t="shared" si="25"/>
        <v>-20148944</v>
      </c>
      <c r="AL57" s="105">
        <f t="shared" si="26"/>
        <v>0</v>
      </c>
      <c r="AM57" s="105">
        <f t="shared" si="27"/>
        <v>-7602344</v>
      </c>
      <c r="AN57" s="105">
        <f t="shared" si="28"/>
        <v>-118171320</v>
      </c>
      <c r="AO57" s="105">
        <f t="shared" si="29"/>
        <v>-125552</v>
      </c>
      <c r="AP57" s="105">
        <f t="shared" si="30"/>
        <v>-73.4792977</v>
      </c>
      <c r="AQ57" s="108">
        <f t="shared" si="31"/>
        <v>-75.2392347</v>
      </c>
      <c r="AR57" s="108">
        <f t="shared" si="32"/>
        <v>-33.277265</v>
      </c>
      <c r="AS57" s="108">
        <f t="shared" si="33"/>
        <v>-36.9613614</v>
      </c>
      <c r="AT57" s="108">
        <f t="shared" si="34"/>
        <v>-36.6942469</v>
      </c>
      <c r="AU57" s="108">
        <f t="shared" si="35"/>
        <v>-51.0161211</v>
      </c>
      <c r="AV57" s="109">
        <f t="shared" si="36"/>
        <v>-31.1412137</v>
      </c>
    </row>
    <row r="58" spans="33:48">
      <c r="AG58" s="105" t="e">
        <f t="shared" si="21"/>
        <v>#VALUE!</v>
      </c>
      <c r="AH58" s="105" t="e">
        <f t="shared" si="22"/>
        <v>#VALUE!</v>
      </c>
      <c r="AI58" s="105">
        <f t="shared" si="23"/>
        <v>-91604096</v>
      </c>
      <c r="AJ58" s="105">
        <f t="shared" si="24"/>
        <v>-220499216</v>
      </c>
      <c r="AK58" s="105">
        <f t="shared" si="25"/>
        <v>-20148944</v>
      </c>
      <c r="AL58" s="105">
        <f t="shared" si="26"/>
        <v>0</v>
      </c>
      <c r="AM58" s="105">
        <f t="shared" si="27"/>
        <v>-14089352</v>
      </c>
      <c r="AN58" s="105">
        <f t="shared" si="28"/>
        <v>-186142840</v>
      </c>
      <c r="AO58" s="105">
        <f t="shared" si="29"/>
        <v>-118080</v>
      </c>
      <c r="AP58" s="105">
        <f t="shared" si="30"/>
        <v>-75.1107266</v>
      </c>
      <c r="AQ58" s="108">
        <f t="shared" si="31"/>
        <v>-77.1842747</v>
      </c>
      <c r="AR58" s="108">
        <f t="shared" si="32"/>
        <v>-34.9107389</v>
      </c>
      <c r="AS58" s="108">
        <f t="shared" si="33"/>
        <v>-38.5189341</v>
      </c>
      <c r="AT58" s="108">
        <f t="shared" si="34"/>
        <v>-38.2169108</v>
      </c>
      <c r="AU58" s="108">
        <f t="shared" si="35"/>
        <v>-51.8494372</v>
      </c>
      <c r="AV58" s="109">
        <f t="shared" si="36"/>
        <v>-32.5101264</v>
      </c>
    </row>
    <row r="59" spans="33:48">
      <c r="AG59" s="105" t="e">
        <f t="shared" si="21"/>
        <v>#VALUE!</v>
      </c>
      <c r="AH59" s="105" t="e">
        <f t="shared" si="22"/>
        <v>#VALUE!</v>
      </c>
      <c r="AI59" s="105">
        <f t="shared" si="23"/>
        <v>-9611840</v>
      </c>
      <c r="AJ59" s="105">
        <f t="shared" si="24"/>
        <v>-50382248</v>
      </c>
      <c r="AK59" s="105">
        <f t="shared" si="25"/>
        <v>-2170624</v>
      </c>
      <c r="AL59" s="105">
        <f t="shared" si="26"/>
        <v>-1606056</v>
      </c>
      <c r="AM59" s="105">
        <f t="shared" si="27"/>
        <v>-12330592</v>
      </c>
      <c r="AN59" s="105">
        <f t="shared" si="28"/>
        <v>-34180328</v>
      </c>
      <c r="AO59" s="105">
        <f t="shared" si="29"/>
        <v>-94648</v>
      </c>
      <c r="AP59" s="105">
        <f t="shared" si="30"/>
        <v>-68.4609251</v>
      </c>
      <c r="AQ59" s="108">
        <f t="shared" si="31"/>
        <v>-69.5785311</v>
      </c>
      <c r="AR59" s="108">
        <f t="shared" si="32"/>
        <v>-36.0530661</v>
      </c>
      <c r="AS59" s="108">
        <f t="shared" si="33"/>
        <v>-46.4530843</v>
      </c>
      <c r="AT59" s="108">
        <f t="shared" si="34"/>
        <v>-46.9470263</v>
      </c>
      <c r="AU59" s="108">
        <f t="shared" si="35"/>
        <v>-45.9842131</v>
      </c>
      <c r="AV59" s="109">
        <f t="shared" si="36"/>
        <v>-32.4345807</v>
      </c>
    </row>
    <row r="60" spans="33:48">
      <c r="AG60" s="105" t="e">
        <f t="shared" si="21"/>
        <v>#VALUE!</v>
      </c>
      <c r="AH60" s="105" t="e">
        <f t="shared" si="22"/>
        <v>#VALUE!</v>
      </c>
      <c r="AI60" s="105">
        <f t="shared" si="23"/>
        <v>-19011856</v>
      </c>
      <c r="AJ60" s="105">
        <f t="shared" si="24"/>
        <v>-95045088</v>
      </c>
      <c r="AK60" s="105">
        <f t="shared" si="25"/>
        <v>-7479600</v>
      </c>
      <c r="AL60" s="105">
        <f t="shared" si="26"/>
        <v>-2115688</v>
      </c>
      <c r="AM60" s="105">
        <f t="shared" si="27"/>
        <v>-23128456</v>
      </c>
      <c r="AN60" s="105">
        <f t="shared" si="28"/>
        <v>-62223896</v>
      </c>
      <c r="AO60" s="105">
        <f t="shared" si="29"/>
        <v>-97448</v>
      </c>
      <c r="AP60" s="105">
        <f t="shared" si="30"/>
        <v>-72.4641452</v>
      </c>
      <c r="AQ60" s="108">
        <f t="shared" si="31"/>
        <v>-74.1029457</v>
      </c>
      <c r="AR60" s="108">
        <f t="shared" si="32"/>
        <v>-37.3701156</v>
      </c>
      <c r="AS60" s="108">
        <f t="shared" si="33"/>
        <v>-47.1924867</v>
      </c>
      <c r="AT60" s="108">
        <f t="shared" si="34"/>
        <v>-47.7815396</v>
      </c>
      <c r="AU60" s="108">
        <f t="shared" si="35"/>
        <v>-48.3154021</v>
      </c>
      <c r="AV60" s="109">
        <f t="shared" si="36"/>
        <v>-34.6438591</v>
      </c>
    </row>
    <row r="61" spans="33:48">
      <c r="AG61" s="105" t="e">
        <f t="shared" si="21"/>
        <v>#VALUE!</v>
      </c>
      <c r="AH61" s="105" t="e">
        <f t="shared" si="22"/>
        <v>#VALUE!</v>
      </c>
      <c r="AI61" s="105">
        <f t="shared" si="23"/>
        <v>-20935328</v>
      </c>
      <c r="AJ61" s="105">
        <f t="shared" si="24"/>
        <v>-122581336</v>
      </c>
      <c r="AK61" s="105">
        <f t="shared" si="25"/>
        <v>-8537584</v>
      </c>
      <c r="AL61" s="105">
        <f t="shared" si="26"/>
        <v>-2201648</v>
      </c>
      <c r="AM61" s="105">
        <f t="shared" si="27"/>
        <v>-26666256</v>
      </c>
      <c r="AN61" s="105">
        <f t="shared" si="28"/>
        <v>-85078336</v>
      </c>
      <c r="AO61" s="105">
        <f t="shared" si="29"/>
        <v>-97512</v>
      </c>
      <c r="AP61" s="105">
        <f t="shared" si="30"/>
        <v>-73.0307456</v>
      </c>
      <c r="AQ61" s="108">
        <f t="shared" si="31"/>
        <v>-74.7664345</v>
      </c>
      <c r="AR61" s="108">
        <f t="shared" si="32"/>
        <v>-38.2139126</v>
      </c>
      <c r="AS61" s="108">
        <f t="shared" si="33"/>
        <v>-47.5127845</v>
      </c>
      <c r="AT61" s="108">
        <f t="shared" si="34"/>
        <v>-48.119196</v>
      </c>
      <c r="AU61" s="108">
        <f t="shared" si="35"/>
        <v>-48.6489457</v>
      </c>
      <c r="AV61" s="109">
        <f t="shared" si="36"/>
        <v>-35.2692655</v>
      </c>
    </row>
    <row r="62" spans="33:48">
      <c r="AG62" s="105" t="e">
        <f t="shared" si="21"/>
        <v>#VALUE!</v>
      </c>
      <c r="AH62" s="105" t="e">
        <f t="shared" si="22"/>
        <v>#VALUE!</v>
      </c>
      <c r="AI62" s="105">
        <f t="shared" si="23"/>
        <v>-22847344</v>
      </c>
      <c r="AJ62" s="105">
        <f t="shared" si="24"/>
        <v>-157987976</v>
      </c>
      <c r="AK62" s="105">
        <f t="shared" si="25"/>
        <v>-9746096</v>
      </c>
      <c r="AL62" s="105">
        <f t="shared" si="26"/>
        <v>-2297400</v>
      </c>
      <c r="AM62" s="105">
        <f t="shared" si="27"/>
        <v>-28531824</v>
      </c>
      <c r="AN62" s="105">
        <f t="shared" si="28"/>
        <v>-117314072</v>
      </c>
      <c r="AO62" s="105">
        <f t="shared" si="29"/>
        <v>-98584</v>
      </c>
      <c r="AP62" s="105">
        <f t="shared" si="30"/>
        <v>-73.4941239</v>
      </c>
      <c r="AQ62" s="108">
        <f t="shared" si="31"/>
        <v>-75.3217606</v>
      </c>
      <c r="AR62" s="108">
        <f t="shared" si="32"/>
        <v>-38.9665738</v>
      </c>
      <c r="AS62" s="108">
        <f t="shared" si="33"/>
        <v>-48.2205308</v>
      </c>
      <c r="AT62" s="108">
        <f t="shared" si="34"/>
        <v>-48.8833904</v>
      </c>
      <c r="AU62" s="108">
        <f t="shared" si="35"/>
        <v>-48.9204662</v>
      </c>
      <c r="AV62" s="109">
        <f t="shared" si="36"/>
        <v>-35.7804174</v>
      </c>
    </row>
    <row r="63" spans="33:48">
      <c r="AG63" s="105" t="e">
        <f t="shared" si="21"/>
        <v>#VALUE!</v>
      </c>
      <c r="AH63" s="105" t="e">
        <f t="shared" si="22"/>
        <v>#VALUE!</v>
      </c>
      <c r="AI63" s="105">
        <f t="shared" si="23"/>
        <v>-35325296</v>
      </c>
      <c r="AJ63" s="105">
        <f t="shared" si="24"/>
        <v>-216459016</v>
      </c>
      <c r="AK63" s="105">
        <f t="shared" si="25"/>
        <v>-19770392</v>
      </c>
      <c r="AL63" s="105">
        <f t="shared" si="26"/>
        <v>-2433592</v>
      </c>
      <c r="AM63" s="105">
        <f t="shared" si="27"/>
        <v>-38222296</v>
      </c>
      <c r="AN63" s="105">
        <f t="shared" si="28"/>
        <v>-155930008</v>
      </c>
      <c r="AO63" s="105">
        <f t="shared" si="29"/>
        <v>-102728</v>
      </c>
      <c r="AP63" s="105">
        <f t="shared" si="30"/>
        <v>-75.5059447</v>
      </c>
      <c r="AQ63" s="108">
        <f t="shared" si="31"/>
        <v>-77.7984448</v>
      </c>
      <c r="AR63" s="108">
        <f t="shared" si="32"/>
        <v>-39.5141865</v>
      </c>
      <c r="AS63" s="108">
        <f t="shared" si="33"/>
        <v>-48.5917608</v>
      </c>
      <c r="AT63" s="108">
        <f t="shared" si="34"/>
        <v>-49.2598299</v>
      </c>
      <c r="AU63" s="108">
        <f t="shared" si="35"/>
        <v>-50.1950061</v>
      </c>
      <c r="AV63" s="109">
        <f t="shared" si="36"/>
        <v>-36.8226482</v>
      </c>
    </row>
    <row r="64" spans="33:48">
      <c r="AG64" s="105" t="e">
        <f t="shared" si="21"/>
        <v>#VALUE!</v>
      </c>
      <c r="AH64" s="105" t="e">
        <f t="shared" si="22"/>
        <v>#VALUE!</v>
      </c>
      <c r="AI64" s="105">
        <f t="shared" si="23"/>
        <v>-22706944</v>
      </c>
      <c r="AJ64" s="105">
        <f t="shared" si="24"/>
        <v>-30017992</v>
      </c>
      <c r="AK64" s="105">
        <f t="shared" si="25"/>
        <v>-6498680</v>
      </c>
      <c r="AL64" s="105">
        <f t="shared" si="26"/>
        <v>0</v>
      </c>
      <c r="AM64" s="105">
        <f t="shared" si="27"/>
        <v>-4461152</v>
      </c>
      <c r="AN64" s="105">
        <f t="shared" si="28"/>
        <v>-18935528</v>
      </c>
      <c r="AO64" s="105">
        <f t="shared" si="29"/>
        <v>-122632</v>
      </c>
      <c r="AP64" s="105">
        <f t="shared" si="30"/>
        <v>-71.424398</v>
      </c>
      <c r="AQ64" s="108">
        <f t="shared" si="31"/>
        <v>-72.7933203</v>
      </c>
      <c r="AR64" s="108">
        <f t="shared" si="32"/>
        <v>-35.7513932</v>
      </c>
      <c r="AS64" s="108">
        <f t="shared" si="33"/>
        <v>-43.3182183</v>
      </c>
      <c r="AT64" s="108">
        <f t="shared" si="34"/>
        <v>-45.1129261</v>
      </c>
      <c r="AU64" s="108">
        <f t="shared" si="35"/>
        <v>-45.7781579</v>
      </c>
      <c r="AV64" s="109">
        <f t="shared" si="36"/>
        <v>-32.5285301</v>
      </c>
    </row>
    <row r="65" spans="33:48">
      <c r="AG65" s="105" t="e">
        <f t="shared" si="21"/>
        <v>#VALUE!</v>
      </c>
      <c r="AH65" s="105" t="e">
        <f t="shared" si="22"/>
        <v>#VALUE!</v>
      </c>
      <c r="AI65" s="105">
        <f t="shared" si="23"/>
        <v>-22706944</v>
      </c>
      <c r="AJ65" s="105">
        <f t="shared" si="24"/>
        <v>-49816912</v>
      </c>
      <c r="AK65" s="105">
        <f t="shared" si="25"/>
        <v>-7078376</v>
      </c>
      <c r="AL65" s="105">
        <f t="shared" si="26"/>
        <v>0</v>
      </c>
      <c r="AM65" s="105">
        <f t="shared" si="27"/>
        <v>-6756600</v>
      </c>
      <c r="AN65" s="105">
        <f t="shared" si="28"/>
        <v>-35858832</v>
      </c>
      <c r="AO65" s="105">
        <f t="shared" si="29"/>
        <v>-123104</v>
      </c>
      <c r="AP65" s="105">
        <f t="shared" si="30"/>
        <v>-73.136002</v>
      </c>
      <c r="AQ65" s="108">
        <f t="shared" si="31"/>
        <v>-74.7056037</v>
      </c>
      <c r="AR65" s="108">
        <f t="shared" si="32"/>
        <v>-38.5598333</v>
      </c>
      <c r="AS65" s="108">
        <f t="shared" si="33"/>
        <v>-43.9458328</v>
      </c>
      <c r="AT65" s="108">
        <f t="shared" si="34"/>
        <v>-46.3806659</v>
      </c>
      <c r="AU65" s="108">
        <f t="shared" si="35"/>
        <v>-46.6052099</v>
      </c>
      <c r="AV65" s="109">
        <f t="shared" si="36"/>
        <v>-34.218029</v>
      </c>
    </row>
    <row r="66" spans="33:48">
      <c r="AG66" s="105" t="e">
        <f t="shared" si="21"/>
        <v>#VALUE!</v>
      </c>
      <c r="AH66" s="105" t="e">
        <f t="shared" si="22"/>
        <v>#VALUE!</v>
      </c>
      <c r="AI66" s="105">
        <f t="shared" si="23"/>
        <v>-45429504</v>
      </c>
      <c r="AJ66" s="105">
        <f t="shared" si="24"/>
        <v>-96609168</v>
      </c>
      <c r="AK66" s="105">
        <f t="shared" si="25"/>
        <v>-11896176</v>
      </c>
      <c r="AL66" s="105">
        <f t="shared" si="26"/>
        <v>0</v>
      </c>
      <c r="AM66" s="105">
        <f t="shared" si="27"/>
        <v>-14822088</v>
      </c>
      <c r="AN66" s="105">
        <f t="shared" si="28"/>
        <v>-69769432</v>
      </c>
      <c r="AO66" s="105">
        <f t="shared" si="29"/>
        <v>-121472</v>
      </c>
      <c r="AP66" s="105">
        <f t="shared" si="30"/>
        <v>-77.8486858</v>
      </c>
      <c r="AQ66" s="108">
        <f t="shared" si="31"/>
        <v>-80.3164287</v>
      </c>
      <c r="AR66" s="108">
        <f t="shared" si="32"/>
        <v>-41.2109023</v>
      </c>
      <c r="AS66" s="108">
        <f t="shared" si="33"/>
        <v>-44.8143709</v>
      </c>
      <c r="AT66" s="108">
        <f t="shared" si="34"/>
        <v>-48.0547325</v>
      </c>
      <c r="AU66" s="108">
        <f t="shared" si="35"/>
        <v>-48.9801166</v>
      </c>
      <c r="AV66" s="109">
        <f t="shared" si="36"/>
        <v>-37.3580026</v>
      </c>
    </row>
    <row r="67" spans="33:48">
      <c r="AG67" s="105" t="e">
        <f t="shared" si="21"/>
        <v>#VALUE!</v>
      </c>
      <c r="AH67" s="105" t="e">
        <f t="shared" si="22"/>
        <v>#VALUE!</v>
      </c>
      <c r="AI67" s="105">
        <f t="shared" si="23"/>
        <v>-90872832</v>
      </c>
      <c r="AJ67" s="105">
        <f t="shared" si="24"/>
        <v>-137878776</v>
      </c>
      <c r="AK67" s="105">
        <f t="shared" si="25"/>
        <v>-20499640</v>
      </c>
      <c r="AL67" s="105">
        <f t="shared" si="26"/>
        <v>0</v>
      </c>
      <c r="AM67" s="105">
        <f t="shared" si="27"/>
        <v>-16026072</v>
      </c>
      <c r="AN67" s="105">
        <f t="shared" si="28"/>
        <v>-101231920</v>
      </c>
      <c r="AO67" s="105">
        <f t="shared" si="29"/>
        <v>-121144</v>
      </c>
      <c r="AP67" s="105">
        <f t="shared" si="30"/>
        <v>-79.1678246</v>
      </c>
      <c r="AQ67" s="108">
        <f t="shared" si="31"/>
        <v>-82.1100624</v>
      </c>
      <c r="AR67" s="108">
        <f t="shared" si="32"/>
        <v>-42.2150226</v>
      </c>
      <c r="AS67" s="108">
        <f t="shared" si="33"/>
        <v>-45.5069418</v>
      </c>
      <c r="AT67" s="108">
        <f t="shared" si="34"/>
        <v>-49.1991158</v>
      </c>
      <c r="AU67" s="108">
        <f t="shared" si="35"/>
        <v>-49.9238299</v>
      </c>
      <c r="AV67" s="109">
        <f t="shared" si="36"/>
        <v>-38.4934811</v>
      </c>
    </row>
    <row r="68" spans="33:48">
      <c r="AG68" s="105" t="e">
        <f t="shared" si="21"/>
        <v>#VALUE!</v>
      </c>
      <c r="AH68" s="105" t="e">
        <f t="shared" si="22"/>
        <v>#VALUE!</v>
      </c>
      <c r="AI68" s="105">
        <f t="shared" si="23"/>
        <v>-90872832</v>
      </c>
      <c r="AJ68" s="105">
        <f t="shared" si="24"/>
        <v>-206434504</v>
      </c>
      <c r="AK68" s="105">
        <f t="shared" si="25"/>
        <v>-20499640</v>
      </c>
      <c r="AL68" s="105">
        <f t="shared" si="26"/>
        <v>0</v>
      </c>
      <c r="AM68" s="105">
        <f t="shared" si="27"/>
        <v>-18061544</v>
      </c>
      <c r="AN68" s="105">
        <f t="shared" si="28"/>
        <v>-167751632</v>
      </c>
      <c r="AO68" s="105">
        <f t="shared" si="29"/>
        <v>-121688</v>
      </c>
      <c r="AP68" s="105">
        <f t="shared" si="30"/>
        <v>-79.5199955</v>
      </c>
      <c r="AQ68" s="108">
        <f t="shared" si="31"/>
        <v>-82.6341907</v>
      </c>
      <c r="AR68" s="108">
        <f t="shared" si="32"/>
        <v>-43.2545719</v>
      </c>
      <c r="AS68" s="108">
        <f t="shared" si="33"/>
        <v>-46.4572272</v>
      </c>
      <c r="AT68" s="108">
        <f t="shared" si="34"/>
        <v>-50.4825422</v>
      </c>
      <c r="AU68" s="108">
        <f t="shared" si="35"/>
        <v>-50.1259526</v>
      </c>
      <c r="AV68" s="109">
        <f t="shared" si="36"/>
        <v>-39.0468408</v>
      </c>
    </row>
    <row r="69" spans="33:48">
      <c r="AG69" s="105" t="e">
        <f t="shared" si="21"/>
        <v>#VALUE!</v>
      </c>
      <c r="AH69" s="105" t="e">
        <f t="shared" si="22"/>
        <v>#VALUE!</v>
      </c>
      <c r="AI69" s="105">
        <f t="shared" si="23"/>
        <v>-22662720</v>
      </c>
      <c r="AJ69" s="105">
        <f t="shared" si="24"/>
        <v>-28732680</v>
      </c>
      <c r="AK69" s="105">
        <f t="shared" si="25"/>
        <v>-6345432</v>
      </c>
      <c r="AL69" s="105">
        <f t="shared" si="26"/>
        <v>0</v>
      </c>
      <c r="AM69" s="105">
        <f t="shared" si="27"/>
        <v>-4209784</v>
      </c>
      <c r="AN69" s="105">
        <f t="shared" si="28"/>
        <v>-18055768</v>
      </c>
      <c r="AO69" s="105">
        <f t="shared" si="29"/>
        <v>-121696</v>
      </c>
      <c r="AP69" s="105">
        <f t="shared" si="30"/>
        <v>-71.6368782</v>
      </c>
      <c r="AQ69" s="108">
        <f t="shared" si="31"/>
        <v>-73.0426226</v>
      </c>
      <c r="AR69" s="108">
        <f t="shared" si="32"/>
        <v>-34.6830399</v>
      </c>
      <c r="AS69" s="108">
        <f t="shared" si="33"/>
        <v>-42.8026872</v>
      </c>
      <c r="AT69" s="108">
        <f t="shared" si="34"/>
        <v>-44.1580347</v>
      </c>
      <c r="AU69" s="108">
        <f t="shared" si="35"/>
        <v>-46.8245127</v>
      </c>
      <c r="AV69" s="109">
        <f t="shared" si="36"/>
        <v>-31.6924547</v>
      </c>
    </row>
    <row r="70" spans="33:48">
      <c r="AG70" s="105" t="e">
        <f t="shared" si="21"/>
        <v>#VALUE!</v>
      </c>
      <c r="AH70" s="105" t="e">
        <f t="shared" si="22"/>
        <v>#VALUE!</v>
      </c>
      <c r="AI70" s="105">
        <f t="shared" si="23"/>
        <v>-22662720</v>
      </c>
      <c r="AJ70" s="105">
        <f t="shared" si="24"/>
        <v>-48607856</v>
      </c>
      <c r="AK70" s="105">
        <f t="shared" si="25"/>
        <v>-6915384</v>
      </c>
      <c r="AL70" s="105">
        <f t="shared" si="26"/>
        <v>0</v>
      </c>
      <c r="AM70" s="105">
        <f t="shared" si="27"/>
        <v>-4663048</v>
      </c>
      <c r="AN70" s="105">
        <f t="shared" si="28"/>
        <v>-36904928</v>
      </c>
      <c r="AO70" s="105">
        <f t="shared" si="29"/>
        <v>-124496</v>
      </c>
      <c r="AP70" s="105">
        <f t="shared" si="30"/>
        <v>-72.1006018</v>
      </c>
      <c r="AQ70" s="108">
        <f t="shared" si="31"/>
        <v>-73.5638279</v>
      </c>
      <c r="AR70" s="108">
        <f t="shared" si="32"/>
        <v>-37.5225236</v>
      </c>
      <c r="AS70" s="108">
        <f t="shared" si="33"/>
        <v>-43.9659025</v>
      </c>
      <c r="AT70" s="108">
        <f t="shared" si="34"/>
        <v>-46.0310191</v>
      </c>
      <c r="AU70" s="108">
        <f t="shared" si="35"/>
        <v>-47.0418709</v>
      </c>
      <c r="AV70" s="109">
        <f t="shared" si="36"/>
        <v>-32.9791613</v>
      </c>
    </row>
    <row r="71" spans="33:48">
      <c r="AG71" s="105" t="e">
        <f t="shared" si="21"/>
        <v>#VALUE!</v>
      </c>
      <c r="AH71" s="105" t="e">
        <f t="shared" si="22"/>
        <v>#VALUE!</v>
      </c>
      <c r="AI71" s="105">
        <f t="shared" si="23"/>
        <v>-45333632</v>
      </c>
      <c r="AJ71" s="105">
        <f t="shared" si="24"/>
        <v>-96615384</v>
      </c>
      <c r="AK71" s="105">
        <f t="shared" si="25"/>
        <v>-10580056</v>
      </c>
      <c r="AL71" s="105">
        <f t="shared" si="26"/>
        <v>0</v>
      </c>
      <c r="AM71" s="105">
        <f t="shared" si="27"/>
        <v>-14343184</v>
      </c>
      <c r="AN71" s="105">
        <f t="shared" si="28"/>
        <v>-71570736</v>
      </c>
      <c r="AO71" s="105">
        <f t="shared" si="29"/>
        <v>-121408</v>
      </c>
      <c r="AP71" s="105">
        <f t="shared" si="30"/>
        <v>-77.9595187</v>
      </c>
      <c r="AQ71" s="108">
        <f t="shared" si="31"/>
        <v>-80.5860419</v>
      </c>
      <c r="AR71" s="108">
        <f t="shared" si="32"/>
        <v>-40.4808908</v>
      </c>
      <c r="AS71" s="108">
        <f t="shared" si="33"/>
        <v>-45.2059607</v>
      </c>
      <c r="AT71" s="108">
        <f t="shared" si="34"/>
        <v>-48.0927237</v>
      </c>
      <c r="AU71" s="108">
        <f t="shared" si="35"/>
        <v>-50.015318</v>
      </c>
      <c r="AV71" s="109">
        <f t="shared" si="36"/>
        <v>-36.799207</v>
      </c>
    </row>
    <row r="72" spans="33:48">
      <c r="AG72" s="105" t="e">
        <f t="shared" si="21"/>
        <v>#VALUE!</v>
      </c>
      <c r="AH72" s="105" t="e">
        <f t="shared" si="22"/>
        <v>#VALUE!</v>
      </c>
      <c r="AI72" s="105">
        <f t="shared" si="23"/>
        <v>-90678336</v>
      </c>
      <c r="AJ72" s="105">
        <f t="shared" si="24"/>
        <v>-137166376</v>
      </c>
      <c r="AK72" s="105">
        <f t="shared" si="25"/>
        <v>-22357944</v>
      </c>
      <c r="AL72" s="105">
        <f t="shared" si="26"/>
        <v>0</v>
      </c>
      <c r="AM72" s="105">
        <f t="shared" si="27"/>
        <v>-12944352</v>
      </c>
      <c r="AN72" s="105">
        <f t="shared" si="28"/>
        <v>-101741080</v>
      </c>
      <c r="AO72" s="105">
        <f t="shared" si="29"/>
        <v>-123000</v>
      </c>
      <c r="AP72" s="105">
        <f t="shared" si="30"/>
        <v>-78.8589656</v>
      </c>
      <c r="AQ72" s="108">
        <f t="shared" si="31"/>
        <v>-81.8200717</v>
      </c>
      <c r="AR72" s="108">
        <f t="shared" si="32"/>
        <v>-41.4986742</v>
      </c>
      <c r="AS72" s="108">
        <f t="shared" si="33"/>
        <v>-45.7312858</v>
      </c>
      <c r="AT72" s="108">
        <f t="shared" si="34"/>
        <v>-48.8417614</v>
      </c>
      <c r="AU72" s="108">
        <f t="shared" si="35"/>
        <v>-50.7961267</v>
      </c>
      <c r="AV72" s="109">
        <f t="shared" si="36"/>
        <v>-37.7415303</v>
      </c>
    </row>
    <row r="73" spans="33:48">
      <c r="AG73" s="105" t="e">
        <f t="shared" si="21"/>
        <v>#VALUE!</v>
      </c>
      <c r="AH73" s="105" t="e">
        <f t="shared" si="22"/>
        <v>#VALUE!</v>
      </c>
      <c r="AI73" s="105">
        <f t="shared" si="23"/>
        <v>-90678336</v>
      </c>
      <c r="AJ73" s="105">
        <f t="shared" si="24"/>
        <v>-204329096</v>
      </c>
      <c r="AK73" s="105">
        <f t="shared" si="25"/>
        <v>-20162136</v>
      </c>
      <c r="AL73" s="105">
        <f t="shared" si="26"/>
        <v>0</v>
      </c>
      <c r="AM73" s="105">
        <f t="shared" si="27"/>
        <v>-17130832</v>
      </c>
      <c r="AN73" s="105">
        <f t="shared" si="28"/>
        <v>-166916008</v>
      </c>
      <c r="AO73" s="105">
        <f t="shared" si="29"/>
        <v>-120120</v>
      </c>
      <c r="AP73" s="105">
        <f t="shared" si="30"/>
        <v>-79.5515178</v>
      </c>
      <c r="AQ73" s="108">
        <f t="shared" si="31"/>
        <v>-82.8825684</v>
      </c>
      <c r="AR73" s="108">
        <f t="shared" si="32"/>
        <v>-42.4979889</v>
      </c>
      <c r="AS73" s="108">
        <f t="shared" si="33"/>
        <v>-46.8028592</v>
      </c>
      <c r="AT73" s="108">
        <f t="shared" si="34"/>
        <v>-50.1935421</v>
      </c>
      <c r="AU73" s="108">
        <f t="shared" si="35"/>
        <v>-51.1814658</v>
      </c>
      <c r="AV73" s="109">
        <f t="shared" si="36"/>
        <v>-38.511491</v>
      </c>
    </row>
    <row r="74" spans="33:48">
      <c r="AG74" s="105" t="e">
        <f t="shared" si="21"/>
        <v>#VALUE!</v>
      </c>
      <c r="AH74" s="105" t="e">
        <f t="shared" si="22"/>
        <v>#VALUE!</v>
      </c>
      <c r="AI74" s="105">
        <f t="shared" ref="AI74:AV78" si="37">AI25-N25</f>
        <v>-23021184</v>
      </c>
      <c r="AJ74" s="105">
        <f t="shared" si="37"/>
        <v>-41936520</v>
      </c>
      <c r="AK74" s="105">
        <f t="shared" si="37"/>
        <v>-6289792</v>
      </c>
      <c r="AL74" s="105">
        <f t="shared" si="37"/>
        <v>0</v>
      </c>
      <c r="AM74" s="105">
        <f t="shared" si="37"/>
        <v>-4984208</v>
      </c>
      <c r="AN74" s="105">
        <f t="shared" si="37"/>
        <v>-30540928</v>
      </c>
      <c r="AO74" s="105">
        <f t="shared" si="37"/>
        <v>-121592</v>
      </c>
      <c r="AP74" s="105">
        <f t="shared" si="37"/>
        <v>-74.3686974</v>
      </c>
      <c r="AQ74" s="108">
        <f t="shared" si="37"/>
        <v>-76.2503624</v>
      </c>
      <c r="AR74" s="108">
        <f t="shared" si="37"/>
        <v>-31.1854999</v>
      </c>
      <c r="AS74" s="108">
        <f t="shared" si="37"/>
        <v>-39.9282093</v>
      </c>
      <c r="AT74" s="108">
        <f t="shared" si="37"/>
        <v>-36.6218507</v>
      </c>
      <c r="AU74" s="108">
        <f t="shared" si="37"/>
        <v>-45.087157</v>
      </c>
      <c r="AV74" s="109">
        <f t="shared" si="37"/>
        <v>-28.3240479</v>
      </c>
    </row>
    <row r="75" spans="33:48">
      <c r="AG75" s="105" t="e">
        <f t="shared" si="21"/>
        <v>#VALUE!</v>
      </c>
      <c r="AH75" s="105" t="e">
        <f t="shared" si="22"/>
        <v>#VALUE!</v>
      </c>
      <c r="AI75" s="105">
        <f t="shared" si="37"/>
        <v>-46064000</v>
      </c>
      <c r="AJ75" s="105">
        <f t="shared" si="37"/>
        <v>-81941896</v>
      </c>
      <c r="AK75" s="105">
        <f t="shared" si="37"/>
        <v>-10590528</v>
      </c>
      <c r="AL75" s="105">
        <f t="shared" si="37"/>
        <v>0</v>
      </c>
      <c r="AM75" s="105">
        <f t="shared" si="37"/>
        <v>-7278352</v>
      </c>
      <c r="AN75" s="105">
        <f t="shared" si="37"/>
        <v>-63949744</v>
      </c>
      <c r="AO75" s="105">
        <f t="shared" si="37"/>
        <v>-123272</v>
      </c>
      <c r="AP75" s="105">
        <f t="shared" si="37"/>
        <v>-77.3029332</v>
      </c>
      <c r="AQ75" s="108">
        <f t="shared" si="37"/>
        <v>-79.7716723</v>
      </c>
      <c r="AR75" s="108">
        <f t="shared" si="37"/>
        <v>-33.5074045</v>
      </c>
      <c r="AS75" s="108">
        <f t="shared" si="37"/>
        <v>-41.8417944</v>
      </c>
      <c r="AT75" s="108">
        <f t="shared" si="37"/>
        <v>-39.4681248</v>
      </c>
      <c r="AU75" s="108">
        <f t="shared" si="37"/>
        <v>-46.6791412</v>
      </c>
      <c r="AV75" s="109">
        <f t="shared" si="37"/>
        <v>-31.0640945</v>
      </c>
    </row>
    <row r="76" spans="33:48">
      <c r="AG76" s="105" t="e">
        <f t="shared" si="21"/>
        <v>#VALUE!</v>
      </c>
      <c r="AH76" s="105" t="e">
        <f t="shared" si="22"/>
        <v>#VALUE!</v>
      </c>
      <c r="AI76" s="105">
        <f t="shared" si="37"/>
        <v>-92146368</v>
      </c>
      <c r="AJ76" s="105">
        <f t="shared" si="37"/>
        <v>-120069544</v>
      </c>
      <c r="AK76" s="105">
        <f t="shared" si="37"/>
        <v>-20113928</v>
      </c>
      <c r="AL76" s="105">
        <f t="shared" si="37"/>
        <v>0</v>
      </c>
      <c r="AM76" s="105">
        <f t="shared" si="37"/>
        <v>-6081256</v>
      </c>
      <c r="AN76" s="105">
        <f t="shared" si="37"/>
        <v>-93755744</v>
      </c>
      <c r="AO76" s="105">
        <f t="shared" si="37"/>
        <v>-118616</v>
      </c>
      <c r="AP76" s="105">
        <f t="shared" si="37"/>
        <v>-79.125771</v>
      </c>
      <c r="AQ76" s="108">
        <f t="shared" si="37"/>
        <v>-82.0806177</v>
      </c>
      <c r="AR76" s="108">
        <f t="shared" si="37"/>
        <v>-34.5708727</v>
      </c>
      <c r="AS76" s="108">
        <f t="shared" si="37"/>
        <v>-43.2034296</v>
      </c>
      <c r="AT76" s="108">
        <f t="shared" si="37"/>
        <v>-41.2769254</v>
      </c>
      <c r="AU76" s="108">
        <f t="shared" si="37"/>
        <v>-47.9738842</v>
      </c>
      <c r="AV76" s="109">
        <f t="shared" si="37"/>
        <v>-32.3190431</v>
      </c>
    </row>
    <row r="77" spans="33:48">
      <c r="AG77" s="105" t="e">
        <f t="shared" si="21"/>
        <v>#VALUE!</v>
      </c>
      <c r="AH77" s="105" t="e">
        <f t="shared" si="22"/>
        <v>#VALUE!</v>
      </c>
      <c r="AI77" s="105">
        <f t="shared" si="37"/>
        <v>-184310144</v>
      </c>
      <c r="AJ77" s="105">
        <f t="shared" si="37"/>
        <v>-171647280</v>
      </c>
      <c r="AK77" s="105">
        <f t="shared" si="37"/>
        <v>-39366688</v>
      </c>
      <c r="AL77" s="105">
        <f t="shared" si="37"/>
        <v>0</v>
      </c>
      <c r="AM77" s="105">
        <f t="shared" si="37"/>
        <v>-5654504</v>
      </c>
      <c r="AN77" s="105">
        <f t="shared" si="37"/>
        <v>-126511448</v>
      </c>
      <c r="AO77" s="105">
        <f t="shared" si="37"/>
        <v>-114640</v>
      </c>
      <c r="AP77" s="105">
        <f t="shared" si="37"/>
        <v>-80.7573316</v>
      </c>
      <c r="AQ77" s="108">
        <f t="shared" si="37"/>
        <v>-84.4431071</v>
      </c>
      <c r="AR77" s="108">
        <f t="shared" si="37"/>
        <v>-35.3395869</v>
      </c>
      <c r="AS77" s="108">
        <f t="shared" si="37"/>
        <v>-43.5506386</v>
      </c>
      <c r="AT77" s="108">
        <f t="shared" si="37"/>
        <v>-41.7599776</v>
      </c>
      <c r="AU77" s="108">
        <f t="shared" si="37"/>
        <v>-49.3696344</v>
      </c>
      <c r="AV77" s="109">
        <f t="shared" si="37"/>
        <v>-33.5445483</v>
      </c>
    </row>
    <row r="78" spans="33:48">
      <c r="AG78" s="105" t="e">
        <f t="shared" si="21"/>
        <v>#VALUE!</v>
      </c>
      <c r="AH78" s="105" t="e">
        <f t="shared" si="22"/>
        <v>#VALUE!</v>
      </c>
      <c r="AI78" s="105">
        <f t="shared" si="37"/>
        <v>-138237904</v>
      </c>
      <c r="AJ78" s="105">
        <f t="shared" si="37"/>
        <v>-254887208</v>
      </c>
      <c r="AK78" s="105">
        <f t="shared" si="37"/>
        <v>-85192808</v>
      </c>
      <c r="AL78" s="105">
        <f t="shared" si="37"/>
        <v>0</v>
      </c>
      <c r="AM78" s="105">
        <f t="shared" si="37"/>
        <v>-8175744</v>
      </c>
      <c r="AN78" s="105">
        <f t="shared" si="37"/>
        <v>-161416168</v>
      </c>
      <c r="AO78" s="105">
        <f t="shared" si="37"/>
        <v>-102488</v>
      </c>
      <c r="AP78" s="105">
        <f t="shared" si="37"/>
        <v>-85.154513</v>
      </c>
      <c r="AQ78" s="108">
        <f t="shared" si="37"/>
        <v>-90.9475694</v>
      </c>
      <c r="AR78" s="108">
        <f t="shared" si="37"/>
        <v>-36.0558186</v>
      </c>
      <c r="AS78" s="108">
        <f t="shared" si="37"/>
        <v>-43.8810821</v>
      </c>
      <c r="AT78" s="108">
        <f t="shared" si="37"/>
        <v>-42.2233412</v>
      </c>
      <c r="AU78" s="108">
        <f t="shared" si="37"/>
        <v>-53.3720011</v>
      </c>
      <c r="AV78" s="109">
        <f t="shared" si="37"/>
        <v>-35.2753243</v>
      </c>
    </row>
    <row r="79" spans="33:48">
      <c r="AG79" s="105" t="e">
        <f t="shared" si="21"/>
        <v>#VALUE!</v>
      </c>
      <c r="AH79" s="105" t="e">
        <f t="shared" si="22"/>
        <v>#VALUE!</v>
      </c>
      <c r="AI79" s="105">
        <f t="shared" si="23"/>
        <v>-11249408</v>
      </c>
      <c r="AJ79" s="105">
        <f t="shared" si="24"/>
        <v>-20029112</v>
      </c>
      <c r="AK79" s="105">
        <f t="shared" si="25"/>
        <v>-2257704</v>
      </c>
      <c r="AL79" s="105">
        <f t="shared" si="26"/>
        <v>-245032</v>
      </c>
      <c r="AM79" s="105">
        <f t="shared" si="27"/>
        <v>-2747408</v>
      </c>
      <c r="AN79" s="105">
        <f t="shared" si="28"/>
        <v>-14718072</v>
      </c>
      <c r="AO79" s="105">
        <f t="shared" si="29"/>
        <v>-60896</v>
      </c>
      <c r="AP79" s="105">
        <f t="shared" si="30"/>
        <v>-73.5814624</v>
      </c>
      <c r="AQ79" s="108">
        <f t="shared" si="31"/>
        <v>-75.3128723</v>
      </c>
      <c r="AR79" s="108">
        <f t="shared" si="32"/>
        <v>-38.2196822</v>
      </c>
      <c r="AS79" s="108">
        <f t="shared" si="33"/>
        <v>-44.3779519</v>
      </c>
      <c r="AT79" s="108">
        <f t="shared" si="34"/>
        <v>-43.0222067</v>
      </c>
      <c r="AU79" s="108">
        <f t="shared" si="35"/>
        <v>-48.4553381</v>
      </c>
      <c r="AV79" s="109">
        <f t="shared" si="36"/>
        <v>-34.7480735</v>
      </c>
    </row>
    <row r="80" spans="33:48">
      <c r="AG80" s="105" t="e">
        <f t="shared" si="21"/>
        <v>#VALUE!</v>
      </c>
      <c r="AH80" s="105" t="e">
        <f t="shared" si="22"/>
        <v>#VALUE!</v>
      </c>
      <c r="AI80" s="105">
        <f t="shared" si="23"/>
        <v>-5692320</v>
      </c>
      <c r="AJ80" s="105">
        <f t="shared" si="24"/>
        <v>-40809712</v>
      </c>
      <c r="AK80" s="105">
        <f t="shared" si="25"/>
        <v>-3943200</v>
      </c>
      <c r="AL80" s="105">
        <f t="shared" si="26"/>
        <v>-340520</v>
      </c>
      <c r="AM80" s="105">
        <f t="shared" si="27"/>
        <v>-4540184</v>
      </c>
      <c r="AN80" s="105">
        <f t="shared" si="28"/>
        <v>-31931216</v>
      </c>
      <c r="AO80" s="105">
        <f t="shared" si="29"/>
        <v>-54592</v>
      </c>
      <c r="AP80" s="105">
        <f t="shared" si="30"/>
        <v>-76.2668445</v>
      </c>
      <c r="AQ80" s="108">
        <f t="shared" si="31"/>
        <v>-78.4322372</v>
      </c>
      <c r="AR80" s="108">
        <f t="shared" si="32"/>
        <v>-40.4759344</v>
      </c>
      <c r="AS80" s="108">
        <f t="shared" si="33"/>
        <v>-45.7798589</v>
      </c>
      <c r="AT80" s="108">
        <f t="shared" si="34"/>
        <v>-44.6182611</v>
      </c>
      <c r="AU80" s="108">
        <f t="shared" si="35"/>
        <v>-49.5149246</v>
      </c>
      <c r="AV80" s="109">
        <f t="shared" si="36"/>
        <v>-36.4270794</v>
      </c>
    </row>
    <row r="81" spans="33:48">
      <c r="AG81" s="105" t="e">
        <f t="shared" si="21"/>
        <v>#VALUE!</v>
      </c>
      <c r="AH81" s="105" t="e">
        <f t="shared" si="22"/>
        <v>#VALUE!</v>
      </c>
      <c r="AI81" s="105">
        <f t="shared" si="23"/>
        <v>-22964192</v>
      </c>
      <c r="AJ81" s="105">
        <f t="shared" si="24"/>
        <v>-60522760</v>
      </c>
      <c r="AK81" s="105">
        <f t="shared" si="25"/>
        <v>-11500104</v>
      </c>
      <c r="AL81" s="105">
        <f t="shared" si="26"/>
        <v>-886064</v>
      </c>
      <c r="AM81" s="105">
        <f t="shared" si="27"/>
        <v>-4437648</v>
      </c>
      <c r="AN81" s="105">
        <f t="shared" si="28"/>
        <v>-43645896</v>
      </c>
      <c r="AO81" s="105">
        <f t="shared" si="29"/>
        <v>-53048</v>
      </c>
      <c r="AP81" s="105">
        <f t="shared" si="30"/>
        <v>-79.7269497</v>
      </c>
      <c r="AQ81" s="108">
        <f t="shared" si="31"/>
        <v>-82.8814653</v>
      </c>
      <c r="AR81" s="108">
        <f t="shared" si="32"/>
        <v>-41.5717186</v>
      </c>
      <c r="AS81" s="108">
        <f t="shared" si="33"/>
        <v>-46.5549511</v>
      </c>
      <c r="AT81" s="108">
        <f t="shared" si="34"/>
        <v>-45.5849492</v>
      </c>
      <c r="AU81" s="108">
        <f t="shared" si="35"/>
        <v>-52.0676509</v>
      </c>
      <c r="AV81" s="109">
        <f t="shared" si="36"/>
        <v>-38.7727798</v>
      </c>
    </row>
    <row r="82" spans="33:48">
      <c r="AG82" s="105" t="e">
        <f t="shared" si="21"/>
        <v>#VALUE!</v>
      </c>
      <c r="AH82" s="105" t="e">
        <f t="shared" si="22"/>
        <v>#VALUE!</v>
      </c>
      <c r="AI82" s="105">
        <f t="shared" si="23"/>
        <v>-22964192</v>
      </c>
      <c r="AJ82" s="105">
        <f t="shared" si="24"/>
        <v>-84406248</v>
      </c>
      <c r="AK82" s="105">
        <f t="shared" si="25"/>
        <v>-11500104</v>
      </c>
      <c r="AL82" s="105">
        <f t="shared" si="26"/>
        <v>-886064</v>
      </c>
      <c r="AM82" s="105">
        <f t="shared" si="27"/>
        <v>-9381192</v>
      </c>
      <c r="AN82" s="105">
        <f t="shared" si="28"/>
        <v>-62584904</v>
      </c>
      <c r="AO82" s="105">
        <f t="shared" si="29"/>
        <v>-53984</v>
      </c>
      <c r="AP82" s="105">
        <f t="shared" si="30"/>
        <v>-81.0527995</v>
      </c>
      <c r="AQ82" s="108">
        <f t="shared" si="31"/>
        <v>-85.1075961</v>
      </c>
      <c r="AR82" s="108">
        <f t="shared" si="32"/>
        <v>-42.4453774</v>
      </c>
      <c r="AS82" s="108">
        <f t="shared" si="33"/>
        <v>-47.6312188</v>
      </c>
      <c r="AT82" s="108">
        <f t="shared" si="34"/>
        <v>-46.786614</v>
      </c>
      <c r="AU82" s="108">
        <f t="shared" si="35"/>
        <v>-53.0372532</v>
      </c>
      <c r="AV82" s="109">
        <f t="shared" si="36"/>
        <v>-39.9295952</v>
      </c>
    </row>
    <row r="83" spans="33:48">
      <c r="AG83" s="105" t="e">
        <f t="shared" si="21"/>
        <v>#VALUE!</v>
      </c>
      <c r="AH83" s="105" t="e">
        <f t="shared" si="22"/>
        <v>#VALUE!</v>
      </c>
      <c r="AI83" s="105">
        <f t="shared" si="23"/>
        <v>-57516368</v>
      </c>
      <c r="AJ83" s="105">
        <f t="shared" si="24"/>
        <v>-117605656</v>
      </c>
      <c r="AK83" s="105">
        <f t="shared" si="25"/>
        <v>-26553488</v>
      </c>
      <c r="AL83" s="105">
        <f t="shared" si="26"/>
        <v>-4259272</v>
      </c>
      <c r="AM83" s="105">
        <f t="shared" si="27"/>
        <v>-1668400</v>
      </c>
      <c r="AN83" s="105">
        <f t="shared" si="28"/>
        <v>-85072648</v>
      </c>
      <c r="AO83" s="105">
        <f t="shared" si="29"/>
        <v>-51848</v>
      </c>
      <c r="AP83" s="105">
        <f t="shared" si="30"/>
        <v>-83.9996627</v>
      </c>
      <c r="AQ83" s="108">
        <f t="shared" si="31"/>
        <v>-88.7178295</v>
      </c>
      <c r="AR83" s="108">
        <f t="shared" si="32"/>
        <v>-43.4020238</v>
      </c>
      <c r="AS83" s="108">
        <f t="shared" si="33"/>
        <v>-48.3363728</v>
      </c>
      <c r="AT83" s="108">
        <f t="shared" si="34"/>
        <v>-47.5947734</v>
      </c>
      <c r="AU83" s="108">
        <f t="shared" si="35"/>
        <v>-55.6669218</v>
      </c>
      <c r="AV83" s="109">
        <f t="shared" si="36"/>
        <v>-41.9847139</v>
      </c>
    </row>
    <row r="84" spans="33:48">
      <c r="AG84" s="105" t="e">
        <f t="shared" si="21"/>
        <v>#VALUE!</v>
      </c>
      <c r="AH84" s="105" t="e">
        <f t="shared" si="22"/>
        <v>#VALUE!</v>
      </c>
      <c r="AI84" s="105">
        <f t="shared" si="23"/>
        <v>-34433600</v>
      </c>
      <c r="AJ84" s="105">
        <f t="shared" si="24"/>
        <v>-26551872</v>
      </c>
      <c r="AK84" s="105">
        <f t="shared" si="25"/>
        <v>-3404352</v>
      </c>
      <c r="AL84" s="105">
        <f t="shared" si="26"/>
        <v>-813168</v>
      </c>
      <c r="AM84" s="105">
        <f t="shared" si="27"/>
        <v>-2675408</v>
      </c>
      <c r="AN84" s="105">
        <f t="shared" si="28"/>
        <v>-19544816</v>
      </c>
      <c r="AO84" s="105">
        <f t="shared" si="29"/>
        <v>-114128</v>
      </c>
      <c r="AP84" s="105">
        <f t="shared" si="30"/>
        <v>-73.4189289</v>
      </c>
      <c r="AQ84" s="108">
        <f t="shared" si="31"/>
        <v>-75.1627821</v>
      </c>
      <c r="AR84" s="108">
        <f t="shared" si="32"/>
        <v>-30.2279754</v>
      </c>
      <c r="AS84" s="108">
        <f t="shared" si="33"/>
        <v>-38.9666278</v>
      </c>
      <c r="AT84" s="108">
        <f t="shared" si="34"/>
        <v>-39.003961</v>
      </c>
      <c r="AU84" s="108">
        <f t="shared" si="35"/>
        <v>-48.6555242</v>
      </c>
      <c r="AV84" s="109">
        <f t="shared" si="36"/>
        <v>-29.3914961</v>
      </c>
    </row>
    <row r="85" spans="33:48">
      <c r="AG85" s="105" t="e">
        <f t="shared" si="21"/>
        <v>#VALUE!</v>
      </c>
      <c r="AH85" s="105" t="e">
        <f t="shared" si="22"/>
        <v>#VALUE!</v>
      </c>
      <c r="AI85" s="105">
        <f t="shared" si="23"/>
        <v>-68916608</v>
      </c>
      <c r="AJ85" s="105">
        <f t="shared" si="24"/>
        <v>-37315832</v>
      </c>
      <c r="AK85" s="105">
        <f t="shared" si="25"/>
        <v>-5691272</v>
      </c>
      <c r="AL85" s="105">
        <f t="shared" si="26"/>
        <v>-1439104</v>
      </c>
      <c r="AM85" s="105">
        <f t="shared" si="27"/>
        <v>-1182416</v>
      </c>
      <c r="AN85" s="105">
        <f t="shared" si="28"/>
        <v>-28888336</v>
      </c>
      <c r="AO85" s="105">
        <f t="shared" si="29"/>
        <v>-114704</v>
      </c>
      <c r="AP85" s="105">
        <f t="shared" si="30"/>
        <v>-73.7622312</v>
      </c>
      <c r="AQ85" s="108">
        <f t="shared" si="31"/>
        <v>-75.5204227</v>
      </c>
      <c r="AR85" s="108">
        <f t="shared" si="32"/>
        <v>-30.7064407</v>
      </c>
      <c r="AS85" s="108">
        <f t="shared" si="33"/>
        <v>-39.0886437</v>
      </c>
      <c r="AT85" s="108">
        <f t="shared" si="34"/>
        <v>-39.1786413</v>
      </c>
      <c r="AU85" s="108">
        <f t="shared" si="35"/>
        <v>-48.9337802</v>
      </c>
      <c r="AV85" s="109">
        <f t="shared" si="36"/>
        <v>-29.7338066</v>
      </c>
    </row>
    <row r="86" spans="33:48">
      <c r="AG86" s="105" t="e">
        <f t="shared" si="21"/>
        <v>#VALUE!</v>
      </c>
      <c r="AH86" s="105" t="e">
        <f t="shared" si="22"/>
        <v>#VALUE!</v>
      </c>
      <c r="AI86" s="105">
        <f t="shared" si="23"/>
        <v>-68916608</v>
      </c>
      <c r="AJ86" s="105">
        <f t="shared" si="24"/>
        <v>-55480488</v>
      </c>
      <c r="AK86" s="105">
        <f t="shared" si="25"/>
        <v>-5691272</v>
      </c>
      <c r="AL86" s="105">
        <f t="shared" si="26"/>
        <v>-1439104</v>
      </c>
      <c r="AM86" s="105">
        <f t="shared" si="27"/>
        <v>-4196792</v>
      </c>
      <c r="AN86" s="105">
        <f t="shared" si="28"/>
        <v>-44037336</v>
      </c>
      <c r="AO86" s="105">
        <f t="shared" si="29"/>
        <v>-115984</v>
      </c>
      <c r="AP86" s="105">
        <f t="shared" si="30"/>
        <v>-76.5271388</v>
      </c>
      <c r="AQ86" s="108">
        <f t="shared" si="31"/>
        <v>-78.7886348</v>
      </c>
      <c r="AR86" s="108">
        <f t="shared" si="32"/>
        <v>-31.3397934</v>
      </c>
      <c r="AS86" s="108">
        <f t="shared" si="33"/>
        <v>-39.175565</v>
      </c>
      <c r="AT86" s="108">
        <f t="shared" si="34"/>
        <v>-39.3203915</v>
      </c>
      <c r="AU86" s="108">
        <f t="shared" si="35"/>
        <v>-50.4139002</v>
      </c>
      <c r="AV86" s="109">
        <f t="shared" si="36"/>
        <v>-30.5252918</v>
      </c>
    </row>
    <row r="87" spans="33:48">
      <c r="AG87" s="105" t="e">
        <f t="shared" si="21"/>
        <v>#VALUE!</v>
      </c>
      <c r="AH87" s="105" t="e">
        <f t="shared" si="22"/>
        <v>#VALUE!</v>
      </c>
      <c r="AI87" s="105">
        <f t="shared" si="23"/>
        <v>-137868096</v>
      </c>
      <c r="AJ87" s="105">
        <f t="shared" si="24"/>
        <v>-74329088</v>
      </c>
      <c r="AK87" s="105">
        <f t="shared" si="25"/>
        <v>-11006064</v>
      </c>
      <c r="AL87" s="105">
        <f t="shared" si="26"/>
        <v>-3482088</v>
      </c>
      <c r="AM87" s="105">
        <f t="shared" si="27"/>
        <v>-3764792</v>
      </c>
      <c r="AN87" s="105">
        <f t="shared" si="28"/>
        <v>-55963992</v>
      </c>
      <c r="AO87" s="105">
        <f t="shared" si="29"/>
        <v>-112152</v>
      </c>
      <c r="AP87" s="105">
        <f t="shared" si="30"/>
        <v>-78.9516626</v>
      </c>
      <c r="AQ87" s="108">
        <f t="shared" si="31"/>
        <v>-81.8426152</v>
      </c>
      <c r="AR87" s="108">
        <f t="shared" si="32"/>
        <v>-31.7733887</v>
      </c>
      <c r="AS87" s="108">
        <f t="shared" si="33"/>
        <v>-39.2678077</v>
      </c>
      <c r="AT87" s="108">
        <f t="shared" si="34"/>
        <v>-39.4827248</v>
      </c>
      <c r="AU87" s="108">
        <f t="shared" si="35"/>
        <v>-51.7751192</v>
      </c>
      <c r="AV87" s="109">
        <f t="shared" si="36"/>
        <v>-31.1084623</v>
      </c>
    </row>
    <row r="88" spans="33:48">
      <c r="AG88" s="105" t="e">
        <f t="shared" si="21"/>
        <v>#VALUE!</v>
      </c>
      <c r="AH88" s="105" t="e">
        <f t="shared" si="22"/>
        <v>#VALUE!</v>
      </c>
      <c r="AI88" s="105">
        <f t="shared" si="23"/>
        <v>-206806912</v>
      </c>
      <c r="AJ88" s="105">
        <f t="shared" si="24"/>
        <v>-113828584</v>
      </c>
      <c r="AK88" s="105">
        <f t="shared" si="25"/>
        <v>-16713608</v>
      </c>
      <c r="AL88" s="105">
        <f t="shared" si="26"/>
        <v>-4694032</v>
      </c>
      <c r="AM88" s="105">
        <f t="shared" si="27"/>
        <v>-3340416</v>
      </c>
      <c r="AN88" s="105">
        <f t="shared" si="28"/>
        <v>-88970768</v>
      </c>
      <c r="AO88" s="105">
        <f t="shared" si="29"/>
        <v>-109760</v>
      </c>
      <c r="AP88" s="105">
        <f t="shared" si="30"/>
        <v>-80.371546</v>
      </c>
      <c r="AQ88" s="108">
        <f t="shared" si="31"/>
        <v>-83.7599929</v>
      </c>
      <c r="AR88" s="108">
        <f t="shared" si="32"/>
        <v>-32.4868853</v>
      </c>
      <c r="AS88" s="108">
        <f t="shared" si="33"/>
        <v>-39.3431194</v>
      </c>
      <c r="AT88" s="108">
        <f t="shared" si="34"/>
        <v>-39.6113114</v>
      </c>
      <c r="AU88" s="108">
        <f t="shared" si="35"/>
        <v>-52.6378075</v>
      </c>
      <c r="AV88" s="109">
        <f t="shared" si="36"/>
        <v>-31.8292091</v>
      </c>
    </row>
    <row r="89" spans="33:48">
      <c r="AG89" s="105" t="e">
        <f t="shared" si="21"/>
        <v>#VALUE!</v>
      </c>
      <c r="AH89" s="105" t="e">
        <f t="shared" si="22"/>
        <v>#VALUE!</v>
      </c>
      <c r="AI89" s="105">
        <f t="shared" si="23"/>
        <v>-34506112</v>
      </c>
      <c r="AJ89" s="105">
        <f t="shared" si="24"/>
        <v>-29532416</v>
      </c>
      <c r="AK89" s="105">
        <f t="shared" si="25"/>
        <v>-3186816</v>
      </c>
      <c r="AL89" s="105">
        <f t="shared" si="26"/>
        <v>-276192</v>
      </c>
      <c r="AM89" s="105">
        <f t="shared" si="27"/>
        <v>-2831576</v>
      </c>
      <c r="AN89" s="105">
        <f t="shared" si="28"/>
        <v>-23121248</v>
      </c>
      <c r="AO89" s="105">
        <f t="shared" si="29"/>
        <v>-116584</v>
      </c>
      <c r="AP89" s="105">
        <f t="shared" si="30"/>
        <v>-74.6562536</v>
      </c>
      <c r="AQ89" s="108">
        <f t="shared" si="31"/>
        <v>-76.2798794</v>
      </c>
      <c r="AR89" s="108">
        <f t="shared" si="32"/>
        <v>-33.3440224</v>
      </c>
      <c r="AS89" s="108">
        <f t="shared" si="33"/>
        <v>-42.564777</v>
      </c>
      <c r="AT89" s="108">
        <f t="shared" si="34"/>
        <v>-42.8876548</v>
      </c>
      <c r="AU89" s="108">
        <f t="shared" si="35"/>
        <v>-49.396476</v>
      </c>
      <c r="AV89" s="109">
        <f t="shared" si="36"/>
        <v>-32.5445132</v>
      </c>
    </row>
    <row r="90" spans="33:48">
      <c r="AG90" s="105" t="e">
        <f t="shared" si="21"/>
        <v>#VALUE!</v>
      </c>
      <c r="AH90" s="105" t="e">
        <f t="shared" si="22"/>
        <v>#VALUE!</v>
      </c>
      <c r="AI90" s="105">
        <f t="shared" si="23"/>
        <v>-69038912</v>
      </c>
      <c r="AJ90" s="105">
        <f t="shared" si="24"/>
        <v>-38652112</v>
      </c>
      <c r="AK90" s="105">
        <f t="shared" si="25"/>
        <v>-6087632</v>
      </c>
      <c r="AL90" s="105">
        <f t="shared" si="26"/>
        <v>-990016</v>
      </c>
      <c r="AM90" s="105">
        <f t="shared" si="27"/>
        <v>-2908464</v>
      </c>
      <c r="AN90" s="105">
        <f t="shared" si="28"/>
        <v>-28551104</v>
      </c>
      <c r="AO90" s="105">
        <f t="shared" si="29"/>
        <v>-114896</v>
      </c>
      <c r="AP90" s="105">
        <f t="shared" si="30"/>
        <v>-76.6132013</v>
      </c>
      <c r="AQ90" s="108">
        <f t="shared" si="31"/>
        <v>-78.5386871</v>
      </c>
      <c r="AR90" s="108">
        <f t="shared" si="32"/>
        <v>-33.6679082</v>
      </c>
      <c r="AS90" s="108">
        <f t="shared" si="33"/>
        <v>-42.7394061</v>
      </c>
      <c r="AT90" s="108">
        <f t="shared" si="34"/>
        <v>-43.1704783</v>
      </c>
      <c r="AU90" s="108">
        <f t="shared" si="35"/>
        <v>-50.6577647</v>
      </c>
      <c r="AV90" s="109">
        <f t="shared" si="36"/>
        <v>-33.0292572</v>
      </c>
    </row>
    <row r="91" spans="33:48">
      <c r="AG91" s="105" t="e">
        <f t="shared" si="21"/>
        <v>#VALUE!</v>
      </c>
      <c r="AH91" s="105" t="e">
        <f t="shared" si="22"/>
        <v>#VALUE!</v>
      </c>
      <c r="AI91" s="105">
        <f t="shared" si="23"/>
        <v>-138089728</v>
      </c>
      <c r="AJ91" s="105">
        <f t="shared" si="24"/>
        <v>-60192832</v>
      </c>
      <c r="AK91" s="105">
        <f t="shared" si="25"/>
        <v>-10917968</v>
      </c>
      <c r="AL91" s="105">
        <f t="shared" si="26"/>
        <v>-1794216</v>
      </c>
      <c r="AM91" s="105">
        <f t="shared" si="27"/>
        <v>-2133056</v>
      </c>
      <c r="AN91" s="105">
        <f t="shared" si="28"/>
        <v>-45236064</v>
      </c>
      <c r="AO91" s="105">
        <f t="shared" si="29"/>
        <v>-111528</v>
      </c>
      <c r="AP91" s="105">
        <f t="shared" si="30"/>
        <v>-78.4283302</v>
      </c>
      <c r="AQ91" s="108">
        <f t="shared" si="31"/>
        <v>-80.692389</v>
      </c>
      <c r="AR91" s="108">
        <f t="shared" si="32"/>
        <v>-34.2944046</v>
      </c>
      <c r="AS91" s="108">
        <f t="shared" si="33"/>
        <v>-42.8927609</v>
      </c>
      <c r="AT91" s="108">
        <f t="shared" si="34"/>
        <v>-43.4028165</v>
      </c>
      <c r="AU91" s="108">
        <f t="shared" si="35"/>
        <v>-51.7530668</v>
      </c>
      <c r="AV91" s="109">
        <f t="shared" si="36"/>
        <v>-33.6896295</v>
      </c>
    </row>
    <row r="92" spans="33:48">
      <c r="AG92" s="105" t="e">
        <f t="shared" si="21"/>
        <v>#VALUE!</v>
      </c>
      <c r="AH92" s="105" t="e">
        <f t="shared" si="22"/>
        <v>#VALUE!</v>
      </c>
      <c r="AI92" s="105">
        <f t="shared" si="23"/>
        <v>-138089728</v>
      </c>
      <c r="AJ92" s="105">
        <f t="shared" si="24"/>
        <v>-78103832</v>
      </c>
      <c r="AK92" s="105">
        <f t="shared" si="25"/>
        <v>-10917968</v>
      </c>
      <c r="AL92" s="105">
        <f t="shared" si="26"/>
        <v>-1794216</v>
      </c>
      <c r="AM92" s="105">
        <f t="shared" si="27"/>
        <v>-4831416</v>
      </c>
      <c r="AN92" s="105">
        <f t="shared" si="28"/>
        <v>-60447240</v>
      </c>
      <c r="AO92" s="105">
        <f t="shared" si="29"/>
        <v>-112992</v>
      </c>
      <c r="AP92" s="105">
        <f t="shared" si="30"/>
        <v>-79.7351944</v>
      </c>
      <c r="AQ92" s="108">
        <f t="shared" si="31"/>
        <v>-82.4761285</v>
      </c>
      <c r="AR92" s="108">
        <f t="shared" si="32"/>
        <v>-34.3469189</v>
      </c>
      <c r="AS92" s="108">
        <f t="shared" si="33"/>
        <v>-43.0253306</v>
      </c>
      <c r="AT92" s="108">
        <f t="shared" si="34"/>
        <v>-43.5684757</v>
      </c>
      <c r="AU92" s="108">
        <f t="shared" si="35"/>
        <v>-52.462475</v>
      </c>
      <c r="AV92" s="109">
        <f t="shared" si="36"/>
        <v>-33.8370238</v>
      </c>
    </row>
    <row r="93" ht="15.75" customHeight="1" spans="33:48">
      <c r="AG93" s="118" t="e">
        <f t="shared" si="21"/>
        <v>#VALUE!</v>
      </c>
      <c r="AH93" s="118" t="e">
        <f t="shared" si="22"/>
        <v>#VALUE!</v>
      </c>
      <c r="AI93" s="118">
        <f t="shared" si="23"/>
        <v>-207140672</v>
      </c>
      <c r="AJ93" s="118">
        <f t="shared" si="24"/>
        <v>-119573464</v>
      </c>
      <c r="AK93" s="118">
        <f t="shared" si="25"/>
        <v>-15549952</v>
      </c>
      <c r="AL93" s="118">
        <f t="shared" si="26"/>
        <v>-2553648</v>
      </c>
      <c r="AM93" s="118">
        <f t="shared" si="27"/>
        <v>-4710272</v>
      </c>
      <c r="AN93" s="118">
        <f t="shared" si="28"/>
        <v>-96650048</v>
      </c>
      <c r="AO93" s="118">
        <f t="shared" si="29"/>
        <v>-109544</v>
      </c>
      <c r="AP93" s="118">
        <f t="shared" si="30"/>
        <v>-81.1193697</v>
      </c>
      <c r="AQ93" s="119">
        <f t="shared" si="31"/>
        <v>-84.3578627</v>
      </c>
      <c r="AR93" s="119">
        <f t="shared" si="32"/>
        <v>-34.9168171</v>
      </c>
      <c r="AS93" s="119">
        <f t="shared" si="33"/>
        <v>-43.1290567</v>
      </c>
      <c r="AT93" s="119">
        <f t="shared" si="34"/>
        <v>-43.7263848</v>
      </c>
      <c r="AU93" s="119">
        <f t="shared" si="35"/>
        <v>-53.253805</v>
      </c>
      <c r="AV93" s="120">
        <f t="shared" si="36"/>
        <v>-34.4212464</v>
      </c>
    </row>
    <row r="94" spans="33:48">
      <c r="AG94" s="105" t="e">
        <f>#REF!-#REF!</f>
        <v>#REF!</v>
      </c>
      <c r="AH94" s="105" t="e">
        <f>#REF!-#REF!</f>
        <v>#REF!</v>
      </c>
      <c r="AI94" s="105" t="e">
        <f>#REF!-#REF!</f>
        <v>#REF!</v>
      </c>
      <c r="AJ94" s="105" t="e">
        <f>#REF!-#REF!</f>
        <v>#REF!</v>
      </c>
      <c r="AK94" s="105" t="e">
        <f>#REF!-#REF!</f>
        <v>#REF!</v>
      </c>
      <c r="AL94" s="105" t="e">
        <f>#REF!-#REF!</f>
        <v>#REF!</v>
      </c>
      <c r="AM94" s="105" t="e">
        <f>#REF!-#REF!</f>
        <v>#REF!</v>
      </c>
      <c r="AN94" s="105" t="e">
        <f>#REF!-#REF!</f>
        <v>#REF!</v>
      </c>
      <c r="AO94" s="105" t="e">
        <f>#REF!-#REF!</f>
        <v>#REF!</v>
      </c>
      <c r="AP94" s="105" t="e">
        <f>#REF!-#REF!</f>
        <v>#REF!</v>
      </c>
      <c r="AQ94" s="108" t="e">
        <f>#REF!-#REF!</f>
        <v>#REF!</v>
      </c>
      <c r="AR94" s="108" t="e">
        <f>#REF!-#REF!</f>
        <v>#REF!</v>
      </c>
      <c r="AS94" s="108" t="e">
        <f>#REF!-#REF!</f>
        <v>#REF!</v>
      </c>
      <c r="AT94" s="108" t="e">
        <f>#REF!-#REF!</f>
        <v>#REF!</v>
      </c>
      <c r="AU94" s="108" t="e">
        <f>#REF!-#REF!</f>
        <v>#REF!</v>
      </c>
      <c r="AV94" s="109" t="e">
        <f>#REF!-#REF!</f>
        <v>#REF!</v>
      </c>
    </row>
    <row r="95" spans="33:48">
      <c r="AG95" s="105" t="e">
        <f>#REF!-#REF!</f>
        <v>#REF!</v>
      </c>
      <c r="AH95" s="105" t="e">
        <f>#REF!-#REF!</f>
        <v>#REF!</v>
      </c>
      <c r="AI95" s="105" t="e">
        <f>#REF!-#REF!</f>
        <v>#REF!</v>
      </c>
      <c r="AJ95" s="105" t="e">
        <f>#REF!-#REF!</f>
        <v>#REF!</v>
      </c>
      <c r="AK95" s="105" t="e">
        <f>#REF!-#REF!</f>
        <v>#REF!</v>
      </c>
      <c r="AL95" s="105" t="e">
        <f>#REF!-#REF!</f>
        <v>#REF!</v>
      </c>
      <c r="AM95" s="105" t="e">
        <f>#REF!-#REF!</f>
        <v>#REF!</v>
      </c>
      <c r="AN95" s="105" t="e">
        <f>#REF!-#REF!</f>
        <v>#REF!</v>
      </c>
      <c r="AO95" s="105" t="e">
        <f>#REF!-#REF!</f>
        <v>#REF!</v>
      </c>
      <c r="AP95" s="105" t="e">
        <f>#REF!-#REF!</f>
        <v>#REF!</v>
      </c>
      <c r="AQ95" s="108" t="e">
        <f>#REF!-#REF!</f>
        <v>#REF!</v>
      </c>
      <c r="AR95" s="108" t="e">
        <f>#REF!-#REF!</f>
        <v>#REF!</v>
      </c>
      <c r="AS95" s="108" t="e">
        <f>#REF!-#REF!</f>
        <v>#REF!</v>
      </c>
      <c r="AT95" s="108" t="e">
        <f>#REF!-#REF!</f>
        <v>#REF!</v>
      </c>
      <c r="AU95" s="108" t="e">
        <f>#REF!-#REF!</f>
        <v>#REF!</v>
      </c>
      <c r="AV95" s="109" t="e">
        <f>#REF!-#REF!</f>
        <v>#REF!</v>
      </c>
    </row>
    <row r="96" spans="33:48">
      <c r="AG96" s="105" t="e">
        <f>#REF!-#REF!</f>
        <v>#REF!</v>
      </c>
      <c r="AH96" s="105" t="e">
        <f>#REF!-#REF!</f>
        <v>#REF!</v>
      </c>
      <c r="AI96" s="105" t="e">
        <f>#REF!-#REF!</f>
        <v>#REF!</v>
      </c>
      <c r="AJ96" s="105" t="e">
        <f>#REF!-#REF!</f>
        <v>#REF!</v>
      </c>
      <c r="AK96" s="105" t="e">
        <f>#REF!-#REF!</f>
        <v>#REF!</v>
      </c>
      <c r="AL96" s="105" t="e">
        <f>#REF!-#REF!</f>
        <v>#REF!</v>
      </c>
      <c r="AM96" s="105" t="e">
        <f>#REF!-#REF!</f>
        <v>#REF!</v>
      </c>
      <c r="AN96" s="105" t="e">
        <f>#REF!-#REF!</f>
        <v>#REF!</v>
      </c>
      <c r="AO96" s="105" t="e">
        <f>#REF!-#REF!</f>
        <v>#REF!</v>
      </c>
      <c r="AP96" s="105" t="e">
        <f>#REF!-#REF!</f>
        <v>#REF!</v>
      </c>
      <c r="AQ96" s="108" t="e">
        <f>#REF!-#REF!</f>
        <v>#REF!</v>
      </c>
      <c r="AR96" s="108" t="e">
        <f>#REF!-#REF!</f>
        <v>#REF!</v>
      </c>
      <c r="AS96" s="108" t="e">
        <f>#REF!-#REF!</f>
        <v>#REF!</v>
      </c>
      <c r="AT96" s="108" t="e">
        <f>#REF!-#REF!</f>
        <v>#REF!</v>
      </c>
      <c r="AU96" s="108" t="e">
        <f>#REF!-#REF!</f>
        <v>#REF!</v>
      </c>
      <c r="AV96" s="109" t="e">
        <f>#REF!-#REF!</f>
        <v>#REF!</v>
      </c>
    </row>
    <row r="97" spans="33:48">
      <c r="AG97" s="105" t="e">
        <f>#REF!-#REF!</f>
        <v>#REF!</v>
      </c>
      <c r="AH97" s="105" t="e">
        <f>#REF!-#REF!</f>
        <v>#REF!</v>
      </c>
      <c r="AI97" s="105" t="e">
        <f>#REF!-#REF!</f>
        <v>#REF!</v>
      </c>
      <c r="AJ97" s="105" t="e">
        <f>#REF!-#REF!</f>
        <v>#REF!</v>
      </c>
      <c r="AK97" s="105" t="e">
        <f>#REF!-#REF!</f>
        <v>#REF!</v>
      </c>
      <c r="AL97" s="105" t="e">
        <f>#REF!-#REF!</f>
        <v>#REF!</v>
      </c>
      <c r="AM97" s="105" t="e">
        <f>#REF!-#REF!</f>
        <v>#REF!</v>
      </c>
      <c r="AN97" s="105" t="e">
        <f>#REF!-#REF!</f>
        <v>#REF!</v>
      </c>
      <c r="AO97" s="105" t="e">
        <f>#REF!-#REF!</f>
        <v>#REF!</v>
      </c>
      <c r="AP97" s="105" t="e">
        <f>#REF!-#REF!</f>
        <v>#REF!</v>
      </c>
      <c r="AQ97" s="108" t="e">
        <f>#REF!-#REF!</f>
        <v>#REF!</v>
      </c>
      <c r="AR97" s="108" t="e">
        <f>#REF!-#REF!</f>
        <v>#REF!</v>
      </c>
      <c r="AS97" s="108" t="e">
        <f>#REF!-#REF!</f>
        <v>#REF!</v>
      </c>
      <c r="AT97" s="108" t="e">
        <f>#REF!-#REF!</f>
        <v>#REF!</v>
      </c>
      <c r="AU97" s="108" t="e">
        <f>#REF!-#REF!</f>
        <v>#REF!</v>
      </c>
      <c r="AV97" s="109" t="e">
        <f>#REF!-#REF!</f>
        <v>#REF!</v>
      </c>
    </row>
    <row r="98" ht="14.25" spans="33:48">
      <c r="AG98" s="118" t="e">
        <f>#REF!-#REF!</f>
        <v>#REF!</v>
      </c>
      <c r="AH98" s="118" t="e">
        <f>#REF!-#REF!</f>
        <v>#REF!</v>
      </c>
      <c r="AI98" s="118" t="e">
        <f>#REF!-#REF!</f>
        <v>#REF!</v>
      </c>
      <c r="AJ98" s="118" t="e">
        <f>#REF!-#REF!</f>
        <v>#REF!</v>
      </c>
      <c r="AK98" s="118" t="e">
        <f>#REF!-#REF!</f>
        <v>#REF!</v>
      </c>
      <c r="AL98" s="118" t="e">
        <f>#REF!-#REF!</f>
        <v>#REF!</v>
      </c>
      <c r="AM98" s="118" t="e">
        <f>#REF!-#REF!</f>
        <v>#REF!</v>
      </c>
      <c r="AN98" s="118" t="e">
        <f>#REF!-#REF!</f>
        <v>#REF!</v>
      </c>
      <c r="AO98" s="118" t="e">
        <f>#REF!-#REF!</f>
        <v>#REF!</v>
      </c>
      <c r="AP98" s="118" t="e">
        <f>#REF!-#REF!</f>
        <v>#REF!</v>
      </c>
      <c r="AQ98" s="119" t="e">
        <f>#REF!-#REF!</f>
        <v>#REF!</v>
      </c>
      <c r="AR98" s="119" t="e">
        <f>#REF!-#REF!</f>
        <v>#REF!</v>
      </c>
      <c r="AS98" s="119" t="e">
        <f>#REF!-#REF!</f>
        <v>#REF!</v>
      </c>
      <c r="AT98" s="119" t="e">
        <f>#REF!-#REF!</f>
        <v>#REF!</v>
      </c>
      <c r="AU98" s="119" t="e">
        <f>#REF!-#REF!</f>
        <v>#REF!</v>
      </c>
      <c r="AV98" s="120" t="e">
        <f>#REF!-#REF!</f>
        <v>#REF!</v>
      </c>
    </row>
  </sheetData>
  <mergeCells count="52">
    <mergeCell ref="A1:H1"/>
    <mergeCell ref="J1:AC1"/>
    <mergeCell ref="AE1:AX1"/>
    <mergeCell ref="U2:Y2"/>
    <mergeCell ref="Z2:AA2"/>
    <mergeCell ref="AP2:AT2"/>
    <mergeCell ref="AU2:AV2"/>
    <mergeCell ref="AZ2:BD2"/>
    <mergeCell ref="BE2:BF2"/>
    <mergeCell ref="BH2:BI2"/>
    <mergeCell ref="BJ2:BL2"/>
    <mergeCell ref="A2:A3"/>
    <mergeCell ref="B2:B3"/>
    <mergeCell ref="C2:C3"/>
    <mergeCell ref="D2:D3"/>
    <mergeCell ref="E2:E3"/>
    <mergeCell ref="F2:F3"/>
    <mergeCell ref="G2:G3"/>
    <mergeCell ref="H2:H3"/>
    <mergeCell ref="J2:J3"/>
    <mergeCell ref="K2:K3"/>
    <mergeCell ref="L2:L3"/>
    <mergeCell ref="M2:M3"/>
    <mergeCell ref="N2:N3"/>
    <mergeCell ref="O2:O3"/>
    <mergeCell ref="P2:P3"/>
    <mergeCell ref="Q2:Q3"/>
    <mergeCell ref="R2:R3"/>
    <mergeCell ref="S2:S3"/>
    <mergeCell ref="T2:T3"/>
    <mergeCell ref="AB2:AB3"/>
    <mergeCell ref="AC2:AC3"/>
    <mergeCell ref="AE2:AE3"/>
    <mergeCell ref="AF2:AF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AW2:AW3"/>
    <mergeCell ref="AX2:AX3"/>
    <mergeCell ref="BM2:BM3"/>
    <mergeCell ref="BN2:BN3"/>
    <mergeCell ref="BP2:BP3"/>
    <mergeCell ref="BQ2:BQ3"/>
    <mergeCell ref="BR2:BR3"/>
    <mergeCell ref="BS2:BS3"/>
    <mergeCell ref="BT2:BT3"/>
  </mergeCells>
  <conditionalFormatting sqref="J5:J45">
    <cfRule type="expression" dxfId="3" priority="70">
      <formula>OR(J5&lt;H5*0.9,J5&gt;H5)</formula>
    </cfRule>
  </conditionalFormatting>
  <conditionalFormatting sqref="AE5:AE45">
    <cfRule type="expression" dxfId="3" priority="69">
      <formula>OR(AE5&lt;H5*0.9,AE5&gt;H5)</formula>
    </cfRule>
  </conditionalFormatting>
  <conditionalFormatting sqref="AZ5:AZ44">
    <cfRule type="cellIs" dxfId="0" priority="23" operator="greaterThanOrEqual">
      <formula>0.03</formula>
    </cfRule>
    <cfRule type="cellIs" dxfId="1" priority="24" operator="lessThanOrEqual">
      <formula>-0.03</formula>
    </cfRule>
  </conditionalFormatting>
  <conditionalFormatting sqref="BA5:BA44">
    <cfRule type="cellIs" dxfId="0" priority="25" operator="greaterThanOrEqual">
      <formula>0.03</formula>
    </cfRule>
    <cfRule type="cellIs" dxfId="1" priority="26" operator="lessThanOrEqual">
      <formula>-0.03</formula>
    </cfRule>
  </conditionalFormatting>
  <conditionalFormatting sqref="BA45:BA47">
    <cfRule type="cellIs" dxfId="0" priority="71" operator="greaterThanOrEqual">
      <formula>0.03</formula>
    </cfRule>
    <cfRule type="cellIs" dxfId="1" priority="72" operator="lessThanOrEqual">
      <formula>-0.03</formula>
    </cfRule>
  </conditionalFormatting>
  <conditionalFormatting sqref="BB5:BB44">
    <cfRule type="cellIs" dxfId="0" priority="33" operator="greaterThanOrEqual">
      <formula>0.03</formula>
    </cfRule>
    <cfRule type="cellIs" dxfId="1" priority="34" operator="lessThanOrEqual">
      <formula>-0.03</formula>
    </cfRule>
  </conditionalFormatting>
  <conditionalFormatting sqref="BB45:BB47">
    <cfRule type="cellIs" dxfId="0" priority="79" operator="greaterThanOrEqual">
      <formula>0.03</formula>
    </cfRule>
    <cfRule type="cellIs" dxfId="1" priority="80" operator="lessThanOrEqual">
      <formula>-0.03</formula>
    </cfRule>
  </conditionalFormatting>
  <conditionalFormatting sqref="BC5:BC44">
    <cfRule type="cellIs" dxfId="0" priority="35" operator="greaterThanOrEqual">
      <formula>0.03</formula>
    </cfRule>
    <cfRule type="cellIs" dxfId="1" priority="36" operator="lessThanOrEqual">
      <formula>-0.03</formula>
    </cfRule>
  </conditionalFormatting>
  <conditionalFormatting sqref="BC45:BC47">
    <cfRule type="cellIs" dxfId="0" priority="81" operator="greaterThanOrEqual">
      <formula>0.03</formula>
    </cfRule>
    <cfRule type="cellIs" dxfId="1" priority="82" operator="lessThanOrEqual">
      <formula>-0.03</formula>
    </cfRule>
  </conditionalFormatting>
  <conditionalFormatting sqref="BD5:BD44">
    <cfRule type="cellIs" dxfId="0" priority="27" operator="greaterThanOrEqual">
      <formula>0.03</formula>
    </cfRule>
    <cfRule type="cellIs" dxfId="1" priority="28" operator="lessThanOrEqual">
      <formula>-0.03</formula>
    </cfRule>
  </conditionalFormatting>
  <conditionalFormatting sqref="BD45:BD47">
    <cfRule type="cellIs" dxfId="0" priority="73" operator="greaterThanOrEqual">
      <formula>0.03</formula>
    </cfRule>
    <cfRule type="cellIs" dxfId="1" priority="74" operator="lessThanOrEqual">
      <formula>-0.03</formula>
    </cfRule>
  </conditionalFormatting>
  <conditionalFormatting sqref="BE5:BE44">
    <cfRule type="cellIs" dxfId="0" priority="29" operator="greaterThanOrEqual">
      <formula>0.03</formula>
    </cfRule>
    <cfRule type="cellIs" dxfId="1" priority="30" operator="lessThanOrEqual">
      <formula>-0.03</formula>
    </cfRule>
  </conditionalFormatting>
  <conditionalFormatting sqref="BE45:BE47">
    <cfRule type="cellIs" dxfId="0" priority="83" operator="greaterThanOrEqual">
      <formula>0.03</formula>
    </cfRule>
    <cfRule type="cellIs" dxfId="1" priority="84" operator="lessThanOrEqual">
      <formula>-0.03</formula>
    </cfRule>
  </conditionalFormatting>
  <conditionalFormatting sqref="BF5:BF44">
    <cfRule type="cellIs" dxfId="0" priority="31" operator="greaterThanOrEqual">
      <formula>0.03</formula>
    </cfRule>
    <cfRule type="cellIs" dxfId="1" priority="32" operator="lessThanOrEqual">
      <formula>-0.03</formula>
    </cfRule>
  </conditionalFormatting>
  <conditionalFormatting sqref="BF45:BF47">
    <cfRule type="cellIs" dxfId="0" priority="77" operator="greaterThanOrEqual">
      <formula>0.03</formula>
    </cfRule>
    <cfRule type="cellIs" dxfId="1" priority="78" operator="lessThanOrEqual">
      <formula>-0.03</formula>
    </cfRule>
  </conditionalFormatting>
  <conditionalFormatting sqref="BH5:BH44">
    <cfRule type="cellIs" dxfId="0" priority="13" operator="greaterThanOrEqual">
      <formula>0.03</formula>
    </cfRule>
    <cfRule type="cellIs" dxfId="1" priority="14" operator="lessThanOrEqual">
      <formula>-0.03</formula>
    </cfRule>
  </conditionalFormatting>
  <conditionalFormatting sqref="BI5:BI44">
    <cfRule type="cellIs" dxfId="0" priority="9" operator="greaterThanOrEqual">
      <formula>0.03</formula>
    </cfRule>
    <cfRule type="cellIs" dxfId="1" priority="10" operator="lessThanOrEqual">
      <formula>-0.03</formula>
    </cfRule>
  </conditionalFormatting>
  <conditionalFormatting sqref="BI45:BI47">
    <cfRule type="cellIs" dxfId="0" priority="39" operator="greaterThanOrEqual">
      <formula>0.03</formula>
    </cfRule>
    <cfRule type="cellIs" dxfId="1" priority="40" operator="lessThanOrEqual">
      <formula>-0.03</formula>
    </cfRule>
  </conditionalFormatting>
  <conditionalFormatting sqref="BJ5:BJ44">
    <cfRule type="cellIs" dxfId="0" priority="17" operator="greaterThanOrEqual">
      <formula>0.03</formula>
    </cfRule>
    <cfRule type="cellIs" dxfId="1" priority="18" operator="lessThanOrEqual">
      <formula>-0.03</formula>
    </cfRule>
  </conditionalFormatting>
  <conditionalFormatting sqref="BJ45:BJ47">
    <cfRule type="cellIs" dxfId="0" priority="47" operator="greaterThanOrEqual">
      <formula>0.03</formula>
    </cfRule>
    <cfRule type="cellIs" dxfId="1" priority="48" operator="lessThanOrEqual">
      <formula>-0.03</formula>
    </cfRule>
  </conditionalFormatting>
  <conditionalFormatting sqref="BK5:BK44">
    <cfRule type="cellIs" dxfId="0" priority="19" operator="greaterThanOrEqual">
      <formula>0.03</formula>
    </cfRule>
    <cfRule type="cellIs" dxfId="1" priority="20" operator="lessThanOrEqual">
      <formula>-0.03</formula>
    </cfRule>
  </conditionalFormatting>
  <conditionalFormatting sqref="BK45:BK47">
    <cfRule type="cellIs" dxfId="0" priority="49" operator="greaterThanOrEqual">
      <formula>0.03</formula>
    </cfRule>
    <cfRule type="cellIs" dxfId="1" priority="50" operator="lessThanOrEqual">
      <formula>-0.03</formula>
    </cfRule>
  </conditionalFormatting>
  <conditionalFormatting sqref="BL5:BL44">
    <cfRule type="cellIs" dxfId="0" priority="11" operator="greaterThanOrEqual">
      <formula>0.03</formula>
    </cfRule>
    <cfRule type="cellIs" dxfId="1" priority="12" operator="lessThanOrEqual">
      <formula>-0.03</formula>
    </cfRule>
  </conditionalFormatting>
  <conditionalFormatting sqref="BL45:BL47">
    <cfRule type="cellIs" dxfId="0" priority="41" operator="greaterThanOrEqual">
      <formula>0.03</formula>
    </cfRule>
    <cfRule type="cellIs" dxfId="1" priority="42" operator="lessThanOrEqual">
      <formula>-0.03</formula>
    </cfRule>
  </conditionalFormatting>
  <conditionalFormatting sqref="BM5:BM44">
    <cfRule type="cellIs" dxfId="0" priority="21" operator="greaterThanOrEqual">
      <formula>0.03</formula>
    </cfRule>
    <cfRule type="cellIs" dxfId="1" priority="22" operator="lessThanOrEqual">
      <formula>-0.03</formula>
    </cfRule>
  </conditionalFormatting>
  <conditionalFormatting sqref="BM45:BM47">
    <cfRule type="cellIs" dxfId="0" priority="51" operator="greaterThanOrEqual">
      <formula>0.03</formula>
    </cfRule>
    <cfRule type="cellIs" dxfId="1" priority="52" operator="lessThanOrEqual">
      <formula>-0.03</formula>
    </cfRule>
  </conditionalFormatting>
  <conditionalFormatting sqref="BN5:BN44">
    <cfRule type="cellIs" dxfId="0" priority="15" operator="greaterThanOrEqual">
      <formula>0.03</formula>
    </cfRule>
    <cfRule type="cellIs" dxfId="1" priority="16" operator="lessThanOrEqual">
      <formula>-0.03</formula>
    </cfRule>
  </conditionalFormatting>
  <conditionalFormatting sqref="BN45:BN47">
    <cfRule type="cellIs" dxfId="0" priority="45" operator="greaterThanOrEqual">
      <formula>0.03</formula>
    </cfRule>
    <cfRule type="cellIs" dxfId="1" priority="46" operator="lessThanOrEqual">
      <formula>-0.03</formula>
    </cfRule>
  </conditionalFormatting>
  <conditionalFormatting sqref="L5:L44 AG5:AG44">
    <cfRule type="expression" dxfId="4" priority="54">
      <formula>NOT(L5=O5)</formula>
    </cfRule>
  </conditionalFormatting>
  <conditionalFormatting sqref="BP5:BT48">
    <cfRule type="cellIs" dxfId="0" priority="67" operator="greaterThanOrEqual">
      <formula>0.001</formula>
    </cfRule>
    <cfRule type="cellIs" dxfId="1" priority="68" operator="lessThanOrEqual">
      <formula>-0.001</formula>
    </cfRule>
  </conditionalFormatting>
  <conditionalFormatting sqref="AZ45:AZ47 AZ48:BF48">
    <cfRule type="cellIs" dxfId="0" priority="75" operator="greaterThanOrEqual">
      <formula>0.03</formula>
    </cfRule>
    <cfRule type="cellIs" dxfId="1" priority="76" operator="lessThanOrEqual">
      <formula>-0.03</formula>
    </cfRule>
  </conditionalFormatting>
  <conditionalFormatting sqref="BH45:BH47 BH48:BN48">
    <cfRule type="cellIs" dxfId="0" priority="43" operator="greaterThanOrEqual">
      <formula>0.03</formula>
    </cfRule>
    <cfRule type="cellIs" dxfId="1" priority="44" operator="lessThanOrEqual">
      <formula>-0.03</formula>
    </cfRule>
  </conditionalFormatting>
  <conditionalFormatting sqref="AG54:AQ93">
    <cfRule type="cellIs" dxfId="5" priority="59" operator="lessThan">
      <formula>0</formula>
    </cfRule>
    <cfRule type="cellIs" dxfId="5" priority="60" operator="greaterThan">
      <formula>0</formula>
    </cfRule>
  </conditionalFormatting>
  <conditionalFormatting sqref="AR54:AV93">
    <cfRule type="cellIs" dxfId="5" priority="57" operator="lessThan">
      <formula>0</formula>
    </cfRule>
    <cfRule type="cellIs" dxfId="5" priority="58" operator="greaterThan">
      <formula>0</formula>
    </cfRule>
  </conditionalFormatting>
  <conditionalFormatting sqref="AG94:AQ98">
    <cfRule type="cellIs" dxfId="5" priority="3" operator="lessThan">
      <formula>0</formula>
    </cfRule>
    <cfRule type="cellIs" dxfId="5" priority="4" operator="greaterThan">
      <formula>0</formula>
    </cfRule>
  </conditionalFormatting>
  <conditionalFormatting sqref="AR94:AV98">
    <cfRule type="cellIs" dxfId="5" priority="1" operator="lessThan">
      <formula>0</formula>
    </cfRule>
    <cfRule type="cellIs" dxfId="5" priority="2" operator="greaterThan">
      <formula>0</formula>
    </cfRule>
  </conditionalFormatting>
  <pageMargins left="0.7" right="0.7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19"/>
  <sheetViews>
    <sheetView workbookViewId="0">
      <selection activeCell="L49" sqref="L49"/>
    </sheetView>
  </sheetViews>
  <sheetFormatPr defaultColWidth="8.87610619469027" defaultRowHeight="13.5"/>
  <sheetData>
    <row r="1" ht="15.75" customHeight="1" spans="3:16">
      <c r="C1" s="1" t="s">
        <v>387</v>
      </c>
      <c r="D1" s="2"/>
      <c r="E1" s="2"/>
      <c r="F1" s="2"/>
      <c r="G1" s="2"/>
      <c r="H1" s="2"/>
      <c r="I1" s="32"/>
      <c r="J1" s="1" t="s">
        <v>437</v>
      </c>
      <c r="K1" s="2"/>
      <c r="L1" s="2"/>
      <c r="M1" s="2"/>
      <c r="N1" s="2"/>
      <c r="O1" s="2"/>
      <c r="P1" s="32"/>
    </row>
    <row r="2" ht="15.75" customHeight="1" spans="1:16">
      <c r="A2" s="3" t="s">
        <v>162</v>
      </c>
      <c r="B2" s="4" t="s">
        <v>163</v>
      </c>
      <c r="C2" s="5" t="s">
        <v>17</v>
      </c>
      <c r="D2" s="6"/>
      <c r="E2" s="6"/>
      <c r="F2" s="6"/>
      <c r="G2" s="6"/>
      <c r="H2" s="7" t="s">
        <v>18</v>
      </c>
      <c r="I2" s="25"/>
      <c r="J2" s="5" t="s">
        <v>17</v>
      </c>
      <c r="K2" s="6"/>
      <c r="L2" s="6"/>
      <c r="M2" s="6"/>
      <c r="N2" s="6"/>
      <c r="O2" s="7" t="s">
        <v>18</v>
      </c>
      <c r="P2" s="25"/>
    </row>
    <row r="3" ht="30.75" customHeight="1" spans="1:16">
      <c r="A3" s="8"/>
      <c r="B3" s="9"/>
      <c r="C3" s="10" t="s">
        <v>19</v>
      </c>
      <c r="D3" s="11" t="s">
        <v>20</v>
      </c>
      <c r="E3" s="11" t="s">
        <v>21</v>
      </c>
      <c r="F3" s="11" t="s">
        <v>22</v>
      </c>
      <c r="G3" s="11" t="s">
        <v>23</v>
      </c>
      <c r="H3" s="11" t="s">
        <v>24</v>
      </c>
      <c r="I3" s="38" t="s">
        <v>21</v>
      </c>
      <c r="J3" s="10" t="s">
        <v>19</v>
      </c>
      <c r="K3" s="11" t="s">
        <v>20</v>
      </c>
      <c r="L3" s="11" t="s">
        <v>21</v>
      </c>
      <c r="M3" s="11" t="s">
        <v>22</v>
      </c>
      <c r="N3" s="11" t="s">
        <v>23</v>
      </c>
      <c r="O3" s="11" t="s">
        <v>24</v>
      </c>
      <c r="P3" s="38" t="s">
        <v>21</v>
      </c>
    </row>
    <row r="4" spans="1:16">
      <c r="A4" s="12" t="s">
        <v>189</v>
      </c>
      <c r="B4" s="13" t="s">
        <v>42</v>
      </c>
      <c r="C4" s="14" t="str">
        <f>'C1 lossy AI'!AZ5</f>
        <v>·</v>
      </c>
      <c r="D4" s="15" t="str">
        <f>'C1 lossy AI'!BA5</f>
        <v>·</v>
      </c>
      <c r="E4" s="15" t="str">
        <f>'C1 lossy AI'!BB5</f>
        <v>·</v>
      </c>
      <c r="F4" s="15" t="str">
        <f>'C1 lossy AI'!BC5</f>
        <v>·</v>
      </c>
      <c r="G4" s="15" t="str">
        <f>'C1 lossy AI'!BD5</f>
        <v>·</v>
      </c>
      <c r="H4" s="15" t="str">
        <f>'C1 lossy AI'!BE5</f>
        <v>·</v>
      </c>
      <c r="I4" s="39" t="str">
        <f>'C1 lossy AI'!BF5</f>
        <v>·</v>
      </c>
      <c r="J4" s="14" t="str">
        <f>'C2 lossy RA'!AZ5</f>
        <v>·</v>
      </c>
      <c r="K4" s="15" t="str">
        <f>'C2 lossy RA'!BA5</f>
        <v>·</v>
      </c>
      <c r="L4" s="15" t="str">
        <f>'C2 lossy RA'!BB5</f>
        <v>·</v>
      </c>
      <c r="M4" s="15" t="str">
        <f>'C2 lossy RA'!BC5</f>
        <v>·</v>
      </c>
      <c r="N4" s="15" t="str">
        <f>'C2 lossy RA'!BD5</f>
        <v>·</v>
      </c>
      <c r="O4" s="15" t="str">
        <f>'C2 lossy RA'!BE5</f>
        <v>·</v>
      </c>
      <c r="P4" s="39" t="str">
        <f>'C2 lossy RA'!BF5</f>
        <v>·</v>
      </c>
    </row>
    <row r="5" spans="1:16">
      <c r="A5" s="16"/>
      <c r="B5" s="17" t="s">
        <v>50</v>
      </c>
      <c r="C5" s="18" t="str">
        <f>'C1 lossy AI'!AZ10</f>
        <v>·</v>
      </c>
      <c r="D5" s="19" t="str">
        <f>'C1 lossy AI'!BA10</f>
        <v>·</v>
      </c>
      <c r="E5" s="19" t="str">
        <f>'C1 lossy AI'!BB10</f>
        <v>·</v>
      </c>
      <c r="F5" s="19" t="str">
        <f>'C1 lossy AI'!BC10</f>
        <v>·</v>
      </c>
      <c r="G5" s="19" t="str">
        <f>'C1 lossy AI'!BD10</f>
        <v>·</v>
      </c>
      <c r="H5" s="19" t="str">
        <f>'C1 lossy AI'!BE10</f>
        <v>·</v>
      </c>
      <c r="I5" s="40" t="str">
        <f>'C1 lossy AI'!BF10</f>
        <v>·</v>
      </c>
      <c r="J5" s="18" t="str">
        <f>'C2 lossy RA'!AZ10</f>
        <v>·</v>
      </c>
      <c r="K5" s="19" t="str">
        <f>'C2 lossy RA'!BA10</f>
        <v>·</v>
      </c>
      <c r="L5" s="19" t="str">
        <f>'C2 lossy RA'!BB10</f>
        <v>·</v>
      </c>
      <c r="M5" s="19" t="str">
        <f>'C2 lossy RA'!BC10</f>
        <v>·</v>
      </c>
      <c r="N5" s="19" t="str">
        <f>'C2 lossy RA'!BD10</f>
        <v>·</v>
      </c>
      <c r="O5" s="19" t="str">
        <f>'C2 lossy RA'!BE10</f>
        <v>·</v>
      </c>
      <c r="P5" s="40" t="str">
        <f>'C2 lossy RA'!BF10</f>
        <v>·</v>
      </c>
    </row>
    <row r="6" spans="1:16">
      <c r="A6" s="12" t="s">
        <v>190</v>
      </c>
      <c r="B6" s="13" t="s">
        <v>55</v>
      </c>
      <c r="C6" s="14" t="str">
        <f>'C1 lossy AI'!AZ15</f>
        <v>·</v>
      </c>
      <c r="D6" s="15" t="str">
        <f>'C1 lossy AI'!BA15</f>
        <v>·</v>
      </c>
      <c r="E6" s="15" t="str">
        <f>'C1 lossy AI'!BB15</f>
        <v>·</v>
      </c>
      <c r="F6" s="15" t="str">
        <f>'C1 lossy AI'!BC15</f>
        <v>·</v>
      </c>
      <c r="G6" s="15" t="str">
        <f>'C1 lossy AI'!BD15</f>
        <v>·</v>
      </c>
      <c r="H6" s="15" t="str">
        <f>'C1 lossy AI'!BE15</f>
        <v>·</v>
      </c>
      <c r="I6" s="39" t="str">
        <f>'C1 lossy AI'!BF15</f>
        <v>·</v>
      </c>
      <c r="J6" s="14" t="str">
        <f>'C2 lossy RA'!AZ15</f>
        <v>·</v>
      </c>
      <c r="K6" s="15" t="str">
        <f>'C2 lossy RA'!BA15</f>
        <v>·</v>
      </c>
      <c r="L6" s="15" t="str">
        <f>'C2 lossy RA'!BB15</f>
        <v>·</v>
      </c>
      <c r="M6" s="15" t="str">
        <f>'C2 lossy RA'!BC15</f>
        <v>·</v>
      </c>
      <c r="N6" s="15" t="str">
        <f>'C2 lossy RA'!BD15</f>
        <v>·</v>
      </c>
      <c r="O6" s="15" t="str">
        <f>'C2 lossy RA'!BE15</f>
        <v>·</v>
      </c>
      <c r="P6" s="39" t="str">
        <f>'C2 lossy RA'!BF15</f>
        <v>·</v>
      </c>
    </row>
    <row r="7" spans="1:16">
      <c r="A7" s="16"/>
      <c r="B7" s="17" t="s">
        <v>60</v>
      </c>
      <c r="C7" s="18" t="str">
        <f>'C1 lossy AI'!AZ20</f>
        <v>·</v>
      </c>
      <c r="D7" s="19" t="str">
        <f>'C1 lossy AI'!BA20</f>
        <v>·</v>
      </c>
      <c r="E7" s="19" t="str">
        <f>'C1 lossy AI'!BB20</f>
        <v>·</v>
      </c>
      <c r="F7" s="19" t="str">
        <f>'C1 lossy AI'!BC20</f>
        <v>·</v>
      </c>
      <c r="G7" s="19" t="str">
        <f>'C1 lossy AI'!BD20</f>
        <v>·</v>
      </c>
      <c r="H7" s="19" t="str">
        <f>'C1 lossy AI'!BE20</f>
        <v>·</v>
      </c>
      <c r="I7" s="40" t="str">
        <f>'C1 lossy AI'!BF20</f>
        <v>·</v>
      </c>
      <c r="J7" s="18" t="str">
        <f>'C2 lossy RA'!AZ20</f>
        <v>·</v>
      </c>
      <c r="K7" s="19" t="str">
        <f>'C2 lossy RA'!BA20</f>
        <v>·</v>
      </c>
      <c r="L7" s="19" t="str">
        <f>'C2 lossy RA'!BB20</f>
        <v>·</v>
      </c>
      <c r="M7" s="19" t="str">
        <f>'C2 lossy RA'!BC20</f>
        <v>·</v>
      </c>
      <c r="N7" s="19" t="str">
        <f>'C2 lossy RA'!BD20</f>
        <v>·</v>
      </c>
      <c r="O7" s="19" t="str">
        <f>'C2 lossy RA'!BE20</f>
        <v>·</v>
      </c>
      <c r="P7" s="40" t="str">
        <f>'C2 lossy RA'!BF20</f>
        <v>·</v>
      </c>
    </row>
    <row r="8" spans="1:16">
      <c r="A8" s="12" t="s">
        <v>191</v>
      </c>
      <c r="B8" s="13" t="s">
        <v>65</v>
      </c>
      <c r="C8" s="14" t="str">
        <f>'C1 lossy AI'!AZ25</f>
        <v>·</v>
      </c>
      <c r="D8" s="15" t="str">
        <f>'C1 lossy AI'!BA25</f>
        <v>·</v>
      </c>
      <c r="E8" s="15" t="str">
        <f>'C1 lossy AI'!BB25</f>
        <v>·</v>
      </c>
      <c r="F8" s="15" t="str">
        <f>'C1 lossy AI'!BC25</f>
        <v>·</v>
      </c>
      <c r="G8" s="15" t="str">
        <f>'C1 lossy AI'!BD25</f>
        <v>·</v>
      </c>
      <c r="H8" s="15" t="str">
        <f>'C1 lossy AI'!BE25</f>
        <v>·</v>
      </c>
      <c r="I8" s="39" t="str">
        <f>'C1 lossy AI'!BF25</f>
        <v>·</v>
      </c>
      <c r="J8" s="14" t="str">
        <f>'C2 lossy RA'!AZ25</f>
        <v>·</v>
      </c>
      <c r="K8" s="15" t="str">
        <f>'C2 lossy RA'!BA25</f>
        <v>·</v>
      </c>
      <c r="L8" s="15" t="str">
        <f>'C2 lossy RA'!BB25</f>
        <v>·</v>
      </c>
      <c r="M8" s="15" t="str">
        <f>'C2 lossy RA'!BC25</f>
        <v>·</v>
      </c>
      <c r="N8" s="15" t="str">
        <f>'C2 lossy RA'!BD25</f>
        <v>·</v>
      </c>
      <c r="O8" s="15" t="str">
        <f>'C2 lossy RA'!BE25</f>
        <v>·</v>
      </c>
      <c r="P8" s="39" t="str">
        <f>'C2 lossy RA'!BF25</f>
        <v>·</v>
      </c>
    </row>
    <row r="9" spans="1:16">
      <c r="A9" s="16"/>
      <c r="B9" s="17" t="s">
        <v>70</v>
      </c>
      <c r="C9" s="18" t="str">
        <f>'C1 lossy AI'!AZ30</f>
        <v>·</v>
      </c>
      <c r="D9" s="19" t="str">
        <f>'C1 lossy AI'!BA30</f>
        <v>·</v>
      </c>
      <c r="E9" s="19" t="str">
        <f>'C1 lossy AI'!BB30</f>
        <v>·</v>
      </c>
      <c r="F9" s="19" t="str">
        <f>'C1 lossy AI'!BC30</f>
        <v>·</v>
      </c>
      <c r="G9" s="19" t="str">
        <f>'C1 lossy AI'!BD30</f>
        <v>·</v>
      </c>
      <c r="H9" s="19" t="str">
        <f>'C1 lossy AI'!BE30</f>
        <v>·</v>
      </c>
      <c r="I9" s="40" t="str">
        <f>'C1 lossy AI'!BF30</f>
        <v>·</v>
      </c>
      <c r="J9" s="18" t="str">
        <f>'C2 lossy RA'!AZ30</f>
        <v>·</v>
      </c>
      <c r="K9" s="19" t="str">
        <f>'C2 lossy RA'!BA30</f>
        <v>·</v>
      </c>
      <c r="L9" s="19" t="str">
        <f>'C2 lossy RA'!BB30</f>
        <v>·</v>
      </c>
      <c r="M9" s="19" t="str">
        <f>'C2 lossy RA'!BC30</f>
        <v>·</v>
      </c>
      <c r="N9" s="19" t="str">
        <f>'C2 lossy RA'!BD30</f>
        <v>·</v>
      </c>
      <c r="O9" s="19" t="str">
        <f>'C2 lossy RA'!BE30</f>
        <v>·</v>
      </c>
      <c r="P9" s="40" t="str">
        <f>'C2 lossy RA'!BF30</f>
        <v>·</v>
      </c>
    </row>
    <row r="10" spans="1:16">
      <c r="A10" s="12"/>
      <c r="B10" s="13" t="s">
        <v>75</v>
      </c>
      <c r="C10" s="14" t="str">
        <f>'C1 lossy AI'!AZ35</f>
        <v>·</v>
      </c>
      <c r="D10" s="15" t="str">
        <f>'C1 lossy AI'!BA35</f>
        <v>·</v>
      </c>
      <c r="E10" s="15" t="str">
        <f>'C1 lossy AI'!BB35</f>
        <v>·</v>
      </c>
      <c r="F10" s="15" t="str">
        <f>'C1 lossy AI'!BC35</f>
        <v>·</v>
      </c>
      <c r="G10" s="15" t="str">
        <f>'C1 lossy AI'!BD35</f>
        <v>·</v>
      </c>
      <c r="H10" s="15" t="str">
        <f>'C1 lossy AI'!BE35</f>
        <v>·</v>
      </c>
      <c r="I10" s="39" t="str">
        <f>'C1 lossy AI'!BF35</f>
        <v>·</v>
      </c>
      <c r="J10" s="14" t="str">
        <f>'C2 lossy RA'!AZ35</f>
        <v>·</v>
      </c>
      <c r="K10" s="15" t="str">
        <f>'C2 lossy RA'!BA35</f>
        <v>·</v>
      </c>
      <c r="L10" s="15" t="str">
        <f>'C2 lossy RA'!BB35</f>
        <v>·</v>
      </c>
      <c r="M10" s="15" t="str">
        <f>'C2 lossy RA'!BC35</f>
        <v>·</v>
      </c>
      <c r="N10" s="15" t="str">
        <f>'C2 lossy RA'!BD35</f>
        <v>·</v>
      </c>
      <c r="O10" s="15" t="str">
        <f>'C2 lossy RA'!BE35</f>
        <v>·</v>
      </c>
      <c r="P10" s="39" t="str">
        <f>'C2 lossy RA'!BF35</f>
        <v>·</v>
      </c>
    </row>
    <row r="11" ht="15.75" customHeight="1" spans="1:16">
      <c r="A11" s="20"/>
      <c r="B11" s="21" t="s">
        <v>80</v>
      </c>
      <c r="C11" s="22" t="str">
        <f>'C1 lossy AI'!AZ40</f>
        <v>·</v>
      </c>
      <c r="D11" s="23" t="str">
        <f>'C1 lossy AI'!BA40</f>
        <v>·</v>
      </c>
      <c r="E11" s="23" t="str">
        <f>'C1 lossy AI'!BB40</f>
        <v>·</v>
      </c>
      <c r="F11" s="23" t="str">
        <f>'C1 lossy AI'!BC40</f>
        <v>·</v>
      </c>
      <c r="G11" s="23" t="str">
        <f>'C1 lossy AI'!BD40</f>
        <v>·</v>
      </c>
      <c r="H11" s="23" t="str">
        <f>'C1 lossy AI'!BE40</f>
        <v>·</v>
      </c>
      <c r="I11" s="41" t="str">
        <f>'C1 lossy AI'!BF40</f>
        <v>·</v>
      </c>
      <c r="J11" s="22" t="str">
        <f>'C2 lossy RA'!AZ40</f>
        <v>·</v>
      </c>
      <c r="K11" s="23" t="str">
        <f>'C2 lossy RA'!BA40</f>
        <v>·</v>
      </c>
      <c r="L11" s="23" t="str">
        <f>'C2 lossy RA'!BB40</f>
        <v>·</v>
      </c>
      <c r="M11" s="23" t="str">
        <f>'C2 lossy RA'!BC40</f>
        <v>·</v>
      </c>
      <c r="N11" s="23" t="str">
        <f>'C2 lossy RA'!BD40</f>
        <v>·</v>
      </c>
      <c r="O11" s="23" t="str">
        <f>'C2 lossy RA'!BE40</f>
        <v>·</v>
      </c>
      <c r="P11" s="41" t="str">
        <f>'C2 lossy RA'!BF40</f>
        <v>·</v>
      </c>
    </row>
    <row r="12" ht="14.25" spans="1:16">
      <c r="A12" s="12" t="s">
        <v>192</v>
      </c>
      <c r="B12" s="13" t="s">
        <v>34</v>
      </c>
      <c r="C12" s="22" t="str">
        <f>'C1 lossy AI'!AZ45</f>
        <v>·</v>
      </c>
      <c r="D12" s="23" t="str">
        <f>'C1 lossy AI'!BA45</f>
        <v>·</v>
      </c>
      <c r="E12" s="23" t="str">
        <f>'C1 lossy AI'!BB45</f>
        <v>·</v>
      </c>
      <c r="F12" s="23" t="str">
        <f>'C1 lossy AI'!BC45</f>
        <v>·</v>
      </c>
      <c r="G12" s="23" t="str">
        <f>'C1 lossy AI'!BD45</f>
        <v>·</v>
      </c>
      <c r="H12" s="23" t="str">
        <f>'C1 lossy AI'!BE45</f>
        <v>·</v>
      </c>
      <c r="I12" s="41" t="str">
        <f>'C1 lossy AI'!BF45</f>
        <v>·</v>
      </c>
      <c r="J12" s="22"/>
      <c r="K12" s="23"/>
      <c r="L12" s="23"/>
      <c r="M12" s="23"/>
      <c r="N12" s="23"/>
      <c r="O12" s="23"/>
      <c r="P12" s="41"/>
    </row>
    <row r="13" spans="1:16">
      <c r="A13" s="24" t="str">
        <f>Summary!B20</f>
        <v>Cat1-A average</v>
      </c>
      <c r="B13" s="25"/>
      <c r="C13" s="26" t="e">
        <f>Summary!C20</f>
        <v>#DIV/0!</v>
      </c>
      <c r="D13" s="26" t="e">
        <f>Summary!D20</f>
        <v>#DIV/0!</v>
      </c>
      <c r="E13" s="26" t="e">
        <f>Summary!E20</f>
        <v>#DIV/0!</v>
      </c>
      <c r="F13" s="26" t="e">
        <f>Summary!F20</f>
        <v>#DIV/0!</v>
      </c>
      <c r="G13" s="26" t="e">
        <f>Summary!G20</f>
        <v>#DIV/0!</v>
      </c>
      <c r="H13" s="26" t="e">
        <f>Summary!H20</f>
        <v>#DIV/0!</v>
      </c>
      <c r="I13" s="26" t="e">
        <f>Summary!I20</f>
        <v>#DIV/0!</v>
      </c>
      <c r="J13" s="42" t="e">
        <f>Summary!C33</f>
        <v>#DIV/0!</v>
      </c>
      <c r="K13" s="43" t="e">
        <f>Summary!D33</f>
        <v>#DIV/0!</v>
      </c>
      <c r="L13" s="43" t="e">
        <f>Summary!E33</f>
        <v>#DIV/0!</v>
      </c>
      <c r="M13" s="43" t="e">
        <f>Summary!F33</f>
        <v>#DIV/0!</v>
      </c>
      <c r="N13" s="43" t="e">
        <f>Summary!G33</f>
        <v>#DIV/0!</v>
      </c>
      <c r="O13" s="43" t="e">
        <f>Summary!H33</f>
        <v>#DIV/0!</v>
      </c>
      <c r="P13" s="44" t="e">
        <f>Summary!I33</f>
        <v>#DIV/0!</v>
      </c>
    </row>
    <row r="14" spans="1:16">
      <c r="A14" s="27" t="str">
        <f>Summary!B21</f>
        <v>Cat1-B average</v>
      </c>
      <c r="B14" s="28"/>
      <c r="C14" s="29" t="e">
        <f>Summary!C21</f>
        <v>#DIV/0!</v>
      </c>
      <c r="D14" s="29" t="e">
        <f>Summary!D21</f>
        <v>#DIV/0!</v>
      </c>
      <c r="E14" s="29" t="e">
        <f>Summary!E21</f>
        <v>#DIV/0!</v>
      </c>
      <c r="F14" s="29" t="e">
        <f>Summary!F21</f>
        <v>#DIV/0!</v>
      </c>
      <c r="G14" s="29" t="e">
        <f>Summary!G21</f>
        <v>#DIV/0!</v>
      </c>
      <c r="H14" s="29" t="e">
        <f>Summary!H21</f>
        <v>#DIV/0!</v>
      </c>
      <c r="I14" s="29" t="e">
        <f>Summary!I21</f>
        <v>#DIV/0!</v>
      </c>
      <c r="J14" s="45" t="e">
        <f>Summary!C34</f>
        <v>#DIV/0!</v>
      </c>
      <c r="K14" s="29" t="e">
        <f>Summary!D34</f>
        <v>#DIV/0!</v>
      </c>
      <c r="L14" s="29" t="e">
        <f>Summary!E34</f>
        <v>#DIV/0!</v>
      </c>
      <c r="M14" s="29" t="e">
        <f>Summary!F34</f>
        <v>#DIV/0!</v>
      </c>
      <c r="N14" s="29" t="e">
        <f>Summary!G34</f>
        <v>#DIV/0!</v>
      </c>
      <c r="O14" s="29" t="e">
        <f>Summary!H34</f>
        <v>#DIV/0!</v>
      </c>
      <c r="P14" s="46" t="e">
        <f>Summary!I34</f>
        <v>#DIV/0!</v>
      </c>
    </row>
    <row r="15" spans="1:16">
      <c r="A15" s="30" t="str">
        <f>Summary!B22</f>
        <v>Cat1-C average</v>
      </c>
      <c r="B15" s="28"/>
      <c r="C15" s="26" t="e">
        <f>Summary!C22</f>
        <v>#DIV/0!</v>
      </c>
      <c r="D15" s="26" t="e">
        <f>Summary!D22</f>
        <v>#DIV/0!</v>
      </c>
      <c r="E15" s="26" t="e">
        <f>Summary!E22</f>
        <v>#DIV/0!</v>
      </c>
      <c r="F15" s="26" t="e">
        <f>Summary!F22</f>
        <v>#DIV/0!</v>
      </c>
      <c r="G15" s="26" t="e">
        <f>Summary!G22</f>
        <v>#DIV/0!</v>
      </c>
      <c r="H15" s="26" t="e">
        <f>Summary!H22</f>
        <v>#DIV/0!</v>
      </c>
      <c r="I15" s="26" t="e">
        <f>Summary!I22</f>
        <v>#DIV/0!</v>
      </c>
      <c r="J15" s="47" t="e">
        <f>Summary!C35</f>
        <v>#DIV/0!</v>
      </c>
      <c r="K15" s="26" t="e">
        <f>Summary!D35</f>
        <v>#DIV/0!</v>
      </c>
      <c r="L15" s="26" t="e">
        <f>Summary!E35</f>
        <v>#DIV/0!</v>
      </c>
      <c r="M15" s="26" t="e">
        <f>Summary!F35</f>
        <v>#DIV/0!</v>
      </c>
      <c r="N15" s="26" t="e">
        <f>Summary!G35</f>
        <v>#DIV/0!</v>
      </c>
      <c r="O15" s="26" t="e">
        <f>Summary!H35</f>
        <v>#DIV/0!</v>
      </c>
      <c r="P15" s="48" t="e">
        <f>Summary!I35</f>
        <v>#DIV/0!</v>
      </c>
    </row>
    <row r="16" ht="15.75" customHeight="1" spans="1:16">
      <c r="A16" s="30" t="str">
        <f>Summary!B23</f>
        <v>Cat1-D average</v>
      </c>
      <c r="B16" s="28"/>
      <c r="C16" s="26" t="e">
        <f>Summary!C23</f>
        <v>#DIV/0!</v>
      </c>
      <c r="D16" s="26" t="e">
        <f>Summary!D23</f>
        <v>#DIV/0!</v>
      </c>
      <c r="E16" s="26" t="e">
        <f>Summary!E23</f>
        <v>#DIV/0!</v>
      </c>
      <c r="F16" s="26" t="e">
        <f>Summary!F23</f>
        <v>#DIV/0!</v>
      </c>
      <c r="G16" s="26" t="e">
        <f>Summary!G23</f>
        <v>#DIV/0!</v>
      </c>
      <c r="H16" s="26" t="e">
        <f>Summary!H23</f>
        <v>#DIV/0!</v>
      </c>
      <c r="I16" s="26" t="e">
        <f>Summary!I23</f>
        <v>#DIV/0!</v>
      </c>
      <c r="J16" s="47"/>
      <c r="K16" s="26"/>
      <c r="L16" s="26"/>
      <c r="M16" s="26"/>
      <c r="N16" s="26"/>
      <c r="O16" s="26"/>
      <c r="P16" s="48"/>
    </row>
    <row r="17" ht="15.75" customHeight="1" spans="1:16">
      <c r="A17" s="31" t="str">
        <f>Summary!B24</f>
        <v>Overall average</v>
      </c>
      <c r="B17" s="32"/>
      <c r="C17" s="33" t="e">
        <f>Summary!C24</f>
        <v>#DIV/0!</v>
      </c>
      <c r="D17" s="33" t="e">
        <f>Summary!D24</f>
        <v>#DIV/0!</v>
      </c>
      <c r="E17" s="33" t="e">
        <f>Summary!E24</f>
        <v>#DIV/0!</v>
      </c>
      <c r="F17" s="33" t="e">
        <f>Summary!F24</f>
        <v>#DIV/0!</v>
      </c>
      <c r="G17" s="33" t="e">
        <f>Summary!G24</f>
        <v>#DIV/0!</v>
      </c>
      <c r="H17" s="33" t="e">
        <f>Summary!H24</f>
        <v>#DIV/0!</v>
      </c>
      <c r="I17" s="33" t="e">
        <f>Summary!I24</f>
        <v>#DIV/0!</v>
      </c>
      <c r="J17" s="49" t="e">
        <f>Summary!C37</f>
        <v>#DIV/0!</v>
      </c>
      <c r="K17" s="33" t="e">
        <f>Summary!D37</f>
        <v>#DIV/0!</v>
      </c>
      <c r="L17" s="33" t="e">
        <f>Summary!E37</f>
        <v>#DIV/0!</v>
      </c>
      <c r="M17" s="33" t="e">
        <f>Summary!F37</f>
        <v>#DIV/0!</v>
      </c>
      <c r="N17" s="33" t="e">
        <f>Summary!G37</f>
        <v>#DIV/0!</v>
      </c>
      <c r="O17" s="33" t="e">
        <f>Summary!H37</f>
        <v>#DIV/0!</v>
      </c>
      <c r="P17" s="50" t="e">
        <f>Summary!I37</f>
        <v>#DIV/0!</v>
      </c>
    </row>
    <row r="18" spans="1:16">
      <c r="A18" s="30" t="str">
        <f>Summary!B25</f>
        <v>Avg. Enc Time [%]</v>
      </c>
      <c r="B18" s="28"/>
      <c r="C18" s="34">
        <f>Summary!C25</f>
        <v>0</v>
      </c>
      <c r="D18" s="6"/>
      <c r="E18" s="6"/>
      <c r="F18" s="6"/>
      <c r="G18" s="6"/>
      <c r="H18" s="6"/>
      <c r="I18" s="25"/>
      <c r="J18" s="34">
        <f>Summary!C38</f>
        <v>0</v>
      </c>
      <c r="K18" s="6"/>
      <c r="L18" s="6"/>
      <c r="M18" s="6"/>
      <c r="N18" s="6"/>
      <c r="O18" s="6"/>
      <c r="P18" s="25"/>
    </row>
    <row r="19" ht="15.75" customHeight="1" spans="1:16">
      <c r="A19" s="35" t="str">
        <f>Summary!B26</f>
        <v>Avg. Dec Time [%]</v>
      </c>
      <c r="B19" s="9"/>
      <c r="C19" s="36">
        <f>Summary!C26</f>
        <v>0</v>
      </c>
      <c r="D19" s="37"/>
      <c r="E19" s="37"/>
      <c r="F19" s="37"/>
      <c r="G19" s="37"/>
      <c r="H19" s="37"/>
      <c r="I19" s="9"/>
      <c r="J19" s="36">
        <f>Summary!C39</f>
        <v>0</v>
      </c>
      <c r="K19" s="37"/>
      <c r="L19" s="37"/>
      <c r="M19" s="37"/>
      <c r="N19" s="37"/>
      <c r="O19" s="37"/>
      <c r="P19" s="9"/>
    </row>
  </sheetData>
  <mergeCells count="19">
    <mergeCell ref="C1:I1"/>
    <mergeCell ref="J1:P1"/>
    <mergeCell ref="C2:G2"/>
    <mergeCell ref="H2:I2"/>
    <mergeCell ref="J2:N2"/>
    <mergeCell ref="O2:P2"/>
    <mergeCell ref="A13:B13"/>
    <mergeCell ref="A14:B14"/>
    <mergeCell ref="A15:B15"/>
    <mergeCell ref="A16:B16"/>
    <mergeCell ref="A17:B17"/>
    <mergeCell ref="A18:B18"/>
    <mergeCell ref="C18:I18"/>
    <mergeCell ref="J18:P18"/>
    <mergeCell ref="A19:B19"/>
    <mergeCell ref="C19:I19"/>
    <mergeCell ref="J19:P19"/>
    <mergeCell ref="A2:A3"/>
    <mergeCell ref="B2:B3"/>
  </mergeCells>
  <conditionalFormatting sqref="C13:C17">
    <cfRule type="cellIs" dxfId="0" priority="27" operator="greaterThanOrEqual">
      <formula>0.03</formula>
    </cfRule>
    <cfRule type="cellIs" dxfId="1" priority="28" operator="lessThanOrEqual">
      <formula>-0.03</formula>
    </cfRule>
  </conditionalFormatting>
  <conditionalFormatting sqref="D13:D17">
    <cfRule type="cellIs" dxfId="0" priority="23" operator="greaterThanOrEqual">
      <formula>0.03</formula>
    </cfRule>
    <cfRule type="cellIs" dxfId="1" priority="24" operator="lessThanOrEqual">
      <formula>-0.03</formula>
    </cfRule>
  </conditionalFormatting>
  <conditionalFormatting sqref="E13:E17">
    <cfRule type="cellIs" dxfId="0" priority="17" operator="greaterThanOrEqual">
      <formula>0.03</formula>
    </cfRule>
    <cfRule type="cellIs" dxfId="1" priority="18" operator="lessThanOrEqual">
      <formula>-0.03</formula>
    </cfRule>
  </conditionalFormatting>
  <conditionalFormatting sqref="F13:F17">
    <cfRule type="cellIs" dxfId="0" priority="15" operator="greaterThanOrEqual">
      <formula>0.03</formula>
    </cfRule>
    <cfRule type="cellIs" dxfId="1" priority="16" operator="lessThanOrEqual">
      <formula>-0.03</formula>
    </cfRule>
  </conditionalFormatting>
  <conditionalFormatting sqref="G13:G17">
    <cfRule type="cellIs" dxfId="0" priority="25" operator="greaterThanOrEqual">
      <formula>0.03</formula>
    </cfRule>
    <cfRule type="cellIs" dxfId="1" priority="26" operator="lessThanOrEqual">
      <formula>-0.03</formula>
    </cfRule>
  </conditionalFormatting>
  <conditionalFormatting sqref="H13:H17">
    <cfRule type="cellIs" dxfId="0" priority="21" operator="greaterThanOrEqual">
      <formula>0.03</formula>
    </cfRule>
    <cfRule type="cellIs" dxfId="1" priority="22" operator="lessThanOrEqual">
      <formula>-0.03</formula>
    </cfRule>
  </conditionalFormatting>
  <conditionalFormatting sqref="I13:I17">
    <cfRule type="cellIs" dxfId="0" priority="19" operator="greaterThanOrEqual">
      <formula>0.03</formula>
    </cfRule>
    <cfRule type="cellIs" dxfId="1" priority="20" operator="lessThanOrEqual">
      <formula>-0.03</formula>
    </cfRule>
  </conditionalFormatting>
  <conditionalFormatting sqref="J13:J17">
    <cfRule type="cellIs" dxfId="0" priority="1" operator="greaterThanOrEqual">
      <formula>0.03</formula>
    </cfRule>
    <cfRule type="cellIs" dxfId="1" priority="2" operator="lessThanOrEqual">
      <formula>-0.03</formula>
    </cfRule>
  </conditionalFormatting>
  <conditionalFormatting sqref="K13:K17">
    <cfRule type="cellIs" dxfId="0" priority="5" operator="greaterThanOrEqual">
      <formula>0.03</formula>
    </cfRule>
    <cfRule type="cellIs" dxfId="1" priority="6" operator="lessThanOrEqual">
      <formula>-0.03</formula>
    </cfRule>
  </conditionalFormatting>
  <conditionalFormatting sqref="L13:L17">
    <cfRule type="cellIs" dxfId="0" priority="9" operator="greaterThanOrEqual">
      <formula>0.03</formula>
    </cfRule>
    <cfRule type="cellIs" dxfId="1" priority="10" operator="lessThanOrEqual">
      <formula>-0.03</formula>
    </cfRule>
  </conditionalFormatting>
  <conditionalFormatting sqref="M13:M17">
    <cfRule type="cellIs" dxfId="0" priority="13" operator="greaterThanOrEqual">
      <formula>0.03</formula>
    </cfRule>
    <cfRule type="cellIs" dxfId="1" priority="14" operator="lessThanOrEqual">
      <formula>-0.03</formula>
    </cfRule>
  </conditionalFormatting>
  <conditionalFormatting sqref="N13:N17">
    <cfRule type="cellIs" dxfId="0" priority="3" operator="greaterThanOrEqual">
      <formula>0.03</formula>
    </cfRule>
    <cfRule type="cellIs" dxfId="1" priority="4" operator="lessThanOrEqual">
      <formula>-0.03</formula>
    </cfRule>
  </conditionalFormatting>
  <conditionalFormatting sqref="O13:O17">
    <cfRule type="cellIs" dxfId="0" priority="7" operator="greaterThanOrEqual">
      <formula>0.03</formula>
    </cfRule>
    <cfRule type="cellIs" dxfId="1" priority="8" operator="lessThanOrEqual">
      <formula>-0.03</formula>
    </cfRule>
  </conditionalFormatting>
  <conditionalFormatting sqref="P13:P17">
    <cfRule type="cellIs" dxfId="0" priority="11" operator="greaterThanOrEqual">
      <formula>0.03</formula>
    </cfRule>
    <cfRule type="cellIs" dxfId="1" priority="12" operator="lessThanOrEqual">
      <formula>-0.03</formula>
    </cfRule>
  </conditionalFormatting>
  <conditionalFormatting sqref="C4:P12">
    <cfRule type="cellIs" dxfId="0" priority="29" operator="greaterThanOrEqual">
      <formula>0.03</formula>
    </cfRule>
    <cfRule type="cellIs" dxfId="1" priority="30" operator="lessThanOrEqual">
      <formula>-0.03</formula>
    </cfRule>
  </conditionalFormatting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Summary</vt:lpstr>
      <vt:lpstr>Graphs</vt:lpstr>
      <vt:lpstr>C0 lossless AI</vt:lpstr>
      <vt:lpstr>names</vt:lpstr>
      <vt:lpstr>C1 lossy AI</vt:lpstr>
      <vt:lpstr>C2 lossy RA</vt:lpstr>
      <vt:lpstr>Results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dynamic mesh coding reporting template WG7/N231</dc:title>
  <dc:creator>Bracco Graziosi, Danillo</dc:creator>
  <cp:lastModifiedBy>刘鹏玥</cp:lastModifiedBy>
  <dcterms:created xsi:type="dcterms:W3CDTF">2021-10-29T10:34:00Z</dcterms:created>
  <dcterms:modified xsi:type="dcterms:W3CDTF">2025-03-11T15:43:17Z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2052-11.1.0.12165</vt:lpwstr>
  </property>
  <property fmtid="{D5CDD505-2E9C-101B-9397-08002B2CF9AE}" pid="3" name="ICV">
    <vt:lpwstr>9D5D8050A0C04024ABBD0B0A70C326C2</vt:lpwstr>
  </property>
</Properties>
</file>