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LPY\vmesh\v12.0_integration\results\"/>
    </mc:Choice>
  </mc:AlternateContent>
  <bookViews>
    <workbookView xWindow="0" yWindow="0" windowWidth="20910" windowHeight="9210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52511"/>
</workbook>
</file>

<file path=xl/calcChain.xml><?xml version="1.0" encoding="utf-8"?>
<calcChain xmlns="http://schemas.openxmlformats.org/spreadsheetml/2006/main">
  <c r="A19" i="7" l="1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X50" i="6" s="1"/>
  <c r="C39" i="1" s="1"/>
  <c r="J19" i="7" s="1"/>
  <c r="AW49" i="6"/>
  <c r="AC49" i="6"/>
  <c r="AB49" i="6"/>
  <c r="BT44" i="6"/>
  <c r="BS44" i="6"/>
  <c r="BR44" i="6"/>
  <c r="BQ44" i="6"/>
  <c r="BP44" i="6"/>
  <c r="AH44" i="6"/>
  <c r="AG44" i="6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G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/>
  <c r="AF41" i="6"/>
  <c r="AE41" i="6"/>
  <c r="M41" i="6"/>
  <c r="L41" i="6" s="1"/>
  <c r="K41" i="6"/>
  <c r="J41" i="6"/>
  <c r="BT40" i="6"/>
  <c r="BS40" i="6"/>
  <c r="BR40" i="6"/>
  <c r="BQ40" i="6"/>
  <c r="BP40" i="6"/>
  <c r="BN40" i="6" a="1"/>
  <c r="BN40" i="6" s="1"/>
  <c r="BL40" i="6" a="1"/>
  <c r="BL40" i="6" s="1"/>
  <c r="BK40" i="6" a="1"/>
  <c r="BK40" i="6" s="1"/>
  <c r="BJ40" i="6" a="1"/>
  <c r="BJ40" i="6" s="1"/>
  <c r="AH40" i="6"/>
  <c r="AF40" i="6"/>
  <c r="AE40" i="6"/>
  <c r="M40" i="6"/>
  <c r="K40" i="6"/>
  <c r="J40" i="6"/>
  <c r="BT39" i="6"/>
  <c r="BS39" i="6"/>
  <c r="BR39" i="6"/>
  <c r="BQ39" i="6"/>
  <c r="BP39" i="6"/>
  <c r="AH39" i="6"/>
  <c r="AG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BN35" i="6" a="1"/>
  <c r="BN35" i="6" s="1"/>
  <c r="BL35" i="6" a="1"/>
  <c r="BL35" i="6" s="1"/>
  <c r="BK35" i="6" a="1"/>
  <c r="BK35" i="6" s="1"/>
  <c r="BJ35" i="6" a="1"/>
  <c r="BJ35" i="6" s="1"/>
  <c r="AH35" i="6"/>
  <c r="AF35" i="6"/>
  <c r="AE35" i="6"/>
  <c r="M35" i="6"/>
  <c r="L35" i="6" s="1"/>
  <c r="K35" i="6"/>
  <c r="J35" i="6"/>
  <c r="BT34" i="6"/>
  <c r="BS34" i="6"/>
  <c r="BR34" i="6"/>
  <c r="BQ34" i="6"/>
  <c r="BP34" i="6"/>
  <c r="AH34" i="6"/>
  <c r="AG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/>
  <c r="AF31" i="6"/>
  <c r="AE31" i="6"/>
  <c r="M31" i="6"/>
  <c r="K31" i="6"/>
  <c r="J31" i="6"/>
  <c r="BT30" i="6"/>
  <c r="BS30" i="6"/>
  <c r="BR30" i="6"/>
  <c r="BQ30" i="6"/>
  <c r="BP30" i="6"/>
  <c r="BN30" i="6" a="1"/>
  <c r="BN30" i="6" s="1"/>
  <c r="BL30" i="6" a="1"/>
  <c r="BL30" i="6" s="1"/>
  <c r="BK30" i="6" a="1"/>
  <c r="BK30" i="6" s="1"/>
  <c r="BJ30" i="6" a="1"/>
  <c r="BJ30" i="6" s="1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G29" i="6"/>
  <c r="AF29" i="6"/>
  <c r="AE29" i="6"/>
  <c r="M29" i="6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BN25" i="6" a="1"/>
  <c r="BN25" i="6" s="1"/>
  <c r="BL25" i="6" a="1"/>
  <c r="BL25" i="6" s="1"/>
  <c r="BK25" i="6" a="1"/>
  <c r="BK25" i="6" s="1"/>
  <c r="BJ25" i="6" a="1"/>
  <c r="BJ25" i="6" s="1"/>
  <c r="AH25" i="6"/>
  <c r="AG25" i="6"/>
  <c r="AF25" i="6"/>
  <c r="AF47" i="6" s="1"/>
  <c r="AE25" i="6"/>
  <c r="M25" i="6"/>
  <c r="L25" i="6" s="1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/>
  <c r="AF21" i="6"/>
  <c r="AE21" i="6"/>
  <c r="M21" i="6"/>
  <c r="L21" i="6" s="1"/>
  <c r="K21" i="6"/>
  <c r="J21" i="6"/>
  <c r="BT20" i="6"/>
  <c r="BS20" i="6"/>
  <c r="BR20" i="6"/>
  <c r="BQ20" i="6"/>
  <c r="BP20" i="6"/>
  <c r="BN20" i="6" a="1"/>
  <c r="BN20" i="6" s="1"/>
  <c r="BL20" i="6" a="1"/>
  <c r="BL20" i="6" s="1"/>
  <c r="BK20" i="6" a="1"/>
  <c r="BK20" i="6" s="1"/>
  <c r="BJ20" i="6" a="1"/>
  <c r="BJ20" i="6" s="1"/>
  <c r="AH20" i="6"/>
  <c r="BH20" i="6" s="1" a="1"/>
  <c r="BH20" i="6" s="1"/>
  <c r="AF20" i="6"/>
  <c r="AE20" i="6"/>
  <c r="M20" i="6"/>
  <c r="K20" i="6"/>
  <c r="J20" i="6"/>
  <c r="BT19" i="6"/>
  <c r="BS19" i="6"/>
  <c r="BR19" i="6"/>
  <c r="BQ19" i="6"/>
  <c r="BP19" i="6"/>
  <c r="AH19" i="6"/>
  <c r="AG19" i="6"/>
  <c r="AF19" i="6"/>
  <c r="AE19" i="6"/>
  <c r="M19" i="6"/>
  <c r="L19" i="6" s="1"/>
  <c r="K19" i="6"/>
  <c r="J19" i="6"/>
  <c r="BT18" i="6"/>
  <c r="BS18" i="6"/>
  <c r="BR18" i="6"/>
  <c r="BQ18" i="6"/>
  <c r="BP18" i="6"/>
  <c r="AH18" i="6"/>
  <c r="AG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/>
  <c r="AF16" i="6"/>
  <c r="AE16" i="6"/>
  <c r="M16" i="6"/>
  <c r="K16" i="6"/>
  <c r="J16" i="6"/>
  <c r="BT15" i="6"/>
  <c r="BS15" i="6"/>
  <c r="BR15" i="6"/>
  <c r="BQ15" i="6"/>
  <c r="BP15" i="6"/>
  <c r="BN15" i="6" a="1"/>
  <c r="BN15" i="6" s="1"/>
  <c r="BL15" i="6" a="1"/>
  <c r="BL15" i="6" s="1"/>
  <c r="BK15" i="6" a="1"/>
  <c r="BK15" i="6" s="1"/>
  <c r="BJ15" i="6" a="1"/>
  <c r="BJ15" i="6" s="1"/>
  <c r="AH15" i="6"/>
  <c r="AF15" i="6"/>
  <c r="AF46" i="6" s="1"/>
  <c r="AE15" i="6"/>
  <c r="M15" i="6"/>
  <c r="L15" i="6" s="1"/>
  <c r="K15" i="6"/>
  <c r="J15" i="6"/>
  <c r="BT14" i="6"/>
  <c r="BS14" i="6"/>
  <c r="BR14" i="6"/>
  <c r="BQ14" i="6"/>
  <c r="BP14" i="6"/>
  <c r="AH14" i="6"/>
  <c r="AG14" i="6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/>
  <c r="AF13" i="6"/>
  <c r="AE13" i="6"/>
  <c r="M13" i="6"/>
  <c r="L13" i="6" s="1"/>
  <c r="K13" i="6"/>
  <c r="J13" i="6"/>
  <c r="BT12" i="6"/>
  <c r="BS12" i="6"/>
  <c r="BR12" i="6"/>
  <c r="BQ12" i="6"/>
  <c r="BP12" i="6"/>
  <c r="AH12" i="6"/>
  <c r="AF12" i="6"/>
  <c r="AE12" i="6"/>
  <c r="M12" i="6"/>
  <c r="L12" i="6" s="1"/>
  <c r="K12" i="6"/>
  <c r="J12" i="6"/>
  <c r="BT11" i="6"/>
  <c r="BS11" i="6"/>
  <c r="BR11" i="6"/>
  <c r="BQ11" i="6"/>
  <c r="BP11" i="6"/>
  <c r="AH11" i="6"/>
  <c r="AG11" i="6"/>
  <c r="AF11" i="6"/>
  <c r="AE11" i="6"/>
  <c r="M11" i="6"/>
  <c r="L11" i="6" s="1"/>
  <c r="K11" i="6"/>
  <c r="J11" i="6"/>
  <c r="BT10" i="6"/>
  <c r="BS10" i="6"/>
  <c r="BR10" i="6"/>
  <c r="BQ10" i="6"/>
  <c r="BP10" i="6"/>
  <c r="BN10" i="6" a="1"/>
  <c r="BN10" i="6" s="1"/>
  <c r="BL10" i="6" a="1"/>
  <c r="BL10" i="6" s="1"/>
  <c r="BK10" i="6" a="1"/>
  <c r="BK10" i="6" s="1"/>
  <c r="BJ10" i="6" a="1"/>
  <c r="BJ10" i="6" s="1"/>
  <c r="AH10" i="6"/>
  <c r="AF10" i="6"/>
  <c r="AE10" i="6"/>
  <c r="M10" i="6"/>
  <c r="L10" i="6" s="1"/>
  <c r="K10" i="6"/>
  <c r="J10" i="6"/>
  <c r="BT9" i="6"/>
  <c r="BS9" i="6"/>
  <c r="BR9" i="6"/>
  <c r="BQ9" i="6"/>
  <c r="BP9" i="6"/>
  <c r="AH9" i="6"/>
  <c r="AG9" i="6"/>
  <c r="AF9" i="6"/>
  <c r="AE9" i="6"/>
  <c r="M9" i="6"/>
  <c r="L9" i="6" s="1"/>
  <c r="K9" i="6"/>
  <c r="J9" i="6"/>
  <c r="BT8" i="6"/>
  <c r="BS8" i="6"/>
  <c r="BR8" i="6"/>
  <c r="BQ8" i="6"/>
  <c r="BP8" i="6"/>
  <c r="AH8" i="6"/>
  <c r="AG8" i="6"/>
  <c r="AF8" i="6"/>
  <c r="AE8" i="6"/>
  <c r="M8" i="6"/>
  <c r="K8" i="6"/>
  <c r="J8" i="6"/>
  <c r="BT7" i="6"/>
  <c r="BS7" i="6"/>
  <c r="BR7" i="6"/>
  <c r="BQ7" i="6"/>
  <c r="BP7" i="6"/>
  <c r="AH7" i="6"/>
  <c r="AG7" i="6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BN5" i="6" a="1"/>
  <c r="BN5" i="6" s="1"/>
  <c r="BL5" i="6" a="1"/>
  <c r="BL5" i="6"/>
  <c r="BK5" i="6" a="1"/>
  <c r="BK5" i="6" s="1"/>
  <c r="BJ5" i="6" a="1"/>
  <c r="BJ5" i="6" s="1"/>
  <c r="AH5" i="6"/>
  <c r="AG5" i="6"/>
  <c r="AF5" i="6"/>
  <c r="AE5" i="6"/>
  <c r="M5" i="6"/>
  <c r="L5" i="6" s="1"/>
  <c r="K5" i="6"/>
  <c r="J5" i="6"/>
  <c r="AE1" i="6"/>
  <c r="J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AW56" i="5" s="1"/>
  <c r="C25" i="1" s="1"/>
  <c r="C18" i="7" s="1"/>
  <c r="BT49" i="5"/>
  <c r="BS49" i="5"/>
  <c r="BR49" i="5"/>
  <c r="BQ49" i="5"/>
  <c r="BP49" i="5"/>
  <c r="AH49" i="5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/>
  <c r="AF47" i="5"/>
  <c r="AE47" i="5"/>
  <c r="M47" i="5"/>
  <c r="L47" i="5" s="1"/>
  <c r="AG102" i="5" s="1"/>
  <c r="K47" i="5"/>
  <c r="J47" i="5"/>
  <c r="BT46" i="5"/>
  <c r="BS46" i="5"/>
  <c r="BR46" i="5"/>
  <c r="BQ46" i="5"/>
  <c r="BP46" i="5"/>
  <c r="AH46" i="5"/>
  <c r="AG46" i="5" s="1"/>
  <c r="AF46" i="5"/>
  <c r="AF53" i="5" s="1"/>
  <c r="AE46" i="5"/>
  <c r="M46" i="5"/>
  <c r="L46" i="5" s="1"/>
  <c r="K46" i="5"/>
  <c r="J46" i="5"/>
  <c r="BT45" i="5"/>
  <c r="BS45" i="5"/>
  <c r="BR45" i="5"/>
  <c r="BR53" i="5" s="1"/>
  <c r="BQ45" i="5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/>
  <c r="AF45" i="5"/>
  <c r="AE45" i="5"/>
  <c r="M45" i="5"/>
  <c r="L45" i="5" s="1"/>
  <c r="K45" i="5"/>
  <c r="J45" i="5"/>
  <c r="BT44" i="5"/>
  <c r="BS44" i="5"/>
  <c r="BR44" i="5"/>
  <c r="BQ44" i="5"/>
  <c r="BP44" i="5"/>
  <c r="AH44" i="5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/>
  <c r="AF43" i="5"/>
  <c r="AE43" i="5"/>
  <c r="M43" i="5"/>
  <c r="AH98" i="5" s="1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BN40" i="5" a="1"/>
  <c r="BN40" i="5" s="1"/>
  <c r="BL40" i="5" a="1"/>
  <c r="BL40" i="5" s="1"/>
  <c r="BK40" i="5" a="1"/>
  <c r="BK40" i="5" s="1"/>
  <c r="BJ40" i="5" a="1"/>
  <c r="BJ40" i="5" s="1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BN35" i="5" a="1"/>
  <c r="BN35" i="5" s="1"/>
  <c r="BL35" i="5" a="1"/>
  <c r="BL35" i="5" s="1"/>
  <c r="BK35" i="5" a="1"/>
  <c r="BK35" i="5" s="1"/>
  <c r="BJ35" i="5" a="1"/>
  <c r="BJ35" i="5" s="1"/>
  <c r="AH35" i="5"/>
  <c r="AF35" i="5"/>
  <c r="AE35" i="5"/>
  <c r="M35" i="5"/>
  <c r="L35" i="5" s="1"/>
  <c r="K35" i="5"/>
  <c r="J35" i="5"/>
  <c r="BT34" i="5"/>
  <c r="BS34" i="5"/>
  <c r="BR34" i="5"/>
  <c r="BQ34" i="5"/>
  <c r="BP34" i="5"/>
  <c r="AH34" i="5"/>
  <c r="AG34" i="5"/>
  <c r="AF34" i="5"/>
  <c r="AE34" i="5"/>
  <c r="M34" i="5"/>
  <c r="L34" i="5" s="1"/>
  <c r="AG89" i="5" s="1"/>
  <c r="K34" i="5"/>
  <c r="J34" i="5"/>
  <c r="BT33" i="5"/>
  <c r="BS33" i="5"/>
  <c r="BR33" i="5"/>
  <c r="BQ33" i="5"/>
  <c r="BP33" i="5"/>
  <c r="AH33" i="5"/>
  <c r="AF33" i="5"/>
  <c r="AE33" i="5"/>
  <c r="M33" i="5"/>
  <c r="L33" i="5" s="1"/>
  <c r="K33" i="5"/>
  <c r="J33" i="5"/>
  <c r="BT32" i="5"/>
  <c r="BS32" i="5"/>
  <c r="BR32" i="5"/>
  <c r="BQ32" i="5"/>
  <c r="BP32" i="5"/>
  <c r="AH32" i="5"/>
  <c r="AG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G31" i="5"/>
  <c r="AF31" i="5"/>
  <c r="AE31" i="5"/>
  <c r="M31" i="5"/>
  <c r="L31" i="5" s="1"/>
  <c r="K31" i="5"/>
  <c r="J31" i="5"/>
  <c r="BT30" i="5"/>
  <c r="BS30" i="5"/>
  <c r="BR30" i="5"/>
  <c r="BQ30" i="5"/>
  <c r="BP30" i="5"/>
  <c r="BN30" i="5" a="1"/>
  <c r="BN30" i="5" s="1"/>
  <c r="BL30" i="5" a="1"/>
  <c r="BL30" i="5" s="1"/>
  <c r="BK30" i="5" a="1"/>
  <c r="BK30" i="5" s="1"/>
  <c r="BJ30" i="5" a="1"/>
  <c r="BJ30" i="5" s="1"/>
  <c r="AH30" i="5"/>
  <c r="AG30" i="5"/>
  <c r="AF30" i="5"/>
  <c r="AE30" i="5"/>
  <c r="M30" i="5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G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G26" i="5"/>
  <c r="AF26" i="5"/>
  <c r="AE26" i="5"/>
  <c r="M26" i="5"/>
  <c r="L26" i="5" s="1"/>
  <c r="K26" i="5"/>
  <c r="J26" i="5"/>
  <c r="BT25" i="5"/>
  <c r="BS25" i="5"/>
  <c r="BR25" i="5"/>
  <c r="BQ25" i="5"/>
  <c r="BP25" i="5"/>
  <c r="BN25" i="5" a="1"/>
  <c r="BN25" i="5" s="1"/>
  <c r="BL25" i="5" a="1"/>
  <c r="BL25" i="5" s="1"/>
  <c r="BK25" i="5" a="1"/>
  <c r="BK25" i="5" s="1"/>
  <c r="BJ25" i="5" a="1"/>
  <c r="BJ25" i="5" s="1"/>
  <c r="AH25" i="5"/>
  <c r="AF25" i="5"/>
  <c r="AF52" i="5" s="1"/>
  <c r="AE25" i="5"/>
  <c r="M25" i="5"/>
  <c r="L25" i="5" s="1"/>
  <c r="K25" i="5"/>
  <c r="J25" i="5"/>
  <c r="BT24" i="5"/>
  <c r="BS24" i="5"/>
  <c r="BR24" i="5"/>
  <c r="BQ24" i="5"/>
  <c r="BP24" i="5"/>
  <c r="AH24" i="5"/>
  <c r="AG24" i="5"/>
  <c r="AG79" i="5" s="1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G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G21" i="5" s="1"/>
  <c r="AF21" i="5"/>
  <c r="AE21" i="5"/>
  <c r="M21" i="5"/>
  <c r="L21" i="5" s="1"/>
  <c r="K21" i="5"/>
  <c r="J21" i="5"/>
  <c r="BT20" i="5"/>
  <c r="BS20" i="5"/>
  <c r="BR20" i="5"/>
  <c r="BQ20" i="5"/>
  <c r="BP20" i="5"/>
  <c r="BN20" i="5" a="1"/>
  <c r="BN20" i="5" s="1"/>
  <c r="BL20" i="5" a="1"/>
  <c r="BL20" i="5" s="1"/>
  <c r="BK20" i="5" a="1"/>
  <c r="BK20" i="5" s="1"/>
  <c r="BJ20" i="5" a="1"/>
  <c r="BJ20" i="5" s="1"/>
  <c r="AH20" i="5"/>
  <c r="AG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G19" i="5" s="1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L18" i="5" s="1"/>
  <c r="K18" i="5"/>
  <c r="J18" i="5"/>
  <c r="BT17" i="5"/>
  <c r="BS17" i="5"/>
  <c r="BR17" i="5"/>
  <c r="BQ17" i="5"/>
  <c r="BP17" i="5"/>
  <c r="AH17" i="5"/>
  <c r="AG17" i="5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BN15" i="5" a="1"/>
  <c r="BN15" i="5" s="1"/>
  <c r="BL15" i="5" a="1"/>
  <c r="BL15" i="5" s="1"/>
  <c r="BK15" i="5" a="1"/>
  <c r="BK15" i="5" s="1"/>
  <c r="BJ15" i="5" a="1"/>
  <c r="BJ15" i="5" s="1"/>
  <c r="AH15" i="5"/>
  <c r="AG15" i="5" s="1"/>
  <c r="AF15" i="5"/>
  <c r="AF51" i="5" s="1"/>
  <c r="AE15" i="5"/>
  <c r="M15" i="5"/>
  <c r="K15" i="5"/>
  <c r="J15" i="5"/>
  <c r="BT14" i="5"/>
  <c r="BS14" i="5"/>
  <c r="BR14" i="5"/>
  <c r="BQ14" i="5"/>
  <c r="BP14" i="5"/>
  <c r="AH14" i="5"/>
  <c r="AG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/>
  <c r="AF11" i="5"/>
  <c r="AE11" i="5"/>
  <c r="M11" i="5"/>
  <c r="L11" i="5" s="1"/>
  <c r="K11" i="5"/>
  <c r="J11" i="5"/>
  <c r="BT10" i="5"/>
  <c r="BS10" i="5"/>
  <c r="BR10" i="5"/>
  <c r="BQ10" i="5"/>
  <c r="BP10" i="5"/>
  <c r="BN10" i="5" a="1"/>
  <c r="BN10" i="5" s="1"/>
  <c r="BL10" i="5" a="1"/>
  <c r="BL10" i="5" s="1"/>
  <c r="BK10" i="5" a="1"/>
  <c r="BK10" i="5" s="1"/>
  <c r="BJ10" i="5" a="1"/>
  <c r="BJ10" i="5" s="1"/>
  <c r="AH10" i="5"/>
  <c r="AG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/>
  <c r="AF9" i="5"/>
  <c r="AE9" i="5"/>
  <c r="M9" i="5"/>
  <c r="L9" i="5" s="1"/>
  <c r="K9" i="5"/>
  <c r="J9" i="5"/>
  <c r="BT8" i="5"/>
  <c r="BS8" i="5"/>
  <c r="BR8" i="5"/>
  <c r="BQ8" i="5"/>
  <c r="BP8" i="5"/>
  <c r="AH8" i="5"/>
  <c r="AG8" i="5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L7" i="5" s="1"/>
  <c r="K7" i="5"/>
  <c r="J7" i="5"/>
  <c r="BT6" i="5"/>
  <c r="BS6" i="5"/>
  <c r="BR6" i="5"/>
  <c r="BQ6" i="5"/>
  <c r="BP6" i="5"/>
  <c r="AH6" i="5"/>
  <c r="AG6" i="5"/>
  <c r="AF6" i="5"/>
  <c r="AE6" i="5"/>
  <c r="M6" i="5"/>
  <c r="L6" i="5" s="1"/>
  <c r="AG61" i="5" s="1"/>
  <c r="K6" i="5"/>
  <c r="J6" i="5"/>
  <c r="BT5" i="5"/>
  <c r="BS5" i="5"/>
  <c r="BR5" i="5"/>
  <c r="BQ5" i="5"/>
  <c r="BP5" i="5"/>
  <c r="BN5" i="5" a="1"/>
  <c r="BN5" i="5" s="1"/>
  <c r="BL5" i="5" a="1"/>
  <c r="BL5" i="5" s="1"/>
  <c r="BK5" i="5" a="1"/>
  <c r="BK5" i="5" s="1"/>
  <c r="BJ5" i="5" a="1"/>
  <c r="BJ5" i="5" s="1"/>
  <c r="AH5" i="5"/>
  <c r="AG5" i="5" s="1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S20" i="3"/>
  <c r="T19" i="3"/>
  <c r="T20" i="3" s="1"/>
  <c r="C15" i="1" s="1"/>
  <c r="S19" i="3"/>
  <c r="M19" i="3"/>
  <c r="L19" i="3"/>
  <c r="P18" i="3"/>
  <c r="P17" i="3"/>
  <c r="P15" i="3"/>
  <c r="X13" i="3"/>
  <c r="P13" i="3"/>
  <c r="O13" i="3"/>
  <c r="I13" i="3"/>
  <c r="I17" i="3" s="1"/>
  <c r="H13" i="3"/>
  <c r="X12" i="3"/>
  <c r="P12" i="3"/>
  <c r="V12" i="3" s="1"/>
  <c r="O12" i="3"/>
  <c r="I12" i="3"/>
  <c r="H12" i="3"/>
  <c r="X11" i="3"/>
  <c r="P11" i="3"/>
  <c r="O11" i="3"/>
  <c r="I11" i="3"/>
  <c r="H11" i="3"/>
  <c r="X10" i="3"/>
  <c r="X17" i="3" s="1"/>
  <c r="P10" i="3"/>
  <c r="O10" i="3"/>
  <c r="I10" i="3"/>
  <c r="H10" i="3"/>
  <c r="X9" i="3"/>
  <c r="P9" i="3"/>
  <c r="V9" i="3" s="1"/>
  <c r="O9" i="3"/>
  <c r="I9" i="3"/>
  <c r="H9" i="3"/>
  <c r="X8" i="3"/>
  <c r="P8" i="3"/>
  <c r="O8" i="3"/>
  <c r="I8" i="3"/>
  <c r="H8" i="3"/>
  <c r="X7" i="3"/>
  <c r="P7" i="3"/>
  <c r="O7" i="3"/>
  <c r="I7" i="3"/>
  <c r="I15" i="3" s="1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C14" i="1"/>
  <c r="AH66" i="6" l="1"/>
  <c r="AH64" i="6"/>
  <c r="BS47" i="6"/>
  <c r="BL47" i="6"/>
  <c r="BI10" i="6" a="1"/>
  <c r="BI10" i="6" s="1"/>
  <c r="BH35" i="6" a="1"/>
  <c r="BH35" i="6" s="1"/>
  <c r="AH90" i="6"/>
  <c r="AH91" i="6"/>
  <c r="BK46" i="6"/>
  <c r="AG54" i="6"/>
  <c r="BJ46" i="6"/>
  <c r="AH79" i="6"/>
  <c r="BI15" i="6" a="1"/>
  <c r="BI15" i="6" s="1"/>
  <c r="BM40" i="6" a="1"/>
  <c r="BM40" i="6" s="1"/>
  <c r="AG74" i="6"/>
  <c r="AH54" i="6"/>
  <c r="BR46" i="6"/>
  <c r="AH74" i="6"/>
  <c r="BM35" i="6" a="1"/>
  <c r="BM35" i="6" s="1"/>
  <c r="AH55" i="6"/>
  <c r="AG92" i="6"/>
  <c r="AH93" i="6"/>
  <c r="AG56" i="6"/>
  <c r="AH56" i="6"/>
  <c r="AH85" i="6"/>
  <c r="AG86" i="6"/>
  <c r="AG88" i="6"/>
  <c r="AH89" i="6"/>
  <c r="BH10" i="6" a="1"/>
  <c r="BH10" i="6" s="1"/>
  <c r="AH62" i="6"/>
  <c r="AG63" i="6"/>
  <c r="BN46" i="6"/>
  <c r="AH86" i="6"/>
  <c r="AH88" i="6"/>
  <c r="BH40" i="6" a="1"/>
  <c r="BH40" i="6" s="1"/>
  <c r="AW50" i="6"/>
  <c r="C38" i="1" s="1"/>
  <c r="J18" i="7" s="1"/>
  <c r="AH75" i="5"/>
  <c r="AH81" i="5"/>
  <c r="AH65" i="5"/>
  <c r="BP52" i="5"/>
  <c r="BH30" i="5" a="1"/>
  <c r="BH30" i="5" s="1"/>
  <c r="AG74" i="5"/>
  <c r="AG82" i="5"/>
  <c r="AG84" i="5"/>
  <c r="AG86" i="5"/>
  <c r="BP53" i="5"/>
  <c r="AH89" i="5"/>
  <c r="BR54" i="5"/>
  <c r="AG66" i="5"/>
  <c r="AH69" i="5"/>
  <c r="BJ51" i="5"/>
  <c r="BR51" i="5"/>
  <c r="AH87" i="5"/>
  <c r="AH66" i="5"/>
  <c r="AG75" i="5"/>
  <c r="AH77" i="5"/>
  <c r="AH71" i="5"/>
  <c r="L30" i="5"/>
  <c r="BT53" i="5"/>
  <c r="K50" i="5"/>
  <c r="BS51" i="5"/>
  <c r="AG76" i="5"/>
  <c r="AH84" i="5"/>
  <c r="AG85" i="5"/>
  <c r="AH86" i="5"/>
  <c r="AG87" i="5"/>
  <c r="AH90" i="5"/>
  <c r="BH40" i="5" a="1"/>
  <c r="BH40" i="5" s="1"/>
  <c r="AG100" i="5"/>
  <c r="BN51" i="5"/>
  <c r="AH73" i="5"/>
  <c r="K53" i="5"/>
  <c r="BH15" i="5" a="1"/>
  <c r="BH15" i="5" s="1"/>
  <c r="BT51" i="5"/>
  <c r="BQ52" i="5"/>
  <c r="AH61" i="5"/>
  <c r="BP51" i="5"/>
  <c r="BI25" i="5" a="1"/>
  <c r="BI25" i="5" s="1"/>
  <c r="BS52" i="5"/>
  <c r="BM30" i="5" a="1"/>
  <c r="BM30" i="5" s="1"/>
  <c r="BN50" i="5"/>
  <c r="AG63" i="5"/>
  <c r="BQ54" i="5"/>
  <c r="AG81" i="5"/>
  <c r="AX56" i="5"/>
  <c r="C26" i="1" s="1"/>
  <c r="C19" i="7" s="1"/>
  <c r="V8" i="3"/>
  <c r="X16" i="3"/>
  <c r="I18" i="3"/>
  <c r="V7" i="3"/>
  <c r="V13" i="3"/>
  <c r="X14" i="3"/>
  <c r="X15" i="3"/>
  <c r="V5" i="3"/>
  <c r="I16" i="3"/>
  <c r="V11" i="3"/>
  <c r="I14" i="3"/>
  <c r="V6" i="3"/>
  <c r="V10" i="3"/>
  <c r="V17" i="3"/>
  <c r="BK52" i="5"/>
  <c r="BJ47" i="6"/>
  <c r="BL46" i="6"/>
  <c r="BK47" i="6"/>
  <c r="BL51" i="5"/>
  <c r="BE5" i="5" a="1"/>
  <c r="BE5" i="5" s="1"/>
  <c r="BB5" i="5" a="1"/>
  <c r="BB5" i="5" s="1"/>
  <c r="BC5" i="5" a="1"/>
  <c r="BC5" i="5" s="1"/>
  <c r="BF5" i="5" a="1"/>
  <c r="BF5" i="5" s="1"/>
  <c r="BD5" i="5" a="1"/>
  <c r="BD5" i="5" s="1"/>
  <c r="BA5" i="5" a="1"/>
  <c r="BA5" i="5" s="1"/>
  <c r="AZ5" i="5" a="1"/>
  <c r="AZ5" i="5" s="1"/>
  <c r="V15" i="3"/>
  <c r="C10" i="1" s="1"/>
  <c r="BL50" i="5"/>
  <c r="BL54" i="5"/>
  <c r="AG60" i="5"/>
  <c r="AG62" i="5"/>
  <c r="V18" i="3"/>
  <c r="BJ50" i="5"/>
  <c r="BJ54" i="5"/>
  <c r="BM5" i="5" a="1"/>
  <c r="BM5" i="5" s="1"/>
  <c r="AF48" i="6"/>
  <c r="AF45" i="6"/>
  <c r="L29" i="6"/>
  <c r="BB25" i="6" s="1" a="1"/>
  <c r="BB25" i="6" s="1"/>
  <c r="BI25" i="6" a="1"/>
  <c r="BI25" i="6" s="1"/>
  <c r="AG67" i="5"/>
  <c r="BI15" i="5" a="1"/>
  <c r="BI15" i="5" s="1"/>
  <c r="BJ45" i="6"/>
  <c r="BJ48" i="6"/>
  <c r="BN48" i="6"/>
  <c r="BN45" i="6"/>
  <c r="P14" i="3"/>
  <c r="V14" i="3" s="1"/>
  <c r="C9" i="1" s="1"/>
  <c r="X18" i="3"/>
  <c r="AF54" i="5"/>
  <c r="BH5" i="5" a="1"/>
  <c r="BH5" i="5" s="1"/>
  <c r="BI10" i="5" a="1"/>
  <c r="BI10" i="5" s="1"/>
  <c r="BH10" i="5" a="1"/>
  <c r="BH10" i="5" s="1"/>
  <c r="AH68" i="5"/>
  <c r="AG13" i="5"/>
  <c r="AG68" i="5" s="1"/>
  <c r="AG69" i="5"/>
  <c r="BM15" i="5" a="1"/>
  <c r="BM15" i="5" s="1"/>
  <c r="BH20" i="5" a="1"/>
  <c r="BH20" i="5" s="1"/>
  <c r="BJ52" i="5"/>
  <c r="BN52" i="5"/>
  <c r="AH88" i="5"/>
  <c r="AG33" i="5"/>
  <c r="BD30" i="5" s="1" a="1"/>
  <c r="BD30" i="5" s="1"/>
  <c r="G9" i="7" s="1"/>
  <c r="AG41" i="5"/>
  <c r="AG96" i="5" s="1"/>
  <c r="AH96" i="5"/>
  <c r="BM45" i="5" a="1"/>
  <c r="BM45" i="5" s="1"/>
  <c r="BM53" i="5" s="1"/>
  <c r="BS53" i="5"/>
  <c r="AH92" i="5"/>
  <c r="K47" i="6"/>
  <c r="BK50" i="5"/>
  <c r="BK54" i="5"/>
  <c r="BC10" i="5" a="1"/>
  <c r="BC10" i="5" s="1"/>
  <c r="F5" i="7" s="1"/>
  <c r="BM25" i="5" a="1"/>
  <c r="BM25" i="5" s="1"/>
  <c r="BP54" i="5"/>
  <c r="AG16" i="5"/>
  <c r="AG71" i="5" s="1"/>
  <c r="BM20" i="5" a="1"/>
  <c r="BM20" i="5" s="1"/>
  <c r="BI20" i="5" a="1"/>
  <c r="BI20" i="5" s="1"/>
  <c r="AG28" i="5"/>
  <c r="AG83" i="5" s="1"/>
  <c r="AH83" i="5"/>
  <c r="AG101" i="5"/>
  <c r="AG103" i="5"/>
  <c r="BP50" i="5"/>
  <c r="AH102" i="5"/>
  <c r="BK45" i="6"/>
  <c r="BK48" i="6"/>
  <c r="AG62" i="6"/>
  <c r="BM20" i="6" a="1"/>
  <c r="BM20" i="6" s="1"/>
  <c r="BT54" i="5"/>
  <c r="BT50" i="5"/>
  <c r="AH97" i="5"/>
  <c r="AG42" i="5"/>
  <c r="AG97" i="5" s="1"/>
  <c r="AH60" i="5"/>
  <c r="AH62" i="5"/>
  <c r="AG64" i="5"/>
  <c r="K51" i="5"/>
  <c r="AH70" i="5"/>
  <c r="BK51" i="5"/>
  <c r="AG72" i="5"/>
  <c r="AH76" i="5"/>
  <c r="AG77" i="5"/>
  <c r="AH78" i="5"/>
  <c r="AG23" i="5"/>
  <c r="AG78" i="5" s="1"/>
  <c r="AH80" i="5"/>
  <c r="BE35" i="5" a="1"/>
  <c r="BE35" i="5" s="1"/>
  <c r="H10" i="7" s="1"/>
  <c r="AG92" i="5"/>
  <c r="AH95" i="5"/>
  <c r="AG40" i="5"/>
  <c r="AG95" i="5" s="1"/>
  <c r="BM40" i="5" a="1"/>
  <c r="BM40" i="5" s="1"/>
  <c r="BI40" i="5" a="1"/>
  <c r="BI40" i="5" s="1"/>
  <c r="AG49" i="5"/>
  <c r="AG104" i="5" s="1"/>
  <c r="AH104" i="5"/>
  <c r="AH74" i="5"/>
  <c r="AH61" i="6"/>
  <c r="AG12" i="6"/>
  <c r="AG61" i="6" s="1"/>
  <c r="BM10" i="6" a="1"/>
  <c r="BM10" i="6" s="1"/>
  <c r="BS50" i="5"/>
  <c r="BS54" i="5"/>
  <c r="AH69" i="6"/>
  <c r="AG20" i="6"/>
  <c r="BN54" i="5"/>
  <c r="BE10" i="5" a="1"/>
  <c r="BE10" i="5" s="1"/>
  <c r="H5" i="7" s="1"/>
  <c r="BB10" i="5" a="1"/>
  <c r="BB10" i="5" s="1"/>
  <c r="E5" i="7" s="1"/>
  <c r="BH25" i="5" a="1"/>
  <c r="BH25" i="5" s="1"/>
  <c r="AG44" i="5"/>
  <c r="AG99" i="5" s="1"/>
  <c r="AH99" i="5"/>
  <c r="BT48" i="6"/>
  <c r="BT45" i="6"/>
  <c r="L16" i="6"/>
  <c r="AG65" i="6" s="1"/>
  <c r="BH15" i="6" a="1"/>
  <c r="BH15" i="6" s="1"/>
  <c r="BH46" i="6" s="1"/>
  <c r="AH73" i="6"/>
  <c r="AG24" i="6"/>
  <c r="AG73" i="6" s="1"/>
  <c r="BQ47" i="6"/>
  <c r="P16" i="3"/>
  <c r="V16" i="3" s="1"/>
  <c r="C11" i="1" s="1"/>
  <c r="K54" i="5"/>
  <c r="BI5" i="5" a="1"/>
  <c r="BI5" i="5" s="1"/>
  <c r="BQ50" i="5"/>
  <c r="BR50" i="5"/>
  <c r="AH63" i="5"/>
  <c r="AH64" i="5"/>
  <c r="AG65" i="5"/>
  <c r="BM10" i="5" a="1"/>
  <c r="BM10" i="5" s="1"/>
  <c r="L15" i="5"/>
  <c r="BQ51" i="5"/>
  <c r="AH72" i="5"/>
  <c r="AG18" i="5"/>
  <c r="AG73" i="5" s="1"/>
  <c r="BA20" i="5" a="1"/>
  <c r="BA20" i="5" s="1"/>
  <c r="D7" i="7" s="1"/>
  <c r="K52" i="5"/>
  <c r="BL52" i="5"/>
  <c r="BR52" i="5"/>
  <c r="BF30" i="5" a="1"/>
  <c r="BF30" i="5" s="1"/>
  <c r="I9" i="7" s="1"/>
  <c r="BC30" i="5" a="1"/>
  <c r="BC30" i="5" s="1"/>
  <c r="F9" i="7" s="1"/>
  <c r="AZ30" i="5" a="1"/>
  <c r="AZ30" i="5" s="1"/>
  <c r="C9" i="7" s="1"/>
  <c r="BE30" i="5" a="1"/>
  <c r="BE30" i="5" s="1"/>
  <c r="H9" i="7" s="1"/>
  <c r="BB30" i="5" a="1"/>
  <c r="BB30" i="5" s="1"/>
  <c r="E9" i="7" s="1"/>
  <c r="BI35" i="5" a="1"/>
  <c r="BI35" i="5" s="1"/>
  <c r="BH35" i="5" a="1"/>
  <c r="BH35" i="5" s="1"/>
  <c r="BM35" i="5" a="1"/>
  <c r="BM35" i="5" s="1"/>
  <c r="AH93" i="5"/>
  <c r="AH94" i="5"/>
  <c r="AG39" i="5"/>
  <c r="AG94" i="5" s="1"/>
  <c r="AF50" i="5"/>
  <c r="L8" i="6"/>
  <c r="AZ5" i="6" s="1" a="1"/>
  <c r="AZ5" i="6" s="1"/>
  <c r="BI5" i="6" a="1"/>
  <c r="BI5" i="6" s="1"/>
  <c r="BH5" i="6" a="1"/>
  <c r="BH5" i="6" s="1"/>
  <c r="BI20" i="6" a="1"/>
  <c r="BI20" i="6" s="1"/>
  <c r="BI46" i="6" s="1"/>
  <c r="AH67" i="5"/>
  <c r="BT52" i="5"/>
  <c r="AH85" i="5"/>
  <c r="BI30" i="5" a="1"/>
  <c r="BI30" i="5" s="1"/>
  <c r="L43" i="5"/>
  <c r="BF40" i="5" s="1" a="1"/>
  <c r="BF40" i="5" s="1"/>
  <c r="I11" i="7" s="1"/>
  <c r="AH100" i="5"/>
  <c r="K45" i="6"/>
  <c r="K48" i="6"/>
  <c r="AG6" i="6"/>
  <c r="AG55" i="6" s="1"/>
  <c r="AH63" i="6"/>
  <c r="AG15" i="6"/>
  <c r="AG64" i="6" s="1"/>
  <c r="BT46" i="6"/>
  <c r="L20" i="6"/>
  <c r="BR47" i="6"/>
  <c r="BH25" i="6" a="1"/>
  <c r="BH25" i="6" s="1"/>
  <c r="BF35" i="6" a="1"/>
  <c r="BF35" i="6" s="1"/>
  <c r="P10" i="7" s="1"/>
  <c r="AH91" i="5"/>
  <c r="AG36" i="5"/>
  <c r="AG91" i="5" s="1"/>
  <c r="BD45" i="5" a="1"/>
  <c r="BD45" i="5" s="1"/>
  <c r="BA45" i="5" a="1"/>
  <c r="BA45" i="5" s="1"/>
  <c r="BC45" i="5" a="1"/>
  <c r="BC45" i="5" s="1"/>
  <c r="AH101" i="5"/>
  <c r="BP45" i="6"/>
  <c r="BP48" i="6"/>
  <c r="K46" i="6"/>
  <c r="AG70" i="6"/>
  <c r="BM25" i="6" a="1"/>
  <c r="BM25" i="6" s="1"/>
  <c r="L31" i="6"/>
  <c r="BE30" i="6" s="1" a="1"/>
  <c r="BE30" i="6" s="1"/>
  <c r="O9" i="7" s="1"/>
  <c r="BH30" i="6" a="1"/>
  <c r="BH30" i="6" s="1"/>
  <c r="AH87" i="6"/>
  <c r="AG38" i="6"/>
  <c r="AG87" i="6" s="1"/>
  <c r="AH79" i="5"/>
  <c r="AG25" i="5"/>
  <c r="AG80" i="5" s="1"/>
  <c r="AG35" i="5"/>
  <c r="AG90" i="5" s="1"/>
  <c r="AG38" i="5"/>
  <c r="AG93" i="5" s="1"/>
  <c r="BH45" i="5" a="1"/>
  <c r="BH45" i="5" s="1"/>
  <c r="BH53" i="5" s="1"/>
  <c r="AZ45" i="5" a="1"/>
  <c r="AZ45" i="5" s="1"/>
  <c r="BM5" i="6" a="1"/>
  <c r="BM5" i="6" s="1"/>
  <c r="BL48" i="6"/>
  <c r="BL45" i="6"/>
  <c r="BQ45" i="6"/>
  <c r="BQ48" i="6"/>
  <c r="AH57" i="6"/>
  <c r="AG58" i="6"/>
  <c r="BP46" i="6"/>
  <c r="AH65" i="6"/>
  <c r="AG66" i="6"/>
  <c r="AG67" i="6"/>
  <c r="AH70" i="6"/>
  <c r="AH71" i="6"/>
  <c r="AG22" i="6"/>
  <c r="AG71" i="6" s="1"/>
  <c r="AG72" i="6"/>
  <c r="AH77" i="6"/>
  <c r="AG28" i="6"/>
  <c r="AG77" i="6" s="1"/>
  <c r="AH78" i="6"/>
  <c r="BI35" i="6" a="1"/>
  <c r="BI35" i="6" s="1"/>
  <c r="AH82" i="5"/>
  <c r="BI45" i="5" a="1"/>
  <c r="BI45" i="5" s="1"/>
  <c r="BI53" i="5" s="1"/>
  <c r="BQ53" i="5"/>
  <c r="AH103" i="5"/>
  <c r="BR45" i="6"/>
  <c r="BR48" i="6"/>
  <c r="AH59" i="6"/>
  <c r="AG10" i="6"/>
  <c r="AG59" i="6" s="1"/>
  <c r="AG60" i="6"/>
  <c r="BM15" i="6" a="1"/>
  <c r="BM15" i="6" s="1"/>
  <c r="BQ46" i="6"/>
  <c r="AH67" i="6"/>
  <c r="AG68" i="6"/>
  <c r="AH72" i="6"/>
  <c r="AH76" i="6"/>
  <c r="AG27" i="6"/>
  <c r="AG76" i="6" s="1"/>
  <c r="BS48" i="6"/>
  <c r="BS45" i="6"/>
  <c r="AH58" i="6"/>
  <c r="AH60" i="6"/>
  <c r="BS46" i="6"/>
  <c r="AH68" i="6"/>
  <c r="BP47" i="6"/>
  <c r="AH75" i="6"/>
  <c r="AG78" i="6"/>
  <c r="AH80" i="6"/>
  <c r="AG81" i="6"/>
  <c r="AH83" i="6"/>
  <c r="AG35" i="6"/>
  <c r="BE35" i="6" s="1" a="1"/>
  <c r="BE35" i="6" s="1"/>
  <c r="O10" i="7" s="1"/>
  <c r="AH84" i="6"/>
  <c r="AG90" i="6"/>
  <c r="AG91" i="6"/>
  <c r="AG93" i="6"/>
  <c r="BN47" i="6"/>
  <c r="BT47" i="6"/>
  <c r="BM30" i="6" a="1"/>
  <c r="BM30" i="6" s="1"/>
  <c r="AG26" i="6"/>
  <c r="AG75" i="6" s="1"/>
  <c r="AG80" i="6"/>
  <c r="AH82" i="6"/>
  <c r="AG33" i="6"/>
  <c r="AG82" i="6" s="1"/>
  <c r="AG83" i="6"/>
  <c r="AH81" i="6"/>
  <c r="AG30" i="6"/>
  <c r="AG79" i="6" s="1"/>
  <c r="AG40" i="6"/>
  <c r="AH92" i="6"/>
  <c r="BI30" i="6" a="1"/>
  <c r="BI30" i="6" s="1"/>
  <c r="BI40" i="6" a="1"/>
  <c r="BI40" i="6" s="1"/>
  <c r="AG36" i="6"/>
  <c r="AG85" i="6" s="1"/>
  <c r="L40" i="6"/>
  <c r="AZ15" i="6" l="1" a="1"/>
  <c r="AZ15" i="6" s="1"/>
  <c r="BD15" i="6" a="1"/>
  <c r="BD15" i="6" s="1"/>
  <c r="AG57" i="6"/>
  <c r="BA5" i="6" a="1"/>
  <c r="BA5" i="6" s="1"/>
  <c r="BD5" i="6" a="1"/>
  <c r="BD5" i="6" s="1"/>
  <c r="BC5" i="6" a="1"/>
  <c r="BC5" i="6" s="1"/>
  <c r="M4" i="7" s="1"/>
  <c r="BF5" i="6" a="1"/>
  <c r="BF5" i="6" s="1"/>
  <c r="P4" i="7" s="1"/>
  <c r="BC15" i="6" a="1"/>
  <c r="BC15" i="6" s="1"/>
  <c r="M6" i="7" s="1"/>
  <c r="BF15" i="6" a="1"/>
  <c r="BF15" i="6" s="1"/>
  <c r="P6" i="7" s="1"/>
  <c r="BH51" i="5"/>
  <c r="BM51" i="5"/>
  <c r="BI52" i="5"/>
  <c r="L8" i="7"/>
  <c r="J6" i="7"/>
  <c r="BI45" i="6"/>
  <c r="BI48" i="6"/>
  <c r="BB10" i="6" a="1"/>
  <c r="BB10" i="6" s="1"/>
  <c r="L5" i="7" s="1"/>
  <c r="D4" i="7"/>
  <c r="BM46" i="6"/>
  <c r="K4" i="7"/>
  <c r="BB35" i="6" a="1"/>
  <c r="BB35" i="6" s="1"/>
  <c r="L10" i="7" s="1"/>
  <c r="BH47" i="6"/>
  <c r="BE5" i="6" a="1"/>
  <c r="BE5" i="6" s="1"/>
  <c r="BB5" i="6" a="1"/>
  <c r="BB5" i="6" s="1"/>
  <c r="BE15" i="6" a="1"/>
  <c r="BE15" i="6" s="1"/>
  <c r="BA15" i="6" a="1"/>
  <c r="BA15" i="6" s="1"/>
  <c r="BH52" i="5"/>
  <c r="BF25" i="5" a="1"/>
  <c r="BF25" i="5" s="1"/>
  <c r="BE40" i="5" a="1"/>
  <c r="BE40" i="5" s="1"/>
  <c r="H11" i="7" s="1"/>
  <c r="BD25" i="5" a="1"/>
  <c r="BD25" i="5" s="1"/>
  <c r="BD20" i="5" a="1"/>
  <c r="BD20" i="5" s="1"/>
  <c r="G7" i="7" s="1"/>
  <c r="BC30" i="6" a="1"/>
  <c r="BC30" i="6" s="1"/>
  <c r="M9" i="7" s="1"/>
  <c r="BF10" i="6" a="1"/>
  <c r="BF10" i="6" s="1"/>
  <c r="P5" i="7" s="1"/>
  <c r="BH54" i="5"/>
  <c r="BH50" i="5"/>
  <c r="BD40" i="5" a="1"/>
  <c r="BD40" i="5" s="1"/>
  <c r="G11" i="7" s="1"/>
  <c r="BD35" i="5" a="1"/>
  <c r="BD35" i="5" s="1"/>
  <c r="G10" i="7" s="1"/>
  <c r="BF20" i="5" a="1"/>
  <c r="BF20" i="5" s="1"/>
  <c r="I7" i="7" s="1"/>
  <c r="G4" i="7"/>
  <c r="BA40" i="5" a="1"/>
  <c r="BA40" i="5" s="1"/>
  <c r="D11" i="7" s="1"/>
  <c r="AZ30" i="6" a="1"/>
  <c r="AZ30" i="6" s="1"/>
  <c r="J9" i="7" s="1"/>
  <c r="BD25" i="6" a="1"/>
  <c r="BD25" i="6" s="1"/>
  <c r="F12" i="7"/>
  <c r="BC53" i="5"/>
  <c r="F23" i="1" s="1"/>
  <c r="F16" i="7" s="1"/>
  <c r="BC10" i="6" a="1"/>
  <c r="BC10" i="6" s="1"/>
  <c r="M5" i="7" s="1"/>
  <c r="BB40" i="5" a="1"/>
  <c r="BB40" i="5" s="1"/>
  <c r="E11" i="7" s="1"/>
  <c r="BD30" i="6" a="1"/>
  <c r="BD30" i="6" s="1"/>
  <c r="N9" i="7" s="1"/>
  <c r="BF30" i="6" a="1"/>
  <c r="BF30" i="6" s="1"/>
  <c r="P9" i="7" s="1"/>
  <c r="BF45" i="5" a="1"/>
  <c r="BF45" i="5" s="1"/>
  <c r="AG98" i="5"/>
  <c r="BB15" i="6" a="1"/>
  <c r="BB15" i="6" s="1"/>
  <c r="BI51" i="5"/>
  <c r="BM54" i="5"/>
  <c r="BM50" i="5"/>
  <c r="BE45" i="5" a="1"/>
  <c r="BE45" i="5" s="1"/>
  <c r="I4" i="7"/>
  <c r="C12" i="1"/>
  <c r="C13" i="1"/>
  <c r="AG84" i="6"/>
  <c r="BA35" i="6" a="1"/>
  <c r="BA35" i="6" s="1"/>
  <c r="K10" i="7" s="1"/>
  <c r="AZ25" i="6" a="1"/>
  <c r="AZ25" i="6" s="1"/>
  <c r="N4" i="7"/>
  <c r="BM47" i="6"/>
  <c r="D12" i="7"/>
  <c r="BA53" i="5"/>
  <c r="D23" i="1" s="1"/>
  <c r="D16" i="7" s="1"/>
  <c r="BD35" i="6" a="1"/>
  <c r="BD35" i="6" s="1"/>
  <c r="N10" i="7" s="1"/>
  <c r="BB20" i="6" a="1"/>
  <c r="BB20" i="6" s="1"/>
  <c r="L7" i="7" s="1"/>
  <c r="BF20" i="6" a="1"/>
  <c r="BF20" i="6" s="1"/>
  <c r="P7" i="7" s="1"/>
  <c r="BA20" i="6" a="1"/>
  <c r="BA20" i="6" s="1"/>
  <c r="K7" i="7" s="1"/>
  <c r="BE20" i="6" a="1"/>
  <c r="BE20" i="6" s="1"/>
  <c r="O7" i="7" s="1"/>
  <c r="BD20" i="6" a="1"/>
  <c r="BD20" i="6" s="1"/>
  <c r="N7" i="7" s="1"/>
  <c r="AZ20" i="6" a="1"/>
  <c r="AZ20" i="6" s="1"/>
  <c r="J7" i="7" s="1"/>
  <c r="BC20" i="6" a="1"/>
  <c r="BC20" i="6" s="1"/>
  <c r="M7" i="7" s="1"/>
  <c r="AZ40" i="5" a="1"/>
  <c r="AZ40" i="5" s="1"/>
  <c r="C11" i="7" s="1"/>
  <c r="BA35" i="5" a="1"/>
  <c r="BA35" i="5" s="1"/>
  <c r="D10" i="7" s="1"/>
  <c r="BF35" i="5" a="1"/>
  <c r="BF35" i="5" s="1"/>
  <c r="I10" i="7" s="1"/>
  <c r="BA30" i="6" a="1"/>
  <c r="BA30" i="6" s="1"/>
  <c r="K9" i="7" s="1"/>
  <c r="AZ10" i="6" a="1"/>
  <c r="AZ10" i="6" s="1"/>
  <c r="J5" i="7" s="1"/>
  <c r="BD10" i="5" a="1"/>
  <c r="BD10" i="5" s="1"/>
  <c r="G5" i="7" s="1"/>
  <c r="BD10" i="6" a="1"/>
  <c r="BD10" i="6" s="1"/>
  <c r="N5" i="7" s="1"/>
  <c r="AZ25" i="5" a="1"/>
  <c r="AZ25" i="5" s="1"/>
  <c r="BC20" i="5" a="1"/>
  <c r="BC20" i="5" s="1"/>
  <c r="F7" i="7" s="1"/>
  <c r="BF10" i="5" a="1"/>
  <c r="BF10" i="5" s="1"/>
  <c r="I5" i="7" s="1"/>
  <c r="BC35" i="5" a="1"/>
  <c r="BC35" i="5" s="1"/>
  <c r="F10" i="7" s="1"/>
  <c r="F4" i="7"/>
  <c r="BC50" i="5"/>
  <c r="F20" i="1" s="1"/>
  <c r="F13" i="7" s="1"/>
  <c r="N6" i="7"/>
  <c r="BC25" i="6" a="1"/>
  <c r="BC25" i="6" s="1"/>
  <c r="BM48" i="6"/>
  <c r="BM45" i="6"/>
  <c r="J4" i="7"/>
  <c r="G12" i="7"/>
  <c r="BD53" i="5"/>
  <c r="G23" i="1" s="1"/>
  <c r="G16" i="7" s="1"/>
  <c r="AZ35" i="6" a="1"/>
  <c r="AZ35" i="6" s="1"/>
  <c r="J10" i="7" s="1"/>
  <c r="BE25" i="6" a="1"/>
  <c r="BE25" i="6" s="1"/>
  <c r="AZ35" i="5" a="1"/>
  <c r="AZ35" i="5" s="1"/>
  <c r="C10" i="7" s="1"/>
  <c r="BB30" i="6" a="1"/>
  <c r="BB30" i="6" s="1"/>
  <c r="L9" i="7" s="1"/>
  <c r="BB25" i="5" a="1"/>
  <c r="BB25" i="5" s="1"/>
  <c r="BA10" i="6" a="1"/>
  <c r="BA10" i="6" s="1"/>
  <c r="K5" i="7" s="1"/>
  <c r="AG88" i="5"/>
  <c r="BA30" i="5" a="1"/>
  <c r="BA30" i="5" s="1"/>
  <c r="D9" i="7" s="1"/>
  <c r="BB20" i="5" a="1"/>
  <c r="BB20" i="5" s="1"/>
  <c r="E7" i="7" s="1"/>
  <c r="BI47" i="6"/>
  <c r="BC25" i="5" a="1"/>
  <c r="BC25" i="5" s="1"/>
  <c r="BA10" i="5" a="1"/>
  <c r="BA10" i="5" s="1"/>
  <c r="D5" i="7" s="1"/>
  <c r="E4" i="7"/>
  <c r="BB50" i="5"/>
  <c r="E20" i="1" s="1"/>
  <c r="E13" i="7" s="1"/>
  <c r="BF40" i="6" a="1"/>
  <c r="BF40" i="6" s="1"/>
  <c r="P11" i="7" s="1"/>
  <c r="BC40" i="6" a="1"/>
  <c r="BC40" i="6" s="1"/>
  <c r="M11" i="7" s="1"/>
  <c r="AZ40" i="6" a="1"/>
  <c r="AZ40" i="6" s="1"/>
  <c r="J11" i="7" s="1"/>
  <c r="BE40" i="6" a="1"/>
  <c r="BE40" i="6" s="1"/>
  <c r="O11" i="7" s="1"/>
  <c r="BB40" i="6" a="1"/>
  <c r="BB40" i="6" s="1"/>
  <c r="L11" i="7" s="1"/>
  <c r="BD40" i="6" a="1"/>
  <c r="BD40" i="6" s="1"/>
  <c r="N11" i="7" s="1"/>
  <c r="BA40" i="6" a="1"/>
  <c r="BA40" i="6" s="1"/>
  <c r="K11" i="7" s="1"/>
  <c r="BI50" i="5"/>
  <c r="BI54" i="5"/>
  <c r="AG89" i="6"/>
  <c r="BF25" i="6" a="1"/>
  <c r="BF25" i="6" s="1"/>
  <c r="C12" i="7"/>
  <c r="AZ53" i="5"/>
  <c r="C23" i="1" s="1"/>
  <c r="C16" i="7" s="1"/>
  <c r="BC35" i="6" a="1"/>
  <c r="BC35" i="6" s="1"/>
  <c r="M10" i="7" s="1"/>
  <c r="BC40" i="5" a="1"/>
  <c r="BC40" i="5" s="1"/>
  <c r="F11" i="7" s="1"/>
  <c r="BH48" i="6"/>
  <c r="BH45" i="6"/>
  <c r="BC15" i="5" a="1"/>
  <c r="BC15" i="5" s="1"/>
  <c r="BA15" i="5" a="1"/>
  <c r="BA15" i="5" s="1"/>
  <c r="BF15" i="5" a="1"/>
  <c r="BF15" i="5" s="1"/>
  <c r="BB15" i="5" a="1"/>
  <c r="BB15" i="5" s="1"/>
  <c r="BD15" i="5" a="1"/>
  <c r="BD15" i="5" s="1"/>
  <c r="BE15" i="5" a="1"/>
  <c r="BE15" i="5" s="1"/>
  <c r="AZ15" i="5" a="1"/>
  <c r="AZ15" i="5" s="1"/>
  <c r="AG69" i="6"/>
  <c r="BB45" i="5" a="1"/>
  <c r="BB45" i="5" s="1"/>
  <c r="BB35" i="5" a="1"/>
  <c r="BB35" i="5" s="1"/>
  <c r="E10" i="7" s="1"/>
  <c r="BA25" i="5" a="1"/>
  <c r="BA25" i="5" s="1"/>
  <c r="BE25" i="5" a="1"/>
  <c r="BE25" i="5" s="1"/>
  <c r="AZ20" i="5" a="1"/>
  <c r="AZ20" i="5" s="1"/>
  <c r="C7" i="7" s="1"/>
  <c r="BM52" i="5"/>
  <c r="BE10" i="6" a="1"/>
  <c r="BE10" i="6" s="1"/>
  <c r="O5" i="7" s="1"/>
  <c r="BE20" i="5" a="1"/>
  <c r="BE20" i="5" s="1"/>
  <c r="H7" i="7" s="1"/>
  <c r="AZ10" i="5" a="1"/>
  <c r="AZ10" i="5" s="1"/>
  <c r="C5" i="7" s="1"/>
  <c r="BA25" i="6" a="1"/>
  <c r="BA25" i="6" s="1"/>
  <c r="AG70" i="5"/>
  <c r="C4" i="7"/>
  <c r="H4" i="7"/>
  <c r="BE50" i="5"/>
  <c r="H20" i="1" s="1"/>
  <c r="H13" i="7" s="1"/>
  <c r="BF45" i="6" l="1"/>
  <c r="I33" i="1" s="1"/>
  <c r="P13" i="7" s="1"/>
  <c r="BA54" i="5"/>
  <c r="D24" i="1" s="1"/>
  <c r="D17" i="7" s="1"/>
  <c r="AZ46" i="6"/>
  <c r="C34" i="1" s="1"/>
  <c r="J14" i="7" s="1"/>
  <c r="BE54" i="5"/>
  <c r="H24" i="1" s="1"/>
  <c r="H17" i="7" s="1"/>
  <c r="BD50" i="5"/>
  <c r="G20" i="1" s="1"/>
  <c r="G13" i="7" s="1"/>
  <c r="BC54" i="5"/>
  <c r="F24" i="1" s="1"/>
  <c r="F17" i="7" s="1"/>
  <c r="BC46" i="6"/>
  <c r="F34" i="1" s="1"/>
  <c r="M14" i="7" s="1"/>
  <c r="L6" i="7"/>
  <c r="BB46" i="6"/>
  <c r="E34" i="1" s="1"/>
  <c r="L14" i="7" s="1"/>
  <c r="I8" i="7"/>
  <c r="BF52" i="5"/>
  <c r="I22" i="1" s="1"/>
  <c r="I15" i="7" s="1"/>
  <c r="BA48" i="6"/>
  <c r="D37" i="1" s="1"/>
  <c r="K17" i="7" s="1"/>
  <c r="AZ50" i="5"/>
  <c r="C20" i="1" s="1"/>
  <c r="C13" i="7" s="1"/>
  <c r="E6" i="7"/>
  <c r="BB51" i="5"/>
  <c r="E21" i="1" s="1"/>
  <c r="E14" i="7" s="1"/>
  <c r="BB54" i="5"/>
  <c r="E24" i="1" s="1"/>
  <c r="E17" i="7" s="1"/>
  <c r="AZ45" i="6"/>
  <c r="C33" i="1" s="1"/>
  <c r="J13" i="7" s="1"/>
  <c r="D8" i="7"/>
  <c r="BA52" i="5"/>
  <c r="D22" i="1" s="1"/>
  <c r="D15" i="7" s="1"/>
  <c r="H12" i="7"/>
  <c r="BE53" i="5"/>
  <c r="H23" i="1" s="1"/>
  <c r="H16" i="7" s="1"/>
  <c r="K6" i="7"/>
  <c r="BA46" i="6"/>
  <c r="D34" i="1" s="1"/>
  <c r="K14" i="7" s="1"/>
  <c r="G6" i="7"/>
  <c r="BD51" i="5"/>
  <c r="G21" i="1" s="1"/>
  <c r="G14" i="7" s="1"/>
  <c r="J8" i="7"/>
  <c r="AZ47" i="6"/>
  <c r="C35" i="1" s="1"/>
  <c r="J15" i="7" s="1"/>
  <c r="O8" i="7"/>
  <c r="BE47" i="6"/>
  <c r="H35" i="1" s="1"/>
  <c r="O15" i="7" s="1"/>
  <c r="AZ48" i="6"/>
  <c r="C37" i="1" s="1"/>
  <c r="J17" i="7" s="1"/>
  <c r="D6" i="7"/>
  <c r="BA51" i="5"/>
  <c r="D21" i="1" s="1"/>
  <c r="D14" i="7" s="1"/>
  <c r="BC48" i="6"/>
  <c r="F37" i="1" s="1"/>
  <c r="M17" i="7" s="1"/>
  <c r="BD48" i="6"/>
  <c r="G37" i="1" s="1"/>
  <c r="N17" i="7" s="1"/>
  <c r="BF46" i="6"/>
  <c r="I34" i="1" s="1"/>
  <c r="P14" i="7" s="1"/>
  <c r="O6" i="7"/>
  <c r="BE46" i="6"/>
  <c r="H34" i="1" s="1"/>
  <c r="O14" i="7" s="1"/>
  <c r="BA50" i="5"/>
  <c r="D20" i="1" s="1"/>
  <c r="D13" i="7" s="1"/>
  <c r="BF54" i="5"/>
  <c r="I24" i="1" s="1"/>
  <c r="I17" i="7" s="1"/>
  <c r="AZ54" i="5"/>
  <c r="C24" i="1" s="1"/>
  <c r="C17" i="7" s="1"/>
  <c r="I6" i="7"/>
  <c r="BF51" i="5"/>
  <c r="I21" i="1" s="1"/>
  <c r="I14" i="7" s="1"/>
  <c r="P8" i="7"/>
  <c r="BF47" i="6"/>
  <c r="I35" i="1" s="1"/>
  <c r="P15" i="7" s="1"/>
  <c r="C8" i="7"/>
  <c r="AZ52" i="5"/>
  <c r="C22" i="1" s="1"/>
  <c r="C15" i="7" s="1"/>
  <c r="I12" i="7"/>
  <c r="BF53" i="5"/>
  <c r="I23" i="1" s="1"/>
  <c r="I16" i="7" s="1"/>
  <c r="C6" i="7"/>
  <c r="AZ51" i="5"/>
  <c r="C21" i="1" s="1"/>
  <c r="C14" i="7" s="1"/>
  <c r="F6" i="7"/>
  <c r="BC51" i="5"/>
  <c r="F21" i="1" s="1"/>
  <c r="F14" i="7" s="1"/>
  <c r="BF48" i="6"/>
  <c r="I37" i="1" s="1"/>
  <c r="P17" i="7" s="1"/>
  <c r="G8" i="7"/>
  <c r="BD52" i="5"/>
  <c r="G22" i="1" s="1"/>
  <c r="G15" i="7" s="1"/>
  <c r="BB45" i="6"/>
  <c r="E33" i="1" s="1"/>
  <c r="L13" i="7" s="1"/>
  <c r="L4" i="7"/>
  <c r="BB48" i="6"/>
  <c r="E37" i="1" s="1"/>
  <c r="L17" i="7" s="1"/>
  <c r="BB47" i="6"/>
  <c r="E35" i="1" s="1"/>
  <c r="L15" i="7" s="1"/>
  <c r="BD46" i="6"/>
  <c r="G34" i="1" s="1"/>
  <c r="N14" i="7" s="1"/>
  <c r="E12" i="7"/>
  <c r="BB53" i="5"/>
  <c r="E23" i="1" s="1"/>
  <c r="E16" i="7" s="1"/>
  <c r="K8" i="7"/>
  <c r="BA47" i="6"/>
  <c r="D35" i="1" s="1"/>
  <c r="K15" i="7" s="1"/>
  <c r="H8" i="7"/>
  <c r="BE52" i="5"/>
  <c r="H22" i="1" s="1"/>
  <c r="H15" i="7" s="1"/>
  <c r="H6" i="7"/>
  <c r="BE51" i="5"/>
  <c r="H21" i="1" s="1"/>
  <c r="H14" i="7" s="1"/>
  <c r="BC45" i="6"/>
  <c r="F33" i="1" s="1"/>
  <c r="M13" i="7" s="1"/>
  <c r="F8" i="7"/>
  <c r="BC52" i="5"/>
  <c r="F22" i="1" s="1"/>
  <c r="F15" i="7" s="1"/>
  <c r="E8" i="7"/>
  <c r="BB52" i="5"/>
  <c r="E22" i="1" s="1"/>
  <c r="E15" i="7" s="1"/>
  <c r="M8" i="7"/>
  <c r="BC47" i="6"/>
  <c r="F35" i="1" s="1"/>
  <c r="M15" i="7" s="1"/>
  <c r="BD45" i="6"/>
  <c r="G33" i="1" s="1"/>
  <c r="N13" i="7" s="1"/>
  <c r="BF50" i="5"/>
  <c r="I20" i="1" s="1"/>
  <c r="I13" i="7" s="1"/>
  <c r="BD47" i="6"/>
  <c r="G35" i="1" s="1"/>
  <c r="N15" i="7" s="1"/>
  <c r="N8" i="7"/>
  <c r="BD54" i="5"/>
  <c r="G24" i="1" s="1"/>
  <c r="G17" i="7" s="1"/>
  <c r="O4" i="7"/>
  <c r="BE48" i="6"/>
  <c r="H37" i="1" s="1"/>
  <c r="O17" i="7" s="1"/>
  <c r="BE45" i="6"/>
  <c r="H33" i="1" s="1"/>
  <c r="O13" i="7" s="1"/>
  <c r="BA45" i="6"/>
  <c r="D33" i="1" s="1"/>
  <c r="K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<sst xmlns="http://schemas.openxmlformats.org/spreadsheetml/2006/main" count="985" uniqueCount="439">
  <si>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</si>
  <si>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</si>
  <si>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</si>
  <si>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</si>
  <si>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</si>
  <si>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</si>
  <si>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</si>
  <si>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</si>
  <si>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</si>
  <si>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</si>
  <si>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</si>
  <si>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</si>
  <si>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</si>
  <si>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</si>
  <si>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</si>
  <si>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</si>
  <si>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</si>
  <si>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</si>
  <si>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</si>
  <si>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</si>
  <si>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</si>
  <si>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</si>
  <si>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</si>
  <si>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</si>
  <si>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</si>
  <si>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</si>
  <si>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</si>
  <si>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</si>
  <si>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</si>
  <si>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</si>
  <si>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</si>
  <si>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</si>
  <si>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</si>
  <si>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</si>
  <si>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</si>
  <si>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</si>
  <si>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</si>
  <si>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</si>
  <si>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</si>
  <si>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</si>
  <si>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</si>
  <si>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</si>
  <si>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</si>
  <si>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</si>
  <si>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</si>
  <si>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</si>
  <si>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</si>
  <si>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</si>
  <si>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</si>
  <si>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</si>
  <si>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</si>
  <si>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</si>
  <si>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</si>
  <si>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</si>
  <si>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</si>
  <si>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</si>
  <si>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</si>
  <si>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</si>
  <si>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</si>
  <si>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</si>
  <si>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</si>
  <si>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</si>
  <si>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</si>
  <si>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</si>
  <si>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</si>
  <si>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</si>
  <si>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</si>
  <si>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</si>
  <si>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</si>
  <si>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</si>
  <si>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</si>
  <si>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</si>
  <si>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</si>
  <si>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</si>
  <si>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</si>
  <si>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</si>
  <si>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</si>
  <si>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</si>
  <si>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</si>
  <si>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</si>
  <si>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</si>
  <si>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</si>
  <si>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</si>
  <si>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</si>
  <si>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</si>
  <si>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</si>
  <si>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</si>
  <si>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</si>
  <si>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</si>
  <si>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</si>
  <si>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</si>
  <si>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</si>
  <si>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</si>
  <si>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</si>
  <si>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</si>
  <si>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</si>
  <si>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</si>
  <si>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</si>
  <si>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</si>
  <si>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</si>
  <si>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</si>
  <si>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</si>
  <si>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</si>
  <si>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</si>
  <si>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</si>
  <si>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</si>
  <si>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</si>
  <si>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</si>
  <si>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</si>
  <si>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</si>
  <si>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</si>
  <si>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</si>
  <si>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</si>
  <si>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</si>
  <si>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</si>
  <si>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</si>
  <si>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</si>
  <si>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</si>
  <si>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</si>
  <si>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</si>
  <si>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</si>
  <si>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</si>
  <si>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</si>
  <si>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</si>
  <si>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</si>
  <si>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</si>
  <si>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</si>
  <si>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</si>
  <si>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</si>
  <si>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</si>
  <si>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</si>
  <si>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</si>
  <si>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</si>
  <si>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</si>
  <si>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</si>
  <si>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</si>
  <si>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</si>
  <si>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</si>
  <si>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</si>
  <si>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</si>
  <si>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</si>
  <si>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</si>
  <si>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</si>
  <si>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</si>
  <si>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</si>
  <si>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</si>
  <si>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</si>
  <si>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</si>
  <si>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</si>
  <si>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</si>
  <si>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</si>
  <si>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</si>
  <si>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</si>
  <si>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</si>
  <si>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</si>
  <si>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</si>
  <si>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</si>
  <si>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</si>
  <si>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</si>
  <si>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</si>
  <si>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</si>
  <si>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</si>
  <si>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</si>
  <si>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</si>
  <si>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</si>
  <si>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</si>
  <si>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</si>
  <si>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</si>
  <si>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</si>
  <si>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</si>
  <si>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</si>
  <si>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</si>
  <si>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</si>
  <si>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</si>
  <si>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</si>
  <si>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</si>
  <si>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</si>
  <si>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</si>
  <si>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</si>
  <si>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</si>
  <si>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</si>
  <si>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</si>
  <si>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</si>
  <si>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</si>
  <si>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</si>
  <si>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</si>
  <si>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</si>
  <si>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</si>
  <si>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</si>
  <si>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</si>
  <si>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</si>
  <si>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</si>
  <si>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</si>
  <si>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</si>
  <si>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</si>
  <si>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</si>
  <si>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</si>
  <si>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</si>
  <si>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</si>
  <si>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</si>
  <si>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</si>
  <si>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</si>
  <si>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</si>
  <si>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</si>
  <si>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</si>
  <si>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</si>
  <si>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</si>
  <si>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</si>
  <si>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</si>
  <si>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</si>
  <si>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</si>
  <si>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</si>
  <si>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</si>
  <si>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</si>
  <si>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</si>
  <si>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</si>
  <si>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</si>
  <si>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</si>
  <si>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</si>
  <si>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</si>
  <si>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</si>
  <si>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</si>
  <si>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</si>
  <si>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</si>
  <si>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</si>
  <si>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</si>
  <si>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</si>
  <si>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</si>
  <si>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</si>
  <si>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</si>
  <si>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</si>
  <si>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</si>
  <si>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</si>
  <si>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</si>
  <si>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</si>
  <si>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</si>
  <si>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</si>
  <si>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</si>
  <si>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</si>
  <si>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</si>
  <si>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</si>
  <si>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</si>
  <si>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</si>
  <si>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</si>
  <si>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</si>
  <si>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</si>
  <si>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</si>
  <si>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</si>
  <si>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</si>
  <si>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</si>
  <si>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</si>
  <si>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</si>
  <si>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</si>
  <si>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</si>
  <si>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</si>
  <si>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</si>
  <si>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</si>
  <si>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</si>
  <si>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</si>
  <si>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</si>
  <si>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</si>
  <si>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</si>
  <si>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</si>
  <si>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</si>
  <si>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</si>
  <si>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</si>
  <si>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</si>
  <si>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</si>
  <si>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</si>
  <si>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</si>
  <si>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</si>
  <si>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</si>
  <si>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</si>
  <si>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</si>
  <si>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</si>
  <si>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</si>
  <si>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</si>
  <si>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</si>
  <si>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</si>
  <si>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</si>
  <si>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</si>
  <si>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</si>
  <si>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</si>
  <si>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</si>
  <si>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</si>
  <si>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</si>
  <si>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</si>
  <si>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</si>
  <si>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</si>
  <si>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</si>
  <si>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</si>
  <si>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</si>
  <si>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</si>
  <si>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</si>
  <si>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</si>
  <si>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</si>
  <si>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</si>
  <si>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</si>
  <si>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</si>
  <si>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</si>
  <si>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</si>
  <si>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</si>
  <si>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</si>
  <si>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</si>
  <si>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</si>
  <si>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</si>
  <si>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</si>
  <si>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</si>
  <si>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</si>
  <si>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</si>
  <si>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</si>
  <si>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</si>
  <si>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</si>
  <si>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</si>
  <si>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</si>
  <si>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</si>
  <si>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</si>
  <si>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</si>
  <si>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</si>
  <si>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</si>
  <si>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</si>
  <si>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</si>
  <si>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</si>
  <si>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</si>
  <si>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</si>
  <si>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</si>
  <si>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</si>
  <si>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</si>
  <si>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</si>
  <si>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</si>
  <si>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</si>
  <si>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</si>
  <si>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</si>
  <si>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</si>
  <si>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</si>
  <si>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</si>
  <si>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</si>
  <si>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</si>
  <si>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</si>
  <si>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</si>
  <si>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</si>
  <si>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</si>
  <si>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</si>
  <si>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</si>
  <si>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</si>
  <si>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</si>
  <si>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</si>
  <si>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</si>
  <si>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</si>
  <si>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</si>
  <si>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</si>
  <si>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</si>
  <si>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</si>
  <si>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</si>
  <si>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</si>
  <si>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</si>
  <si>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</si>
  <si>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</si>
  <si>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</si>
  <si>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</si>
  <si>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</si>
  <si>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</si>
  <si>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</si>
  <si>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</si>
  <si>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</si>
  <si>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</si>
  <si>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</si>
  <si>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</si>
  <si>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</si>
  <si>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</si>
  <si>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</si>
  <si>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</si>
  <si>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</si>
  <si>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</si>
  <si>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</si>
  <si>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</si>
  <si>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</si>
  <si>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</si>
  <si>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</si>
  <si>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</si>
  <si>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</si>
  <si>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</si>
  <si>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</si>
  <si>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</si>
  <si>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</si>
  <si>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</si>
  <si>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</si>
  <si>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</si>
  <si>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</si>
  <si>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</si>
  <si>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</si>
  <si>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</si>
  <si>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</si>
  <si>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</si>
  <si>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</si>
  <si>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</si>
  <si>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</si>
  <si>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</si>
  <si>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</si>
  <si>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</si>
  <si>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</si>
  <si>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</si>
  <si>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</si>
  <si>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</si>
  <si>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</si>
  <si>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</si>
  <si>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</si>
  <si>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</si>
  <si>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</si>
  <si>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</si>
  <si>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</si>
  <si>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</si>
  <si>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</si>
  <si>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</si>
  <si>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</si>
  <si>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</si>
  <si>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</si>
  <si>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</si>
  <si>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</si>
  <si>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</si>
  <si>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</si>
  <si>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</si>
  <si>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</si>
  <si>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</si>
  <si>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</si>
  <si>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</si>
  <si>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</si>
  <si>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</si>
  <si>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</si>
  <si>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</si>
  <si>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</si>
  <si>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</si>
  <si>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</si>
  <si>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</si>
  <si>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</si>
  <si>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</si>
  <si>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</si>
  <si>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</si>
  <si>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F300_v12.0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</si>
</sst>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00"/>
    <numFmt numFmtId="177" formatCode="0.0%"/>
    <numFmt numFmtId="178" formatCode="0.000"/>
    <numFmt numFmtId="179" formatCode="[&gt;1000]0;[&gt;100]0.0;0.00"/>
    <numFmt numFmtId="180" formatCode="0.000%"/>
  </numFmts>
  <fonts count="4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9" fontId="0" fillId="12" borderId="0" xfId="0" applyNumberFormat="1" applyFill="1" applyAlignment="1">
      <alignment horizontal="center"/>
    </xf>
    <xf numFmtId="179" fontId="0" fillId="13" borderId="0" xfId="0" applyNumberFormat="1" applyFill="1" applyAlignment="1">
      <alignment horizontal="center"/>
    </xf>
    <xf numFmtId="179" fontId="0" fillId="12" borderId="10" xfId="0" applyNumberFormat="1" applyFill="1" applyBorder="1" applyAlignment="1">
      <alignment horizontal="center"/>
    </xf>
    <xf numFmtId="179" fontId="0" fillId="13" borderId="10" xfId="0" applyNumberForma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0" fontId="0" fillId="0" borderId="0" xfId="0" applyNumberFormat="1"/>
    <xf numFmtId="176" fontId="0" fillId="0" borderId="5" xfId="0" applyNumberFormat="1" applyBorder="1"/>
    <xf numFmtId="176" fontId="0" fillId="0" borderId="11" xfId="0" applyNumberFormat="1" applyBorder="1"/>
    <xf numFmtId="176" fontId="0" fillId="0" borderId="6" xfId="0" applyNumberFormat="1" applyBorder="1"/>
    <xf numFmtId="176" fontId="0" fillId="0" borderId="7" xfId="0" applyNumberFormat="1" applyBorder="1"/>
    <xf numFmtId="176" fontId="0" fillId="0" borderId="0" xfId="0" applyNumberFormat="1"/>
    <xf numFmtId="176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6" fontId="0" fillId="0" borderId="8" xfId="0" applyNumberFormat="1" applyBorder="1"/>
    <xf numFmtId="176" fontId="0" fillId="0" borderId="10" xfId="0" applyNumberFormat="1" applyBorder="1"/>
    <xf numFmtId="176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9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9" fontId="0" fillId="0" borderId="0" xfId="0" applyNumberFormat="1" applyAlignment="1">
      <alignment horizontal="center"/>
    </xf>
    <xf numFmtId="0" fontId="0" fillId="0" borderId="0" xfId="0"/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wrapText="1"/>
    </xf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10" borderId="0" xfId="0" applyFont="1" applyFill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9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0" fontId="0" fillId="0" borderId="9" xfId="0" applyBorder="1"/>
    <xf numFmtId="0" fontId="0" fillId="6" borderId="14" xfId="0" applyFill="1" applyBorder="1" applyAlignment="1">
      <alignment horizontal="left"/>
    </xf>
    <xf numFmtId="0" fontId="0" fillId="0" borderId="12" xfId="0" applyBorder="1"/>
    <xf numFmtId="9" fontId="0" fillId="6" borderId="13" xfId="0" applyNumberFormat="1" applyFill="1" applyBorder="1" applyAlignment="1">
      <alignment horizontal="center"/>
    </xf>
    <xf numFmtId="0" fontId="0" fillId="0" borderId="7" xfId="0" applyBorder="1"/>
    <xf numFmtId="0" fontId="0" fillId="7" borderId="15" xfId="0" applyFill="1" applyBorder="1" applyAlignment="1">
      <alignment horizontal="left"/>
    </xf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4" xfId="0" applyBorder="1"/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5360"/>
        <c:axId val="873079376"/>
      </c:scatterChart>
      <c:valAx>
        <c:axId val="8730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9376"/>
        <c:crosses val="autoZero"/>
        <c:crossBetween val="midCat"/>
      </c:valAx>
      <c:valAx>
        <c:axId val="8730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53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7744"/>
        <c:axId val="873083728"/>
      </c:scatterChart>
      <c:valAx>
        <c:axId val="87307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3728"/>
        <c:crosses val="autoZero"/>
        <c:crossBetween val="midCat"/>
      </c:valAx>
      <c:valAx>
        <c:axId val="8730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7744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6448"/>
        <c:axId val="873074480"/>
      </c:scatterChart>
      <c:valAx>
        <c:axId val="873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4480"/>
        <c:crosses val="autoZero"/>
        <c:crossBetween val="midCat"/>
      </c:valAx>
      <c:valAx>
        <c:axId val="87307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6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6112"/>
        <c:axId val="873075024"/>
      </c:scatterChart>
      <c:valAx>
        <c:axId val="8730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5024"/>
        <c:crosses val="autoZero"/>
        <c:crossBetween val="midCat"/>
      </c:valAx>
      <c:valAx>
        <c:axId val="8730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611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936"/>
        <c:axId val="873084816"/>
      </c:scatterChart>
      <c:valAx>
        <c:axId val="8730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4816"/>
        <c:crosses val="autoZero"/>
        <c:crossBetween val="midCat"/>
      </c:valAx>
      <c:valAx>
        <c:axId val="873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93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392"/>
        <c:axId val="873078288"/>
      </c:scatterChart>
      <c:valAx>
        <c:axId val="87307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8288"/>
        <c:crosses val="autoZero"/>
        <c:crossBetween val="midCat"/>
      </c:valAx>
      <c:valAx>
        <c:axId val="87307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39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454160"/>
        <c:axId val="581456880"/>
      </c:scatterChart>
      <c:valAx>
        <c:axId val="58145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6880"/>
        <c:crosses val="autoZero"/>
        <c:crossBetween val="midCat"/>
      </c:valAx>
      <c:valAx>
        <c:axId val="58145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41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tabSelected="1" zoomScale="90" zoomScaleNormal="90" workbookViewId="0">
      <selection activeCell="C1" sqref="C1:E1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21" t="s">
        <v>438</v>
      </c>
      <c r="D1" s="122"/>
      <c r="E1" s="122"/>
    </row>
    <row r="2" spans="2:5" x14ac:dyDescent="0.15">
      <c r="B2" t="s">
        <v>1</v>
      </c>
      <c r="C2" s="123"/>
      <c r="D2" s="123"/>
      <c r="E2" s="123"/>
    </row>
    <row r="4" spans="2:5" s="103" customFormat="1" x14ac:dyDescent="0.15">
      <c r="B4" s="103" t="s">
        <v>2</v>
      </c>
    </row>
    <row r="6" spans="2:5" ht="45" customHeight="1" x14ac:dyDescent="0.15">
      <c r="B6" s="116" t="s">
        <v>3</v>
      </c>
      <c r="C6" s="104" t="s">
        <v>4</v>
      </c>
    </row>
    <row r="7" spans="2:5" x14ac:dyDescent="0.15">
      <c r="B7" s="113"/>
      <c r="C7" s="105" t="s">
        <v>5</v>
      </c>
    </row>
    <row r="8" spans="2:5" x14ac:dyDescent="0.15">
      <c r="B8" s="115"/>
      <c r="C8" s="106" t="s">
        <v>6</v>
      </c>
    </row>
    <row r="9" spans="2:5" x14ac:dyDescent="0.15">
      <c r="B9" t="s">
        <v>7</v>
      </c>
      <c r="C9" s="86" t="e">
        <f>'C0 lossless AI'!V14</f>
        <v>#DIV/0!</v>
      </c>
    </row>
    <row r="10" spans="2:5" x14ac:dyDescent="0.15">
      <c r="B10" t="s">
        <v>8</v>
      </c>
      <c r="C10" s="86" t="e">
        <f>'C0 lossless AI'!V15</f>
        <v>#DIV/0!</v>
      </c>
    </row>
    <row r="11" spans="2:5" x14ac:dyDescent="0.15">
      <c r="B11" t="s">
        <v>9</v>
      </c>
      <c r="C11" s="86" t="e">
        <f>'C0 lossless AI'!V16</f>
        <v>#DIV/0!</v>
      </c>
    </row>
    <row r="12" spans="2:5" x14ac:dyDescent="0.15">
      <c r="B12" t="s">
        <v>10</v>
      </c>
      <c r="C12" s="86" t="e">
        <f>'C0 lossless AI'!V18</f>
        <v>#DIV/0!</v>
      </c>
    </row>
    <row r="13" spans="2:5" x14ac:dyDescent="0.15">
      <c r="B13" s="107" t="s">
        <v>11</v>
      </c>
      <c r="C13" s="108" t="e">
        <f>'C0 lossless AI'!V18</f>
        <v>#DIV/0!</v>
      </c>
    </row>
    <row r="14" spans="2:5" x14ac:dyDescent="0.15">
      <c r="B14" t="s">
        <v>12</v>
      </c>
      <c r="C14" s="87" t="e">
        <f>'C0 lossless AI'!S20</f>
        <v>#DIV/0!</v>
      </c>
    </row>
    <row r="15" spans="2:5" x14ac:dyDescent="0.15">
      <c r="B15" s="18" t="s">
        <v>13</v>
      </c>
      <c r="C15" s="109" t="e">
        <f>'C0 lossless AI'!T20</f>
        <v>#DIV/0!</v>
      </c>
    </row>
    <row r="17" spans="2:9" x14ac:dyDescent="0.15">
      <c r="B17" s="116" t="s">
        <v>14</v>
      </c>
      <c r="C17" s="117" t="s">
        <v>15</v>
      </c>
      <c r="D17" s="118"/>
      <c r="E17" s="118"/>
      <c r="F17" s="118"/>
      <c r="G17" s="118"/>
      <c r="H17" s="118"/>
      <c r="I17" s="118"/>
    </row>
    <row r="18" spans="2:9" x14ac:dyDescent="0.15">
      <c r="B18" s="113"/>
      <c r="C18" s="119" t="s">
        <v>16</v>
      </c>
      <c r="D18" s="113"/>
      <c r="E18" s="113"/>
      <c r="F18" s="113"/>
      <c r="G18" s="113"/>
      <c r="H18" s="120" t="s">
        <v>17</v>
      </c>
      <c r="I18" s="113"/>
    </row>
    <row r="19" spans="2:9" x14ac:dyDescent="0.15">
      <c r="B19" s="115"/>
      <c r="C19" s="106" t="s">
        <v>18</v>
      </c>
      <c r="D19" s="106" t="s">
        <v>19</v>
      </c>
      <c r="E19" s="106" t="s">
        <v>20</v>
      </c>
      <c r="F19" s="106" t="s">
        <v>21</v>
      </c>
      <c r="G19" s="106" t="s">
        <v>22</v>
      </c>
      <c r="H19" s="110" t="s">
        <v>23</v>
      </c>
      <c r="I19" s="110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7" t="s">
        <v>11</v>
      </c>
      <c r="C24" s="108" t="e">
        <f>'C1 lossy AI'!$AZ$54:$AZ$54</f>
        <v>#DIV/0!</v>
      </c>
      <c r="D24" s="108" t="e">
        <f>'C1 lossy AI'!$BA$54:$BA$54</f>
        <v>#DIV/0!</v>
      </c>
      <c r="E24" s="108" t="e">
        <f>'C1 lossy AI'!$BB$54:$BB$54</f>
        <v>#DIV/0!</v>
      </c>
      <c r="F24" s="108" t="e">
        <f>'C1 lossy AI'!$BC$54:$BC$54</f>
        <v>#DIV/0!</v>
      </c>
      <c r="G24" s="108" t="e">
        <f>'C1 lossy AI'!$BD$54:$BD$54</f>
        <v>#DIV/0!</v>
      </c>
      <c r="H24" s="108" t="e">
        <f>'C1 lossy AI'!$BE$54:$BE$54</f>
        <v>#DIV/0!</v>
      </c>
      <c r="I24" s="108" t="e">
        <f>'C1 lossy AI'!$BF$54:$BF$54</f>
        <v>#DIV/0!</v>
      </c>
    </row>
    <row r="25" spans="2:9" x14ac:dyDescent="0.15">
      <c r="B25" t="s">
        <v>12</v>
      </c>
      <c r="C25" s="112">
        <f>'C1 lossy AI'!AW56</f>
        <v>0</v>
      </c>
      <c r="D25" s="113"/>
      <c r="E25" s="113"/>
      <c r="F25" s="113"/>
      <c r="G25" s="113"/>
      <c r="H25" s="113"/>
      <c r="I25" s="113"/>
    </row>
    <row r="26" spans="2:9" x14ac:dyDescent="0.15">
      <c r="B26" s="18" t="s">
        <v>13</v>
      </c>
      <c r="C26" s="114">
        <f>'C1 lossy AI'!AX56</f>
        <v>0</v>
      </c>
      <c r="D26" s="115"/>
      <c r="E26" s="115"/>
      <c r="F26" s="115"/>
      <c r="G26" s="115"/>
      <c r="H26" s="115"/>
      <c r="I26" s="115"/>
    </row>
    <row r="28" spans="2:9" s="103" customFormat="1" x14ac:dyDescent="0.15">
      <c r="B28" s="103" t="s">
        <v>24</v>
      </c>
    </row>
    <row r="30" spans="2:9" x14ac:dyDescent="0.15">
      <c r="B30" s="116" t="s">
        <v>25</v>
      </c>
      <c r="C30" s="117" t="s">
        <v>26</v>
      </c>
      <c r="D30" s="118"/>
      <c r="E30" s="118"/>
      <c r="F30" s="118"/>
      <c r="G30" s="118"/>
      <c r="H30" s="118"/>
      <c r="I30" s="118"/>
    </row>
    <row r="31" spans="2:9" x14ac:dyDescent="0.15">
      <c r="B31" s="113"/>
      <c r="C31" s="119" t="s">
        <v>16</v>
      </c>
      <c r="D31" s="113"/>
      <c r="E31" s="113"/>
      <c r="F31" s="113"/>
      <c r="G31" s="113"/>
      <c r="H31" s="120" t="s">
        <v>17</v>
      </c>
      <c r="I31" s="113"/>
    </row>
    <row r="32" spans="2:9" x14ac:dyDescent="0.15">
      <c r="B32" s="115"/>
      <c r="C32" s="106" t="s">
        <v>18</v>
      </c>
      <c r="D32" s="106" t="s">
        <v>19</v>
      </c>
      <c r="E32" s="106" t="s">
        <v>20</v>
      </c>
      <c r="F32" s="106" t="s">
        <v>21</v>
      </c>
      <c r="G32" s="106" t="s">
        <v>22</v>
      </c>
      <c r="H32" s="110" t="s">
        <v>23</v>
      </c>
      <c r="I32" s="110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7" t="s">
        <v>11</v>
      </c>
      <c r="C37" s="108" t="e">
        <f>'C2 lossy RA'!$AZ$48:$AZ$48</f>
        <v>#DIV/0!</v>
      </c>
      <c r="D37" s="108" t="e">
        <f>'C2 lossy RA'!$BA$48:$BA$48</f>
        <v>#DIV/0!</v>
      </c>
      <c r="E37" s="108" t="e">
        <f>'C2 lossy RA'!$BB$48:$BB$48</f>
        <v>#DIV/0!</v>
      </c>
      <c r="F37" s="108" t="e">
        <f>'C2 lossy RA'!$BC$48:$BC$48</f>
        <v>#DIV/0!</v>
      </c>
      <c r="G37" s="108" t="e">
        <f>'C2 lossy RA'!$BD$48:$BD$48</f>
        <v>#DIV/0!</v>
      </c>
      <c r="H37" s="108" t="e">
        <f>'C2 lossy RA'!$BE$48:$BE$48</f>
        <v>#DIV/0!</v>
      </c>
      <c r="I37" s="108" t="e">
        <f>'C2 lossy RA'!$BF$48:$BF$48</f>
        <v>#DIV/0!</v>
      </c>
    </row>
    <row r="38" spans="2:9" x14ac:dyDescent="0.15">
      <c r="B38" t="s">
        <v>12</v>
      </c>
      <c r="C38" s="112">
        <f>'C2 lossy RA'!AW50</f>
        <v>0</v>
      </c>
      <c r="D38" s="113"/>
      <c r="E38" s="113"/>
      <c r="F38" s="113"/>
      <c r="G38" s="113"/>
      <c r="H38" s="113"/>
      <c r="I38" s="113"/>
    </row>
    <row r="39" spans="2:9" x14ac:dyDescent="0.15">
      <c r="B39" s="18" t="s">
        <v>13</v>
      </c>
      <c r="C39" s="114">
        <f>'C2 lossy RA'!AX50</f>
        <v>0</v>
      </c>
      <c r="D39" s="115"/>
      <c r="E39" s="115"/>
      <c r="F39" s="115"/>
      <c r="G39" s="115"/>
      <c r="H39" s="115"/>
      <c r="I39" s="115"/>
    </row>
  </sheetData>
  <mergeCells count="15">
    <mergeCell ref="C1:E1"/>
    <mergeCell ref="C2:E2"/>
    <mergeCell ref="C17:I17"/>
    <mergeCell ref="C18:G18"/>
    <mergeCell ref="H18:I18"/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workbookViewId="0">
      <pane xSplit="2" ySplit="4" topLeftCell="H5" activePane="bottomRight" state="frozen"/>
      <selection pane="topRight"/>
      <selection pane="bottomLeft"/>
      <selection pane="bottomRight" activeCell="J5" sqref="J5:K13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6" t="s">
        <v>160</v>
      </c>
      <c r="B1" s="113"/>
      <c r="C1" s="113"/>
      <c r="D1" s="113"/>
      <c r="E1" s="113"/>
      <c r="F1" s="113"/>
      <c r="H1" s="122" t="str">
        <f>Summary!C1</f>
        <v>F300_v12.0</v>
      </c>
      <c r="I1" s="113"/>
      <c r="J1" s="113"/>
      <c r="K1" s="113"/>
      <c r="L1" s="113"/>
      <c r="M1" s="113"/>
      <c r="O1" s="123">
        <f>Summary!C2</f>
        <v>0</v>
      </c>
      <c r="P1" s="113"/>
      <c r="Q1" s="113"/>
      <c r="R1" s="113"/>
      <c r="S1" s="113"/>
      <c r="T1" s="113"/>
    </row>
    <row r="2" spans="1:24" ht="30" customHeight="1" x14ac:dyDescent="0.15">
      <c r="A2" s="125" t="s">
        <v>161</v>
      </c>
      <c r="B2" s="124" t="s">
        <v>162</v>
      </c>
      <c r="C2" s="125" t="s">
        <v>163</v>
      </c>
      <c r="D2" s="124" t="s">
        <v>164</v>
      </c>
      <c r="E2" s="125" t="s">
        <v>165</v>
      </c>
      <c r="F2" s="124" t="s">
        <v>166</v>
      </c>
      <c r="H2" s="125" t="s">
        <v>131</v>
      </c>
      <c r="I2" s="124" t="s">
        <v>135</v>
      </c>
      <c r="J2" s="125" t="s">
        <v>124</v>
      </c>
      <c r="K2" s="66" t="s">
        <v>167</v>
      </c>
      <c r="L2" s="124" t="s">
        <v>126</v>
      </c>
      <c r="M2" s="125" t="s">
        <v>106</v>
      </c>
      <c r="O2" s="124" t="s">
        <v>131</v>
      </c>
      <c r="P2" s="125" t="s">
        <v>135</v>
      </c>
      <c r="Q2" s="124" t="s">
        <v>124</v>
      </c>
      <c r="R2" s="66" t="s">
        <v>167</v>
      </c>
      <c r="S2" s="125" t="s">
        <v>126</v>
      </c>
      <c r="T2" s="124" t="s">
        <v>106</v>
      </c>
      <c r="V2" s="125" t="s">
        <v>168</v>
      </c>
      <c r="X2" s="125" t="s">
        <v>169</v>
      </c>
    </row>
    <row r="3" spans="1:24" ht="15.75" customHeight="1" thickBot="1" x14ac:dyDescent="0.2">
      <c r="A3" s="115"/>
      <c r="B3" s="115"/>
      <c r="C3" s="115"/>
      <c r="D3" s="115"/>
      <c r="E3" s="115"/>
      <c r="F3" s="115"/>
      <c r="H3" s="115"/>
      <c r="I3" s="115"/>
      <c r="J3" s="115"/>
      <c r="K3" s="32" t="s">
        <v>170</v>
      </c>
      <c r="L3" s="115"/>
      <c r="M3" s="115"/>
      <c r="O3" s="115"/>
      <c r="P3" s="115"/>
      <c r="Q3" s="115"/>
      <c r="R3" s="32" t="s">
        <v>170</v>
      </c>
      <c r="S3" s="115"/>
      <c r="T3" s="115"/>
      <c r="V3" s="115"/>
      <c r="X3" s="115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300</v>
      </c>
      <c r="F5" s="37">
        <v>30</v>
      </c>
      <c r="H5" s="49">
        <f t="shared" ref="H5:H13" si="0">IF(OR(ISBLANK(J5),ISBLANK(F5)),"·",J5*F5/E5/1000000)</f>
        <v>865.18638799999997</v>
      </c>
      <c r="I5" s="50">
        <f t="shared" ref="I5:I13" si="1">IF(ISBLANK(J5),"·",J5/C5)</f>
        <v>721.1425004000854</v>
      </c>
      <c r="J5" s="52">
        <v>8651863880</v>
      </c>
      <c r="K5" s="52">
        <v>128902216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73"/>
      <c r="R5" s="73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300</v>
      </c>
      <c r="F6" s="46">
        <v>30</v>
      </c>
      <c r="H6" s="61">
        <f t="shared" si="0"/>
        <v>626.35172</v>
      </c>
      <c r="I6" s="62">
        <f t="shared" si="1"/>
        <v>695.94635555555556</v>
      </c>
      <c r="J6" s="64">
        <v>6263517200</v>
      </c>
      <c r="K6" s="64">
        <v>136097968</v>
      </c>
      <c r="L6" s="76"/>
      <c r="M6" s="76"/>
      <c r="O6" s="61" t="str">
        <f t="shared" si="2"/>
        <v>·</v>
      </c>
      <c r="P6" s="62" t="str">
        <f t="shared" si="3"/>
        <v>·</v>
      </c>
      <c r="Q6" s="76"/>
      <c r="R6" s="76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300</v>
      </c>
      <c r="F7" s="37">
        <v>30</v>
      </c>
      <c r="H7" s="49">
        <f t="shared" si="0"/>
        <v>605.1066032</v>
      </c>
      <c r="I7" s="50">
        <f t="shared" si="1"/>
        <v>510.98336514383294</v>
      </c>
      <c r="J7" s="52">
        <v>6051066032</v>
      </c>
      <c r="K7" s="52">
        <v>152825416</v>
      </c>
      <c r="L7" s="73"/>
      <c r="M7" s="73"/>
      <c r="O7" s="49" t="str">
        <f t="shared" si="2"/>
        <v>·</v>
      </c>
      <c r="P7" s="50" t="str">
        <f t="shared" si="3"/>
        <v>·</v>
      </c>
      <c r="Q7" s="73"/>
      <c r="R7" s="73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300</v>
      </c>
      <c r="F8" s="46">
        <v>50</v>
      </c>
      <c r="H8" s="61">
        <f t="shared" si="0"/>
        <v>993.62977066666667</v>
      </c>
      <c r="I8" s="62">
        <f t="shared" si="1"/>
        <v>504.71835416086401</v>
      </c>
      <c r="J8" s="64">
        <v>5961778624</v>
      </c>
      <c r="K8" s="64">
        <v>149815440</v>
      </c>
      <c r="L8" s="76"/>
      <c r="M8" s="76"/>
      <c r="O8" s="61" t="str">
        <f t="shared" si="2"/>
        <v>·</v>
      </c>
      <c r="P8" s="62" t="str">
        <f t="shared" si="3"/>
        <v>·</v>
      </c>
      <c r="Q8" s="76"/>
      <c r="R8" s="76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300</v>
      </c>
      <c r="F9" s="37">
        <v>30</v>
      </c>
      <c r="H9" s="49">
        <f t="shared" si="0"/>
        <v>2912.6015240000002</v>
      </c>
      <c r="I9" s="50">
        <f t="shared" si="1"/>
        <v>2427.1679366666667</v>
      </c>
      <c r="J9" s="52">
        <v>29126015240</v>
      </c>
      <c r="K9" s="52">
        <v>166070488</v>
      </c>
      <c r="L9" s="73"/>
      <c r="M9" s="73"/>
      <c r="O9" s="49" t="str">
        <f t="shared" si="2"/>
        <v>·</v>
      </c>
      <c r="P9" s="50" t="str">
        <f t="shared" si="3"/>
        <v>·</v>
      </c>
      <c r="Q9" s="73"/>
      <c r="R9" s="73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300</v>
      </c>
      <c r="F10" s="40">
        <v>30</v>
      </c>
      <c r="H10" s="53">
        <f t="shared" si="0"/>
        <v>1229.5524800000001</v>
      </c>
      <c r="I10" s="54">
        <f t="shared" si="1"/>
        <v>2050.0557051140331</v>
      </c>
      <c r="J10" s="56">
        <v>12295524800</v>
      </c>
      <c r="K10" s="56">
        <v>124774688</v>
      </c>
      <c r="L10" s="74"/>
      <c r="M10" s="74"/>
      <c r="O10" s="53" t="str">
        <f t="shared" si="2"/>
        <v>·</v>
      </c>
      <c r="P10" s="54" t="str">
        <f t="shared" si="3"/>
        <v>·</v>
      </c>
      <c r="Q10" s="74"/>
      <c r="R10" s="74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300</v>
      </c>
      <c r="F11" s="37">
        <v>30</v>
      </c>
      <c r="H11" s="49">
        <f t="shared" si="0"/>
        <v>3630.6782560000001</v>
      </c>
      <c r="I11" s="50">
        <f t="shared" si="1"/>
        <v>4034.0869511111109</v>
      </c>
      <c r="J11" s="52">
        <v>36306782560</v>
      </c>
      <c r="K11" s="52">
        <v>141097056</v>
      </c>
      <c r="L11" s="73"/>
      <c r="M11" s="73"/>
      <c r="O11" s="49" t="str">
        <f t="shared" si="2"/>
        <v>·</v>
      </c>
      <c r="P11" s="50" t="str">
        <f t="shared" si="3"/>
        <v>·</v>
      </c>
      <c r="Q11" s="73"/>
      <c r="R11" s="73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300</v>
      </c>
      <c r="F12" s="46">
        <v>30</v>
      </c>
      <c r="H12" s="61">
        <f t="shared" si="0"/>
        <v>2747.4324888000001</v>
      </c>
      <c r="I12" s="62">
        <f t="shared" si="1"/>
        <v>3052.7027653333334</v>
      </c>
      <c r="J12" s="64">
        <v>27474324888</v>
      </c>
      <c r="K12" s="64">
        <v>132915352</v>
      </c>
      <c r="L12" s="76"/>
      <c r="M12" s="76"/>
      <c r="O12" s="61" t="str">
        <f t="shared" si="2"/>
        <v>·</v>
      </c>
      <c r="P12" s="62" t="str">
        <f t="shared" si="3"/>
        <v>·</v>
      </c>
      <c r="Q12" s="76"/>
      <c r="R12" s="76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946.34087999999997</v>
      </c>
      <c r="I13" s="99">
        <f t="shared" si="1"/>
        <v>157.73609888791103</v>
      </c>
      <c r="J13" s="100">
        <v>31544696</v>
      </c>
      <c r="K13" s="100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708.54442797782053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507.8508596523485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2891.0033395562859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157.73609888791103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1572.7266702637105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-8651863880</v>
      </c>
      <c r="R22" s="72">
        <f>R5-K5</f>
        <v>-128902216</v>
      </c>
    </row>
    <row r="23" spans="1:24" x14ac:dyDescent="0.15">
      <c r="Q23" s="72">
        <f t="shared" ref="Q23:R23" si="6">Q6-J6</f>
        <v>-6263517200</v>
      </c>
      <c r="R23" s="72">
        <f t="shared" si="6"/>
        <v>-136097968</v>
      </c>
    </row>
    <row r="24" spans="1:24" x14ac:dyDescent="0.15">
      <c r="Q24" s="72">
        <f t="shared" ref="Q24:R24" si="7">Q7-J7</f>
        <v>-6051066032</v>
      </c>
      <c r="R24" s="72">
        <f t="shared" si="7"/>
        <v>-152825416</v>
      </c>
    </row>
    <row r="25" spans="1:24" x14ac:dyDescent="0.15">
      <c r="Q25" s="72">
        <f t="shared" ref="Q25:R25" si="8">Q8-J8</f>
        <v>-5961778624</v>
      </c>
      <c r="R25" s="72">
        <f t="shared" si="8"/>
        <v>-149815440</v>
      </c>
    </row>
    <row r="26" spans="1:24" x14ac:dyDescent="0.15">
      <c r="Q26" s="72">
        <f t="shared" ref="Q26:R26" si="9">Q9-J9</f>
        <v>-29126015240</v>
      </c>
      <c r="R26" s="72">
        <f t="shared" si="9"/>
        <v>-166070488</v>
      </c>
    </row>
    <row r="27" spans="1:24" x14ac:dyDescent="0.15">
      <c r="Q27" s="72">
        <f t="shared" ref="Q27:R27" si="10">Q10-J10</f>
        <v>-12295524800</v>
      </c>
      <c r="R27" s="72">
        <f t="shared" si="10"/>
        <v>-124774688</v>
      </c>
    </row>
    <row r="28" spans="1:24" x14ac:dyDescent="0.15">
      <c r="Q28" s="72">
        <f t="shared" ref="Q28:R28" si="11">Q11-J11</f>
        <v>-36306782560</v>
      </c>
      <c r="R28" s="72">
        <f t="shared" si="11"/>
        <v>-141097056</v>
      </c>
    </row>
    <row r="29" spans="1:24" x14ac:dyDescent="0.15">
      <c r="Q29" s="72">
        <f t="shared" ref="Q29:R29" si="12">Q12-J12</f>
        <v>-27474324888</v>
      </c>
      <c r="R29" s="72">
        <f t="shared" si="12"/>
        <v>-132915352</v>
      </c>
    </row>
    <row r="30" spans="1:24" x14ac:dyDescent="0.15">
      <c r="Q30" s="72"/>
      <c r="R30" s="72"/>
    </row>
  </sheetData>
  <mergeCells count="21"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  <mergeCell ref="Q2:Q3"/>
    <mergeCell ref="S2:S3"/>
    <mergeCell ref="T2:T3"/>
    <mergeCell ref="V2:V3"/>
    <mergeCell ref="X2:X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1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1" t="s">
        <v>290</v>
      </c>
    </row>
    <row r="84" spans="1:19" x14ac:dyDescent="0.15">
      <c r="A84" t="s">
        <v>291</v>
      </c>
      <c r="B84" s="111" t="s">
        <v>292</v>
      </c>
    </row>
    <row r="85" spans="1:19" x14ac:dyDescent="0.15">
      <c r="A85" t="s">
        <v>293</v>
      </c>
      <c r="B85" s="111" t="s">
        <v>294</v>
      </c>
    </row>
    <row r="86" spans="1:19" x14ac:dyDescent="0.15">
      <c r="A86" t="s">
        <v>295</v>
      </c>
      <c r="B86" s="111" t="s">
        <v>296</v>
      </c>
    </row>
    <row r="87" spans="1:19" x14ac:dyDescent="0.15">
      <c r="A87" t="s">
        <v>297</v>
      </c>
      <c r="B87" s="111" t="s">
        <v>298</v>
      </c>
    </row>
    <row r="88" spans="1:19" x14ac:dyDescent="0.15">
      <c r="A88" t="s">
        <v>299</v>
      </c>
      <c r="B88" s="111" t="s">
        <v>300</v>
      </c>
    </row>
    <row r="89" spans="1:19" x14ac:dyDescent="0.15">
      <c r="A89" t="s">
        <v>301</v>
      </c>
      <c r="B89" s="111" t="s">
        <v>302</v>
      </c>
    </row>
    <row r="90" spans="1:19" x14ac:dyDescent="0.15">
      <c r="A90" t="s">
        <v>303</v>
      </c>
      <c r="B90" s="111" t="s">
        <v>304</v>
      </c>
    </row>
    <row r="91" spans="1:19" x14ac:dyDescent="0.15">
      <c r="A91" t="s">
        <v>305</v>
      </c>
      <c r="B91" s="111" t="s">
        <v>306</v>
      </c>
    </row>
    <row r="92" spans="1:19" x14ac:dyDescent="0.15">
      <c r="A92" t="s">
        <v>307</v>
      </c>
      <c r="B92" s="111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1" t="s">
        <v>366</v>
      </c>
    </row>
    <row r="149" spans="1:19" x14ac:dyDescent="0.15">
      <c r="A149" t="s">
        <v>367</v>
      </c>
      <c r="B149" s="111" t="s">
        <v>368</v>
      </c>
    </row>
    <row r="150" spans="1:19" x14ac:dyDescent="0.15">
      <c r="A150" t="s">
        <v>369</v>
      </c>
      <c r="B150" s="111" t="s">
        <v>370</v>
      </c>
    </row>
    <row r="151" spans="1:19" x14ac:dyDescent="0.15">
      <c r="A151" t="s">
        <v>371</v>
      </c>
      <c r="B151" s="111" t="s">
        <v>372</v>
      </c>
    </row>
    <row r="152" spans="1:19" x14ac:dyDescent="0.15">
      <c r="A152" t="s">
        <v>373</v>
      </c>
      <c r="B152" s="111" t="s">
        <v>374</v>
      </c>
    </row>
    <row r="153" spans="1:19" x14ac:dyDescent="0.15">
      <c r="A153" t="s">
        <v>375</v>
      </c>
      <c r="B153" s="111" t="s">
        <v>376</v>
      </c>
    </row>
    <row r="154" spans="1:19" x14ac:dyDescent="0.15">
      <c r="A154" t="s">
        <v>377</v>
      </c>
      <c r="B154" s="111" t="s">
        <v>378</v>
      </c>
    </row>
    <row r="155" spans="1:19" x14ac:dyDescent="0.15">
      <c r="A155" t="s">
        <v>379</v>
      </c>
      <c r="B155" s="111" t="s">
        <v>380</v>
      </c>
    </row>
    <row r="156" spans="1:19" x14ac:dyDescent="0.15">
      <c r="A156" t="s">
        <v>381</v>
      </c>
      <c r="B156" s="111" t="s">
        <v>382</v>
      </c>
    </row>
    <row r="157" spans="1:19" x14ac:dyDescent="0.15">
      <c r="A157" t="s">
        <v>383</v>
      </c>
      <c r="B157" s="111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55" zoomScaleNormal="55" workbookViewId="0">
      <pane xSplit="2" ySplit="4" topLeftCell="G5" activePane="bottomRight" state="frozen"/>
      <selection pane="topRight"/>
      <selection pane="bottomLeft"/>
      <selection pane="bottomRight" activeCell="W88" sqref="W88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386</v>
      </c>
      <c r="B1" s="113"/>
      <c r="C1" s="113"/>
      <c r="D1" s="113"/>
      <c r="E1" s="113"/>
      <c r="F1" s="113"/>
      <c r="G1" s="113"/>
      <c r="H1" s="113"/>
      <c r="J1" s="122" t="str">
        <f>Summary!C1</f>
        <v>F300_v12.0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3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28" t="s">
        <v>124</v>
      </c>
      <c r="M2" s="124" t="s">
        <v>389</v>
      </c>
      <c r="N2" s="125" t="s">
        <v>85</v>
      </c>
      <c r="O2" s="127" t="s">
        <v>124</v>
      </c>
      <c r="P2" s="127" t="s">
        <v>390</v>
      </c>
      <c r="Q2" s="127" t="s">
        <v>391</v>
      </c>
      <c r="R2" s="127" t="s">
        <v>392</v>
      </c>
      <c r="S2" s="127" t="s">
        <v>393</v>
      </c>
      <c r="T2" s="127" t="s">
        <v>394</v>
      </c>
      <c r="U2" s="130" t="s">
        <v>395</v>
      </c>
      <c r="V2" s="113"/>
      <c r="W2" s="113"/>
      <c r="X2" s="113"/>
      <c r="Y2" s="113"/>
      <c r="Z2" s="127" t="s">
        <v>396</v>
      </c>
      <c r="AA2" s="113"/>
      <c r="AB2" s="125" t="s">
        <v>126</v>
      </c>
      <c r="AC2" s="124" t="s">
        <v>106</v>
      </c>
      <c r="AE2" s="125" t="s">
        <v>131</v>
      </c>
      <c r="AF2" s="124" t="s">
        <v>135</v>
      </c>
      <c r="AG2" s="128" t="s">
        <v>124</v>
      </c>
      <c r="AH2" s="124" t="s">
        <v>389</v>
      </c>
      <c r="AI2" s="125" t="s">
        <v>85</v>
      </c>
      <c r="AJ2" s="124" t="s">
        <v>124</v>
      </c>
      <c r="AK2" s="127" t="s">
        <v>390</v>
      </c>
      <c r="AL2" s="127" t="s">
        <v>391</v>
      </c>
      <c r="AM2" s="127" t="s">
        <v>392</v>
      </c>
      <c r="AN2" s="127" t="s">
        <v>393</v>
      </c>
      <c r="AO2" s="127" t="s">
        <v>394</v>
      </c>
      <c r="AP2" s="130" t="s">
        <v>395</v>
      </c>
      <c r="AQ2" s="113"/>
      <c r="AR2" s="113"/>
      <c r="AS2" s="113"/>
      <c r="AT2" s="113"/>
      <c r="AU2" s="127" t="s">
        <v>396</v>
      </c>
      <c r="AV2" s="113"/>
      <c r="AW2" s="125" t="s">
        <v>126</v>
      </c>
      <c r="AX2" s="124" t="s">
        <v>106</v>
      </c>
      <c r="AZ2" s="130" t="s">
        <v>16</v>
      </c>
      <c r="BA2" s="113"/>
      <c r="BB2" s="113"/>
      <c r="BC2" s="113"/>
      <c r="BD2" s="113"/>
      <c r="BE2" s="127" t="s">
        <v>17</v>
      </c>
      <c r="BF2" s="113"/>
      <c r="BH2" s="130" t="s">
        <v>397</v>
      </c>
      <c r="BI2" s="130"/>
      <c r="BJ2" s="131" t="s">
        <v>398</v>
      </c>
      <c r="BK2" s="131"/>
      <c r="BL2" s="131"/>
      <c r="BM2" s="125" t="s">
        <v>399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29"/>
      <c r="M3" s="115"/>
      <c r="N3" s="115"/>
      <c r="O3" s="124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5"/>
      <c r="AC3" s="115"/>
      <c r="AE3" s="115"/>
      <c r="AF3" s="115"/>
      <c r="AG3" s="129"/>
      <c r="AH3" s="115"/>
      <c r="AI3" s="115"/>
      <c r="AJ3" s="115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5"/>
      <c r="AX3" s="115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5"/>
      <c r="BQ3" s="115"/>
      <c r="BR3" s="115"/>
      <c r="BS3" s="115"/>
      <c r="BT3" s="115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5.2035368000000002</v>
      </c>
      <c r="K5" s="50">
        <f t="shared" ref="K5:K44" si="1">IF(ISBLANK(O5),"·",O5/D5)</f>
        <v>4.3372059372666172</v>
      </c>
      <c r="L5" s="37">
        <f t="shared" ref="L5:L44" si="2">IF(OR(ISBLANK(M5),ISBLANK(S5),ISBLANK(T5)),".",M5+S5+T5)</f>
        <v>52035368</v>
      </c>
      <c r="M5" s="37">
        <f t="shared" ref="M5:M44" si="3">IF(OR(ISBLANK(Q5),ISBLANK(P5),ISBLANK(R5)),".",P5+Q5+R5)</f>
        <v>15501712</v>
      </c>
      <c r="N5" s="51">
        <v>22734528</v>
      </c>
      <c r="O5" s="52">
        <v>52035368</v>
      </c>
      <c r="P5" s="52">
        <v>7890816</v>
      </c>
      <c r="Q5" s="52">
        <v>0</v>
      </c>
      <c r="R5" s="52">
        <v>7610896</v>
      </c>
      <c r="S5" s="52">
        <v>36393992</v>
      </c>
      <c r="T5" s="52">
        <v>139664</v>
      </c>
      <c r="U5" s="67">
        <v>69.926395099999993</v>
      </c>
      <c r="V5" s="67">
        <v>71.160185100000007</v>
      </c>
      <c r="W5" s="67">
        <v>28.837000400000001</v>
      </c>
      <c r="X5" s="67">
        <v>33.893893200000001</v>
      </c>
      <c r="Y5" s="67">
        <v>33.3359095</v>
      </c>
      <c r="Z5" s="67">
        <v>48.8296055</v>
      </c>
      <c r="AA5" s="67">
        <v>27.5072902</v>
      </c>
      <c r="AB5" s="73">
        <v>6330.1643709999998</v>
      </c>
      <c r="AC5" s="73">
        <v>55.905662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9</v>
      </c>
      <c r="J6" s="53">
        <f t="shared" si="0"/>
        <v>9.5690575999999989</v>
      </c>
      <c r="K6" s="54">
        <f t="shared" si="1"/>
        <v>7.9759161954550306</v>
      </c>
      <c r="L6" s="40">
        <f t="shared" si="2"/>
        <v>95690576</v>
      </c>
      <c r="M6" s="40">
        <f t="shared" si="3"/>
        <v>18004104</v>
      </c>
      <c r="N6" s="55">
        <v>22734528</v>
      </c>
      <c r="O6" s="56">
        <v>95690576</v>
      </c>
      <c r="P6" s="56">
        <v>8525032</v>
      </c>
      <c r="Q6" s="56">
        <v>0</v>
      </c>
      <c r="R6" s="56">
        <v>9479072</v>
      </c>
      <c r="S6" s="56">
        <v>77548296</v>
      </c>
      <c r="T6" s="56">
        <v>138176</v>
      </c>
      <c r="U6" s="68">
        <v>70.6002486</v>
      </c>
      <c r="V6" s="68">
        <v>71.924703699999995</v>
      </c>
      <c r="W6" s="68">
        <v>31.589215899999999</v>
      </c>
      <c r="X6" s="68">
        <v>35.111074000000002</v>
      </c>
      <c r="Y6" s="68">
        <v>34.667974299999997</v>
      </c>
      <c r="Z6" s="68">
        <v>49.160575600000001</v>
      </c>
      <c r="AA6" s="68">
        <v>29.119881199999998</v>
      </c>
      <c r="AB6" s="74">
        <v>6520.4510870000004</v>
      </c>
      <c r="AC6" s="74">
        <v>61.430816999999998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12</v>
      </c>
      <c r="J7" s="49">
        <f t="shared" si="0"/>
        <v>12.821702399999999</v>
      </c>
      <c r="K7" s="50">
        <f t="shared" si="1"/>
        <v>10.687031900138697</v>
      </c>
      <c r="L7" s="37">
        <f t="shared" si="2"/>
        <v>128217024</v>
      </c>
      <c r="M7" s="37">
        <f t="shared" si="3"/>
        <v>19466624</v>
      </c>
      <c r="N7" s="51">
        <v>45557056</v>
      </c>
      <c r="O7" s="52">
        <v>128217024</v>
      </c>
      <c r="P7" s="52">
        <v>12321224</v>
      </c>
      <c r="Q7" s="52">
        <v>0</v>
      </c>
      <c r="R7" s="52">
        <v>7145400</v>
      </c>
      <c r="S7" s="52">
        <v>108612064</v>
      </c>
      <c r="T7" s="52">
        <v>138336</v>
      </c>
      <c r="U7" s="67">
        <v>71.776937200000006</v>
      </c>
      <c r="V7" s="67">
        <v>73.290631300000001</v>
      </c>
      <c r="W7" s="67">
        <v>32.684194499999997</v>
      </c>
      <c r="X7" s="67">
        <v>36.896755200000001</v>
      </c>
      <c r="Y7" s="67">
        <v>36.620601600000001</v>
      </c>
      <c r="Z7" s="67">
        <v>49.972799600000002</v>
      </c>
      <c r="AA7" s="67">
        <v>30.317497899999999</v>
      </c>
      <c r="AB7" s="73">
        <v>16764.005129000001</v>
      </c>
      <c r="AC7" s="73">
        <v>204.37433200000001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15</v>
      </c>
      <c r="J8" s="53">
        <f t="shared" si="0"/>
        <v>16.047560000000001</v>
      </c>
      <c r="K8" s="54">
        <f t="shared" si="1"/>
        <v>13.375820174970661</v>
      </c>
      <c r="L8" s="40">
        <f t="shared" si="2"/>
        <v>160475600</v>
      </c>
      <c r="M8" s="40">
        <f t="shared" si="3"/>
        <v>26150136</v>
      </c>
      <c r="N8" s="55">
        <v>45557056</v>
      </c>
      <c r="O8" s="56">
        <v>160475600</v>
      </c>
      <c r="P8" s="56">
        <v>13480088</v>
      </c>
      <c r="Q8" s="56">
        <v>0</v>
      </c>
      <c r="R8" s="56">
        <v>12670048</v>
      </c>
      <c r="S8" s="56">
        <v>134181368</v>
      </c>
      <c r="T8" s="56">
        <v>144096</v>
      </c>
      <c r="U8" s="68">
        <v>73.726401600000003</v>
      </c>
      <c r="V8" s="68">
        <v>75.534693300000001</v>
      </c>
      <c r="W8" s="68">
        <v>33.651751500000003</v>
      </c>
      <c r="X8" s="68">
        <v>37.424617599999998</v>
      </c>
      <c r="Y8" s="68">
        <v>37.1493325</v>
      </c>
      <c r="Z8" s="68">
        <v>50.865868800000001</v>
      </c>
      <c r="AA8" s="68">
        <v>31.4259621</v>
      </c>
      <c r="AB8" s="74">
        <v>16838.569657</v>
      </c>
      <c r="AC8" s="74">
        <v>210.407006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22</v>
      </c>
      <c r="J9" s="57">
        <f t="shared" si="0"/>
        <v>23.3495776</v>
      </c>
      <c r="K9" s="58">
        <f t="shared" si="1"/>
        <v>19.462133255094422</v>
      </c>
      <c r="L9" s="43">
        <f t="shared" si="2"/>
        <v>233495776</v>
      </c>
      <c r="M9" s="43">
        <f t="shared" si="3"/>
        <v>43053480</v>
      </c>
      <c r="N9" s="59">
        <v>91604544</v>
      </c>
      <c r="O9" s="60">
        <v>233495776</v>
      </c>
      <c r="P9" s="60">
        <v>20152128</v>
      </c>
      <c r="Q9" s="60">
        <v>0</v>
      </c>
      <c r="R9" s="60">
        <v>22901352</v>
      </c>
      <c r="S9" s="60">
        <v>190295872</v>
      </c>
      <c r="T9" s="60">
        <v>146424</v>
      </c>
      <c r="U9" s="69">
        <v>76.602310099999997</v>
      </c>
      <c r="V9" s="69">
        <v>79.085665300000002</v>
      </c>
      <c r="W9" s="69">
        <v>35.009715999999997</v>
      </c>
      <c r="X9" s="69">
        <v>38.550079599999997</v>
      </c>
      <c r="Y9" s="69">
        <v>38.254883900000003</v>
      </c>
      <c r="Z9" s="69">
        <v>52.5809645</v>
      </c>
      <c r="AA9" s="69">
        <v>33.103210500000003</v>
      </c>
      <c r="AB9" s="75">
        <v>21805.932371999999</v>
      </c>
      <c r="AC9" s="75">
        <v>220.777188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5</v>
      </c>
      <c r="J10" s="53">
        <f t="shared" si="0"/>
        <v>5.0682584000000004</v>
      </c>
      <c r="K10" s="54">
        <f t="shared" si="1"/>
        <v>5.6313982222222219</v>
      </c>
      <c r="L10" s="40">
        <f t="shared" si="2"/>
        <v>50682584</v>
      </c>
      <c r="M10" s="40">
        <f t="shared" si="3"/>
        <v>14496984</v>
      </c>
      <c r="N10" s="55">
        <v>22535808</v>
      </c>
      <c r="O10" s="56">
        <v>50682584</v>
      </c>
      <c r="P10" s="56">
        <v>8315864</v>
      </c>
      <c r="Q10" s="56">
        <v>0</v>
      </c>
      <c r="R10" s="56">
        <v>6181120</v>
      </c>
      <c r="S10" s="56">
        <v>36041504</v>
      </c>
      <c r="T10" s="56">
        <v>144096</v>
      </c>
      <c r="U10" s="68">
        <v>66.0341746</v>
      </c>
      <c r="V10" s="68">
        <v>66.813391499999994</v>
      </c>
      <c r="W10" s="68">
        <v>32.274039199999997</v>
      </c>
      <c r="X10" s="68">
        <v>44.927415799999999</v>
      </c>
      <c r="Y10" s="68">
        <v>45.225957200000003</v>
      </c>
      <c r="Z10" s="68">
        <v>44.724974600000003</v>
      </c>
      <c r="AA10" s="68">
        <v>29.865547899999999</v>
      </c>
      <c r="AB10" s="74">
        <v>16135.073049000001</v>
      </c>
      <c r="AC10" s="74">
        <v>163.97765200000001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9</v>
      </c>
      <c r="J11" s="49">
        <f t="shared" si="0"/>
        <v>9.0904855999999992</v>
      </c>
      <c r="K11" s="50">
        <f t="shared" si="1"/>
        <v>10.100539555555555</v>
      </c>
      <c r="L11" s="37">
        <f t="shared" si="2"/>
        <v>90904856</v>
      </c>
      <c r="M11" s="37">
        <f t="shared" si="3"/>
        <v>23093176</v>
      </c>
      <c r="N11" s="51">
        <v>45395136</v>
      </c>
      <c r="O11" s="52">
        <v>90904856</v>
      </c>
      <c r="P11" s="52">
        <v>13064704</v>
      </c>
      <c r="Q11" s="52">
        <v>0</v>
      </c>
      <c r="R11" s="52">
        <v>10028472</v>
      </c>
      <c r="S11" s="52">
        <v>67666248</v>
      </c>
      <c r="T11" s="52">
        <v>145432</v>
      </c>
      <c r="U11" s="67">
        <v>70.411176100000006</v>
      </c>
      <c r="V11" s="67">
        <v>71.821087300000002</v>
      </c>
      <c r="W11" s="67">
        <v>34.987584699999999</v>
      </c>
      <c r="X11" s="67">
        <v>45.577415700000003</v>
      </c>
      <c r="Y11" s="67">
        <v>45.965643900000003</v>
      </c>
      <c r="Z11" s="67">
        <v>47.195538399999997</v>
      </c>
      <c r="AA11" s="67">
        <v>32.572266300000003</v>
      </c>
      <c r="AB11" s="73">
        <v>18252.448344</v>
      </c>
      <c r="AC11" s="73">
        <v>196.89094499999999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12</v>
      </c>
      <c r="J12" s="53">
        <f t="shared" si="0"/>
        <v>12.0446352</v>
      </c>
      <c r="K12" s="54">
        <f t="shared" si="1"/>
        <v>13.382928</v>
      </c>
      <c r="L12" s="40">
        <f t="shared" si="2"/>
        <v>120446352</v>
      </c>
      <c r="M12" s="40">
        <f t="shared" si="3"/>
        <v>34944032</v>
      </c>
      <c r="N12" s="55">
        <v>45395136</v>
      </c>
      <c r="O12" s="56">
        <v>120446352</v>
      </c>
      <c r="P12" s="56">
        <v>13064704</v>
      </c>
      <c r="Q12" s="56">
        <v>0</v>
      </c>
      <c r="R12" s="56">
        <v>21879328</v>
      </c>
      <c r="S12" s="56">
        <v>85365016</v>
      </c>
      <c r="T12" s="56">
        <v>137304</v>
      </c>
      <c r="U12" s="68">
        <v>72.904424300000002</v>
      </c>
      <c r="V12" s="68">
        <v>74.711490699999999</v>
      </c>
      <c r="W12" s="68">
        <v>36.059143599999999</v>
      </c>
      <c r="X12" s="68">
        <v>45.908296399999998</v>
      </c>
      <c r="Y12" s="68">
        <v>46.341815099999998</v>
      </c>
      <c r="Z12" s="68">
        <v>48.418249299999999</v>
      </c>
      <c r="AA12" s="68">
        <v>33.903210000000001</v>
      </c>
      <c r="AB12" s="74">
        <v>18189.416680999999</v>
      </c>
      <c r="AC12" s="74">
        <v>198.35953499999999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15</v>
      </c>
      <c r="J13" s="49">
        <f t="shared" si="0"/>
        <v>15.036038400000001</v>
      </c>
      <c r="K13" s="50">
        <f t="shared" si="1"/>
        <v>16.706709333333333</v>
      </c>
      <c r="L13" s="37">
        <f t="shared" si="2"/>
        <v>150360384</v>
      </c>
      <c r="M13" s="37">
        <f t="shared" si="3"/>
        <v>42362424</v>
      </c>
      <c r="N13" s="51">
        <v>91443392</v>
      </c>
      <c r="O13" s="52">
        <v>150360384</v>
      </c>
      <c r="P13" s="52">
        <v>21521824</v>
      </c>
      <c r="Q13" s="52">
        <v>0</v>
      </c>
      <c r="R13" s="52">
        <v>20840600</v>
      </c>
      <c r="S13" s="52">
        <v>107852672</v>
      </c>
      <c r="T13" s="52">
        <v>145288</v>
      </c>
      <c r="U13" s="67">
        <v>74.554041900000001</v>
      </c>
      <c r="V13" s="67">
        <v>76.680271300000001</v>
      </c>
      <c r="W13" s="67">
        <v>37.122561099999999</v>
      </c>
      <c r="X13" s="67">
        <v>46.691034799999997</v>
      </c>
      <c r="Y13" s="67">
        <v>47.228178700000001</v>
      </c>
      <c r="Z13" s="67">
        <v>49.496184200000002</v>
      </c>
      <c r="AA13" s="67">
        <v>35.032256699999998</v>
      </c>
      <c r="AB13" s="73">
        <v>23074.539084</v>
      </c>
      <c r="AC13" s="73">
        <v>245.726024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22</v>
      </c>
      <c r="J14" s="61">
        <f t="shared" si="0"/>
        <v>22.104812800000001</v>
      </c>
      <c r="K14" s="62">
        <f t="shared" si="1"/>
        <v>24.560903111111109</v>
      </c>
      <c r="L14" s="46">
        <f t="shared" si="2"/>
        <v>221048128</v>
      </c>
      <c r="M14" s="46">
        <f t="shared" si="3"/>
        <v>52433064</v>
      </c>
      <c r="N14" s="63">
        <v>91443392</v>
      </c>
      <c r="O14" s="64">
        <v>221048128</v>
      </c>
      <c r="P14" s="64">
        <v>23752584</v>
      </c>
      <c r="Q14" s="64">
        <v>0</v>
      </c>
      <c r="R14" s="64">
        <v>28680480</v>
      </c>
      <c r="S14" s="64">
        <v>168471592</v>
      </c>
      <c r="T14" s="64">
        <v>143472</v>
      </c>
      <c r="U14" s="70">
        <v>75.585212900000002</v>
      </c>
      <c r="V14" s="70">
        <v>77.978065400000006</v>
      </c>
      <c r="W14" s="70">
        <v>38.812913000000002</v>
      </c>
      <c r="X14" s="70">
        <v>47.746240299999997</v>
      </c>
      <c r="Y14" s="70">
        <v>48.376658800000001</v>
      </c>
      <c r="Z14" s="70">
        <v>50.026015800000003</v>
      </c>
      <c r="AA14" s="70">
        <v>36.3087947</v>
      </c>
      <c r="AB14" s="76">
        <v>23174.680261000001</v>
      </c>
      <c r="AC14" s="76">
        <v>252.83010400000001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3.0587928</v>
      </c>
      <c r="K15" s="50">
        <f t="shared" si="1"/>
        <v>2.5830031104537898</v>
      </c>
      <c r="L15" s="37">
        <f t="shared" si="2"/>
        <v>30587928</v>
      </c>
      <c r="M15" s="37">
        <f t="shared" si="3"/>
        <v>11001856</v>
      </c>
      <c r="N15" s="51">
        <v>22706496</v>
      </c>
      <c r="O15" s="52">
        <v>30587928</v>
      </c>
      <c r="P15" s="52">
        <v>6499416</v>
      </c>
      <c r="Q15" s="52">
        <v>0</v>
      </c>
      <c r="R15" s="52">
        <v>4502440</v>
      </c>
      <c r="S15" s="52">
        <v>19440904</v>
      </c>
      <c r="T15" s="52">
        <v>145168</v>
      </c>
      <c r="U15" s="67">
        <v>71.427568899999997</v>
      </c>
      <c r="V15" s="67">
        <v>72.796916699999997</v>
      </c>
      <c r="W15" s="67">
        <v>35.768577100000002</v>
      </c>
      <c r="X15" s="67">
        <v>43.3110213</v>
      </c>
      <c r="Y15" s="67">
        <v>45.165204600000003</v>
      </c>
      <c r="Z15" s="67">
        <v>45.780264500000001</v>
      </c>
      <c r="AA15" s="67">
        <v>32.537436999999997</v>
      </c>
      <c r="AB15" s="73">
        <v>13317.801877</v>
      </c>
      <c r="AC15" s="73">
        <v>153.29363599999999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5.1212992000000002</v>
      </c>
      <c r="K16" s="54">
        <f t="shared" si="1"/>
        <v>4.3246903690777962</v>
      </c>
      <c r="L16" s="40">
        <f t="shared" si="2"/>
        <v>51212992</v>
      </c>
      <c r="M16" s="40">
        <f t="shared" si="3"/>
        <v>13878168</v>
      </c>
      <c r="N16" s="55">
        <v>22706496</v>
      </c>
      <c r="O16" s="56">
        <v>51212992</v>
      </c>
      <c r="P16" s="56">
        <v>7079256</v>
      </c>
      <c r="Q16" s="56">
        <v>0</v>
      </c>
      <c r="R16" s="56">
        <v>6798912</v>
      </c>
      <c r="S16" s="56">
        <v>37189024</v>
      </c>
      <c r="T16" s="56">
        <v>145800</v>
      </c>
      <c r="U16" s="68">
        <v>73.137131600000004</v>
      </c>
      <c r="V16" s="68">
        <v>74.707334299999999</v>
      </c>
      <c r="W16" s="68">
        <v>38.564141800000002</v>
      </c>
      <c r="X16" s="68">
        <v>43.9399801</v>
      </c>
      <c r="Y16" s="68">
        <v>46.394084700000001</v>
      </c>
      <c r="Z16" s="68">
        <v>46.601970899999998</v>
      </c>
      <c r="AA16" s="68">
        <v>34.220526700000001</v>
      </c>
      <c r="AB16" s="74">
        <v>13421.255088</v>
      </c>
      <c r="AC16" s="74">
        <v>160.00070199999999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9.9692951999999995</v>
      </c>
      <c r="K17" s="50">
        <f t="shared" si="1"/>
        <v>8.4185893567658585</v>
      </c>
      <c r="L17" s="37">
        <f t="shared" si="2"/>
        <v>99692952</v>
      </c>
      <c r="M17" s="37">
        <f t="shared" si="3"/>
        <v>26788256</v>
      </c>
      <c r="N17" s="51">
        <v>45429376</v>
      </c>
      <c r="O17" s="52">
        <v>99692952</v>
      </c>
      <c r="P17" s="52">
        <v>11912104</v>
      </c>
      <c r="Q17" s="52">
        <v>0</v>
      </c>
      <c r="R17" s="52">
        <v>14876152</v>
      </c>
      <c r="S17" s="52">
        <v>72760040</v>
      </c>
      <c r="T17" s="52">
        <v>144656</v>
      </c>
      <c r="U17" s="67">
        <v>77.849016399999996</v>
      </c>
      <c r="V17" s="67">
        <v>80.316645100000002</v>
      </c>
      <c r="W17" s="67">
        <v>41.215855300000001</v>
      </c>
      <c r="X17" s="67">
        <v>44.815815899999997</v>
      </c>
      <c r="Y17" s="67">
        <v>48.054574100000004</v>
      </c>
      <c r="Z17" s="67">
        <v>48.976230800000003</v>
      </c>
      <c r="AA17" s="67">
        <v>37.362055699999999</v>
      </c>
      <c r="AB17" s="73">
        <v>15416.651610000001</v>
      </c>
      <c r="AC17" s="73">
        <v>175.67545799999999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14.1918088</v>
      </c>
      <c r="K18" s="54">
        <f t="shared" si="1"/>
        <v>11.984298600861578</v>
      </c>
      <c r="L18" s="40">
        <f t="shared" si="2"/>
        <v>141918088</v>
      </c>
      <c r="M18" s="40">
        <f t="shared" si="3"/>
        <v>36614144</v>
      </c>
      <c r="N18" s="55">
        <v>90872704</v>
      </c>
      <c r="O18" s="56">
        <v>141918088</v>
      </c>
      <c r="P18" s="56">
        <v>20518248</v>
      </c>
      <c r="Q18" s="56">
        <v>0</v>
      </c>
      <c r="R18" s="56">
        <v>16095896</v>
      </c>
      <c r="S18" s="56">
        <v>105159792</v>
      </c>
      <c r="T18" s="56">
        <v>144152</v>
      </c>
      <c r="U18" s="68">
        <v>79.167706600000002</v>
      </c>
      <c r="V18" s="68">
        <v>82.109997500000006</v>
      </c>
      <c r="W18" s="68">
        <v>42.214835700000002</v>
      </c>
      <c r="X18" s="68">
        <v>45.504451899999999</v>
      </c>
      <c r="Y18" s="68">
        <v>49.188718100000003</v>
      </c>
      <c r="Z18" s="68">
        <v>49.925468600000002</v>
      </c>
      <c r="AA18" s="68">
        <v>38.493457800000002</v>
      </c>
      <c r="AB18" s="74">
        <v>19432.604508</v>
      </c>
      <c r="AC18" s="74">
        <v>244.7894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21.3133424</v>
      </c>
      <c r="K19" s="58">
        <f t="shared" si="1"/>
        <v>17.998090525571605</v>
      </c>
      <c r="L19" s="43">
        <f t="shared" si="2"/>
        <v>213133424</v>
      </c>
      <c r="M19" s="43">
        <f t="shared" si="3"/>
        <v>38647960</v>
      </c>
      <c r="N19" s="59">
        <v>90872704</v>
      </c>
      <c r="O19" s="60">
        <v>213133424</v>
      </c>
      <c r="P19" s="60">
        <v>20518248</v>
      </c>
      <c r="Q19" s="60">
        <v>0</v>
      </c>
      <c r="R19" s="60">
        <v>18129712</v>
      </c>
      <c r="S19" s="60">
        <v>174340560</v>
      </c>
      <c r="T19" s="60">
        <v>144904</v>
      </c>
      <c r="U19" s="69">
        <v>79.519918099999998</v>
      </c>
      <c r="V19" s="69">
        <v>82.6341319</v>
      </c>
      <c r="W19" s="69">
        <v>43.252888400000003</v>
      </c>
      <c r="X19" s="69">
        <v>46.453066700000001</v>
      </c>
      <c r="Y19" s="69">
        <v>50.482444000000001</v>
      </c>
      <c r="Z19" s="69">
        <v>50.126500800000002</v>
      </c>
      <c r="AA19" s="69">
        <v>39.047330100000003</v>
      </c>
      <c r="AB19" s="75">
        <v>19846.571578999999</v>
      </c>
      <c r="AC19" s="75">
        <v>270.31122299999998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2.911432</v>
      </c>
      <c r="K20" s="54">
        <f t="shared" si="1"/>
        <v>2.4647898890035549</v>
      </c>
      <c r="L20" s="40">
        <f t="shared" si="2"/>
        <v>29114320</v>
      </c>
      <c r="M20" s="40">
        <f t="shared" si="3"/>
        <v>10602384</v>
      </c>
      <c r="N20" s="55">
        <v>22662464</v>
      </c>
      <c r="O20" s="56">
        <v>29114320</v>
      </c>
      <c r="P20" s="56">
        <v>6350840</v>
      </c>
      <c r="Q20" s="56">
        <v>0</v>
      </c>
      <c r="R20" s="56">
        <v>4251544</v>
      </c>
      <c r="S20" s="56">
        <v>18367272</v>
      </c>
      <c r="T20" s="56">
        <v>144664</v>
      </c>
      <c r="U20" s="68">
        <v>71.633762300000001</v>
      </c>
      <c r="V20" s="68">
        <v>73.039473200000003</v>
      </c>
      <c r="W20" s="68">
        <v>34.719794899999997</v>
      </c>
      <c r="X20" s="68">
        <v>42.738821000000002</v>
      </c>
      <c r="Y20" s="68">
        <v>44.128132399999998</v>
      </c>
      <c r="Z20" s="68">
        <v>46.810497599999998</v>
      </c>
      <c r="AA20" s="68">
        <v>31.709480500000002</v>
      </c>
      <c r="AB20" s="74">
        <v>5554.1891699999996</v>
      </c>
      <c r="AC20" s="74">
        <v>48.013081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4.9322336</v>
      </c>
      <c r="K21" s="50">
        <f t="shared" si="1"/>
        <v>4.1755807820631237</v>
      </c>
      <c r="L21" s="37">
        <f t="shared" si="2"/>
        <v>49322336</v>
      </c>
      <c r="M21" s="37">
        <f t="shared" si="3"/>
        <v>11099192</v>
      </c>
      <c r="N21" s="51">
        <v>22662464</v>
      </c>
      <c r="O21" s="52">
        <v>49322336</v>
      </c>
      <c r="P21" s="52">
        <v>6350840</v>
      </c>
      <c r="Q21" s="52">
        <v>0</v>
      </c>
      <c r="R21" s="52">
        <v>4748352</v>
      </c>
      <c r="S21" s="52">
        <v>38077096</v>
      </c>
      <c r="T21" s="52">
        <v>146048</v>
      </c>
      <c r="U21" s="67">
        <v>72.090462400000007</v>
      </c>
      <c r="V21" s="67">
        <v>73.551991099999995</v>
      </c>
      <c r="W21" s="67">
        <v>37.531021099999997</v>
      </c>
      <c r="X21" s="67">
        <v>43.949513400000001</v>
      </c>
      <c r="Y21" s="67">
        <v>45.995668799999997</v>
      </c>
      <c r="Z21" s="67">
        <v>47.010970399999998</v>
      </c>
      <c r="AA21" s="67">
        <v>32.974503300000002</v>
      </c>
      <c r="AB21" s="73">
        <v>12772.118764999999</v>
      </c>
      <c r="AC21" s="73">
        <v>145.26484199999999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9.9271368000000013</v>
      </c>
      <c r="K22" s="54">
        <f t="shared" si="1"/>
        <v>8.4042170352579433</v>
      </c>
      <c r="L22" s="40">
        <f t="shared" si="2"/>
        <v>99271368</v>
      </c>
      <c r="M22" s="40">
        <f t="shared" si="3"/>
        <v>24988024</v>
      </c>
      <c r="N22" s="55">
        <v>45333376</v>
      </c>
      <c r="O22" s="56">
        <v>99271368</v>
      </c>
      <c r="P22" s="56">
        <v>10590808</v>
      </c>
      <c r="Q22" s="56">
        <v>0</v>
      </c>
      <c r="R22" s="56">
        <v>14397216</v>
      </c>
      <c r="S22" s="56">
        <v>74138528</v>
      </c>
      <c r="T22" s="56">
        <v>144816</v>
      </c>
      <c r="U22" s="68">
        <v>77.960514000000003</v>
      </c>
      <c r="V22" s="68">
        <v>80.586501900000002</v>
      </c>
      <c r="W22" s="68">
        <v>40.4857266</v>
      </c>
      <c r="X22" s="68">
        <v>45.199078900000004</v>
      </c>
      <c r="Y22" s="68">
        <v>48.090756499999998</v>
      </c>
      <c r="Z22" s="68">
        <v>50.017004499999999</v>
      </c>
      <c r="AA22" s="68">
        <v>36.799930400000001</v>
      </c>
      <c r="AB22" s="74">
        <v>14758.485322</v>
      </c>
      <c r="AC22" s="74">
        <v>188.83174600000001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14.056103999999999</v>
      </c>
      <c r="K23" s="50">
        <f t="shared" si="1"/>
        <v>11.899760330305645</v>
      </c>
      <c r="L23" s="37">
        <f t="shared" si="2"/>
        <v>140561040</v>
      </c>
      <c r="M23" s="37">
        <f t="shared" si="3"/>
        <v>35367888</v>
      </c>
      <c r="N23" s="51">
        <v>90678208</v>
      </c>
      <c r="O23" s="52">
        <v>140561040</v>
      </c>
      <c r="P23" s="52">
        <v>22342752</v>
      </c>
      <c r="Q23" s="52">
        <v>0</v>
      </c>
      <c r="R23" s="52">
        <v>13025136</v>
      </c>
      <c r="S23" s="52">
        <v>105046920</v>
      </c>
      <c r="T23" s="52">
        <v>146232</v>
      </c>
      <c r="U23" s="67">
        <v>78.858752999999993</v>
      </c>
      <c r="V23" s="67">
        <v>81.819892699999997</v>
      </c>
      <c r="W23" s="67">
        <v>41.494430000000001</v>
      </c>
      <c r="X23" s="67">
        <v>45.718546600000003</v>
      </c>
      <c r="Y23" s="67">
        <v>48.824697800000003</v>
      </c>
      <c r="Z23" s="67">
        <v>50.797749199999998</v>
      </c>
      <c r="AA23" s="67">
        <v>37.740065399999999</v>
      </c>
      <c r="AB23" s="73">
        <v>18917.304164000001</v>
      </c>
      <c r="AC23" s="73">
        <v>250.09963099999999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21.023835999999999</v>
      </c>
      <c r="K24" s="62">
        <f t="shared" si="1"/>
        <v>17.79857417273319</v>
      </c>
      <c r="L24" s="46">
        <f t="shared" si="2"/>
        <v>210238360</v>
      </c>
      <c r="M24" s="46">
        <f t="shared" si="3"/>
        <v>37348232</v>
      </c>
      <c r="N24" s="63">
        <v>90678208</v>
      </c>
      <c r="O24" s="64">
        <v>210238360</v>
      </c>
      <c r="P24" s="64">
        <v>20147384</v>
      </c>
      <c r="Q24" s="64">
        <v>0</v>
      </c>
      <c r="R24" s="64">
        <v>17200848</v>
      </c>
      <c r="S24" s="64">
        <v>172746608</v>
      </c>
      <c r="T24" s="64">
        <v>143520</v>
      </c>
      <c r="U24" s="70">
        <v>79.551688200000001</v>
      </c>
      <c r="V24" s="70">
        <v>82.882459999999995</v>
      </c>
      <c r="W24" s="70">
        <v>42.497291099999998</v>
      </c>
      <c r="X24" s="70">
        <v>46.7924699</v>
      </c>
      <c r="Y24" s="70">
        <v>50.1878241</v>
      </c>
      <c r="Z24" s="70">
        <v>51.180945299999998</v>
      </c>
      <c r="AA24" s="70">
        <v>38.5098561</v>
      </c>
      <c r="AB24" s="76">
        <v>19149.025962</v>
      </c>
      <c r="AC24" s="76">
        <v>249.28709599999999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4.2037735999999999</v>
      </c>
      <c r="K25" s="50">
        <f t="shared" si="1"/>
        <v>3.5031446666666666</v>
      </c>
      <c r="L25" s="37">
        <f t="shared" si="2"/>
        <v>42037736</v>
      </c>
      <c r="M25" s="37">
        <f t="shared" si="3"/>
        <v>10986768</v>
      </c>
      <c r="N25" s="51">
        <v>23020672</v>
      </c>
      <c r="O25" s="52">
        <v>42037736</v>
      </c>
      <c r="P25" s="52">
        <v>6293944</v>
      </c>
      <c r="Q25" s="52">
        <v>0</v>
      </c>
      <c r="R25" s="52">
        <v>4692824</v>
      </c>
      <c r="S25" s="52">
        <v>30904600</v>
      </c>
      <c r="T25" s="52">
        <v>146368</v>
      </c>
      <c r="U25" s="67">
        <v>74.076346999999998</v>
      </c>
      <c r="V25" s="67">
        <v>75.905668899999995</v>
      </c>
      <c r="W25" s="67">
        <v>31.2068616</v>
      </c>
      <c r="X25" s="67">
        <v>39.920560000000002</v>
      </c>
      <c r="Y25" s="67">
        <v>36.634237200000001</v>
      </c>
      <c r="Z25" s="67">
        <v>45.007020099999998</v>
      </c>
      <c r="AA25" s="67">
        <v>28.2584132</v>
      </c>
      <c r="AB25" s="73">
        <v>7136.3794539999999</v>
      </c>
      <c r="AC25" s="73">
        <v>63.736829999999998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8.2991759999999992</v>
      </c>
      <c r="K26" s="54">
        <f t="shared" si="1"/>
        <v>6.9159800000000002</v>
      </c>
      <c r="L26" s="40">
        <f t="shared" si="2"/>
        <v>82991760</v>
      </c>
      <c r="M26" s="40">
        <f t="shared" si="3"/>
        <v>17237344</v>
      </c>
      <c r="N26" s="55">
        <v>46063040</v>
      </c>
      <c r="O26" s="56">
        <v>82991760</v>
      </c>
      <c r="P26" s="56">
        <v>10589840</v>
      </c>
      <c r="Q26" s="56">
        <v>0</v>
      </c>
      <c r="R26" s="56">
        <v>6647504</v>
      </c>
      <c r="S26" s="56">
        <v>65604272</v>
      </c>
      <c r="T26" s="56">
        <v>150144</v>
      </c>
      <c r="U26" s="68">
        <v>76.962197399999994</v>
      </c>
      <c r="V26" s="68">
        <v>79.347339000000005</v>
      </c>
      <c r="W26" s="68">
        <v>33.474547200000003</v>
      </c>
      <c r="X26" s="68">
        <v>41.833996300000003</v>
      </c>
      <c r="Y26" s="68">
        <v>39.454591999999998</v>
      </c>
      <c r="Z26" s="68">
        <v>46.534612500000001</v>
      </c>
      <c r="AA26" s="68">
        <v>30.9100283</v>
      </c>
      <c r="AB26" s="74">
        <v>15957.057014</v>
      </c>
      <c r="AC26" s="74">
        <v>190.071293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12.431656800000001</v>
      </c>
      <c r="K27" s="50">
        <f t="shared" si="1"/>
        <v>10.359714</v>
      </c>
      <c r="L27" s="37">
        <f t="shared" si="2"/>
        <v>124316568</v>
      </c>
      <c r="M27" s="37">
        <f t="shared" si="3"/>
        <v>25889424</v>
      </c>
      <c r="N27" s="51">
        <v>92146688</v>
      </c>
      <c r="O27" s="52">
        <v>124316568</v>
      </c>
      <c r="P27" s="52">
        <v>20110832</v>
      </c>
      <c r="Q27" s="52">
        <v>0</v>
      </c>
      <c r="R27" s="52">
        <v>5778592</v>
      </c>
      <c r="S27" s="52">
        <v>98278960</v>
      </c>
      <c r="T27" s="52">
        <v>148184</v>
      </c>
      <c r="U27" s="67">
        <v>79.018644100000003</v>
      </c>
      <c r="V27" s="67">
        <v>81.901013699999993</v>
      </c>
      <c r="W27" s="67">
        <v>34.553832399999997</v>
      </c>
      <c r="X27" s="67">
        <v>43.218617000000002</v>
      </c>
      <c r="Y27" s="67">
        <v>41.2842232</v>
      </c>
      <c r="Z27" s="67">
        <v>47.891388900000003</v>
      </c>
      <c r="AA27" s="67">
        <v>32.267875600000004</v>
      </c>
      <c r="AB27" s="73">
        <v>46787.101511000001</v>
      </c>
      <c r="AC27" s="73">
        <v>737.127115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17.7257216</v>
      </c>
      <c r="K28" s="54">
        <f t="shared" si="1"/>
        <v>14.771434666666666</v>
      </c>
      <c r="L28" s="40">
        <f t="shared" si="2"/>
        <v>177257216</v>
      </c>
      <c r="M28" s="40">
        <f t="shared" si="3"/>
        <v>44287984</v>
      </c>
      <c r="N28" s="55">
        <v>184309952</v>
      </c>
      <c r="O28" s="56">
        <v>177257216</v>
      </c>
      <c r="P28" s="56">
        <v>39367904</v>
      </c>
      <c r="Q28" s="56">
        <v>0</v>
      </c>
      <c r="R28" s="56">
        <v>4920080</v>
      </c>
      <c r="S28" s="56">
        <v>132822744</v>
      </c>
      <c r="T28" s="56">
        <v>146488</v>
      </c>
      <c r="U28" s="68">
        <v>80.508484100000004</v>
      </c>
      <c r="V28" s="68">
        <v>84.025912700000006</v>
      </c>
      <c r="W28" s="68">
        <v>35.315579800000002</v>
      </c>
      <c r="X28" s="68">
        <v>43.565876199999998</v>
      </c>
      <c r="Y28" s="68">
        <v>41.763443500000001</v>
      </c>
      <c r="Z28" s="68">
        <v>49.283623900000002</v>
      </c>
      <c r="AA28" s="68">
        <v>33.442642599999999</v>
      </c>
      <c r="AB28" s="74">
        <v>55801.293826000001</v>
      </c>
      <c r="AC28" s="74">
        <v>875.73257999999998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26.137200800000002</v>
      </c>
      <c r="K29" s="58">
        <f t="shared" si="1"/>
        <v>21.781000666666667</v>
      </c>
      <c r="L29" s="43">
        <f t="shared" si="2"/>
        <v>261372008</v>
      </c>
      <c r="M29" s="43">
        <f t="shared" si="3"/>
        <v>70430056</v>
      </c>
      <c r="N29" s="59">
        <v>368631104</v>
      </c>
      <c r="O29" s="60">
        <v>261372008</v>
      </c>
      <c r="P29" s="60">
        <v>69810720</v>
      </c>
      <c r="Q29" s="60">
        <v>0</v>
      </c>
      <c r="R29" s="60">
        <v>619336</v>
      </c>
      <c r="S29" s="60">
        <v>190798032</v>
      </c>
      <c r="T29" s="60">
        <v>143920</v>
      </c>
      <c r="U29" s="69">
        <v>82.358944699999995</v>
      </c>
      <c r="V29" s="69">
        <v>86.5959857</v>
      </c>
      <c r="W29" s="69">
        <v>35.970480000000002</v>
      </c>
      <c r="X29" s="69">
        <v>44.188095400000002</v>
      </c>
      <c r="Y29" s="69">
        <v>42.577145600000001</v>
      </c>
      <c r="Z29" s="69">
        <v>50.737020299999998</v>
      </c>
      <c r="AA29" s="69">
        <v>34.489698099999998</v>
      </c>
      <c r="AB29" s="75">
        <v>71821.233252000005</v>
      </c>
      <c r="AC29" s="75">
        <v>1060.2790150000001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2.0979776000000001</v>
      </c>
      <c r="K30" s="54">
        <f t="shared" si="1"/>
        <v>3.4979970501799538</v>
      </c>
      <c r="L30" s="40">
        <f t="shared" si="2"/>
        <v>20979776</v>
      </c>
      <c r="M30" s="40">
        <f t="shared" si="3"/>
        <v>6630496</v>
      </c>
      <c r="N30" s="55">
        <v>11259392</v>
      </c>
      <c r="O30" s="56">
        <v>20979776</v>
      </c>
      <c r="P30" s="56">
        <v>3545416</v>
      </c>
      <c r="Q30" s="56">
        <v>0</v>
      </c>
      <c r="R30" s="56">
        <v>3085080</v>
      </c>
      <c r="S30" s="56">
        <v>14276192</v>
      </c>
      <c r="T30" s="56">
        <v>73088</v>
      </c>
      <c r="U30" s="68">
        <v>73.928302000000002</v>
      </c>
      <c r="V30" s="68">
        <v>75.731671800000001</v>
      </c>
      <c r="W30" s="68">
        <v>37.612018999999997</v>
      </c>
      <c r="X30" s="68">
        <v>44.022002499999999</v>
      </c>
      <c r="Y30" s="68">
        <v>42.619237699999999</v>
      </c>
      <c r="Z30" s="68">
        <v>48.573242200000003</v>
      </c>
      <c r="AA30" s="68">
        <v>34.6110592</v>
      </c>
      <c r="AB30" s="74">
        <v>6632.5381150000003</v>
      </c>
      <c r="AC30" s="74">
        <v>92.209047999999996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4.1571319999999998</v>
      </c>
      <c r="K31" s="50">
        <f t="shared" si="1"/>
        <v>6.931263457345155</v>
      </c>
      <c r="L31" s="37">
        <f t="shared" si="2"/>
        <v>41571320</v>
      </c>
      <c r="M31" s="37">
        <f t="shared" si="3"/>
        <v>8740816</v>
      </c>
      <c r="N31" s="51">
        <v>11259392</v>
      </c>
      <c r="O31" s="52">
        <v>41571320</v>
      </c>
      <c r="P31" s="52">
        <v>3545416</v>
      </c>
      <c r="Q31" s="52">
        <v>0</v>
      </c>
      <c r="R31" s="52">
        <v>5195400</v>
      </c>
      <c r="S31" s="52">
        <v>32756664</v>
      </c>
      <c r="T31" s="52">
        <v>73840</v>
      </c>
      <c r="U31" s="67">
        <v>75.570643200000006</v>
      </c>
      <c r="V31" s="67">
        <v>77.6662879</v>
      </c>
      <c r="W31" s="67">
        <v>39.935078300000001</v>
      </c>
      <c r="X31" s="67">
        <v>45.724354499999997</v>
      </c>
      <c r="Y31" s="67">
        <v>44.561218099999998</v>
      </c>
      <c r="Z31" s="67">
        <v>49.440944399999999</v>
      </c>
      <c r="AA31" s="67">
        <v>36.127507299999998</v>
      </c>
      <c r="AB31" s="73">
        <v>6807.5179310000003</v>
      </c>
      <c r="AC31" s="73">
        <v>100.605952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6.3308304</v>
      </c>
      <c r="K32" s="54">
        <f t="shared" si="1"/>
        <v>10.555511204881109</v>
      </c>
      <c r="L32" s="40">
        <f t="shared" si="2"/>
        <v>63308304</v>
      </c>
      <c r="M32" s="40">
        <f t="shared" si="3"/>
        <v>15184416</v>
      </c>
      <c r="N32" s="55">
        <v>11449824</v>
      </c>
      <c r="O32" s="56">
        <v>63308304</v>
      </c>
      <c r="P32" s="56">
        <v>9450088</v>
      </c>
      <c r="Q32" s="56">
        <v>0</v>
      </c>
      <c r="R32" s="56">
        <v>5734328</v>
      </c>
      <c r="S32" s="56">
        <v>48060240</v>
      </c>
      <c r="T32" s="56">
        <v>63648</v>
      </c>
      <c r="U32" s="68">
        <v>78.214506400000005</v>
      </c>
      <c r="V32" s="68">
        <v>80.892130699999996</v>
      </c>
      <c r="W32" s="68">
        <v>41.292347100000001</v>
      </c>
      <c r="X32" s="68">
        <v>46.485290499999998</v>
      </c>
      <c r="Y32" s="68">
        <v>45.4470612</v>
      </c>
      <c r="Z32" s="68">
        <v>51.032521199999998</v>
      </c>
      <c r="AA32" s="68">
        <v>37.760067100000001</v>
      </c>
      <c r="AB32" s="74">
        <v>9916.8868650000004</v>
      </c>
      <c r="AC32" s="74">
        <v>76.873695999999995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9.1209351999999999</v>
      </c>
      <c r="K33" s="50">
        <f t="shared" si="1"/>
        <v>15.207504801043875</v>
      </c>
      <c r="L33" s="37">
        <f t="shared" si="2"/>
        <v>91209352</v>
      </c>
      <c r="M33" s="37">
        <f t="shared" si="3"/>
        <v>18772488</v>
      </c>
      <c r="N33" s="51">
        <v>11449824</v>
      </c>
      <c r="O33" s="52">
        <v>91209352</v>
      </c>
      <c r="P33" s="52">
        <v>9450088</v>
      </c>
      <c r="Q33" s="52">
        <v>0</v>
      </c>
      <c r="R33" s="52">
        <v>9322400</v>
      </c>
      <c r="S33" s="52">
        <v>72374104</v>
      </c>
      <c r="T33" s="52">
        <v>62760</v>
      </c>
      <c r="U33" s="67">
        <v>79.489373700000002</v>
      </c>
      <c r="V33" s="67">
        <v>82.682430299999993</v>
      </c>
      <c r="W33" s="67">
        <v>42.244328400000001</v>
      </c>
      <c r="X33" s="67">
        <v>47.6280863</v>
      </c>
      <c r="Y33" s="67">
        <v>46.785733</v>
      </c>
      <c r="Z33" s="67">
        <v>51.657320800000001</v>
      </c>
      <c r="AA33" s="67">
        <v>38.866773500000001</v>
      </c>
      <c r="AB33" s="73">
        <v>24327.306771</v>
      </c>
      <c r="AC33" s="73">
        <v>333.05580900000001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13.145860000000001</v>
      </c>
      <c r="K34" s="62">
        <f t="shared" si="1"/>
        <v>21.918336736330573</v>
      </c>
      <c r="L34" s="46">
        <f t="shared" si="2"/>
        <v>131458600</v>
      </c>
      <c r="M34" s="46">
        <f t="shared" si="3"/>
        <v>30154160</v>
      </c>
      <c r="N34" s="63">
        <v>34479136</v>
      </c>
      <c r="O34" s="64">
        <v>131458600</v>
      </c>
      <c r="P34" s="64">
        <v>21634048</v>
      </c>
      <c r="Q34" s="64">
        <v>0</v>
      </c>
      <c r="R34" s="64">
        <v>8520112</v>
      </c>
      <c r="S34" s="64">
        <v>101241696</v>
      </c>
      <c r="T34" s="64">
        <v>62744</v>
      </c>
      <c r="U34" s="70">
        <v>82.213891399999994</v>
      </c>
      <c r="V34" s="70">
        <v>86.803824700000007</v>
      </c>
      <c r="W34" s="70">
        <v>43.216844000000002</v>
      </c>
      <c r="X34" s="70">
        <v>48.348366499999997</v>
      </c>
      <c r="Y34" s="70">
        <v>47.600234</v>
      </c>
      <c r="Z34" s="70">
        <v>54.010839699999998</v>
      </c>
      <c r="AA34" s="70">
        <v>40.951465200000001</v>
      </c>
      <c r="AB34" s="76">
        <v>32106.79708</v>
      </c>
      <c r="AC34" s="76">
        <v>282.97224299999999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4</v>
      </c>
      <c r="J35" s="49">
        <f t="shared" si="0"/>
        <v>3.9147616000000003</v>
      </c>
      <c r="K35" s="50">
        <f t="shared" si="1"/>
        <v>4.3497351111111113</v>
      </c>
      <c r="L35" s="37">
        <f t="shared" si="2"/>
        <v>39147616</v>
      </c>
      <c r="M35" s="37">
        <f t="shared" si="3"/>
        <v>13061208</v>
      </c>
      <c r="N35" s="51">
        <v>17190912</v>
      </c>
      <c r="O35" s="52">
        <v>39147616</v>
      </c>
      <c r="P35" s="52">
        <v>5827768</v>
      </c>
      <c r="Q35" s="52">
        <v>0</v>
      </c>
      <c r="R35" s="52">
        <v>7233440</v>
      </c>
      <c r="S35" s="52">
        <v>25938400</v>
      </c>
      <c r="T35" s="52">
        <v>148008</v>
      </c>
      <c r="U35" s="67">
        <v>71.613797899999994</v>
      </c>
      <c r="V35" s="67">
        <v>73.055543</v>
      </c>
      <c r="W35" s="67">
        <v>29.718223500000001</v>
      </c>
      <c r="X35" s="67">
        <v>38.766677999999999</v>
      </c>
      <c r="Y35" s="67">
        <v>38.4440843</v>
      </c>
      <c r="Z35" s="67">
        <v>47.739899800000003</v>
      </c>
      <c r="AA35" s="67">
        <v>28.4831872</v>
      </c>
      <c r="AB35" s="73">
        <v>6440.6015589999997</v>
      </c>
      <c r="AC35" s="73">
        <v>51.949305000000003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6</v>
      </c>
      <c r="J36" s="53">
        <f t="shared" si="0"/>
        <v>6.0977912000000005</v>
      </c>
      <c r="K36" s="54">
        <f t="shared" si="1"/>
        <v>6.7753235555555555</v>
      </c>
      <c r="L36" s="40">
        <f t="shared" si="2"/>
        <v>60977912</v>
      </c>
      <c r="M36" s="40">
        <f t="shared" si="3"/>
        <v>16690568</v>
      </c>
      <c r="N36" s="55">
        <v>34432384</v>
      </c>
      <c r="O36" s="56">
        <v>60977912</v>
      </c>
      <c r="P36" s="56">
        <v>8890792</v>
      </c>
      <c r="Q36" s="56">
        <v>0</v>
      </c>
      <c r="R36" s="56">
        <v>7799776</v>
      </c>
      <c r="S36" s="56">
        <v>44141216</v>
      </c>
      <c r="T36" s="56">
        <v>146128</v>
      </c>
      <c r="U36" s="68">
        <v>74.290144499999997</v>
      </c>
      <c r="V36" s="68">
        <v>76.139492099999998</v>
      </c>
      <c r="W36" s="68">
        <v>30.380875899999999</v>
      </c>
      <c r="X36" s="68">
        <v>38.943518599999997</v>
      </c>
      <c r="Y36" s="68">
        <v>38.728354600000003</v>
      </c>
      <c r="Z36" s="68">
        <v>49.114863499999998</v>
      </c>
      <c r="AA36" s="68">
        <v>28.982007599999999</v>
      </c>
      <c r="AB36" s="74">
        <v>8178.2478289999999</v>
      </c>
      <c r="AC36" s="74">
        <v>68.961335000000005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11</v>
      </c>
      <c r="J37" s="49">
        <f t="shared" si="0"/>
        <v>11.036975199999999</v>
      </c>
      <c r="K37" s="50">
        <f t="shared" si="1"/>
        <v>12.263305777777777</v>
      </c>
      <c r="L37" s="37">
        <f t="shared" si="2"/>
        <v>110369752</v>
      </c>
      <c r="M37" s="37">
        <f t="shared" si="3"/>
        <v>19950640</v>
      </c>
      <c r="N37" s="51">
        <v>68915392</v>
      </c>
      <c r="O37" s="52">
        <v>110369752</v>
      </c>
      <c r="P37" s="52">
        <v>15091888</v>
      </c>
      <c r="Q37" s="52">
        <v>0</v>
      </c>
      <c r="R37" s="52">
        <v>4858752</v>
      </c>
      <c r="S37" s="52">
        <v>90269656</v>
      </c>
      <c r="T37" s="52">
        <v>149456</v>
      </c>
      <c r="U37" s="67">
        <v>75.089534700000002</v>
      </c>
      <c r="V37" s="67">
        <v>77.018595700000006</v>
      </c>
      <c r="W37" s="67">
        <v>31.286801700000002</v>
      </c>
      <c r="X37" s="67">
        <v>39.170279499999999</v>
      </c>
      <c r="Y37" s="67">
        <v>39.3054451</v>
      </c>
      <c r="Z37" s="67">
        <v>49.6295541</v>
      </c>
      <c r="AA37" s="67">
        <v>30.2849723</v>
      </c>
      <c r="AB37" s="73">
        <v>52577.954320999997</v>
      </c>
      <c r="AC37" s="73">
        <v>657.61402899999996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16</v>
      </c>
      <c r="J38" s="53">
        <f t="shared" si="0"/>
        <v>16.198684800000002</v>
      </c>
      <c r="K38" s="54">
        <f t="shared" si="1"/>
        <v>17.998538666666665</v>
      </c>
      <c r="L38" s="40">
        <f t="shared" si="2"/>
        <v>161986848</v>
      </c>
      <c r="M38" s="40">
        <f t="shared" si="3"/>
        <v>26374688</v>
      </c>
      <c r="N38" s="55">
        <v>68915392</v>
      </c>
      <c r="O38" s="56">
        <v>161986848</v>
      </c>
      <c r="P38" s="56">
        <v>16720296</v>
      </c>
      <c r="Q38" s="56">
        <v>0</v>
      </c>
      <c r="R38" s="56">
        <v>9654392</v>
      </c>
      <c r="S38" s="56">
        <v>135461264</v>
      </c>
      <c r="T38" s="56">
        <v>150896</v>
      </c>
      <c r="U38" s="68">
        <v>76.797352099999998</v>
      </c>
      <c r="V38" s="68">
        <v>79.115613699999997</v>
      </c>
      <c r="W38" s="68">
        <v>31.976424600000001</v>
      </c>
      <c r="X38" s="68">
        <v>39.2418677</v>
      </c>
      <c r="Y38" s="68">
        <v>39.429228100000003</v>
      </c>
      <c r="Z38" s="68">
        <v>50.566459299999998</v>
      </c>
      <c r="AA38" s="68">
        <v>31.008861899999999</v>
      </c>
      <c r="AB38" s="74">
        <v>52476.541411999999</v>
      </c>
      <c r="AC38" s="74">
        <v>692.91102999999998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24</v>
      </c>
      <c r="J39" s="57">
        <f t="shared" si="0"/>
        <v>24.324846399999998</v>
      </c>
      <c r="K39" s="58">
        <f t="shared" si="1"/>
        <v>27.027607111111109</v>
      </c>
      <c r="L39" s="43">
        <f t="shared" si="2"/>
        <v>243248464</v>
      </c>
      <c r="M39" s="43">
        <f t="shared" si="3"/>
        <v>37162776</v>
      </c>
      <c r="N39" s="59">
        <v>137868672</v>
      </c>
      <c r="O39" s="60">
        <v>243248464</v>
      </c>
      <c r="P39" s="60">
        <v>29384496</v>
      </c>
      <c r="Q39" s="60">
        <v>0</v>
      </c>
      <c r="R39" s="60">
        <v>7778280</v>
      </c>
      <c r="S39" s="60">
        <v>205938280</v>
      </c>
      <c r="T39" s="60">
        <v>147408</v>
      </c>
      <c r="U39" s="69">
        <v>79.010967600000001</v>
      </c>
      <c r="V39" s="69">
        <v>81.882825100000005</v>
      </c>
      <c r="W39" s="69">
        <v>32.784949400000002</v>
      </c>
      <c r="X39" s="69">
        <v>39.328064500000004</v>
      </c>
      <c r="Y39" s="69">
        <v>39.580620199999998</v>
      </c>
      <c r="Z39" s="69">
        <v>51.7864857</v>
      </c>
      <c r="AA39" s="69">
        <v>31.8633317</v>
      </c>
      <c r="AB39" s="75">
        <v>59217.724074999998</v>
      </c>
      <c r="AC39" s="75">
        <v>741.41299300000003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4</v>
      </c>
      <c r="J40" s="53">
        <f t="shared" si="0"/>
        <v>4.0030000000000001</v>
      </c>
      <c r="K40" s="54">
        <f t="shared" si="1"/>
        <v>4.4477777777777776</v>
      </c>
      <c r="L40" s="40">
        <f t="shared" si="2"/>
        <v>40030000</v>
      </c>
      <c r="M40" s="40">
        <f t="shared" si="3"/>
        <v>11411736</v>
      </c>
      <c r="N40" s="55">
        <v>17235712</v>
      </c>
      <c r="O40" s="56">
        <v>40030000</v>
      </c>
      <c r="P40" s="56">
        <v>5070360</v>
      </c>
      <c r="Q40" s="56">
        <v>0</v>
      </c>
      <c r="R40" s="56">
        <v>6341376</v>
      </c>
      <c r="S40" s="56">
        <v>28471392</v>
      </c>
      <c r="T40" s="56">
        <v>146872</v>
      </c>
      <c r="U40" s="68">
        <v>72.441975499999998</v>
      </c>
      <c r="V40" s="68">
        <v>73.750462900000002</v>
      </c>
      <c r="W40" s="68">
        <v>32.592913500000002</v>
      </c>
      <c r="X40" s="68">
        <v>42.265408700000002</v>
      </c>
      <c r="Y40" s="68">
        <v>42.521364599999998</v>
      </c>
      <c r="Z40" s="68">
        <v>48.114480700000001</v>
      </c>
      <c r="AA40" s="68">
        <v>31.7661561</v>
      </c>
      <c r="AB40" s="74">
        <v>14694.116873999999</v>
      </c>
      <c r="AC40" s="74">
        <v>154.658286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6</v>
      </c>
      <c r="J41" s="49">
        <f t="shared" si="0"/>
        <v>6.0463472000000005</v>
      </c>
      <c r="K41" s="50">
        <f t="shared" si="1"/>
        <v>6.7181635555555559</v>
      </c>
      <c r="L41" s="37">
        <f t="shared" si="2"/>
        <v>60463472</v>
      </c>
      <c r="M41" s="37">
        <f t="shared" si="3"/>
        <v>12335992</v>
      </c>
      <c r="N41" s="51">
        <v>17235712</v>
      </c>
      <c r="O41" s="52">
        <v>60463472</v>
      </c>
      <c r="P41" s="52">
        <v>5495064</v>
      </c>
      <c r="Q41" s="52">
        <v>0</v>
      </c>
      <c r="R41" s="52">
        <v>6840928</v>
      </c>
      <c r="S41" s="52">
        <v>47980248</v>
      </c>
      <c r="T41" s="52">
        <v>147232</v>
      </c>
      <c r="U41" s="67">
        <v>72.670340800000005</v>
      </c>
      <c r="V41" s="67">
        <v>74.008361699999995</v>
      </c>
      <c r="W41" s="67">
        <v>33.241392900000001</v>
      </c>
      <c r="X41" s="67">
        <v>42.525655100000002</v>
      </c>
      <c r="Y41" s="67">
        <v>42.800909300000001</v>
      </c>
      <c r="Z41" s="67">
        <v>48.237667000000002</v>
      </c>
      <c r="AA41" s="67">
        <v>32.184427300000003</v>
      </c>
      <c r="AB41" s="73">
        <v>45605.618576000001</v>
      </c>
      <c r="AC41" s="73">
        <v>611.85051199999998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11</v>
      </c>
      <c r="J42" s="53">
        <f t="shared" si="0"/>
        <v>10.879391999999999</v>
      </c>
      <c r="K42" s="54">
        <f t="shared" si="1"/>
        <v>12.088213333333334</v>
      </c>
      <c r="L42" s="40">
        <f t="shared" si="2"/>
        <v>108793920</v>
      </c>
      <c r="M42" s="40">
        <f t="shared" si="3"/>
        <v>20972872</v>
      </c>
      <c r="N42" s="55">
        <v>69038976</v>
      </c>
      <c r="O42" s="56">
        <v>108793920</v>
      </c>
      <c r="P42" s="56">
        <v>14606136</v>
      </c>
      <c r="Q42" s="56">
        <v>0</v>
      </c>
      <c r="R42" s="56">
        <v>6366736</v>
      </c>
      <c r="S42" s="56">
        <v>87671008</v>
      </c>
      <c r="T42" s="56">
        <v>150040</v>
      </c>
      <c r="U42" s="68">
        <v>76.339556200000004</v>
      </c>
      <c r="V42" s="68">
        <v>78.200346300000007</v>
      </c>
      <c r="W42" s="68">
        <v>34.191804599999998</v>
      </c>
      <c r="X42" s="68">
        <v>42.863038799999998</v>
      </c>
      <c r="Y42" s="68">
        <v>43.342450800000002</v>
      </c>
      <c r="Z42" s="68">
        <v>50.511656299999999</v>
      </c>
      <c r="AA42" s="68">
        <v>33.357638000000001</v>
      </c>
      <c r="AB42" s="74">
        <v>50648.536822000002</v>
      </c>
      <c r="AC42" s="74">
        <v>659.85989600000005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16</v>
      </c>
      <c r="J43" s="49">
        <f t="shared" si="0"/>
        <v>16.032079199999998</v>
      </c>
      <c r="K43" s="50">
        <f t="shared" si="1"/>
        <v>17.813421333333334</v>
      </c>
      <c r="L43" s="37">
        <f t="shared" si="2"/>
        <v>160320792</v>
      </c>
      <c r="M43" s="37">
        <f t="shared" si="3"/>
        <v>25341272</v>
      </c>
      <c r="N43" s="51">
        <v>69038976</v>
      </c>
      <c r="O43" s="52">
        <v>160320792</v>
      </c>
      <c r="P43" s="52">
        <v>16225480</v>
      </c>
      <c r="Q43" s="52">
        <v>0</v>
      </c>
      <c r="R43" s="52">
        <v>9115792</v>
      </c>
      <c r="S43" s="52">
        <v>134828664</v>
      </c>
      <c r="T43" s="52">
        <v>150856</v>
      </c>
      <c r="U43" s="67">
        <v>77.362019900000007</v>
      </c>
      <c r="V43" s="67">
        <v>79.449327100000005</v>
      </c>
      <c r="W43" s="67">
        <v>34.867141799999999</v>
      </c>
      <c r="X43" s="67">
        <v>42.994562100000003</v>
      </c>
      <c r="Y43" s="67">
        <v>43.528430100000001</v>
      </c>
      <c r="Z43" s="67">
        <v>51.040748299999997</v>
      </c>
      <c r="AA43" s="67">
        <v>33.971338099999997</v>
      </c>
      <c r="AB43" s="73">
        <v>50840.625683999999</v>
      </c>
      <c r="AC43" s="73">
        <v>659.81655999999998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24</v>
      </c>
      <c r="J44" s="61">
        <f t="shared" si="0"/>
        <v>24.115126399999998</v>
      </c>
      <c r="K44" s="62">
        <f t="shared" si="1"/>
        <v>26.794584888888888</v>
      </c>
      <c r="L44" s="46">
        <f t="shared" si="2"/>
        <v>241151264</v>
      </c>
      <c r="M44" s="46">
        <f t="shared" si="3"/>
        <v>35298944</v>
      </c>
      <c r="N44" s="63">
        <v>138091712</v>
      </c>
      <c r="O44" s="64">
        <v>241151264</v>
      </c>
      <c r="P44" s="64">
        <v>25404152</v>
      </c>
      <c r="Q44" s="64">
        <v>0</v>
      </c>
      <c r="R44" s="64">
        <v>9894792</v>
      </c>
      <c r="S44" s="64">
        <v>205704536</v>
      </c>
      <c r="T44" s="64">
        <v>147784</v>
      </c>
      <c r="U44" s="70">
        <v>79.690060599999995</v>
      </c>
      <c r="V44" s="70">
        <v>82.373760700000005</v>
      </c>
      <c r="W44" s="70">
        <v>35.699847699999999</v>
      </c>
      <c r="X44" s="70">
        <v>43.123853699999998</v>
      </c>
      <c r="Y44" s="70">
        <v>43.722152600000001</v>
      </c>
      <c r="Z44" s="70">
        <v>52.423924100000001</v>
      </c>
      <c r="AA44" s="70">
        <v>34.925370399999998</v>
      </c>
      <c r="AB44" s="76">
        <v>55973.204835999997</v>
      </c>
      <c r="AC44" s="76">
        <v>658.93941900000004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4.3116000000000003</v>
      </c>
      <c r="K45" s="50">
        <f t="shared" ref="K45:K49" si="13">IF(ISBLANK(O45),"·",O45/D45)</f>
        <v>0.71865749259940792</v>
      </c>
      <c r="L45" s="37">
        <f t="shared" ref="L45:L49" si="14">IF(OR(ISBLANK(M45),ISBLANK(S45),ISBLANK(T45)),".",M45+S45+T45)</f>
        <v>143720</v>
      </c>
      <c r="M45" s="37">
        <f t="shared" ref="M45:M49" si="15">IF(OR(ISBLANK(Q45),ISBLANK(P45),ISBLANK(R45)),".",P45+Q45+R45)</f>
        <v>45608</v>
      </c>
      <c r="N45" s="51">
        <v>76800</v>
      </c>
      <c r="O45" s="52">
        <v>143720</v>
      </c>
      <c r="P45" s="52">
        <v>21128</v>
      </c>
      <c r="Q45" s="52">
        <v>0</v>
      </c>
      <c r="R45" s="52">
        <v>24480</v>
      </c>
      <c r="S45" s="52">
        <v>96512</v>
      </c>
      <c r="T45" s="52">
        <v>1600</v>
      </c>
      <c r="U45" s="67">
        <v>74.433610599999994</v>
      </c>
      <c r="V45" s="67">
        <v>76.408123599999996</v>
      </c>
      <c r="W45" s="67">
        <v>30.314523600000001</v>
      </c>
      <c r="X45" s="67">
        <v>41.477909799999999</v>
      </c>
      <c r="Y45" s="67">
        <v>39.835304899999997</v>
      </c>
      <c r="Z45" s="67">
        <v>53.720557300000003</v>
      </c>
      <c r="AA45" s="67">
        <v>29.4390824</v>
      </c>
      <c r="AB45" s="73">
        <v>45.180404000000003</v>
      </c>
      <c r="AC45" s="73">
        <v>0.17030000000000001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6.2299199999999999</v>
      </c>
      <c r="K46" s="54">
        <f t="shared" si="13"/>
        <v>1.0384030722457798</v>
      </c>
      <c r="L46" s="40">
        <f t="shared" si="14"/>
        <v>207664</v>
      </c>
      <c r="M46" s="40">
        <f t="shared" si="15"/>
        <v>55416</v>
      </c>
      <c r="N46" s="55">
        <v>153600</v>
      </c>
      <c r="O46" s="56">
        <v>207664</v>
      </c>
      <c r="P46" s="56">
        <v>35008</v>
      </c>
      <c r="Q46" s="56">
        <v>0</v>
      </c>
      <c r="R46" s="56">
        <v>20408</v>
      </c>
      <c r="S46" s="56">
        <v>150632</v>
      </c>
      <c r="T46" s="56">
        <v>1616</v>
      </c>
      <c r="U46" s="68">
        <v>75.622249199999999</v>
      </c>
      <c r="V46" s="68">
        <v>77.881774800000002</v>
      </c>
      <c r="W46" s="68">
        <v>30.9728514</v>
      </c>
      <c r="X46" s="68">
        <v>41.976757499999998</v>
      </c>
      <c r="Y46" s="68">
        <v>40.402654499999997</v>
      </c>
      <c r="Z46" s="68">
        <v>54.592300600000002</v>
      </c>
      <c r="AA46" s="68">
        <v>29.883801699999999</v>
      </c>
      <c r="AB46" s="74">
        <v>51.536470999999999</v>
      </c>
      <c r="AC46" s="74">
        <v>0.235314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11.077439999999999</v>
      </c>
      <c r="K47" s="50">
        <f t="shared" si="13"/>
        <v>1.8463877110168814</v>
      </c>
      <c r="L47" s="37">
        <f t="shared" si="14"/>
        <v>369248</v>
      </c>
      <c r="M47" s="37">
        <f t="shared" si="15"/>
        <v>82168</v>
      </c>
      <c r="N47" s="51">
        <v>307200</v>
      </c>
      <c r="O47" s="52">
        <v>369248</v>
      </c>
      <c r="P47" s="52">
        <v>67168</v>
      </c>
      <c r="Q47" s="52">
        <v>0</v>
      </c>
      <c r="R47" s="52">
        <v>15000</v>
      </c>
      <c r="S47" s="52">
        <v>285432</v>
      </c>
      <c r="T47" s="52">
        <v>1648</v>
      </c>
      <c r="U47" s="67">
        <v>77.289292599999996</v>
      </c>
      <c r="V47" s="67">
        <v>79.922633200000007</v>
      </c>
      <c r="W47" s="67">
        <v>31.874237300000001</v>
      </c>
      <c r="X47" s="67">
        <v>44.481258799999999</v>
      </c>
      <c r="Y47" s="67">
        <v>43.441433500000002</v>
      </c>
      <c r="Z47" s="67">
        <v>55.817408499999999</v>
      </c>
      <c r="AA47" s="67">
        <v>31.263049899999999</v>
      </c>
      <c r="AB47" s="73">
        <v>188.789906</v>
      </c>
      <c r="AC47" s="73">
        <v>2.268694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14.863440000000001</v>
      </c>
      <c r="K48" s="54">
        <f t="shared" si="13"/>
        <v>2.4774381950556044</v>
      </c>
      <c r="L48" s="40">
        <f t="shared" si="14"/>
        <v>495448</v>
      </c>
      <c r="M48" s="40">
        <f t="shared" si="15"/>
        <v>91944</v>
      </c>
      <c r="N48" s="55">
        <v>307200</v>
      </c>
      <c r="O48" s="56">
        <v>495448</v>
      </c>
      <c r="P48" s="56">
        <v>67168</v>
      </c>
      <c r="Q48" s="56">
        <v>0</v>
      </c>
      <c r="R48" s="56">
        <v>24776</v>
      </c>
      <c r="S48" s="56">
        <v>401856</v>
      </c>
      <c r="T48" s="56">
        <v>1648</v>
      </c>
      <c r="U48" s="68">
        <v>78.727111699999995</v>
      </c>
      <c r="V48" s="68">
        <v>81.873689900000002</v>
      </c>
      <c r="W48" s="68">
        <v>32.438408500000001</v>
      </c>
      <c r="X48" s="68">
        <v>44.8189116</v>
      </c>
      <c r="Y48" s="68">
        <v>43.993966399999998</v>
      </c>
      <c r="Z48" s="68">
        <v>56.696662400000001</v>
      </c>
      <c r="AA48" s="68">
        <v>31.838319800000001</v>
      </c>
      <c r="AB48" s="74">
        <v>192.91007099999999</v>
      </c>
      <c r="AC48" s="74">
        <v>1.947916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22.865760000000002</v>
      </c>
      <c r="K49" s="58">
        <f t="shared" si="13"/>
        <v>3.8112649011920952</v>
      </c>
      <c r="L49" s="43">
        <f t="shared" si="14"/>
        <v>762192</v>
      </c>
      <c r="M49" s="43">
        <f t="shared" si="15"/>
        <v>147280</v>
      </c>
      <c r="N49" s="59">
        <v>614272</v>
      </c>
      <c r="O49" s="60">
        <v>762192</v>
      </c>
      <c r="P49" s="60">
        <v>119024</v>
      </c>
      <c r="Q49" s="60">
        <v>0</v>
      </c>
      <c r="R49" s="60">
        <v>28256</v>
      </c>
      <c r="S49" s="60">
        <v>613216</v>
      </c>
      <c r="T49" s="60">
        <v>1696</v>
      </c>
      <c r="U49" s="69">
        <v>80.394734400000004</v>
      </c>
      <c r="V49" s="69">
        <v>84.503223599999998</v>
      </c>
      <c r="W49" s="69">
        <v>33.1401386</v>
      </c>
      <c r="X49" s="69">
        <v>45.30059</v>
      </c>
      <c r="Y49" s="69">
        <v>44.425900599999999</v>
      </c>
      <c r="Z49" s="69">
        <v>57.714081100000001</v>
      </c>
      <c r="AA49" s="69">
        <v>32.634693499999997</v>
      </c>
      <c r="AB49" s="75">
        <v>221.214393</v>
      </c>
      <c r="AC49" s="75">
        <v>2.9370750000000001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12.622058568514765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9.0051594172094074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12.58592791804459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1.9784302744219537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10.619619768672068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994318.20313200017</v>
      </c>
      <c r="AC55" s="77">
        <f>SUM(AC5:AC14,AC15:AC24,AC25:AC44,AC45:AC49)</f>
        <v>12474.442324999998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-22734528</v>
      </c>
      <c r="AJ60" s="79">
        <f t="shared" ref="AJ60:AJ98" si="39">AJ5-O5</f>
        <v>-52035368</v>
      </c>
      <c r="AK60" s="79">
        <f t="shared" ref="AK60:AK98" si="40">AK5-P5</f>
        <v>-7890816</v>
      </c>
      <c r="AL60" s="79">
        <f t="shared" ref="AL60:AL98" si="41">AL5-Q5</f>
        <v>0</v>
      </c>
      <c r="AM60" s="79">
        <f t="shared" ref="AM60:AM98" si="42">AM5-R5</f>
        <v>-7610896</v>
      </c>
      <c r="AN60" s="79">
        <f t="shared" ref="AN60:AN98" si="43">AN5-S5</f>
        <v>-36393992</v>
      </c>
      <c r="AO60" s="79">
        <f t="shared" ref="AO60:AO98" si="44">AO5-T5</f>
        <v>-139664</v>
      </c>
      <c r="AP60" s="79">
        <f t="shared" ref="AP60:AP98" si="45">AP5-U5</f>
        <v>-69.926395099999993</v>
      </c>
      <c r="AQ60" s="81">
        <f t="shared" ref="AQ60:AQ98" si="46">AQ5-V5</f>
        <v>-71.160185100000007</v>
      </c>
      <c r="AR60" s="81">
        <f t="shared" ref="AR60:AR98" si="47">AR5-W5</f>
        <v>-28.837000400000001</v>
      </c>
      <c r="AS60" s="81">
        <f t="shared" ref="AS60:AS98" si="48">AS5-X5</f>
        <v>-33.893893200000001</v>
      </c>
      <c r="AT60" s="81">
        <f t="shared" ref="AT60:AT98" si="49">AT5-Y5</f>
        <v>-33.3359095</v>
      </c>
      <c r="AU60" s="81">
        <f t="shared" ref="AU60:AU98" si="50">AU5-Z5</f>
        <v>-48.8296055</v>
      </c>
      <c r="AV60" s="82">
        <f t="shared" ref="AV60:AV98" si="51">AV5-AA5</f>
        <v>-27.5072902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-22734528</v>
      </c>
      <c r="AJ61" s="80">
        <f t="shared" si="39"/>
        <v>-95690576</v>
      </c>
      <c r="AK61" s="80">
        <f t="shared" si="40"/>
        <v>-8525032</v>
      </c>
      <c r="AL61" s="80">
        <f t="shared" si="41"/>
        <v>0</v>
      </c>
      <c r="AM61" s="80">
        <f t="shared" si="42"/>
        <v>-9479072</v>
      </c>
      <c r="AN61" s="80">
        <f t="shared" si="43"/>
        <v>-77548296</v>
      </c>
      <c r="AO61" s="80">
        <f t="shared" si="44"/>
        <v>-138176</v>
      </c>
      <c r="AP61" s="80">
        <f t="shared" si="45"/>
        <v>-70.6002486</v>
      </c>
      <c r="AQ61" s="83">
        <f t="shared" si="46"/>
        <v>-71.924703699999995</v>
      </c>
      <c r="AR61" s="83">
        <f t="shared" si="47"/>
        <v>-31.589215899999999</v>
      </c>
      <c r="AS61" s="83">
        <f t="shared" si="48"/>
        <v>-35.111074000000002</v>
      </c>
      <c r="AT61" s="83">
        <f t="shared" si="49"/>
        <v>-34.667974299999997</v>
      </c>
      <c r="AU61" s="83">
        <f t="shared" si="50"/>
        <v>-49.160575600000001</v>
      </c>
      <c r="AV61" s="84">
        <f t="shared" si="51"/>
        <v>-29.119881199999998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-45557056</v>
      </c>
      <c r="AJ62" s="80">
        <f t="shared" si="39"/>
        <v>-128217024</v>
      </c>
      <c r="AK62" s="80">
        <f t="shared" si="40"/>
        <v>-12321224</v>
      </c>
      <c r="AL62" s="80">
        <f t="shared" si="41"/>
        <v>0</v>
      </c>
      <c r="AM62" s="80">
        <f t="shared" si="42"/>
        <v>-7145400</v>
      </c>
      <c r="AN62" s="80">
        <f t="shared" si="43"/>
        <v>-108612064</v>
      </c>
      <c r="AO62" s="80">
        <f t="shared" si="44"/>
        <v>-138336</v>
      </c>
      <c r="AP62" s="80">
        <f t="shared" si="45"/>
        <v>-71.776937200000006</v>
      </c>
      <c r="AQ62" s="83">
        <f t="shared" si="46"/>
        <v>-73.290631300000001</v>
      </c>
      <c r="AR62" s="83">
        <f t="shared" si="47"/>
        <v>-32.684194499999997</v>
      </c>
      <c r="AS62" s="83">
        <f t="shared" si="48"/>
        <v>-36.896755200000001</v>
      </c>
      <c r="AT62" s="83">
        <f t="shared" si="49"/>
        <v>-36.620601600000001</v>
      </c>
      <c r="AU62" s="83">
        <f t="shared" si="50"/>
        <v>-49.972799600000002</v>
      </c>
      <c r="AV62" s="84">
        <f t="shared" si="51"/>
        <v>-30.317497899999999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-45557056</v>
      </c>
      <c r="AJ63" s="80">
        <f t="shared" si="39"/>
        <v>-160475600</v>
      </c>
      <c r="AK63" s="80">
        <f t="shared" si="40"/>
        <v>-13480088</v>
      </c>
      <c r="AL63" s="80">
        <f t="shared" si="41"/>
        <v>0</v>
      </c>
      <c r="AM63" s="80">
        <f t="shared" si="42"/>
        <v>-12670048</v>
      </c>
      <c r="AN63" s="80">
        <f t="shared" si="43"/>
        <v>-134181368</v>
      </c>
      <c r="AO63" s="80">
        <f t="shared" si="44"/>
        <v>-144096</v>
      </c>
      <c r="AP63" s="80">
        <f t="shared" si="45"/>
        <v>-73.726401600000003</v>
      </c>
      <c r="AQ63" s="83">
        <f t="shared" si="46"/>
        <v>-75.534693300000001</v>
      </c>
      <c r="AR63" s="83">
        <f t="shared" si="47"/>
        <v>-33.651751500000003</v>
      </c>
      <c r="AS63" s="83">
        <f t="shared" si="48"/>
        <v>-37.424617599999998</v>
      </c>
      <c r="AT63" s="83">
        <f t="shared" si="49"/>
        <v>-37.1493325</v>
      </c>
      <c r="AU63" s="83">
        <f t="shared" si="50"/>
        <v>-50.865868800000001</v>
      </c>
      <c r="AV63" s="84">
        <f t="shared" si="51"/>
        <v>-31.4259621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-91604544</v>
      </c>
      <c r="AJ64" s="80">
        <f t="shared" si="39"/>
        <v>-233495776</v>
      </c>
      <c r="AK64" s="80">
        <f t="shared" si="40"/>
        <v>-20152128</v>
      </c>
      <c r="AL64" s="80">
        <f t="shared" si="41"/>
        <v>0</v>
      </c>
      <c r="AM64" s="80">
        <f t="shared" si="42"/>
        <v>-22901352</v>
      </c>
      <c r="AN64" s="80">
        <f t="shared" si="43"/>
        <v>-190295872</v>
      </c>
      <c r="AO64" s="80">
        <f t="shared" si="44"/>
        <v>-146424</v>
      </c>
      <c r="AP64" s="80">
        <f t="shared" si="45"/>
        <v>-76.602310099999997</v>
      </c>
      <c r="AQ64" s="83">
        <f t="shared" si="46"/>
        <v>-79.085665300000002</v>
      </c>
      <c r="AR64" s="83">
        <f t="shared" si="47"/>
        <v>-35.009715999999997</v>
      </c>
      <c r="AS64" s="83">
        <f t="shared" si="48"/>
        <v>-38.550079599999997</v>
      </c>
      <c r="AT64" s="83">
        <f t="shared" si="49"/>
        <v>-38.254883900000003</v>
      </c>
      <c r="AU64" s="83">
        <f t="shared" si="50"/>
        <v>-52.5809645</v>
      </c>
      <c r="AV64" s="84">
        <f t="shared" si="51"/>
        <v>-33.103210500000003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-22535808</v>
      </c>
      <c r="AJ65" s="80">
        <f t="shared" si="39"/>
        <v>-50682584</v>
      </c>
      <c r="AK65" s="80">
        <f t="shared" si="40"/>
        <v>-8315864</v>
      </c>
      <c r="AL65" s="80">
        <f t="shared" si="41"/>
        <v>0</v>
      </c>
      <c r="AM65" s="80">
        <f t="shared" si="42"/>
        <v>-6181120</v>
      </c>
      <c r="AN65" s="80">
        <f t="shared" si="43"/>
        <v>-36041504</v>
      </c>
      <c r="AO65" s="80">
        <f t="shared" si="44"/>
        <v>-144096</v>
      </c>
      <c r="AP65" s="80">
        <f t="shared" si="45"/>
        <v>-66.0341746</v>
      </c>
      <c r="AQ65" s="83">
        <f t="shared" si="46"/>
        <v>-66.813391499999994</v>
      </c>
      <c r="AR65" s="83">
        <f t="shared" si="47"/>
        <v>-32.274039199999997</v>
      </c>
      <c r="AS65" s="83">
        <f t="shared" si="48"/>
        <v>-44.927415799999999</v>
      </c>
      <c r="AT65" s="83">
        <f t="shared" si="49"/>
        <v>-45.225957200000003</v>
      </c>
      <c r="AU65" s="83">
        <f t="shared" si="50"/>
        <v>-44.724974600000003</v>
      </c>
      <c r="AV65" s="84">
        <f t="shared" si="51"/>
        <v>-29.865547899999999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-45395136</v>
      </c>
      <c r="AJ66" s="80">
        <f t="shared" si="39"/>
        <v>-90904856</v>
      </c>
      <c r="AK66" s="80">
        <f t="shared" si="40"/>
        <v>-13064704</v>
      </c>
      <c r="AL66" s="80">
        <f t="shared" si="41"/>
        <v>0</v>
      </c>
      <c r="AM66" s="80">
        <f t="shared" si="42"/>
        <v>-10028472</v>
      </c>
      <c r="AN66" s="80">
        <f t="shared" si="43"/>
        <v>-67666248</v>
      </c>
      <c r="AO66" s="80">
        <f t="shared" si="44"/>
        <v>-145432</v>
      </c>
      <c r="AP66" s="80">
        <f t="shared" si="45"/>
        <v>-70.411176100000006</v>
      </c>
      <c r="AQ66" s="83">
        <f t="shared" si="46"/>
        <v>-71.821087300000002</v>
      </c>
      <c r="AR66" s="83">
        <f t="shared" si="47"/>
        <v>-34.987584699999999</v>
      </c>
      <c r="AS66" s="83">
        <f t="shared" si="48"/>
        <v>-45.577415700000003</v>
      </c>
      <c r="AT66" s="83">
        <f t="shared" si="49"/>
        <v>-45.965643900000003</v>
      </c>
      <c r="AU66" s="83">
        <f t="shared" si="50"/>
        <v>-47.195538399999997</v>
      </c>
      <c r="AV66" s="84">
        <f t="shared" si="51"/>
        <v>-32.572266300000003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-45395136</v>
      </c>
      <c r="AJ67" s="80">
        <f t="shared" si="39"/>
        <v>-120446352</v>
      </c>
      <c r="AK67" s="80">
        <f t="shared" si="40"/>
        <v>-13064704</v>
      </c>
      <c r="AL67" s="80">
        <f t="shared" si="41"/>
        <v>0</v>
      </c>
      <c r="AM67" s="80">
        <f t="shared" si="42"/>
        <v>-21879328</v>
      </c>
      <c r="AN67" s="80">
        <f t="shared" si="43"/>
        <v>-85365016</v>
      </c>
      <c r="AO67" s="80">
        <f t="shared" si="44"/>
        <v>-137304</v>
      </c>
      <c r="AP67" s="80">
        <f t="shared" si="45"/>
        <v>-72.904424300000002</v>
      </c>
      <c r="AQ67" s="83">
        <f t="shared" si="46"/>
        <v>-74.711490699999999</v>
      </c>
      <c r="AR67" s="83">
        <f t="shared" si="47"/>
        <v>-36.059143599999999</v>
      </c>
      <c r="AS67" s="83">
        <f t="shared" si="48"/>
        <v>-45.908296399999998</v>
      </c>
      <c r="AT67" s="83">
        <f t="shared" si="49"/>
        <v>-46.341815099999998</v>
      </c>
      <c r="AU67" s="83">
        <f t="shared" si="50"/>
        <v>-48.418249299999999</v>
      </c>
      <c r="AV67" s="84">
        <f t="shared" si="51"/>
        <v>-33.903210000000001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-91443392</v>
      </c>
      <c r="AJ68" s="80">
        <f t="shared" si="39"/>
        <v>-150360384</v>
      </c>
      <c r="AK68" s="80">
        <f t="shared" si="40"/>
        <v>-21521824</v>
      </c>
      <c r="AL68" s="80">
        <f t="shared" si="41"/>
        <v>0</v>
      </c>
      <c r="AM68" s="80">
        <f t="shared" si="42"/>
        <v>-20840600</v>
      </c>
      <c r="AN68" s="80">
        <f t="shared" si="43"/>
        <v>-107852672</v>
      </c>
      <c r="AO68" s="80">
        <f t="shared" si="44"/>
        <v>-145288</v>
      </c>
      <c r="AP68" s="80">
        <f t="shared" si="45"/>
        <v>-74.554041900000001</v>
      </c>
      <c r="AQ68" s="83">
        <f t="shared" si="46"/>
        <v>-76.680271300000001</v>
      </c>
      <c r="AR68" s="83">
        <f t="shared" si="47"/>
        <v>-37.122561099999999</v>
      </c>
      <c r="AS68" s="83">
        <f t="shared" si="48"/>
        <v>-46.691034799999997</v>
      </c>
      <c r="AT68" s="83">
        <f t="shared" si="49"/>
        <v>-47.228178700000001</v>
      </c>
      <c r="AU68" s="83">
        <f t="shared" si="50"/>
        <v>-49.496184200000002</v>
      </c>
      <c r="AV68" s="84">
        <f t="shared" si="51"/>
        <v>-35.032256699999998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-91443392</v>
      </c>
      <c r="AJ69" s="80">
        <f t="shared" si="39"/>
        <v>-221048128</v>
      </c>
      <c r="AK69" s="80">
        <f t="shared" si="40"/>
        <v>-23752584</v>
      </c>
      <c r="AL69" s="80">
        <f t="shared" si="41"/>
        <v>0</v>
      </c>
      <c r="AM69" s="80">
        <f t="shared" si="42"/>
        <v>-28680480</v>
      </c>
      <c r="AN69" s="80">
        <f t="shared" si="43"/>
        <v>-168471592</v>
      </c>
      <c r="AO69" s="80">
        <f t="shared" si="44"/>
        <v>-143472</v>
      </c>
      <c r="AP69" s="80">
        <f t="shared" si="45"/>
        <v>-75.585212900000002</v>
      </c>
      <c r="AQ69" s="83">
        <f t="shared" si="46"/>
        <v>-77.978065400000006</v>
      </c>
      <c r="AR69" s="83">
        <f t="shared" si="47"/>
        <v>-38.812913000000002</v>
      </c>
      <c r="AS69" s="83">
        <f t="shared" si="48"/>
        <v>-47.746240299999997</v>
      </c>
      <c r="AT69" s="83">
        <f t="shared" si="49"/>
        <v>-48.376658800000001</v>
      </c>
      <c r="AU69" s="83">
        <f t="shared" si="50"/>
        <v>-50.026015800000003</v>
      </c>
      <c r="AV69" s="84">
        <f t="shared" si="51"/>
        <v>-36.3087947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-22706496</v>
      </c>
      <c r="AJ70" s="80">
        <f t="shared" si="39"/>
        <v>-30587928</v>
      </c>
      <c r="AK70" s="80">
        <f t="shared" si="40"/>
        <v>-6499416</v>
      </c>
      <c r="AL70" s="80">
        <f t="shared" si="41"/>
        <v>0</v>
      </c>
      <c r="AM70" s="80">
        <f t="shared" si="42"/>
        <v>-4502440</v>
      </c>
      <c r="AN70" s="80">
        <f t="shared" si="43"/>
        <v>-19440904</v>
      </c>
      <c r="AO70" s="80">
        <f t="shared" si="44"/>
        <v>-145168</v>
      </c>
      <c r="AP70" s="80">
        <f t="shared" si="45"/>
        <v>-71.427568899999997</v>
      </c>
      <c r="AQ70" s="83">
        <f t="shared" si="46"/>
        <v>-72.796916699999997</v>
      </c>
      <c r="AR70" s="83">
        <f t="shared" si="47"/>
        <v>-35.768577100000002</v>
      </c>
      <c r="AS70" s="83">
        <f t="shared" si="48"/>
        <v>-43.3110213</v>
      </c>
      <c r="AT70" s="83">
        <f t="shared" si="49"/>
        <v>-45.165204600000003</v>
      </c>
      <c r="AU70" s="83">
        <f t="shared" si="50"/>
        <v>-45.780264500000001</v>
      </c>
      <c r="AV70" s="84">
        <f t="shared" si="51"/>
        <v>-32.537436999999997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-22706496</v>
      </c>
      <c r="AJ71" s="80">
        <f t="shared" si="39"/>
        <v>-51212992</v>
      </c>
      <c r="AK71" s="80">
        <f t="shared" si="40"/>
        <v>-7079256</v>
      </c>
      <c r="AL71" s="80">
        <f t="shared" si="41"/>
        <v>0</v>
      </c>
      <c r="AM71" s="80">
        <f t="shared" si="42"/>
        <v>-6798912</v>
      </c>
      <c r="AN71" s="80">
        <f t="shared" si="43"/>
        <v>-37189024</v>
      </c>
      <c r="AO71" s="80">
        <f t="shared" si="44"/>
        <v>-145800</v>
      </c>
      <c r="AP71" s="80">
        <f t="shared" si="45"/>
        <v>-73.137131600000004</v>
      </c>
      <c r="AQ71" s="83">
        <f t="shared" si="46"/>
        <v>-74.707334299999999</v>
      </c>
      <c r="AR71" s="83">
        <f t="shared" si="47"/>
        <v>-38.564141800000002</v>
      </c>
      <c r="AS71" s="83">
        <f t="shared" si="48"/>
        <v>-43.9399801</v>
      </c>
      <c r="AT71" s="83">
        <f t="shared" si="49"/>
        <v>-46.394084700000001</v>
      </c>
      <c r="AU71" s="83">
        <f t="shared" si="50"/>
        <v>-46.601970899999998</v>
      </c>
      <c r="AV71" s="84">
        <f t="shared" si="51"/>
        <v>-34.220526700000001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-45429376</v>
      </c>
      <c r="AJ72" s="80">
        <f t="shared" si="39"/>
        <v>-99692952</v>
      </c>
      <c r="AK72" s="80">
        <f t="shared" si="40"/>
        <v>-11912104</v>
      </c>
      <c r="AL72" s="80">
        <f t="shared" si="41"/>
        <v>0</v>
      </c>
      <c r="AM72" s="80">
        <f t="shared" si="42"/>
        <v>-14876152</v>
      </c>
      <c r="AN72" s="80">
        <f t="shared" si="43"/>
        <v>-72760040</v>
      </c>
      <c r="AO72" s="80">
        <f t="shared" si="44"/>
        <v>-144656</v>
      </c>
      <c r="AP72" s="80">
        <f t="shared" si="45"/>
        <v>-77.849016399999996</v>
      </c>
      <c r="AQ72" s="83">
        <f t="shared" si="46"/>
        <v>-80.316645100000002</v>
      </c>
      <c r="AR72" s="83">
        <f t="shared" si="47"/>
        <v>-41.215855300000001</v>
      </c>
      <c r="AS72" s="83">
        <f t="shared" si="48"/>
        <v>-44.815815899999997</v>
      </c>
      <c r="AT72" s="83">
        <f t="shared" si="49"/>
        <v>-48.054574100000004</v>
      </c>
      <c r="AU72" s="83">
        <f t="shared" si="50"/>
        <v>-48.976230800000003</v>
      </c>
      <c r="AV72" s="84">
        <f t="shared" si="51"/>
        <v>-37.362055699999999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-90872704</v>
      </c>
      <c r="AJ73" s="80">
        <f t="shared" si="39"/>
        <v>-141918088</v>
      </c>
      <c r="AK73" s="80">
        <f t="shared" si="40"/>
        <v>-20518248</v>
      </c>
      <c r="AL73" s="80">
        <f t="shared" si="41"/>
        <v>0</v>
      </c>
      <c r="AM73" s="80">
        <f t="shared" si="42"/>
        <v>-16095896</v>
      </c>
      <c r="AN73" s="80">
        <f t="shared" si="43"/>
        <v>-105159792</v>
      </c>
      <c r="AO73" s="80">
        <f t="shared" si="44"/>
        <v>-144152</v>
      </c>
      <c r="AP73" s="80">
        <f t="shared" si="45"/>
        <v>-79.167706600000002</v>
      </c>
      <c r="AQ73" s="83">
        <f t="shared" si="46"/>
        <v>-82.109997500000006</v>
      </c>
      <c r="AR73" s="83">
        <f t="shared" si="47"/>
        <v>-42.214835700000002</v>
      </c>
      <c r="AS73" s="83">
        <f t="shared" si="48"/>
        <v>-45.504451899999999</v>
      </c>
      <c r="AT73" s="83">
        <f t="shared" si="49"/>
        <v>-49.188718100000003</v>
      </c>
      <c r="AU73" s="83">
        <f t="shared" si="50"/>
        <v>-49.925468600000002</v>
      </c>
      <c r="AV73" s="84">
        <f t="shared" si="51"/>
        <v>-38.493457800000002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-90872704</v>
      </c>
      <c r="AJ74" s="80">
        <f t="shared" si="39"/>
        <v>-213133424</v>
      </c>
      <c r="AK74" s="80">
        <f t="shared" si="40"/>
        <v>-20518248</v>
      </c>
      <c r="AL74" s="80">
        <f t="shared" si="41"/>
        <v>0</v>
      </c>
      <c r="AM74" s="80">
        <f t="shared" si="42"/>
        <v>-18129712</v>
      </c>
      <c r="AN74" s="80">
        <f t="shared" si="43"/>
        <v>-174340560</v>
      </c>
      <c r="AO74" s="80">
        <f t="shared" si="44"/>
        <v>-144904</v>
      </c>
      <c r="AP74" s="80">
        <f t="shared" si="45"/>
        <v>-79.519918099999998</v>
      </c>
      <c r="AQ74" s="83">
        <f t="shared" si="46"/>
        <v>-82.6341319</v>
      </c>
      <c r="AR74" s="83">
        <f t="shared" si="47"/>
        <v>-43.252888400000003</v>
      </c>
      <c r="AS74" s="83">
        <f t="shared" si="48"/>
        <v>-46.453066700000001</v>
      </c>
      <c r="AT74" s="83">
        <f t="shared" si="49"/>
        <v>-50.482444000000001</v>
      </c>
      <c r="AU74" s="83">
        <f t="shared" si="50"/>
        <v>-50.126500800000002</v>
      </c>
      <c r="AV74" s="84">
        <f t="shared" si="51"/>
        <v>-39.047330100000003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-22662464</v>
      </c>
      <c r="AJ75" s="80">
        <f t="shared" si="39"/>
        <v>-29114320</v>
      </c>
      <c r="AK75" s="80">
        <f t="shared" si="40"/>
        <v>-6350840</v>
      </c>
      <c r="AL75" s="80">
        <f t="shared" si="41"/>
        <v>0</v>
      </c>
      <c r="AM75" s="80">
        <f t="shared" si="42"/>
        <v>-4251544</v>
      </c>
      <c r="AN75" s="80">
        <f t="shared" si="43"/>
        <v>-18367272</v>
      </c>
      <c r="AO75" s="80">
        <f t="shared" si="44"/>
        <v>-144664</v>
      </c>
      <c r="AP75" s="80">
        <f t="shared" si="45"/>
        <v>-71.633762300000001</v>
      </c>
      <c r="AQ75" s="83">
        <f t="shared" si="46"/>
        <v>-73.039473200000003</v>
      </c>
      <c r="AR75" s="83">
        <f t="shared" si="47"/>
        <v>-34.719794899999997</v>
      </c>
      <c r="AS75" s="83">
        <f t="shared" si="48"/>
        <v>-42.738821000000002</v>
      </c>
      <c r="AT75" s="83">
        <f t="shared" si="49"/>
        <v>-44.128132399999998</v>
      </c>
      <c r="AU75" s="83">
        <f t="shared" si="50"/>
        <v>-46.810497599999998</v>
      </c>
      <c r="AV75" s="84">
        <f t="shared" si="51"/>
        <v>-31.709480500000002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-22662464</v>
      </c>
      <c r="AJ76" s="80">
        <f t="shared" si="39"/>
        <v>-49322336</v>
      </c>
      <c r="AK76" s="80">
        <f t="shared" si="40"/>
        <v>-6350840</v>
      </c>
      <c r="AL76" s="80">
        <f t="shared" si="41"/>
        <v>0</v>
      </c>
      <c r="AM76" s="80">
        <f t="shared" si="42"/>
        <v>-4748352</v>
      </c>
      <c r="AN76" s="80">
        <f t="shared" si="43"/>
        <v>-38077096</v>
      </c>
      <c r="AO76" s="80">
        <f t="shared" si="44"/>
        <v>-146048</v>
      </c>
      <c r="AP76" s="80">
        <f t="shared" si="45"/>
        <v>-72.090462400000007</v>
      </c>
      <c r="AQ76" s="83">
        <f t="shared" si="46"/>
        <v>-73.551991099999995</v>
      </c>
      <c r="AR76" s="83">
        <f t="shared" si="47"/>
        <v>-37.531021099999997</v>
      </c>
      <c r="AS76" s="83">
        <f t="shared" si="48"/>
        <v>-43.949513400000001</v>
      </c>
      <c r="AT76" s="83">
        <f t="shared" si="49"/>
        <v>-45.995668799999997</v>
      </c>
      <c r="AU76" s="83">
        <f t="shared" si="50"/>
        <v>-47.010970399999998</v>
      </c>
      <c r="AV76" s="84">
        <f t="shared" si="51"/>
        <v>-32.974503300000002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-45333376</v>
      </c>
      <c r="AJ77" s="80">
        <f t="shared" si="39"/>
        <v>-99271368</v>
      </c>
      <c r="AK77" s="80">
        <f t="shared" si="40"/>
        <v>-10590808</v>
      </c>
      <c r="AL77" s="80">
        <f t="shared" si="41"/>
        <v>0</v>
      </c>
      <c r="AM77" s="80">
        <f t="shared" si="42"/>
        <v>-14397216</v>
      </c>
      <c r="AN77" s="80">
        <f t="shared" si="43"/>
        <v>-74138528</v>
      </c>
      <c r="AO77" s="80">
        <f t="shared" si="44"/>
        <v>-144816</v>
      </c>
      <c r="AP77" s="80">
        <f t="shared" si="45"/>
        <v>-77.960514000000003</v>
      </c>
      <c r="AQ77" s="83">
        <f t="shared" si="46"/>
        <v>-80.586501900000002</v>
      </c>
      <c r="AR77" s="83">
        <f t="shared" si="47"/>
        <v>-40.4857266</v>
      </c>
      <c r="AS77" s="83">
        <f t="shared" si="48"/>
        <v>-45.199078900000004</v>
      </c>
      <c r="AT77" s="83">
        <f t="shared" si="49"/>
        <v>-48.090756499999998</v>
      </c>
      <c r="AU77" s="83">
        <f t="shared" si="50"/>
        <v>-50.017004499999999</v>
      </c>
      <c r="AV77" s="84">
        <f t="shared" si="51"/>
        <v>-36.799930400000001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-90678208</v>
      </c>
      <c r="AJ78" s="80">
        <f t="shared" si="39"/>
        <v>-140561040</v>
      </c>
      <c r="AK78" s="80">
        <f t="shared" si="40"/>
        <v>-22342752</v>
      </c>
      <c r="AL78" s="80">
        <f t="shared" si="41"/>
        <v>0</v>
      </c>
      <c r="AM78" s="80">
        <f t="shared" si="42"/>
        <v>-13025136</v>
      </c>
      <c r="AN78" s="80">
        <f t="shared" si="43"/>
        <v>-105046920</v>
      </c>
      <c r="AO78" s="80">
        <f t="shared" si="44"/>
        <v>-146232</v>
      </c>
      <c r="AP78" s="80">
        <f t="shared" si="45"/>
        <v>-78.858752999999993</v>
      </c>
      <c r="AQ78" s="83">
        <f t="shared" si="46"/>
        <v>-81.819892699999997</v>
      </c>
      <c r="AR78" s="83">
        <f t="shared" si="47"/>
        <v>-41.494430000000001</v>
      </c>
      <c r="AS78" s="83">
        <f t="shared" si="48"/>
        <v>-45.718546600000003</v>
      </c>
      <c r="AT78" s="83">
        <f t="shared" si="49"/>
        <v>-48.824697800000003</v>
      </c>
      <c r="AU78" s="83">
        <f t="shared" si="50"/>
        <v>-50.797749199999998</v>
      </c>
      <c r="AV78" s="84">
        <f t="shared" si="51"/>
        <v>-37.740065399999999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-90678208</v>
      </c>
      <c r="AJ79" s="80">
        <f t="shared" si="39"/>
        <v>-210238360</v>
      </c>
      <c r="AK79" s="80">
        <f t="shared" si="40"/>
        <v>-20147384</v>
      </c>
      <c r="AL79" s="80">
        <f t="shared" si="41"/>
        <v>0</v>
      </c>
      <c r="AM79" s="80">
        <f t="shared" si="42"/>
        <v>-17200848</v>
      </c>
      <c r="AN79" s="80">
        <f t="shared" si="43"/>
        <v>-172746608</v>
      </c>
      <c r="AO79" s="80">
        <f t="shared" si="44"/>
        <v>-143520</v>
      </c>
      <c r="AP79" s="80">
        <f t="shared" si="45"/>
        <v>-79.551688200000001</v>
      </c>
      <c r="AQ79" s="83">
        <f t="shared" si="46"/>
        <v>-82.882459999999995</v>
      </c>
      <c r="AR79" s="83">
        <f t="shared" si="47"/>
        <v>-42.497291099999998</v>
      </c>
      <c r="AS79" s="83">
        <f t="shared" si="48"/>
        <v>-46.7924699</v>
      </c>
      <c r="AT79" s="83">
        <f t="shared" si="49"/>
        <v>-50.1878241</v>
      </c>
      <c r="AU79" s="83">
        <f t="shared" si="50"/>
        <v>-51.180945299999998</v>
      </c>
      <c r="AV79" s="84">
        <f t="shared" si="51"/>
        <v>-38.5098561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-23020672</v>
      </c>
      <c r="AJ80" s="80">
        <f t="shared" si="39"/>
        <v>-42037736</v>
      </c>
      <c r="AK80" s="80">
        <f t="shared" si="40"/>
        <v>-6293944</v>
      </c>
      <c r="AL80" s="80">
        <f t="shared" si="41"/>
        <v>0</v>
      </c>
      <c r="AM80" s="80">
        <f t="shared" si="42"/>
        <v>-4692824</v>
      </c>
      <c r="AN80" s="80">
        <f t="shared" si="43"/>
        <v>-30904600</v>
      </c>
      <c r="AO80" s="80">
        <f t="shared" si="44"/>
        <v>-146368</v>
      </c>
      <c r="AP80" s="80">
        <f t="shared" si="45"/>
        <v>-74.076346999999998</v>
      </c>
      <c r="AQ80" s="83">
        <f t="shared" si="46"/>
        <v>-75.905668899999995</v>
      </c>
      <c r="AR80" s="83">
        <f t="shared" si="47"/>
        <v>-31.2068616</v>
      </c>
      <c r="AS80" s="83">
        <f t="shared" si="48"/>
        <v>-39.920560000000002</v>
      </c>
      <c r="AT80" s="83">
        <f t="shared" si="49"/>
        <v>-36.634237200000001</v>
      </c>
      <c r="AU80" s="83">
        <f t="shared" si="50"/>
        <v>-45.007020099999998</v>
      </c>
      <c r="AV80" s="84">
        <f t="shared" si="51"/>
        <v>-28.2584132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-46063040</v>
      </c>
      <c r="AJ81" s="80">
        <f t="shared" si="39"/>
        <v>-82991760</v>
      </c>
      <c r="AK81" s="80">
        <f t="shared" si="40"/>
        <v>-10589840</v>
      </c>
      <c r="AL81" s="80">
        <f t="shared" si="41"/>
        <v>0</v>
      </c>
      <c r="AM81" s="80">
        <f t="shared" si="42"/>
        <v>-6647504</v>
      </c>
      <c r="AN81" s="80">
        <f t="shared" si="43"/>
        <v>-65604272</v>
      </c>
      <c r="AO81" s="80">
        <f t="shared" si="44"/>
        <v>-150144</v>
      </c>
      <c r="AP81" s="80">
        <f t="shared" si="45"/>
        <v>-76.962197399999994</v>
      </c>
      <c r="AQ81" s="83">
        <f t="shared" si="46"/>
        <v>-79.347339000000005</v>
      </c>
      <c r="AR81" s="83">
        <f t="shared" si="47"/>
        <v>-33.474547200000003</v>
      </c>
      <c r="AS81" s="83">
        <f t="shared" si="48"/>
        <v>-41.833996300000003</v>
      </c>
      <c r="AT81" s="83">
        <f t="shared" si="49"/>
        <v>-39.454591999999998</v>
      </c>
      <c r="AU81" s="83">
        <f t="shared" si="50"/>
        <v>-46.534612500000001</v>
      </c>
      <c r="AV81" s="84">
        <f t="shared" si="51"/>
        <v>-30.9100283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-92146688</v>
      </c>
      <c r="AJ82" s="80">
        <f t="shared" si="39"/>
        <v>-124316568</v>
      </c>
      <c r="AK82" s="80">
        <f t="shared" si="40"/>
        <v>-20110832</v>
      </c>
      <c r="AL82" s="80">
        <f t="shared" si="41"/>
        <v>0</v>
      </c>
      <c r="AM82" s="80">
        <f t="shared" si="42"/>
        <v>-5778592</v>
      </c>
      <c r="AN82" s="80">
        <f t="shared" si="43"/>
        <v>-98278960</v>
      </c>
      <c r="AO82" s="80">
        <f t="shared" si="44"/>
        <v>-148184</v>
      </c>
      <c r="AP82" s="80">
        <f t="shared" si="45"/>
        <v>-79.018644100000003</v>
      </c>
      <c r="AQ82" s="83">
        <f t="shared" si="46"/>
        <v>-81.901013699999993</v>
      </c>
      <c r="AR82" s="83">
        <f t="shared" si="47"/>
        <v>-34.553832399999997</v>
      </c>
      <c r="AS82" s="83">
        <f t="shared" si="48"/>
        <v>-43.218617000000002</v>
      </c>
      <c r="AT82" s="83">
        <f t="shared" si="49"/>
        <v>-41.2842232</v>
      </c>
      <c r="AU82" s="83">
        <f t="shared" si="50"/>
        <v>-47.891388900000003</v>
      </c>
      <c r="AV82" s="84">
        <f t="shared" si="51"/>
        <v>-32.267875600000004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-184309952</v>
      </c>
      <c r="AJ83" s="80">
        <f t="shared" si="39"/>
        <v>-177257216</v>
      </c>
      <c r="AK83" s="80">
        <f t="shared" si="40"/>
        <v>-39367904</v>
      </c>
      <c r="AL83" s="80">
        <f t="shared" si="41"/>
        <v>0</v>
      </c>
      <c r="AM83" s="80">
        <f t="shared" si="42"/>
        <v>-4920080</v>
      </c>
      <c r="AN83" s="80">
        <f t="shared" si="43"/>
        <v>-132822744</v>
      </c>
      <c r="AO83" s="80">
        <f t="shared" si="44"/>
        <v>-146488</v>
      </c>
      <c r="AP83" s="80">
        <f t="shared" si="45"/>
        <v>-80.508484100000004</v>
      </c>
      <c r="AQ83" s="83">
        <f t="shared" si="46"/>
        <v>-84.025912700000006</v>
      </c>
      <c r="AR83" s="83">
        <f t="shared" si="47"/>
        <v>-35.315579800000002</v>
      </c>
      <c r="AS83" s="83">
        <f t="shared" si="48"/>
        <v>-43.565876199999998</v>
      </c>
      <c r="AT83" s="83">
        <f t="shared" si="49"/>
        <v>-41.763443500000001</v>
      </c>
      <c r="AU83" s="83">
        <f t="shared" si="50"/>
        <v>-49.283623900000002</v>
      </c>
      <c r="AV83" s="84">
        <f t="shared" si="51"/>
        <v>-33.442642599999999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-368631104</v>
      </c>
      <c r="AJ84" s="80">
        <f t="shared" si="39"/>
        <v>-261372008</v>
      </c>
      <c r="AK84" s="80">
        <f t="shared" si="40"/>
        <v>-69810720</v>
      </c>
      <c r="AL84" s="80">
        <f t="shared" si="41"/>
        <v>0</v>
      </c>
      <c r="AM84" s="80">
        <f t="shared" si="42"/>
        <v>-619336</v>
      </c>
      <c r="AN84" s="80">
        <f t="shared" si="43"/>
        <v>-190798032</v>
      </c>
      <c r="AO84" s="80">
        <f t="shared" si="44"/>
        <v>-143920</v>
      </c>
      <c r="AP84" s="80">
        <f t="shared" si="45"/>
        <v>-82.358944699999995</v>
      </c>
      <c r="AQ84" s="83">
        <f t="shared" si="46"/>
        <v>-86.5959857</v>
      </c>
      <c r="AR84" s="83">
        <f t="shared" si="47"/>
        <v>-35.970480000000002</v>
      </c>
      <c r="AS84" s="83">
        <f t="shared" si="48"/>
        <v>-44.188095400000002</v>
      </c>
      <c r="AT84" s="83">
        <f t="shared" si="49"/>
        <v>-42.577145600000001</v>
      </c>
      <c r="AU84" s="83">
        <f t="shared" si="50"/>
        <v>-50.737020299999998</v>
      </c>
      <c r="AV84" s="84">
        <f t="shared" si="51"/>
        <v>-34.489698099999998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-11259392</v>
      </c>
      <c r="AJ85" s="80">
        <f t="shared" si="39"/>
        <v>-20979776</v>
      </c>
      <c r="AK85" s="80">
        <f t="shared" si="40"/>
        <v>-3545416</v>
      </c>
      <c r="AL85" s="80">
        <f t="shared" si="41"/>
        <v>0</v>
      </c>
      <c r="AM85" s="80">
        <f t="shared" si="42"/>
        <v>-3085080</v>
      </c>
      <c r="AN85" s="80">
        <f t="shared" si="43"/>
        <v>-14276192</v>
      </c>
      <c r="AO85" s="80">
        <f t="shared" si="44"/>
        <v>-73088</v>
      </c>
      <c r="AP85" s="80">
        <f t="shared" si="45"/>
        <v>-73.928302000000002</v>
      </c>
      <c r="AQ85" s="83">
        <f t="shared" si="46"/>
        <v>-75.731671800000001</v>
      </c>
      <c r="AR85" s="83">
        <f t="shared" si="47"/>
        <v>-37.612018999999997</v>
      </c>
      <c r="AS85" s="83">
        <f t="shared" si="48"/>
        <v>-44.022002499999999</v>
      </c>
      <c r="AT85" s="83">
        <f t="shared" si="49"/>
        <v>-42.619237699999999</v>
      </c>
      <c r="AU85" s="83">
        <f t="shared" si="50"/>
        <v>-48.573242200000003</v>
      </c>
      <c r="AV85" s="84">
        <f t="shared" si="51"/>
        <v>-34.6110592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-11259392</v>
      </c>
      <c r="AJ86" s="80">
        <f t="shared" si="39"/>
        <v>-41571320</v>
      </c>
      <c r="AK86" s="80">
        <f t="shared" si="40"/>
        <v>-3545416</v>
      </c>
      <c r="AL86" s="80">
        <f t="shared" si="41"/>
        <v>0</v>
      </c>
      <c r="AM86" s="80">
        <f t="shared" si="42"/>
        <v>-5195400</v>
      </c>
      <c r="AN86" s="80">
        <f t="shared" si="43"/>
        <v>-32756664</v>
      </c>
      <c r="AO86" s="80">
        <f t="shared" si="44"/>
        <v>-73840</v>
      </c>
      <c r="AP86" s="80">
        <f t="shared" si="45"/>
        <v>-75.570643200000006</v>
      </c>
      <c r="AQ86" s="83">
        <f t="shared" si="46"/>
        <v>-77.6662879</v>
      </c>
      <c r="AR86" s="83">
        <f t="shared" si="47"/>
        <v>-39.935078300000001</v>
      </c>
      <c r="AS86" s="83">
        <f t="shared" si="48"/>
        <v>-45.724354499999997</v>
      </c>
      <c r="AT86" s="83">
        <f t="shared" si="49"/>
        <v>-44.561218099999998</v>
      </c>
      <c r="AU86" s="83">
        <f t="shared" si="50"/>
        <v>-49.440944399999999</v>
      </c>
      <c r="AV86" s="84">
        <f t="shared" si="51"/>
        <v>-36.127507299999998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-11449824</v>
      </c>
      <c r="AJ87" s="80">
        <f t="shared" si="39"/>
        <v>-63308304</v>
      </c>
      <c r="AK87" s="80">
        <f t="shared" si="40"/>
        <v>-9450088</v>
      </c>
      <c r="AL87" s="80">
        <f t="shared" si="41"/>
        <v>0</v>
      </c>
      <c r="AM87" s="80">
        <f t="shared" si="42"/>
        <v>-5734328</v>
      </c>
      <c r="AN87" s="80">
        <f t="shared" si="43"/>
        <v>-48060240</v>
      </c>
      <c r="AO87" s="80">
        <f t="shared" si="44"/>
        <v>-63648</v>
      </c>
      <c r="AP87" s="80">
        <f t="shared" si="45"/>
        <v>-78.214506400000005</v>
      </c>
      <c r="AQ87" s="83">
        <f t="shared" si="46"/>
        <v>-80.892130699999996</v>
      </c>
      <c r="AR87" s="83">
        <f t="shared" si="47"/>
        <v>-41.292347100000001</v>
      </c>
      <c r="AS87" s="83">
        <f t="shared" si="48"/>
        <v>-46.485290499999998</v>
      </c>
      <c r="AT87" s="83">
        <f t="shared" si="49"/>
        <v>-45.4470612</v>
      </c>
      <c r="AU87" s="83">
        <f t="shared" si="50"/>
        <v>-51.032521199999998</v>
      </c>
      <c r="AV87" s="84">
        <f t="shared" si="51"/>
        <v>-37.760067100000001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-11449824</v>
      </c>
      <c r="AJ88" s="80">
        <f t="shared" si="39"/>
        <v>-91209352</v>
      </c>
      <c r="AK88" s="80">
        <f t="shared" si="40"/>
        <v>-9450088</v>
      </c>
      <c r="AL88" s="80">
        <f t="shared" si="41"/>
        <v>0</v>
      </c>
      <c r="AM88" s="80">
        <f t="shared" si="42"/>
        <v>-9322400</v>
      </c>
      <c r="AN88" s="80">
        <f t="shared" si="43"/>
        <v>-72374104</v>
      </c>
      <c r="AO88" s="80">
        <f t="shared" si="44"/>
        <v>-62760</v>
      </c>
      <c r="AP88" s="80">
        <f t="shared" si="45"/>
        <v>-79.489373700000002</v>
      </c>
      <c r="AQ88" s="83">
        <f t="shared" si="46"/>
        <v>-82.682430299999993</v>
      </c>
      <c r="AR88" s="83">
        <f t="shared" si="47"/>
        <v>-42.244328400000001</v>
      </c>
      <c r="AS88" s="83">
        <f t="shared" si="48"/>
        <v>-47.6280863</v>
      </c>
      <c r="AT88" s="83">
        <f t="shared" si="49"/>
        <v>-46.785733</v>
      </c>
      <c r="AU88" s="83">
        <f t="shared" si="50"/>
        <v>-51.657320800000001</v>
      </c>
      <c r="AV88" s="84">
        <f t="shared" si="51"/>
        <v>-38.866773500000001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-34479136</v>
      </c>
      <c r="AJ89" s="80">
        <f t="shared" si="39"/>
        <v>-131458600</v>
      </c>
      <c r="AK89" s="80">
        <f t="shared" si="40"/>
        <v>-21634048</v>
      </c>
      <c r="AL89" s="80">
        <f t="shared" si="41"/>
        <v>0</v>
      </c>
      <c r="AM89" s="80">
        <f t="shared" si="42"/>
        <v>-8520112</v>
      </c>
      <c r="AN89" s="80">
        <f t="shared" si="43"/>
        <v>-101241696</v>
      </c>
      <c r="AO89" s="80">
        <f t="shared" si="44"/>
        <v>-62744</v>
      </c>
      <c r="AP89" s="80">
        <f t="shared" si="45"/>
        <v>-82.213891399999994</v>
      </c>
      <c r="AQ89" s="83">
        <f t="shared" si="46"/>
        <v>-86.803824700000007</v>
      </c>
      <c r="AR89" s="83">
        <f t="shared" si="47"/>
        <v>-43.216844000000002</v>
      </c>
      <c r="AS89" s="83">
        <f t="shared" si="48"/>
        <v>-48.348366499999997</v>
      </c>
      <c r="AT89" s="83">
        <f t="shared" si="49"/>
        <v>-47.600234</v>
      </c>
      <c r="AU89" s="83">
        <f t="shared" si="50"/>
        <v>-54.010839699999998</v>
      </c>
      <c r="AV89" s="84">
        <f t="shared" si="51"/>
        <v>-40.951465200000001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-17190912</v>
      </c>
      <c r="AJ90" s="80">
        <f t="shared" si="39"/>
        <v>-39147616</v>
      </c>
      <c r="AK90" s="80">
        <f t="shared" si="40"/>
        <v>-5827768</v>
      </c>
      <c r="AL90" s="80">
        <f t="shared" si="41"/>
        <v>0</v>
      </c>
      <c r="AM90" s="80">
        <f t="shared" si="42"/>
        <v>-7233440</v>
      </c>
      <c r="AN90" s="80">
        <f t="shared" si="43"/>
        <v>-25938400</v>
      </c>
      <c r="AO90" s="80">
        <f t="shared" si="44"/>
        <v>-148008</v>
      </c>
      <c r="AP90" s="80">
        <f t="shared" si="45"/>
        <v>-71.613797899999994</v>
      </c>
      <c r="AQ90" s="83">
        <f t="shared" si="46"/>
        <v>-73.055543</v>
      </c>
      <c r="AR90" s="83">
        <f t="shared" si="47"/>
        <v>-29.718223500000001</v>
      </c>
      <c r="AS90" s="83">
        <f t="shared" si="48"/>
        <v>-38.766677999999999</v>
      </c>
      <c r="AT90" s="83">
        <f t="shared" si="49"/>
        <v>-38.4440843</v>
      </c>
      <c r="AU90" s="83">
        <f t="shared" si="50"/>
        <v>-47.739899800000003</v>
      </c>
      <c r="AV90" s="84">
        <f t="shared" si="51"/>
        <v>-28.4831872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-34432384</v>
      </c>
      <c r="AJ91" s="80">
        <f t="shared" si="39"/>
        <v>-60977912</v>
      </c>
      <c r="AK91" s="80">
        <f t="shared" si="40"/>
        <v>-8890792</v>
      </c>
      <c r="AL91" s="80">
        <f t="shared" si="41"/>
        <v>0</v>
      </c>
      <c r="AM91" s="80">
        <f t="shared" si="42"/>
        <v>-7799776</v>
      </c>
      <c r="AN91" s="80">
        <f t="shared" si="43"/>
        <v>-44141216</v>
      </c>
      <c r="AO91" s="80">
        <f t="shared" si="44"/>
        <v>-146128</v>
      </c>
      <c r="AP91" s="80">
        <f t="shared" si="45"/>
        <v>-74.290144499999997</v>
      </c>
      <c r="AQ91" s="83">
        <f t="shared" si="46"/>
        <v>-76.139492099999998</v>
      </c>
      <c r="AR91" s="83">
        <f t="shared" si="47"/>
        <v>-30.380875899999999</v>
      </c>
      <c r="AS91" s="83">
        <f t="shared" si="48"/>
        <v>-38.943518599999997</v>
      </c>
      <c r="AT91" s="83">
        <f t="shared" si="49"/>
        <v>-38.728354600000003</v>
      </c>
      <c r="AU91" s="83">
        <f t="shared" si="50"/>
        <v>-49.114863499999998</v>
      </c>
      <c r="AV91" s="84">
        <f t="shared" si="51"/>
        <v>-28.982007599999999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-68915392</v>
      </c>
      <c r="AJ92" s="80">
        <f t="shared" si="39"/>
        <v>-110369752</v>
      </c>
      <c r="AK92" s="80">
        <f t="shared" si="40"/>
        <v>-15091888</v>
      </c>
      <c r="AL92" s="80">
        <f t="shared" si="41"/>
        <v>0</v>
      </c>
      <c r="AM92" s="80">
        <f t="shared" si="42"/>
        <v>-4858752</v>
      </c>
      <c r="AN92" s="80">
        <f t="shared" si="43"/>
        <v>-90269656</v>
      </c>
      <c r="AO92" s="80">
        <f t="shared" si="44"/>
        <v>-149456</v>
      </c>
      <c r="AP92" s="80">
        <f t="shared" si="45"/>
        <v>-75.089534700000002</v>
      </c>
      <c r="AQ92" s="83">
        <f t="shared" si="46"/>
        <v>-77.018595700000006</v>
      </c>
      <c r="AR92" s="83">
        <f t="shared" si="47"/>
        <v>-31.286801700000002</v>
      </c>
      <c r="AS92" s="83">
        <f t="shared" si="48"/>
        <v>-39.170279499999999</v>
      </c>
      <c r="AT92" s="83">
        <f t="shared" si="49"/>
        <v>-39.3054451</v>
      </c>
      <c r="AU92" s="83">
        <f t="shared" si="50"/>
        <v>-49.6295541</v>
      </c>
      <c r="AV92" s="84">
        <f t="shared" si="51"/>
        <v>-30.2849723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-68915392</v>
      </c>
      <c r="AJ93" s="80">
        <f t="shared" si="39"/>
        <v>-161986848</v>
      </c>
      <c r="AK93" s="80">
        <f t="shared" si="40"/>
        <v>-16720296</v>
      </c>
      <c r="AL93" s="80">
        <f t="shared" si="41"/>
        <v>0</v>
      </c>
      <c r="AM93" s="80">
        <f t="shared" si="42"/>
        <v>-9654392</v>
      </c>
      <c r="AN93" s="80">
        <f t="shared" si="43"/>
        <v>-135461264</v>
      </c>
      <c r="AO93" s="80">
        <f t="shared" si="44"/>
        <v>-150896</v>
      </c>
      <c r="AP93" s="80">
        <f t="shared" si="45"/>
        <v>-76.797352099999998</v>
      </c>
      <c r="AQ93" s="83">
        <f t="shared" si="46"/>
        <v>-79.115613699999997</v>
      </c>
      <c r="AR93" s="83">
        <f t="shared" si="47"/>
        <v>-31.976424600000001</v>
      </c>
      <c r="AS93" s="83">
        <f t="shared" si="48"/>
        <v>-39.2418677</v>
      </c>
      <c r="AT93" s="83">
        <f t="shared" si="49"/>
        <v>-39.429228100000003</v>
      </c>
      <c r="AU93" s="83">
        <f t="shared" si="50"/>
        <v>-50.566459299999998</v>
      </c>
      <c r="AV93" s="84">
        <f t="shared" si="51"/>
        <v>-31.008861899999999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-137868672</v>
      </c>
      <c r="AJ94" s="80">
        <f t="shared" si="39"/>
        <v>-243248464</v>
      </c>
      <c r="AK94" s="80">
        <f t="shared" si="40"/>
        <v>-29384496</v>
      </c>
      <c r="AL94" s="80">
        <f t="shared" si="41"/>
        <v>0</v>
      </c>
      <c r="AM94" s="80">
        <f t="shared" si="42"/>
        <v>-7778280</v>
      </c>
      <c r="AN94" s="80">
        <f t="shared" si="43"/>
        <v>-205938280</v>
      </c>
      <c r="AO94" s="80">
        <f t="shared" si="44"/>
        <v>-147408</v>
      </c>
      <c r="AP94" s="80">
        <f t="shared" si="45"/>
        <v>-79.010967600000001</v>
      </c>
      <c r="AQ94" s="83">
        <f t="shared" si="46"/>
        <v>-81.882825100000005</v>
      </c>
      <c r="AR94" s="83">
        <f t="shared" si="47"/>
        <v>-32.784949400000002</v>
      </c>
      <c r="AS94" s="83">
        <f t="shared" si="48"/>
        <v>-39.328064500000004</v>
      </c>
      <c r="AT94" s="83">
        <f t="shared" si="49"/>
        <v>-39.580620199999998</v>
      </c>
      <c r="AU94" s="83">
        <f t="shared" si="50"/>
        <v>-51.7864857</v>
      </c>
      <c r="AV94" s="84">
        <f t="shared" si="51"/>
        <v>-31.8633317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-17235712</v>
      </c>
      <c r="AJ95" s="80">
        <f t="shared" si="39"/>
        <v>-40030000</v>
      </c>
      <c r="AK95" s="80">
        <f t="shared" si="40"/>
        <v>-5070360</v>
      </c>
      <c r="AL95" s="80">
        <f t="shared" si="41"/>
        <v>0</v>
      </c>
      <c r="AM95" s="80">
        <f t="shared" si="42"/>
        <v>-6341376</v>
      </c>
      <c r="AN95" s="80">
        <f t="shared" si="43"/>
        <v>-28471392</v>
      </c>
      <c r="AO95" s="80">
        <f t="shared" si="44"/>
        <v>-146872</v>
      </c>
      <c r="AP95" s="80">
        <f t="shared" si="45"/>
        <v>-72.441975499999998</v>
      </c>
      <c r="AQ95" s="83">
        <f t="shared" si="46"/>
        <v>-73.750462900000002</v>
      </c>
      <c r="AR95" s="83">
        <f t="shared" si="47"/>
        <v>-32.592913500000002</v>
      </c>
      <c r="AS95" s="83">
        <f t="shared" si="48"/>
        <v>-42.265408700000002</v>
      </c>
      <c r="AT95" s="83">
        <f t="shared" si="49"/>
        <v>-42.521364599999998</v>
      </c>
      <c r="AU95" s="83">
        <f t="shared" si="50"/>
        <v>-48.114480700000001</v>
      </c>
      <c r="AV95" s="84">
        <f t="shared" si="51"/>
        <v>-31.7661561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-17235712</v>
      </c>
      <c r="AJ96" s="80">
        <f t="shared" si="39"/>
        <v>-60463472</v>
      </c>
      <c r="AK96" s="80">
        <f t="shared" si="40"/>
        <v>-5495064</v>
      </c>
      <c r="AL96" s="80">
        <f t="shared" si="41"/>
        <v>0</v>
      </c>
      <c r="AM96" s="80">
        <f t="shared" si="42"/>
        <v>-6840928</v>
      </c>
      <c r="AN96" s="80">
        <f t="shared" si="43"/>
        <v>-47980248</v>
      </c>
      <c r="AO96" s="80">
        <f t="shared" si="44"/>
        <v>-147232</v>
      </c>
      <c r="AP96" s="80">
        <f t="shared" si="45"/>
        <v>-72.670340800000005</v>
      </c>
      <c r="AQ96" s="83">
        <f t="shared" si="46"/>
        <v>-74.008361699999995</v>
      </c>
      <c r="AR96" s="83">
        <f t="shared" si="47"/>
        <v>-33.241392900000001</v>
      </c>
      <c r="AS96" s="83">
        <f t="shared" si="48"/>
        <v>-42.525655100000002</v>
      </c>
      <c r="AT96" s="83">
        <f t="shared" si="49"/>
        <v>-42.800909300000001</v>
      </c>
      <c r="AU96" s="83">
        <f t="shared" si="50"/>
        <v>-48.237667000000002</v>
      </c>
      <c r="AV96" s="84">
        <f t="shared" si="51"/>
        <v>-32.184427300000003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-69038976</v>
      </c>
      <c r="AJ97" s="80">
        <f t="shared" si="39"/>
        <v>-108793920</v>
      </c>
      <c r="AK97" s="80">
        <f t="shared" si="40"/>
        <v>-14606136</v>
      </c>
      <c r="AL97" s="80">
        <f t="shared" si="41"/>
        <v>0</v>
      </c>
      <c r="AM97" s="80">
        <f t="shared" si="42"/>
        <v>-6366736</v>
      </c>
      <c r="AN97" s="80">
        <f t="shared" si="43"/>
        <v>-87671008</v>
      </c>
      <c r="AO97" s="80">
        <f t="shared" si="44"/>
        <v>-150040</v>
      </c>
      <c r="AP97" s="80">
        <f t="shared" si="45"/>
        <v>-76.339556200000004</v>
      </c>
      <c r="AQ97" s="83">
        <f t="shared" si="46"/>
        <v>-78.200346300000007</v>
      </c>
      <c r="AR97" s="83">
        <f t="shared" si="47"/>
        <v>-34.191804599999998</v>
      </c>
      <c r="AS97" s="83">
        <f t="shared" si="48"/>
        <v>-42.863038799999998</v>
      </c>
      <c r="AT97" s="83">
        <f t="shared" si="49"/>
        <v>-43.342450800000002</v>
      </c>
      <c r="AU97" s="83">
        <f t="shared" si="50"/>
        <v>-50.511656299999999</v>
      </c>
      <c r="AV97" s="84">
        <f t="shared" si="51"/>
        <v>-33.357638000000001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-69038976</v>
      </c>
      <c r="AJ98" s="80">
        <f t="shared" si="39"/>
        <v>-160320792</v>
      </c>
      <c r="AK98" s="80">
        <f t="shared" si="40"/>
        <v>-16225480</v>
      </c>
      <c r="AL98" s="80">
        <f t="shared" si="41"/>
        <v>0</v>
      </c>
      <c r="AM98" s="80">
        <f t="shared" si="42"/>
        <v>-9115792</v>
      </c>
      <c r="AN98" s="80">
        <f t="shared" si="43"/>
        <v>-134828664</v>
      </c>
      <c r="AO98" s="80">
        <f t="shared" si="44"/>
        <v>-150856</v>
      </c>
      <c r="AP98" s="80">
        <f t="shared" si="45"/>
        <v>-77.362019900000007</v>
      </c>
      <c r="AQ98" s="83">
        <f t="shared" si="46"/>
        <v>-79.449327100000005</v>
      </c>
      <c r="AR98" s="83">
        <f t="shared" si="47"/>
        <v>-34.867141799999999</v>
      </c>
      <c r="AS98" s="83">
        <f t="shared" si="48"/>
        <v>-42.994562100000003</v>
      </c>
      <c r="AT98" s="83">
        <f t="shared" si="49"/>
        <v>-43.528430100000001</v>
      </c>
      <c r="AU98" s="83">
        <f t="shared" si="50"/>
        <v>-51.040748299999997</v>
      </c>
      <c r="AV98" s="84">
        <f t="shared" si="51"/>
        <v>-33.971338099999997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-138091712</v>
      </c>
      <c r="AJ99" s="92">
        <f t="shared" ref="AJ99" si="55">AJ44-O44</f>
        <v>-241151264</v>
      </c>
      <c r="AK99" s="92">
        <f t="shared" ref="AK99" si="56">AK44-P44</f>
        <v>-25404152</v>
      </c>
      <c r="AL99" s="92">
        <f t="shared" ref="AL99" si="57">AL44-Q44</f>
        <v>0</v>
      </c>
      <c r="AM99" s="92">
        <f t="shared" ref="AM99" si="58">AM44-R44</f>
        <v>-9894792</v>
      </c>
      <c r="AN99" s="92">
        <f t="shared" ref="AN99" si="59">AN44-S44</f>
        <v>-205704536</v>
      </c>
      <c r="AO99" s="92">
        <f t="shared" ref="AO99" si="60">AO44-T44</f>
        <v>-147784</v>
      </c>
      <c r="AP99" s="92">
        <f t="shared" ref="AP99" si="61">AP44-U44</f>
        <v>-79.690060599999995</v>
      </c>
      <c r="AQ99" s="93">
        <f t="shared" ref="AQ99" si="62">AQ44-V44</f>
        <v>-82.373760700000005</v>
      </c>
      <c r="AR99" s="93">
        <f t="shared" ref="AR99" si="63">AR44-W44</f>
        <v>-35.699847699999999</v>
      </c>
      <c r="AS99" s="93">
        <f t="shared" ref="AS99" si="64">AS44-X44</f>
        <v>-43.123853699999998</v>
      </c>
      <c r="AT99" s="93">
        <f t="shared" ref="AT99" si="65">AT44-Y44</f>
        <v>-43.722152600000001</v>
      </c>
      <c r="AU99" s="93">
        <f t="shared" ref="AU99" si="66">AU44-Z44</f>
        <v>-52.423924100000001</v>
      </c>
      <c r="AV99" s="94">
        <f t="shared" ref="AV99" si="67">AV44-AA44</f>
        <v>-34.925370399999998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-143720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-1600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-207664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-1616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-369248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-1648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-495448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-1648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-762192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-1696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AB2:AB3"/>
    <mergeCell ref="AC2:AC3"/>
    <mergeCell ref="L2:L3"/>
    <mergeCell ref="M2:M3"/>
    <mergeCell ref="A1:H1"/>
    <mergeCell ref="J1:AC1"/>
    <mergeCell ref="AE1:AX1"/>
    <mergeCell ref="U2:Y2"/>
    <mergeCell ref="Z2:AA2"/>
    <mergeCell ref="AP2:AT2"/>
    <mergeCell ref="AU2:AV2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J2:J3"/>
    <mergeCell ref="K2:K3"/>
    <mergeCell ref="A2:A3"/>
    <mergeCell ref="B2:B3"/>
    <mergeCell ref="C2:C3"/>
    <mergeCell ref="D2:D3"/>
    <mergeCell ref="E2:E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8"/>
  <sheetViews>
    <sheetView zoomScale="80" zoomScaleNormal="80" workbookViewId="0">
      <pane xSplit="2" ySplit="4" topLeftCell="F5" activePane="bottomRight" state="frozen"/>
      <selection pane="topRight"/>
      <selection pane="bottomLeft"/>
      <selection pane="bottomRight" activeCell="K36" sqref="K36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436</v>
      </c>
      <c r="B1" s="113"/>
      <c r="C1" s="113"/>
      <c r="D1" s="113"/>
      <c r="E1" s="113"/>
      <c r="F1" s="113"/>
      <c r="G1" s="113"/>
      <c r="H1" s="113"/>
      <c r="J1" s="122" t="str">
        <f>Summary!C1</f>
        <v>F300_v12.0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3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28" t="s">
        <v>124</v>
      </c>
      <c r="M2" s="124" t="s">
        <v>389</v>
      </c>
      <c r="N2" s="125" t="s">
        <v>85</v>
      </c>
      <c r="O2" s="124" t="s">
        <v>124</v>
      </c>
      <c r="P2" s="127" t="s">
        <v>390</v>
      </c>
      <c r="Q2" s="127" t="s">
        <v>391</v>
      </c>
      <c r="R2" s="127" t="s">
        <v>392</v>
      </c>
      <c r="S2" s="127" t="s">
        <v>393</v>
      </c>
      <c r="T2" s="127" t="s">
        <v>394</v>
      </c>
      <c r="U2" s="130" t="s">
        <v>395</v>
      </c>
      <c r="V2" s="113"/>
      <c r="W2" s="113"/>
      <c r="X2" s="113"/>
      <c r="Y2" s="113"/>
      <c r="Z2" s="127" t="s">
        <v>396</v>
      </c>
      <c r="AA2" s="113"/>
      <c r="AB2" s="125" t="s">
        <v>126</v>
      </c>
      <c r="AC2" s="124" t="s">
        <v>106</v>
      </c>
      <c r="AE2" s="125" t="s">
        <v>131</v>
      </c>
      <c r="AF2" s="124" t="s">
        <v>135</v>
      </c>
      <c r="AG2" s="128" t="s">
        <v>124</v>
      </c>
      <c r="AH2" s="124" t="s">
        <v>389</v>
      </c>
      <c r="AI2" s="125" t="s">
        <v>85</v>
      </c>
      <c r="AJ2" s="124" t="s">
        <v>124</v>
      </c>
      <c r="AK2" s="127" t="s">
        <v>390</v>
      </c>
      <c r="AL2" s="127" t="s">
        <v>391</v>
      </c>
      <c r="AM2" s="127" t="s">
        <v>392</v>
      </c>
      <c r="AN2" s="127" t="s">
        <v>393</v>
      </c>
      <c r="AO2" s="127" t="s">
        <v>394</v>
      </c>
      <c r="AP2" s="130" t="s">
        <v>395</v>
      </c>
      <c r="AQ2" s="113"/>
      <c r="AR2" s="113"/>
      <c r="AS2" s="113"/>
      <c r="AT2" s="113"/>
      <c r="AU2" s="127" t="s">
        <v>396</v>
      </c>
      <c r="AV2" s="113"/>
      <c r="AW2" s="125" t="s">
        <v>126</v>
      </c>
      <c r="AX2" s="124" t="s">
        <v>106</v>
      </c>
      <c r="AZ2" s="130" t="s">
        <v>16</v>
      </c>
      <c r="BA2" s="113"/>
      <c r="BB2" s="113"/>
      <c r="BC2" s="113"/>
      <c r="BD2" s="113"/>
      <c r="BE2" s="127" t="s">
        <v>17</v>
      </c>
      <c r="BF2" s="113"/>
      <c r="BH2" s="130" t="s">
        <v>397</v>
      </c>
      <c r="BI2" s="130"/>
      <c r="BJ2" s="131" t="s">
        <v>398</v>
      </c>
      <c r="BK2" s="131"/>
      <c r="BL2" s="131"/>
      <c r="BM2" s="125" t="s">
        <v>437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29"/>
      <c r="M3" s="115"/>
      <c r="N3" s="115"/>
      <c r="O3" s="115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5"/>
      <c r="AC3" s="115"/>
      <c r="AE3" s="115"/>
      <c r="AF3" s="115"/>
      <c r="AG3" s="129"/>
      <c r="AH3" s="115"/>
      <c r="AI3" s="115"/>
      <c r="AJ3" s="115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5"/>
      <c r="AX3" s="115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5"/>
      <c r="BQ3" s="115"/>
      <c r="BR3" s="115"/>
      <c r="BS3" s="115"/>
      <c r="BT3" s="115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4.1271360000000001</v>
      </c>
      <c r="K5" s="50">
        <f t="shared" ref="K5:K44" si="1">IF(ISBLANK(O5),"·",O5/D5)</f>
        <v>3.44001386962552</v>
      </c>
      <c r="L5" s="37">
        <f t="shared" ref="L5:L44" si="2">IF(OR(ISBLANK(M5),ISBLANK(S5),ISBLANK(T5)),".",M5+S5+T5)</f>
        <v>41271360</v>
      </c>
      <c r="M5" s="37">
        <f t="shared" ref="M5:M44" si="3">IF(OR(ISBLANK(Q5),ISBLANK(P5),ISBLANK(R5)),".",P5+Q5+R5)</f>
        <v>13305752</v>
      </c>
      <c r="N5" s="51">
        <v>22734528</v>
      </c>
      <c r="O5" s="52">
        <v>41271360</v>
      </c>
      <c r="P5" s="52">
        <v>7890816</v>
      </c>
      <c r="Q5" s="52">
        <v>0</v>
      </c>
      <c r="R5" s="52">
        <v>5414936</v>
      </c>
      <c r="S5" s="52">
        <v>27836768</v>
      </c>
      <c r="T5" s="52">
        <v>128840</v>
      </c>
      <c r="U5" s="67">
        <v>68.841509900000005</v>
      </c>
      <c r="V5" s="67">
        <v>69.933820100000005</v>
      </c>
      <c r="W5" s="67">
        <v>27.876738</v>
      </c>
      <c r="X5" s="67">
        <v>33.497942199999997</v>
      </c>
      <c r="Y5" s="67">
        <v>32.882106299999997</v>
      </c>
      <c r="Z5" s="67">
        <v>48.304882300000003</v>
      </c>
      <c r="AA5" s="67">
        <v>26.715737399999998</v>
      </c>
      <c r="AB5" s="73">
        <v>10829.687103</v>
      </c>
      <c r="AC5" s="73">
        <v>48.436459999999997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8</v>
      </c>
      <c r="J6" s="53">
        <f t="shared" si="0"/>
        <v>8.4157960000000003</v>
      </c>
      <c r="K6" s="54">
        <f t="shared" si="1"/>
        <v>7.0146597940894058</v>
      </c>
      <c r="L6" s="40">
        <f t="shared" si="2"/>
        <v>84157960</v>
      </c>
      <c r="M6" s="40">
        <f t="shared" si="3"/>
        <v>17359760</v>
      </c>
      <c r="N6" s="55">
        <v>22734528</v>
      </c>
      <c r="O6" s="56">
        <v>84157960</v>
      </c>
      <c r="P6" s="56">
        <v>7890816</v>
      </c>
      <c r="Q6" s="56">
        <v>0</v>
      </c>
      <c r="R6" s="56">
        <v>9468944</v>
      </c>
      <c r="S6" s="56">
        <v>66675536</v>
      </c>
      <c r="T6" s="56">
        <v>122664</v>
      </c>
      <c r="U6" s="68">
        <v>70.597037200000003</v>
      </c>
      <c r="V6" s="68">
        <v>71.9203689</v>
      </c>
      <c r="W6" s="68">
        <v>31.1501999</v>
      </c>
      <c r="X6" s="68">
        <v>34.697898500000001</v>
      </c>
      <c r="Y6" s="68">
        <v>34.214308500000001</v>
      </c>
      <c r="Z6" s="68">
        <v>49.152522599999998</v>
      </c>
      <c r="AA6" s="68">
        <v>28.924734099999998</v>
      </c>
      <c r="AB6" s="74">
        <v>11981.470108</v>
      </c>
      <c r="AC6" s="74">
        <v>49.402318000000001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11</v>
      </c>
      <c r="J7" s="49">
        <f t="shared" si="0"/>
        <v>11.5429896</v>
      </c>
      <c r="K7" s="50">
        <f t="shared" si="1"/>
        <v>9.6212105249119819</v>
      </c>
      <c r="L7" s="37">
        <f t="shared" si="2"/>
        <v>115429896</v>
      </c>
      <c r="M7" s="37">
        <f t="shared" si="3"/>
        <v>21402440</v>
      </c>
      <c r="N7" s="51">
        <v>45557056</v>
      </c>
      <c r="O7" s="52">
        <v>115429896</v>
      </c>
      <c r="P7" s="52">
        <v>12321224</v>
      </c>
      <c r="Q7" s="52">
        <v>0</v>
      </c>
      <c r="R7" s="52">
        <v>9081216</v>
      </c>
      <c r="S7" s="52">
        <v>93903992</v>
      </c>
      <c r="T7" s="52">
        <v>123464</v>
      </c>
      <c r="U7" s="67">
        <v>72.615171700000005</v>
      </c>
      <c r="V7" s="67">
        <v>74.244718399999996</v>
      </c>
      <c r="W7" s="67">
        <v>32.311940800000002</v>
      </c>
      <c r="X7" s="67">
        <v>36.411365000000004</v>
      </c>
      <c r="Y7" s="67">
        <v>36.146524900000003</v>
      </c>
      <c r="Z7" s="67">
        <v>50.368255699999999</v>
      </c>
      <c r="AA7" s="67">
        <v>30.361418</v>
      </c>
      <c r="AB7" s="73">
        <v>31963.633170000001</v>
      </c>
      <c r="AC7" s="73">
        <v>193.67268300000001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14</v>
      </c>
      <c r="J8" s="53">
        <f t="shared" si="0"/>
        <v>14.6661584</v>
      </c>
      <c r="K8" s="54">
        <f t="shared" si="1"/>
        <v>12.22440654006188</v>
      </c>
      <c r="L8" s="40">
        <f t="shared" si="2"/>
        <v>146661584</v>
      </c>
      <c r="M8" s="40">
        <f t="shared" si="3"/>
        <v>27756720</v>
      </c>
      <c r="N8" s="55">
        <v>91604544</v>
      </c>
      <c r="O8" s="56">
        <v>146661584</v>
      </c>
      <c r="P8" s="56">
        <v>20152128</v>
      </c>
      <c r="Q8" s="56">
        <v>0</v>
      </c>
      <c r="R8" s="56">
        <v>7604592</v>
      </c>
      <c r="S8" s="56">
        <v>118779376</v>
      </c>
      <c r="T8" s="56">
        <v>125488</v>
      </c>
      <c r="U8" s="68">
        <v>73.479951600000007</v>
      </c>
      <c r="V8" s="68">
        <v>75.2399135</v>
      </c>
      <c r="W8" s="68">
        <v>33.295489400000001</v>
      </c>
      <c r="X8" s="68">
        <v>36.978590400000002</v>
      </c>
      <c r="Y8" s="68">
        <v>36.709657700000001</v>
      </c>
      <c r="Z8" s="68">
        <v>51.011581900000003</v>
      </c>
      <c r="AA8" s="68">
        <v>31.150722999999999</v>
      </c>
      <c r="AB8" s="74">
        <v>37131.514240999997</v>
      </c>
      <c r="AC8" s="74">
        <v>207.923507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21</v>
      </c>
      <c r="J9" s="57">
        <f t="shared" si="0"/>
        <v>22.147681600000002</v>
      </c>
      <c r="K9" s="58">
        <f t="shared" si="1"/>
        <v>18.460339539101675</v>
      </c>
      <c r="L9" s="43">
        <f t="shared" si="2"/>
        <v>221476816</v>
      </c>
      <c r="M9" s="43">
        <f t="shared" si="3"/>
        <v>34242896</v>
      </c>
      <c r="N9" s="59">
        <v>91604544</v>
      </c>
      <c r="O9" s="60">
        <v>221476816</v>
      </c>
      <c r="P9" s="60">
        <v>20152128</v>
      </c>
      <c r="Q9" s="60">
        <v>0</v>
      </c>
      <c r="R9" s="60">
        <v>14090768</v>
      </c>
      <c r="S9" s="60">
        <v>187115808</v>
      </c>
      <c r="T9" s="60">
        <v>118112</v>
      </c>
      <c r="U9" s="69">
        <v>75.110842599999998</v>
      </c>
      <c r="V9" s="69">
        <v>77.184473199999999</v>
      </c>
      <c r="W9" s="69">
        <v>34.926898399999999</v>
      </c>
      <c r="X9" s="69">
        <v>38.538265000000003</v>
      </c>
      <c r="Y9" s="69">
        <v>38.236186199999999</v>
      </c>
      <c r="Z9" s="69">
        <v>51.851445599999998</v>
      </c>
      <c r="AA9" s="69">
        <v>32.517237199999997</v>
      </c>
      <c r="AB9" s="75">
        <v>39840.744915000003</v>
      </c>
      <c r="AC9" s="75">
        <v>247.06086400000001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4</v>
      </c>
      <c r="J10" s="53">
        <f t="shared" si="0"/>
        <v>5.0861335999999993</v>
      </c>
      <c r="K10" s="54">
        <f t="shared" si="1"/>
        <v>5.6512595555555558</v>
      </c>
      <c r="L10" s="40">
        <f t="shared" si="2"/>
        <v>50861336</v>
      </c>
      <c r="M10" s="40">
        <f t="shared" si="3"/>
        <v>16189928</v>
      </c>
      <c r="N10" s="55">
        <v>9607472</v>
      </c>
      <c r="O10" s="56">
        <v>50861336</v>
      </c>
      <c r="P10" s="56">
        <v>2216656</v>
      </c>
      <c r="Q10" s="56">
        <v>1606928</v>
      </c>
      <c r="R10" s="56">
        <v>12366344</v>
      </c>
      <c r="S10" s="56">
        <v>34576360</v>
      </c>
      <c r="T10" s="56">
        <v>95048</v>
      </c>
      <c r="U10" s="68">
        <v>68.524496400000004</v>
      </c>
      <c r="V10" s="68">
        <v>69.626297300000004</v>
      </c>
      <c r="W10" s="68">
        <v>36.052317799999997</v>
      </c>
      <c r="X10" s="68">
        <v>46.4464088</v>
      </c>
      <c r="Y10" s="68">
        <v>46.9360024</v>
      </c>
      <c r="Z10" s="68">
        <v>45.969788000000001</v>
      </c>
      <c r="AA10" s="68">
        <v>32.443430599999999</v>
      </c>
      <c r="AB10" s="74">
        <v>33136.314797999999</v>
      </c>
      <c r="AC10" s="74">
        <v>142.28730400000001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8</v>
      </c>
      <c r="J11" s="49">
        <f t="shared" si="0"/>
        <v>9.345706400000001</v>
      </c>
      <c r="K11" s="50">
        <f t="shared" si="1"/>
        <v>10.384118222222222</v>
      </c>
      <c r="L11" s="37">
        <f t="shared" si="2"/>
        <v>93457064</v>
      </c>
      <c r="M11" s="37">
        <f t="shared" si="3"/>
        <v>32530208</v>
      </c>
      <c r="N11" s="51">
        <v>19014000</v>
      </c>
      <c r="O11" s="52">
        <v>93457064</v>
      </c>
      <c r="P11" s="52">
        <v>7311200</v>
      </c>
      <c r="Q11" s="52">
        <v>2116000</v>
      </c>
      <c r="R11" s="52">
        <v>23103008</v>
      </c>
      <c r="S11" s="52">
        <v>60829512</v>
      </c>
      <c r="T11" s="52">
        <v>97344</v>
      </c>
      <c r="U11" s="67">
        <v>72.440930100000003</v>
      </c>
      <c r="V11" s="67">
        <v>74.082059200000003</v>
      </c>
      <c r="W11" s="67">
        <v>37.359821799999999</v>
      </c>
      <c r="X11" s="67">
        <v>47.192613700000003</v>
      </c>
      <c r="Y11" s="67">
        <v>47.777515200000003</v>
      </c>
      <c r="Z11" s="67">
        <v>48.306744899999998</v>
      </c>
      <c r="AA11" s="67">
        <v>34.647808499999996</v>
      </c>
      <c r="AB11" s="73">
        <v>43493.752873999998</v>
      </c>
      <c r="AC11" s="73">
        <v>139.053855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11</v>
      </c>
      <c r="J12" s="53">
        <f t="shared" si="0"/>
        <v>12.5056528</v>
      </c>
      <c r="K12" s="54">
        <f t="shared" si="1"/>
        <v>13.895169777777777</v>
      </c>
      <c r="L12" s="40">
        <f t="shared" si="2"/>
        <v>125056528</v>
      </c>
      <c r="M12" s="40">
        <f t="shared" si="3"/>
        <v>37956168</v>
      </c>
      <c r="N12" s="55">
        <v>20936112</v>
      </c>
      <c r="O12" s="56">
        <v>125056528</v>
      </c>
      <c r="P12" s="56">
        <v>9009744</v>
      </c>
      <c r="Q12" s="56">
        <v>2166368</v>
      </c>
      <c r="R12" s="56">
        <v>26780056</v>
      </c>
      <c r="S12" s="56">
        <v>87002616</v>
      </c>
      <c r="T12" s="56">
        <v>97744</v>
      </c>
      <c r="U12" s="68">
        <v>73.091240400000004</v>
      </c>
      <c r="V12" s="68">
        <v>74.833632499999993</v>
      </c>
      <c r="W12" s="68">
        <v>38.202871799999997</v>
      </c>
      <c r="X12" s="68">
        <v>47.483585400000003</v>
      </c>
      <c r="Y12" s="68">
        <v>48.091587099999998</v>
      </c>
      <c r="Z12" s="68">
        <v>48.644416499999998</v>
      </c>
      <c r="AA12" s="68">
        <v>35.267119700000002</v>
      </c>
      <c r="AB12" s="74">
        <v>45458.700169000003</v>
      </c>
      <c r="AC12" s="74">
        <v>132.71097499999999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14</v>
      </c>
      <c r="J13" s="49">
        <f t="shared" si="0"/>
        <v>15.740843999999999</v>
      </c>
      <c r="K13" s="50">
        <f t="shared" si="1"/>
        <v>17.489826666666666</v>
      </c>
      <c r="L13" s="37">
        <f t="shared" si="2"/>
        <v>157408440</v>
      </c>
      <c r="M13" s="37">
        <f t="shared" si="3"/>
        <v>40562912</v>
      </c>
      <c r="N13" s="51">
        <v>22856432</v>
      </c>
      <c r="O13" s="52">
        <v>157408440</v>
      </c>
      <c r="P13" s="52">
        <v>9744592</v>
      </c>
      <c r="Q13" s="52">
        <v>2291096</v>
      </c>
      <c r="R13" s="52">
        <v>28527224</v>
      </c>
      <c r="S13" s="52">
        <v>116747224</v>
      </c>
      <c r="T13" s="52">
        <v>98304</v>
      </c>
      <c r="U13" s="67">
        <v>73.458032099999997</v>
      </c>
      <c r="V13" s="67">
        <v>75.276541399999999</v>
      </c>
      <c r="W13" s="67">
        <v>38.952654899999999</v>
      </c>
      <c r="X13" s="67">
        <v>48.217405499999998</v>
      </c>
      <c r="Y13" s="67">
        <v>48.8689532</v>
      </c>
      <c r="Z13" s="67">
        <v>48.907044200000001</v>
      </c>
      <c r="AA13" s="67">
        <v>35.768470899999997</v>
      </c>
      <c r="AB13" s="73">
        <v>49332.945413000001</v>
      </c>
      <c r="AC13" s="73">
        <v>136.12607800000001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21</v>
      </c>
      <c r="J14" s="61">
        <f t="shared" si="0"/>
        <v>21.661861600000002</v>
      </c>
      <c r="K14" s="62">
        <f t="shared" si="1"/>
        <v>24.06873511111111</v>
      </c>
      <c r="L14" s="46">
        <f t="shared" si="2"/>
        <v>216618616</v>
      </c>
      <c r="M14" s="46">
        <f t="shared" si="3"/>
        <v>60385816</v>
      </c>
      <c r="N14" s="63">
        <v>35325088</v>
      </c>
      <c r="O14" s="64">
        <v>216618616</v>
      </c>
      <c r="P14" s="64">
        <v>19763984</v>
      </c>
      <c r="Q14" s="64">
        <v>2414576</v>
      </c>
      <c r="R14" s="64">
        <v>38207256</v>
      </c>
      <c r="S14" s="64">
        <v>156130064</v>
      </c>
      <c r="T14" s="64">
        <v>102736</v>
      </c>
      <c r="U14" s="70">
        <v>75.504767700000002</v>
      </c>
      <c r="V14" s="70">
        <v>77.790723700000001</v>
      </c>
      <c r="W14" s="70">
        <v>39.527057999999997</v>
      </c>
      <c r="X14" s="70">
        <v>48.6017504</v>
      </c>
      <c r="Y14" s="70">
        <v>49.268492600000002</v>
      </c>
      <c r="Z14" s="70">
        <v>50.207918800000002</v>
      </c>
      <c r="AA14" s="70">
        <v>36.830697899999997</v>
      </c>
      <c r="AB14" s="76">
        <v>60303.899316000003</v>
      </c>
      <c r="AC14" s="76">
        <v>132.716497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3.0031607999999999</v>
      </c>
      <c r="K15" s="50">
        <f t="shared" si="1"/>
        <v>2.5360245674675617</v>
      </c>
      <c r="L15" s="37">
        <f t="shared" si="2"/>
        <v>30031608</v>
      </c>
      <c r="M15" s="37">
        <f t="shared" si="3"/>
        <v>10961400</v>
      </c>
      <c r="N15" s="51">
        <v>22706496</v>
      </c>
      <c r="O15" s="52">
        <v>30031608</v>
      </c>
      <c r="P15" s="52">
        <v>6499416</v>
      </c>
      <c r="Q15" s="52">
        <v>0</v>
      </c>
      <c r="R15" s="52">
        <v>4461984</v>
      </c>
      <c r="S15" s="52">
        <v>18947880</v>
      </c>
      <c r="T15" s="52">
        <v>122328</v>
      </c>
      <c r="U15" s="67">
        <v>71.427568899999997</v>
      </c>
      <c r="V15" s="67">
        <v>72.796916699999997</v>
      </c>
      <c r="W15" s="67">
        <v>35.744199500000001</v>
      </c>
      <c r="X15" s="67">
        <v>43.324639500000004</v>
      </c>
      <c r="Y15" s="67">
        <v>45.154923699999998</v>
      </c>
      <c r="Z15" s="67">
        <v>45.780264500000001</v>
      </c>
      <c r="AA15" s="67">
        <v>32.527222899999998</v>
      </c>
      <c r="AB15" s="73">
        <v>24708.997050999998</v>
      </c>
      <c r="AC15" s="73">
        <v>155.15959799999999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4.9852055999999996</v>
      </c>
      <c r="K16" s="54">
        <f t="shared" si="1"/>
        <v>4.2097658824918289</v>
      </c>
      <c r="L16" s="40">
        <f t="shared" si="2"/>
        <v>49852056</v>
      </c>
      <c r="M16" s="40">
        <f t="shared" si="3"/>
        <v>13837536</v>
      </c>
      <c r="N16" s="55">
        <v>22706496</v>
      </c>
      <c r="O16" s="56">
        <v>49852056</v>
      </c>
      <c r="P16" s="56">
        <v>7079256</v>
      </c>
      <c r="Q16" s="56">
        <v>0</v>
      </c>
      <c r="R16" s="56">
        <v>6758280</v>
      </c>
      <c r="S16" s="56">
        <v>35891440</v>
      </c>
      <c r="T16" s="56">
        <v>123080</v>
      </c>
      <c r="U16" s="68">
        <v>73.137131600000004</v>
      </c>
      <c r="V16" s="68">
        <v>74.707334299999999</v>
      </c>
      <c r="W16" s="68">
        <v>38.5545993</v>
      </c>
      <c r="X16" s="68">
        <v>43.942225499999999</v>
      </c>
      <c r="Y16" s="68">
        <v>46.398297999999997</v>
      </c>
      <c r="Z16" s="68">
        <v>46.601970899999998</v>
      </c>
      <c r="AA16" s="68">
        <v>34.217377599999999</v>
      </c>
      <c r="AB16" s="74">
        <v>26228.671896</v>
      </c>
      <c r="AC16" s="74">
        <v>138.986773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9.6781728000000005</v>
      </c>
      <c r="K17" s="50">
        <f t="shared" si="1"/>
        <v>8.1727505197178658</v>
      </c>
      <c r="L17" s="37">
        <f t="shared" si="2"/>
        <v>96781728</v>
      </c>
      <c r="M17" s="37">
        <f t="shared" si="3"/>
        <v>26734024</v>
      </c>
      <c r="N17" s="51">
        <v>45429376</v>
      </c>
      <c r="O17" s="52">
        <v>96781728</v>
      </c>
      <c r="P17" s="52">
        <v>11912104</v>
      </c>
      <c r="Q17" s="52">
        <v>0</v>
      </c>
      <c r="R17" s="52">
        <v>14821920</v>
      </c>
      <c r="S17" s="52">
        <v>69926120</v>
      </c>
      <c r="T17" s="52">
        <v>121584</v>
      </c>
      <c r="U17" s="67">
        <v>77.849016399999996</v>
      </c>
      <c r="V17" s="67">
        <v>80.316645100000002</v>
      </c>
      <c r="W17" s="67">
        <v>41.2123615</v>
      </c>
      <c r="X17" s="67">
        <v>44.819400899999998</v>
      </c>
      <c r="Y17" s="67">
        <v>48.0636765</v>
      </c>
      <c r="Z17" s="67">
        <v>48.976230800000003</v>
      </c>
      <c r="AA17" s="67">
        <v>37.361348900000003</v>
      </c>
      <c r="AB17" s="73">
        <v>29944.319272000001</v>
      </c>
      <c r="AC17" s="73">
        <v>172.594391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13.762715999999999</v>
      </c>
      <c r="K18" s="54">
        <f t="shared" si="1"/>
        <v>11.621950410074243</v>
      </c>
      <c r="L18" s="40">
        <f t="shared" si="2"/>
        <v>137627160</v>
      </c>
      <c r="M18" s="40">
        <f t="shared" si="3"/>
        <v>36542624</v>
      </c>
      <c r="N18" s="55">
        <v>90872704</v>
      </c>
      <c r="O18" s="56">
        <v>137627160</v>
      </c>
      <c r="P18" s="56">
        <v>20518248</v>
      </c>
      <c r="Q18" s="56">
        <v>0</v>
      </c>
      <c r="R18" s="56">
        <v>16024376</v>
      </c>
      <c r="S18" s="56">
        <v>100963464</v>
      </c>
      <c r="T18" s="56">
        <v>121072</v>
      </c>
      <c r="U18" s="68">
        <v>79.167706600000002</v>
      </c>
      <c r="V18" s="68">
        <v>82.109997500000006</v>
      </c>
      <c r="W18" s="68">
        <v>42.215220100000003</v>
      </c>
      <c r="X18" s="68">
        <v>45.506421500000002</v>
      </c>
      <c r="Y18" s="68">
        <v>49.191777000000002</v>
      </c>
      <c r="Z18" s="68">
        <v>49.925468600000002</v>
      </c>
      <c r="AA18" s="68">
        <v>38.493575300000003</v>
      </c>
      <c r="AB18" s="74">
        <v>34456.876350999999</v>
      </c>
      <c r="AC18" s="74">
        <v>211.49758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20.590418399999997</v>
      </c>
      <c r="K19" s="58">
        <f t="shared" si="1"/>
        <v>17.387616046678595</v>
      </c>
      <c r="L19" s="43">
        <f t="shared" si="2"/>
        <v>205904184</v>
      </c>
      <c r="M19" s="43">
        <f t="shared" si="3"/>
        <v>38577808</v>
      </c>
      <c r="N19" s="59">
        <v>90872704</v>
      </c>
      <c r="O19" s="60">
        <v>205904184</v>
      </c>
      <c r="P19" s="60">
        <v>20518248</v>
      </c>
      <c r="Q19" s="60">
        <v>0</v>
      </c>
      <c r="R19" s="60">
        <v>18059560</v>
      </c>
      <c r="S19" s="60">
        <v>167204656</v>
      </c>
      <c r="T19" s="60">
        <v>121720</v>
      </c>
      <c r="U19" s="69">
        <v>79.519918099999998</v>
      </c>
      <c r="V19" s="69">
        <v>82.6341319</v>
      </c>
      <c r="W19" s="69">
        <v>43.255271999999998</v>
      </c>
      <c r="X19" s="69">
        <v>46.453829300000002</v>
      </c>
      <c r="Y19" s="69">
        <v>50.4779847</v>
      </c>
      <c r="Z19" s="69">
        <v>50.126500800000002</v>
      </c>
      <c r="AA19" s="69">
        <v>39.048255900000001</v>
      </c>
      <c r="AB19" s="75">
        <v>36679.23156</v>
      </c>
      <c r="AC19" s="75">
        <v>242.775665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2.8777543999999997</v>
      </c>
      <c r="K20" s="54">
        <f t="shared" si="1"/>
        <v>2.4362787618448554</v>
      </c>
      <c r="L20" s="40">
        <f t="shared" si="2"/>
        <v>28777544</v>
      </c>
      <c r="M20" s="40">
        <f t="shared" si="3"/>
        <v>10562376</v>
      </c>
      <c r="N20" s="55">
        <v>22662464</v>
      </c>
      <c r="O20" s="56">
        <v>28777544</v>
      </c>
      <c r="P20" s="56">
        <v>6350840</v>
      </c>
      <c r="Q20" s="56">
        <v>0</v>
      </c>
      <c r="R20" s="56">
        <v>4211536</v>
      </c>
      <c r="S20" s="56">
        <v>18093184</v>
      </c>
      <c r="T20" s="56">
        <v>121984</v>
      </c>
      <c r="U20" s="68">
        <v>71.633762300000001</v>
      </c>
      <c r="V20" s="68">
        <v>73.039473200000003</v>
      </c>
      <c r="W20" s="68">
        <v>34.685347</v>
      </c>
      <c r="X20" s="68">
        <v>42.794694100000001</v>
      </c>
      <c r="Y20" s="68">
        <v>44.168909300000003</v>
      </c>
      <c r="Z20" s="68">
        <v>46.810497599999998</v>
      </c>
      <c r="AA20" s="68">
        <v>31.695909</v>
      </c>
      <c r="AB20" s="74">
        <v>9362.2214619999995</v>
      </c>
      <c r="AC20" s="74">
        <v>52.404789000000001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4.8662576</v>
      </c>
      <c r="K21" s="50">
        <f t="shared" si="1"/>
        <v>4.1197261449921223</v>
      </c>
      <c r="L21" s="37">
        <f t="shared" si="2"/>
        <v>48662576</v>
      </c>
      <c r="M21" s="37">
        <f t="shared" si="3"/>
        <v>11584200</v>
      </c>
      <c r="N21" s="51">
        <v>22662464</v>
      </c>
      <c r="O21" s="52">
        <v>48662576</v>
      </c>
      <c r="P21" s="52">
        <v>6921152</v>
      </c>
      <c r="Q21" s="52">
        <v>0</v>
      </c>
      <c r="R21" s="52">
        <v>4663048</v>
      </c>
      <c r="S21" s="52">
        <v>36954120</v>
      </c>
      <c r="T21" s="52">
        <v>124256</v>
      </c>
      <c r="U21" s="67">
        <v>72.096004500000006</v>
      </c>
      <c r="V21" s="67">
        <v>73.559119499999994</v>
      </c>
      <c r="W21" s="67">
        <v>37.524355200000002</v>
      </c>
      <c r="X21" s="67">
        <v>43.967125699999997</v>
      </c>
      <c r="Y21" s="67">
        <v>46.030077300000002</v>
      </c>
      <c r="Z21" s="67">
        <v>47.042089900000001</v>
      </c>
      <c r="AA21" s="67">
        <v>32.978886000000003</v>
      </c>
      <c r="AB21" s="73">
        <v>25308.209815999999</v>
      </c>
      <c r="AC21" s="73">
        <v>165.115376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9.6574888000000012</v>
      </c>
      <c r="K22" s="54">
        <f t="shared" si="1"/>
        <v>8.1759356726878991</v>
      </c>
      <c r="L22" s="40">
        <f t="shared" si="2"/>
        <v>96574888</v>
      </c>
      <c r="M22" s="40">
        <f t="shared" si="3"/>
        <v>24935080</v>
      </c>
      <c r="N22" s="55">
        <v>45333376</v>
      </c>
      <c r="O22" s="56">
        <v>96574888</v>
      </c>
      <c r="P22" s="56">
        <v>10590808</v>
      </c>
      <c r="Q22" s="56">
        <v>0</v>
      </c>
      <c r="R22" s="56">
        <v>14344272</v>
      </c>
      <c r="S22" s="56">
        <v>71518288</v>
      </c>
      <c r="T22" s="56">
        <v>121520</v>
      </c>
      <c r="U22" s="68">
        <v>77.960514000000003</v>
      </c>
      <c r="V22" s="68">
        <v>80.586501900000002</v>
      </c>
      <c r="W22" s="68">
        <v>40.4820834</v>
      </c>
      <c r="X22" s="68">
        <v>45.208207399999999</v>
      </c>
      <c r="Y22" s="68">
        <v>48.098022499999999</v>
      </c>
      <c r="Z22" s="68">
        <v>50.017004499999999</v>
      </c>
      <c r="AA22" s="68">
        <v>36.798884800000003</v>
      </c>
      <c r="AB22" s="74">
        <v>29044.092496000001</v>
      </c>
      <c r="AC22" s="74">
        <v>185.468208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13.667245599999999</v>
      </c>
      <c r="K23" s="50">
        <f t="shared" si="1"/>
        <v>11.570556607679082</v>
      </c>
      <c r="L23" s="37">
        <f t="shared" si="2"/>
        <v>136672456</v>
      </c>
      <c r="M23" s="37">
        <f t="shared" si="3"/>
        <v>35288160</v>
      </c>
      <c r="N23" s="51">
        <v>90678208</v>
      </c>
      <c r="O23" s="52">
        <v>136672456</v>
      </c>
      <c r="P23" s="52">
        <v>22342752</v>
      </c>
      <c r="Q23" s="52">
        <v>0</v>
      </c>
      <c r="R23" s="52">
        <v>12945408</v>
      </c>
      <c r="S23" s="52">
        <v>101261376</v>
      </c>
      <c r="T23" s="52">
        <v>122920</v>
      </c>
      <c r="U23" s="67">
        <v>78.858752999999993</v>
      </c>
      <c r="V23" s="67">
        <v>81.819892699999997</v>
      </c>
      <c r="W23" s="67">
        <v>41.494518399999997</v>
      </c>
      <c r="X23" s="67">
        <v>45.722755399999997</v>
      </c>
      <c r="Y23" s="67">
        <v>48.835010599999997</v>
      </c>
      <c r="Z23" s="67">
        <v>50.797749199999998</v>
      </c>
      <c r="AA23" s="67">
        <v>37.740105100000001</v>
      </c>
      <c r="AB23" s="73">
        <v>33914.058276000003</v>
      </c>
      <c r="AC23" s="73">
        <v>219.65316799999999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20.373498399999999</v>
      </c>
      <c r="K24" s="62">
        <f t="shared" si="1"/>
        <v>17.248004713814407</v>
      </c>
      <c r="L24" s="46">
        <f t="shared" si="2"/>
        <v>203734984</v>
      </c>
      <c r="M24" s="46">
        <f t="shared" si="3"/>
        <v>37278648</v>
      </c>
      <c r="N24" s="63">
        <v>90678208</v>
      </c>
      <c r="O24" s="64">
        <v>203734984</v>
      </c>
      <c r="P24" s="64">
        <v>20147384</v>
      </c>
      <c r="Q24" s="64">
        <v>0</v>
      </c>
      <c r="R24" s="64">
        <v>17131264</v>
      </c>
      <c r="S24" s="64">
        <v>166336200</v>
      </c>
      <c r="T24" s="64">
        <v>120136</v>
      </c>
      <c r="U24" s="70">
        <v>79.551688200000001</v>
      </c>
      <c r="V24" s="70">
        <v>82.882459999999995</v>
      </c>
      <c r="W24" s="70">
        <v>42.500021099999998</v>
      </c>
      <c r="X24" s="70">
        <v>46.793226500000003</v>
      </c>
      <c r="Y24" s="70">
        <v>50.1823409</v>
      </c>
      <c r="Z24" s="70">
        <v>51.180945299999998</v>
      </c>
      <c r="AA24" s="70">
        <v>38.510570199999997</v>
      </c>
      <c r="AB24" s="76">
        <v>36086.415286000003</v>
      </c>
      <c r="AC24" s="76">
        <v>247.847553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4.1910679999999996</v>
      </c>
      <c r="K25" s="50">
        <f t="shared" si="1"/>
        <v>3.4925566666666668</v>
      </c>
      <c r="L25" s="37">
        <f t="shared" si="2"/>
        <v>41910680</v>
      </c>
      <c r="M25" s="37">
        <f t="shared" si="3"/>
        <v>11274200</v>
      </c>
      <c r="N25" s="51">
        <v>23020672</v>
      </c>
      <c r="O25" s="52">
        <v>41910680</v>
      </c>
      <c r="P25" s="52">
        <v>6293944</v>
      </c>
      <c r="Q25" s="52">
        <v>0</v>
      </c>
      <c r="R25" s="52">
        <v>4980256</v>
      </c>
      <c r="S25" s="52">
        <v>30514456</v>
      </c>
      <c r="T25" s="52">
        <v>122024</v>
      </c>
      <c r="U25" s="67">
        <v>74.382304099999999</v>
      </c>
      <c r="V25" s="67">
        <v>76.267008899999993</v>
      </c>
      <c r="W25" s="67">
        <v>31.198030800000002</v>
      </c>
      <c r="X25" s="67">
        <v>39.931728399999997</v>
      </c>
      <c r="Y25" s="67">
        <v>36.630543099999997</v>
      </c>
      <c r="Z25" s="67">
        <v>45.096712500000002</v>
      </c>
      <c r="AA25" s="67">
        <v>28.330954200000001</v>
      </c>
      <c r="AB25" s="73">
        <v>10798.64349</v>
      </c>
      <c r="AC25" s="73">
        <v>47.630079000000002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ref="BP25:BT29" si="12">IF(AND(AK25=0,AK25=0),0,AK25/P25-1)</f>
        <v>0</v>
      </c>
      <c r="BQ25" s="6">
        <f t="shared" si="12"/>
        <v>0</v>
      </c>
      <c r="BR25" s="6">
        <f t="shared" si="12"/>
        <v>0</v>
      </c>
      <c r="BS25" s="6">
        <f t="shared" si="12"/>
        <v>0</v>
      </c>
      <c r="BT25" s="6">
        <f t="shared" si="12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8.1759559999999993</v>
      </c>
      <c r="K26" s="54">
        <f t="shared" si="1"/>
        <v>6.813296666666667</v>
      </c>
      <c r="L26" s="40">
        <f t="shared" si="2"/>
        <v>81759560</v>
      </c>
      <c r="M26" s="40">
        <f t="shared" si="3"/>
        <v>17858512</v>
      </c>
      <c r="N26" s="55">
        <v>46063040</v>
      </c>
      <c r="O26" s="56">
        <v>81759560</v>
      </c>
      <c r="P26" s="56">
        <v>10589840</v>
      </c>
      <c r="Q26" s="56">
        <v>0</v>
      </c>
      <c r="R26" s="56">
        <v>7268672</v>
      </c>
      <c r="S26" s="56">
        <v>63777912</v>
      </c>
      <c r="T26" s="56">
        <v>123136</v>
      </c>
      <c r="U26" s="68">
        <v>77.290721899999994</v>
      </c>
      <c r="V26" s="68">
        <v>79.7671955</v>
      </c>
      <c r="W26" s="68">
        <v>33.500752800000001</v>
      </c>
      <c r="X26" s="68">
        <v>41.835040200000002</v>
      </c>
      <c r="Y26" s="68">
        <v>39.458032899999999</v>
      </c>
      <c r="Z26" s="68">
        <v>46.653028800000001</v>
      </c>
      <c r="AA26" s="68">
        <v>31.052650400000001</v>
      </c>
      <c r="AB26" s="74">
        <v>29338.010597</v>
      </c>
      <c r="AC26" s="74">
        <v>168.18722199999999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12"/>
        <v>0</v>
      </c>
      <c r="BQ26" s="10">
        <f t="shared" si="12"/>
        <v>0</v>
      </c>
      <c r="BR26" s="10">
        <f t="shared" si="12"/>
        <v>0</v>
      </c>
      <c r="BS26" s="10">
        <f t="shared" si="12"/>
        <v>0</v>
      </c>
      <c r="BT26" s="10">
        <f t="shared" si="12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12.004065599999999</v>
      </c>
      <c r="K27" s="50">
        <f t="shared" si="1"/>
        <v>10.003387999999999</v>
      </c>
      <c r="L27" s="37">
        <f t="shared" si="2"/>
        <v>120040656</v>
      </c>
      <c r="M27" s="37">
        <f t="shared" si="3"/>
        <v>26201672</v>
      </c>
      <c r="N27" s="51">
        <v>92146688</v>
      </c>
      <c r="O27" s="52">
        <v>120040656</v>
      </c>
      <c r="P27" s="52">
        <v>20110832</v>
      </c>
      <c r="Q27" s="52">
        <v>0</v>
      </c>
      <c r="R27" s="52">
        <v>6090840</v>
      </c>
      <c r="S27" s="52">
        <v>93720560</v>
      </c>
      <c r="T27" s="52">
        <v>118424</v>
      </c>
      <c r="U27" s="67">
        <v>79.122225700000001</v>
      </c>
      <c r="V27" s="67">
        <v>82.067495199999996</v>
      </c>
      <c r="W27" s="67">
        <v>34.568728499999999</v>
      </c>
      <c r="X27" s="67">
        <v>43.209819600000003</v>
      </c>
      <c r="Y27" s="67">
        <v>41.279028400000001</v>
      </c>
      <c r="Z27" s="67">
        <v>47.938276700000003</v>
      </c>
      <c r="AA27" s="67">
        <v>32.318621299999997</v>
      </c>
      <c r="AB27" s="73">
        <v>88991.887396000006</v>
      </c>
      <c r="AC27" s="73">
        <v>582.58200699999998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12"/>
        <v>0</v>
      </c>
      <c r="BQ27" s="6">
        <f t="shared" si="12"/>
        <v>0</v>
      </c>
      <c r="BR27" s="6">
        <f t="shared" si="12"/>
        <v>0</v>
      </c>
      <c r="BS27" s="6">
        <f t="shared" si="12"/>
        <v>0</v>
      </c>
      <c r="BT27" s="6">
        <f t="shared" si="12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17.171364000000001</v>
      </c>
      <c r="K28" s="54">
        <f t="shared" si="1"/>
        <v>14.309469999999999</v>
      </c>
      <c r="L28" s="40">
        <f t="shared" si="2"/>
        <v>171713640</v>
      </c>
      <c r="M28" s="40">
        <f t="shared" si="3"/>
        <v>45028936</v>
      </c>
      <c r="N28" s="55">
        <v>184309952</v>
      </c>
      <c r="O28" s="56">
        <v>171713640</v>
      </c>
      <c r="P28" s="56">
        <v>39367904</v>
      </c>
      <c r="Q28" s="56">
        <v>0</v>
      </c>
      <c r="R28" s="56">
        <v>5661032</v>
      </c>
      <c r="S28" s="56">
        <v>126569952</v>
      </c>
      <c r="T28" s="56">
        <v>114752</v>
      </c>
      <c r="U28" s="68">
        <v>80.758384699999993</v>
      </c>
      <c r="V28" s="68">
        <v>84.447029999999998</v>
      </c>
      <c r="W28" s="68">
        <v>35.338951899999998</v>
      </c>
      <c r="X28" s="68">
        <v>43.552793200000004</v>
      </c>
      <c r="Y28" s="68">
        <v>41.7589489</v>
      </c>
      <c r="Z28" s="68">
        <v>49.371232200000001</v>
      </c>
      <c r="AA28" s="68">
        <v>33.547072399999998</v>
      </c>
      <c r="AB28" s="74">
        <v>98792.746419000003</v>
      </c>
      <c r="AC28" s="74">
        <v>657.43102499999998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12"/>
        <v>0</v>
      </c>
      <c r="BQ28" s="10">
        <f t="shared" si="12"/>
        <v>0</v>
      </c>
      <c r="BR28" s="10">
        <f t="shared" si="12"/>
        <v>0</v>
      </c>
      <c r="BS28" s="10">
        <f t="shared" si="12"/>
        <v>0</v>
      </c>
      <c r="BT28" s="10">
        <f t="shared" si="12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25.4884728</v>
      </c>
      <c r="K29" s="58">
        <f t="shared" si="1"/>
        <v>21.240393999999998</v>
      </c>
      <c r="L29" s="43">
        <f t="shared" si="2"/>
        <v>254884728</v>
      </c>
      <c r="M29" s="43">
        <f t="shared" si="3"/>
        <v>93370960</v>
      </c>
      <c r="N29" s="59">
        <v>138237936</v>
      </c>
      <c r="O29" s="60">
        <v>254884728</v>
      </c>
      <c r="P29" s="60">
        <v>85185952</v>
      </c>
      <c r="Q29" s="60">
        <v>0</v>
      </c>
      <c r="R29" s="60">
        <v>8185008</v>
      </c>
      <c r="S29" s="60">
        <v>161411296</v>
      </c>
      <c r="T29" s="60">
        <v>102472</v>
      </c>
      <c r="U29" s="69">
        <v>85.152142299999994</v>
      </c>
      <c r="V29" s="69">
        <v>90.954215300000001</v>
      </c>
      <c r="W29" s="69">
        <v>36.054105900000003</v>
      </c>
      <c r="X29" s="69">
        <v>43.881889800000003</v>
      </c>
      <c r="Y29" s="69">
        <v>42.2221653</v>
      </c>
      <c r="Z29" s="69">
        <v>53.382747999999999</v>
      </c>
      <c r="AA29" s="69">
        <v>35.276370900000003</v>
      </c>
      <c r="AB29" s="75">
        <v>127663.08996100001</v>
      </c>
      <c r="AC29" s="75">
        <v>508.49090000000001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12"/>
        <v>0</v>
      </c>
      <c r="BQ29" s="85">
        <f t="shared" si="12"/>
        <v>0</v>
      </c>
      <c r="BR29" s="85">
        <f t="shared" si="12"/>
        <v>0</v>
      </c>
      <c r="BS29" s="85">
        <f t="shared" si="12"/>
        <v>0</v>
      </c>
      <c r="BT29" s="85">
        <f t="shared" si="12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1.9928264</v>
      </c>
      <c r="K30" s="54">
        <f t="shared" si="1"/>
        <v>3.3226764998447726</v>
      </c>
      <c r="L30" s="40">
        <f t="shared" si="2"/>
        <v>19928264</v>
      </c>
      <c r="M30" s="40">
        <f t="shared" si="3"/>
        <v>5258064</v>
      </c>
      <c r="N30" s="55">
        <v>11249536</v>
      </c>
      <c r="O30" s="56">
        <v>19928264</v>
      </c>
      <c r="P30" s="56">
        <v>2261232</v>
      </c>
      <c r="Q30" s="56">
        <v>245888</v>
      </c>
      <c r="R30" s="56">
        <v>2750944</v>
      </c>
      <c r="S30" s="56">
        <v>14609224</v>
      </c>
      <c r="T30" s="56">
        <v>60976</v>
      </c>
      <c r="U30" s="68">
        <v>73.630081200000006</v>
      </c>
      <c r="V30" s="68">
        <v>75.369535900000002</v>
      </c>
      <c r="W30" s="68">
        <v>38.210568700000003</v>
      </c>
      <c r="X30" s="68">
        <v>44.356045600000002</v>
      </c>
      <c r="Y30" s="68">
        <v>42.9973642</v>
      </c>
      <c r="Z30" s="68">
        <v>48.428464300000002</v>
      </c>
      <c r="AA30" s="68">
        <v>34.767455099999999</v>
      </c>
      <c r="AB30" s="74">
        <v>11674.075378</v>
      </c>
      <c r="AC30" s="74">
        <v>72.002269999999996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4.0838824000000002</v>
      </c>
      <c r="K31" s="50">
        <f t="shared" si="1"/>
        <v>6.8091330376844015</v>
      </c>
      <c r="L31" s="37">
        <f t="shared" si="2"/>
        <v>40838824</v>
      </c>
      <c r="M31" s="37">
        <f t="shared" si="3"/>
        <v>8765048</v>
      </c>
      <c r="N31" s="51">
        <v>5691376</v>
      </c>
      <c r="O31" s="52">
        <v>40838824</v>
      </c>
      <c r="P31" s="52">
        <v>3875280</v>
      </c>
      <c r="Q31" s="52">
        <v>356936</v>
      </c>
      <c r="R31" s="52">
        <v>4532832</v>
      </c>
      <c r="S31" s="52">
        <v>32019432</v>
      </c>
      <c r="T31" s="52">
        <v>54344</v>
      </c>
      <c r="U31" s="67">
        <v>76.265916599999997</v>
      </c>
      <c r="V31" s="67">
        <v>78.429480100000006</v>
      </c>
      <c r="W31" s="67">
        <v>40.484016799999999</v>
      </c>
      <c r="X31" s="67">
        <v>45.791525800000002</v>
      </c>
      <c r="Y31" s="67">
        <v>44.633821099999999</v>
      </c>
      <c r="Z31" s="67">
        <v>49.572316600000001</v>
      </c>
      <c r="AA31" s="67">
        <v>36.444217399999999</v>
      </c>
      <c r="AB31" s="73">
        <v>14164.889875999999</v>
      </c>
      <c r="AC31" s="73">
        <v>64.246480000000005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6.0705920000000004</v>
      </c>
      <c r="K32" s="54">
        <f t="shared" si="1"/>
        <v>10.12161088318866</v>
      </c>
      <c r="L32" s="40">
        <f t="shared" si="2"/>
        <v>60705920</v>
      </c>
      <c r="M32" s="40">
        <f t="shared" si="3"/>
        <v>16914776</v>
      </c>
      <c r="N32" s="55">
        <v>22963840</v>
      </c>
      <c r="O32" s="56">
        <v>60705920</v>
      </c>
      <c r="P32" s="56">
        <v>11598656</v>
      </c>
      <c r="Q32" s="56">
        <v>869456</v>
      </c>
      <c r="R32" s="56">
        <v>4446664</v>
      </c>
      <c r="S32" s="56">
        <v>43738176</v>
      </c>
      <c r="T32" s="56">
        <v>52968</v>
      </c>
      <c r="U32" s="68">
        <v>79.732635999999999</v>
      </c>
      <c r="V32" s="68">
        <v>82.887640200000007</v>
      </c>
      <c r="W32" s="68">
        <v>41.572343600000004</v>
      </c>
      <c r="X32" s="68">
        <v>46.546014300000003</v>
      </c>
      <c r="Y32" s="68">
        <v>45.594505599999998</v>
      </c>
      <c r="Z32" s="68">
        <v>52.072374099999998</v>
      </c>
      <c r="AA32" s="68">
        <v>38.764899700000001</v>
      </c>
      <c r="AB32" s="74">
        <v>49878.252797000001</v>
      </c>
      <c r="AC32" s="74">
        <v>252.514309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8.4668711999999999</v>
      </c>
      <c r="K33" s="50">
        <f t="shared" si="1"/>
        <v>14.116971735948756</v>
      </c>
      <c r="L33" s="37">
        <f t="shared" si="2"/>
        <v>84668712</v>
      </c>
      <c r="M33" s="37">
        <f t="shared" si="3"/>
        <v>21850448</v>
      </c>
      <c r="N33" s="51">
        <v>22963840</v>
      </c>
      <c r="O33" s="52">
        <v>84668712</v>
      </c>
      <c r="P33" s="52">
        <v>11598656</v>
      </c>
      <c r="Q33" s="52">
        <v>869456</v>
      </c>
      <c r="R33" s="52">
        <v>9382336</v>
      </c>
      <c r="S33" s="52">
        <v>62764096</v>
      </c>
      <c r="T33" s="52">
        <v>54168</v>
      </c>
      <c r="U33" s="67">
        <v>81.052685999999994</v>
      </c>
      <c r="V33" s="67">
        <v>85.104034900000002</v>
      </c>
      <c r="W33" s="67">
        <v>42.445962199999997</v>
      </c>
      <c r="X33" s="67">
        <v>47.637386800000002</v>
      </c>
      <c r="Y33" s="67">
        <v>46.793233700000002</v>
      </c>
      <c r="Z33" s="67">
        <v>53.045777700000002</v>
      </c>
      <c r="AA33" s="67">
        <v>39.9206577</v>
      </c>
      <c r="AB33" s="73">
        <v>52010.521282000002</v>
      </c>
      <c r="AC33" s="73">
        <v>256.11940600000003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11.790651199999999</v>
      </c>
      <c r="K34" s="62">
        <f t="shared" si="1"/>
        <v>19.658771913151377</v>
      </c>
      <c r="L34" s="46">
        <f t="shared" si="2"/>
        <v>117906512</v>
      </c>
      <c r="M34" s="46">
        <f t="shared" si="3"/>
        <v>32505928</v>
      </c>
      <c r="N34" s="63">
        <v>57516368</v>
      </c>
      <c r="O34" s="64">
        <v>117906512</v>
      </c>
      <c r="P34" s="64">
        <v>26579040</v>
      </c>
      <c r="Q34" s="64">
        <v>4258864</v>
      </c>
      <c r="R34" s="64">
        <v>1668024</v>
      </c>
      <c r="S34" s="64">
        <v>85348912</v>
      </c>
      <c r="T34" s="64">
        <v>51672</v>
      </c>
      <c r="U34" s="70">
        <v>83.999206700000002</v>
      </c>
      <c r="V34" s="70">
        <v>88.716287100000002</v>
      </c>
      <c r="W34" s="70">
        <v>43.405236199999997</v>
      </c>
      <c r="X34" s="70">
        <v>48.3418244</v>
      </c>
      <c r="Y34" s="70">
        <v>47.5998862</v>
      </c>
      <c r="Z34" s="70">
        <v>55.644912699999999</v>
      </c>
      <c r="AA34" s="70">
        <v>41.973339000000003</v>
      </c>
      <c r="AB34" s="76">
        <v>66003.965930000006</v>
      </c>
      <c r="AC34" s="76">
        <v>279.73008600000003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3</v>
      </c>
      <c r="J35" s="49">
        <f t="shared" si="0"/>
        <v>2.6609384</v>
      </c>
      <c r="K35" s="50">
        <f t="shared" si="1"/>
        <v>2.956598222222222</v>
      </c>
      <c r="L35" s="37">
        <f t="shared" si="2"/>
        <v>26609384</v>
      </c>
      <c r="M35" s="37">
        <f t="shared" si="3"/>
        <v>6841744</v>
      </c>
      <c r="N35" s="51">
        <v>34433344</v>
      </c>
      <c r="O35" s="52">
        <v>26609384</v>
      </c>
      <c r="P35" s="52">
        <v>3367752</v>
      </c>
      <c r="Q35" s="52">
        <v>817808</v>
      </c>
      <c r="R35" s="52">
        <v>2656184</v>
      </c>
      <c r="S35" s="52">
        <v>19653232</v>
      </c>
      <c r="T35" s="52">
        <v>114408</v>
      </c>
      <c r="U35" s="67">
        <v>73.4160337</v>
      </c>
      <c r="V35" s="67">
        <v>75.156927499999995</v>
      </c>
      <c r="W35" s="67">
        <v>30.240881699999999</v>
      </c>
      <c r="X35" s="67">
        <v>38.975788899999998</v>
      </c>
      <c r="Y35" s="67">
        <v>39.007814099999997</v>
      </c>
      <c r="Z35" s="67">
        <v>48.630919200000001</v>
      </c>
      <c r="AA35" s="67">
        <v>29.399853499999999</v>
      </c>
      <c r="AB35" s="73">
        <v>67333.292663999993</v>
      </c>
      <c r="AC35" s="73">
        <v>486.706704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4</v>
      </c>
      <c r="J36" s="53">
        <f t="shared" si="0"/>
        <v>3.7126512000000003</v>
      </c>
      <c r="K36" s="54">
        <f t="shared" si="1"/>
        <v>4.1251680000000004</v>
      </c>
      <c r="L36" s="40">
        <f t="shared" si="2"/>
        <v>37126512</v>
      </c>
      <c r="M36" s="40">
        <f t="shared" si="3"/>
        <v>8313224</v>
      </c>
      <c r="N36" s="55">
        <v>68916416</v>
      </c>
      <c r="O36" s="56">
        <v>37126512</v>
      </c>
      <c r="P36" s="56">
        <v>5687184</v>
      </c>
      <c r="Q36" s="56">
        <v>1439152</v>
      </c>
      <c r="R36" s="56">
        <v>1186888</v>
      </c>
      <c r="S36" s="56">
        <v>28699112</v>
      </c>
      <c r="T36" s="56">
        <v>114176</v>
      </c>
      <c r="U36" s="68">
        <v>73.761887099999996</v>
      </c>
      <c r="V36" s="68">
        <v>75.519570400000006</v>
      </c>
      <c r="W36" s="68">
        <v>30.699057700000001</v>
      </c>
      <c r="X36" s="68">
        <v>39.081950499999998</v>
      </c>
      <c r="Y36" s="68">
        <v>39.167877599999997</v>
      </c>
      <c r="Z36" s="68">
        <v>48.926101000000003</v>
      </c>
      <c r="AA36" s="68">
        <v>29.731115800000001</v>
      </c>
      <c r="AB36" s="74">
        <v>71399.361302000005</v>
      </c>
      <c r="AC36" s="74">
        <v>513.72688600000004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6</v>
      </c>
      <c r="J37" s="49">
        <f t="shared" si="0"/>
        <v>5.5190552000000004</v>
      </c>
      <c r="K37" s="50">
        <f t="shared" si="1"/>
        <v>6.1322835555555555</v>
      </c>
      <c r="L37" s="37">
        <f t="shared" si="2"/>
        <v>55190552</v>
      </c>
      <c r="M37" s="37">
        <f t="shared" si="3"/>
        <v>11319336</v>
      </c>
      <c r="N37" s="51">
        <v>68916416</v>
      </c>
      <c r="O37" s="52">
        <v>55190552</v>
      </c>
      <c r="P37" s="52">
        <v>5687184</v>
      </c>
      <c r="Q37" s="52">
        <v>1439152</v>
      </c>
      <c r="R37" s="52">
        <v>4193000</v>
      </c>
      <c r="S37" s="52">
        <v>43755168</v>
      </c>
      <c r="T37" s="52">
        <v>116048</v>
      </c>
      <c r="U37" s="67">
        <v>76.524777</v>
      </c>
      <c r="V37" s="67">
        <v>78.785826799999995</v>
      </c>
      <c r="W37" s="67">
        <v>31.327154700000001</v>
      </c>
      <c r="X37" s="67">
        <v>39.175425799999999</v>
      </c>
      <c r="Y37" s="67">
        <v>39.313124799999997</v>
      </c>
      <c r="Z37" s="67">
        <v>50.414450600000002</v>
      </c>
      <c r="AA37" s="67">
        <v>30.514772700000002</v>
      </c>
      <c r="AB37" s="73">
        <v>72770.386555999998</v>
      </c>
      <c r="AC37" s="73">
        <v>510.38457199999999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8</v>
      </c>
      <c r="J38" s="53">
        <f t="shared" si="0"/>
        <v>7.4504320000000002</v>
      </c>
      <c r="K38" s="54">
        <f t="shared" si="1"/>
        <v>8.2782577777777782</v>
      </c>
      <c r="L38" s="40">
        <f t="shared" si="2"/>
        <v>74504320</v>
      </c>
      <c r="M38" s="40">
        <f t="shared" si="3"/>
        <v>18252112</v>
      </c>
      <c r="N38" s="55">
        <v>137868096</v>
      </c>
      <c r="O38" s="56">
        <v>74504320</v>
      </c>
      <c r="P38" s="56">
        <v>11008784</v>
      </c>
      <c r="Q38" s="56">
        <v>3482064</v>
      </c>
      <c r="R38" s="56">
        <v>3761264</v>
      </c>
      <c r="S38" s="56">
        <v>56140104</v>
      </c>
      <c r="T38" s="56">
        <v>112104</v>
      </c>
      <c r="U38" s="68">
        <v>78.9544602</v>
      </c>
      <c r="V38" s="68">
        <v>81.845604300000005</v>
      </c>
      <c r="W38" s="68">
        <v>31.779832800000001</v>
      </c>
      <c r="X38" s="68">
        <v>39.268583100000001</v>
      </c>
      <c r="Y38" s="68">
        <v>39.487376900000001</v>
      </c>
      <c r="Z38" s="68">
        <v>51.782623100000002</v>
      </c>
      <c r="AA38" s="68">
        <v>31.116455899999998</v>
      </c>
      <c r="AB38" s="74">
        <v>76152.942702999993</v>
      </c>
      <c r="AC38" s="74">
        <v>548.71914000000004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12</v>
      </c>
      <c r="J39" s="57">
        <f t="shared" si="0"/>
        <v>11.3947784</v>
      </c>
      <c r="K39" s="58">
        <f t="shared" si="1"/>
        <v>12.66086488888889</v>
      </c>
      <c r="L39" s="43">
        <f t="shared" si="2"/>
        <v>113947784</v>
      </c>
      <c r="M39" s="43">
        <f t="shared" si="3"/>
        <v>24751512</v>
      </c>
      <c r="N39" s="59">
        <v>206807104</v>
      </c>
      <c r="O39" s="60">
        <v>113947784</v>
      </c>
      <c r="P39" s="60">
        <v>16713448</v>
      </c>
      <c r="Q39" s="60">
        <v>4693272</v>
      </c>
      <c r="R39" s="60">
        <v>3344792</v>
      </c>
      <c r="S39" s="60">
        <v>89086416</v>
      </c>
      <c r="T39" s="60">
        <v>109856</v>
      </c>
      <c r="U39" s="69">
        <v>80.371525099999999</v>
      </c>
      <c r="V39" s="69">
        <v>83.761094200000002</v>
      </c>
      <c r="W39" s="69">
        <v>32.4896745</v>
      </c>
      <c r="X39" s="69">
        <v>39.343144700000003</v>
      </c>
      <c r="Y39" s="69">
        <v>39.612588600000002</v>
      </c>
      <c r="Z39" s="69">
        <v>52.626633699999999</v>
      </c>
      <c r="AA39" s="69">
        <v>31.8321398</v>
      </c>
      <c r="AB39" s="75">
        <v>88213.030291000003</v>
      </c>
      <c r="AC39" s="75">
        <v>635.72539300000005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3</v>
      </c>
      <c r="J40" s="53">
        <f t="shared" si="0"/>
        <v>2.9568736000000002</v>
      </c>
      <c r="K40" s="54">
        <f t="shared" si="1"/>
        <v>3.285415111111111</v>
      </c>
      <c r="L40" s="40">
        <f t="shared" si="2"/>
        <v>29568736</v>
      </c>
      <c r="M40" s="40">
        <f t="shared" si="3"/>
        <v>6286792</v>
      </c>
      <c r="N40" s="55">
        <v>34506048</v>
      </c>
      <c r="O40" s="56">
        <v>29568736</v>
      </c>
      <c r="P40" s="56">
        <v>3185704</v>
      </c>
      <c r="Q40" s="56">
        <v>277960</v>
      </c>
      <c r="R40" s="56">
        <v>2823128</v>
      </c>
      <c r="S40" s="56">
        <v>23165912</v>
      </c>
      <c r="T40" s="56">
        <v>116032</v>
      </c>
      <c r="U40" s="68">
        <v>74.651373399999997</v>
      </c>
      <c r="V40" s="68">
        <v>76.276726100000005</v>
      </c>
      <c r="W40" s="68">
        <v>33.346988699999997</v>
      </c>
      <c r="X40" s="68">
        <v>42.560217600000001</v>
      </c>
      <c r="Y40" s="68">
        <v>42.8881041</v>
      </c>
      <c r="Z40" s="68">
        <v>49.368756400000002</v>
      </c>
      <c r="AA40" s="68">
        <v>32.547138599999997</v>
      </c>
      <c r="AB40" s="74">
        <v>62828.658151000003</v>
      </c>
      <c r="AC40" s="74">
        <v>506.75661100000002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4</v>
      </c>
      <c r="J41" s="49">
        <f t="shared" si="0"/>
        <v>3.8613912000000004</v>
      </c>
      <c r="K41" s="50">
        <f t="shared" si="1"/>
        <v>4.2904346666666671</v>
      </c>
      <c r="L41" s="37">
        <f t="shared" si="2"/>
        <v>38613912</v>
      </c>
      <c r="M41" s="37">
        <f t="shared" si="3"/>
        <v>9983168</v>
      </c>
      <c r="N41" s="51">
        <v>69039104</v>
      </c>
      <c r="O41" s="52">
        <v>38613912</v>
      </c>
      <c r="P41" s="52">
        <v>6084808</v>
      </c>
      <c r="Q41" s="52">
        <v>989192</v>
      </c>
      <c r="R41" s="52">
        <v>2909168</v>
      </c>
      <c r="S41" s="52">
        <v>28515720</v>
      </c>
      <c r="T41" s="52">
        <v>115024</v>
      </c>
      <c r="U41" s="67">
        <v>76.613254699999999</v>
      </c>
      <c r="V41" s="67">
        <v>78.540081000000001</v>
      </c>
      <c r="W41" s="67">
        <v>33.663436599999997</v>
      </c>
      <c r="X41" s="67">
        <v>42.739626199999996</v>
      </c>
      <c r="Y41" s="67">
        <v>43.161862300000003</v>
      </c>
      <c r="Z41" s="67">
        <v>50.646894899999999</v>
      </c>
      <c r="AA41" s="67">
        <v>33.026199099999999</v>
      </c>
      <c r="AB41" s="73">
        <v>62975.860484999997</v>
      </c>
      <c r="AC41" s="73">
        <v>576.24454200000002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6</v>
      </c>
      <c r="J42" s="53">
        <f t="shared" si="0"/>
        <v>6.0129432000000005</v>
      </c>
      <c r="K42" s="54">
        <f t="shared" si="1"/>
        <v>6.6810479999999997</v>
      </c>
      <c r="L42" s="40">
        <f t="shared" si="2"/>
        <v>60129432</v>
      </c>
      <c r="M42" s="40">
        <f t="shared" si="3"/>
        <v>14848344</v>
      </c>
      <c r="N42" s="55">
        <v>138089728</v>
      </c>
      <c r="O42" s="56">
        <v>60129432</v>
      </c>
      <c r="P42" s="56">
        <v>10922360</v>
      </c>
      <c r="Q42" s="56">
        <v>1794368</v>
      </c>
      <c r="R42" s="56">
        <v>2131616</v>
      </c>
      <c r="S42" s="56">
        <v>45169624</v>
      </c>
      <c r="T42" s="56">
        <v>111464</v>
      </c>
      <c r="U42" s="68">
        <v>78.426489000000004</v>
      </c>
      <c r="V42" s="68">
        <v>80.691666600000005</v>
      </c>
      <c r="W42" s="68">
        <v>34.291195899999998</v>
      </c>
      <c r="X42" s="68">
        <v>42.892204599999999</v>
      </c>
      <c r="Y42" s="68">
        <v>43.3965076</v>
      </c>
      <c r="Z42" s="68">
        <v>51.746219400000001</v>
      </c>
      <c r="AA42" s="68">
        <v>33.686579399999999</v>
      </c>
      <c r="AB42" s="74">
        <v>74128.615361000004</v>
      </c>
      <c r="AC42" s="74">
        <v>563.23223299999995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8</v>
      </c>
      <c r="J43" s="49">
        <f t="shared" si="0"/>
        <v>7.8086464000000007</v>
      </c>
      <c r="K43" s="50">
        <f t="shared" si="1"/>
        <v>8.6762737777777783</v>
      </c>
      <c r="L43" s="37">
        <f t="shared" si="2"/>
        <v>78086464</v>
      </c>
      <c r="M43" s="37">
        <f t="shared" si="3"/>
        <v>17548624</v>
      </c>
      <c r="N43" s="51">
        <v>138089728</v>
      </c>
      <c r="O43" s="52">
        <v>78086464</v>
      </c>
      <c r="P43" s="52">
        <v>10922360</v>
      </c>
      <c r="Q43" s="52">
        <v>1794368</v>
      </c>
      <c r="R43" s="52">
        <v>4831896</v>
      </c>
      <c r="S43" s="52">
        <v>60424968</v>
      </c>
      <c r="T43" s="52">
        <v>112872</v>
      </c>
      <c r="U43" s="67">
        <v>79.736300999999997</v>
      </c>
      <c r="V43" s="67">
        <v>82.475049400000003</v>
      </c>
      <c r="W43" s="67">
        <v>34.345360599999999</v>
      </c>
      <c r="X43" s="67">
        <v>43.026237299999998</v>
      </c>
      <c r="Y43" s="67">
        <v>43.571548999999997</v>
      </c>
      <c r="Z43" s="67">
        <v>52.461032199999998</v>
      </c>
      <c r="AA43" s="67">
        <v>33.837084900000001</v>
      </c>
      <c r="AB43" s="73">
        <v>35005.554463</v>
      </c>
      <c r="AC43" s="73">
        <v>224.665797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12</v>
      </c>
      <c r="J44" s="61">
        <f t="shared" si="0"/>
        <v>11.943209599999999</v>
      </c>
      <c r="K44" s="62">
        <f t="shared" si="1"/>
        <v>13.27023288888889</v>
      </c>
      <c r="L44" s="46">
        <f t="shared" si="2"/>
        <v>119432096</v>
      </c>
      <c r="M44" s="46">
        <f t="shared" si="3"/>
        <v>22817000</v>
      </c>
      <c r="N44" s="63">
        <v>207140672</v>
      </c>
      <c r="O44" s="64">
        <v>119432096</v>
      </c>
      <c r="P44" s="64">
        <v>15548992</v>
      </c>
      <c r="Q44" s="64">
        <v>2554104</v>
      </c>
      <c r="R44" s="64">
        <v>4713904</v>
      </c>
      <c r="S44" s="64">
        <v>96505584</v>
      </c>
      <c r="T44" s="64">
        <v>109512</v>
      </c>
      <c r="U44" s="70">
        <v>81.119651700000006</v>
      </c>
      <c r="V44" s="70">
        <v>84.359108300000003</v>
      </c>
      <c r="W44" s="70">
        <v>34.9139731</v>
      </c>
      <c r="X44" s="70">
        <v>43.127568699999998</v>
      </c>
      <c r="Y44" s="70">
        <v>43.722547800000001</v>
      </c>
      <c r="Z44" s="70">
        <v>53.248137700000001</v>
      </c>
      <c r="AA44" s="70">
        <v>34.421468400000002</v>
      </c>
      <c r="AB44" s="76">
        <v>44717.964075999997</v>
      </c>
      <c r="AC44" s="76">
        <v>359.71782200000001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12.224973960112381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3">AVERAGE(AZ5:AZ14)</f>
        <v>#DIV/0!</v>
      </c>
      <c r="BA45" s="86" t="e">
        <f t="shared" si="13"/>
        <v>#DIV/0!</v>
      </c>
      <c r="BB45" s="86" t="e">
        <f t="shared" si="13"/>
        <v>#DIV/0!</v>
      </c>
      <c r="BC45" s="86" t="e">
        <f t="shared" si="13"/>
        <v>#DIV/0!</v>
      </c>
      <c r="BD45" s="86" t="e">
        <f t="shared" si="13"/>
        <v>#DIV/0!</v>
      </c>
      <c r="BE45" s="86" t="e">
        <f t="shared" si="13"/>
        <v>#DIV/0!</v>
      </c>
      <c r="BF45" s="86" t="e">
        <f t="shared" si="13"/>
        <v>#DIV/0!</v>
      </c>
      <c r="BH45" s="86" t="e">
        <f t="shared" ref="BH45:BN45" si="14">AVERAGE(BH5:BH14)</f>
        <v>#DIV/0!</v>
      </c>
      <c r="BI45" s="86" t="e">
        <f t="shared" si="14"/>
        <v>#DIV/0!</v>
      </c>
      <c r="BJ45" s="86" t="e">
        <f t="shared" si="14"/>
        <v>#DIV/0!</v>
      </c>
      <c r="BK45" s="86" t="e">
        <f t="shared" si="14"/>
        <v>#DIV/0!</v>
      </c>
      <c r="BL45" s="86" t="e">
        <f t="shared" si="14"/>
        <v>#DIV/0!</v>
      </c>
      <c r="BM45" s="86" t="e">
        <f t="shared" si="14"/>
        <v>#DIV/0!</v>
      </c>
      <c r="BN45" s="86" t="e">
        <f t="shared" si="14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8.747860932744846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5">AVERAGE(AZ15:AZ24)</f>
        <v>#DIV/0!</v>
      </c>
      <c r="BA46" s="86" t="e">
        <f t="shared" si="15"/>
        <v>#DIV/0!</v>
      </c>
      <c r="BB46" s="86" t="e">
        <f t="shared" si="15"/>
        <v>#DIV/0!</v>
      </c>
      <c r="BC46" s="86" t="e">
        <f t="shared" si="15"/>
        <v>#DIV/0!</v>
      </c>
      <c r="BD46" s="86" t="e">
        <f t="shared" si="15"/>
        <v>#DIV/0!</v>
      </c>
      <c r="BE46" s="86" t="e">
        <f t="shared" si="15"/>
        <v>#DIV/0!</v>
      </c>
      <c r="BF46" s="86" t="e">
        <f t="shared" si="15"/>
        <v>#DIV/0!</v>
      </c>
      <c r="BH46" s="86" t="e">
        <f t="shared" ref="BH46:BN46" si="16">AVERAGE(BH15:BH24)</f>
        <v>#DIV/0!</v>
      </c>
      <c r="BI46" s="86" t="e">
        <f t="shared" si="16"/>
        <v>#DIV/0!</v>
      </c>
      <c r="BJ46" s="86" t="e">
        <f t="shared" si="16"/>
        <v>#DIV/0!</v>
      </c>
      <c r="BK46" s="86" t="e">
        <f t="shared" si="16"/>
        <v>#DIV/0!</v>
      </c>
      <c r="BL46" s="86" t="e">
        <f t="shared" si="16"/>
        <v>#DIV/0!</v>
      </c>
      <c r="BM46" s="86" t="e">
        <f t="shared" si="16"/>
        <v>#DIV/0!</v>
      </c>
      <c r="BN46" s="86" t="e">
        <f t="shared" si="16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9.012242314602009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7">AVERAGE(AZ25:AZ44)</f>
        <v>#DIV/0!</v>
      </c>
      <c r="BA47" s="86" t="e">
        <f t="shared" si="17"/>
        <v>#DIV/0!</v>
      </c>
      <c r="BB47" s="86" t="e">
        <f t="shared" si="17"/>
        <v>#DIV/0!</v>
      </c>
      <c r="BC47" s="86" t="e">
        <f t="shared" si="17"/>
        <v>#DIV/0!</v>
      </c>
      <c r="BD47" s="86" t="e">
        <f t="shared" si="17"/>
        <v>#DIV/0!</v>
      </c>
      <c r="BE47" s="86" t="e">
        <f t="shared" si="17"/>
        <v>#DIV/0!</v>
      </c>
      <c r="BF47" s="86" t="e">
        <f t="shared" si="17"/>
        <v>#DIV/0!</v>
      </c>
      <c r="BH47" s="86" t="e">
        <f t="shared" ref="BH47:BN47" si="18">AVERAGE(BH25:BH44)</f>
        <v>#DIV/0!</v>
      </c>
      <c r="BI47" s="86" t="e">
        <f t="shared" si="18"/>
        <v>#DIV/0!</v>
      </c>
      <c r="BJ47" s="86" t="e">
        <f t="shared" si="18"/>
        <v>#DIV/0!</v>
      </c>
      <c r="BK47" s="86" t="e">
        <f t="shared" si="18"/>
        <v>#DIV/0!</v>
      </c>
      <c r="BL47" s="86" t="e">
        <f t="shared" si="18"/>
        <v>#DIV/0!</v>
      </c>
      <c r="BM47" s="86" t="e">
        <f t="shared" si="18"/>
        <v>#DIV/0!</v>
      </c>
      <c r="BN47" s="86" t="e">
        <f t="shared" si="18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9.7493298805153099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9">AVERAGE(AZ5:AZ44)</f>
        <v>#DIV/0!</v>
      </c>
      <c r="BA48" s="86" t="e">
        <f t="shared" si="19"/>
        <v>#DIV/0!</v>
      </c>
      <c r="BB48" s="86" t="e">
        <f t="shared" si="19"/>
        <v>#DIV/0!</v>
      </c>
      <c r="BC48" s="86" t="e">
        <f t="shared" si="19"/>
        <v>#DIV/0!</v>
      </c>
      <c r="BD48" s="86" t="e">
        <f t="shared" si="19"/>
        <v>#DIV/0!</v>
      </c>
      <c r="BE48" s="86" t="e">
        <f t="shared" si="19"/>
        <v>#DIV/0!</v>
      </c>
      <c r="BF48" s="86" t="e">
        <f t="shared" si="19"/>
        <v>#DIV/0!</v>
      </c>
      <c r="BH48" s="86" t="e">
        <f t="shared" ref="BH48:BN48" si="20">AVERAGE(BH5:BH44)</f>
        <v>#DIV/0!</v>
      </c>
      <c r="BI48" s="86" t="e">
        <f t="shared" si="20"/>
        <v>#DIV/0!</v>
      </c>
      <c r="BJ48" s="86" t="e">
        <f t="shared" si="20"/>
        <v>#DIV/0!</v>
      </c>
      <c r="BK48" s="86" t="e">
        <f t="shared" si="20"/>
        <v>#DIV/0!</v>
      </c>
      <c r="BL48" s="86" t="e">
        <f t="shared" si="20"/>
        <v>#DIV/0!</v>
      </c>
      <c r="BM48" s="86" t="e">
        <f t="shared" si="20"/>
        <v>#DIV/0!</v>
      </c>
      <c r="BN48" s="86" t="e">
        <f t="shared" si="20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1854047.5047510001</v>
      </c>
      <c r="AC49" s="77">
        <f>SUM(AC5:AC14,AC15:AC24,AC25:AC44)</f>
        <v>11035.707126000003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-22734528</v>
      </c>
      <c r="AJ54" s="79">
        <f t="shared" ref="AJ54:AJ93" si="24">AJ5-O5</f>
        <v>-41271360</v>
      </c>
      <c r="AK54" s="79">
        <f t="shared" ref="AK54:AK93" si="25">AK5-P5</f>
        <v>-7890816</v>
      </c>
      <c r="AL54" s="79">
        <f t="shared" ref="AL54:AL93" si="26">AL5-Q5</f>
        <v>0</v>
      </c>
      <c r="AM54" s="79">
        <f t="shared" ref="AM54:AM93" si="27">AM5-R5</f>
        <v>-5414936</v>
      </c>
      <c r="AN54" s="79">
        <f t="shared" ref="AN54:AN93" si="28">AN5-S5</f>
        <v>-27836768</v>
      </c>
      <c r="AO54" s="79">
        <f t="shared" ref="AO54:AO93" si="29">AO5-T5</f>
        <v>-128840</v>
      </c>
      <c r="AP54" s="79">
        <f t="shared" ref="AP54:AP93" si="30">AP5-U5</f>
        <v>-68.841509900000005</v>
      </c>
      <c r="AQ54" s="81">
        <f t="shared" ref="AQ54:AQ93" si="31">AQ5-V5</f>
        <v>-69.933820100000005</v>
      </c>
      <c r="AR54" s="81">
        <f t="shared" ref="AR54:AR93" si="32">AR5-W5</f>
        <v>-27.876738</v>
      </c>
      <c r="AS54" s="81">
        <f t="shared" ref="AS54:AS93" si="33">AS5-X5</f>
        <v>-33.497942199999997</v>
      </c>
      <c r="AT54" s="81">
        <f t="shared" ref="AT54:AT93" si="34">AT5-Y5</f>
        <v>-32.882106299999997</v>
      </c>
      <c r="AU54" s="81">
        <f t="shared" ref="AU54:AU93" si="35">AU5-Z5</f>
        <v>-48.304882300000003</v>
      </c>
      <c r="AV54" s="82">
        <f t="shared" ref="AV54:AV93" si="36">AV5-AA5</f>
        <v>-26.715737399999998</v>
      </c>
    </row>
    <row r="55" spans="1:50" x14ac:dyDescent="0.15">
      <c r="AG55" s="80" t="e">
        <f t="shared" si="21"/>
        <v>#VALUE!</v>
      </c>
      <c r="AH55" s="80" t="e">
        <f t="shared" si="22"/>
        <v>#VALUE!</v>
      </c>
      <c r="AI55" s="80">
        <f t="shared" si="23"/>
        <v>-22734528</v>
      </c>
      <c r="AJ55" s="80">
        <f t="shared" si="24"/>
        <v>-84157960</v>
      </c>
      <c r="AK55" s="80">
        <f t="shared" si="25"/>
        <v>-7890816</v>
      </c>
      <c r="AL55" s="80">
        <f t="shared" si="26"/>
        <v>0</v>
      </c>
      <c r="AM55" s="80">
        <f t="shared" si="27"/>
        <v>-9468944</v>
      </c>
      <c r="AN55" s="80">
        <f t="shared" si="28"/>
        <v>-66675536</v>
      </c>
      <c r="AO55" s="80">
        <f t="shared" si="29"/>
        <v>-122664</v>
      </c>
      <c r="AP55" s="80">
        <f t="shared" si="30"/>
        <v>-70.597037200000003</v>
      </c>
      <c r="AQ55" s="83">
        <f t="shared" si="31"/>
        <v>-71.9203689</v>
      </c>
      <c r="AR55" s="83">
        <f t="shared" si="32"/>
        <v>-31.1501999</v>
      </c>
      <c r="AS55" s="83">
        <f t="shared" si="33"/>
        <v>-34.697898500000001</v>
      </c>
      <c r="AT55" s="83">
        <f t="shared" si="34"/>
        <v>-34.214308500000001</v>
      </c>
      <c r="AU55" s="83">
        <f t="shared" si="35"/>
        <v>-49.152522599999998</v>
      </c>
      <c r="AV55" s="84">
        <f t="shared" si="36"/>
        <v>-28.924734099999998</v>
      </c>
    </row>
    <row r="56" spans="1:50" x14ac:dyDescent="0.15">
      <c r="AG56" s="80" t="e">
        <f t="shared" si="21"/>
        <v>#VALUE!</v>
      </c>
      <c r="AH56" s="80" t="e">
        <f t="shared" si="22"/>
        <v>#VALUE!</v>
      </c>
      <c r="AI56" s="80">
        <f t="shared" si="23"/>
        <v>-45557056</v>
      </c>
      <c r="AJ56" s="80">
        <f t="shared" si="24"/>
        <v>-115429896</v>
      </c>
      <c r="AK56" s="80">
        <f t="shared" si="25"/>
        <v>-12321224</v>
      </c>
      <c r="AL56" s="80">
        <f t="shared" si="26"/>
        <v>0</v>
      </c>
      <c r="AM56" s="80">
        <f t="shared" si="27"/>
        <v>-9081216</v>
      </c>
      <c r="AN56" s="80">
        <f t="shared" si="28"/>
        <v>-93903992</v>
      </c>
      <c r="AO56" s="80">
        <f t="shared" si="29"/>
        <v>-123464</v>
      </c>
      <c r="AP56" s="80">
        <f t="shared" si="30"/>
        <v>-72.615171700000005</v>
      </c>
      <c r="AQ56" s="83">
        <f t="shared" si="31"/>
        <v>-74.244718399999996</v>
      </c>
      <c r="AR56" s="83">
        <f t="shared" si="32"/>
        <v>-32.311940800000002</v>
      </c>
      <c r="AS56" s="83">
        <f t="shared" si="33"/>
        <v>-36.411365000000004</v>
      </c>
      <c r="AT56" s="83">
        <f t="shared" si="34"/>
        <v>-36.146524900000003</v>
      </c>
      <c r="AU56" s="83">
        <f t="shared" si="35"/>
        <v>-50.368255699999999</v>
      </c>
      <c r="AV56" s="84">
        <f t="shared" si="36"/>
        <v>-30.361418</v>
      </c>
    </row>
    <row r="57" spans="1:50" x14ac:dyDescent="0.15">
      <c r="AG57" s="80" t="e">
        <f t="shared" si="21"/>
        <v>#VALUE!</v>
      </c>
      <c r="AH57" s="80" t="e">
        <f t="shared" si="22"/>
        <v>#VALUE!</v>
      </c>
      <c r="AI57" s="80">
        <f t="shared" si="23"/>
        <v>-91604544</v>
      </c>
      <c r="AJ57" s="80">
        <f t="shared" si="24"/>
        <v>-146661584</v>
      </c>
      <c r="AK57" s="80">
        <f t="shared" si="25"/>
        <v>-20152128</v>
      </c>
      <c r="AL57" s="80">
        <f t="shared" si="26"/>
        <v>0</v>
      </c>
      <c r="AM57" s="80">
        <f t="shared" si="27"/>
        <v>-7604592</v>
      </c>
      <c r="AN57" s="80">
        <f t="shared" si="28"/>
        <v>-118779376</v>
      </c>
      <c r="AO57" s="80">
        <f t="shared" si="29"/>
        <v>-125488</v>
      </c>
      <c r="AP57" s="80">
        <f t="shared" si="30"/>
        <v>-73.479951600000007</v>
      </c>
      <c r="AQ57" s="83">
        <f t="shared" si="31"/>
        <v>-75.2399135</v>
      </c>
      <c r="AR57" s="83">
        <f t="shared" si="32"/>
        <v>-33.295489400000001</v>
      </c>
      <c r="AS57" s="83">
        <f t="shared" si="33"/>
        <v>-36.978590400000002</v>
      </c>
      <c r="AT57" s="83">
        <f t="shared" si="34"/>
        <v>-36.709657700000001</v>
      </c>
      <c r="AU57" s="83">
        <f t="shared" si="35"/>
        <v>-51.011581900000003</v>
      </c>
      <c r="AV57" s="84">
        <f t="shared" si="36"/>
        <v>-31.150722999999999</v>
      </c>
    </row>
    <row r="58" spans="1:50" x14ac:dyDescent="0.15">
      <c r="AG58" s="80" t="e">
        <f t="shared" si="21"/>
        <v>#VALUE!</v>
      </c>
      <c r="AH58" s="80" t="e">
        <f t="shared" si="22"/>
        <v>#VALUE!</v>
      </c>
      <c r="AI58" s="80">
        <f t="shared" si="23"/>
        <v>-91604544</v>
      </c>
      <c r="AJ58" s="80">
        <f t="shared" si="24"/>
        <v>-221476816</v>
      </c>
      <c r="AK58" s="80">
        <f t="shared" si="25"/>
        <v>-20152128</v>
      </c>
      <c r="AL58" s="80">
        <f t="shared" si="26"/>
        <v>0</v>
      </c>
      <c r="AM58" s="80">
        <f t="shared" si="27"/>
        <v>-14090768</v>
      </c>
      <c r="AN58" s="80">
        <f t="shared" si="28"/>
        <v>-187115808</v>
      </c>
      <c r="AO58" s="80">
        <f t="shared" si="29"/>
        <v>-118112</v>
      </c>
      <c r="AP58" s="80">
        <f t="shared" si="30"/>
        <v>-75.110842599999998</v>
      </c>
      <c r="AQ58" s="83">
        <f t="shared" si="31"/>
        <v>-77.184473199999999</v>
      </c>
      <c r="AR58" s="83">
        <f t="shared" si="32"/>
        <v>-34.926898399999999</v>
      </c>
      <c r="AS58" s="83">
        <f t="shared" si="33"/>
        <v>-38.538265000000003</v>
      </c>
      <c r="AT58" s="83">
        <f t="shared" si="34"/>
        <v>-38.236186199999999</v>
      </c>
      <c r="AU58" s="83">
        <f t="shared" si="35"/>
        <v>-51.851445599999998</v>
      </c>
      <c r="AV58" s="84">
        <f t="shared" si="36"/>
        <v>-32.517237199999997</v>
      </c>
    </row>
    <row r="59" spans="1:50" x14ac:dyDescent="0.15">
      <c r="AG59" s="80" t="e">
        <f t="shared" si="21"/>
        <v>#VALUE!</v>
      </c>
      <c r="AH59" s="80" t="e">
        <f t="shared" si="22"/>
        <v>#VALUE!</v>
      </c>
      <c r="AI59" s="80">
        <f t="shared" si="23"/>
        <v>-9607472</v>
      </c>
      <c r="AJ59" s="80">
        <f t="shared" si="24"/>
        <v>-50861336</v>
      </c>
      <c r="AK59" s="80">
        <f t="shared" si="25"/>
        <v>-2216656</v>
      </c>
      <c r="AL59" s="80">
        <f t="shared" si="26"/>
        <v>-1606928</v>
      </c>
      <c r="AM59" s="80">
        <f t="shared" si="27"/>
        <v>-12366344</v>
      </c>
      <c r="AN59" s="80">
        <f t="shared" si="28"/>
        <v>-34576360</v>
      </c>
      <c r="AO59" s="80">
        <f t="shared" si="29"/>
        <v>-95048</v>
      </c>
      <c r="AP59" s="80">
        <f t="shared" si="30"/>
        <v>-68.524496400000004</v>
      </c>
      <c r="AQ59" s="83">
        <f t="shared" si="31"/>
        <v>-69.626297300000004</v>
      </c>
      <c r="AR59" s="83">
        <f t="shared" si="32"/>
        <v>-36.052317799999997</v>
      </c>
      <c r="AS59" s="83">
        <f t="shared" si="33"/>
        <v>-46.4464088</v>
      </c>
      <c r="AT59" s="83">
        <f t="shared" si="34"/>
        <v>-46.9360024</v>
      </c>
      <c r="AU59" s="83">
        <f t="shared" si="35"/>
        <v>-45.969788000000001</v>
      </c>
      <c r="AV59" s="84">
        <f t="shared" si="36"/>
        <v>-32.443430599999999</v>
      </c>
    </row>
    <row r="60" spans="1:50" x14ac:dyDescent="0.15">
      <c r="AG60" s="80" t="e">
        <f t="shared" si="21"/>
        <v>#VALUE!</v>
      </c>
      <c r="AH60" s="80" t="e">
        <f t="shared" si="22"/>
        <v>#VALUE!</v>
      </c>
      <c r="AI60" s="80">
        <f t="shared" si="23"/>
        <v>-19014000</v>
      </c>
      <c r="AJ60" s="80">
        <f t="shared" si="24"/>
        <v>-93457064</v>
      </c>
      <c r="AK60" s="80">
        <f t="shared" si="25"/>
        <v>-7311200</v>
      </c>
      <c r="AL60" s="80">
        <f t="shared" si="26"/>
        <v>-2116000</v>
      </c>
      <c r="AM60" s="80">
        <f t="shared" si="27"/>
        <v>-23103008</v>
      </c>
      <c r="AN60" s="80">
        <f t="shared" si="28"/>
        <v>-60829512</v>
      </c>
      <c r="AO60" s="80">
        <f t="shared" si="29"/>
        <v>-97344</v>
      </c>
      <c r="AP60" s="80">
        <f t="shared" si="30"/>
        <v>-72.440930100000003</v>
      </c>
      <c r="AQ60" s="83">
        <f t="shared" si="31"/>
        <v>-74.082059200000003</v>
      </c>
      <c r="AR60" s="83">
        <f t="shared" si="32"/>
        <v>-37.359821799999999</v>
      </c>
      <c r="AS60" s="83">
        <f t="shared" si="33"/>
        <v>-47.192613700000003</v>
      </c>
      <c r="AT60" s="83">
        <f t="shared" si="34"/>
        <v>-47.777515200000003</v>
      </c>
      <c r="AU60" s="83">
        <f t="shared" si="35"/>
        <v>-48.306744899999998</v>
      </c>
      <c r="AV60" s="84">
        <f t="shared" si="36"/>
        <v>-34.647808499999996</v>
      </c>
    </row>
    <row r="61" spans="1:50" x14ac:dyDescent="0.15">
      <c r="AG61" s="80" t="e">
        <f t="shared" si="21"/>
        <v>#VALUE!</v>
      </c>
      <c r="AH61" s="80" t="e">
        <f t="shared" si="22"/>
        <v>#VALUE!</v>
      </c>
      <c r="AI61" s="80">
        <f t="shared" si="23"/>
        <v>-20936112</v>
      </c>
      <c r="AJ61" s="80">
        <f t="shared" si="24"/>
        <v>-125056528</v>
      </c>
      <c r="AK61" s="80">
        <f t="shared" si="25"/>
        <v>-9009744</v>
      </c>
      <c r="AL61" s="80">
        <f t="shared" si="26"/>
        <v>-2166368</v>
      </c>
      <c r="AM61" s="80">
        <f t="shared" si="27"/>
        <v>-26780056</v>
      </c>
      <c r="AN61" s="80">
        <f t="shared" si="28"/>
        <v>-87002616</v>
      </c>
      <c r="AO61" s="80">
        <f t="shared" si="29"/>
        <v>-97744</v>
      </c>
      <c r="AP61" s="80">
        <f t="shared" si="30"/>
        <v>-73.091240400000004</v>
      </c>
      <c r="AQ61" s="83">
        <f t="shared" si="31"/>
        <v>-74.833632499999993</v>
      </c>
      <c r="AR61" s="83">
        <f t="shared" si="32"/>
        <v>-38.202871799999997</v>
      </c>
      <c r="AS61" s="83">
        <f t="shared" si="33"/>
        <v>-47.483585400000003</v>
      </c>
      <c r="AT61" s="83">
        <f t="shared" si="34"/>
        <v>-48.091587099999998</v>
      </c>
      <c r="AU61" s="83">
        <f t="shared" si="35"/>
        <v>-48.644416499999998</v>
      </c>
      <c r="AV61" s="84">
        <f t="shared" si="36"/>
        <v>-35.267119700000002</v>
      </c>
    </row>
    <row r="62" spans="1:50" x14ac:dyDescent="0.15">
      <c r="AG62" s="80" t="e">
        <f t="shared" si="21"/>
        <v>#VALUE!</v>
      </c>
      <c r="AH62" s="80" t="e">
        <f t="shared" si="22"/>
        <v>#VALUE!</v>
      </c>
      <c r="AI62" s="80">
        <f t="shared" si="23"/>
        <v>-22856432</v>
      </c>
      <c r="AJ62" s="80">
        <f t="shared" si="24"/>
        <v>-157408440</v>
      </c>
      <c r="AK62" s="80">
        <f t="shared" si="25"/>
        <v>-9744592</v>
      </c>
      <c r="AL62" s="80">
        <f t="shared" si="26"/>
        <v>-2291096</v>
      </c>
      <c r="AM62" s="80">
        <f t="shared" si="27"/>
        <v>-28527224</v>
      </c>
      <c r="AN62" s="80">
        <f t="shared" si="28"/>
        <v>-116747224</v>
      </c>
      <c r="AO62" s="80">
        <f t="shared" si="29"/>
        <v>-98304</v>
      </c>
      <c r="AP62" s="80">
        <f t="shared" si="30"/>
        <v>-73.458032099999997</v>
      </c>
      <c r="AQ62" s="83">
        <f t="shared" si="31"/>
        <v>-75.276541399999999</v>
      </c>
      <c r="AR62" s="83">
        <f t="shared" si="32"/>
        <v>-38.952654899999999</v>
      </c>
      <c r="AS62" s="83">
        <f t="shared" si="33"/>
        <v>-48.217405499999998</v>
      </c>
      <c r="AT62" s="83">
        <f t="shared" si="34"/>
        <v>-48.8689532</v>
      </c>
      <c r="AU62" s="83">
        <f t="shared" si="35"/>
        <v>-48.907044200000001</v>
      </c>
      <c r="AV62" s="84">
        <f t="shared" si="36"/>
        <v>-35.768470899999997</v>
      </c>
    </row>
    <row r="63" spans="1:50" x14ac:dyDescent="0.15">
      <c r="AG63" s="80" t="e">
        <f t="shared" si="21"/>
        <v>#VALUE!</v>
      </c>
      <c r="AH63" s="80" t="e">
        <f t="shared" si="22"/>
        <v>#VALUE!</v>
      </c>
      <c r="AI63" s="80">
        <f t="shared" si="23"/>
        <v>-35325088</v>
      </c>
      <c r="AJ63" s="80">
        <f t="shared" si="24"/>
        <v>-216618616</v>
      </c>
      <c r="AK63" s="80">
        <f t="shared" si="25"/>
        <v>-19763984</v>
      </c>
      <c r="AL63" s="80">
        <f t="shared" si="26"/>
        <v>-2414576</v>
      </c>
      <c r="AM63" s="80">
        <f t="shared" si="27"/>
        <v>-38207256</v>
      </c>
      <c r="AN63" s="80">
        <f t="shared" si="28"/>
        <v>-156130064</v>
      </c>
      <c r="AO63" s="80">
        <f t="shared" si="29"/>
        <v>-102736</v>
      </c>
      <c r="AP63" s="80">
        <f t="shared" si="30"/>
        <v>-75.504767700000002</v>
      </c>
      <c r="AQ63" s="83">
        <f t="shared" si="31"/>
        <v>-77.790723700000001</v>
      </c>
      <c r="AR63" s="83">
        <f t="shared" si="32"/>
        <v>-39.527057999999997</v>
      </c>
      <c r="AS63" s="83">
        <f t="shared" si="33"/>
        <v>-48.6017504</v>
      </c>
      <c r="AT63" s="83">
        <f t="shared" si="34"/>
        <v>-49.268492600000002</v>
      </c>
      <c r="AU63" s="83">
        <f t="shared" si="35"/>
        <v>-50.207918800000002</v>
      </c>
      <c r="AV63" s="84">
        <f t="shared" si="36"/>
        <v>-36.830697899999997</v>
      </c>
    </row>
    <row r="64" spans="1:50" x14ac:dyDescent="0.15">
      <c r="AG64" s="80" t="e">
        <f t="shared" si="21"/>
        <v>#VALUE!</v>
      </c>
      <c r="AH64" s="80" t="e">
        <f t="shared" si="22"/>
        <v>#VALUE!</v>
      </c>
      <c r="AI64" s="80">
        <f t="shared" si="23"/>
        <v>-22706496</v>
      </c>
      <c r="AJ64" s="80">
        <f t="shared" si="24"/>
        <v>-30031608</v>
      </c>
      <c r="AK64" s="80">
        <f t="shared" si="25"/>
        <v>-6499416</v>
      </c>
      <c r="AL64" s="80">
        <f t="shared" si="26"/>
        <v>0</v>
      </c>
      <c r="AM64" s="80">
        <f t="shared" si="27"/>
        <v>-4461984</v>
      </c>
      <c r="AN64" s="80">
        <f t="shared" si="28"/>
        <v>-18947880</v>
      </c>
      <c r="AO64" s="80">
        <f t="shared" si="29"/>
        <v>-122328</v>
      </c>
      <c r="AP64" s="80">
        <f t="shared" si="30"/>
        <v>-71.427568899999997</v>
      </c>
      <c r="AQ64" s="83">
        <f t="shared" si="31"/>
        <v>-72.796916699999997</v>
      </c>
      <c r="AR64" s="83">
        <f t="shared" si="32"/>
        <v>-35.744199500000001</v>
      </c>
      <c r="AS64" s="83">
        <f t="shared" si="33"/>
        <v>-43.324639500000004</v>
      </c>
      <c r="AT64" s="83">
        <f t="shared" si="34"/>
        <v>-45.154923699999998</v>
      </c>
      <c r="AU64" s="83">
        <f t="shared" si="35"/>
        <v>-45.780264500000001</v>
      </c>
      <c r="AV64" s="84">
        <f t="shared" si="36"/>
        <v>-32.527222899999998</v>
      </c>
    </row>
    <row r="65" spans="33:48" x14ac:dyDescent="0.15">
      <c r="AG65" s="80" t="e">
        <f t="shared" si="21"/>
        <v>#VALUE!</v>
      </c>
      <c r="AH65" s="80" t="e">
        <f t="shared" si="22"/>
        <v>#VALUE!</v>
      </c>
      <c r="AI65" s="80">
        <f t="shared" si="23"/>
        <v>-22706496</v>
      </c>
      <c r="AJ65" s="80">
        <f t="shared" si="24"/>
        <v>-49852056</v>
      </c>
      <c r="AK65" s="80">
        <f t="shared" si="25"/>
        <v>-7079256</v>
      </c>
      <c r="AL65" s="80">
        <f t="shared" si="26"/>
        <v>0</v>
      </c>
      <c r="AM65" s="80">
        <f t="shared" si="27"/>
        <v>-6758280</v>
      </c>
      <c r="AN65" s="80">
        <f t="shared" si="28"/>
        <v>-35891440</v>
      </c>
      <c r="AO65" s="80">
        <f t="shared" si="29"/>
        <v>-123080</v>
      </c>
      <c r="AP65" s="80">
        <f t="shared" si="30"/>
        <v>-73.137131600000004</v>
      </c>
      <c r="AQ65" s="83">
        <f t="shared" si="31"/>
        <v>-74.707334299999999</v>
      </c>
      <c r="AR65" s="83">
        <f t="shared" si="32"/>
        <v>-38.5545993</v>
      </c>
      <c r="AS65" s="83">
        <f t="shared" si="33"/>
        <v>-43.942225499999999</v>
      </c>
      <c r="AT65" s="83">
        <f t="shared" si="34"/>
        <v>-46.398297999999997</v>
      </c>
      <c r="AU65" s="83">
        <f t="shared" si="35"/>
        <v>-46.601970899999998</v>
      </c>
      <c r="AV65" s="84">
        <f t="shared" si="36"/>
        <v>-34.217377599999999</v>
      </c>
    </row>
    <row r="66" spans="33:48" x14ac:dyDescent="0.15">
      <c r="AG66" s="80" t="e">
        <f t="shared" si="21"/>
        <v>#VALUE!</v>
      </c>
      <c r="AH66" s="80" t="e">
        <f t="shared" si="22"/>
        <v>#VALUE!</v>
      </c>
      <c r="AI66" s="80">
        <f t="shared" si="23"/>
        <v>-45429376</v>
      </c>
      <c r="AJ66" s="80">
        <f t="shared" si="24"/>
        <v>-96781728</v>
      </c>
      <c r="AK66" s="80">
        <f t="shared" si="25"/>
        <v>-11912104</v>
      </c>
      <c r="AL66" s="80">
        <f t="shared" si="26"/>
        <v>0</v>
      </c>
      <c r="AM66" s="80">
        <f t="shared" si="27"/>
        <v>-14821920</v>
      </c>
      <c r="AN66" s="80">
        <f t="shared" si="28"/>
        <v>-69926120</v>
      </c>
      <c r="AO66" s="80">
        <f t="shared" si="29"/>
        <v>-121584</v>
      </c>
      <c r="AP66" s="80">
        <f t="shared" si="30"/>
        <v>-77.849016399999996</v>
      </c>
      <c r="AQ66" s="83">
        <f t="shared" si="31"/>
        <v>-80.316645100000002</v>
      </c>
      <c r="AR66" s="83">
        <f t="shared" si="32"/>
        <v>-41.2123615</v>
      </c>
      <c r="AS66" s="83">
        <f t="shared" si="33"/>
        <v>-44.819400899999998</v>
      </c>
      <c r="AT66" s="83">
        <f t="shared" si="34"/>
        <v>-48.0636765</v>
      </c>
      <c r="AU66" s="83">
        <f t="shared" si="35"/>
        <v>-48.976230800000003</v>
      </c>
      <c r="AV66" s="84">
        <f t="shared" si="36"/>
        <v>-37.361348900000003</v>
      </c>
    </row>
    <row r="67" spans="33:48" x14ac:dyDescent="0.15">
      <c r="AG67" s="80" t="e">
        <f t="shared" si="21"/>
        <v>#VALUE!</v>
      </c>
      <c r="AH67" s="80" t="e">
        <f t="shared" si="22"/>
        <v>#VALUE!</v>
      </c>
      <c r="AI67" s="80">
        <f t="shared" si="23"/>
        <v>-90872704</v>
      </c>
      <c r="AJ67" s="80">
        <f t="shared" si="24"/>
        <v>-137627160</v>
      </c>
      <c r="AK67" s="80">
        <f t="shared" si="25"/>
        <v>-20518248</v>
      </c>
      <c r="AL67" s="80">
        <f t="shared" si="26"/>
        <v>0</v>
      </c>
      <c r="AM67" s="80">
        <f t="shared" si="27"/>
        <v>-16024376</v>
      </c>
      <c r="AN67" s="80">
        <f t="shared" si="28"/>
        <v>-100963464</v>
      </c>
      <c r="AO67" s="80">
        <f t="shared" si="29"/>
        <v>-121072</v>
      </c>
      <c r="AP67" s="80">
        <f t="shared" si="30"/>
        <v>-79.167706600000002</v>
      </c>
      <c r="AQ67" s="83">
        <f t="shared" si="31"/>
        <v>-82.109997500000006</v>
      </c>
      <c r="AR67" s="83">
        <f t="shared" si="32"/>
        <v>-42.215220100000003</v>
      </c>
      <c r="AS67" s="83">
        <f t="shared" si="33"/>
        <v>-45.506421500000002</v>
      </c>
      <c r="AT67" s="83">
        <f t="shared" si="34"/>
        <v>-49.191777000000002</v>
      </c>
      <c r="AU67" s="83">
        <f t="shared" si="35"/>
        <v>-49.925468600000002</v>
      </c>
      <c r="AV67" s="84">
        <f t="shared" si="36"/>
        <v>-38.493575300000003</v>
      </c>
    </row>
    <row r="68" spans="33:48" x14ac:dyDescent="0.15">
      <c r="AG68" s="80" t="e">
        <f t="shared" si="21"/>
        <v>#VALUE!</v>
      </c>
      <c r="AH68" s="80" t="e">
        <f t="shared" si="22"/>
        <v>#VALUE!</v>
      </c>
      <c r="AI68" s="80">
        <f t="shared" si="23"/>
        <v>-90872704</v>
      </c>
      <c r="AJ68" s="80">
        <f t="shared" si="24"/>
        <v>-205904184</v>
      </c>
      <c r="AK68" s="80">
        <f t="shared" si="25"/>
        <v>-20518248</v>
      </c>
      <c r="AL68" s="80">
        <f t="shared" si="26"/>
        <v>0</v>
      </c>
      <c r="AM68" s="80">
        <f t="shared" si="27"/>
        <v>-18059560</v>
      </c>
      <c r="AN68" s="80">
        <f t="shared" si="28"/>
        <v>-167204656</v>
      </c>
      <c r="AO68" s="80">
        <f t="shared" si="29"/>
        <v>-121720</v>
      </c>
      <c r="AP68" s="80">
        <f t="shared" si="30"/>
        <v>-79.519918099999998</v>
      </c>
      <c r="AQ68" s="83">
        <f t="shared" si="31"/>
        <v>-82.6341319</v>
      </c>
      <c r="AR68" s="83">
        <f t="shared" si="32"/>
        <v>-43.255271999999998</v>
      </c>
      <c r="AS68" s="83">
        <f t="shared" si="33"/>
        <v>-46.453829300000002</v>
      </c>
      <c r="AT68" s="83">
        <f t="shared" si="34"/>
        <v>-50.4779847</v>
      </c>
      <c r="AU68" s="83">
        <f t="shared" si="35"/>
        <v>-50.126500800000002</v>
      </c>
      <c r="AV68" s="84">
        <f t="shared" si="36"/>
        <v>-39.048255900000001</v>
      </c>
    </row>
    <row r="69" spans="33:48" x14ac:dyDescent="0.15">
      <c r="AG69" s="80" t="e">
        <f t="shared" si="21"/>
        <v>#VALUE!</v>
      </c>
      <c r="AH69" s="80" t="e">
        <f t="shared" si="22"/>
        <v>#VALUE!</v>
      </c>
      <c r="AI69" s="80">
        <f t="shared" si="23"/>
        <v>-22662464</v>
      </c>
      <c r="AJ69" s="80">
        <f t="shared" si="24"/>
        <v>-28777544</v>
      </c>
      <c r="AK69" s="80">
        <f t="shared" si="25"/>
        <v>-6350840</v>
      </c>
      <c r="AL69" s="80">
        <f t="shared" si="26"/>
        <v>0</v>
      </c>
      <c r="AM69" s="80">
        <f t="shared" si="27"/>
        <v>-4211536</v>
      </c>
      <c r="AN69" s="80">
        <f t="shared" si="28"/>
        <v>-18093184</v>
      </c>
      <c r="AO69" s="80">
        <f t="shared" si="29"/>
        <v>-121984</v>
      </c>
      <c r="AP69" s="80">
        <f t="shared" si="30"/>
        <v>-71.633762300000001</v>
      </c>
      <c r="AQ69" s="83">
        <f t="shared" si="31"/>
        <v>-73.039473200000003</v>
      </c>
      <c r="AR69" s="83">
        <f t="shared" si="32"/>
        <v>-34.685347</v>
      </c>
      <c r="AS69" s="83">
        <f t="shared" si="33"/>
        <v>-42.794694100000001</v>
      </c>
      <c r="AT69" s="83">
        <f t="shared" si="34"/>
        <v>-44.168909300000003</v>
      </c>
      <c r="AU69" s="83">
        <f t="shared" si="35"/>
        <v>-46.810497599999998</v>
      </c>
      <c r="AV69" s="84">
        <f t="shared" si="36"/>
        <v>-31.695909</v>
      </c>
    </row>
    <row r="70" spans="33:48" x14ac:dyDescent="0.15">
      <c r="AG70" s="80" t="e">
        <f t="shared" si="21"/>
        <v>#VALUE!</v>
      </c>
      <c r="AH70" s="80" t="e">
        <f t="shared" si="22"/>
        <v>#VALUE!</v>
      </c>
      <c r="AI70" s="80">
        <f t="shared" si="23"/>
        <v>-22662464</v>
      </c>
      <c r="AJ70" s="80">
        <f t="shared" si="24"/>
        <v>-48662576</v>
      </c>
      <c r="AK70" s="80">
        <f t="shared" si="25"/>
        <v>-6921152</v>
      </c>
      <c r="AL70" s="80">
        <f t="shared" si="26"/>
        <v>0</v>
      </c>
      <c r="AM70" s="80">
        <f t="shared" si="27"/>
        <v>-4663048</v>
      </c>
      <c r="AN70" s="80">
        <f t="shared" si="28"/>
        <v>-36954120</v>
      </c>
      <c r="AO70" s="80">
        <f t="shared" si="29"/>
        <v>-124256</v>
      </c>
      <c r="AP70" s="80">
        <f t="shared" si="30"/>
        <v>-72.096004500000006</v>
      </c>
      <c r="AQ70" s="83">
        <f t="shared" si="31"/>
        <v>-73.559119499999994</v>
      </c>
      <c r="AR70" s="83">
        <f t="shared" si="32"/>
        <v>-37.524355200000002</v>
      </c>
      <c r="AS70" s="83">
        <f t="shared" si="33"/>
        <v>-43.967125699999997</v>
      </c>
      <c r="AT70" s="83">
        <f t="shared" si="34"/>
        <v>-46.030077300000002</v>
      </c>
      <c r="AU70" s="83">
        <f t="shared" si="35"/>
        <v>-47.042089900000001</v>
      </c>
      <c r="AV70" s="84">
        <f t="shared" si="36"/>
        <v>-32.978886000000003</v>
      </c>
    </row>
    <row r="71" spans="33:48" x14ac:dyDescent="0.15">
      <c r="AG71" s="80" t="e">
        <f t="shared" si="21"/>
        <v>#VALUE!</v>
      </c>
      <c r="AH71" s="80" t="e">
        <f t="shared" si="22"/>
        <v>#VALUE!</v>
      </c>
      <c r="AI71" s="80">
        <f t="shared" si="23"/>
        <v>-45333376</v>
      </c>
      <c r="AJ71" s="80">
        <f t="shared" si="24"/>
        <v>-96574888</v>
      </c>
      <c r="AK71" s="80">
        <f t="shared" si="25"/>
        <v>-10590808</v>
      </c>
      <c r="AL71" s="80">
        <f t="shared" si="26"/>
        <v>0</v>
      </c>
      <c r="AM71" s="80">
        <f t="shared" si="27"/>
        <v>-14344272</v>
      </c>
      <c r="AN71" s="80">
        <f t="shared" si="28"/>
        <v>-71518288</v>
      </c>
      <c r="AO71" s="80">
        <f t="shared" si="29"/>
        <v>-121520</v>
      </c>
      <c r="AP71" s="80">
        <f t="shared" si="30"/>
        <v>-77.960514000000003</v>
      </c>
      <c r="AQ71" s="83">
        <f t="shared" si="31"/>
        <v>-80.586501900000002</v>
      </c>
      <c r="AR71" s="83">
        <f t="shared" si="32"/>
        <v>-40.4820834</v>
      </c>
      <c r="AS71" s="83">
        <f t="shared" si="33"/>
        <v>-45.208207399999999</v>
      </c>
      <c r="AT71" s="83">
        <f t="shared" si="34"/>
        <v>-48.098022499999999</v>
      </c>
      <c r="AU71" s="83">
        <f t="shared" si="35"/>
        <v>-50.017004499999999</v>
      </c>
      <c r="AV71" s="84">
        <f t="shared" si="36"/>
        <v>-36.798884800000003</v>
      </c>
    </row>
    <row r="72" spans="33:48" x14ac:dyDescent="0.15">
      <c r="AG72" s="80" t="e">
        <f t="shared" si="21"/>
        <v>#VALUE!</v>
      </c>
      <c r="AH72" s="80" t="e">
        <f t="shared" si="22"/>
        <v>#VALUE!</v>
      </c>
      <c r="AI72" s="80">
        <f t="shared" si="23"/>
        <v>-90678208</v>
      </c>
      <c r="AJ72" s="80">
        <f t="shared" si="24"/>
        <v>-136672456</v>
      </c>
      <c r="AK72" s="80">
        <f t="shared" si="25"/>
        <v>-22342752</v>
      </c>
      <c r="AL72" s="80">
        <f t="shared" si="26"/>
        <v>0</v>
      </c>
      <c r="AM72" s="80">
        <f t="shared" si="27"/>
        <v>-12945408</v>
      </c>
      <c r="AN72" s="80">
        <f t="shared" si="28"/>
        <v>-101261376</v>
      </c>
      <c r="AO72" s="80">
        <f t="shared" si="29"/>
        <v>-122920</v>
      </c>
      <c r="AP72" s="80">
        <f t="shared" si="30"/>
        <v>-78.858752999999993</v>
      </c>
      <c r="AQ72" s="83">
        <f t="shared" si="31"/>
        <v>-81.819892699999997</v>
      </c>
      <c r="AR72" s="83">
        <f t="shared" si="32"/>
        <v>-41.494518399999997</v>
      </c>
      <c r="AS72" s="83">
        <f t="shared" si="33"/>
        <v>-45.722755399999997</v>
      </c>
      <c r="AT72" s="83">
        <f t="shared" si="34"/>
        <v>-48.835010599999997</v>
      </c>
      <c r="AU72" s="83">
        <f t="shared" si="35"/>
        <v>-50.797749199999998</v>
      </c>
      <c r="AV72" s="84">
        <f t="shared" si="36"/>
        <v>-37.740105100000001</v>
      </c>
    </row>
    <row r="73" spans="33:48" x14ac:dyDescent="0.15">
      <c r="AG73" s="80" t="e">
        <f t="shared" si="21"/>
        <v>#VALUE!</v>
      </c>
      <c r="AH73" s="80" t="e">
        <f t="shared" si="22"/>
        <v>#VALUE!</v>
      </c>
      <c r="AI73" s="80">
        <f t="shared" si="23"/>
        <v>-90678208</v>
      </c>
      <c r="AJ73" s="80">
        <f t="shared" si="24"/>
        <v>-203734984</v>
      </c>
      <c r="AK73" s="80">
        <f t="shared" si="25"/>
        <v>-20147384</v>
      </c>
      <c r="AL73" s="80">
        <f t="shared" si="26"/>
        <v>0</v>
      </c>
      <c r="AM73" s="80">
        <f t="shared" si="27"/>
        <v>-17131264</v>
      </c>
      <c r="AN73" s="80">
        <f t="shared" si="28"/>
        <v>-166336200</v>
      </c>
      <c r="AO73" s="80">
        <f t="shared" si="29"/>
        <v>-120136</v>
      </c>
      <c r="AP73" s="80">
        <f t="shared" si="30"/>
        <v>-79.551688200000001</v>
      </c>
      <c r="AQ73" s="83">
        <f t="shared" si="31"/>
        <v>-82.882459999999995</v>
      </c>
      <c r="AR73" s="83">
        <f t="shared" si="32"/>
        <v>-42.500021099999998</v>
      </c>
      <c r="AS73" s="83">
        <f t="shared" si="33"/>
        <v>-46.793226500000003</v>
      </c>
      <c r="AT73" s="83">
        <f t="shared" si="34"/>
        <v>-50.1823409</v>
      </c>
      <c r="AU73" s="83">
        <f t="shared" si="35"/>
        <v>-51.180945299999998</v>
      </c>
      <c r="AV73" s="84">
        <f t="shared" si="36"/>
        <v>-38.510570199999997</v>
      </c>
    </row>
    <row r="74" spans="33:48" x14ac:dyDescent="0.15">
      <c r="AG74" s="80" t="e">
        <f t="shared" si="21"/>
        <v>#VALUE!</v>
      </c>
      <c r="AH74" s="80" t="e">
        <f t="shared" si="22"/>
        <v>#VALUE!</v>
      </c>
      <c r="AI74" s="80">
        <f t="shared" ref="AI74:AV78" si="37">AI25-N25</f>
        <v>-23020672</v>
      </c>
      <c r="AJ74" s="80">
        <f t="shared" si="37"/>
        <v>-41910680</v>
      </c>
      <c r="AK74" s="80">
        <f t="shared" si="37"/>
        <v>-6293944</v>
      </c>
      <c r="AL74" s="80">
        <f t="shared" si="37"/>
        <v>0</v>
      </c>
      <c r="AM74" s="80">
        <f t="shared" si="37"/>
        <v>-4980256</v>
      </c>
      <c r="AN74" s="80">
        <f t="shared" si="37"/>
        <v>-30514456</v>
      </c>
      <c r="AO74" s="80">
        <f t="shared" si="37"/>
        <v>-122024</v>
      </c>
      <c r="AP74" s="80">
        <f t="shared" si="37"/>
        <v>-74.382304099999999</v>
      </c>
      <c r="AQ74" s="83">
        <f t="shared" si="37"/>
        <v>-76.267008899999993</v>
      </c>
      <c r="AR74" s="83">
        <f t="shared" si="37"/>
        <v>-31.198030800000002</v>
      </c>
      <c r="AS74" s="83">
        <f t="shared" si="37"/>
        <v>-39.931728399999997</v>
      </c>
      <c r="AT74" s="83">
        <f t="shared" si="37"/>
        <v>-36.630543099999997</v>
      </c>
      <c r="AU74" s="83">
        <f t="shared" si="37"/>
        <v>-45.096712500000002</v>
      </c>
      <c r="AV74" s="84">
        <f t="shared" si="37"/>
        <v>-28.330954200000001</v>
      </c>
    </row>
    <row r="75" spans="33:48" x14ac:dyDescent="0.15">
      <c r="AG75" s="80" t="e">
        <f t="shared" si="21"/>
        <v>#VALUE!</v>
      </c>
      <c r="AH75" s="80" t="e">
        <f t="shared" si="22"/>
        <v>#VALUE!</v>
      </c>
      <c r="AI75" s="80">
        <f t="shared" si="37"/>
        <v>-46063040</v>
      </c>
      <c r="AJ75" s="80">
        <f t="shared" si="37"/>
        <v>-81759560</v>
      </c>
      <c r="AK75" s="80">
        <f t="shared" si="37"/>
        <v>-10589840</v>
      </c>
      <c r="AL75" s="80">
        <f t="shared" si="37"/>
        <v>0</v>
      </c>
      <c r="AM75" s="80">
        <f t="shared" si="37"/>
        <v>-7268672</v>
      </c>
      <c r="AN75" s="80">
        <f t="shared" si="37"/>
        <v>-63777912</v>
      </c>
      <c r="AO75" s="80">
        <f t="shared" si="37"/>
        <v>-123136</v>
      </c>
      <c r="AP75" s="80">
        <f t="shared" si="37"/>
        <v>-77.290721899999994</v>
      </c>
      <c r="AQ75" s="83">
        <f t="shared" si="37"/>
        <v>-79.7671955</v>
      </c>
      <c r="AR75" s="83">
        <f t="shared" si="37"/>
        <v>-33.500752800000001</v>
      </c>
      <c r="AS75" s="83">
        <f t="shared" si="37"/>
        <v>-41.835040200000002</v>
      </c>
      <c r="AT75" s="83">
        <f t="shared" si="37"/>
        <v>-39.458032899999999</v>
      </c>
      <c r="AU75" s="83">
        <f t="shared" si="37"/>
        <v>-46.653028800000001</v>
      </c>
      <c r="AV75" s="84">
        <f t="shared" si="37"/>
        <v>-31.052650400000001</v>
      </c>
    </row>
    <row r="76" spans="33:48" x14ac:dyDescent="0.15">
      <c r="AG76" s="80" t="e">
        <f t="shared" si="21"/>
        <v>#VALUE!</v>
      </c>
      <c r="AH76" s="80" t="e">
        <f t="shared" si="22"/>
        <v>#VALUE!</v>
      </c>
      <c r="AI76" s="80">
        <f t="shared" si="37"/>
        <v>-92146688</v>
      </c>
      <c r="AJ76" s="80">
        <f t="shared" si="37"/>
        <v>-120040656</v>
      </c>
      <c r="AK76" s="80">
        <f t="shared" si="37"/>
        <v>-20110832</v>
      </c>
      <c r="AL76" s="80">
        <f t="shared" si="37"/>
        <v>0</v>
      </c>
      <c r="AM76" s="80">
        <f t="shared" si="37"/>
        <v>-6090840</v>
      </c>
      <c r="AN76" s="80">
        <f t="shared" si="37"/>
        <v>-93720560</v>
      </c>
      <c r="AO76" s="80">
        <f t="shared" si="37"/>
        <v>-118424</v>
      </c>
      <c r="AP76" s="80">
        <f t="shared" si="37"/>
        <v>-79.122225700000001</v>
      </c>
      <c r="AQ76" s="83">
        <f t="shared" si="37"/>
        <v>-82.067495199999996</v>
      </c>
      <c r="AR76" s="83">
        <f t="shared" si="37"/>
        <v>-34.568728499999999</v>
      </c>
      <c r="AS76" s="83">
        <f t="shared" si="37"/>
        <v>-43.209819600000003</v>
      </c>
      <c r="AT76" s="83">
        <f t="shared" si="37"/>
        <v>-41.279028400000001</v>
      </c>
      <c r="AU76" s="83">
        <f t="shared" si="37"/>
        <v>-47.938276700000003</v>
      </c>
      <c r="AV76" s="84">
        <f t="shared" si="37"/>
        <v>-32.318621299999997</v>
      </c>
    </row>
    <row r="77" spans="33:48" x14ac:dyDescent="0.15">
      <c r="AG77" s="80" t="e">
        <f t="shared" si="21"/>
        <v>#VALUE!</v>
      </c>
      <c r="AH77" s="80" t="e">
        <f t="shared" si="22"/>
        <v>#VALUE!</v>
      </c>
      <c r="AI77" s="80">
        <f t="shared" si="37"/>
        <v>-184309952</v>
      </c>
      <c r="AJ77" s="80">
        <f t="shared" si="37"/>
        <v>-171713640</v>
      </c>
      <c r="AK77" s="80">
        <f t="shared" si="37"/>
        <v>-39367904</v>
      </c>
      <c r="AL77" s="80">
        <f t="shared" si="37"/>
        <v>0</v>
      </c>
      <c r="AM77" s="80">
        <f t="shared" si="37"/>
        <v>-5661032</v>
      </c>
      <c r="AN77" s="80">
        <f t="shared" si="37"/>
        <v>-126569952</v>
      </c>
      <c r="AO77" s="80">
        <f t="shared" si="37"/>
        <v>-114752</v>
      </c>
      <c r="AP77" s="80">
        <f t="shared" si="37"/>
        <v>-80.758384699999993</v>
      </c>
      <c r="AQ77" s="83">
        <f t="shared" si="37"/>
        <v>-84.447029999999998</v>
      </c>
      <c r="AR77" s="83">
        <f t="shared" si="37"/>
        <v>-35.338951899999998</v>
      </c>
      <c r="AS77" s="83">
        <f t="shared" si="37"/>
        <v>-43.552793200000004</v>
      </c>
      <c r="AT77" s="83">
        <f t="shared" si="37"/>
        <v>-41.7589489</v>
      </c>
      <c r="AU77" s="83">
        <f t="shared" si="37"/>
        <v>-49.371232200000001</v>
      </c>
      <c r="AV77" s="84">
        <f t="shared" si="37"/>
        <v>-33.547072399999998</v>
      </c>
    </row>
    <row r="78" spans="33:48" x14ac:dyDescent="0.15">
      <c r="AG78" s="80" t="e">
        <f t="shared" si="21"/>
        <v>#VALUE!</v>
      </c>
      <c r="AH78" s="80" t="e">
        <f t="shared" si="22"/>
        <v>#VALUE!</v>
      </c>
      <c r="AI78" s="80">
        <f t="shared" si="37"/>
        <v>-138237936</v>
      </c>
      <c r="AJ78" s="80">
        <f t="shared" si="37"/>
        <v>-254884728</v>
      </c>
      <c r="AK78" s="80">
        <f t="shared" si="37"/>
        <v>-85185952</v>
      </c>
      <c r="AL78" s="80">
        <f t="shared" si="37"/>
        <v>0</v>
      </c>
      <c r="AM78" s="80">
        <f t="shared" si="37"/>
        <v>-8185008</v>
      </c>
      <c r="AN78" s="80">
        <f t="shared" si="37"/>
        <v>-161411296</v>
      </c>
      <c r="AO78" s="80">
        <f t="shared" si="37"/>
        <v>-102472</v>
      </c>
      <c r="AP78" s="80">
        <f t="shared" si="37"/>
        <v>-85.152142299999994</v>
      </c>
      <c r="AQ78" s="83">
        <f t="shared" si="37"/>
        <v>-90.954215300000001</v>
      </c>
      <c r="AR78" s="83">
        <f t="shared" si="37"/>
        <v>-36.054105900000003</v>
      </c>
      <c r="AS78" s="83">
        <f t="shared" si="37"/>
        <v>-43.881889800000003</v>
      </c>
      <c r="AT78" s="83">
        <f t="shared" si="37"/>
        <v>-42.2221653</v>
      </c>
      <c r="AU78" s="83">
        <f t="shared" si="37"/>
        <v>-53.382747999999999</v>
      </c>
      <c r="AV78" s="84">
        <f t="shared" si="37"/>
        <v>-35.276370900000003</v>
      </c>
    </row>
    <row r="79" spans="33:48" x14ac:dyDescent="0.15">
      <c r="AG79" s="80" t="e">
        <f t="shared" si="21"/>
        <v>#VALUE!</v>
      </c>
      <c r="AH79" s="80" t="e">
        <f t="shared" si="22"/>
        <v>#VALUE!</v>
      </c>
      <c r="AI79" s="80">
        <f t="shared" si="23"/>
        <v>-11249536</v>
      </c>
      <c r="AJ79" s="80">
        <f t="shared" si="24"/>
        <v>-19928264</v>
      </c>
      <c r="AK79" s="80">
        <f t="shared" si="25"/>
        <v>-2261232</v>
      </c>
      <c r="AL79" s="80">
        <f t="shared" si="26"/>
        <v>-245888</v>
      </c>
      <c r="AM79" s="80">
        <f t="shared" si="27"/>
        <v>-2750944</v>
      </c>
      <c r="AN79" s="80">
        <f t="shared" si="28"/>
        <v>-14609224</v>
      </c>
      <c r="AO79" s="80">
        <f t="shared" si="29"/>
        <v>-60976</v>
      </c>
      <c r="AP79" s="80">
        <f t="shared" si="30"/>
        <v>-73.630081200000006</v>
      </c>
      <c r="AQ79" s="83">
        <f t="shared" si="31"/>
        <v>-75.369535900000002</v>
      </c>
      <c r="AR79" s="83">
        <f t="shared" si="32"/>
        <v>-38.210568700000003</v>
      </c>
      <c r="AS79" s="83">
        <f t="shared" si="33"/>
        <v>-44.356045600000002</v>
      </c>
      <c r="AT79" s="83">
        <f t="shared" si="34"/>
        <v>-42.9973642</v>
      </c>
      <c r="AU79" s="83">
        <f t="shared" si="35"/>
        <v>-48.428464300000002</v>
      </c>
      <c r="AV79" s="84">
        <f t="shared" si="36"/>
        <v>-34.767455099999999</v>
      </c>
    </row>
    <row r="80" spans="33:48" x14ac:dyDescent="0.15">
      <c r="AG80" s="80" t="e">
        <f t="shared" si="21"/>
        <v>#VALUE!</v>
      </c>
      <c r="AH80" s="80" t="e">
        <f t="shared" si="22"/>
        <v>#VALUE!</v>
      </c>
      <c r="AI80" s="80">
        <f t="shared" si="23"/>
        <v>-5691376</v>
      </c>
      <c r="AJ80" s="80">
        <f t="shared" si="24"/>
        <v>-40838824</v>
      </c>
      <c r="AK80" s="80">
        <f t="shared" si="25"/>
        <v>-3875280</v>
      </c>
      <c r="AL80" s="80">
        <f t="shared" si="26"/>
        <v>-356936</v>
      </c>
      <c r="AM80" s="80">
        <f t="shared" si="27"/>
        <v>-4532832</v>
      </c>
      <c r="AN80" s="80">
        <f t="shared" si="28"/>
        <v>-32019432</v>
      </c>
      <c r="AO80" s="80">
        <f t="shared" si="29"/>
        <v>-54344</v>
      </c>
      <c r="AP80" s="80">
        <f t="shared" si="30"/>
        <v>-76.265916599999997</v>
      </c>
      <c r="AQ80" s="83">
        <f t="shared" si="31"/>
        <v>-78.429480100000006</v>
      </c>
      <c r="AR80" s="83">
        <f t="shared" si="32"/>
        <v>-40.484016799999999</v>
      </c>
      <c r="AS80" s="83">
        <f t="shared" si="33"/>
        <v>-45.791525800000002</v>
      </c>
      <c r="AT80" s="83">
        <f t="shared" si="34"/>
        <v>-44.633821099999999</v>
      </c>
      <c r="AU80" s="83">
        <f t="shared" si="35"/>
        <v>-49.572316600000001</v>
      </c>
      <c r="AV80" s="84">
        <f t="shared" si="36"/>
        <v>-36.444217399999999</v>
      </c>
    </row>
    <row r="81" spans="33:48" x14ac:dyDescent="0.15">
      <c r="AG81" s="80" t="e">
        <f t="shared" si="21"/>
        <v>#VALUE!</v>
      </c>
      <c r="AH81" s="80" t="e">
        <f t="shared" si="22"/>
        <v>#VALUE!</v>
      </c>
      <c r="AI81" s="80">
        <f t="shared" si="23"/>
        <v>-22963840</v>
      </c>
      <c r="AJ81" s="80">
        <f t="shared" si="24"/>
        <v>-60705920</v>
      </c>
      <c r="AK81" s="80">
        <f t="shared" si="25"/>
        <v>-11598656</v>
      </c>
      <c r="AL81" s="80">
        <f t="shared" si="26"/>
        <v>-869456</v>
      </c>
      <c r="AM81" s="80">
        <f t="shared" si="27"/>
        <v>-4446664</v>
      </c>
      <c r="AN81" s="80">
        <f t="shared" si="28"/>
        <v>-43738176</v>
      </c>
      <c r="AO81" s="80">
        <f t="shared" si="29"/>
        <v>-52968</v>
      </c>
      <c r="AP81" s="80">
        <f t="shared" si="30"/>
        <v>-79.732635999999999</v>
      </c>
      <c r="AQ81" s="83">
        <f t="shared" si="31"/>
        <v>-82.887640200000007</v>
      </c>
      <c r="AR81" s="83">
        <f t="shared" si="32"/>
        <v>-41.572343600000004</v>
      </c>
      <c r="AS81" s="83">
        <f t="shared" si="33"/>
        <v>-46.546014300000003</v>
      </c>
      <c r="AT81" s="83">
        <f t="shared" si="34"/>
        <v>-45.594505599999998</v>
      </c>
      <c r="AU81" s="83">
        <f t="shared" si="35"/>
        <v>-52.072374099999998</v>
      </c>
      <c r="AV81" s="84">
        <f t="shared" si="36"/>
        <v>-38.764899700000001</v>
      </c>
    </row>
    <row r="82" spans="33:48" x14ac:dyDescent="0.15">
      <c r="AG82" s="80" t="e">
        <f t="shared" si="21"/>
        <v>#VALUE!</v>
      </c>
      <c r="AH82" s="80" t="e">
        <f t="shared" si="22"/>
        <v>#VALUE!</v>
      </c>
      <c r="AI82" s="80">
        <f t="shared" si="23"/>
        <v>-22963840</v>
      </c>
      <c r="AJ82" s="80">
        <f t="shared" si="24"/>
        <v>-84668712</v>
      </c>
      <c r="AK82" s="80">
        <f t="shared" si="25"/>
        <v>-11598656</v>
      </c>
      <c r="AL82" s="80">
        <f t="shared" si="26"/>
        <v>-869456</v>
      </c>
      <c r="AM82" s="80">
        <f t="shared" si="27"/>
        <v>-9382336</v>
      </c>
      <c r="AN82" s="80">
        <f t="shared" si="28"/>
        <v>-62764096</v>
      </c>
      <c r="AO82" s="80">
        <f t="shared" si="29"/>
        <v>-54168</v>
      </c>
      <c r="AP82" s="80">
        <f t="shared" si="30"/>
        <v>-81.052685999999994</v>
      </c>
      <c r="AQ82" s="83">
        <f t="shared" si="31"/>
        <v>-85.104034900000002</v>
      </c>
      <c r="AR82" s="83">
        <f t="shared" si="32"/>
        <v>-42.445962199999997</v>
      </c>
      <c r="AS82" s="83">
        <f t="shared" si="33"/>
        <v>-47.637386800000002</v>
      </c>
      <c r="AT82" s="83">
        <f t="shared" si="34"/>
        <v>-46.793233700000002</v>
      </c>
      <c r="AU82" s="83">
        <f t="shared" si="35"/>
        <v>-53.045777700000002</v>
      </c>
      <c r="AV82" s="84">
        <f t="shared" si="36"/>
        <v>-39.9206577</v>
      </c>
    </row>
    <row r="83" spans="33:48" x14ac:dyDescent="0.15">
      <c r="AG83" s="80" t="e">
        <f t="shared" si="21"/>
        <v>#VALUE!</v>
      </c>
      <c r="AH83" s="80" t="e">
        <f t="shared" si="22"/>
        <v>#VALUE!</v>
      </c>
      <c r="AI83" s="80">
        <f t="shared" si="23"/>
        <v>-57516368</v>
      </c>
      <c r="AJ83" s="80">
        <f t="shared" si="24"/>
        <v>-117906512</v>
      </c>
      <c r="AK83" s="80">
        <f t="shared" si="25"/>
        <v>-26579040</v>
      </c>
      <c r="AL83" s="80">
        <f t="shared" si="26"/>
        <v>-4258864</v>
      </c>
      <c r="AM83" s="80">
        <f t="shared" si="27"/>
        <v>-1668024</v>
      </c>
      <c r="AN83" s="80">
        <f t="shared" si="28"/>
        <v>-85348912</v>
      </c>
      <c r="AO83" s="80">
        <f t="shared" si="29"/>
        <v>-51672</v>
      </c>
      <c r="AP83" s="80">
        <f t="shared" si="30"/>
        <v>-83.999206700000002</v>
      </c>
      <c r="AQ83" s="83">
        <f t="shared" si="31"/>
        <v>-88.716287100000002</v>
      </c>
      <c r="AR83" s="83">
        <f t="shared" si="32"/>
        <v>-43.405236199999997</v>
      </c>
      <c r="AS83" s="83">
        <f t="shared" si="33"/>
        <v>-48.3418244</v>
      </c>
      <c r="AT83" s="83">
        <f t="shared" si="34"/>
        <v>-47.5998862</v>
      </c>
      <c r="AU83" s="83">
        <f t="shared" si="35"/>
        <v>-55.644912699999999</v>
      </c>
      <c r="AV83" s="84">
        <f t="shared" si="36"/>
        <v>-41.973339000000003</v>
      </c>
    </row>
    <row r="84" spans="33:48" x14ac:dyDescent="0.15">
      <c r="AG84" s="80" t="e">
        <f t="shared" si="21"/>
        <v>#VALUE!</v>
      </c>
      <c r="AH84" s="80" t="e">
        <f t="shared" si="22"/>
        <v>#VALUE!</v>
      </c>
      <c r="AI84" s="80">
        <f t="shared" si="23"/>
        <v>-34433344</v>
      </c>
      <c r="AJ84" s="80">
        <f t="shared" si="24"/>
        <v>-26609384</v>
      </c>
      <c r="AK84" s="80">
        <f t="shared" si="25"/>
        <v>-3367752</v>
      </c>
      <c r="AL84" s="80">
        <f t="shared" si="26"/>
        <v>-817808</v>
      </c>
      <c r="AM84" s="80">
        <f t="shared" si="27"/>
        <v>-2656184</v>
      </c>
      <c r="AN84" s="80">
        <f t="shared" si="28"/>
        <v>-19653232</v>
      </c>
      <c r="AO84" s="80">
        <f t="shared" si="29"/>
        <v>-114408</v>
      </c>
      <c r="AP84" s="80">
        <f t="shared" si="30"/>
        <v>-73.4160337</v>
      </c>
      <c r="AQ84" s="83">
        <f t="shared" si="31"/>
        <v>-75.156927499999995</v>
      </c>
      <c r="AR84" s="83">
        <f t="shared" si="32"/>
        <v>-30.240881699999999</v>
      </c>
      <c r="AS84" s="83">
        <f t="shared" si="33"/>
        <v>-38.975788899999998</v>
      </c>
      <c r="AT84" s="83">
        <f t="shared" si="34"/>
        <v>-39.007814099999997</v>
      </c>
      <c r="AU84" s="83">
        <f t="shared" si="35"/>
        <v>-48.630919200000001</v>
      </c>
      <c r="AV84" s="84">
        <f t="shared" si="36"/>
        <v>-29.399853499999999</v>
      </c>
    </row>
    <row r="85" spans="33:48" x14ac:dyDescent="0.15">
      <c r="AG85" s="80" t="e">
        <f t="shared" si="21"/>
        <v>#VALUE!</v>
      </c>
      <c r="AH85" s="80" t="e">
        <f t="shared" si="22"/>
        <v>#VALUE!</v>
      </c>
      <c r="AI85" s="80">
        <f t="shared" si="23"/>
        <v>-68916416</v>
      </c>
      <c r="AJ85" s="80">
        <f t="shared" si="24"/>
        <v>-37126512</v>
      </c>
      <c r="AK85" s="80">
        <f t="shared" si="25"/>
        <v>-5687184</v>
      </c>
      <c r="AL85" s="80">
        <f t="shared" si="26"/>
        <v>-1439152</v>
      </c>
      <c r="AM85" s="80">
        <f t="shared" si="27"/>
        <v>-1186888</v>
      </c>
      <c r="AN85" s="80">
        <f t="shared" si="28"/>
        <v>-28699112</v>
      </c>
      <c r="AO85" s="80">
        <f t="shared" si="29"/>
        <v>-114176</v>
      </c>
      <c r="AP85" s="80">
        <f t="shared" si="30"/>
        <v>-73.761887099999996</v>
      </c>
      <c r="AQ85" s="83">
        <f t="shared" si="31"/>
        <v>-75.519570400000006</v>
      </c>
      <c r="AR85" s="83">
        <f t="shared" si="32"/>
        <v>-30.699057700000001</v>
      </c>
      <c r="AS85" s="83">
        <f t="shared" si="33"/>
        <v>-39.081950499999998</v>
      </c>
      <c r="AT85" s="83">
        <f t="shared" si="34"/>
        <v>-39.167877599999997</v>
      </c>
      <c r="AU85" s="83">
        <f t="shared" si="35"/>
        <v>-48.926101000000003</v>
      </c>
      <c r="AV85" s="84">
        <f t="shared" si="36"/>
        <v>-29.731115800000001</v>
      </c>
    </row>
    <row r="86" spans="33:48" x14ac:dyDescent="0.15">
      <c r="AG86" s="80" t="e">
        <f t="shared" si="21"/>
        <v>#VALUE!</v>
      </c>
      <c r="AH86" s="80" t="e">
        <f t="shared" si="22"/>
        <v>#VALUE!</v>
      </c>
      <c r="AI86" s="80">
        <f t="shared" si="23"/>
        <v>-68916416</v>
      </c>
      <c r="AJ86" s="80">
        <f t="shared" si="24"/>
        <v>-55190552</v>
      </c>
      <c r="AK86" s="80">
        <f t="shared" si="25"/>
        <v>-5687184</v>
      </c>
      <c r="AL86" s="80">
        <f t="shared" si="26"/>
        <v>-1439152</v>
      </c>
      <c r="AM86" s="80">
        <f t="shared" si="27"/>
        <v>-4193000</v>
      </c>
      <c r="AN86" s="80">
        <f t="shared" si="28"/>
        <v>-43755168</v>
      </c>
      <c r="AO86" s="80">
        <f t="shared" si="29"/>
        <v>-116048</v>
      </c>
      <c r="AP86" s="80">
        <f t="shared" si="30"/>
        <v>-76.524777</v>
      </c>
      <c r="AQ86" s="83">
        <f t="shared" si="31"/>
        <v>-78.785826799999995</v>
      </c>
      <c r="AR86" s="83">
        <f t="shared" si="32"/>
        <v>-31.327154700000001</v>
      </c>
      <c r="AS86" s="83">
        <f t="shared" si="33"/>
        <v>-39.175425799999999</v>
      </c>
      <c r="AT86" s="83">
        <f t="shared" si="34"/>
        <v>-39.313124799999997</v>
      </c>
      <c r="AU86" s="83">
        <f t="shared" si="35"/>
        <v>-50.414450600000002</v>
      </c>
      <c r="AV86" s="84">
        <f t="shared" si="36"/>
        <v>-30.514772700000002</v>
      </c>
    </row>
    <row r="87" spans="33:48" x14ac:dyDescent="0.15">
      <c r="AG87" s="80" t="e">
        <f t="shared" si="21"/>
        <v>#VALUE!</v>
      </c>
      <c r="AH87" s="80" t="e">
        <f t="shared" si="22"/>
        <v>#VALUE!</v>
      </c>
      <c r="AI87" s="80">
        <f t="shared" si="23"/>
        <v>-137868096</v>
      </c>
      <c r="AJ87" s="80">
        <f t="shared" si="24"/>
        <v>-74504320</v>
      </c>
      <c r="AK87" s="80">
        <f t="shared" si="25"/>
        <v>-11008784</v>
      </c>
      <c r="AL87" s="80">
        <f t="shared" si="26"/>
        <v>-3482064</v>
      </c>
      <c r="AM87" s="80">
        <f t="shared" si="27"/>
        <v>-3761264</v>
      </c>
      <c r="AN87" s="80">
        <f t="shared" si="28"/>
        <v>-56140104</v>
      </c>
      <c r="AO87" s="80">
        <f t="shared" si="29"/>
        <v>-112104</v>
      </c>
      <c r="AP87" s="80">
        <f t="shared" si="30"/>
        <v>-78.9544602</v>
      </c>
      <c r="AQ87" s="83">
        <f t="shared" si="31"/>
        <v>-81.845604300000005</v>
      </c>
      <c r="AR87" s="83">
        <f t="shared" si="32"/>
        <v>-31.779832800000001</v>
      </c>
      <c r="AS87" s="83">
        <f t="shared" si="33"/>
        <v>-39.268583100000001</v>
      </c>
      <c r="AT87" s="83">
        <f t="shared" si="34"/>
        <v>-39.487376900000001</v>
      </c>
      <c r="AU87" s="83">
        <f t="shared" si="35"/>
        <v>-51.782623100000002</v>
      </c>
      <c r="AV87" s="84">
        <f t="shared" si="36"/>
        <v>-31.116455899999998</v>
      </c>
    </row>
    <row r="88" spans="33:48" x14ac:dyDescent="0.15">
      <c r="AG88" s="80" t="e">
        <f t="shared" si="21"/>
        <v>#VALUE!</v>
      </c>
      <c r="AH88" s="80" t="e">
        <f t="shared" si="22"/>
        <v>#VALUE!</v>
      </c>
      <c r="AI88" s="80">
        <f t="shared" si="23"/>
        <v>-206807104</v>
      </c>
      <c r="AJ88" s="80">
        <f t="shared" si="24"/>
        <v>-113947784</v>
      </c>
      <c r="AK88" s="80">
        <f t="shared" si="25"/>
        <v>-16713448</v>
      </c>
      <c r="AL88" s="80">
        <f t="shared" si="26"/>
        <v>-4693272</v>
      </c>
      <c r="AM88" s="80">
        <f t="shared" si="27"/>
        <v>-3344792</v>
      </c>
      <c r="AN88" s="80">
        <f t="shared" si="28"/>
        <v>-89086416</v>
      </c>
      <c r="AO88" s="80">
        <f t="shared" si="29"/>
        <v>-109856</v>
      </c>
      <c r="AP88" s="80">
        <f t="shared" si="30"/>
        <v>-80.371525099999999</v>
      </c>
      <c r="AQ88" s="83">
        <f t="shared" si="31"/>
        <v>-83.761094200000002</v>
      </c>
      <c r="AR88" s="83">
        <f t="shared" si="32"/>
        <v>-32.4896745</v>
      </c>
      <c r="AS88" s="83">
        <f t="shared" si="33"/>
        <v>-39.343144700000003</v>
      </c>
      <c r="AT88" s="83">
        <f t="shared" si="34"/>
        <v>-39.612588600000002</v>
      </c>
      <c r="AU88" s="83">
        <f t="shared" si="35"/>
        <v>-52.626633699999999</v>
      </c>
      <c r="AV88" s="84">
        <f t="shared" si="36"/>
        <v>-31.8321398</v>
      </c>
    </row>
    <row r="89" spans="33:48" x14ac:dyDescent="0.15">
      <c r="AG89" s="80" t="e">
        <f t="shared" si="21"/>
        <v>#VALUE!</v>
      </c>
      <c r="AH89" s="80" t="e">
        <f t="shared" si="22"/>
        <v>#VALUE!</v>
      </c>
      <c r="AI89" s="80">
        <f t="shared" si="23"/>
        <v>-34506048</v>
      </c>
      <c r="AJ89" s="80">
        <f t="shared" si="24"/>
        <v>-29568736</v>
      </c>
      <c r="AK89" s="80">
        <f t="shared" si="25"/>
        <v>-3185704</v>
      </c>
      <c r="AL89" s="80">
        <f t="shared" si="26"/>
        <v>-277960</v>
      </c>
      <c r="AM89" s="80">
        <f t="shared" si="27"/>
        <v>-2823128</v>
      </c>
      <c r="AN89" s="80">
        <f t="shared" si="28"/>
        <v>-23165912</v>
      </c>
      <c r="AO89" s="80">
        <f t="shared" si="29"/>
        <v>-116032</v>
      </c>
      <c r="AP89" s="80">
        <f t="shared" si="30"/>
        <v>-74.651373399999997</v>
      </c>
      <c r="AQ89" s="83">
        <f t="shared" si="31"/>
        <v>-76.276726100000005</v>
      </c>
      <c r="AR89" s="83">
        <f t="shared" si="32"/>
        <v>-33.346988699999997</v>
      </c>
      <c r="AS89" s="83">
        <f t="shared" si="33"/>
        <v>-42.560217600000001</v>
      </c>
      <c r="AT89" s="83">
        <f t="shared" si="34"/>
        <v>-42.8881041</v>
      </c>
      <c r="AU89" s="83">
        <f t="shared" si="35"/>
        <v>-49.368756400000002</v>
      </c>
      <c r="AV89" s="84">
        <f t="shared" si="36"/>
        <v>-32.547138599999997</v>
      </c>
    </row>
    <row r="90" spans="33:48" x14ac:dyDescent="0.15">
      <c r="AG90" s="80" t="e">
        <f t="shared" si="21"/>
        <v>#VALUE!</v>
      </c>
      <c r="AH90" s="80" t="e">
        <f t="shared" si="22"/>
        <v>#VALUE!</v>
      </c>
      <c r="AI90" s="80">
        <f t="shared" si="23"/>
        <v>-69039104</v>
      </c>
      <c r="AJ90" s="80">
        <f t="shared" si="24"/>
        <v>-38613912</v>
      </c>
      <c r="AK90" s="80">
        <f t="shared" si="25"/>
        <v>-6084808</v>
      </c>
      <c r="AL90" s="80">
        <f t="shared" si="26"/>
        <v>-989192</v>
      </c>
      <c r="AM90" s="80">
        <f t="shared" si="27"/>
        <v>-2909168</v>
      </c>
      <c r="AN90" s="80">
        <f t="shared" si="28"/>
        <v>-28515720</v>
      </c>
      <c r="AO90" s="80">
        <f t="shared" si="29"/>
        <v>-115024</v>
      </c>
      <c r="AP90" s="80">
        <f t="shared" si="30"/>
        <v>-76.613254699999999</v>
      </c>
      <c r="AQ90" s="83">
        <f t="shared" si="31"/>
        <v>-78.540081000000001</v>
      </c>
      <c r="AR90" s="83">
        <f t="shared" si="32"/>
        <v>-33.663436599999997</v>
      </c>
      <c r="AS90" s="83">
        <f t="shared" si="33"/>
        <v>-42.739626199999996</v>
      </c>
      <c r="AT90" s="83">
        <f t="shared" si="34"/>
        <v>-43.161862300000003</v>
      </c>
      <c r="AU90" s="83">
        <f t="shared" si="35"/>
        <v>-50.646894899999999</v>
      </c>
      <c r="AV90" s="84">
        <f t="shared" si="36"/>
        <v>-33.026199099999999</v>
      </c>
    </row>
    <row r="91" spans="33:48" x14ac:dyDescent="0.15">
      <c r="AG91" s="80" t="e">
        <f t="shared" si="21"/>
        <v>#VALUE!</v>
      </c>
      <c r="AH91" s="80" t="e">
        <f t="shared" si="22"/>
        <v>#VALUE!</v>
      </c>
      <c r="AI91" s="80">
        <f t="shared" si="23"/>
        <v>-138089728</v>
      </c>
      <c r="AJ91" s="80">
        <f t="shared" si="24"/>
        <v>-60129432</v>
      </c>
      <c r="AK91" s="80">
        <f t="shared" si="25"/>
        <v>-10922360</v>
      </c>
      <c r="AL91" s="80">
        <f t="shared" si="26"/>
        <v>-1794368</v>
      </c>
      <c r="AM91" s="80">
        <f t="shared" si="27"/>
        <v>-2131616</v>
      </c>
      <c r="AN91" s="80">
        <f t="shared" si="28"/>
        <v>-45169624</v>
      </c>
      <c r="AO91" s="80">
        <f t="shared" si="29"/>
        <v>-111464</v>
      </c>
      <c r="AP91" s="80">
        <f t="shared" si="30"/>
        <v>-78.426489000000004</v>
      </c>
      <c r="AQ91" s="83">
        <f t="shared" si="31"/>
        <v>-80.691666600000005</v>
      </c>
      <c r="AR91" s="83">
        <f t="shared" si="32"/>
        <v>-34.291195899999998</v>
      </c>
      <c r="AS91" s="83">
        <f t="shared" si="33"/>
        <v>-42.892204599999999</v>
      </c>
      <c r="AT91" s="83">
        <f t="shared" si="34"/>
        <v>-43.3965076</v>
      </c>
      <c r="AU91" s="83">
        <f t="shared" si="35"/>
        <v>-51.746219400000001</v>
      </c>
      <c r="AV91" s="84">
        <f t="shared" si="36"/>
        <v>-33.686579399999999</v>
      </c>
    </row>
    <row r="92" spans="33:48" x14ac:dyDescent="0.15">
      <c r="AG92" s="80" t="e">
        <f t="shared" si="21"/>
        <v>#VALUE!</v>
      </c>
      <c r="AH92" s="80" t="e">
        <f t="shared" si="22"/>
        <v>#VALUE!</v>
      </c>
      <c r="AI92" s="80">
        <f t="shared" si="23"/>
        <v>-138089728</v>
      </c>
      <c r="AJ92" s="80">
        <f t="shared" si="24"/>
        <v>-78086464</v>
      </c>
      <c r="AK92" s="80">
        <f t="shared" si="25"/>
        <v>-10922360</v>
      </c>
      <c r="AL92" s="80">
        <f t="shared" si="26"/>
        <v>-1794368</v>
      </c>
      <c r="AM92" s="80">
        <f t="shared" si="27"/>
        <v>-4831896</v>
      </c>
      <c r="AN92" s="80">
        <f t="shared" si="28"/>
        <v>-60424968</v>
      </c>
      <c r="AO92" s="80">
        <f t="shared" si="29"/>
        <v>-112872</v>
      </c>
      <c r="AP92" s="80">
        <f t="shared" si="30"/>
        <v>-79.736300999999997</v>
      </c>
      <c r="AQ92" s="83">
        <f t="shared" si="31"/>
        <v>-82.475049400000003</v>
      </c>
      <c r="AR92" s="83">
        <f t="shared" si="32"/>
        <v>-34.345360599999999</v>
      </c>
      <c r="AS92" s="83">
        <f t="shared" si="33"/>
        <v>-43.026237299999998</v>
      </c>
      <c r="AT92" s="83">
        <f t="shared" si="34"/>
        <v>-43.571548999999997</v>
      </c>
      <c r="AU92" s="83">
        <f t="shared" si="35"/>
        <v>-52.461032199999998</v>
      </c>
      <c r="AV92" s="84">
        <f t="shared" si="36"/>
        <v>-33.837084900000001</v>
      </c>
    </row>
    <row r="93" spans="33:48" ht="15.75" customHeight="1" x14ac:dyDescent="0.15">
      <c r="AG93" s="92" t="e">
        <f t="shared" si="21"/>
        <v>#VALUE!</v>
      </c>
      <c r="AH93" s="92" t="e">
        <f t="shared" si="22"/>
        <v>#VALUE!</v>
      </c>
      <c r="AI93" s="92">
        <f t="shared" si="23"/>
        <v>-207140672</v>
      </c>
      <c r="AJ93" s="92">
        <f t="shared" si="24"/>
        <v>-119432096</v>
      </c>
      <c r="AK93" s="92">
        <f t="shared" si="25"/>
        <v>-15548992</v>
      </c>
      <c r="AL93" s="92">
        <f t="shared" si="26"/>
        <v>-2554104</v>
      </c>
      <c r="AM93" s="92">
        <f t="shared" si="27"/>
        <v>-4713904</v>
      </c>
      <c r="AN93" s="92">
        <f t="shared" si="28"/>
        <v>-96505584</v>
      </c>
      <c r="AO93" s="92">
        <f t="shared" si="29"/>
        <v>-109512</v>
      </c>
      <c r="AP93" s="92">
        <f t="shared" si="30"/>
        <v>-81.119651700000006</v>
      </c>
      <c r="AQ93" s="93">
        <f t="shared" si="31"/>
        <v>-84.359108300000003</v>
      </c>
      <c r="AR93" s="93">
        <f t="shared" si="32"/>
        <v>-34.9139731</v>
      </c>
      <c r="AS93" s="93">
        <f t="shared" si="33"/>
        <v>-43.127568699999998</v>
      </c>
      <c r="AT93" s="93">
        <f t="shared" si="34"/>
        <v>-43.722547800000001</v>
      </c>
      <c r="AU93" s="93">
        <f t="shared" si="35"/>
        <v>-53.248137700000001</v>
      </c>
      <c r="AV93" s="94">
        <f t="shared" si="36"/>
        <v>-34.421468400000002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AB2:AB3"/>
    <mergeCell ref="AC2:AC3"/>
    <mergeCell ref="L2:L3"/>
    <mergeCell ref="M2:M3"/>
    <mergeCell ref="A1:H1"/>
    <mergeCell ref="J1:AC1"/>
    <mergeCell ref="AE1:AX1"/>
    <mergeCell ref="U2:Y2"/>
    <mergeCell ref="Z2:AA2"/>
    <mergeCell ref="AP2:AT2"/>
    <mergeCell ref="AU2:AV2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J2:J3"/>
    <mergeCell ref="K2:K3"/>
    <mergeCell ref="A2:A3"/>
    <mergeCell ref="B2:B3"/>
    <mergeCell ref="C2:C3"/>
    <mergeCell ref="D2:D3"/>
    <mergeCell ref="E2:E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workbookViewId="0">
      <selection activeCell="L49" sqref="L49"/>
    </sheetView>
  </sheetViews>
  <sheetFormatPr defaultColWidth="8.875" defaultRowHeight="13.5" x14ac:dyDescent="0.15"/>
  <sheetData>
    <row r="1" spans="1:16" ht="15.75" customHeight="1" x14ac:dyDescent="0.15">
      <c r="C1" s="146" t="s">
        <v>386</v>
      </c>
      <c r="D1" s="147"/>
      <c r="E1" s="147"/>
      <c r="F1" s="147"/>
      <c r="G1" s="147"/>
      <c r="H1" s="147"/>
      <c r="I1" s="145"/>
      <c r="J1" s="146" t="s">
        <v>436</v>
      </c>
      <c r="K1" s="147"/>
      <c r="L1" s="147"/>
      <c r="M1" s="147"/>
      <c r="N1" s="147"/>
      <c r="O1" s="147"/>
      <c r="P1" s="145"/>
    </row>
    <row r="2" spans="1:16" ht="15.75" customHeight="1" x14ac:dyDescent="0.15">
      <c r="A2" s="132" t="s">
        <v>161</v>
      </c>
      <c r="B2" s="134" t="s">
        <v>162</v>
      </c>
      <c r="C2" s="148" t="s">
        <v>16</v>
      </c>
      <c r="D2" s="118"/>
      <c r="E2" s="118"/>
      <c r="F2" s="118"/>
      <c r="G2" s="118"/>
      <c r="H2" s="149" t="s">
        <v>17</v>
      </c>
      <c r="I2" s="139"/>
      <c r="J2" s="148" t="s">
        <v>16</v>
      </c>
      <c r="K2" s="118"/>
      <c r="L2" s="118"/>
      <c r="M2" s="118"/>
      <c r="N2" s="118"/>
      <c r="O2" s="149" t="s">
        <v>17</v>
      </c>
      <c r="P2" s="139"/>
    </row>
    <row r="3" spans="1:16" ht="30.75" customHeight="1" x14ac:dyDescent="0.15">
      <c r="A3" s="133"/>
      <c r="B3" s="135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42" t="str">
        <f>Summary!B20</f>
        <v>Cat1-A average</v>
      </c>
      <c r="B13" s="139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43" t="str">
        <f>Summary!B21</f>
        <v>Cat1-B average</v>
      </c>
      <c r="B14" s="137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36" t="str">
        <f>Summary!B22</f>
        <v>Cat1-C average</v>
      </c>
      <c r="B15" s="137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36" t="str">
        <f>Summary!B23</f>
        <v>Cat1-D average</v>
      </c>
      <c r="B16" s="137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44" t="str">
        <f>Summary!B24</f>
        <v>Overall average</v>
      </c>
      <c r="B17" s="145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36" t="str">
        <f>Summary!B25</f>
        <v>Avg. Enc Time [%]</v>
      </c>
      <c r="B18" s="137"/>
      <c r="C18" s="138">
        <f>Summary!C25</f>
        <v>0</v>
      </c>
      <c r="D18" s="118"/>
      <c r="E18" s="118"/>
      <c r="F18" s="118"/>
      <c r="G18" s="118"/>
      <c r="H18" s="118"/>
      <c r="I18" s="139"/>
      <c r="J18" s="138">
        <f>Summary!C38</f>
        <v>0</v>
      </c>
      <c r="K18" s="118"/>
      <c r="L18" s="118"/>
      <c r="M18" s="118"/>
      <c r="N18" s="118"/>
      <c r="O18" s="118"/>
      <c r="P18" s="139"/>
    </row>
    <row r="19" spans="1:16" ht="15.75" customHeight="1" x14ac:dyDescent="0.15">
      <c r="A19" s="140" t="str">
        <f>Summary!B26</f>
        <v>Avg. Dec Time [%]</v>
      </c>
      <c r="B19" s="135"/>
      <c r="C19" s="141">
        <f>Summary!C26</f>
        <v>0</v>
      </c>
      <c r="D19" s="115"/>
      <c r="E19" s="115"/>
      <c r="F19" s="115"/>
      <c r="G19" s="115"/>
      <c r="H19" s="115"/>
      <c r="I19" s="135"/>
      <c r="J19" s="141">
        <f>Summary!C39</f>
        <v>0</v>
      </c>
      <c r="K19" s="115"/>
      <c r="L19" s="115"/>
      <c r="M19" s="115"/>
      <c r="N19" s="115"/>
      <c r="O19" s="115"/>
      <c r="P19" s="135"/>
    </row>
  </sheetData>
  <mergeCells count="19">
    <mergeCell ref="C1:I1"/>
    <mergeCell ref="J1:P1"/>
    <mergeCell ref="C2:G2"/>
    <mergeCell ref="H2:I2"/>
    <mergeCell ref="J2:N2"/>
    <mergeCell ref="O2:P2"/>
    <mergeCell ref="A19:B19"/>
    <mergeCell ref="C19:I19"/>
    <mergeCell ref="J19:P19"/>
    <mergeCell ref="A13:B13"/>
    <mergeCell ref="A14:B14"/>
    <mergeCell ref="A15:B15"/>
    <mergeCell ref="A16:B16"/>
    <mergeCell ref="A17:B17"/>
    <mergeCell ref="A2:A3"/>
    <mergeCell ref="B2:B3"/>
    <mergeCell ref="A18:B18"/>
    <mergeCell ref="C18:I18"/>
    <mergeCell ref="J18:P18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PYLIU</cp:lastModifiedBy>
  <dcterms:created xsi:type="dcterms:W3CDTF">2021-10-29T10:34:00Z</dcterms:created>
  <dcterms:modified xsi:type="dcterms:W3CDTF">2025-04-30T00:44:06Z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2052-11.1.0.12165</vt:lpwstr>
  </property>
  <property fmtid="{D5CDD505-2E9C-101B-9397-08002B2CF9AE}" pid="3" name="ICV">
    <vt:lpwstr>9D5D8050A0C04024ABBD0B0A70C326C2</vt:lpwstr>
  </property>
</Properties>
</file>