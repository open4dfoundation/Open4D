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1" defaultThemeVersion="124226"/>
  <mc:AlternateContent xmlns:mc="http://schemas.openxmlformats.org/markup-compatibility/2006">
    <mc:Choice Requires="x15">
      <x15ac:absPath xmlns:x15ac="http://schemas.microsoft.com/office/spreadsheetml/2010/11/ac" url="\\renwekasmb01\wp21\PCC\ricardj\gitdmc\tmd_beta_clang\scripts\"/>
    </mc:Choice>
  </mc:AlternateContent>
  <xr:revisionPtr revIDLastSave="0" documentId="13_ncr:1_{64C760CF-51E2-4C03-B416-0251B6B0864C}" xr6:coauthVersionLast="47" xr6:coauthVersionMax="47" xr10:uidLastSave="{00000000-0000-0000-0000-000000000000}"/>
  <bookViews>
    <workbookView xWindow="3900" yWindow="2460" windowWidth="21600" windowHeight="11295"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50" i="5"/>
  <c r="C24" i="1" s="1"/>
  <c r="AI50" i="5"/>
  <c r="C23" i="1" s="1"/>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Y45" i="5" s="1"/>
  <c r="X6" i="5"/>
  <c r="K6" i="5"/>
  <c r="J6" i="5"/>
  <c r="Y5" i="5"/>
  <c r="X5" i="5"/>
  <c r="K5" i="5"/>
  <c r="J5" i="5"/>
  <c r="X1" i="5"/>
  <c r="J1" i="5"/>
  <c r="R17" i="3"/>
  <c r="R18" i="3" s="1"/>
  <c r="C14" i="1" s="1"/>
  <c r="Q17" i="3"/>
  <c r="Q18" i="3" s="1"/>
  <c r="C13" i="1" s="1"/>
  <c r="L17" i="3"/>
  <c r="K17" i="3"/>
  <c r="I14" i="3"/>
  <c r="O13" i="3"/>
  <c r="T13" i="3" s="1"/>
  <c r="C9" i="1" s="1"/>
  <c r="T12" i="3"/>
  <c r="O12" i="3"/>
  <c r="N12" i="3"/>
  <c r="I12" i="3"/>
  <c r="H12" i="3"/>
  <c r="O11" i="3"/>
  <c r="T11" i="3" s="1"/>
  <c r="N11" i="3"/>
  <c r="I11" i="3"/>
  <c r="H11" i="3"/>
  <c r="T10" i="3"/>
  <c r="O10" i="3"/>
  <c r="N10" i="3"/>
  <c r="I10" i="3"/>
  <c r="H10" i="3"/>
  <c r="O9" i="3"/>
  <c r="T9" i="3" s="1"/>
  <c r="N9" i="3"/>
  <c r="I9" i="3"/>
  <c r="I15" i="3" s="1"/>
  <c r="H9" i="3"/>
  <c r="T8" i="3"/>
  <c r="O8" i="3"/>
  <c r="N8" i="3"/>
  <c r="I8" i="3"/>
  <c r="H8" i="3"/>
  <c r="O7" i="3"/>
  <c r="T7" i="3" s="1"/>
  <c r="N7" i="3"/>
  <c r="I7" i="3"/>
  <c r="H7" i="3"/>
  <c r="T6" i="3"/>
  <c r="O6" i="3"/>
  <c r="N6" i="3"/>
  <c r="I6" i="3"/>
  <c r="H6" i="3"/>
  <c r="O5" i="3"/>
  <c r="T5" i="3" s="1"/>
  <c r="N5" i="3"/>
  <c r="I5" i="3"/>
  <c r="I13" i="3" s="1"/>
  <c r="H5" i="3"/>
  <c r="B1" i="2"/>
  <c r="AN40" i="6" a="1"/>
  <c r="AQ35" i="6" a="1"/>
  <c r="AN20" i="6" a="1"/>
  <c r="AQ15" i="6" a="1"/>
  <c r="AN35" i="5" a="1"/>
  <c r="AQ30" i="5" a="1"/>
  <c r="AO15" i="5" a="1"/>
  <c r="AR10" i="5" a="1"/>
  <c r="AP35" i="6" a="1"/>
  <c r="AM20" i="6" a="1"/>
  <c r="AP15" i="6" a="1"/>
  <c r="AM35" i="5" a="1"/>
  <c r="AP30" i="5" a="1"/>
  <c r="AM40" i="6" a="1"/>
  <c r="AL40" i="6" a="1"/>
  <c r="AO35" i="6" a="1"/>
  <c r="AR30" i="6" a="1"/>
  <c r="AL20" i="6" a="1"/>
  <c r="AO15" i="6" a="1"/>
  <c r="AR10" i="6" a="1"/>
  <c r="AL35" i="5" a="1"/>
  <c r="AO30" i="5" a="1"/>
  <c r="AR25" i="5" a="1"/>
  <c r="AM15" i="5" a="1"/>
  <c r="AP10" i="5" a="1"/>
  <c r="AR35" i="5" a="1"/>
  <c r="AM20" i="5" a="1"/>
  <c r="AN35" i="6" a="1"/>
  <c r="AQ30" i="6" a="1"/>
  <c r="AN15" i="6" a="1"/>
  <c r="AQ10" i="6" a="1"/>
  <c r="AN30" i="5" a="1"/>
  <c r="AQ25" i="5" a="1"/>
  <c r="AL15" i="5" a="1"/>
  <c r="AO10" i="5" a="1"/>
  <c r="AR5" i="5" a="1"/>
  <c r="AM10" i="5" a="1"/>
  <c r="AO5" i="6" a="1"/>
  <c r="AQ15" i="5" a="1"/>
  <c r="AM35" i="6" a="1"/>
  <c r="AP30" i="6" a="1"/>
  <c r="AM15" i="6" a="1"/>
  <c r="AP10" i="6" a="1"/>
  <c r="AR40" i="5" a="1"/>
  <c r="AM30" i="5" a="1"/>
  <c r="AP25" i="5" a="1"/>
  <c r="AN10" i="5" a="1"/>
  <c r="AQ5" i="5" a="1"/>
  <c r="AP5" i="5" a="1"/>
  <c r="AO40" i="5" a="1"/>
  <c r="AP35" i="5" a="1"/>
  <c r="AL35" i="6" a="1"/>
  <c r="AO30" i="6" a="1"/>
  <c r="AR25" i="6" a="1"/>
  <c r="AL15" i="6" a="1"/>
  <c r="AO10" i="6" a="1"/>
  <c r="AR5" i="6" a="1"/>
  <c r="AQ40" i="5" a="1"/>
  <c r="AL30" i="5" a="1"/>
  <c r="AO25" i="5" a="1"/>
  <c r="AR20" i="5" a="1"/>
  <c r="AL10" i="6" a="1"/>
  <c r="AM5" i="5" a="1"/>
  <c r="AQ10" i="5" a="1"/>
  <c r="AN30" i="6" a="1"/>
  <c r="AQ25" i="6" a="1"/>
  <c r="AN10" i="6" a="1"/>
  <c r="AQ5" i="6" a="1"/>
  <c r="AP40" i="5" a="1"/>
  <c r="AN25" i="5" a="1"/>
  <c r="AQ20" i="5" a="1"/>
  <c r="AL10" i="5" a="1"/>
  <c r="AO5" i="5" a="1"/>
  <c r="AL25" i="5" a="1"/>
  <c r="AN15" i="5" a="1"/>
  <c r="AM30" i="6" a="1"/>
  <c r="AP25" i="6" a="1"/>
  <c r="AM10" i="6" a="1"/>
  <c r="AP5" i="6" a="1"/>
  <c r="AM25" i="5" a="1"/>
  <c r="AP20" i="5" a="1"/>
  <c r="AN5" i="5" a="1"/>
  <c r="AL30" i="6" a="1"/>
  <c r="AO25" i="6" a="1"/>
  <c r="AR20" i="6" a="1"/>
  <c r="AO20" i="5" a="1"/>
  <c r="AM40" i="5" a="1"/>
  <c r="AR40" i="6" a="1"/>
  <c r="AQ40" i="6" a="1"/>
  <c r="AN25" i="6" a="1"/>
  <c r="AQ20" i="6" a="1"/>
  <c r="AN5" i="6" a="1"/>
  <c r="AN40" i="5" a="1"/>
  <c r="AQ35" i="5" a="1"/>
  <c r="AN20" i="5" a="1"/>
  <c r="AR15" i="5" a="1"/>
  <c r="AL5" i="5" a="1"/>
  <c r="AM25" i="6" a="1"/>
  <c r="AP20" i="6" a="1"/>
  <c r="AM5" i="6" a="1"/>
  <c r="AP40" i="6" a="1"/>
  <c r="AO40" i="6" a="1"/>
  <c r="AR35" i="6" a="1"/>
  <c r="AL25" i="6" a="1"/>
  <c r="AO20" i="6" a="1"/>
  <c r="AR15" i="6" a="1"/>
  <c r="AL5" i="6" a="1"/>
  <c r="AL40" i="5" a="1"/>
  <c r="AO35" i="5" a="1"/>
  <c r="AR30" i="5" a="1"/>
  <c r="AL20" i="5" a="1"/>
  <c r="AP15" i="5" a="1"/>
  <c r="K47" i="6" l="1"/>
  <c r="Y48" i="6"/>
  <c r="K48" i="6"/>
  <c r="AJ50" i="6"/>
  <c r="C36" i="1" s="1"/>
  <c r="Y46" i="6"/>
  <c r="Y47" i="6"/>
  <c r="Y47" i="5"/>
  <c r="K47" i="5"/>
  <c r="K48" i="5"/>
  <c r="Y48" i="5"/>
  <c r="K46" i="5"/>
  <c r="AP15" i="5"/>
  <c r="AL20" i="5"/>
  <c r="AR30" i="5"/>
  <c r="AO35" i="5"/>
  <c r="AL40" i="5"/>
  <c r="AL5" i="6"/>
  <c r="AR15" i="6"/>
  <c r="AO20" i="6"/>
  <c r="AL25" i="6"/>
  <c r="AR35" i="6"/>
  <c r="AO40" i="6"/>
  <c r="AP40" i="6"/>
  <c r="AM5" i="6"/>
  <c r="AP20" i="6"/>
  <c r="AM25" i="6"/>
  <c r="AL5" i="5"/>
  <c r="AR15" i="5"/>
  <c r="AR46" i="5" s="1"/>
  <c r="I20" i="1" s="1"/>
  <c r="AN20" i="5"/>
  <c r="AQ35" i="5"/>
  <c r="AN40" i="5"/>
  <c r="AN5" i="6"/>
  <c r="AQ20" i="6"/>
  <c r="AN25" i="6"/>
  <c r="AQ40" i="6"/>
  <c r="AR40" i="6"/>
  <c r="AM40" i="5"/>
  <c r="AO20" i="5"/>
  <c r="AR20" i="6"/>
  <c r="AO25" i="6"/>
  <c r="AL30" i="6"/>
  <c r="AN5" i="5"/>
  <c r="AP20" i="5"/>
  <c r="AM25" i="5"/>
  <c r="AM47" i="5" s="1"/>
  <c r="D21" i="1" s="1"/>
  <c r="AP5" i="6"/>
  <c r="AM10" i="6"/>
  <c r="AP25" i="6"/>
  <c r="AM30" i="6"/>
  <c r="AN15" i="5"/>
  <c r="AL25" i="5"/>
  <c r="AO5" i="5"/>
  <c r="AL10" i="5"/>
  <c r="AQ20" i="5"/>
  <c r="AN25" i="5"/>
  <c r="AP40" i="5"/>
  <c r="AQ5" i="6"/>
  <c r="AN10" i="6"/>
  <c r="AQ25" i="6"/>
  <c r="AN30" i="6"/>
  <c r="AQ10" i="5"/>
  <c r="AM5" i="5"/>
  <c r="AM45" i="5" s="1"/>
  <c r="D19" i="1" s="1"/>
  <c r="AL10" i="6"/>
  <c r="AR20" i="5"/>
  <c r="AO25" i="5"/>
  <c r="AL30" i="5"/>
  <c r="AQ40" i="5"/>
  <c r="AR5" i="6"/>
  <c r="AO10" i="6"/>
  <c r="AL15" i="6"/>
  <c r="AR25" i="6"/>
  <c r="AO30" i="6"/>
  <c r="AL35" i="6"/>
  <c r="AP35" i="5"/>
  <c r="AO40" i="5"/>
  <c r="AP5" i="5"/>
  <c r="AQ5" i="5"/>
  <c r="AN10" i="5"/>
  <c r="AP25" i="5"/>
  <c r="AM30" i="5"/>
  <c r="AR40" i="5"/>
  <c r="AP10" i="6"/>
  <c r="AM15" i="6"/>
  <c r="AM46" i="6" s="1"/>
  <c r="D32" i="1" s="1"/>
  <c r="AP30" i="6"/>
  <c r="AM35" i="6"/>
  <c r="AQ15" i="5"/>
  <c r="AO5" i="6"/>
  <c r="AM10" i="5"/>
  <c r="AR5" i="5"/>
  <c r="AO10" i="5"/>
  <c r="AO45" i="5" s="1"/>
  <c r="F19" i="1" s="1"/>
  <c r="AL15" i="5"/>
  <c r="AL46" i="5" s="1"/>
  <c r="C20" i="1" s="1"/>
  <c r="AQ25" i="5"/>
  <c r="AN30" i="5"/>
  <c r="AQ10" i="6"/>
  <c r="AN15" i="6"/>
  <c r="AN46" i="6" s="1"/>
  <c r="E32" i="1" s="1"/>
  <c r="AQ30" i="6"/>
  <c r="AN35" i="6"/>
  <c r="AM20" i="5"/>
  <c r="AR35" i="5"/>
  <c r="AP10" i="5"/>
  <c r="AM15" i="5"/>
  <c r="AM46" i="5" s="1"/>
  <c r="D20" i="1" s="1"/>
  <c r="AR25" i="5"/>
  <c r="AO30" i="5"/>
  <c r="AL35" i="5"/>
  <c r="AR10" i="6"/>
  <c r="AR45" i="6" s="1"/>
  <c r="I31" i="1" s="1"/>
  <c r="AO15" i="6"/>
  <c r="AO46" i="6" s="1"/>
  <c r="F32" i="1" s="1"/>
  <c r="AL20" i="6"/>
  <c r="AR30" i="6"/>
  <c r="AO35" i="6"/>
  <c r="AL40" i="6"/>
  <c r="AM40" i="6"/>
  <c r="AP30" i="5"/>
  <c r="AM35" i="5"/>
  <c r="AP15" i="6"/>
  <c r="AP46" i="6" s="1"/>
  <c r="G32" i="1" s="1"/>
  <c r="AM20" i="6"/>
  <c r="AP35" i="6"/>
  <c r="AR10" i="5"/>
  <c r="AO15" i="5"/>
  <c r="AQ30" i="5"/>
  <c r="AN35" i="5"/>
  <c r="AQ15" i="6"/>
  <c r="AN20" i="6"/>
  <c r="AQ35" i="6"/>
  <c r="AN40" i="6"/>
  <c r="AL45" i="5"/>
  <c r="C19" i="1" s="1"/>
  <c r="AP45" i="5"/>
  <c r="G19" i="1" s="1"/>
  <c r="O14" i="3"/>
  <c r="T14" i="3" s="1"/>
  <c r="C10" i="1" s="1"/>
  <c r="K45" i="5"/>
  <c r="O15" i="3"/>
  <c r="T15" i="3" s="1"/>
  <c r="C11" i="1" s="1"/>
  <c r="K45" i="6"/>
  <c r="I16" i="3"/>
  <c r="Y45" i="6"/>
  <c r="O16" i="3"/>
  <c r="T16" i="3" s="1"/>
  <c r="C12" i="1" s="1"/>
  <c r="AP45" i="6" l="1"/>
  <c r="G31" i="1" s="1"/>
  <c r="AO45" i="6"/>
  <c r="F31" i="1" s="1"/>
  <c r="AP47" i="6"/>
  <c r="G33" i="1" s="1"/>
  <c r="AL45" i="6"/>
  <c r="C31" i="1" s="1"/>
  <c r="AO48" i="6"/>
  <c r="F34" i="1" s="1"/>
  <c r="AM45" i="6"/>
  <c r="D31" i="1" s="1"/>
  <c r="AP48" i="6"/>
  <c r="G34" i="1" s="1"/>
  <c r="AQ48" i="6"/>
  <c r="H34" i="1" s="1"/>
  <c r="AN45" i="6"/>
  <c r="E31" i="1" s="1"/>
  <c r="AL47" i="6"/>
  <c r="C33" i="1" s="1"/>
  <c r="AR48" i="6"/>
  <c r="I34" i="1" s="1"/>
  <c r="AR46" i="6"/>
  <c r="I32" i="1" s="1"/>
  <c r="AQ45" i="5"/>
  <c r="H19" i="1" s="1"/>
  <c r="AO46" i="5"/>
  <c r="F20" i="1" s="1"/>
  <c r="AQ48" i="5"/>
  <c r="H22" i="1" s="1"/>
  <c r="AN48" i="5"/>
  <c r="E22" i="1" s="1"/>
  <c r="AR45" i="5"/>
  <c r="I19" i="1" s="1"/>
  <c r="AP48" i="5"/>
  <c r="G22" i="1" s="1"/>
  <c r="AL46" i="6"/>
  <c r="C32" i="1" s="1"/>
  <c r="AQ47" i="6"/>
  <c r="H33" i="1" s="1"/>
  <c r="AP47" i="5"/>
  <c r="G21" i="1" s="1"/>
  <c r="AN47" i="5"/>
  <c r="E21" i="1" s="1"/>
  <c r="AN45" i="5"/>
  <c r="E19" i="1" s="1"/>
  <c r="AR48" i="5"/>
  <c r="I22" i="1" s="1"/>
  <c r="AO48" i="5"/>
  <c r="F22" i="1" s="1"/>
  <c r="AM47" i="6"/>
  <c r="D33" i="1" s="1"/>
  <c r="AR47" i="6"/>
  <c r="I33" i="1" s="1"/>
  <c r="AN47" i="6"/>
  <c r="E33" i="1" s="1"/>
  <c r="AQ47" i="5"/>
  <c r="H21" i="1" s="1"/>
  <c r="AO47" i="5"/>
  <c r="F21" i="1" s="1"/>
  <c r="AM48" i="5"/>
  <c r="D22" i="1" s="1"/>
  <c r="AL47" i="5"/>
  <c r="C21" i="1" s="1"/>
  <c r="AQ45" i="6"/>
  <c r="H31" i="1" s="1"/>
  <c r="AM48" i="6"/>
  <c r="D34" i="1" s="1"/>
  <c r="AQ46" i="5"/>
  <c r="H20" i="1" s="1"/>
  <c r="AN46" i="5"/>
  <c r="E20" i="1" s="1"/>
  <c r="AL48" i="6"/>
  <c r="C34" i="1" s="1"/>
  <c r="AN48" i="6"/>
  <c r="E34" i="1" s="1"/>
  <c r="AL48" i="5"/>
  <c r="C22" i="1" s="1"/>
  <c r="AR47" i="5"/>
  <c r="I21" i="1" s="1"/>
  <c r="AO47" i="6"/>
  <c r="F33" i="1" s="1"/>
  <c r="AQ46" i="6"/>
  <c r="H32" i="1" s="1"/>
  <c r="AP46" i="5"/>
  <c r="G20"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<sst xmlns="http://schemas.openxmlformats.org/spreadsheetml/2006/main" count="806" uniqueCount="379">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</sst>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8" borderId="0" xfId="0" applyFill="1"/>
    <xf numFmtId="0" fontId="0" fillId="10" borderId="0" xfId="0" applyFill="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F032_v01.0</c:v>
                </c:pt>
              </c:strCache>
            </c:strRef>
          </c:tx>
          <c:spPr>
            <a:ln w="28575">
              <a:prstDash val="solid"/>
            </a:ln>
          </c:spPr>
          <c:marker>
            <c:symbol val="none"/>
          </c:marker>
          <c:xVal>
            <c:numRef>
              <c:f>Graphs!graph_a_x_range_A</c:f>
              <c:numCache>
                <c:formatCode>0.000</c:formatCode>
                <c:ptCount val="5"/>
                <c:pt idx="0">
                  <c:v>3.8600099999999999</c:v>
                </c:pt>
                <c:pt idx="1">
                  <c:v>5.8143975000000001</c:v>
                </c:pt>
                <c:pt idx="2">
                  <c:v>10.315635</c:v>
                </c:pt>
                <c:pt idx="3">
                  <c:v>15.7464525</c:v>
                </c:pt>
                <c:pt idx="4">
                  <c:v>24.326707500000001</c:v>
                </c:pt>
              </c:numCache>
            </c:numRef>
          </c:xVal>
          <c:yVal>
            <c:numRef>
              <c:f>Graphs!graph_a_y_range_A</c:f>
              <c:numCache>
                <c:formatCode>0.00</c:formatCode>
                <c:ptCount val="5"/>
                <c:pt idx="0">
                  <c:v>70.757709000000006</c:v>
                </c:pt>
                <c:pt idx="1">
                  <c:v>73.742109999999997</c:v>
                </c:pt>
                <c:pt idx="2">
                  <c:v>81.599868999999998</c:v>
                </c:pt>
                <c:pt idx="3">
                  <c:v>88.378896999999995</c:v>
                </c:pt>
                <c:pt idx="4">
                  <c:v>88.378896999999995</c:v>
                </c:pt>
              </c:numCache>
            </c:numRef>
          </c:yVal>
          <c:smooth val="1"/>
          <c:extLst>
            <c:ext xmlns:c16="http://schemas.microsoft.com/office/drawing/2014/chart" uri="{C3380CC4-5D6E-409C-BE32-E72D297353CC}">
              <c16:uniqueId val="{00000000-FED1-4DDF-9CC5-DCFBEFC2BA59}"/>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ED1-4DDF-9CC5-DCFBEFC2BA5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F032_v01.0</c:v>
                </c:pt>
              </c:strCache>
            </c:strRef>
          </c:tx>
          <c:spPr>
            <a:ln w="28575">
              <a:prstDash val="solid"/>
            </a:ln>
          </c:spPr>
          <c:marker>
            <c:symbol val="none"/>
          </c:marker>
          <c:xVal>
            <c:numRef>
              <c:f>Graphs!graph_b_x_range_A</c:f>
              <c:numCache>
                <c:formatCode>0.000</c:formatCode>
                <c:ptCount val="5"/>
                <c:pt idx="0">
                  <c:v>3.8600099999999999</c:v>
                </c:pt>
                <c:pt idx="1">
                  <c:v>5.8143975000000001</c:v>
                </c:pt>
                <c:pt idx="2">
                  <c:v>10.315635</c:v>
                </c:pt>
                <c:pt idx="3">
                  <c:v>15.7464525</c:v>
                </c:pt>
                <c:pt idx="4">
                  <c:v>24.326707500000001</c:v>
                </c:pt>
              </c:numCache>
            </c:numRef>
          </c:xVal>
          <c:yVal>
            <c:numRef>
              <c:f>Graphs!graph_b_y_range_A</c:f>
              <c:numCache>
                <c:formatCode>0.00</c:formatCode>
                <c:ptCount val="5"/>
                <c:pt idx="0">
                  <c:v>72.360349999999997</c:v>
                </c:pt>
                <c:pt idx="1">
                  <c:v>75.614159000000001</c:v>
                </c:pt>
                <c:pt idx="2">
                  <c:v>84.628170999999995</c:v>
                </c:pt>
                <c:pt idx="3">
                  <c:v>92.733061000000006</c:v>
                </c:pt>
                <c:pt idx="4">
                  <c:v>92.733061000000006</c:v>
                </c:pt>
              </c:numCache>
            </c:numRef>
          </c:yVal>
          <c:smooth val="1"/>
          <c:extLst>
            <c:ext xmlns:c16="http://schemas.microsoft.com/office/drawing/2014/chart" uri="{C3380CC4-5D6E-409C-BE32-E72D297353CC}">
              <c16:uniqueId val="{00000000-B142-4962-98CB-D80C9CAA9DAA}"/>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B142-4962-98CB-D80C9CAA9DA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F032_v01.0</c:v>
                </c:pt>
              </c:strCache>
            </c:strRef>
          </c:tx>
          <c:spPr>
            <a:ln w="28575">
              <a:prstDash val="solid"/>
            </a:ln>
          </c:spPr>
          <c:marker>
            <c:symbol val="none"/>
          </c:marker>
          <c:xVal>
            <c:numRef>
              <c:f>Graphs!graph_c_x_range_A</c:f>
              <c:numCache>
                <c:formatCode>0.000</c:formatCode>
                <c:ptCount val="5"/>
                <c:pt idx="0">
                  <c:v>3.8600099999999999</c:v>
                </c:pt>
                <c:pt idx="1">
                  <c:v>5.8143975000000001</c:v>
                </c:pt>
                <c:pt idx="2">
                  <c:v>10.315635</c:v>
                </c:pt>
                <c:pt idx="3">
                  <c:v>15.7464525</c:v>
                </c:pt>
                <c:pt idx="4">
                  <c:v>24.326707500000001</c:v>
                </c:pt>
              </c:numCache>
            </c:numRef>
          </c:xVal>
          <c:yVal>
            <c:numRef>
              <c:f>Graphs!graph_c_y_range_A</c:f>
              <c:numCache>
                <c:formatCode>0.00</c:formatCode>
                <c:ptCount val="5"/>
                <c:pt idx="0">
                  <c:v>47.194726000000003</c:v>
                </c:pt>
                <c:pt idx="1">
                  <c:v>48.687683</c:v>
                </c:pt>
                <c:pt idx="2">
                  <c:v>53.034722000000002</c:v>
                </c:pt>
                <c:pt idx="3">
                  <c:v>58.707855000000002</c:v>
                </c:pt>
                <c:pt idx="4">
                  <c:v>58.707855000000002</c:v>
                </c:pt>
              </c:numCache>
            </c:numRef>
          </c:yVal>
          <c:smooth val="1"/>
          <c:extLst>
            <c:ext xmlns:c16="http://schemas.microsoft.com/office/drawing/2014/chart" uri="{C3380CC4-5D6E-409C-BE32-E72D297353CC}">
              <c16:uniqueId val="{00000000-5D36-4EC1-B129-AEA1355E7DAC}"/>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D36-4EC1-B129-AEA1355E7DA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F032_v01.0</c:v>
                </c:pt>
              </c:strCache>
            </c:strRef>
          </c:tx>
          <c:spPr>
            <a:ln w="28575">
              <a:prstDash val="solid"/>
            </a:ln>
          </c:spPr>
          <c:marker>
            <c:symbol val="none"/>
          </c:marker>
          <c:xVal>
            <c:numRef>
              <c:f>Graphs!graph_d_x_range_A</c:f>
              <c:numCache>
                <c:formatCode>0.000</c:formatCode>
                <c:ptCount val="5"/>
                <c:pt idx="0">
                  <c:v>3.8600099999999999</c:v>
                </c:pt>
                <c:pt idx="1">
                  <c:v>5.8143975000000001</c:v>
                </c:pt>
                <c:pt idx="2">
                  <c:v>10.315635</c:v>
                </c:pt>
                <c:pt idx="3">
                  <c:v>15.7464525</c:v>
                </c:pt>
                <c:pt idx="4">
                  <c:v>24.326707500000001</c:v>
                </c:pt>
              </c:numCache>
            </c:numRef>
          </c:xVal>
          <c:yVal>
            <c:numRef>
              <c:f>Graphs!graph_d_y_range_A</c:f>
              <c:numCache>
                <c:formatCode>0.00</c:formatCode>
                <c:ptCount val="5"/>
                <c:pt idx="0">
                  <c:v>29.098184</c:v>
                </c:pt>
                <c:pt idx="1">
                  <c:v>29.671271999999998</c:v>
                </c:pt>
                <c:pt idx="2">
                  <c:v>30.017901999999999</c:v>
                </c:pt>
                <c:pt idx="3">
                  <c:v>30.740753000000002</c:v>
                </c:pt>
                <c:pt idx="4">
                  <c:v>31.819851</c:v>
                </c:pt>
              </c:numCache>
            </c:numRef>
          </c:yVal>
          <c:smooth val="1"/>
          <c:extLst>
            <c:ext xmlns:c16="http://schemas.microsoft.com/office/drawing/2014/chart" uri="{C3380CC4-5D6E-409C-BE32-E72D297353CC}">
              <c16:uniqueId val="{00000000-4B53-4995-A7E4-BBF6FB67F703}"/>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4B53-4995-A7E4-BBF6FB67F70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F032_v01.0</c:v>
                </c:pt>
              </c:strCache>
            </c:strRef>
          </c:tx>
          <c:spPr>
            <a:ln w="28575">
              <a:prstDash val="solid"/>
            </a:ln>
          </c:spPr>
          <c:marker>
            <c:symbol val="none"/>
          </c:marker>
          <c:xVal>
            <c:numRef>
              <c:f>Graphs!graph_e_x_range_A</c:f>
              <c:numCache>
                <c:formatCode>0.000</c:formatCode>
                <c:ptCount val="5"/>
                <c:pt idx="0">
                  <c:v>3.8600099999999999</c:v>
                </c:pt>
                <c:pt idx="1">
                  <c:v>5.8143975000000001</c:v>
                </c:pt>
                <c:pt idx="2">
                  <c:v>10.315635</c:v>
                </c:pt>
                <c:pt idx="3">
                  <c:v>15.7464525</c:v>
                </c:pt>
                <c:pt idx="4">
                  <c:v>24.326707500000001</c:v>
                </c:pt>
              </c:numCache>
            </c:numRef>
          </c:xVal>
          <c:yVal>
            <c:numRef>
              <c:f>Graphs!graph_e_y_range_A</c:f>
              <c:numCache>
                <c:formatCode>0.00</c:formatCode>
                <c:ptCount val="5"/>
                <c:pt idx="0">
                  <c:v>38.649728000000003</c:v>
                </c:pt>
                <c:pt idx="1">
                  <c:v>38.811143000000001</c:v>
                </c:pt>
                <c:pt idx="2">
                  <c:v>38.709727999999998</c:v>
                </c:pt>
                <c:pt idx="3">
                  <c:v>38.945844000000001</c:v>
                </c:pt>
                <c:pt idx="4">
                  <c:v>39.092874999999999</c:v>
                </c:pt>
              </c:numCache>
            </c:numRef>
          </c:yVal>
          <c:smooth val="1"/>
          <c:extLst>
            <c:ext xmlns:c16="http://schemas.microsoft.com/office/drawing/2014/chart" uri="{C3380CC4-5D6E-409C-BE32-E72D297353CC}">
              <c16:uniqueId val="{00000000-0FD5-40D6-A858-6E5260D3274F}"/>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0FD5-40D6-A858-6E5260D3274F}"/>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F032_v01.0</c:v>
                </c:pt>
              </c:strCache>
            </c:strRef>
          </c:tx>
          <c:spPr>
            <a:ln w="28575">
              <a:prstDash val="solid"/>
            </a:ln>
          </c:spPr>
          <c:marker>
            <c:symbol val="none"/>
          </c:marker>
          <c:xVal>
            <c:numRef>
              <c:f>Graphs!graph_f_x_range_A</c:f>
              <c:numCache>
                <c:formatCode>0.000</c:formatCode>
                <c:ptCount val="5"/>
                <c:pt idx="0">
                  <c:v>3.8600099999999999</c:v>
                </c:pt>
                <c:pt idx="1">
                  <c:v>5.8143975000000001</c:v>
                </c:pt>
                <c:pt idx="2">
                  <c:v>10.315635</c:v>
                </c:pt>
                <c:pt idx="3">
                  <c:v>15.7464525</c:v>
                </c:pt>
                <c:pt idx="4">
                  <c:v>24.326707500000001</c:v>
                </c:pt>
              </c:numCache>
            </c:numRef>
          </c:xVal>
          <c:yVal>
            <c:numRef>
              <c:f>Graphs!graph_f_y_range_A</c:f>
              <c:numCache>
                <c:formatCode>0.00</c:formatCode>
                <c:ptCount val="5"/>
                <c:pt idx="0">
                  <c:v>38.467728999999999</c:v>
                </c:pt>
                <c:pt idx="1">
                  <c:v>38.753898</c:v>
                </c:pt>
                <c:pt idx="2">
                  <c:v>38.766266999999999</c:v>
                </c:pt>
                <c:pt idx="3">
                  <c:v>39.107495999999998</c:v>
                </c:pt>
                <c:pt idx="4">
                  <c:v>39.350399000000003</c:v>
                </c:pt>
              </c:numCache>
            </c:numRef>
          </c:yVal>
          <c:smooth val="1"/>
          <c:extLst>
            <c:ext xmlns:c16="http://schemas.microsoft.com/office/drawing/2014/chart" uri="{C3380CC4-5D6E-409C-BE32-E72D297353CC}">
              <c16:uniqueId val="{00000000-FF00-4CE2-A174-7FA7B111541C}"/>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1"/>
          <c:extLst>
            <c:ext xmlns:c16="http://schemas.microsoft.com/office/drawing/2014/chart" uri="{C3380CC4-5D6E-409C-BE32-E72D297353CC}">
              <c16:uniqueId val="{00000001-FF00-4CE2-A174-7FA7B111541C}"/>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F032_v01.0</c:v>
                </c:pt>
              </c:strCache>
            </c:strRef>
          </c:tx>
          <c:spPr>
            <a:ln w="28575">
              <a:prstDash val="solid"/>
            </a:ln>
          </c:spPr>
          <c:marker>
            <c:symbol val="none"/>
          </c:marker>
          <c:xVal>
            <c:numRef>
              <c:f>Graphs!graph_g_x_range_A</c:f>
              <c:numCache>
                <c:formatCode>0.000</c:formatCode>
                <c:ptCount val="5"/>
                <c:pt idx="0">
                  <c:v>3.8600099999999999</c:v>
                </c:pt>
                <c:pt idx="1">
                  <c:v>5.8143975000000001</c:v>
                </c:pt>
                <c:pt idx="2">
                  <c:v>10.315635</c:v>
                </c:pt>
                <c:pt idx="3">
                  <c:v>15.7464525</c:v>
                </c:pt>
                <c:pt idx="4">
                  <c:v>24.326707500000001</c:v>
                </c:pt>
              </c:numCache>
            </c:numRef>
          </c:xVal>
          <c:yVal>
            <c:numRef>
              <c:f>Graphs!graph_g_y_range_A</c:f>
              <c:numCache>
                <c:formatCode>0.00</c:formatCode>
                <c:ptCount val="5"/>
                <c:pt idx="0">
                  <c:v>28.28763</c:v>
                </c:pt>
                <c:pt idx="1">
                  <c:v>28.982569000000002</c:v>
                </c:pt>
                <c:pt idx="2">
                  <c:v>29.786486</c:v>
                </c:pt>
                <c:pt idx="3">
                  <c:v>30.648574</c:v>
                </c:pt>
                <c:pt idx="4">
                  <c:v>31.693611000000001</c:v>
                </c:pt>
              </c:numCache>
            </c:numRef>
          </c:yVal>
          <c:smooth val="1"/>
          <c:extLst>
            <c:ext xmlns:c16="http://schemas.microsoft.com/office/drawing/2014/chart" uri="{C3380CC4-5D6E-409C-BE32-E72D297353CC}">
              <c16:uniqueId val="{00000000-E16A-4657-91DF-0BBEDCA0D3A3}"/>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1"/>
          <c:extLst>
            <c:ext xmlns:c16="http://schemas.microsoft.com/office/drawing/2014/chart" uri="{C3380CC4-5D6E-409C-BE32-E72D297353CC}">
              <c16:uniqueId val="{00000001-E16A-4657-91DF-0BBEDCA0D3A3}"/>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2" sqref="C2:E2"/>
    </sheetView>
  </sheetViews>
  <sheetFormatPr defaultColWidth="9.140625" defaultRowHeight="15" x14ac:dyDescent="0.25"/>
  <cols>
    <col min="2" max="2" width="16.7109375" style="3" customWidth="1"/>
    <col min="3" max="9" width="24.7109375" style="3" customWidth="1"/>
  </cols>
  <sheetData>
    <row r="1" spans="2:9" x14ac:dyDescent="0.25">
      <c r="B1" t="s">
        <v>0</v>
      </c>
      <c r="C1" s="70" t="s">
        <v>378</v>
      </c>
      <c r="D1" s="62"/>
      <c r="E1" s="62"/>
    </row>
    <row r="2" spans="2:9" x14ac:dyDescent="0.25">
      <c r="B2" t="s">
        <v>1</v>
      </c>
      <c r="C2" s="71"/>
      <c r="D2" s="62"/>
      <c r="E2" s="62"/>
    </row>
    <row r="4" spans="2:9" s="1" customFormat="1" x14ac:dyDescent="0.25">
      <c r="B4" s="1" t="s">
        <v>2</v>
      </c>
    </row>
    <row r="6" spans="2:9" ht="45" customHeight="1" x14ac:dyDescent="0.25">
      <c r="B6" s="65" t="s">
        <v>3</v>
      </c>
      <c r="C6" s="53" t="s">
        <v>4</v>
      </c>
    </row>
    <row r="7" spans="2:9" x14ac:dyDescent="0.25">
      <c r="B7" s="62"/>
      <c r="C7" s="54" t="s">
        <v>5</v>
      </c>
    </row>
    <row r="8" spans="2:9" x14ac:dyDescent="0.25">
      <c r="B8" s="64"/>
      <c r="C8" s="2" t="s">
        <v>6</v>
      </c>
    </row>
    <row r="9" spans="2:9" x14ac:dyDescent="0.25">
      <c r="B9" t="s">
        <v>7</v>
      </c>
      <c r="C9" s="4" t="e">
        <f>'C0 lossless AI'!T13</f>
        <v>#DIV/0!</v>
      </c>
    </row>
    <row r="10" spans="2:9" x14ac:dyDescent="0.25">
      <c r="B10" t="s">
        <v>8</v>
      </c>
      <c r="C10" s="4" t="e">
        <f>'C0 lossless AI'!T14</f>
        <v>#DIV/0!</v>
      </c>
    </row>
    <row r="11" spans="2:9" x14ac:dyDescent="0.25">
      <c r="B11" t="s">
        <v>9</v>
      </c>
      <c r="C11" s="4" t="e">
        <f>'C0 lossless AI'!T15</f>
        <v>#DIV/0!</v>
      </c>
    </row>
    <row r="12" spans="2:9" x14ac:dyDescent="0.25">
      <c r="B12" s="5" t="s">
        <v>10</v>
      </c>
      <c r="C12" s="6" t="e">
        <f>'C0 lossless AI'!T16</f>
        <v>#DIV/0!</v>
      </c>
    </row>
    <row r="13" spans="2:9" x14ac:dyDescent="0.25">
      <c r="B13" t="s">
        <v>11</v>
      </c>
      <c r="C13" s="55" t="e">
        <f>'C0 lossless AI'!Q18</f>
        <v>#DIV/0!</v>
      </c>
    </row>
    <row r="14" spans="2:9" x14ac:dyDescent="0.25">
      <c r="B14" s="7" t="s">
        <v>12</v>
      </c>
      <c r="C14" s="56" t="e">
        <f>'C0 lossless AI'!R18</f>
        <v>#DIV/0!</v>
      </c>
    </row>
    <row r="16" spans="2:9" x14ac:dyDescent="0.25">
      <c r="B16" s="65" t="s">
        <v>13</v>
      </c>
      <c r="C16" s="66" t="s">
        <v>14</v>
      </c>
      <c r="D16" s="67"/>
      <c r="E16" s="67"/>
      <c r="F16" s="67"/>
      <c r="G16" s="67"/>
      <c r="H16" s="67"/>
      <c r="I16" s="67"/>
    </row>
    <row r="17" spans="2:9" x14ac:dyDescent="0.25">
      <c r="B17" s="62"/>
      <c r="C17" s="68" t="s">
        <v>15</v>
      </c>
      <c r="D17" s="62"/>
      <c r="E17" s="62"/>
      <c r="F17" s="62"/>
      <c r="G17" s="62"/>
      <c r="H17" s="69" t="s">
        <v>16</v>
      </c>
      <c r="I17" s="62"/>
    </row>
    <row r="18" spans="2:9" x14ac:dyDescent="0.25">
      <c r="B18" s="64"/>
      <c r="C18" s="2" t="s">
        <v>17</v>
      </c>
      <c r="D18" s="2" t="s">
        <v>18</v>
      </c>
      <c r="E18" s="2" t="s">
        <v>19</v>
      </c>
      <c r="F18" s="2" t="s">
        <v>20</v>
      </c>
      <c r="G18" s="2" t="s">
        <v>21</v>
      </c>
      <c r="H18" s="8" t="s">
        <v>22</v>
      </c>
      <c r="I18" s="8" t="s">
        <v>19</v>
      </c>
    </row>
    <row r="19" spans="2:9" x14ac:dyDescent="0.25">
      <c r="B19" t="s">
        <v>7</v>
      </c>
      <c r="C19" s="4" t="e">
        <f>'C1 lossy AI'!$AL$45:$AL$45</f>
        <v>#DIV/0!</v>
      </c>
      <c r="D19" s="4" t="e">
        <f>'C1 lossy AI'!$AM$45:$AM$45</f>
        <v>#DIV/0!</v>
      </c>
      <c r="E19" s="4" t="e">
        <f>'C1 lossy AI'!$AN$45:$AN$45</f>
        <v>#DIV/0!</v>
      </c>
      <c r="F19" s="4" t="e">
        <f>'C1 lossy AI'!$AO$45:$AO$45</f>
        <v>#DIV/0!</v>
      </c>
      <c r="G19" s="4" t="e">
        <f>'C1 lossy AI'!$AP$45:$AP$45</f>
        <v>#DIV/0!</v>
      </c>
      <c r="H19" s="4" t="e">
        <f>'C1 lossy AI'!$AQ$45:$AQ$45</f>
        <v>#DIV/0!</v>
      </c>
      <c r="I19" s="4" t="e">
        <f>'C1 lossy AI'!$AR$45:$AR$45</f>
        <v>#DIV/0!</v>
      </c>
    </row>
    <row r="20" spans="2:9" x14ac:dyDescent="0.25">
      <c r="B20" t="s">
        <v>8</v>
      </c>
      <c r="C20" s="4" t="e">
        <f>'C1 lossy AI'!$AL$46:$AL$46</f>
        <v>#DIV/0!</v>
      </c>
      <c r="D20" s="4" t="e">
        <f>'C1 lossy AI'!$AM$46:$AM$46</f>
        <v>#DIV/0!</v>
      </c>
      <c r="E20" s="4" t="e">
        <f>'C1 lossy AI'!$AN$46:$AN$46</f>
        <v>#DIV/0!</v>
      </c>
      <c r="F20" s="4" t="e">
        <f>'C1 lossy AI'!$AO$46:$AO$46</f>
        <v>#DIV/0!</v>
      </c>
      <c r="G20" s="4" t="e">
        <f>'C1 lossy AI'!$AP$46:$AP$46</f>
        <v>#DIV/0!</v>
      </c>
      <c r="H20" s="4" t="e">
        <f>'C1 lossy AI'!$AQ$46:$AQ$46</f>
        <v>#DIV/0!</v>
      </c>
      <c r="I20" s="4" t="e">
        <f>'C1 lossy AI'!$AR$46:$AR$46</f>
        <v>#DIV/0!</v>
      </c>
    </row>
    <row r="21" spans="2:9" x14ac:dyDescent="0.25">
      <c r="B21" t="s">
        <v>9</v>
      </c>
      <c r="C21" s="4" t="e">
        <f>'C1 lossy AI'!$AL$47:$AL$47</f>
        <v>#DIV/0!</v>
      </c>
      <c r="D21" s="4" t="e">
        <f>'C1 lossy AI'!$AM$47:$AM$47</f>
        <v>#DIV/0!</v>
      </c>
      <c r="E21" s="4" t="e">
        <f>'C1 lossy AI'!$AN$47:$AN$47</f>
        <v>#DIV/0!</v>
      </c>
      <c r="F21" s="4" t="e">
        <f>'C1 lossy AI'!$AO$47:$AO$47</f>
        <v>#DIV/0!</v>
      </c>
      <c r="G21" s="4" t="e">
        <f>'C1 lossy AI'!$AP$47:$AP$47</f>
        <v>#DIV/0!</v>
      </c>
      <c r="H21" s="4" t="e">
        <f>'C1 lossy AI'!$AQ$47:$AQ$47</f>
        <v>#DIV/0!</v>
      </c>
      <c r="I21" s="4" t="e">
        <f>'C1 lossy AI'!$AR$47:$AR$47</f>
        <v>#DIV/0!</v>
      </c>
    </row>
    <row r="22" spans="2:9" x14ac:dyDescent="0.25">
      <c r="B22" s="5" t="s">
        <v>10</v>
      </c>
      <c r="C22" s="6" t="e">
        <f>'C1 lossy AI'!$AL$48:$AL$48</f>
        <v>#DIV/0!</v>
      </c>
      <c r="D22" s="6" t="e">
        <f>'C1 lossy AI'!$AM$48:$AM$48</f>
        <v>#DIV/0!</v>
      </c>
      <c r="E22" s="6" t="e">
        <f>'C1 lossy AI'!$AN$48:$AN$48</f>
        <v>#DIV/0!</v>
      </c>
      <c r="F22" s="6" t="e">
        <f>'C1 lossy AI'!$AO$48:$AO$48</f>
        <v>#DIV/0!</v>
      </c>
      <c r="G22" s="6" t="e">
        <f>'C1 lossy AI'!$AP$48:$AP$48</f>
        <v>#DIV/0!</v>
      </c>
      <c r="H22" s="6" t="e">
        <f>'C1 lossy AI'!$AQ$48:$AQ$48</f>
        <v>#DIV/0!</v>
      </c>
      <c r="I22" s="6" t="e">
        <f>'C1 lossy AI'!$AR$48:$AR$48</f>
        <v>#DIV/0!</v>
      </c>
    </row>
    <row r="23" spans="2:9" x14ac:dyDescent="0.25">
      <c r="B23" t="s">
        <v>11</v>
      </c>
      <c r="C23" s="61">
        <f>'C1 lossy AI'!AI50</f>
        <v>0</v>
      </c>
      <c r="D23" s="62"/>
      <c r="E23" s="62"/>
      <c r="F23" s="62"/>
      <c r="G23" s="62"/>
      <c r="H23" s="62"/>
      <c r="I23" s="62"/>
    </row>
    <row r="24" spans="2:9" x14ac:dyDescent="0.25">
      <c r="B24" s="7" t="s">
        <v>12</v>
      </c>
      <c r="C24" s="63">
        <f>'C1 lossy AI'!AJ50</f>
        <v>0</v>
      </c>
      <c r="D24" s="64"/>
      <c r="E24" s="64"/>
      <c r="F24" s="64"/>
      <c r="G24" s="64"/>
      <c r="H24" s="64"/>
      <c r="I24" s="64"/>
    </row>
    <row r="26" spans="2:9" s="1" customFormat="1" x14ac:dyDescent="0.25">
      <c r="B26" s="1" t="s">
        <v>23</v>
      </c>
    </row>
    <row r="28" spans="2:9" x14ac:dyDescent="0.25">
      <c r="B28" s="65" t="s">
        <v>24</v>
      </c>
      <c r="C28" s="66" t="s">
        <v>25</v>
      </c>
      <c r="D28" s="67"/>
      <c r="E28" s="67"/>
      <c r="F28" s="67"/>
      <c r="G28" s="67"/>
      <c r="H28" s="67"/>
      <c r="I28" s="67"/>
    </row>
    <row r="29" spans="2:9" x14ac:dyDescent="0.25">
      <c r="B29" s="62"/>
      <c r="C29" s="68" t="s">
        <v>15</v>
      </c>
      <c r="D29" s="62"/>
      <c r="E29" s="62"/>
      <c r="F29" s="62"/>
      <c r="G29" s="62"/>
      <c r="H29" s="69" t="s">
        <v>16</v>
      </c>
      <c r="I29" s="62"/>
    </row>
    <row r="30" spans="2:9" x14ac:dyDescent="0.25">
      <c r="B30" s="64"/>
      <c r="C30" s="2" t="s">
        <v>17</v>
      </c>
      <c r="D30" s="2" t="s">
        <v>18</v>
      </c>
      <c r="E30" s="2" t="s">
        <v>19</v>
      </c>
      <c r="F30" s="2" t="s">
        <v>20</v>
      </c>
      <c r="G30" s="2" t="s">
        <v>21</v>
      </c>
      <c r="H30" s="8" t="s">
        <v>22</v>
      </c>
      <c r="I30" s="8" t="s">
        <v>19</v>
      </c>
    </row>
    <row r="31" spans="2:9" x14ac:dyDescent="0.25">
      <c r="B31" t="s">
        <v>7</v>
      </c>
      <c r="C31" s="4" t="e">
        <f>'C2 lossy RA'!$AL$45:$AL$45</f>
        <v>#DIV/0!</v>
      </c>
      <c r="D31" s="4" t="e">
        <f>'C2 lossy RA'!$AM$45:$AM$45</f>
        <v>#DIV/0!</v>
      </c>
      <c r="E31" s="4" t="e">
        <f>'C2 lossy RA'!$AN$45:$AN$45</f>
        <v>#DIV/0!</v>
      </c>
      <c r="F31" s="4" t="e">
        <f>'C2 lossy RA'!$AO$45:$AO$45</f>
        <v>#DIV/0!</v>
      </c>
      <c r="G31" s="4" t="e">
        <f>'C2 lossy RA'!$AP$45:$AP$45</f>
        <v>#DIV/0!</v>
      </c>
      <c r="H31" s="4" t="e">
        <f>'C2 lossy RA'!$AQ$45:$AQ$45</f>
        <v>#DIV/0!</v>
      </c>
      <c r="I31" s="4" t="e">
        <f>'C2 lossy RA'!$AR$45:$AR$45</f>
        <v>#DIV/0!</v>
      </c>
    </row>
    <row r="32" spans="2:9" x14ac:dyDescent="0.25">
      <c r="B32" t="s">
        <v>8</v>
      </c>
      <c r="C32" s="4" t="e">
        <f>'C2 lossy RA'!$AL$46:$AL$46</f>
        <v>#DIV/0!</v>
      </c>
      <c r="D32" s="4" t="e">
        <f>'C2 lossy RA'!$AM$46:$AM$46</f>
        <v>#DIV/0!</v>
      </c>
      <c r="E32" s="4" t="e">
        <f>'C2 lossy RA'!$AN$46:$AN$46</f>
        <v>#DIV/0!</v>
      </c>
      <c r="F32" s="4" t="e">
        <f>'C2 lossy RA'!$AO$46:$AO$46</f>
        <v>#DIV/0!</v>
      </c>
      <c r="G32" s="4" t="e">
        <f>'C2 lossy RA'!$AP$46:$AP$46</f>
        <v>#DIV/0!</v>
      </c>
      <c r="H32" s="4" t="e">
        <f>'C2 lossy RA'!$AQ$46:$AQ$46</f>
        <v>#DIV/0!</v>
      </c>
      <c r="I32" s="4" t="e">
        <f>'C2 lossy RA'!$AR$46:$AR$46</f>
        <v>#DIV/0!</v>
      </c>
    </row>
    <row r="33" spans="2:9" x14ac:dyDescent="0.25">
      <c r="B33" t="s">
        <v>9</v>
      </c>
      <c r="C33" s="4" t="e">
        <f>'C2 lossy RA'!$AL$47:$AL$47</f>
        <v>#DIV/0!</v>
      </c>
      <c r="D33" s="4" t="e">
        <f>'C2 lossy RA'!$AM$47:$AM$47</f>
        <v>#DIV/0!</v>
      </c>
      <c r="E33" s="4" t="e">
        <f>'C2 lossy RA'!$AN$47:$AN$47</f>
        <v>#DIV/0!</v>
      </c>
      <c r="F33" s="4" t="e">
        <f>'C2 lossy RA'!$AO$47:$AO$47</f>
        <v>#DIV/0!</v>
      </c>
      <c r="G33" s="4" t="e">
        <f>'C2 lossy RA'!$AP$47:$AP$47</f>
        <v>#DIV/0!</v>
      </c>
      <c r="H33" s="4" t="e">
        <f>'C2 lossy RA'!$AQ$47:$AQ$47</f>
        <v>#DIV/0!</v>
      </c>
      <c r="I33" s="4" t="e">
        <f>'C2 lossy RA'!$AR$47:$AR$47</f>
        <v>#DIV/0!</v>
      </c>
    </row>
    <row r="34" spans="2:9" x14ac:dyDescent="0.25">
      <c r="B34" s="5" t="s">
        <v>10</v>
      </c>
      <c r="C34" s="6" t="e">
        <f>'C2 lossy RA'!$AL$48:$AL$48</f>
        <v>#DIV/0!</v>
      </c>
      <c r="D34" s="6" t="e">
        <f>'C2 lossy RA'!$AM$48:$AM$48</f>
        <v>#DIV/0!</v>
      </c>
      <c r="E34" s="6" t="e">
        <f>'C2 lossy RA'!$AN$48:$AN$48</f>
        <v>#DIV/0!</v>
      </c>
      <c r="F34" s="6" t="e">
        <f>'C2 lossy RA'!$AO$48:$AO$48</f>
        <v>#DIV/0!</v>
      </c>
      <c r="G34" s="6" t="e">
        <f>'C2 lossy RA'!$AP$48:$AP$48</f>
        <v>#DIV/0!</v>
      </c>
      <c r="H34" s="6" t="e">
        <f>'C2 lossy RA'!$AQ$48:$AQ$48</f>
        <v>#DIV/0!</v>
      </c>
      <c r="I34" s="6" t="e">
        <f>'C2 lossy RA'!$AR$48:$AR$48</f>
        <v>#DIV/0!</v>
      </c>
    </row>
    <row r="35" spans="2:9" x14ac:dyDescent="0.25">
      <c r="B35" t="s">
        <v>11</v>
      </c>
      <c r="C35" s="61">
        <f>'C2 lossy RA'!AI50</f>
        <v>0</v>
      </c>
      <c r="D35" s="62"/>
      <c r="E35" s="62"/>
      <c r="F35" s="62"/>
      <c r="G35" s="62"/>
      <c r="H35" s="62"/>
      <c r="I35" s="62"/>
    </row>
    <row r="36" spans="2:9" x14ac:dyDescent="0.25">
      <c r="B36" s="7" t="s">
        <v>12</v>
      </c>
      <c r="C36" s="63">
        <f>'C2 lossy RA'!AJ50</f>
        <v>0</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style="3" customWidth="1"/>
    <col min="2" max="2" width="24.7109375" style="3" customWidth="1"/>
    <col min="4" max="4" width="24.7109375" style="3" customWidth="1"/>
    <col min="9" max="9" width="16.7109375" style="3" customWidth="1"/>
  </cols>
  <sheetData>
    <row r="1" spans="1:14" x14ac:dyDescent="0.25">
      <c r="A1" t="s">
        <v>26</v>
      </c>
      <c r="B1" s="9" t="str">
        <f>M1</f>
        <v>C1 lossy AI</v>
      </c>
      <c r="C1" t="s">
        <v>27</v>
      </c>
      <c r="I1" t="s">
        <v>28</v>
      </c>
      <c r="M1" t="s">
        <v>29</v>
      </c>
      <c r="N1" t="s">
        <v>30</v>
      </c>
    </row>
    <row r="2" spans="1:14" x14ac:dyDescent="0.25">
      <c r="A2" t="s">
        <v>31</v>
      </c>
      <c r="B2" s="9" t="s">
        <v>32</v>
      </c>
      <c r="C2" t="s">
        <v>33</v>
      </c>
      <c r="I2" t="s">
        <v>34</v>
      </c>
      <c r="J2" t="s">
        <v>35</v>
      </c>
      <c r="M2" t="s">
        <v>36</v>
      </c>
      <c r="N2" t="s">
        <v>37</v>
      </c>
    </row>
    <row r="3" spans="1:14" x14ac:dyDescent="0.25">
      <c r="I3" t="s">
        <v>38</v>
      </c>
      <c r="J3" t="s">
        <v>39</v>
      </c>
      <c r="M3" t="s">
        <v>40</v>
      </c>
      <c r="N3" t="s">
        <v>40</v>
      </c>
    </row>
    <row r="4" spans="1:14" x14ac:dyDescent="0.25">
      <c r="A4" t="s">
        <v>41</v>
      </c>
      <c r="B4" s="9" t="s">
        <v>42</v>
      </c>
      <c r="C4" t="s">
        <v>43</v>
      </c>
      <c r="D4" s="9" t="s">
        <v>44</v>
      </c>
      <c r="E4" t="s">
        <v>45</v>
      </c>
      <c r="I4" t="s">
        <v>46</v>
      </c>
      <c r="J4" t="s">
        <v>47</v>
      </c>
      <c r="M4" t="s">
        <v>48</v>
      </c>
      <c r="N4" t="s">
        <v>48</v>
      </c>
    </row>
    <row r="5" spans="1:14" x14ac:dyDescent="0.25">
      <c r="A5" t="s">
        <v>41</v>
      </c>
      <c r="B5" s="9" t="s">
        <v>42</v>
      </c>
      <c r="C5" t="s">
        <v>43</v>
      </c>
      <c r="D5" s="9" t="s">
        <v>49</v>
      </c>
      <c r="E5" t="s">
        <v>50</v>
      </c>
      <c r="I5" t="s">
        <v>51</v>
      </c>
      <c r="J5" t="s">
        <v>52</v>
      </c>
      <c r="M5" t="s">
        <v>53</v>
      </c>
      <c r="N5" t="s">
        <v>53</v>
      </c>
    </row>
    <row r="6" spans="1:14" x14ac:dyDescent="0.25">
      <c r="A6" t="s">
        <v>41</v>
      </c>
      <c r="B6" s="9" t="s">
        <v>42</v>
      </c>
      <c r="C6" t="s">
        <v>43</v>
      </c>
      <c r="D6" s="9" t="s">
        <v>54</v>
      </c>
      <c r="E6" t="s">
        <v>55</v>
      </c>
      <c r="I6" t="s">
        <v>56</v>
      </c>
      <c r="J6" t="s">
        <v>57</v>
      </c>
      <c r="M6" t="s">
        <v>58</v>
      </c>
      <c r="N6" t="s">
        <v>58</v>
      </c>
    </row>
    <row r="7" spans="1:14" x14ac:dyDescent="0.25">
      <c r="A7" t="s">
        <v>41</v>
      </c>
      <c r="B7" s="9" t="s">
        <v>42</v>
      </c>
      <c r="C7" t="s">
        <v>43</v>
      </c>
      <c r="D7" s="9" t="s">
        <v>59</v>
      </c>
      <c r="E7" t="s">
        <v>60</v>
      </c>
      <c r="I7" t="s">
        <v>61</v>
      </c>
      <c r="J7" t="s">
        <v>62</v>
      </c>
      <c r="M7" t="s">
        <v>63</v>
      </c>
      <c r="N7" t="s">
        <v>63</v>
      </c>
    </row>
    <row r="8" spans="1:14" x14ac:dyDescent="0.25">
      <c r="A8" t="s">
        <v>41</v>
      </c>
      <c r="B8" s="9" t="s">
        <v>42</v>
      </c>
      <c r="C8" t="s">
        <v>43</v>
      </c>
      <c r="D8" s="9" t="s">
        <v>64</v>
      </c>
      <c r="E8" t="s">
        <v>65</v>
      </c>
      <c r="I8" t="s">
        <v>66</v>
      </c>
      <c r="J8" t="s">
        <v>67</v>
      </c>
      <c r="M8" t="s">
        <v>68</v>
      </c>
      <c r="N8" t="s">
        <v>68</v>
      </c>
    </row>
    <row r="9" spans="1:14" x14ac:dyDescent="0.25">
      <c r="A9" t="s">
        <v>41</v>
      </c>
      <c r="B9" s="9" t="s">
        <v>42</v>
      </c>
      <c r="C9" t="s">
        <v>43</v>
      </c>
      <c r="D9" s="9" t="s">
        <v>69</v>
      </c>
      <c r="E9" t="s">
        <v>70</v>
      </c>
      <c r="I9" t="s">
        <v>71</v>
      </c>
      <c r="J9" t="s">
        <v>72</v>
      </c>
      <c r="M9" t="s">
        <v>32</v>
      </c>
      <c r="N9" t="s">
        <v>32</v>
      </c>
    </row>
    <row r="10" spans="1:14" x14ac:dyDescent="0.25">
      <c r="A10" t="s">
        <v>41</v>
      </c>
      <c r="B10" s="9" t="s">
        <v>42</v>
      </c>
      <c r="C10" t="s">
        <v>43</v>
      </c>
      <c r="D10" s="9"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workbookViewId="0">
      <pane xSplit="2" ySplit="4" topLeftCell="C5" activePane="bottomRight" state="frozen"/>
      <selection pane="topRight" activeCell="C1" sqref="C1"/>
      <selection pane="bottomLeft" activeCell="A5" sqref="A5"/>
      <selection pane="bottomRight" activeCell="K17" sqref="K17"/>
    </sheetView>
  </sheetViews>
  <sheetFormatPr defaultColWidth="9.140625" defaultRowHeight="15" x14ac:dyDescent="0.25"/>
  <cols>
    <col min="2" max="2" width="24.7109375" style="3" customWidth="1"/>
    <col min="3" max="4" width="10.7109375" style="3" customWidth="1"/>
    <col min="7" max="7" width="1.7109375" style="3" customWidth="1"/>
    <col min="9" max="9" width="10.7109375" style="3" customWidth="1"/>
    <col min="10" max="10" width="12.7109375" style="3" customWidth="1"/>
    <col min="13" max="13" width="1.7109375" style="3" customWidth="1"/>
    <col min="15" max="15" width="10.7109375" style="3" customWidth="1"/>
    <col min="16" max="16" width="12.7109375" style="3" customWidth="1"/>
    <col min="19" max="19" width="1.7109375" style="3" customWidth="1"/>
    <col min="21" max="21" width="1.7109375" style="3" customWidth="1"/>
  </cols>
  <sheetData>
    <row r="1" spans="1:20" x14ac:dyDescent="0.25">
      <c r="A1" s="74" t="s">
        <v>148</v>
      </c>
      <c r="B1" s="62"/>
      <c r="C1" s="62"/>
      <c r="D1" s="62"/>
      <c r="E1" s="62"/>
      <c r="F1" s="62"/>
      <c r="H1" s="70" t="s">
        <v>149</v>
      </c>
      <c r="I1" s="62"/>
      <c r="J1" s="62"/>
      <c r="K1" s="62"/>
      <c r="L1" s="62"/>
      <c r="N1" s="71" t="s">
        <v>150</v>
      </c>
      <c r="O1" s="62"/>
      <c r="P1" s="62"/>
      <c r="Q1" s="62"/>
      <c r="R1" s="62"/>
    </row>
    <row r="2" spans="1:20" ht="30" customHeight="1" x14ac:dyDescent="0.2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25">
      <c r="A5" s="59" t="s">
        <v>175</v>
      </c>
      <c r="B5" s="59" t="s">
        <v>40</v>
      </c>
      <c r="C5" s="59">
        <v>11997440</v>
      </c>
      <c r="D5" s="12">
        <v>10</v>
      </c>
      <c r="E5" s="13">
        <v>32</v>
      </c>
      <c r="F5" s="13">
        <v>30</v>
      </c>
      <c r="H5" s="14" t="str">
        <f t="shared" ref="H5:H12" si="0">IF(OR(ISBLANK(J5),ISBLANK(F5)),"·",J5*F5/E5/1000000)</f>
        <v>·</v>
      </c>
      <c r="I5" s="15" t="str">
        <f t="shared" ref="I5:I12" si="1">IF(ISBLANK(J5),"·",J5/C5)</f>
        <v>·</v>
      </c>
      <c r="J5" s="16"/>
      <c r="K5" s="17"/>
      <c r="L5" s="17"/>
      <c r="N5" s="14" t="str">
        <f t="shared" ref="N5:N12" si="2">IF(OR(ISBLANK(P5),ISBLANK(F5)),"·",P5*F5/E5/1000000)</f>
        <v>·</v>
      </c>
      <c r="O5" s="15" t="str">
        <f t="shared" ref="O5:O12" si="3">IF(ISBLANK(P5),"·",P5/C5)</f>
        <v>·</v>
      </c>
      <c r="P5" s="16"/>
      <c r="Q5" s="17"/>
      <c r="R5" s="17"/>
      <c r="T5" s="18" t="e">
        <f t="shared" ref="T5:T16" si="4">O5/I5</f>
        <v>#VALUE!</v>
      </c>
    </row>
    <row r="6" spans="1:20" collapsed="1" x14ac:dyDescent="0.25">
      <c r="A6" s="19"/>
      <c r="B6" s="19" t="s">
        <v>48</v>
      </c>
      <c r="C6" s="19">
        <v>9000000</v>
      </c>
      <c r="D6" s="20">
        <v>10</v>
      </c>
      <c r="E6" s="21">
        <v>32</v>
      </c>
      <c r="F6" s="21">
        <v>30</v>
      </c>
      <c r="H6" s="22" t="str">
        <f t="shared" si="0"/>
        <v>·</v>
      </c>
      <c r="I6" s="23" t="str">
        <f t="shared" si="1"/>
        <v>·</v>
      </c>
      <c r="J6" s="24"/>
      <c r="K6" s="25"/>
      <c r="L6" s="25"/>
      <c r="N6" s="22" t="str">
        <f t="shared" si="2"/>
        <v>·</v>
      </c>
      <c r="O6" s="23" t="str">
        <f t="shared" si="3"/>
        <v>·</v>
      </c>
      <c r="P6" s="24"/>
      <c r="Q6" s="25"/>
      <c r="R6" s="25"/>
      <c r="T6" s="26" t="e">
        <f t="shared" si="4"/>
        <v>#VALUE!</v>
      </c>
    </row>
    <row r="7" spans="1:20" collapsed="1" x14ac:dyDescent="0.25">
      <c r="A7" s="59" t="s">
        <v>176</v>
      </c>
      <c r="B7" s="59" t="s">
        <v>53</v>
      </c>
      <c r="C7" s="59">
        <v>11842002</v>
      </c>
      <c r="D7" s="12">
        <v>12</v>
      </c>
      <c r="E7" s="13">
        <v>32</v>
      </c>
      <c r="F7" s="13">
        <v>30</v>
      </c>
      <c r="H7" s="14" t="str">
        <f t="shared" si="0"/>
        <v>·</v>
      </c>
      <c r="I7" s="15" t="str">
        <f t="shared" si="1"/>
        <v>·</v>
      </c>
      <c r="J7" s="16"/>
      <c r="K7" s="17"/>
      <c r="L7" s="17"/>
      <c r="N7" s="14" t="str">
        <f t="shared" si="2"/>
        <v>·</v>
      </c>
      <c r="O7" s="15" t="str">
        <f t="shared" si="3"/>
        <v>·</v>
      </c>
      <c r="P7" s="16"/>
      <c r="Q7" s="17"/>
      <c r="R7" s="17"/>
      <c r="T7" s="18" t="e">
        <f t="shared" si="4"/>
        <v>#VALUE!</v>
      </c>
    </row>
    <row r="8" spans="1:20" collapsed="1" x14ac:dyDescent="0.25">
      <c r="A8" s="19"/>
      <c r="B8" s="19" t="s">
        <v>58</v>
      </c>
      <c r="C8" s="19">
        <v>11812090</v>
      </c>
      <c r="D8" s="20">
        <v>12</v>
      </c>
      <c r="E8" s="21">
        <v>32</v>
      </c>
      <c r="F8" s="21">
        <v>50</v>
      </c>
      <c r="H8" s="22" t="str">
        <f t="shared" si="0"/>
        <v>·</v>
      </c>
      <c r="I8" s="23" t="str">
        <f t="shared" si="1"/>
        <v>·</v>
      </c>
      <c r="J8" s="24"/>
      <c r="K8" s="25"/>
      <c r="L8" s="25"/>
      <c r="N8" s="22" t="str">
        <f t="shared" si="2"/>
        <v>·</v>
      </c>
      <c r="O8" s="23" t="str">
        <f t="shared" si="3"/>
        <v>·</v>
      </c>
      <c r="P8" s="24"/>
      <c r="Q8" s="25"/>
      <c r="R8" s="25"/>
      <c r="T8" s="26" t="e">
        <f t="shared" si="4"/>
        <v>#VALUE!</v>
      </c>
    </row>
    <row r="9" spans="1:20" collapsed="1" x14ac:dyDescent="0.25">
      <c r="A9" s="59" t="s">
        <v>177</v>
      </c>
      <c r="B9" s="59" t="s">
        <v>63</v>
      </c>
      <c r="C9" s="59">
        <v>12000000</v>
      </c>
      <c r="D9" s="12">
        <v>12</v>
      </c>
      <c r="E9" s="13">
        <v>32</v>
      </c>
      <c r="F9" s="13">
        <v>30</v>
      </c>
      <c r="H9" s="14" t="str">
        <f t="shared" si="0"/>
        <v>·</v>
      </c>
      <c r="I9" s="15" t="str">
        <f t="shared" si="1"/>
        <v>·</v>
      </c>
      <c r="J9" s="16"/>
      <c r="K9" s="17"/>
      <c r="L9" s="17"/>
      <c r="N9" s="14" t="str">
        <f t="shared" si="2"/>
        <v>·</v>
      </c>
      <c r="O9" s="15" t="str">
        <f t="shared" si="3"/>
        <v>·</v>
      </c>
      <c r="P9" s="16"/>
      <c r="Q9" s="17"/>
      <c r="R9" s="17"/>
      <c r="T9" s="18" t="e">
        <f t="shared" si="4"/>
        <v>#VALUE!</v>
      </c>
    </row>
    <row r="10" spans="1:20" collapsed="1" x14ac:dyDescent="0.25">
      <c r="A10" s="60"/>
      <c r="B10" s="60" t="s">
        <v>68</v>
      </c>
      <c r="C10" s="60">
        <v>5997654</v>
      </c>
      <c r="D10" s="27">
        <v>12</v>
      </c>
      <c r="E10" s="28">
        <v>32</v>
      </c>
      <c r="F10" s="28">
        <v>30</v>
      </c>
      <c r="H10" s="29" t="str">
        <f t="shared" si="0"/>
        <v>·</v>
      </c>
      <c r="I10" s="30" t="str">
        <f t="shared" si="1"/>
        <v>·</v>
      </c>
      <c r="J10" s="31"/>
      <c r="K10" s="32"/>
      <c r="L10" s="32"/>
      <c r="N10" s="29" t="str">
        <f t="shared" si="2"/>
        <v>·</v>
      </c>
      <c r="O10" s="30" t="str">
        <f t="shared" si="3"/>
        <v>·</v>
      </c>
      <c r="P10" s="31"/>
      <c r="Q10" s="32"/>
      <c r="R10" s="32"/>
      <c r="T10" s="33" t="e">
        <f t="shared" si="4"/>
        <v>#VALUE!</v>
      </c>
    </row>
    <row r="11" spans="1:20" collapsed="1" x14ac:dyDescent="0.25">
      <c r="A11" s="59"/>
      <c r="B11" s="59" t="s">
        <v>32</v>
      </c>
      <c r="C11" s="59">
        <v>9000000</v>
      </c>
      <c r="D11" s="12">
        <v>12</v>
      </c>
      <c r="E11" s="13">
        <v>32</v>
      </c>
      <c r="F11" s="13">
        <v>30</v>
      </c>
      <c r="H11" s="14" t="str">
        <f t="shared" si="0"/>
        <v>·</v>
      </c>
      <c r="I11" s="15" t="str">
        <f t="shared" si="1"/>
        <v>·</v>
      </c>
      <c r="J11" s="16"/>
      <c r="K11" s="17"/>
      <c r="L11" s="17"/>
      <c r="N11" s="14" t="str">
        <f t="shared" si="2"/>
        <v>·</v>
      </c>
      <c r="O11" s="15" t="str">
        <f t="shared" si="3"/>
        <v>·</v>
      </c>
      <c r="P11" s="16"/>
      <c r="Q11" s="17"/>
      <c r="R11" s="17"/>
      <c r="T11" s="18" t="e">
        <f t="shared" si="4"/>
        <v>#VALUE!</v>
      </c>
    </row>
    <row r="12" spans="1:20" collapsed="1" x14ac:dyDescent="0.25">
      <c r="A12" s="19"/>
      <c r="B12" s="19" t="s">
        <v>77</v>
      </c>
      <c r="C12" s="19">
        <v>9000000</v>
      </c>
      <c r="D12" s="20">
        <v>12</v>
      </c>
      <c r="E12" s="21">
        <v>32</v>
      </c>
      <c r="F12" s="21">
        <v>30</v>
      </c>
      <c r="H12" s="22" t="str">
        <f t="shared" si="0"/>
        <v>·</v>
      </c>
      <c r="I12" s="23" t="str">
        <f t="shared" si="1"/>
        <v>·</v>
      </c>
      <c r="J12" s="24"/>
      <c r="K12" s="25"/>
      <c r="L12" s="25"/>
      <c r="N12" s="22" t="str">
        <f t="shared" si="2"/>
        <v>·</v>
      </c>
      <c r="O12" s="23" t="str">
        <f t="shared" si="3"/>
        <v>·</v>
      </c>
      <c r="P12" s="24"/>
      <c r="Q12" s="25"/>
      <c r="R12" s="25"/>
      <c r="T12" s="26" t="e">
        <f t="shared" si="4"/>
        <v>#VALUE!</v>
      </c>
    </row>
    <row r="13" spans="1:20" x14ac:dyDescent="0.25">
      <c r="B13" s="34" t="s">
        <v>7</v>
      </c>
      <c r="I13" s="35" t="e">
        <f>AVERAGE(I5:I6)</f>
        <v>#DIV/0!</v>
      </c>
      <c r="O13" s="35" t="e">
        <f>AVERAGE(O5:O6)</f>
        <v>#DIV/0!</v>
      </c>
      <c r="T13" s="4" t="e">
        <f t="shared" si="4"/>
        <v>#DIV/0!</v>
      </c>
    </row>
    <row r="14" spans="1:20" x14ac:dyDescent="0.25">
      <c r="B14" s="34" t="s">
        <v>8</v>
      </c>
      <c r="I14" s="35" t="e">
        <f>AVERAGE(I7:I8)</f>
        <v>#DIV/0!</v>
      </c>
      <c r="O14" s="35" t="e">
        <f>AVERAGE(O7:O8)</f>
        <v>#DIV/0!</v>
      </c>
      <c r="T14" s="4" t="e">
        <f t="shared" si="4"/>
        <v>#DIV/0!</v>
      </c>
    </row>
    <row r="15" spans="1:20" x14ac:dyDescent="0.25">
      <c r="B15" s="34" t="s">
        <v>9</v>
      </c>
      <c r="I15" s="35" t="e">
        <f>AVERAGE(I9:I12)</f>
        <v>#DIV/0!</v>
      </c>
      <c r="O15" s="35" t="e">
        <f>AVERAGE(O9:O12)</f>
        <v>#DIV/0!</v>
      </c>
      <c r="T15" s="4" t="e">
        <f t="shared" si="4"/>
        <v>#DIV/0!</v>
      </c>
    </row>
    <row r="16" spans="1:20" x14ac:dyDescent="0.25">
      <c r="B16" s="34" t="s">
        <v>10</v>
      </c>
      <c r="I16" s="35" t="e">
        <f>AVERAGE(I5:I12)</f>
        <v>#DIV/0!</v>
      </c>
      <c r="O16" s="35" t="e">
        <f>AVERAGE(O5:O12)</f>
        <v>#DIV/0!</v>
      </c>
      <c r="T16" s="4" t="e">
        <f t="shared" si="4"/>
        <v>#DIV/0!</v>
      </c>
    </row>
    <row r="17" spans="1:18" x14ac:dyDescent="0.25">
      <c r="A17" s="34" t="s">
        <v>178</v>
      </c>
      <c r="B17" s="34" t="s">
        <v>179</v>
      </c>
      <c r="K17" s="36">
        <f>SUM(K5:K6,K7:K8,K9:K12)</f>
        <v>0</v>
      </c>
      <c r="L17" s="36">
        <f>SUM(L5:L6,L7:L8,L9:L12)</f>
        <v>0</v>
      </c>
      <c r="Q17" s="36">
        <f>SUM(Q5:Q6,Q7:Q8,Q9:Q12)</f>
        <v>0</v>
      </c>
      <c r="R17" s="36">
        <f>SUM(R5:R6,R7:R8,R9:R12)</f>
        <v>0</v>
      </c>
    </row>
    <row r="18" spans="1:18" x14ac:dyDescent="0.25">
      <c r="B18" s="34" t="s">
        <v>180</v>
      </c>
      <c r="Q18" s="55" t="e">
        <f>Q17/K17</f>
        <v>#DIV/0!</v>
      </c>
      <c r="R18" s="55" t="e">
        <f>R17/L17</f>
        <v>#DIV/0!</v>
      </c>
    </row>
  </sheetData>
  <mergeCells count="20">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style="3"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89"/>
  <sheetViews>
    <sheetView zoomScale="80" zoomScaleNormal="80" workbookViewId="0">
      <pane xSplit="2" ySplit="4" topLeftCell="T5" activePane="bottomRight" state="frozen"/>
      <selection pane="topRight" activeCell="C1" sqref="C1"/>
      <selection pane="bottomLeft" activeCell="A5" sqref="A5"/>
      <selection pane="bottomRight" activeCell="AC19" sqref="AC19"/>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342</v>
      </c>
      <c r="B1" s="62"/>
      <c r="C1" s="62"/>
      <c r="D1" s="62"/>
      <c r="E1" s="62"/>
      <c r="F1" s="62"/>
      <c r="G1" s="62"/>
      <c r="H1" s="62"/>
      <c r="J1" s="70" t="str">
        <f>Summary!C1</f>
        <v>F032_v01.0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58" t="s">
        <v>17</v>
      </c>
      <c r="O3" s="58" t="s">
        <v>18</v>
      </c>
      <c r="P3" s="58" t="s">
        <v>19</v>
      </c>
      <c r="Q3" s="58" t="s">
        <v>20</v>
      </c>
      <c r="R3" s="58" t="s">
        <v>21</v>
      </c>
      <c r="S3" s="57" t="s">
        <v>22</v>
      </c>
      <c r="T3" s="57" t="s">
        <v>19</v>
      </c>
      <c r="U3" s="64"/>
      <c r="V3" s="64"/>
      <c r="X3" s="64"/>
      <c r="Y3" s="64"/>
      <c r="Z3" s="64"/>
      <c r="AA3" s="64"/>
      <c r="AB3" s="58" t="s">
        <v>17</v>
      </c>
      <c r="AC3" s="58" t="s">
        <v>18</v>
      </c>
      <c r="AD3" s="58" t="s">
        <v>19</v>
      </c>
      <c r="AE3" s="58" t="s">
        <v>20</v>
      </c>
      <c r="AF3" s="58" t="s">
        <v>21</v>
      </c>
      <c r="AG3" s="57" t="s">
        <v>22</v>
      </c>
      <c r="AH3" s="57" t="s">
        <v>19</v>
      </c>
      <c r="AI3" s="64"/>
      <c r="AJ3" s="64"/>
      <c r="AL3" s="58" t="s">
        <v>17</v>
      </c>
      <c r="AM3" s="58" t="s">
        <v>18</v>
      </c>
      <c r="AN3" s="58" t="s">
        <v>19</v>
      </c>
      <c r="AO3" s="58" t="s">
        <v>20</v>
      </c>
      <c r="AP3" s="58" t="s">
        <v>21</v>
      </c>
      <c r="AQ3" s="57" t="s">
        <v>22</v>
      </c>
      <c r="AR3" s="57"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59" t="s">
        <v>175</v>
      </c>
      <c r="B5" s="59" t="s">
        <v>40</v>
      </c>
      <c r="C5" s="13" t="s">
        <v>372</v>
      </c>
      <c r="D5" s="59">
        <v>11997440</v>
      </c>
      <c r="E5" s="12">
        <v>10</v>
      </c>
      <c r="F5" s="13">
        <v>32</v>
      </c>
      <c r="G5" s="13">
        <v>30</v>
      </c>
      <c r="H5" s="13">
        <v>4</v>
      </c>
      <c r="J5" s="14">
        <f t="shared" ref="J5:J44" si="0">IF(OR(ISBLANK(M5),ISBLANK(G5)),"·",M5*G5/F5/1000000)</f>
        <v>4.8127275000000003</v>
      </c>
      <c r="K5" s="15">
        <f t="shared" ref="K5:K44" si="1">IF(ISBLANK(M5),"·",M5/D5)</f>
        <v>0.42788928304705004</v>
      </c>
      <c r="L5" s="37">
        <v>2394688</v>
      </c>
      <c r="M5" s="16">
        <v>5133576</v>
      </c>
      <c r="N5" s="38">
        <v>68.358615999999998</v>
      </c>
      <c r="O5" s="38">
        <v>69.907685999999998</v>
      </c>
      <c r="P5" s="38">
        <v>27.954021999999998</v>
      </c>
      <c r="Q5" s="38">
        <v>33.808168000000002</v>
      </c>
      <c r="R5" s="38">
        <v>33.305847</v>
      </c>
      <c r="S5" s="38">
        <v>49.199871999999999</v>
      </c>
      <c r="T5" s="38">
        <v>26.918468000000001</v>
      </c>
      <c r="U5" s="17">
        <v>1052</v>
      </c>
      <c r="V5" s="17">
        <v>13.7407</v>
      </c>
      <c r="X5" s="14" t="str">
        <f t="shared" ref="X5:X44" si="2">IF(OR(ISBLANK(AA5),ISBLANK(G5)),"·",AA5*G5/F5/1000000)</f>
        <v>·</v>
      </c>
      <c r="Y5" s="15" t="str">
        <f t="shared" ref="Y5:Y44" si="3">IF(ISBLANK(AA5),"·",AA5/D5)</f>
        <v>·</v>
      </c>
      <c r="Z5" s="37"/>
      <c r="AA5" s="16"/>
      <c r="AB5" s="38"/>
      <c r="AC5" s="38"/>
      <c r="AD5" s="38"/>
      <c r="AE5" s="38"/>
      <c r="AF5" s="38"/>
      <c r="AG5" s="38"/>
      <c r="AH5" s="38"/>
      <c r="AI5" s="17"/>
      <c r="AJ5" s="17"/>
      <c r="AL5" s="18" t="str">
        <f t="array" ref="AL5">IF( OR(AND(ISBLANK(M5:M9)),AND(ISBLANK(AA5:AA9)), AND(ISBLANK(N5:N9)),AND(ISBLANK(AB5:AB9))), "·", bdRateExtend( M5:M9,N5:N9, AA5:AA9,AB5:AB9))</f>
        <v>·</v>
      </c>
      <c r="AM5" s="18" t="str">
        <f t="array" ref="AM5">IF( OR(AND(ISBLANK(M5:M9)),AND(ISBLANK(AA5:AA9)), AND(ISBLANK(O5:O9)),AND(ISBLANK(AC5:AC9))), "·", bdRateExtend( M5:M9,O5:O9, AA5:AA9,AC5:AC9))</f>
        <v>·</v>
      </c>
      <c r="AN5" s="18" t="str">
        <f t="array" ref="AN5">IF( OR(AND(ISBLANK(M5:M9)),AND(ISBLANK(AA5:AA9)), AND(ISBLANK(P5:P9)),AND(ISBLANK(AD5:AD9))), "·", bdRateExtend( M5:M9,P5:P9, AA5:AA9,AD5:AD9))</f>
        <v>·</v>
      </c>
      <c r="AO5" s="18" t="str">
        <f t="array" ref="AO5">IF( OR(AND(ISBLANK(M5:M9)),AND(ISBLANK(AA5:AA9)), AND(ISBLANK(Q5:Q9)),AND(ISBLANK(AE5:AE9))), "·", bdRateExtend( M5:M9,Q5:Q9, AA5:AA9,AE5:AE9))</f>
        <v>·</v>
      </c>
      <c r="AP5" s="18" t="str">
        <f t="array" ref="AP5">IF( OR(AND(ISBLANK(M5:M9)),AND(ISBLANK(AA5:AA9)), AND(ISBLANK(R5:R9)),AND(ISBLANK(AF5:AF9))), "·", bdRateExtend( M5:M9,R5:R9, AA5:AA9,AF5:AF9))</f>
        <v>·</v>
      </c>
      <c r="AQ5" s="18" t="str">
        <f t="array" ref="AQ5">IF( OR(AND(ISBLANK(M5:M9)),AND(ISBLANK(AA5:AA9)), AND(ISBLANK(S5:S9)),AND(ISBLANK(AG5:AG9))), "·", bdRateExtend( M5:M9,S5:S9, AA5:AA9,AG5:AG9))</f>
        <v>·</v>
      </c>
      <c r="AR5" s="18" t="str">
        <f t="array" ref="AR5">IF( OR(AND(ISBLANK(M5:M9)),AND(ISBLANK(AA5:AA9)), AND(ISBLANK(T5:T9)),AND(ISBLANK(AH5:AH9))), "·", bdRateExtend( M5:M9,T5:T9, AA5:AA9,AH5:AH9))</f>
        <v>·</v>
      </c>
    </row>
    <row r="6" spans="1:44" outlineLevel="1" x14ac:dyDescent="0.25">
      <c r="A6" s="60"/>
      <c r="B6" s="60" t="s">
        <v>40</v>
      </c>
      <c r="C6" s="28" t="s">
        <v>373</v>
      </c>
      <c r="D6" s="60">
        <v>11997440</v>
      </c>
      <c r="E6" s="27">
        <v>10</v>
      </c>
      <c r="F6" s="28">
        <v>32</v>
      </c>
      <c r="G6" s="28">
        <v>30</v>
      </c>
      <c r="H6" s="28">
        <v>9</v>
      </c>
      <c r="J6" s="29">
        <f t="shared" si="0"/>
        <v>8.5887150000000005</v>
      </c>
      <c r="K6" s="30">
        <f t="shared" si="1"/>
        <v>0.76360423557025503</v>
      </c>
      <c r="L6" s="39">
        <v>4850496</v>
      </c>
      <c r="M6" s="31">
        <v>9161296</v>
      </c>
      <c r="N6" s="40">
        <v>72.488602999999998</v>
      </c>
      <c r="O6" s="40">
        <v>74.817541000000006</v>
      </c>
      <c r="P6" s="40">
        <v>29.924071999999999</v>
      </c>
      <c r="Q6" s="40">
        <v>35.539383000000001</v>
      </c>
      <c r="R6" s="40">
        <v>35.196719000000002</v>
      </c>
      <c r="S6" s="40">
        <v>51.622872000000001</v>
      </c>
      <c r="T6" s="40">
        <v>29.017641999999999</v>
      </c>
      <c r="U6" s="32">
        <v>1286</v>
      </c>
      <c r="V6" s="32">
        <v>15.824199999999999</v>
      </c>
      <c r="X6" s="29" t="str">
        <f t="shared" si="2"/>
        <v>·</v>
      </c>
      <c r="Y6" s="30" t="str">
        <f t="shared" si="3"/>
        <v>·</v>
      </c>
      <c r="Z6" s="39"/>
      <c r="AA6" s="31"/>
      <c r="AB6" s="40"/>
      <c r="AC6" s="40"/>
      <c r="AD6" s="40"/>
      <c r="AE6" s="40"/>
      <c r="AF6" s="40"/>
      <c r="AG6" s="40"/>
      <c r="AH6" s="40"/>
      <c r="AI6" s="32"/>
      <c r="AJ6" s="32"/>
      <c r="AL6" s="33"/>
      <c r="AM6" s="33"/>
      <c r="AN6" s="33"/>
      <c r="AO6" s="33"/>
      <c r="AP6" s="33"/>
      <c r="AQ6" s="33"/>
      <c r="AR6" s="33"/>
    </row>
    <row r="7" spans="1:44" outlineLevel="1" x14ac:dyDescent="0.25">
      <c r="A7" s="59"/>
      <c r="B7" s="59" t="s">
        <v>40</v>
      </c>
      <c r="C7" s="13" t="s">
        <v>374</v>
      </c>
      <c r="D7" s="59">
        <v>11997440</v>
      </c>
      <c r="E7" s="12">
        <v>10</v>
      </c>
      <c r="F7" s="13">
        <v>32</v>
      </c>
      <c r="G7" s="13">
        <v>30</v>
      </c>
      <c r="H7" s="13">
        <v>12</v>
      </c>
      <c r="J7" s="14">
        <f t="shared" si="0"/>
        <v>11.591272500000001</v>
      </c>
      <c r="K7" s="15">
        <f t="shared" si="1"/>
        <v>1.0305551851061561</v>
      </c>
      <c r="L7" s="37">
        <v>459573</v>
      </c>
      <c r="M7" s="16">
        <v>12364024</v>
      </c>
      <c r="N7" s="38">
        <v>75.032572999999999</v>
      </c>
      <c r="O7" s="38">
        <v>77.528191000000007</v>
      </c>
      <c r="P7" s="38">
        <v>30.527647000000002</v>
      </c>
      <c r="Q7" s="38">
        <v>35.625615000000003</v>
      </c>
      <c r="R7" s="38">
        <v>35.300879000000002</v>
      </c>
      <c r="S7" s="38">
        <v>53.351379999999999</v>
      </c>
      <c r="T7" s="38">
        <v>29.782229000000001</v>
      </c>
      <c r="U7" s="17">
        <v>2241</v>
      </c>
      <c r="V7" s="17">
        <v>14.1441</v>
      </c>
      <c r="X7" s="14" t="str">
        <f t="shared" si="2"/>
        <v>·</v>
      </c>
      <c r="Y7" s="15" t="str">
        <f t="shared" si="3"/>
        <v>·</v>
      </c>
      <c r="Z7" s="37"/>
      <c r="AA7" s="16"/>
      <c r="AB7" s="38"/>
      <c r="AC7" s="38"/>
      <c r="AD7" s="38"/>
      <c r="AE7" s="38"/>
      <c r="AF7" s="38"/>
      <c r="AG7" s="38"/>
      <c r="AH7" s="38"/>
      <c r="AI7" s="17"/>
      <c r="AJ7" s="17"/>
      <c r="AL7" s="18"/>
      <c r="AM7" s="18"/>
      <c r="AN7" s="18"/>
      <c r="AO7" s="18"/>
      <c r="AP7" s="18"/>
      <c r="AQ7" s="18"/>
      <c r="AR7" s="18"/>
    </row>
    <row r="8" spans="1:44" outlineLevel="1" x14ac:dyDescent="0.25">
      <c r="A8" s="60"/>
      <c r="B8" s="60" t="s">
        <v>40</v>
      </c>
      <c r="C8" s="28" t="s">
        <v>375</v>
      </c>
      <c r="D8" s="60">
        <v>11997440</v>
      </c>
      <c r="E8" s="27">
        <v>10</v>
      </c>
      <c r="F8" s="28">
        <v>32</v>
      </c>
      <c r="G8" s="28">
        <v>30</v>
      </c>
      <c r="H8" s="28">
        <v>15</v>
      </c>
      <c r="J8" s="29">
        <f t="shared" si="0"/>
        <v>14.3441025</v>
      </c>
      <c r="K8" s="30">
        <f t="shared" si="1"/>
        <v>1.2753033980582524</v>
      </c>
      <c r="L8" s="39">
        <v>613099</v>
      </c>
      <c r="M8" s="31">
        <v>15300376</v>
      </c>
      <c r="N8" s="40">
        <v>77.215576999999996</v>
      </c>
      <c r="O8" s="40">
        <v>80.163483999999997</v>
      </c>
      <c r="P8" s="40">
        <v>31.026767</v>
      </c>
      <c r="Q8" s="40">
        <v>36.097354000000003</v>
      </c>
      <c r="R8" s="40">
        <v>35.796042999999997</v>
      </c>
      <c r="S8" s="40">
        <v>55.040658999999998</v>
      </c>
      <c r="T8" s="40">
        <v>30.457253000000001</v>
      </c>
      <c r="U8" s="32">
        <v>2594</v>
      </c>
      <c r="V8" s="32">
        <v>14.4956</v>
      </c>
      <c r="X8" s="29" t="str">
        <f t="shared" si="2"/>
        <v>·</v>
      </c>
      <c r="Y8" s="30" t="str">
        <f t="shared" si="3"/>
        <v>·</v>
      </c>
      <c r="Z8" s="39"/>
      <c r="AA8" s="31"/>
      <c r="AB8" s="40"/>
      <c r="AC8" s="40"/>
      <c r="AD8" s="40"/>
      <c r="AE8" s="40"/>
      <c r="AF8" s="40"/>
      <c r="AG8" s="40"/>
      <c r="AH8" s="40"/>
      <c r="AI8" s="32"/>
      <c r="AJ8" s="32"/>
      <c r="AL8" s="33"/>
      <c r="AM8" s="33"/>
      <c r="AN8" s="33"/>
      <c r="AO8" s="33"/>
      <c r="AP8" s="33"/>
      <c r="AQ8" s="33"/>
      <c r="AR8" s="33"/>
    </row>
    <row r="9" spans="1:44" ht="15.75" customHeight="1" outlineLevel="1" thickBot="1" x14ac:dyDescent="0.3">
      <c r="A9" s="59"/>
      <c r="B9" s="41" t="s">
        <v>40</v>
      </c>
      <c r="C9" s="42" t="s">
        <v>376</v>
      </c>
      <c r="D9" s="41">
        <v>11997440</v>
      </c>
      <c r="E9" s="43">
        <v>10</v>
      </c>
      <c r="F9" s="42">
        <v>32</v>
      </c>
      <c r="G9" s="42">
        <v>30</v>
      </c>
      <c r="H9" s="42">
        <v>22</v>
      </c>
      <c r="J9" s="44">
        <f t="shared" si="0"/>
        <v>20.8887225</v>
      </c>
      <c r="K9" s="45">
        <f t="shared" si="1"/>
        <v>1.8571715299263842</v>
      </c>
      <c r="L9" s="46">
        <v>1279248</v>
      </c>
      <c r="M9" s="47">
        <v>22281304</v>
      </c>
      <c r="N9" s="48">
        <v>999.99</v>
      </c>
      <c r="O9" s="48">
        <v>999.99</v>
      </c>
      <c r="P9" s="48">
        <v>32.665827999999998</v>
      </c>
      <c r="Q9" s="48">
        <v>36.838600999999997</v>
      </c>
      <c r="R9" s="48">
        <v>36.634183999999998</v>
      </c>
      <c r="S9" s="48">
        <v>999.99</v>
      </c>
      <c r="T9" s="48">
        <v>32.578113999999999</v>
      </c>
      <c r="U9" s="49">
        <v>822</v>
      </c>
      <c r="V9" s="49">
        <v>15</v>
      </c>
      <c r="X9" s="44" t="str">
        <f t="shared" si="2"/>
        <v>·</v>
      </c>
      <c r="Y9" s="45" t="str">
        <f t="shared" si="3"/>
        <v>·</v>
      </c>
      <c r="Z9" s="46"/>
      <c r="AA9" s="47"/>
      <c r="AB9" s="48"/>
      <c r="AC9" s="48"/>
      <c r="AD9" s="48"/>
      <c r="AE9" s="48"/>
      <c r="AF9" s="48"/>
      <c r="AG9" s="48"/>
      <c r="AH9" s="48"/>
      <c r="AI9" s="49"/>
      <c r="AJ9" s="49"/>
      <c r="AL9" s="50"/>
      <c r="AM9" s="50"/>
      <c r="AN9" s="50"/>
      <c r="AO9" s="50"/>
      <c r="AP9" s="50"/>
      <c r="AQ9" s="50"/>
      <c r="AR9" s="50"/>
    </row>
    <row r="10" spans="1:44" x14ac:dyDescent="0.25">
      <c r="A10" s="60"/>
      <c r="B10" s="60" t="s">
        <v>48</v>
      </c>
      <c r="C10" s="28" t="s">
        <v>372</v>
      </c>
      <c r="D10" s="60">
        <v>9000000</v>
      </c>
      <c r="E10" s="27">
        <v>10</v>
      </c>
      <c r="F10" s="28">
        <v>32</v>
      </c>
      <c r="G10" s="28">
        <v>30</v>
      </c>
      <c r="H10" s="28">
        <v>5</v>
      </c>
      <c r="J10" s="29">
        <f t="shared" si="0"/>
        <v>4.9160325</v>
      </c>
      <c r="K10" s="30">
        <f t="shared" si="1"/>
        <v>0.58264088888888887</v>
      </c>
      <c r="L10" s="39">
        <v>2388864</v>
      </c>
      <c r="M10" s="31">
        <v>5243768</v>
      </c>
      <c r="N10" s="40">
        <v>66.145477999999997</v>
      </c>
      <c r="O10" s="40">
        <v>67.353697999999994</v>
      </c>
      <c r="P10" s="40">
        <v>31.047041</v>
      </c>
      <c r="Q10" s="40">
        <v>44.490428000000001</v>
      </c>
      <c r="R10" s="40">
        <v>44.701200999999998</v>
      </c>
      <c r="S10" s="40">
        <v>44.720129999999997</v>
      </c>
      <c r="T10" s="40">
        <v>29.225698999999999</v>
      </c>
      <c r="U10" s="32">
        <v>1048</v>
      </c>
      <c r="V10" s="32">
        <v>13.968500000000001</v>
      </c>
      <c r="X10" s="29" t="str">
        <f t="shared" si="2"/>
        <v>·</v>
      </c>
      <c r="Y10" s="30" t="str">
        <f t="shared" si="3"/>
        <v>·</v>
      </c>
      <c r="Z10" s="39"/>
      <c r="AA10" s="31"/>
      <c r="AB10" s="40"/>
      <c r="AC10" s="40"/>
      <c r="AD10" s="40"/>
      <c r="AE10" s="40"/>
      <c r="AF10" s="40"/>
      <c r="AG10" s="40"/>
      <c r="AH10" s="40"/>
      <c r="AI10" s="32"/>
      <c r="AJ10" s="32"/>
      <c r="AL10" s="33" t="str">
        <f t="array" ref="AL10">IF( OR(AND(ISBLANK(M10:M14)),AND(ISBLANK(AA10:AA14)), AND(ISBLANK(N10:N14)),AND(ISBLANK(AB10:AB14))), "·", bdRateExtend( M10:M14,N10:N14, AA10:AA14,AB10:AB14))</f>
        <v>·</v>
      </c>
      <c r="AM10" s="33" t="str">
        <f t="array" ref="AM10">IF( OR(AND(ISBLANK(M10:M14)),AND(ISBLANK(AA10:AA14)), AND(ISBLANK(O10:O14)),AND(ISBLANK(AC10:AC14))), "·", bdRateExtend( M10:M14,O10:O14, AA10:AA14,AC10:AC14))</f>
        <v>·</v>
      </c>
      <c r="AN10" s="33" t="str">
        <f t="array" ref="AN10">IF( OR(AND(ISBLANK(M10:M14)),AND(ISBLANK(AA10:AA14)), AND(ISBLANK(P10:P14)),AND(ISBLANK(AD10:AD14))), "·", bdRateExtend( M10:M14,P10:P14, AA10:AA14,AD10:AD14))</f>
        <v>·</v>
      </c>
      <c r="AO10" s="33" t="str">
        <f t="array" ref="AO10">IF( OR(AND(ISBLANK(M10:M14)),AND(ISBLANK(AA10:AA14)), AND(ISBLANK(Q10:Q14)),AND(ISBLANK(AE10:AE14))), "·", bdRateExtend( M10:M14,Q10:Q14, AA10:AA14,AE10:AE14))</f>
        <v>·</v>
      </c>
      <c r="AP10" s="33" t="str">
        <f t="array" ref="AP10">IF( OR(AND(ISBLANK(M10:M14)),AND(ISBLANK(AA10:AA14)), AND(ISBLANK(R10:R14)),AND(ISBLANK(AF10:AF14))), "·", bdRateExtend( M10:M14,R10:R14, AA10:AA14,AF10:AF14))</f>
        <v>·</v>
      </c>
      <c r="AQ10" s="33" t="str">
        <f t="array" ref="AQ10">IF( OR(AND(ISBLANK(M10:M14)),AND(ISBLANK(AA10:AA14)), AND(ISBLANK(S10:S14)),AND(ISBLANK(AG10:AG14))), "·", bdRateExtend( M10:M14,S10:S14, AA10:AA14,AG10:AG14))</f>
        <v>·</v>
      </c>
      <c r="AR10" s="33" t="str">
        <f t="array" ref="AR10">IF( OR(AND(ISBLANK(M10:M14)),AND(ISBLANK(AA10:AA14)), AND(ISBLANK(T10:T14)),AND(ISBLANK(AH10:AH14))), "·", bdRateExtend( M10:M14,T10:T14, AA10:AA14,AH10:AH14))</f>
        <v>·</v>
      </c>
    </row>
    <row r="11" spans="1:44" outlineLevel="1" x14ac:dyDescent="0.25">
      <c r="A11" s="59"/>
      <c r="B11" s="59" t="s">
        <v>48</v>
      </c>
      <c r="C11" s="13" t="s">
        <v>373</v>
      </c>
      <c r="D11" s="59">
        <v>9000000</v>
      </c>
      <c r="E11" s="12">
        <v>10</v>
      </c>
      <c r="F11" s="13">
        <v>32</v>
      </c>
      <c r="G11" s="13">
        <v>30</v>
      </c>
      <c r="H11" s="13">
        <v>9</v>
      </c>
      <c r="J11" s="14">
        <f t="shared" si="0"/>
        <v>8.7619574999999994</v>
      </c>
      <c r="K11" s="15">
        <f t="shared" si="1"/>
        <v>1.0384542222222222</v>
      </c>
      <c r="L11" s="37">
        <v>4842880</v>
      </c>
      <c r="M11" s="16">
        <v>9346088</v>
      </c>
      <c r="N11" s="38">
        <v>72.000161000000006</v>
      </c>
      <c r="O11" s="38">
        <v>74.018109999999993</v>
      </c>
      <c r="P11" s="38">
        <v>32.747957999999997</v>
      </c>
      <c r="Q11" s="38">
        <v>44.808886999999999</v>
      </c>
      <c r="R11" s="38">
        <v>45.103017999999999</v>
      </c>
      <c r="S11" s="38">
        <v>48.231850000000001</v>
      </c>
      <c r="T11" s="38">
        <v>31.569006999999999</v>
      </c>
      <c r="U11" s="17">
        <v>1182</v>
      </c>
      <c r="V11" s="17">
        <v>14.588800000000001</v>
      </c>
      <c r="X11" s="14" t="str">
        <f t="shared" si="2"/>
        <v>·</v>
      </c>
      <c r="Y11" s="15" t="str">
        <f t="shared" si="3"/>
        <v>·</v>
      </c>
      <c r="Z11" s="37"/>
      <c r="AA11" s="16"/>
      <c r="AB11" s="38"/>
      <c r="AC11" s="38"/>
      <c r="AD11" s="38"/>
      <c r="AE11" s="38"/>
      <c r="AF11" s="38"/>
      <c r="AG11" s="38"/>
      <c r="AH11" s="38"/>
      <c r="AI11" s="17"/>
      <c r="AJ11" s="17"/>
      <c r="AL11" s="18"/>
      <c r="AM11" s="18"/>
      <c r="AN11" s="18"/>
      <c r="AO11" s="18"/>
      <c r="AP11" s="18"/>
      <c r="AQ11" s="18"/>
      <c r="AR11" s="18"/>
    </row>
    <row r="12" spans="1:44" outlineLevel="1" x14ac:dyDescent="0.25">
      <c r="A12" s="60"/>
      <c r="B12" s="60" t="s">
        <v>48</v>
      </c>
      <c r="C12" s="28" t="s">
        <v>374</v>
      </c>
      <c r="D12" s="60">
        <v>9000000</v>
      </c>
      <c r="E12" s="27">
        <v>10</v>
      </c>
      <c r="F12" s="28">
        <v>32</v>
      </c>
      <c r="G12" s="28">
        <v>30</v>
      </c>
      <c r="H12" s="28">
        <v>12</v>
      </c>
      <c r="J12" s="29">
        <f t="shared" si="0"/>
        <v>11.630475000000001</v>
      </c>
      <c r="K12" s="30">
        <f t="shared" si="1"/>
        <v>1.3784266666666667</v>
      </c>
      <c r="L12" s="39">
        <v>4842880</v>
      </c>
      <c r="M12" s="31">
        <v>12405840</v>
      </c>
      <c r="N12" s="40">
        <v>72.000161000000006</v>
      </c>
      <c r="O12" s="40">
        <v>74.018109999999993</v>
      </c>
      <c r="P12" s="40">
        <v>34.494016999999999</v>
      </c>
      <c r="Q12" s="40">
        <v>45.432347</v>
      </c>
      <c r="R12" s="40">
        <v>45.817852999999999</v>
      </c>
      <c r="S12" s="40">
        <v>48.231850000000001</v>
      </c>
      <c r="T12" s="40">
        <v>32.725127999999998</v>
      </c>
      <c r="U12" s="32">
        <v>1202</v>
      </c>
      <c r="V12" s="32">
        <v>14.9664</v>
      </c>
      <c r="X12" s="29" t="str">
        <f t="shared" si="2"/>
        <v>·</v>
      </c>
      <c r="Y12" s="30" t="str">
        <f t="shared" si="3"/>
        <v>·</v>
      </c>
      <c r="Z12" s="39"/>
      <c r="AA12" s="31"/>
      <c r="AB12" s="40"/>
      <c r="AC12" s="40"/>
      <c r="AD12" s="40"/>
      <c r="AE12" s="40"/>
      <c r="AF12" s="40"/>
      <c r="AG12" s="40"/>
      <c r="AH12" s="40"/>
      <c r="AI12" s="32"/>
      <c r="AJ12" s="32"/>
      <c r="AL12" s="33"/>
      <c r="AM12" s="33"/>
      <c r="AN12" s="33"/>
      <c r="AO12" s="33"/>
      <c r="AP12" s="33"/>
      <c r="AQ12" s="33"/>
      <c r="AR12" s="33"/>
    </row>
    <row r="13" spans="1:44" outlineLevel="1" x14ac:dyDescent="0.25">
      <c r="A13" s="59"/>
      <c r="B13" s="59" t="s">
        <v>48</v>
      </c>
      <c r="C13" s="13" t="s">
        <v>375</v>
      </c>
      <c r="D13" s="59">
        <v>9000000</v>
      </c>
      <c r="E13" s="12">
        <v>10</v>
      </c>
      <c r="F13" s="13">
        <v>32</v>
      </c>
      <c r="G13" s="13">
        <v>30</v>
      </c>
      <c r="H13" s="13">
        <v>15</v>
      </c>
      <c r="J13" s="14">
        <f t="shared" si="0"/>
        <v>14.825234999999999</v>
      </c>
      <c r="K13" s="15">
        <f t="shared" si="1"/>
        <v>1.7570648888888889</v>
      </c>
      <c r="L13" s="37">
        <v>612844</v>
      </c>
      <c r="M13" s="16">
        <v>15813584</v>
      </c>
      <c r="N13" s="38">
        <v>76.304141000000001</v>
      </c>
      <c r="O13" s="38">
        <v>78.552822000000006</v>
      </c>
      <c r="P13" s="38">
        <v>34.833046000000003</v>
      </c>
      <c r="Q13" s="38">
        <v>45.526221</v>
      </c>
      <c r="R13" s="38">
        <v>45.931179</v>
      </c>
      <c r="S13" s="38">
        <v>51.072778</v>
      </c>
      <c r="T13" s="38">
        <v>33.832341</v>
      </c>
      <c r="U13" s="17">
        <v>2596</v>
      </c>
      <c r="V13" s="17">
        <v>14.507899999999999</v>
      </c>
      <c r="X13" s="14" t="str">
        <f t="shared" si="2"/>
        <v>·</v>
      </c>
      <c r="Y13" s="15" t="str">
        <f t="shared" si="3"/>
        <v>·</v>
      </c>
      <c r="Z13" s="37"/>
      <c r="AA13" s="16"/>
      <c r="AB13" s="38"/>
      <c r="AC13" s="38"/>
      <c r="AD13" s="38"/>
      <c r="AE13" s="38"/>
      <c r="AF13" s="38"/>
      <c r="AG13" s="38"/>
      <c r="AH13" s="38"/>
      <c r="AI13" s="17"/>
      <c r="AJ13" s="17"/>
      <c r="AL13" s="18"/>
      <c r="AM13" s="18"/>
      <c r="AN13" s="18"/>
      <c r="AO13" s="18"/>
      <c r="AP13" s="18"/>
      <c r="AQ13" s="18"/>
      <c r="AR13" s="18"/>
    </row>
    <row r="14" spans="1:44" ht="15.75" customHeight="1" outlineLevel="1" thickBot="1" x14ac:dyDescent="0.3">
      <c r="A14" s="19"/>
      <c r="B14" s="19" t="s">
        <v>48</v>
      </c>
      <c r="C14" s="21" t="s">
        <v>376</v>
      </c>
      <c r="D14" s="19">
        <v>9000000</v>
      </c>
      <c r="E14" s="20">
        <v>10</v>
      </c>
      <c r="F14" s="21">
        <v>32</v>
      </c>
      <c r="G14" s="21">
        <v>30</v>
      </c>
      <c r="H14" s="21">
        <v>22</v>
      </c>
      <c r="J14" s="22">
        <f t="shared" si="0"/>
        <v>21.9469125</v>
      </c>
      <c r="K14" s="23">
        <f t="shared" si="1"/>
        <v>2.6011155555555554</v>
      </c>
      <c r="L14" s="51">
        <v>1279214</v>
      </c>
      <c r="M14" s="24">
        <v>23410040</v>
      </c>
      <c r="N14" s="52">
        <v>999.99</v>
      </c>
      <c r="O14" s="52">
        <v>999.99</v>
      </c>
      <c r="P14" s="52">
        <v>36.926077999999997</v>
      </c>
      <c r="Q14" s="52">
        <v>45.831398</v>
      </c>
      <c r="R14" s="52">
        <v>46.284883999999998</v>
      </c>
      <c r="S14" s="52">
        <v>999.99</v>
      </c>
      <c r="T14" s="52">
        <v>36.809945999999997</v>
      </c>
      <c r="U14" s="25">
        <v>811</v>
      </c>
      <c r="V14" s="25">
        <v>15.1059</v>
      </c>
      <c r="X14" s="22" t="str">
        <f t="shared" si="2"/>
        <v>·</v>
      </c>
      <c r="Y14" s="23" t="str">
        <f t="shared" si="3"/>
        <v>·</v>
      </c>
      <c r="Z14" s="51"/>
      <c r="AA14" s="24"/>
      <c r="AB14" s="52"/>
      <c r="AC14" s="52"/>
      <c r="AD14" s="52"/>
      <c r="AE14" s="52"/>
      <c r="AF14" s="52"/>
      <c r="AG14" s="52"/>
      <c r="AH14" s="52"/>
      <c r="AI14" s="25"/>
      <c r="AJ14" s="25"/>
      <c r="AL14" s="26"/>
      <c r="AM14" s="26"/>
      <c r="AN14" s="26"/>
      <c r="AO14" s="26"/>
      <c r="AP14" s="26"/>
      <c r="AQ14" s="26"/>
      <c r="AR14" s="26"/>
    </row>
    <row r="15" spans="1:44" x14ac:dyDescent="0.25">
      <c r="A15" s="59" t="s">
        <v>176</v>
      </c>
      <c r="B15" s="59" t="s">
        <v>53</v>
      </c>
      <c r="C15" s="13" t="s">
        <v>372</v>
      </c>
      <c r="D15" s="59">
        <v>11842002</v>
      </c>
      <c r="E15" s="12">
        <v>12</v>
      </c>
      <c r="F15" s="13">
        <v>32</v>
      </c>
      <c r="G15" s="13">
        <v>30</v>
      </c>
      <c r="H15" s="13">
        <v>3</v>
      </c>
      <c r="J15" s="14">
        <f t="shared" si="0"/>
        <v>2.8683000000000001</v>
      </c>
      <c r="K15" s="15">
        <f t="shared" si="1"/>
        <v>0.2583617195808614</v>
      </c>
      <c r="L15" s="37">
        <v>2419456</v>
      </c>
      <c r="M15" s="16">
        <v>3059520</v>
      </c>
      <c r="N15" s="38">
        <v>66.372065000000006</v>
      </c>
      <c r="O15" s="38">
        <v>67.116046999999995</v>
      </c>
      <c r="P15" s="38">
        <v>34.821345999999998</v>
      </c>
      <c r="Q15" s="38">
        <v>43.404254000000002</v>
      </c>
      <c r="R15" s="38">
        <v>44.930475999999999</v>
      </c>
      <c r="S15" s="38">
        <v>43.032707000000002</v>
      </c>
      <c r="T15" s="38">
        <v>30.137369</v>
      </c>
      <c r="U15" s="17">
        <v>1090</v>
      </c>
      <c r="V15" s="17">
        <v>13.573700000000001</v>
      </c>
      <c r="X15" s="14" t="str">
        <f t="shared" si="2"/>
        <v>·</v>
      </c>
      <c r="Y15" s="15" t="str">
        <f t="shared" si="3"/>
        <v>·</v>
      </c>
      <c r="Z15" s="37"/>
      <c r="AA15" s="16"/>
      <c r="AB15" s="38"/>
      <c r="AC15" s="38"/>
      <c r="AD15" s="38"/>
      <c r="AE15" s="38"/>
      <c r="AF15" s="38"/>
      <c r="AG15" s="38"/>
      <c r="AH15" s="38"/>
      <c r="AI15" s="17"/>
      <c r="AJ15" s="17"/>
      <c r="AL15" s="18" t="str">
        <f t="array" ref="AL15">IF( OR(AND(ISBLANK(M15:M19)),AND(ISBLANK(AA15:AA19)), AND(ISBLANK(N15:N19)),AND(ISBLANK(AB15:AB19))), "·", bdRateExtend( M15:M19,N15:N19, AA15:AA19,AB15:AB19))</f>
        <v>·</v>
      </c>
      <c r="AM15" s="18" t="str">
        <f t="array" ref="AM15">IF( OR(AND(ISBLANK(M15:M19)),AND(ISBLANK(AA15:AA19)), AND(ISBLANK(O15:O19)),AND(ISBLANK(AC15:AC19))), "·", bdRateExtend( M15:M19,O15:O19, AA15:AA19,AC15:AC19))</f>
        <v>·</v>
      </c>
      <c r="AN15" s="18" t="str">
        <f t="array" ref="AN15">IF( OR(AND(ISBLANK(M15:M19)),AND(ISBLANK(AA15:AA19)), AND(ISBLANK(P15:P19)),AND(ISBLANK(AD15:AD19))), "·", bdRateExtend( M15:M19,P15:P19, AA15:AA19,AD15:AD19))</f>
        <v>·</v>
      </c>
      <c r="AO15" s="18" t="str">
        <f t="array" ref="AO15">IF( OR(AND(ISBLANK(M15:M19)),AND(ISBLANK(AA15:AA19)), AND(ISBLANK(Q15:Q19)),AND(ISBLANK(AE15:AE19))), "·", bdRateExtend( M15:M19,Q15:Q19, AA15:AA19,AE15:AE19))</f>
        <v>·</v>
      </c>
      <c r="AP15" s="18" t="str">
        <f t="array" ref="AP15">IF( OR(AND(ISBLANK(M15:M19)),AND(ISBLANK(AA15:AA19)), AND(ISBLANK(R15:R19)),AND(ISBLANK(AF15:AF19))), "·", bdRateExtend( M15:M19,R15:R19, AA15:AA19,AF15:AF19))</f>
        <v>·</v>
      </c>
      <c r="AQ15" s="18" t="str">
        <f t="array" ref="AQ15">IF( OR(AND(ISBLANK(M15:M19)),AND(ISBLANK(AA15:AA19)), AND(ISBLANK(S15:S19)),AND(ISBLANK(AG15:AG19))), "·", bdRateExtend( M15:M19,S15:S19, AA15:AA19,AG15:AG19))</f>
        <v>·</v>
      </c>
      <c r="AR15" s="18" t="str">
        <f t="array" ref="AR15">IF( OR(AND(ISBLANK(M15:M19)),AND(ISBLANK(AA15:AA19)), AND(ISBLANK(T15:T19)),AND(ISBLANK(AH15:AH19))), "·", bdRateExtend( M15:M19,T15:T19, AA15:AA19,AH15:AH19))</f>
        <v>·</v>
      </c>
    </row>
    <row r="16" spans="1:44" outlineLevel="1" x14ac:dyDescent="0.25">
      <c r="A16" s="60"/>
      <c r="B16" s="60" t="s">
        <v>53</v>
      </c>
      <c r="C16" s="28" t="s">
        <v>373</v>
      </c>
      <c r="D16" s="60">
        <v>11842002</v>
      </c>
      <c r="E16" s="27">
        <v>12</v>
      </c>
      <c r="F16" s="28">
        <v>32</v>
      </c>
      <c r="G16" s="28">
        <v>30</v>
      </c>
      <c r="H16" s="28">
        <v>5</v>
      </c>
      <c r="J16" s="29">
        <f t="shared" si="0"/>
        <v>4.7028825000000003</v>
      </c>
      <c r="K16" s="30">
        <f t="shared" si="1"/>
        <v>0.42361148055877712</v>
      </c>
      <c r="L16" s="39">
        <v>2419456</v>
      </c>
      <c r="M16" s="31">
        <v>5016408</v>
      </c>
      <c r="N16" s="40">
        <v>73.596317999999997</v>
      </c>
      <c r="O16" s="40">
        <v>75.169827999999995</v>
      </c>
      <c r="P16" s="40">
        <v>36.510913000000002</v>
      </c>
      <c r="Q16" s="40">
        <v>43.572772000000001</v>
      </c>
      <c r="R16" s="40">
        <v>45.391150000000003</v>
      </c>
      <c r="S16" s="40">
        <v>46.878819999999997</v>
      </c>
      <c r="T16" s="40">
        <v>33.535733</v>
      </c>
      <c r="U16" s="32">
        <v>1091</v>
      </c>
      <c r="V16" s="32">
        <v>13.878299999999999</v>
      </c>
      <c r="X16" s="29" t="str">
        <f t="shared" si="2"/>
        <v>·</v>
      </c>
      <c r="Y16" s="30" t="str">
        <f t="shared" si="3"/>
        <v>·</v>
      </c>
      <c r="Z16" s="39"/>
      <c r="AA16" s="31"/>
      <c r="AB16" s="40"/>
      <c r="AC16" s="40"/>
      <c r="AD16" s="40"/>
      <c r="AE16" s="40"/>
      <c r="AF16" s="40"/>
      <c r="AG16" s="40"/>
      <c r="AH16" s="40"/>
      <c r="AI16" s="32"/>
      <c r="AJ16" s="32"/>
      <c r="AL16" s="33"/>
      <c r="AM16" s="33"/>
      <c r="AN16" s="33"/>
      <c r="AO16" s="33"/>
      <c r="AP16" s="33"/>
      <c r="AQ16" s="33"/>
      <c r="AR16" s="33"/>
    </row>
    <row r="17" spans="1:44" outlineLevel="1" x14ac:dyDescent="0.25">
      <c r="A17" s="59"/>
      <c r="B17" s="59" t="s">
        <v>53</v>
      </c>
      <c r="C17" s="13" t="s">
        <v>374</v>
      </c>
      <c r="D17" s="59">
        <v>11842002</v>
      </c>
      <c r="E17" s="12">
        <v>12</v>
      </c>
      <c r="F17" s="13">
        <v>32</v>
      </c>
      <c r="G17" s="13">
        <v>30</v>
      </c>
      <c r="H17" s="13">
        <v>10</v>
      </c>
      <c r="J17" s="14">
        <f t="shared" si="0"/>
        <v>9.7210199999999993</v>
      </c>
      <c r="K17" s="15">
        <f t="shared" si="1"/>
        <v>0.87561951095769108</v>
      </c>
      <c r="L17" s="37">
        <v>4841472</v>
      </c>
      <c r="M17" s="16">
        <v>10369088</v>
      </c>
      <c r="N17" s="38">
        <v>76.985789999999994</v>
      </c>
      <c r="O17" s="38">
        <v>79.062882999999999</v>
      </c>
      <c r="P17" s="38">
        <v>39.373322999999999</v>
      </c>
      <c r="Q17" s="38">
        <v>44.949373000000001</v>
      </c>
      <c r="R17" s="38">
        <v>47.963442999999998</v>
      </c>
      <c r="S17" s="38">
        <v>48.536476</v>
      </c>
      <c r="T17" s="38">
        <v>36.187415999999999</v>
      </c>
      <c r="U17" s="17">
        <v>1217</v>
      </c>
      <c r="V17" s="17">
        <v>15.247999999999999</v>
      </c>
      <c r="X17" s="14" t="str">
        <f t="shared" si="2"/>
        <v>·</v>
      </c>
      <c r="Y17" s="15" t="str">
        <f t="shared" si="3"/>
        <v>·</v>
      </c>
      <c r="Z17" s="37"/>
      <c r="AA17" s="16"/>
      <c r="AB17" s="38"/>
      <c r="AC17" s="38"/>
      <c r="AD17" s="38"/>
      <c r="AE17" s="38"/>
      <c r="AF17" s="38"/>
      <c r="AG17" s="38"/>
      <c r="AH17" s="38"/>
      <c r="AI17" s="17"/>
      <c r="AJ17" s="17"/>
      <c r="AL17" s="18"/>
      <c r="AM17" s="18"/>
      <c r="AN17" s="18"/>
      <c r="AO17" s="18"/>
      <c r="AP17" s="18"/>
      <c r="AQ17" s="18"/>
      <c r="AR17" s="18"/>
    </row>
    <row r="18" spans="1:44" outlineLevel="1" x14ac:dyDescent="0.25">
      <c r="A18" s="60"/>
      <c r="B18" s="60" t="s">
        <v>53</v>
      </c>
      <c r="C18" s="28" t="s">
        <v>375</v>
      </c>
      <c r="D18" s="60">
        <v>11842002</v>
      </c>
      <c r="E18" s="27">
        <v>12</v>
      </c>
      <c r="F18" s="28">
        <v>32</v>
      </c>
      <c r="G18" s="28">
        <v>30</v>
      </c>
      <c r="H18" s="28">
        <v>14</v>
      </c>
      <c r="J18" s="29">
        <f t="shared" si="0"/>
        <v>13.5218925</v>
      </c>
      <c r="K18" s="30">
        <f t="shared" si="1"/>
        <v>1.2179825674746549</v>
      </c>
      <c r="L18" s="39">
        <v>454013</v>
      </c>
      <c r="M18" s="31">
        <v>14423352</v>
      </c>
      <c r="N18" s="40">
        <v>80.369623000000004</v>
      </c>
      <c r="O18" s="40">
        <v>83.053779000000006</v>
      </c>
      <c r="P18" s="40">
        <v>39.871904000000001</v>
      </c>
      <c r="Q18" s="40">
        <v>44.962975</v>
      </c>
      <c r="R18" s="40">
        <v>47.987363999999999</v>
      </c>
      <c r="S18" s="40">
        <v>50.591143000000002</v>
      </c>
      <c r="T18" s="40">
        <v>37.634207000000004</v>
      </c>
      <c r="U18" s="32">
        <v>1932</v>
      </c>
      <c r="V18" s="32">
        <v>14.8406</v>
      </c>
      <c r="X18" s="29" t="str">
        <f t="shared" si="2"/>
        <v>·</v>
      </c>
      <c r="Y18" s="30" t="str">
        <f t="shared" si="3"/>
        <v>·</v>
      </c>
      <c r="Z18" s="39"/>
      <c r="AA18" s="31"/>
      <c r="AB18" s="40"/>
      <c r="AC18" s="40"/>
      <c r="AD18" s="40"/>
      <c r="AE18" s="40"/>
      <c r="AF18" s="40"/>
      <c r="AG18" s="40"/>
      <c r="AH18" s="40"/>
      <c r="AI18" s="32"/>
      <c r="AJ18" s="32"/>
      <c r="AL18" s="33"/>
      <c r="AM18" s="33"/>
      <c r="AN18" s="33"/>
      <c r="AO18" s="33"/>
      <c r="AP18" s="33"/>
      <c r="AQ18" s="33"/>
      <c r="AR18" s="33"/>
    </row>
    <row r="19" spans="1:44" ht="15.75" customHeight="1" outlineLevel="1" thickBot="1" x14ac:dyDescent="0.3">
      <c r="A19" s="59"/>
      <c r="B19" s="41" t="s">
        <v>53</v>
      </c>
      <c r="C19" s="42" t="s">
        <v>376</v>
      </c>
      <c r="D19" s="41">
        <v>11842002</v>
      </c>
      <c r="E19" s="43">
        <v>12</v>
      </c>
      <c r="F19" s="42">
        <v>32</v>
      </c>
      <c r="G19" s="42">
        <v>30</v>
      </c>
      <c r="H19" s="42">
        <v>21</v>
      </c>
      <c r="J19" s="44">
        <f t="shared" si="0"/>
        <v>19.836044999999999</v>
      </c>
      <c r="K19" s="45">
        <f t="shared" si="1"/>
        <v>1.7867289669432584</v>
      </c>
      <c r="L19" s="46">
        <v>605377</v>
      </c>
      <c r="M19" s="47">
        <v>21158448</v>
      </c>
      <c r="N19" s="48">
        <v>83.638339999999999</v>
      </c>
      <c r="O19" s="48">
        <v>87.134924999999996</v>
      </c>
      <c r="P19" s="48">
        <v>41.048296000000001</v>
      </c>
      <c r="Q19" s="48">
        <v>45.902036000000003</v>
      </c>
      <c r="R19" s="48">
        <v>49.535653000000003</v>
      </c>
      <c r="S19" s="48">
        <v>54.069744</v>
      </c>
      <c r="T19" s="48">
        <v>39.573979999999999</v>
      </c>
      <c r="U19" s="49">
        <v>2164</v>
      </c>
      <c r="V19" s="49">
        <v>15.161799999999999</v>
      </c>
      <c r="X19" s="44" t="str">
        <f t="shared" si="2"/>
        <v>·</v>
      </c>
      <c r="Y19" s="45" t="str">
        <f t="shared" si="3"/>
        <v>·</v>
      </c>
      <c r="Z19" s="46"/>
      <c r="AA19" s="47"/>
      <c r="AB19" s="48"/>
      <c r="AC19" s="48"/>
      <c r="AD19" s="48"/>
      <c r="AE19" s="48"/>
      <c r="AF19" s="48"/>
      <c r="AG19" s="48"/>
      <c r="AH19" s="48"/>
      <c r="AI19" s="49"/>
      <c r="AJ19" s="49"/>
      <c r="AL19" s="50"/>
      <c r="AM19" s="50"/>
      <c r="AN19" s="50"/>
      <c r="AO19" s="50"/>
      <c r="AP19" s="50"/>
      <c r="AQ19" s="50"/>
      <c r="AR19" s="50"/>
    </row>
    <row r="20" spans="1:44" x14ac:dyDescent="0.25">
      <c r="A20" s="60"/>
      <c r="B20" s="60" t="s">
        <v>58</v>
      </c>
      <c r="C20" s="28" t="s">
        <v>372</v>
      </c>
      <c r="D20" s="60">
        <v>11812090</v>
      </c>
      <c r="E20" s="27">
        <v>12</v>
      </c>
      <c r="F20" s="28">
        <v>32</v>
      </c>
      <c r="G20" s="28">
        <v>30</v>
      </c>
      <c r="H20" s="28">
        <v>3</v>
      </c>
      <c r="J20" s="29">
        <f t="shared" si="0"/>
        <v>3.0046124999999999</v>
      </c>
      <c r="K20" s="30">
        <f t="shared" si="1"/>
        <v>0.27132539626772229</v>
      </c>
      <c r="L20" s="39">
        <v>2417984</v>
      </c>
      <c r="M20" s="31">
        <v>3204920</v>
      </c>
      <c r="N20" s="40">
        <v>66.784648000000004</v>
      </c>
      <c r="O20" s="40">
        <v>67.645606999999998</v>
      </c>
      <c r="P20" s="40">
        <v>33.819046999999998</v>
      </c>
      <c r="Q20" s="40">
        <v>43.284551</v>
      </c>
      <c r="R20" s="40">
        <v>44.608088000000002</v>
      </c>
      <c r="S20" s="40">
        <v>45.891067</v>
      </c>
      <c r="T20" s="40">
        <v>29.203807999999999</v>
      </c>
      <c r="U20" s="32">
        <v>1077</v>
      </c>
      <c r="V20" s="32">
        <v>13.712199999999999</v>
      </c>
      <c r="X20" s="29" t="str">
        <f t="shared" si="2"/>
        <v>·</v>
      </c>
      <c r="Y20" s="30" t="str">
        <f t="shared" si="3"/>
        <v>·</v>
      </c>
      <c r="Z20" s="39"/>
      <c r="AA20" s="31"/>
      <c r="AB20" s="40"/>
      <c r="AC20" s="40"/>
      <c r="AD20" s="40"/>
      <c r="AE20" s="40"/>
      <c r="AF20" s="40"/>
      <c r="AG20" s="40"/>
      <c r="AH20" s="40"/>
      <c r="AI20" s="32"/>
      <c r="AJ20" s="32"/>
      <c r="AL20" s="33" t="str">
        <f t="array" ref="AL20">IF( OR(AND(ISBLANK(M20:M24)),AND(ISBLANK(AA20:AA24)), AND(ISBLANK(N20:N24)),AND(ISBLANK(AB20:AB24))), "·", bdRateExtend( M20:M24,N20:N24, AA20:AA24,AB20:AB24))</f>
        <v>·</v>
      </c>
      <c r="AM20" s="33" t="str">
        <f t="array" ref="AM20">IF( OR(AND(ISBLANK(M20:M24)),AND(ISBLANK(AA20:AA24)), AND(ISBLANK(O20:O24)),AND(ISBLANK(AC20:AC24))), "·", bdRateExtend( M20:M24,O20:O24, AA20:AA24,AC20:AC24))</f>
        <v>·</v>
      </c>
      <c r="AN20" s="33" t="str">
        <f t="array" ref="AN20">IF( OR(AND(ISBLANK(M20:M24)),AND(ISBLANK(AA20:AA24)), AND(ISBLANK(P20:P24)),AND(ISBLANK(AD20:AD24))), "·", bdRateExtend( M20:M24,P20:P24, AA20:AA24,AD20:AD24))</f>
        <v>·</v>
      </c>
      <c r="AO20" s="33" t="str">
        <f t="array" ref="AO20">IF( OR(AND(ISBLANK(M20:M24)),AND(ISBLANK(AA20:AA24)), AND(ISBLANK(Q20:Q24)),AND(ISBLANK(AE20:AE24))), "·", bdRateExtend( M20:M24,Q20:Q24, AA20:AA24,AE20:AE24))</f>
        <v>·</v>
      </c>
      <c r="AP20" s="33" t="str">
        <f t="array" ref="AP20">IF( OR(AND(ISBLANK(M20:M24)),AND(ISBLANK(AA20:AA24)), AND(ISBLANK(R20:R24)),AND(ISBLANK(AF20:AF24))), "·", bdRateExtend( M20:M24,R20:R24, AA20:AA24,AF20:AF24))</f>
        <v>·</v>
      </c>
      <c r="AQ20" s="33" t="str">
        <f t="array" ref="AQ20">IF( OR(AND(ISBLANK(M20:M24)),AND(ISBLANK(AA20:AA24)), AND(ISBLANK(S20:S24)),AND(ISBLANK(AG20:AG24))), "·", bdRateExtend( M20:M24,S20:S24, AA20:AA24,AG20:AG24))</f>
        <v>·</v>
      </c>
      <c r="AR20" s="33" t="str">
        <f t="array" ref="AR20">IF( OR(AND(ISBLANK(M20:M24)),AND(ISBLANK(AA20:AA24)), AND(ISBLANK(T20:T24)),AND(ISBLANK(AH20:AH24))), "·", bdRateExtend( M20:M24,T20:T24, AA20:AA24,AH20:AH24))</f>
        <v>·</v>
      </c>
    </row>
    <row r="21" spans="1:44" outlineLevel="1" x14ac:dyDescent="0.25">
      <c r="A21" s="59"/>
      <c r="B21" s="59" t="s">
        <v>58</v>
      </c>
      <c r="C21" s="13" t="s">
        <v>373</v>
      </c>
      <c r="D21" s="59">
        <v>11812090</v>
      </c>
      <c r="E21" s="12">
        <v>12</v>
      </c>
      <c r="F21" s="13">
        <v>32</v>
      </c>
      <c r="G21" s="13">
        <v>30</v>
      </c>
      <c r="H21" s="13">
        <v>5</v>
      </c>
      <c r="J21" s="14">
        <f t="shared" si="0"/>
        <v>5.0246174999999997</v>
      </c>
      <c r="K21" s="15">
        <f t="shared" si="1"/>
        <v>0.45373782285776693</v>
      </c>
      <c r="L21" s="37">
        <v>2417984</v>
      </c>
      <c r="M21" s="16">
        <v>5359592</v>
      </c>
      <c r="N21" s="38">
        <v>73.897357999999997</v>
      </c>
      <c r="O21" s="38">
        <v>75.638907000000003</v>
      </c>
      <c r="P21" s="38">
        <v>35.827779</v>
      </c>
      <c r="Q21" s="38">
        <v>43.802225999999997</v>
      </c>
      <c r="R21" s="38">
        <v>45.575448999999999</v>
      </c>
      <c r="S21" s="38">
        <v>49.959299000000001</v>
      </c>
      <c r="T21" s="38">
        <v>32.975583999999998</v>
      </c>
      <c r="U21" s="17">
        <v>1070</v>
      </c>
      <c r="V21" s="17">
        <v>14.084099999999999</v>
      </c>
      <c r="X21" s="14" t="str">
        <f t="shared" si="2"/>
        <v>·</v>
      </c>
      <c r="Y21" s="15" t="str">
        <f t="shared" si="3"/>
        <v>·</v>
      </c>
      <c r="Z21" s="37"/>
      <c r="AA21" s="16"/>
      <c r="AB21" s="38"/>
      <c r="AC21" s="38"/>
      <c r="AD21" s="38"/>
      <c r="AE21" s="38"/>
      <c r="AF21" s="38"/>
      <c r="AG21" s="38"/>
      <c r="AH21" s="38"/>
      <c r="AI21" s="17"/>
      <c r="AJ21" s="17"/>
      <c r="AL21" s="18"/>
      <c r="AM21" s="18"/>
      <c r="AN21" s="18"/>
      <c r="AO21" s="18"/>
      <c r="AP21" s="18"/>
      <c r="AQ21" s="18"/>
      <c r="AR21" s="18"/>
    </row>
    <row r="22" spans="1:44" outlineLevel="1" x14ac:dyDescent="0.25">
      <c r="A22" s="60"/>
      <c r="B22" s="60" t="s">
        <v>58</v>
      </c>
      <c r="C22" s="28" t="s">
        <v>374</v>
      </c>
      <c r="D22" s="60">
        <v>11812090</v>
      </c>
      <c r="E22" s="27">
        <v>12</v>
      </c>
      <c r="F22" s="28">
        <v>32</v>
      </c>
      <c r="G22" s="28">
        <v>30</v>
      </c>
      <c r="H22" s="28">
        <v>10</v>
      </c>
      <c r="J22" s="29">
        <f t="shared" si="0"/>
        <v>9.8168100000000003</v>
      </c>
      <c r="K22" s="30">
        <f t="shared" si="1"/>
        <v>0.88648698071213472</v>
      </c>
      <c r="L22" s="39">
        <v>4836096</v>
      </c>
      <c r="M22" s="31">
        <v>10471264</v>
      </c>
      <c r="N22" s="40">
        <v>76.786788000000001</v>
      </c>
      <c r="O22" s="40">
        <v>79.019450000000006</v>
      </c>
      <c r="P22" s="40">
        <v>38.918470999999997</v>
      </c>
      <c r="Q22" s="40">
        <v>45.037010000000002</v>
      </c>
      <c r="R22" s="40">
        <v>47.621226999999998</v>
      </c>
      <c r="S22" s="40">
        <v>51.510460999999999</v>
      </c>
      <c r="T22" s="40">
        <v>35.603053000000003</v>
      </c>
      <c r="U22" s="32">
        <v>1266</v>
      </c>
      <c r="V22" s="32">
        <v>16.202000000000002</v>
      </c>
      <c r="X22" s="29" t="str">
        <f t="shared" si="2"/>
        <v>·</v>
      </c>
      <c r="Y22" s="30" t="str">
        <f t="shared" si="3"/>
        <v>·</v>
      </c>
      <c r="Z22" s="39"/>
      <c r="AA22" s="31"/>
      <c r="AB22" s="40"/>
      <c r="AC22" s="40"/>
      <c r="AD22" s="40"/>
      <c r="AE22" s="40"/>
      <c r="AF22" s="40"/>
      <c r="AG22" s="40"/>
      <c r="AH22" s="40"/>
      <c r="AI22" s="32"/>
      <c r="AJ22" s="32"/>
      <c r="AL22" s="33"/>
      <c r="AM22" s="33"/>
      <c r="AN22" s="33"/>
      <c r="AO22" s="33"/>
      <c r="AP22" s="33"/>
      <c r="AQ22" s="33"/>
      <c r="AR22" s="33"/>
    </row>
    <row r="23" spans="1:44" outlineLevel="1" x14ac:dyDescent="0.25">
      <c r="A23" s="59"/>
      <c r="B23" s="59" t="s">
        <v>58</v>
      </c>
      <c r="C23" s="13" t="s">
        <v>375</v>
      </c>
      <c r="D23" s="59">
        <v>11812090</v>
      </c>
      <c r="E23" s="12">
        <v>12</v>
      </c>
      <c r="F23" s="13">
        <v>32</v>
      </c>
      <c r="G23" s="13">
        <v>30</v>
      </c>
      <c r="H23" s="13">
        <v>14</v>
      </c>
      <c r="J23" s="14">
        <f t="shared" si="0"/>
        <v>13.6932075</v>
      </c>
      <c r="K23" s="15">
        <f t="shared" si="1"/>
        <v>1.236537141183313</v>
      </c>
      <c r="L23" s="37">
        <v>453449</v>
      </c>
      <c r="M23" s="16">
        <v>14606088</v>
      </c>
      <c r="N23" s="38">
        <v>80.268460000000005</v>
      </c>
      <c r="O23" s="38">
        <v>83.168716000000003</v>
      </c>
      <c r="P23" s="38">
        <v>39.57855</v>
      </c>
      <c r="Q23" s="38">
        <v>45.324322000000002</v>
      </c>
      <c r="R23" s="38">
        <v>48.033667000000001</v>
      </c>
      <c r="S23" s="38">
        <v>53.481009999999998</v>
      </c>
      <c r="T23" s="38">
        <v>37.260494000000001</v>
      </c>
      <c r="U23" s="17">
        <v>1981</v>
      </c>
      <c r="V23" s="17">
        <v>15.242800000000001</v>
      </c>
      <c r="X23" s="14" t="str">
        <f t="shared" si="2"/>
        <v>·</v>
      </c>
      <c r="Y23" s="15" t="str">
        <f t="shared" si="3"/>
        <v>·</v>
      </c>
      <c r="Z23" s="37"/>
      <c r="AA23" s="16"/>
      <c r="AB23" s="38"/>
      <c r="AC23" s="38"/>
      <c r="AD23" s="38"/>
      <c r="AE23" s="38"/>
      <c r="AF23" s="38"/>
      <c r="AG23" s="38"/>
      <c r="AH23" s="38"/>
      <c r="AI23" s="17"/>
      <c r="AJ23" s="17"/>
      <c r="AL23" s="18"/>
      <c r="AM23" s="18"/>
      <c r="AN23" s="18"/>
      <c r="AO23" s="18"/>
      <c r="AP23" s="18"/>
      <c r="AQ23" s="18"/>
      <c r="AR23" s="18"/>
    </row>
    <row r="24" spans="1:44" ht="15.75" customHeight="1" outlineLevel="1" thickBot="1" x14ac:dyDescent="0.3">
      <c r="A24" s="19"/>
      <c r="B24" s="19" t="s">
        <v>58</v>
      </c>
      <c r="C24" s="21" t="s">
        <v>376</v>
      </c>
      <c r="D24" s="19">
        <v>11812090</v>
      </c>
      <c r="E24" s="20">
        <v>12</v>
      </c>
      <c r="F24" s="21">
        <v>32</v>
      </c>
      <c r="G24" s="21">
        <v>30</v>
      </c>
      <c r="H24" s="21">
        <v>21</v>
      </c>
      <c r="J24" s="22">
        <f t="shared" si="0"/>
        <v>19.429492499999999</v>
      </c>
      <c r="K24" s="23">
        <f t="shared" si="1"/>
        <v>1.7545406443736884</v>
      </c>
      <c r="L24" s="51">
        <v>604609</v>
      </c>
      <c r="M24" s="24">
        <v>20724792</v>
      </c>
      <c r="N24" s="52">
        <v>83.575665999999998</v>
      </c>
      <c r="O24" s="52">
        <v>87.342571000000007</v>
      </c>
      <c r="P24" s="52">
        <v>40.675137999999997</v>
      </c>
      <c r="Q24" s="52">
        <v>46.088520000000003</v>
      </c>
      <c r="R24" s="52">
        <v>49.073670999999997</v>
      </c>
      <c r="S24" s="52">
        <v>56.441001999999997</v>
      </c>
      <c r="T24" s="52">
        <v>39.172167999999999</v>
      </c>
      <c r="U24" s="25">
        <v>2215</v>
      </c>
      <c r="V24" s="25">
        <v>15.4908</v>
      </c>
      <c r="X24" s="22" t="str">
        <f t="shared" si="2"/>
        <v>·</v>
      </c>
      <c r="Y24" s="23" t="str">
        <f t="shared" si="3"/>
        <v>·</v>
      </c>
      <c r="Z24" s="51"/>
      <c r="AA24" s="24"/>
      <c r="AB24" s="52"/>
      <c r="AC24" s="52"/>
      <c r="AD24" s="52"/>
      <c r="AE24" s="52"/>
      <c r="AF24" s="52"/>
      <c r="AG24" s="52"/>
      <c r="AH24" s="52"/>
      <c r="AI24" s="25"/>
      <c r="AJ24" s="25"/>
      <c r="AL24" s="26"/>
      <c r="AM24" s="26"/>
      <c r="AN24" s="26"/>
      <c r="AO24" s="26"/>
      <c r="AP24" s="26"/>
      <c r="AQ24" s="26"/>
      <c r="AR24" s="26"/>
    </row>
    <row r="25" spans="1:44" x14ac:dyDescent="0.25">
      <c r="A25" s="59" t="s">
        <v>177</v>
      </c>
      <c r="B25" s="59" t="s">
        <v>63</v>
      </c>
      <c r="C25" s="13" t="s">
        <v>372</v>
      </c>
      <c r="D25" s="59">
        <v>12000000</v>
      </c>
      <c r="E25" s="12">
        <v>12</v>
      </c>
      <c r="F25" s="13">
        <v>32</v>
      </c>
      <c r="G25" s="13">
        <v>30</v>
      </c>
      <c r="H25" s="13">
        <v>4</v>
      </c>
      <c r="J25" s="14">
        <f t="shared" si="0"/>
        <v>3.8446875</v>
      </c>
      <c r="K25" s="15">
        <f t="shared" si="1"/>
        <v>0.34175</v>
      </c>
      <c r="L25" s="37">
        <v>2450688</v>
      </c>
      <c r="M25" s="16">
        <v>4101000</v>
      </c>
      <c r="N25" s="38">
        <v>67.838652999999994</v>
      </c>
      <c r="O25" s="38">
        <v>69.618318000000002</v>
      </c>
      <c r="P25" s="38">
        <v>30.411175</v>
      </c>
      <c r="Q25" s="38">
        <v>40.890669000000003</v>
      </c>
      <c r="R25" s="38">
        <v>37.475323000000003</v>
      </c>
      <c r="S25" s="38">
        <v>42.867725999999998</v>
      </c>
      <c r="T25" s="38">
        <v>26.750354000000002</v>
      </c>
      <c r="U25" s="17">
        <v>1271</v>
      </c>
      <c r="V25" s="17">
        <v>14.029</v>
      </c>
      <c r="X25" s="14" t="str">
        <f t="shared" si="2"/>
        <v>·</v>
      </c>
      <c r="Y25" s="15" t="str">
        <f t="shared" si="3"/>
        <v>·</v>
      </c>
      <c r="Z25" s="37"/>
      <c r="AA25" s="16"/>
      <c r="AB25" s="38"/>
      <c r="AC25" s="38"/>
      <c r="AD25" s="38"/>
      <c r="AE25" s="38"/>
      <c r="AF25" s="38"/>
      <c r="AG25" s="38"/>
      <c r="AH25" s="38"/>
      <c r="AI25" s="17"/>
      <c r="AJ25" s="17"/>
      <c r="AL25" s="18" t="str">
        <f t="array" ref="AL25">IF( OR(AND(ISBLANK(M25:M29)),AND(ISBLANK(AA25:AA29)), AND(ISBLANK(N25:N29)),AND(ISBLANK(AB25:AB29))), "·", bdRateExtend( M25:M29,N25:N29, AA25:AA29,AB25:AB29))</f>
        <v>·</v>
      </c>
      <c r="AM25" s="18" t="str">
        <f t="array" ref="AM25">IF( OR(AND(ISBLANK(M25:M29)),AND(ISBLANK(AA25:AA29)), AND(ISBLANK(O25:O29)),AND(ISBLANK(AC25:AC29))), "·", bdRateExtend( M25:M29,O25:O29, AA25:AA29,AC25:AC29))</f>
        <v>·</v>
      </c>
      <c r="AN25" s="18" t="str">
        <f t="array" ref="AN25">IF( OR(AND(ISBLANK(M25:M29)),AND(ISBLANK(AA25:AA29)), AND(ISBLANK(P25:P29)),AND(ISBLANK(AD25:AD29))), "·", bdRateExtend( M25:M29,P25:P29, AA25:AA29,AD25:AD29))</f>
        <v>·</v>
      </c>
      <c r="AO25" s="18" t="str">
        <f t="array" ref="AO25">IF( OR(AND(ISBLANK(M25:M29)),AND(ISBLANK(AA25:AA29)), AND(ISBLANK(Q25:Q29)),AND(ISBLANK(AE25:AE29))), "·", bdRateExtend( M25:M29,Q25:Q29, AA25:AA29,AE25:AE29))</f>
        <v>·</v>
      </c>
      <c r="AP25" s="18" t="str">
        <f t="array" ref="AP25">IF( OR(AND(ISBLANK(M25:M29)),AND(ISBLANK(AA25:AA29)), AND(ISBLANK(R25:R29)),AND(ISBLANK(AF25:AF29))), "·", bdRateExtend( M25:M29,R25:R29, AA25:AA29,AF25:AF29))</f>
        <v>·</v>
      </c>
      <c r="AQ25" s="18" t="str">
        <f t="array" ref="AQ25">IF( OR(AND(ISBLANK(M25:M29)),AND(ISBLANK(AA25:AA29)), AND(ISBLANK(S25:S29)),AND(ISBLANK(AG25:AG29))), "·", bdRateExtend( M25:M29,S25:S29, AA25:AA29,AG25:AG29))</f>
        <v>·</v>
      </c>
      <c r="AR25" s="18" t="str">
        <f t="array" ref="AR25">IF( OR(AND(ISBLANK(M25:M29)),AND(ISBLANK(AA25:AA29)), AND(ISBLANK(T25:T29)),AND(ISBLANK(AH25:AH29))), "·", bdRateExtend( M25:M29,T25:T29, AA25:AA29,AH25:AH29))</f>
        <v>·</v>
      </c>
    </row>
    <row r="26" spans="1:44" outlineLevel="1" x14ac:dyDescent="0.25">
      <c r="A26" s="60"/>
      <c r="B26" s="60" t="s">
        <v>63</v>
      </c>
      <c r="C26" s="28" t="s">
        <v>373</v>
      </c>
      <c r="D26" s="60">
        <v>12000000</v>
      </c>
      <c r="E26" s="27">
        <v>12</v>
      </c>
      <c r="F26" s="28">
        <v>32</v>
      </c>
      <c r="G26" s="28">
        <v>30</v>
      </c>
      <c r="H26" s="28">
        <v>8</v>
      </c>
      <c r="J26" s="29">
        <f t="shared" si="0"/>
        <v>7.6105799999999997</v>
      </c>
      <c r="K26" s="30">
        <f t="shared" si="1"/>
        <v>0.67649599999999999</v>
      </c>
      <c r="L26" s="39">
        <v>4908736</v>
      </c>
      <c r="M26" s="31">
        <v>8117952</v>
      </c>
      <c r="N26" s="40">
        <v>72.253444999999999</v>
      </c>
      <c r="O26" s="40">
        <v>75.005846000000005</v>
      </c>
      <c r="P26" s="40">
        <v>32.736092999999997</v>
      </c>
      <c r="Q26" s="40">
        <v>42.417731000000003</v>
      </c>
      <c r="R26" s="40">
        <v>39.562764999999999</v>
      </c>
      <c r="S26" s="40">
        <v>45.062976999999997</v>
      </c>
      <c r="T26" s="40">
        <v>29.510435999999999</v>
      </c>
      <c r="U26" s="32">
        <v>1370</v>
      </c>
      <c r="V26" s="32">
        <v>15.162699999999999</v>
      </c>
      <c r="X26" s="29" t="str">
        <f t="shared" si="2"/>
        <v>·</v>
      </c>
      <c r="Y26" s="30" t="str">
        <f t="shared" si="3"/>
        <v>·</v>
      </c>
      <c r="Z26" s="39"/>
      <c r="AA26" s="31"/>
      <c r="AB26" s="40"/>
      <c r="AC26" s="40"/>
      <c r="AD26" s="40"/>
      <c r="AE26" s="40"/>
      <c r="AF26" s="40"/>
      <c r="AG26" s="40"/>
      <c r="AH26" s="40"/>
      <c r="AI26" s="32"/>
      <c r="AJ26" s="32"/>
      <c r="AL26" s="33"/>
      <c r="AM26" s="33"/>
      <c r="AN26" s="33"/>
      <c r="AO26" s="33"/>
      <c r="AP26" s="33"/>
      <c r="AQ26" s="33"/>
      <c r="AR26" s="33"/>
    </row>
    <row r="27" spans="1:44" outlineLevel="1" x14ac:dyDescent="0.25">
      <c r="A27" s="59"/>
      <c r="B27" s="59" t="s">
        <v>63</v>
      </c>
      <c r="C27" s="13" t="s">
        <v>374</v>
      </c>
      <c r="D27" s="59">
        <v>12000000</v>
      </c>
      <c r="E27" s="12">
        <v>12</v>
      </c>
      <c r="F27" s="13">
        <v>32</v>
      </c>
      <c r="G27" s="13">
        <v>30</v>
      </c>
      <c r="H27" s="13">
        <v>12</v>
      </c>
      <c r="J27" s="14">
        <f t="shared" si="0"/>
        <v>11.55822</v>
      </c>
      <c r="K27" s="15">
        <f t="shared" si="1"/>
        <v>1.0273973333333333</v>
      </c>
      <c r="L27" s="37">
        <v>2455952</v>
      </c>
      <c r="M27" s="16">
        <v>12328768</v>
      </c>
      <c r="N27" s="38">
        <v>76.064148000000003</v>
      </c>
      <c r="O27" s="38">
        <v>80.476540999999997</v>
      </c>
      <c r="P27" s="38">
        <v>33.859065000000001</v>
      </c>
      <c r="Q27" s="38">
        <v>43.316201999999997</v>
      </c>
      <c r="R27" s="38">
        <v>41.007862000000003</v>
      </c>
      <c r="S27" s="38">
        <v>46.778652999999998</v>
      </c>
      <c r="T27" s="38">
        <v>31.726545999999999</v>
      </c>
      <c r="U27" s="17">
        <v>3971</v>
      </c>
      <c r="V27" s="17">
        <v>56.213500000000003</v>
      </c>
      <c r="X27" s="14" t="str">
        <f t="shared" si="2"/>
        <v>·</v>
      </c>
      <c r="Y27" s="15" t="str">
        <f t="shared" si="3"/>
        <v>·</v>
      </c>
      <c r="Z27" s="37"/>
      <c r="AA27" s="16"/>
      <c r="AB27" s="38"/>
      <c r="AC27" s="38"/>
      <c r="AD27" s="38"/>
      <c r="AE27" s="38"/>
      <c r="AF27" s="38"/>
      <c r="AG27" s="38"/>
      <c r="AH27" s="38"/>
      <c r="AI27" s="17"/>
      <c r="AJ27" s="17"/>
      <c r="AL27" s="18"/>
      <c r="AM27" s="18"/>
      <c r="AN27" s="18"/>
      <c r="AO27" s="18"/>
      <c r="AP27" s="18"/>
      <c r="AQ27" s="18"/>
      <c r="AR27" s="18"/>
    </row>
    <row r="28" spans="1:44" outlineLevel="1" x14ac:dyDescent="0.25">
      <c r="A28" s="60"/>
      <c r="B28" s="60" t="s">
        <v>63</v>
      </c>
      <c r="C28" s="28" t="s">
        <v>375</v>
      </c>
      <c r="D28" s="60">
        <v>12000000</v>
      </c>
      <c r="E28" s="27">
        <v>12</v>
      </c>
      <c r="F28" s="28">
        <v>32</v>
      </c>
      <c r="G28" s="28">
        <v>30</v>
      </c>
      <c r="H28" s="28">
        <v>17</v>
      </c>
      <c r="J28" s="29">
        <f t="shared" si="0"/>
        <v>15.9174975</v>
      </c>
      <c r="K28" s="30">
        <f t="shared" si="1"/>
        <v>1.4148886666666667</v>
      </c>
      <c r="L28" s="39">
        <v>614377</v>
      </c>
      <c r="M28" s="31">
        <v>16978664</v>
      </c>
      <c r="N28" s="40">
        <v>82.161783999999997</v>
      </c>
      <c r="O28" s="40">
        <v>86.417186999999998</v>
      </c>
      <c r="P28" s="40">
        <v>34.314197999999998</v>
      </c>
      <c r="Q28" s="40">
        <v>43.377223000000001</v>
      </c>
      <c r="R28" s="40">
        <v>41.177885000000003</v>
      </c>
      <c r="S28" s="40">
        <v>51.143863000000003</v>
      </c>
      <c r="T28" s="40">
        <v>33.387099999999997</v>
      </c>
      <c r="U28" s="32">
        <v>5547</v>
      </c>
      <c r="V28" s="32">
        <v>57.479300000000002</v>
      </c>
      <c r="X28" s="29" t="str">
        <f t="shared" si="2"/>
        <v>·</v>
      </c>
      <c r="Y28" s="30" t="str">
        <f t="shared" si="3"/>
        <v>·</v>
      </c>
      <c r="Z28" s="39"/>
      <c r="AA28" s="31"/>
      <c r="AB28" s="40"/>
      <c r="AC28" s="40"/>
      <c r="AD28" s="40"/>
      <c r="AE28" s="40"/>
      <c r="AF28" s="40"/>
      <c r="AG28" s="40"/>
      <c r="AH28" s="40"/>
      <c r="AI28" s="32"/>
      <c r="AJ28" s="32"/>
      <c r="AL28" s="33"/>
      <c r="AM28" s="33"/>
      <c r="AN28" s="33"/>
      <c r="AO28" s="33"/>
      <c r="AP28" s="33"/>
      <c r="AQ28" s="33"/>
      <c r="AR28" s="33"/>
    </row>
    <row r="29" spans="1:44" ht="15.75" customHeight="1" outlineLevel="1" thickBot="1" x14ac:dyDescent="0.3">
      <c r="A29" s="59"/>
      <c r="B29" s="41" t="s">
        <v>63</v>
      </c>
      <c r="C29" s="42" t="s">
        <v>376</v>
      </c>
      <c r="D29" s="41">
        <v>12000000</v>
      </c>
      <c r="E29" s="43">
        <v>12</v>
      </c>
      <c r="F29" s="42">
        <v>32</v>
      </c>
      <c r="G29" s="42">
        <v>30</v>
      </c>
      <c r="H29" s="42">
        <v>25</v>
      </c>
      <c r="J29" s="44">
        <f t="shared" si="0"/>
        <v>24.134715</v>
      </c>
      <c r="K29" s="45">
        <f t="shared" si="1"/>
        <v>2.145308</v>
      </c>
      <c r="L29" s="46">
        <v>921583</v>
      </c>
      <c r="M29" s="47">
        <v>25743696</v>
      </c>
      <c r="N29" s="48">
        <v>85.879878000000005</v>
      </c>
      <c r="O29" s="48">
        <v>91.566540000000003</v>
      </c>
      <c r="P29" s="48">
        <v>35.411960000000001</v>
      </c>
      <c r="Q29" s="48">
        <v>43.979649000000002</v>
      </c>
      <c r="R29" s="48">
        <v>42.002249999999997</v>
      </c>
      <c r="S29" s="48">
        <v>55.600154000000003</v>
      </c>
      <c r="T29" s="48">
        <v>35.013539999999999</v>
      </c>
      <c r="U29" s="49">
        <v>6135</v>
      </c>
      <c r="V29" s="49">
        <v>57.728299999999997</v>
      </c>
      <c r="X29" s="44" t="str">
        <f t="shared" si="2"/>
        <v>·</v>
      </c>
      <c r="Y29" s="45" t="str">
        <f t="shared" si="3"/>
        <v>·</v>
      </c>
      <c r="Z29" s="46"/>
      <c r="AA29" s="47"/>
      <c r="AB29" s="48"/>
      <c r="AC29" s="48"/>
      <c r="AD29" s="48"/>
      <c r="AE29" s="48"/>
      <c r="AF29" s="48"/>
      <c r="AG29" s="48"/>
      <c r="AH29" s="48"/>
      <c r="AI29" s="49"/>
      <c r="AJ29" s="49"/>
      <c r="AL29" s="50"/>
      <c r="AM29" s="50"/>
      <c r="AN29" s="50"/>
      <c r="AO29" s="50"/>
      <c r="AP29" s="50"/>
      <c r="AQ29" s="50"/>
      <c r="AR29" s="50"/>
    </row>
    <row r="30" spans="1:44" x14ac:dyDescent="0.25">
      <c r="A30" s="60"/>
      <c r="B30" s="60" t="s">
        <v>68</v>
      </c>
      <c r="C30" s="28" t="s">
        <v>372</v>
      </c>
      <c r="D30" s="60">
        <v>5997654</v>
      </c>
      <c r="E30" s="27">
        <v>12</v>
      </c>
      <c r="F30" s="28">
        <v>32</v>
      </c>
      <c r="G30" s="28">
        <v>30</v>
      </c>
      <c r="H30" s="28">
        <v>4</v>
      </c>
      <c r="J30" s="29">
        <f t="shared" si="0"/>
        <v>3.6061274999999999</v>
      </c>
      <c r="K30" s="30">
        <f t="shared" si="1"/>
        <v>0.64134009731138208</v>
      </c>
      <c r="L30" s="39">
        <v>2427520</v>
      </c>
      <c r="M30" s="31">
        <v>3846536</v>
      </c>
      <c r="N30" s="40">
        <v>68.600375</v>
      </c>
      <c r="O30" s="40">
        <v>69.666981000000007</v>
      </c>
      <c r="P30" s="40">
        <v>36.778441999999998</v>
      </c>
      <c r="Q30" s="40">
        <v>43.844870999999998</v>
      </c>
      <c r="R30" s="40">
        <v>42.312939999999998</v>
      </c>
      <c r="S30" s="40">
        <v>44.009777</v>
      </c>
      <c r="T30" s="40">
        <v>32.247256999999998</v>
      </c>
      <c r="U30" s="32">
        <v>1237</v>
      </c>
      <c r="V30" s="32">
        <v>14.4</v>
      </c>
      <c r="X30" s="29" t="str">
        <f t="shared" si="2"/>
        <v>·</v>
      </c>
      <c r="Y30" s="30" t="str">
        <f t="shared" si="3"/>
        <v>·</v>
      </c>
      <c r="Z30" s="39"/>
      <c r="AA30" s="31"/>
      <c r="AB30" s="40"/>
      <c r="AC30" s="40"/>
      <c r="AD30" s="40"/>
      <c r="AE30" s="40"/>
      <c r="AF30" s="40"/>
      <c r="AG30" s="40"/>
      <c r="AH30" s="40"/>
      <c r="AI30" s="32"/>
      <c r="AJ30" s="32"/>
      <c r="AL30" s="33" t="str">
        <f t="array" ref="AL30">IF( OR(AND(ISBLANK(M30:M34)),AND(ISBLANK(AA30:AA34)), AND(ISBLANK(N30:N34)),AND(ISBLANK(AB30:AB34))), "·", bdRateExtend( M30:M34,N30:N34, AA30:AA34,AB30:AB34))</f>
        <v>·</v>
      </c>
      <c r="AM30" s="33" t="str">
        <f t="array" ref="AM30">IF( OR(AND(ISBLANK(M30:M34)),AND(ISBLANK(AA30:AA34)), AND(ISBLANK(O30:O34)),AND(ISBLANK(AC30:AC34))), "·", bdRateExtend( M30:M34,O30:O34, AA30:AA34,AC30:AC34))</f>
        <v>·</v>
      </c>
      <c r="AN30" s="33" t="str">
        <f t="array" ref="AN30">IF( OR(AND(ISBLANK(M30:M34)),AND(ISBLANK(AA30:AA34)), AND(ISBLANK(P30:P34)),AND(ISBLANK(AD30:AD34))), "·", bdRateExtend( M30:M34,P30:P34, AA30:AA34,AD30:AD34))</f>
        <v>·</v>
      </c>
      <c r="AO30" s="33" t="str">
        <f t="array" ref="AO30">IF( OR(AND(ISBLANK(M30:M34)),AND(ISBLANK(AA30:AA34)), AND(ISBLANK(Q30:Q34)),AND(ISBLANK(AE30:AE34))), "·", bdRateExtend( M30:M34,Q30:Q34, AA30:AA34,AE30:AE34))</f>
        <v>·</v>
      </c>
      <c r="AP30" s="33" t="str">
        <f t="array" ref="AP30">IF( OR(AND(ISBLANK(M30:M34)),AND(ISBLANK(AA30:AA34)), AND(ISBLANK(R30:R34)),AND(ISBLANK(AF30:AF34))), "·", bdRateExtend( M30:M34,R30:R34, AA30:AA34,AF30:AF34))</f>
        <v>·</v>
      </c>
      <c r="AQ30" s="33" t="str">
        <f t="array" ref="AQ30">IF( OR(AND(ISBLANK(M30:M34)),AND(ISBLANK(AA30:AA34)), AND(ISBLANK(S30:S34)),AND(ISBLANK(AG30:AG34))), "·", bdRateExtend( M30:M34,S30:S34, AA30:AA34,AG30:AG34))</f>
        <v>·</v>
      </c>
      <c r="AR30" s="33" t="str">
        <f t="array" ref="AR30">IF( OR(AND(ISBLANK(M30:M34)),AND(ISBLANK(AA30:AA34)), AND(ISBLANK(T30:T34)),AND(ISBLANK(AH30:AH34))), "·", bdRateExtend( M30:M34,T30:T34, AA30:AA34,AH30:AH34))</f>
        <v>·</v>
      </c>
    </row>
    <row r="31" spans="1:44" outlineLevel="1" x14ac:dyDescent="0.25">
      <c r="A31" s="59"/>
      <c r="B31" s="59" t="s">
        <v>68</v>
      </c>
      <c r="C31" s="13" t="s">
        <v>373</v>
      </c>
      <c r="D31" s="59">
        <v>5997654</v>
      </c>
      <c r="E31" s="12">
        <v>12</v>
      </c>
      <c r="F31" s="13">
        <v>32</v>
      </c>
      <c r="G31" s="13">
        <v>30</v>
      </c>
      <c r="H31" s="13">
        <v>8</v>
      </c>
      <c r="J31" s="14">
        <f t="shared" si="0"/>
        <v>7.283175</v>
      </c>
      <c r="K31" s="15">
        <f t="shared" si="1"/>
        <v>1.2952931262790417</v>
      </c>
      <c r="L31" s="37">
        <v>2450608</v>
      </c>
      <c r="M31" s="16">
        <v>7768720</v>
      </c>
      <c r="N31" s="38">
        <v>75.258799999999994</v>
      </c>
      <c r="O31" s="38">
        <v>77.134626999999995</v>
      </c>
      <c r="P31" s="38">
        <v>38.879838999999997</v>
      </c>
      <c r="Q31" s="38">
        <v>45.100878999999999</v>
      </c>
      <c r="R31" s="38">
        <v>43.904186000000003</v>
      </c>
      <c r="S31" s="38">
        <v>47.852584999999998</v>
      </c>
      <c r="T31" s="38">
        <v>35.684440000000002</v>
      </c>
      <c r="U31" s="17">
        <v>3899</v>
      </c>
      <c r="V31" s="17">
        <v>54.783799999999999</v>
      </c>
      <c r="X31" s="14" t="str">
        <f t="shared" si="2"/>
        <v>·</v>
      </c>
      <c r="Y31" s="15" t="str">
        <f t="shared" si="3"/>
        <v>·</v>
      </c>
      <c r="Z31" s="37"/>
      <c r="AA31" s="16"/>
      <c r="AB31" s="38"/>
      <c r="AC31" s="38"/>
      <c r="AD31" s="38"/>
      <c r="AE31" s="38"/>
      <c r="AF31" s="38"/>
      <c r="AG31" s="38"/>
      <c r="AH31" s="38"/>
      <c r="AI31" s="17"/>
      <c r="AJ31" s="17"/>
      <c r="AL31" s="18"/>
      <c r="AM31" s="18"/>
      <c r="AN31" s="18"/>
      <c r="AO31" s="18"/>
      <c r="AP31" s="18"/>
      <c r="AQ31" s="18"/>
      <c r="AR31" s="18"/>
    </row>
    <row r="32" spans="1:44" outlineLevel="1" x14ac:dyDescent="0.25">
      <c r="A32" s="60"/>
      <c r="B32" s="60" t="s">
        <v>68</v>
      </c>
      <c r="C32" s="28" t="s">
        <v>374</v>
      </c>
      <c r="D32" s="60">
        <v>5997654</v>
      </c>
      <c r="E32" s="27">
        <v>12</v>
      </c>
      <c r="F32" s="28">
        <v>32</v>
      </c>
      <c r="G32" s="28">
        <v>30</v>
      </c>
      <c r="H32" s="28">
        <v>12</v>
      </c>
      <c r="J32" s="29">
        <f t="shared" si="0"/>
        <v>11.127599999999999</v>
      </c>
      <c r="K32" s="30">
        <f t="shared" si="1"/>
        <v>1.9790137943936079</v>
      </c>
      <c r="L32" s="39">
        <v>2450608</v>
      </c>
      <c r="M32" s="31">
        <v>11869440</v>
      </c>
      <c r="N32" s="40">
        <v>76.690033</v>
      </c>
      <c r="O32" s="40">
        <v>78.814704000000006</v>
      </c>
      <c r="P32" s="40">
        <v>40.427247999999999</v>
      </c>
      <c r="Q32" s="40">
        <v>46.206578999999998</v>
      </c>
      <c r="R32" s="40">
        <v>45.176355999999998</v>
      </c>
      <c r="S32" s="40">
        <v>48.709699999999998</v>
      </c>
      <c r="T32" s="40">
        <v>36.912802999999997</v>
      </c>
      <c r="U32" s="32">
        <v>3900</v>
      </c>
      <c r="V32" s="32">
        <v>56.621699999999997</v>
      </c>
      <c r="X32" s="29" t="str">
        <f t="shared" si="2"/>
        <v>·</v>
      </c>
      <c r="Y32" s="30" t="str">
        <f t="shared" si="3"/>
        <v>·</v>
      </c>
      <c r="Z32" s="39"/>
      <c r="AA32" s="31"/>
      <c r="AB32" s="40"/>
      <c r="AC32" s="40"/>
      <c r="AD32" s="40"/>
      <c r="AE32" s="40"/>
      <c r="AF32" s="40"/>
      <c r="AG32" s="40"/>
      <c r="AH32" s="40"/>
      <c r="AI32" s="32"/>
      <c r="AJ32" s="32"/>
      <c r="AL32" s="33"/>
      <c r="AM32" s="33"/>
      <c r="AN32" s="33"/>
      <c r="AO32" s="33"/>
      <c r="AP32" s="33"/>
      <c r="AQ32" s="33"/>
      <c r="AR32" s="33"/>
    </row>
    <row r="33" spans="1:44" outlineLevel="1" x14ac:dyDescent="0.25">
      <c r="A33" s="59"/>
      <c r="B33" s="59" t="s">
        <v>68</v>
      </c>
      <c r="C33" s="13" t="s">
        <v>375</v>
      </c>
      <c r="D33" s="59">
        <v>5997654</v>
      </c>
      <c r="E33" s="12">
        <v>12</v>
      </c>
      <c r="F33" s="13">
        <v>32</v>
      </c>
      <c r="G33" s="13">
        <v>30</v>
      </c>
      <c r="H33" s="13">
        <v>17</v>
      </c>
      <c r="J33" s="14">
        <f t="shared" si="0"/>
        <v>16.068952500000002</v>
      </c>
      <c r="K33" s="15">
        <f t="shared" si="1"/>
        <v>2.857820074315724</v>
      </c>
      <c r="L33" s="37">
        <v>306825</v>
      </c>
      <c r="M33" s="16">
        <v>17140216</v>
      </c>
      <c r="N33" s="38">
        <v>78.627899999999997</v>
      </c>
      <c r="O33" s="38">
        <v>81.070031999999998</v>
      </c>
      <c r="P33" s="38">
        <v>41.450826999999997</v>
      </c>
      <c r="Q33" s="38">
        <v>46.998106</v>
      </c>
      <c r="R33" s="38">
        <v>46.067808999999997</v>
      </c>
      <c r="S33" s="38">
        <v>49.737613000000003</v>
      </c>
      <c r="T33" s="38">
        <v>38.146560000000001</v>
      </c>
      <c r="U33" s="17">
        <v>4247</v>
      </c>
      <c r="V33" s="17">
        <v>57.122599999999998</v>
      </c>
      <c r="X33" s="14" t="str">
        <f t="shared" si="2"/>
        <v>·</v>
      </c>
      <c r="Y33" s="15" t="str">
        <f t="shared" si="3"/>
        <v>·</v>
      </c>
      <c r="Z33" s="37"/>
      <c r="AA33" s="16"/>
      <c r="AB33" s="38"/>
      <c r="AC33" s="38"/>
      <c r="AD33" s="38"/>
      <c r="AE33" s="38"/>
      <c r="AF33" s="38"/>
      <c r="AG33" s="38"/>
      <c r="AH33" s="38"/>
      <c r="AI33" s="17"/>
      <c r="AJ33" s="17"/>
      <c r="AL33" s="18"/>
      <c r="AM33" s="18"/>
      <c r="AN33" s="18"/>
      <c r="AO33" s="18"/>
      <c r="AP33" s="18"/>
      <c r="AQ33" s="18"/>
      <c r="AR33" s="18"/>
    </row>
    <row r="34" spans="1:44" ht="15.75" customHeight="1" outlineLevel="1" thickBot="1" x14ac:dyDescent="0.3">
      <c r="A34" s="60"/>
      <c r="B34" s="19" t="s">
        <v>68</v>
      </c>
      <c r="C34" s="21" t="s">
        <v>376</v>
      </c>
      <c r="D34" s="19">
        <v>5997654</v>
      </c>
      <c r="E34" s="20">
        <v>12</v>
      </c>
      <c r="F34" s="21">
        <v>32</v>
      </c>
      <c r="G34" s="21">
        <v>30</v>
      </c>
      <c r="H34" s="21">
        <v>25</v>
      </c>
      <c r="J34" s="22">
        <f t="shared" si="0"/>
        <v>22.543177499999999</v>
      </c>
      <c r="K34" s="23">
        <f t="shared" si="1"/>
        <v>4.0092436142531733</v>
      </c>
      <c r="L34" s="51">
        <v>614149</v>
      </c>
      <c r="M34" s="24">
        <v>24046056</v>
      </c>
      <c r="N34" s="52">
        <v>83.292914999999994</v>
      </c>
      <c r="O34" s="52">
        <v>87.093172999999993</v>
      </c>
      <c r="P34" s="52">
        <v>42.400438999999999</v>
      </c>
      <c r="Q34" s="52">
        <v>47.734766999999998</v>
      </c>
      <c r="R34" s="52">
        <v>46.932409</v>
      </c>
      <c r="S34" s="52">
        <v>53.341925000000003</v>
      </c>
      <c r="T34" s="52">
        <v>40.714758000000003</v>
      </c>
      <c r="U34" s="25">
        <v>4929</v>
      </c>
      <c r="V34" s="25">
        <v>58.1554</v>
      </c>
      <c r="X34" s="22" t="str">
        <f t="shared" si="2"/>
        <v>·</v>
      </c>
      <c r="Y34" s="23" t="str">
        <f t="shared" si="3"/>
        <v>·</v>
      </c>
      <c r="Z34" s="51"/>
      <c r="AA34" s="24"/>
      <c r="AB34" s="52"/>
      <c r="AC34" s="52"/>
      <c r="AD34" s="52"/>
      <c r="AE34" s="52"/>
      <c r="AF34" s="52"/>
      <c r="AG34" s="52"/>
      <c r="AH34" s="52"/>
      <c r="AI34" s="25"/>
      <c r="AJ34" s="25"/>
      <c r="AL34" s="26"/>
      <c r="AM34" s="26"/>
      <c r="AN34" s="26"/>
      <c r="AO34" s="26"/>
      <c r="AP34" s="26"/>
      <c r="AQ34" s="26"/>
      <c r="AR34" s="26"/>
    </row>
    <row r="35" spans="1:44" x14ac:dyDescent="0.25">
      <c r="A35" s="59"/>
      <c r="B35" s="59" t="s">
        <v>32</v>
      </c>
      <c r="C35" s="13" t="s">
        <v>372</v>
      </c>
      <c r="D35" s="59">
        <v>9000000</v>
      </c>
      <c r="E35" s="12">
        <v>12</v>
      </c>
      <c r="F35" s="13">
        <v>32</v>
      </c>
      <c r="G35" s="13">
        <v>30</v>
      </c>
      <c r="H35" s="13">
        <v>4</v>
      </c>
      <c r="J35" s="14">
        <f t="shared" si="0"/>
        <v>3.8600099999999999</v>
      </c>
      <c r="K35" s="15">
        <f t="shared" si="1"/>
        <v>0.45748266666666665</v>
      </c>
      <c r="L35" s="37">
        <v>1840960</v>
      </c>
      <c r="M35" s="16">
        <v>4117344</v>
      </c>
      <c r="N35" s="38">
        <v>70.757709000000006</v>
      </c>
      <c r="O35" s="38">
        <v>72.360349999999997</v>
      </c>
      <c r="P35" s="38">
        <v>29.098184</v>
      </c>
      <c r="Q35" s="38">
        <v>38.649728000000003</v>
      </c>
      <c r="R35" s="38">
        <v>38.467728999999999</v>
      </c>
      <c r="S35" s="38">
        <v>47.194726000000003</v>
      </c>
      <c r="T35" s="38">
        <v>28.28763</v>
      </c>
      <c r="U35" s="17">
        <v>1114</v>
      </c>
      <c r="V35" s="17">
        <v>13.8034</v>
      </c>
      <c r="X35" s="14" t="str">
        <f t="shared" si="2"/>
        <v>·</v>
      </c>
      <c r="Y35" s="15" t="str">
        <f t="shared" si="3"/>
        <v>·</v>
      </c>
      <c r="Z35" s="37"/>
      <c r="AA35" s="16"/>
      <c r="AB35" s="38"/>
      <c r="AC35" s="38"/>
      <c r="AD35" s="38"/>
      <c r="AE35" s="38"/>
      <c r="AF35" s="38"/>
      <c r="AG35" s="38"/>
      <c r="AH35" s="38"/>
      <c r="AI35" s="17"/>
      <c r="AJ35" s="17"/>
      <c r="AL35" s="18" t="str">
        <f t="array" ref="AL35">IF( OR(AND(ISBLANK(M35:M39)),AND(ISBLANK(AA35:AA39)), AND(ISBLANK(N35:N39)),AND(ISBLANK(AB35:AB39))), "·", bdRateExtend( M35:M39,N35:N39, AA35:AA39,AB35:AB39))</f>
        <v>·</v>
      </c>
      <c r="AM35" s="18" t="str">
        <f t="array" ref="AM35">IF( OR(AND(ISBLANK(M35:M39)),AND(ISBLANK(AA35:AA39)), AND(ISBLANK(O35:O39)),AND(ISBLANK(AC35:AC39))), "·", bdRateExtend( M35:M39,O35:O39, AA35:AA39,AC35:AC39))</f>
        <v>·</v>
      </c>
      <c r="AN35" s="18" t="str">
        <f t="array" ref="AN35">IF( OR(AND(ISBLANK(M35:M39)),AND(ISBLANK(AA35:AA39)), AND(ISBLANK(P35:P39)),AND(ISBLANK(AD35:AD39))), "·", bdRateExtend( M35:M39,P35:P39, AA35:AA39,AD35:AD39))</f>
        <v>·</v>
      </c>
      <c r="AO35" s="18" t="str">
        <f t="array" ref="AO35">IF( OR(AND(ISBLANK(M35:M39)),AND(ISBLANK(AA35:AA39)), AND(ISBLANK(Q35:Q39)),AND(ISBLANK(AE35:AE39))), "·", bdRateExtend( M35:M39,Q35:Q39, AA35:AA39,AE35:AE39))</f>
        <v>·</v>
      </c>
      <c r="AP35" s="18" t="str">
        <f t="array" ref="AP35">IF( OR(AND(ISBLANK(M35:M39)),AND(ISBLANK(AA35:AA39)), AND(ISBLANK(R35:R39)),AND(ISBLANK(AF35:AF39))), "·", bdRateExtend( M35:M39,R35:R39, AA35:AA39,AF35:AF39))</f>
        <v>·</v>
      </c>
      <c r="AQ35" s="18" t="str">
        <f t="array" ref="AQ35">IF( OR(AND(ISBLANK(M35:M39)),AND(ISBLANK(AA35:AA39)), AND(ISBLANK(S35:S39)),AND(ISBLANK(AG35:AG39))), "·", bdRateExtend( M35:M39,S35:S39, AA35:AA39,AG35:AG39))</f>
        <v>·</v>
      </c>
      <c r="AR35" s="18" t="str">
        <f t="array" ref="AR35">IF( OR(AND(ISBLANK(M35:M39)),AND(ISBLANK(AA35:AA39)), AND(ISBLANK(T35:T39)),AND(ISBLANK(AH35:AH39))), "·", bdRateExtend( M35:M39,T35:T39, AA35:AA39,AH35:AH39))</f>
        <v>·</v>
      </c>
    </row>
    <row r="36" spans="1:44" outlineLevel="1" x14ac:dyDescent="0.25">
      <c r="A36" s="60"/>
      <c r="B36" s="60" t="s">
        <v>32</v>
      </c>
      <c r="C36" s="28" t="s">
        <v>373</v>
      </c>
      <c r="D36" s="60">
        <v>9000000</v>
      </c>
      <c r="E36" s="27">
        <v>12</v>
      </c>
      <c r="F36" s="28">
        <v>32</v>
      </c>
      <c r="G36" s="28">
        <v>30</v>
      </c>
      <c r="H36" s="28">
        <v>6</v>
      </c>
      <c r="J36" s="29">
        <f t="shared" si="0"/>
        <v>5.8143975000000001</v>
      </c>
      <c r="K36" s="30">
        <f t="shared" si="1"/>
        <v>0.68911377777777783</v>
      </c>
      <c r="L36" s="39">
        <v>3680768</v>
      </c>
      <c r="M36" s="31">
        <v>6202024</v>
      </c>
      <c r="N36" s="40">
        <v>73.742109999999997</v>
      </c>
      <c r="O36" s="40">
        <v>75.614159000000001</v>
      </c>
      <c r="P36" s="40">
        <v>29.671271999999998</v>
      </c>
      <c r="Q36" s="40">
        <v>38.811143000000001</v>
      </c>
      <c r="R36" s="40">
        <v>38.753898</v>
      </c>
      <c r="S36" s="40">
        <v>48.687683</v>
      </c>
      <c r="T36" s="40">
        <v>28.982569000000002</v>
      </c>
      <c r="U36" s="32">
        <v>1201</v>
      </c>
      <c r="V36" s="32">
        <v>14.330299999999999</v>
      </c>
      <c r="X36" s="29" t="str">
        <f t="shared" si="2"/>
        <v>·</v>
      </c>
      <c r="Y36" s="30" t="str">
        <f t="shared" si="3"/>
        <v>·</v>
      </c>
      <c r="Z36" s="39"/>
      <c r="AA36" s="31"/>
      <c r="AB36" s="40"/>
      <c r="AC36" s="40"/>
      <c r="AD36" s="40"/>
      <c r="AE36" s="40"/>
      <c r="AF36" s="40"/>
      <c r="AG36" s="40"/>
      <c r="AH36" s="40"/>
      <c r="AI36" s="32"/>
      <c r="AJ36" s="32"/>
      <c r="AL36" s="33"/>
      <c r="AM36" s="33"/>
      <c r="AN36" s="33"/>
      <c r="AO36" s="33"/>
      <c r="AP36" s="33"/>
      <c r="AQ36" s="33"/>
      <c r="AR36" s="33"/>
    </row>
    <row r="37" spans="1:44" outlineLevel="1" x14ac:dyDescent="0.25">
      <c r="A37" s="59"/>
      <c r="B37" s="59" t="s">
        <v>32</v>
      </c>
      <c r="C37" s="13" t="s">
        <v>374</v>
      </c>
      <c r="D37" s="59">
        <v>9000000</v>
      </c>
      <c r="E37" s="12">
        <v>12</v>
      </c>
      <c r="F37" s="13">
        <v>32</v>
      </c>
      <c r="G37" s="13">
        <v>30</v>
      </c>
      <c r="H37" s="13">
        <v>11</v>
      </c>
      <c r="J37" s="14">
        <f t="shared" si="0"/>
        <v>10.315635</v>
      </c>
      <c r="K37" s="15">
        <f t="shared" si="1"/>
        <v>1.2225937777777778</v>
      </c>
      <c r="L37" s="37">
        <v>460438</v>
      </c>
      <c r="M37" s="16">
        <v>11003344</v>
      </c>
      <c r="N37" s="38">
        <v>81.599868999999998</v>
      </c>
      <c r="O37" s="38">
        <v>84.628170999999995</v>
      </c>
      <c r="P37" s="38">
        <v>30.017901999999999</v>
      </c>
      <c r="Q37" s="38">
        <v>38.709727999999998</v>
      </c>
      <c r="R37" s="38">
        <v>38.766266999999999</v>
      </c>
      <c r="S37" s="38">
        <v>53.034722000000002</v>
      </c>
      <c r="T37" s="38">
        <v>29.786486</v>
      </c>
      <c r="U37" s="17">
        <v>4204</v>
      </c>
      <c r="V37" s="17">
        <v>52.723599999999998</v>
      </c>
      <c r="X37" s="14" t="str">
        <f t="shared" si="2"/>
        <v>·</v>
      </c>
      <c r="Y37" s="15" t="str">
        <f t="shared" si="3"/>
        <v>·</v>
      </c>
      <c r="Z37" s="37"/>
      <c r="AA37" s="16"/>
      <c r="AB37" s="38"/>
      <c r="AC37" s="38"/>
      <c r="AD37" s="38"/>
      <c r="AE37" s="38"/>
      <c r="AF37" s="38"/>
      <c r="AG37" s="38"/>
      <c r="AH37" s="38"/>
      <c r="AI37" s="17"/>
      <c r="AJ37" s="17"/>
      <c r="AL37" s="18"/>
      <c r="AM37" s="18"/>
      <c r="AN37" s="18"/>
      <c r="AO37" s="18"/>
      <c r="AP37" s="18"/>
      <c r="AQ37" s="18"/>
      <c r="AR37" s="18"/>
    </row>
    <row r="38" spans="1:44" outlineLevel="1" x14ac:dyDescent="0.25">
      <c r="A38" s="60"/>
      <c r="B38" s="60" t="s">
        <v>32</v>
      </c>
      <c r="C38" s="28" t="s">
        <v>375</v>
      </c>
      <c r="D38" s="60">
        <v>9000000</v>
      </c>
      <c r="E38" s="27">
        <v>12</v>
      </c>
      <c r="F38" s="28">
        <v>32</v>
      </c>
      <c r="G38" s="28">
        <v>30</v>
      </c>
      <c r="H38" s="28">
        <v>16</v>
      </c>
      <c r="J38" s="29">
        <f t="shared" si="0"/>
        <v>15.7464525</v>
      </c>
      <c r="K38" s="30">
        <f t="shared" si="1"/>
        <v>1.8662462222222223</v>
      </c>
      <c r="L38" s="39">
        <v>690674</v>
      </c>
      <c r="M38" s="31">
        <v>16796216</v>
      </c>
      <c r="N38" s="40">
        <v>88.378896999999995</v>
      </c>
      <c r="O38" s="40">
        <v>92.733061000000006</v>
      </c>
      <c r="P38" s="40">
        <v>30.740753000000002</v>
      </c>
      <c r="Q38" s="40">
        <v>38.945844000000001</v>
      </c>
      <c r="R38" s="40">
        <v>39.107495999999998</v>
      </c>
      <c r="S38" s="40">
        <v>58.707855000000002</v>
      </c>
      <c r="T38" s="40">
        <v>30.648574</v>
      </c>
      <c r="U38" s="32">
        <v>4925</v>
      </c>
      <c r="V38" s="32">
        <v>54.240200000000002</v>
      </c>
      <c r="X38" s="29" t="str">
        <f t="shared" si="2"/>
        <v>·</v>
      </c>
      <c r="Y38" s="30" t="str">
        <f t="shared" si="3"/>
        <v>·</v>
      </c>
      <c r="Z38" s="39"/>
      <c r="AA38" s="31"/>
      <c r="AB38" s="40"/>
      <c r="AC38" s="40"/>
      <c r="AD38" s="40"/>
      <c r="AE38" s="40"/>
      <c r="AF38" s="40"/>
      <c r="AG38" s="40"/>
      <c r="AH38" s="40"/>
      <c r="AI38" s="32"/>
      <c r="AJ38" s="32"/>
      <c r="AL38" s="33"/>
      <c r="AM38" s="33"/>
      <c r="AN38" s="33"/>
      <c r="AO38" s="33"/>
      <c r="AP38" s="33"/>
      <c r="AQ38" s="33"/>
      <c r="AR38" s="33"/>
    </row>
    <row r="39" spans="1:44" ht="15.75" customHeight="1" outlineLevel="1" thickBot="1" x14ac:dyDescent="0.3">
      <c r="A39" s="59"/>
      <c r="B39" s="41" t="s">
        <v>32</v>
      </c>
      <c r="C39" s="42" t="s">
        <v>376</v>
      </c>
      <c r="D39" s="41">
        <v>9000000</v>
      </c>
      <c r="E39" s="43">
        <v>12</v>
      </c>
      <c r="F39" s="42">
        <v>32</v>
      </c>
      <c r="G39" s="42">
        <v>30</v>
      </c>
      <c r="H39" s="42">
        <v>24</v>
      </c>
      <c r="J39" s="44">
        <f t="shared" si="0"/>
        <v>24.326707500000001</v>
      </c>
      <c r="K39" s="45">
        <f t="shared" si="1"/>
        <v>2.8831653333333334</v>
      </c>
      <c r="L39" s="46">
        <v>690674</v>
      </c>
      <c r="M39" s="47">
        <v>25948488</v>
      </c>
      <c r="N39" s="48">
        <v>88.378896999999995</v>
      </c>
      <c r="O39" s="48">
        <v>92.733061000000006</v>
      </c>
      <c r="P39" s="48">
        <v>31.819851</v>
      </c>
      <c r="Q39" s="48">
        <v>39.092874999999999</v>
      </c>
      <c r="R39" s="48">
        <v>39.350399000000003</v>
      </c>
      <c r="S39" s="48">
        <v>58.707855000000002</v>
      </c>
      <c r="T39" s="48">
        <v>31.693611000000001</v>
      </c>
      <c r="U39" s="49">
        <v>4991</v>
      </c>
      <c r="V39" s="49">
        <v>56.6952</v>
      </c>
      <c r="X39" s="44" t="str">
        <f t="shared" si="2"/>
        <v>·</v>
      </c>
      <c r="Y39" s="45" t="str">
        <f t="shared" si="3"/>
        <v>·</v>
      </c>
      <c r="Z39" s="46"/>
      <c r="AA39" s="47"/>
      <c r="AB39" s="48"/>
      <c r="AC39" s="48"/>
      <c r="AD39" s="48"/>
      <c r="AE39" s="48"/>
      <c r="AF39" s="48"/>
      <c r="AG39" s="48"/>
      <c r="AH39" s="48"/>
      <c r="AI39" s="49"/>
      <c r="AJ39" s="49"/>
      <c r="AL39" s="50"/>
      <c r="AM39" s="50"/>
      <c r="AN39" s="50"/>
      <c r="AO39" s="50"/>
      <c r="AP39" s="50"/>
      <c r="AQ39" s="50"/>
      <c r="AR39" s="50"/>
    </row>
    <row r="40" spans="1:44" x14ac:dyDescent="0.25">
      <c r="A40" s="60"/>
      <c r="B40" s="60" t="s">
        <v>77</v>
      </c>
      <c r="C40" s="28" t="s">
        <v>372</v>
      </c>
      <c r="D40" s="60">
        <v>9000000</v>
      </c>
      <c r="E40" s="27">
        <v>12</v>
      </c>
      <c r="F40" s="28">
        <v>32</v>
      </c>
      <c r="G40" s="28">
        <v>30</v>
      </c>
      <c r="H40" s="28">
        <v>4</v>
      </c>
      <c r="J40" s="29">
        <f t="shared" si="0"/>
        <v>3.7826325000000001</v>
      </c>
      <c r="K40" s="30">
        <f t="shared" si="1"/>
        <v>0.44831199999999999</v>
      </c>
      <c r="L40" s="39">
        <v>3682816</v>
      </c>
      <c r="M40" s="31">
        <v>4034808</v>
      </c>
      <c r="N40" s="40">
        <v>73.256878</v>
      </c>
      <c r="O40" s="40">
        <v>74.845924999999994</v>
      </c>
      <c r="P40" s="40">
        <v>31.721881</v>
      </c>
      <c r="Q40" s="40">
        <v>41.91883</v>
      </c>
      <c r="R40" s="40">
        <v>42.106456999999999</v>
      </c>
      <c r="S40" s="40">
        <v>48.872188999999999</v>
      </c>
      <c r="T40" s="40">
        <v>31.167656000000001</v>
      </c>
      <c r="U40" s="32">
        <v>1116</v>
      </c>
      <c r="V40" s="32">
        <v>13.938599999999999</v>
      </c>
      <c r="X40" s="29" t="str">
        <f t="shared" si="2"/>
        <v>·</v>
      </c>
      <c r="Y40" s="30" t="str">
        <f t="shared" si="3"/>
        <v>·</v>
      </c>
      <c r="Z40" s="39"/>
      <c r="AA40" s="31"/>
      <c r="AB40" s="40"/>
      <c r="AC40" s="40"/>
      <c r="AD40" s="40"/>
      <c r="AE40" s="40"/>
      <c r="AF40" s="40"/>
      <c r="AG40" s="40"/>
      <c r="AH40" s="40"/>
      <c r="AI40" s="32"/>
      <c r="AJ40" s="32"/>
      <c r="AL40" s="33" t="str">
        <f t="array" ref="AL40">IF( OR(AND(ISBLANK(M40:M44)),AND(ISBLANK(AA40:AA44)), AND(ISBLANK(N40:N44)),AND(ISBLANK(AB40:AB44))), "·", bdRateExtend( M40:M44,N40:N44, AA40:AA44,AB40:AB44))</f>
        <v>·</v>
      </c>
      <c r="AM40" s="33" t="str">
        <f t="array" ref="AM40">IF( OR(AND(ISBLANK(M40:M44)),AND(ISBLANK(AA40:AA44)), AND(ISBLANK(O40:O44)),AND(ISBLANK(AC40:AC44))), "·", bdRateExtend( M40:M44,O40:O44, AA40:AA44,AC40:AC44))</f>
        <v>·</v>
      </c>
      <c r="AN40" s="33" t="str">
        <f t="array" ref="AN40">IF( OR(AND(ISBLANK(M40:M44)),AND(ISBLANK(AA40:AA44)), AND(ISBLANK(P40:P44)),AND(ISBLANK(AD40:AD44))), "·", bdRateExtend( M40:M44,P40:P44, AA40:AA44,AD40:AD44))</f>
        <v>·</v>
      </c>
      <c r="AO40" s="33" t="str">
        <f t="array" ref="AO40">IF( OR(AND(ISBLANK(M40:M44)),AND(ISBLANK(AA40:AA44)), AND(ISBLANK(Q40:Q44)),AND(ISBLANK(AE40:AE44))), "·", bdRateExtend( M40:M44,Q40:Q44, AA40:AA44,AE40:AE44))</f>
        <v>·</v>
      </c>
      <c r="AP40" s="33" t="str">
        <f t="array" ref="AP40">IF( OR(AND(ISBLANK(M40:M44)),AND(ISBLANK(AA40:AA44)), AND(ISBLANK(R40:R44)),AND(ISBLANK(AF40:AF44))), "·", bdRateExtend( M40:M44,R40:R44, AA40:AA44,AF40:AF44))</f>
        <v>·</v>
      </c>
      <c r="AQ40" s="33" t="str">
        <f t="array" ref="AQ40">IF( OR(AND(ISBLANK(M40:M44)),AND(ISBLANK(AA40:AA44)), AND(ISBLANK(S40:S44)),AND(ISBLANK(AG40:AG44))), "·", bdRateExtend( M40:M44,S40:S44, AA40:AA44,AG40:AG44))</f>
        <v>·</v>
      </c>
      <c r="AR40" s="33" t="str">
        <f t="array" ref="AR40">IF( OR(AND(ISBLANK(M40:M44)),AND(ISBLANK(AA40:AA44)), AND(ISBLANK(T40:T44)),AND(ISBLANK(AH40:AH44))), "·", bdRateExtend( M40:M44,T40:T44, AA40:AA44,AH40:AH44))</f>
        <v>·</v>
      </c>
    </row>
    <row r="41" spans="1:44" outlineLevel="1" x14ac:dyDescent="0.25">
      <c r="A41" s="59"/>
      <c r="B41" s="59" t="s">
        <v>77</v>
      </c>
      <c r="C41" s="13" t="s">
        <v>373</v>
      </c>
      <c r="D41" s="59">
        <v>9000000</v>
      </c>
      <c r="E41" s="12">
        <v>12</v>
      </c>
      <c r="F41" s="13">
        <v>32</v>
      </c>
      <c r="G41" s="13">
        <v>30</v>
      </c>
      <c r="H41" s="13">
        <v>6</v>
      </c>
      <c r="J41" s="14">
        <f t="shared" si="0"/>
        <v>5.8018124999999996</v>
      </c>
      <c r="K41" s="15">
        <f t="shared" si="1"/>
        <v>0.68762222222222225</v>
      </c>
      <c r="L41" s="37">
        <v>3682816</v>
      </c>
      <c r="M41" s="16">
        <v>6188600</v>
      </c>
      <c r="N41" s="38">
        <v>74.491603999999995</v>
      </c>
      <c r="O41" s="38">
        <v>76.260889000000006</v>
      </c>
      <c r="P41" s="38">
        <v>32.366830999999998</v>
      </c>
      <c r="Q41" s="38">
        <v>42.182474999999997</v>
      </c>
      <c r="R41" s="38">
        <v>42.557676999999998</v>
      </c>
      <c r="S41" s="38">
        <v>49.460419000000002</v>
      </c>
      <c r="T41" s="38">
        <v>31.732085999999999</v>
      </c>
      <c r="U41" s="17">
        <v>1124</v>
      </c>
      <c r="V41" s="17">
        <v>14.044600000000001</v>
      </c>
      <c r="X41" s="14" t="str">
        <f t="shared" si="2"/>
        <v>·</v>
      </c>
      <c r="Y41" s="15" t="str">
        <f t="shared" si="3"/>
        <v>·</v>
      </c>
      <c r="Z41" s="37"/>
      <c r="AA41" s="16"/>
      <c r="AB41" s="38"/>
      <c r="AC41" s="38"/>
      <c r="AD41" s="38"/>
      <c r="AE41" s="38"/>
      <c r="AF41" s="38"/>
      <c r="AG41" s="38"/>
      <c r="AH41" s="38"/>
      <c r="AI41" s="17"/>
      <c r="AJ41" s="17"/>
      <c r="AL41" s="18"/>
      <c r="AM41" s="18"/>
      <c r="AN41" s="18"/>
      <c r="AO41" s="18"/>
      <c r="AP41" s="18"/>
      <c r="AQ41" s="18"/>
      <c r="AR41" s="18"/>
    </row>
    <row r="42" spans="1:44" outlineLevel="1" x14ac:dyDescent="0.25">
      <c r="A42" s="60"/>
      <c r="B42" s="60" t="s">
        <v>77</v>
      </c>
      <c r="C42" s="28" t="s">
        <v>374</v>
      </c>
      <c r="D42" s="60">
        <v>9000000</v>
      </c>
      <c r="E42" s="27">
        <v>12</v>
      </c>
      <c r="F42" s="28">
        <v>32</v>
      </c>
      <c r="G42" s="28">
        <v>30</v>
      </c>
      <c r="H42" s="28">
        <v>11</v>
      </c>
      <c r="J42" s="29">
        <f t="shared" si="0"/>
        <v>10.767307499999999</v>
      </c>
      <c r="K42" s="30">
        <f t="shared" si="1"/>
        <v>1.2761253333333333</v>
      </c>
      <c r="L42" s="39">
        <v>460613</v>
      </c>
      <c r="M42" s="31">
        <v>11485128</v>
      </c>
      <c r="N42" s="40">
        <v>82.094430000000003</v>
      </c>
      <c r="O42" s="40">
        <v>84.961411999999996</v>
      </c>
      <c r="P42" s="40">
        <v>32.951534000000002</v>
      </c>
      <c r="Q42" s="40">
        <v>42.541930999999998</v>
      </c>
      <c r="R42" s="40">
        <v>42.921795000000003</v>
      </c>
      <c r="S42" s="40">
        <v>54.071933000000001</v>
      </c>
      <c r="T42" s="40">
        <v>32.751012000000003</v>
      </c>
      <c r="U42" s="32">
        <v>4037</v>
      </c>
      <c r="V42" s="32">
        <v>52.8489</v>
      </c>
      <c r="X42" s="29" t="str">
        <f t="shared" si="2"/>
        <v>·</v>
      </c>
      <c r="Y42" s="30" t="str">
        <f t="shared" si="3"/>
        <v>·</v>
      </c>
      <c r="Z42" s="39"/>
      <c r="AA42" s="31"/>
      <c r="AB42" s="40"/>
      <c r="AC42" s="40"/>
      <c r="AD42" s="40"/>
      <c r="AE42" s="40"/>
      <c r="AF42" s="40"/>
      <c r="AG42" s="40"/>
      <c r="AH42" s="40"/>
      <c r="AI42" s="32"/>
      <c r="AJ42" s="32"/>
      <c r="AL42" s="33"/>
      <c r="AM42" s="33"/>
      <c r="AN42" s="33"/>
      <c r="AO42" s="33"/>
      <c r="AP42" s="33"/>
      <c r="AQ42" s="33"/>
      <c r="AR42" s="33"/>
    </row>
    <row r="43" spans="1:44" outlineLevel="1" x14ac:dyDescent="0.25">
      <c r="A43" s="59"/>
      <c r="B43" s="59" t="s">
        <v>77</v>
      </c>
      <c r="C43" s="13" t="s">
        <v>375</v>
      </c>
      <c r="D43" s="59">
        <v>9000000</v>
      </c>
      <c r="E43" s="12">
        <v>12</v>
      </c>
      <c r="F43" s="13">
        <v>32</v>
      </c>
      <c r="G43" s="13">
        <v>30</v>
      </c>
      <c r="H43" s="13">
        <v>16</v>
      </c>
      <c r="J43" s="14">
        <f t="shared" si="0"/>
        <v>15.297269999999999</v>
      </c>
      <c r="K43" s="15">
        <f t="shared" si="1"/>
        <v>1.8130097777777778</v>
      </c>
      <c r="L43" s="37">
        <v>575753</v>
      </c>
      <c r="M43" s="16">
        <v>16317088</v>
      </c>
      <c r="N43" s="38">
        <v>85.019638</v>
      </c>
      <c r="O43" s="38">
        <v>88.563376000000005</v>
      </c>
      <c r="P43" s="38">
        <v>33.608167999999999</v>
      </c>
      <c r="Q43" s="38">
        <v>42.676414000000001</v>
      </c>
      <c r="R43" s="38">
        <v>43.149073999999999</v>
      </c>
      <c r="S43" s="38">
        <v>55.906474000000003</v>
      </c>
      <c r="T43" s="38">
        <v>33.459502999999998</v>
      </c>
      <c r="U43" s="17">
        <v>4415</v>
      </c>
      <c r="V43" s="17">
        <v>55.058300000000003</v>
      </c>
      <c r="X43" s="14" t="str">
        <f t="shared" si="2"/>
        <v>·</v>
      </c>
      <c r="Y43" s="15" t="str">
        <f t="shared" si="3"/>
        <v>·</v>
      </c>
      <c r="Z43" s="37"/>
      <c r="AA43" s="16"/>
      <c r="AB43" s="38"/>
      <c r="AC43" s="38"/>
      <c r="AD43" s="38"/>
      <c r="AE43" s="38"/>
      <c r="AF43" s="38"/>
      <c r="AG43" s="38"/>
      <c r="AH43" s="38"/>
      <c r="AI43" s="17"/>
      <c r="AJ43" s="17"/>
      <c r="AL43" s="18"/>
      <c r="AM43" s="18"/>
      <c r="AN43" s="18"/>
      <c r="AO43" s="18"/>
      <c r="AP43" s="18"/>
      <c r="AQ43" s="18"/>
      <c r="AR43" s="18"/>
    </row>
    <row r="44" spans="1:44" ht="15.75" customHeight="1" outlineLevel="1" thickBot="1" x14ac:dyDescent="0.3">
      <c r="A44" s="19"/>
      <c r="B44" s="19" t="s">
        <v>77</v>
      </c>
      <c r="C44" s="21" t="s">
        <v>376</v>
      </c>
      <c r="D44" s="19">
        <v>9000000</v>
      </c>
      <c r="E44" s="20">
        <v>12</v>
      </c>
      <c r="F44" s="21">
        <v>32</v>
      </c>
      <c r="G44" s="21">
        <v>30</v>
      </c>
      <c r="H44" s="21">
        <v>24</v>
      </c>
      <c r="J44" s="22">
        <f t="shared" si="0"/>
        <v>22.641839999999998</v>
      </c>
      <c r="K44" s="23">
        <f t="shared" si="1"/>
        <v>2.6834773333333333</v>
      </c>
      <c r="L44" s="51">
        <v>575753</v>
      </c>
      <c r="M44" s="24">
        <v>24151296</v>
      </c>
      <c r="N44" s="52">
        <v>85.019638</v>
      </c>
      <c r="O44" s="52">
        <v>88.563376000000005</v>
      </c>
      <c r="P44" s="52">
        <v>34.454994999999997</v>
      </c>
      <c r="Q44" s="52">
        <v>42.962339999999998</v>
      </c>
      <c r="R44" s="52">
        <v>43.575989</v>
      </c>
      <c r="S44" s="52">
        <v>55.906474000000003</v>
      </c>
      <c r="T44" s="52">
        <v>34.258746000000002</v>
      </c>
      <c r="U44" s="25">
        <v>4469</v>
      </c>
      <c r="V44" s="25">
        <v>56.010100000000001</v>
      </c>
      <c r="X44" s="22" t="str">
        <f t="shared" si="2"/>
        <v>·</v>
      </c>
      <c r="Y44" s="23" t="str">
        <f t="shared" si="3"/>
        <v>·</v>
      </c>
      <c r="Z44" s="51"/>
      <c r="AA44" s="24"/>
      <c r="AB44" s="52"/>
      <c r="AC44" s="52"/>
      <c r="AD44" s="52"/>
      <c r="AE44" s="52"/>
      <c r="AF44" s="52"/>
      <c r="AG44" s="52"/>
      <c r="AH44" s="52"/>
      <c r="AI44" s="25"/>
      <c r="AJ44" s="25"/>
      <c r="AL44" s="26"/>
      <c r="AM44" s="26"/>
      <c r="AN44" s="26"/>
      <c r="AO44" s="26"/>
      <c r="AP44" s="26"/>
      <c r="AQ44" s="26"/>
      <c r="AR44" s="26"/>
    </row>
    <row r="45" spans="1:44" x14ac:dyDescent="0.25">
      <c r="B45" s="34" t="s">
        <v>7</v>
      </c>
      <c r="K45" s="35">
        <f>AVERAGE(K5:K14)</f>
        <v>1.2712225853930321</v>
      </c>
      <c r="Y45" s="35"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4" t="s">
        <v>8</v>
      </c>
      <c r="K46" s="35">
        <f>AVERAGE(K15:K24)</f>
        <v>0.91649322309098691</v>
      </c>
      <c r="Y46" s="35"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4" t="s">
        <v>9</v>
      </c>
      <c r="K47" s="35">
        <f>AVERAGE(K25:K44)</f>
        <v>1.5207849575498691</v>
      </c>
      <c r="Y47" s="35"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ht="15.75" customHeight="1" x14ac:dyDescent="0.25">
      <c r="B48" s="34" t="s">
        <v>10</v>
      </c>
      <c r="K48" s="35">
        <f>AVERAGE(K5:K44)</f>
        <v>1.3073214308959389</v>
      </c>
      <c r="Y48" s="35"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ht="15.75" customHeight="1" x14ac:dyDescent="0.25">
      <c r="A49" s="34" t="s">
        <v>178</v>
      </c>
      <c r="B49" s="34" t="s">
        <v>179</v>
      </c>
      <c r="U49" s="36">
        <f>SUM(U5:U14,U15:U24,U25:U44)</f>
        <v>98039</v>
      </c>
      <c r="V49" s="36">
        <f>SUM(V5:V14,V15:V24,V25:V44)</f>
        <v>1119.1658999999997</v>
      </c>
      <c r="AI49" s="36">
        <f>SUM(AI5:AI14,AI15:AI24,AI25:AI44)</f>
        <v>0</v>
      </c>
      <c r="AJ49" s="36">
        <f>SUM(AJ5:AJ14,AJ15:AJ24,AJ25:AJ44)</f>
        <v>0</v>
      </c>
    </row>
    <row r="50" spans="1:36" x14ac:dyDescent="0.25">
      <c r="B50" s="34" t="s">
        <v>180</v>
      </c>
      <c r="AI50" s="55">
        <f>AI49/U49</f>
        <v>0</v>
      </c>
      <c r="AJ50" s="55">
        <f>AJ49/V49</f>
        <v>0</v>
      </c>
    </row>
    <row r="54" spans="1:36" ht="15.75" customHeight="1" x14ac:dyDescent="0.25"/>
    <row r="59" spans="1:36" ht="15.75" customHeight="1" x14ac:dyDescent="0.25"/>
    <row r="64" spans="1:36" ht="15.75" customHeight="1" x14ac:dyDescent="0.25"/>
    <row r="69" ht="15.75" customHeight="1" x14ac:dyDescent="0.25"/>
    <row r="74" ht="15.75" customHeight="1" x14ac:dyDescent="0.25"/>
    <row r="79" ht="15.75" customHeight="1" x14ac:dyDescent="0.25"/>
    <row r="84" ht="15.75" customHeight="1" x14ac:dyDescent="0.25"/>
    <row r="89" ht="15.75" customHeight="1" x14ac:dyDescent="0.25"/>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89"/>
  <sheetViews>
    <sheetView zoomScale="80" zoomScaleNormal="80" workbookViewId="0">
      <pane xSplit="2" ySplit="4" topLeftCell="C5" activePane="bottomRight" state="frozen"/>
      <selection pane="topRight" activeCell="C1" sqref="C1"/>
      <selection pane="bottomLeft" activeCell="A5" sqref="A5"/>
      <selection pane="bottomRight" activeCell="Z5" sqref="Z5:AJ13"/>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377</v>
      </c>
      <c r="B1" s="62"/>
      <c r="C1" s="62"/>
      <c r="D1" s="62"/>
      <c r="E1" s="62"/>
      <c r="F1" s="62"/>
      <c r="G1" s="62"/>
      <c r="H1" s="62"/>
      <c r="J1" s="70" t="str">
        <f>Summary!C1</f>
        <v>F032_v01.0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58" t="s">
        <v>17</v>
      </c>
      <c r="O3" s="58" t="s">
        <v>18</v>
      </c>
      <c r="P3" s="58" t="s">
        <v>19</v>
      </c>
      <c r="Q3" s="58" t="s">
        <v>20</v>
      </c>
      <c r="R3" s="58" t="s">
        <v>21</v>
      </c>
      <c r="S3" s="57" t="s">
        <v>22</v>
      </c>
      <c r="T3" s="57" t="s">
        <v>19</v>
      </c>
      <c r="U3" s="64"/>
      <c r="V3" s="64"/>
      <c r="X3" s="64"/>
      <c r="Y3" s="64"/>
      <c r="Z3" s="64"/>
      <c r="AA3" s="64"/>
      <c r="AB3" s="58" t="s">
        <v>17</v>
      </c>
      <c r="AC3" s="58" t="s">
        <v>18</v>
      </c>
      <c r="AD3" s="58" t="s">
        <v>19</v>
      </c>
      <c r="AE3" s="58" t="s">
        <v>20</v>
      </c>
      <c r="AF3" s="58" t="s">
        <v>21</v>
      </c>
      <c r="AG3" s="57" t="s">
        <v>22</v>
      </c>
      <c r="AH3" s="57" t="s">
        <v>19</v>
      </c>
      <c r="AI3" s="64"/>
      <c r="AJ3" s="64"/>
      <c r="AL3" s="58" t="s">
        <v>17</v>
      </c>
      <c r="AM3" s="58" t="s">
        <v>18</v>
      </c>
      <c r="AN3" s="58" t="s">
        <v>19</v>
      </c>
      <c r="AO3" s="58" t="s">
        <v>20</v>
      </c>
      <c r="AP3" s="58" t="s">
        <v>21</v>
      </c>
      <c r="AQ3" s="57" t="s">
        <v>22</v>
      </c>
      <c r="AR3" s="57"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59" t="s">
        <v>175</v>
      </c>
      <c r="B5" s="59" t="s">
        <v>40</v>
      </c>
      <c r="C5" s="13" t="s">
        <v>372</v>
      </c>
      <c r="D5" s="59">
        <v>11997440</v>
      </c>
      <c r="E5" s="12">
        <v>10</v>
      </c>
      <c r="F5" s="13">
        <v>32</v>
      </c>
      <c r="G5" s="13">
        <v>30</v>
      </c>
      <c r="H5" s="13">
        <v>4</v>
      </c>
      <c r="J5" s="14">
        <f t="shared" ref="J5:J44" si="0">IF(OR(ISBLANK(M5),ISBLANK(G5)),"·",M5*G5/F5/1000000)</f>
        <v>3.7773224999999999</v>
      </c>
      <c r="K5" s="15">
        <f t="shared" ref="K5:K44" si="1">IF(ISBLANK(M5),"·",M5/D5)</f>
        <v>0.33583364451082898</v>
      </c>
      <c r="L5" s="37">
        <v>2394688</v>
      </c>
      <c r="M5" s="16">
        <v>4029144</v>
      </c>
      <c r="N5" s="38">
        <v>67.686104999999998</v>
      </c>
      <c r="O5" s="38">
        <v>69.150171999999998</v>
      </c>
      <c r="P5" s="38">
        <v>27.034651</v>
      </c>
      <c r="Q5" s="38">
        <v>32.972406999999997</v>
      </c>
      <c r="R5" s="38">
        <v>32.395364999999998</v>
      </c>
      <c r="S5" s="38">
        <v>48.889868999999997</v>
      </c>
      <c r="T5" s="38">
        <v>26.172270000000001</v>
      </c>
      <c r="U5" s="17">
        <v>1048</v>
      </c>
      <c r="V5" s="17">
        <v>14.0214</v>
      </c>
      <c r="X5" s="14" t="str">
        <f t="shared" ref="X5:X44" si="2">IF(OR(ISBLANK(AA5),ISBLANK(G5)),"·",AA5*G5/F5/1000000)</f>
        <v>·</v>
      </c>
      <c r="Y5" s="15" t="str">
        <f t="shared" ref="Y5:Y44" si="3">IF(ISBLANK(AA5),"·",AA5/D5)</f>
        <v>·</v>
      </c>
      <c r="Z5" s="37"/>
      <c r="AA5" s="16"/>
      <c r="AB5" s="38"/>
      <c r="AC5" s="38"/>
      <c r="AD5" s="38"/>
      <c r="AE5" s="38"/>
      <c r="AF5" s="38"/>
      <c r="AG5" s="38"/>
      <c r="AH5" s="38"/>
      <c r="AI5" s="17"/>
      <c r="AJ5" s="17"/>
      <c r="AL5" s="18" t="str">
        <f t="array" ref="AL5">IF( OR(AND(ISBLANK(M5:M9)),AND(ISBLANK(AA5:AA9)), AND(ISBLANK(N5:N9)),AND(ISBLANK(AB5:AB9))), "·", bdRateExtend( M5:M9,N5:N9, AA5:AA9,AB5:AB9))</f>
        <v>·</v>
      </c>
      <c r="AM5" s="18" t="str">
        <f t="array" ref="AM5">IF( OR(AND(ISBLANK(M5:M9)),AND(ISBLANK(AA5:AA9)), AND(ISBLANK(O5:O9)),AND(ISBLANK(AC5:AC9))), "·", bdRateExtend( M5:M9,O5:O9, AA5:AA9,AC5:AC9))</f>
        <v>·</v>
      </c>
      <c r="AN5" s="18" t="str">
        <f t="array" ref="AN5">IF( OR(AND(ISBLANK(M5:M9)),AND(ISBLANK(AA5:AA9)), AND(ISBLANK(P5:P9)),AND(ISBLANK(AD5:AD9))), "·", bdRateExtend( M5:M9,P5:P9, AA5:AA9,AD5:AD9))</f>
        <v>·</v>
      </c>
      <c r="AO5" s="18" t="str">
        <f t="array" ref="AO5">IF( OR(AND(ISBLANK(M5:M9)),AND(ISBLANK(AA5:AA9)), AND(ISBLANK(Q5:Q9)),AND(ISBLANK(AE5:AE9))), "·", bdRateExtend( M5:M9,Q5:Q9, AA5:AA9,AE5:AE9))</f>
        <v>·</v>
      </c>
      <c r="AP5" s="18" t="str">
        <f t="array" ref="AP5">IF( OR(AND(ISBLANK(M5:M9)),AND(ISBLANK(AA5:AA9)), AND(ISBLANK(R5:R9)),AND(ISBLANK(AF5:AF9))), "·", bdRateExtend( M5:M9,R5:R9, AA5:AA9,AF5:AF9))</f>
        <v>·</v>
      </c>
      <c r="AQ5" s="18" t="str">
        <f t="array" ref="AQ5">IF( OR(AND(ISBLANK(M5:M9)),AND(ISBLANK(AA5:AA9)), AND(ISBLANK(S5:S9)),AND(ISBLANK(AG5:AG9))), "·", bdRateExtend( M5:M9,S5:S9, AA5:AA9,AG5:AG9))</f>
        <v>·</v>
      </c>
      <c r="AR5" s="18" t="str">
        <f t="array" ref="AR5">IF( OR(AND(ISBLANK(M5:M9)),AND(ISBLANK(AA5:AA9)), AND(ISBLANK(T5:T9)),AND(ISBLANK(AH5:AH9))), "·", bdRateExtend( M5:M9,T5:T9, AA5:AA9,AH5:AH9))</f>
        <v>·</v>
      </c>
    </row>
    <row r="6" spans="1:44" outlineLevel="1" x14ac:dyDescent="0.25">
      <c r="A6" s="60"/>
      <c r="B6" s="60" t="s">
        <v>40</v>
      </c>
      <c r="C6" s="28" t="s">
        <v>373</v>
      </c>
      <c r="D6" s="60">
        <v>11997440</v>
      </c>
      <c r="E6" s="27">
        <v>10</v>
      </c>
      <c r="F6" s="28">
        <v>32</v>
      </c>
      <c r="G6" s="28">
        <v>30</v>
      </c>
      <c r="H6" s="28">
        <v>8</v>
      </c>
      <c r="J6" s="29">
        <f t="shared" si="0"/>
        <v>7.6100325</v>
      </c>
      <c r="K6" s="30">
        <f t="shared" si="1"/>
        <v>0.6765916728902166</v>
      </c>
      <c r="L6" s="39">
        <v>4850496</v>
      </c>
      <c r="M6" s="31">
        <v>8117368</v>
      </c>
      <c r="N6" s="40">
        <v>72.185238999999996</v>
      </c>
      <c r="O6" s="40">
        <v>74.443652</v>
      </c>
      <c r="P6" s="40">
        <v>29.44049</v>
      </c>
      <c r="Q6" s="40">
        <v>35.079841000000002</v>
      </c>
      <c r="R6" s="40">
        <v>34.730466999999997</v>
      </c>
      <c r="S6" s="40">
        <v>51.419499999999999</v>
      </c>
      <c r="T6" s="40">
        <v>28.599858000000001</v>
      </c>
      <c r="U6" s="32">
        <v>1221</v>
      </c>
      <c r="V6" s="32">
        <v>15.073700000000001</v>
      </c>
      <c r="X6" s="29" t="str">
        <f t="shared" si="2"/>
        <v>·</v>
      </c>
      <c r="Y6" s="30" t="str">
        <f t="shared" si="3"/>
        <v>·</v>
      </c>
      <c r="Z6" s="39"/>
      <c r="AA6" s="31"/>
      <c r="AB6" s="40"/>
      <c r="AC6" s="40"/>
      <c r="AD6" s="40"/>
      <c r="AE6" s="40"/>
      <c r="AF6" s="40"/>
      <c r="AG6" s="40"/>
      <c r="AH6" s="40"/>
      <c r="AI6" s="32"/>
      <c r="AJ6" s="32"/>
      <c r="AL6" s="33"/>
      <c r="AM6" s="33"/>
      <c r="AN6" s="33"/>
      <c r="AO6" s="33"/>
      <c r="AP6" s="33"/>
      <c r="AQ6" s="33"/>
      <c r="AR6" s="33"/>
    </row>
    <row r="7" spans="1:44" outlineLevel="1" x14ac:dyDescent="0.25">
      <c r="A7" s="59"/>
      <c r="B7" s="59" t="s">
        <v>40</v>
      </c>
      <c r="C7" s="13" t="s">
        <v>374</v>
      </c>
      <c r="D7" s="59">
        <v>11997440</v>
      </c>
      <c r="E7" s="12">
        <v>10</v>
      </c>
      <c r="F7" s="13">
        <v>32</v>
      </c>
      <c r="G7" s="13">
        <v>30</v>
      </c>
      <c r="H7" s="13">
        <v>11</v>
      </c>
      <c r="J7" s="14">
        <f t="shared" si="0"/>
        <v>10.482922500000001</v>
      </c>
      <c r="K7" s="15">
        <f t="shared" si="1"/>
        <v>0.93201416302144457</v>
      </c>
      <c r="L7" s="37">
        <v>4850496</v>
      </c>
      <c r="M7" s="16">
        <v>11181784</v>
      </c>
      <c r="N7" s="38">
        <v>72.185238999999996</v>
      </c>
      <c r="O7" s="38">
        <v>74.443652</v>
      </c>
      <c r="P7" s="38">
        <v>31.219847999999999</v>
      </c>
      <c r="Q7" s="38">
        <v>35.987394999999999</v>
      </c>
      <c r="R7" s="38">
        <v>35.666727999999999</v>
      </c>
      <c r="S7" s="38">
        <v>51.419499999999999</v>
      </c>
      <c r="T7" s="38">
        <v>29.876863</v>
      </c>
      <c r="U7" s="17">
        <v>1232</v>
      </c>
      <c r="V7" s="17">
        <v>15.5496</v>
      </c>
      <c r="X7" s="14" t="str">
        <f t="shared" si="2"/>
        <v>·</v>
      </c>
      <c r="Y7" s="15" t="str">
        <f t="shared" si="3"/>
        <v>·</v>
      </c>
      <c r="Z7" s="37"/>
      <c r="AA7" s="16"/>
      <c r="AB7" s="38"/>
      <c r="AC7" s="38"/>
      <c r="AD7" s="38"/>
      <c r="AE7" s="38"/>
      <c r="AF7" s="38"/>
      <c r="AG7" s="38"/>
      <c r="AH7" s="38"/>
      <c r="AI7" s="17"/>
      <c r="AJ7" s="17"/>
      <c r="AL7" s="18"/>
      <c r="AM7" s="18"/>
      <c r="AN7" s="18"/>
      <c r="AO7" s="18"/>
      <c r="AP7" s="18"/>
      <c r="AQ7" s="18"/>
      <c r="AR7" s="18"/>
    </row>
    <row r="8" spans="1:44" outlineLevel="1" x14ac:dyDescent="0.25">
      <c r="A8" s="60"/>
      <c r="B8" s="60" t="s">
        <v>40</v>
      </c>
      <c r="C8" s="28" t="s">
        <v>375</v>
      </c>
      <c r="D8" s="60">
        <v>11997440</v>
      </c>
      <c r="E8" s="27">
        <v>10</v>
      </c>
      <c r="F8" s="28">
        <v>32</v>
      </c>
      <c r="G8" s="28">
        <v>30</v>
      </c>
      <c r="H8" s="28">
        <v>14</v>
      </c>
      <c r="J8" s="29">
        <f t="shared" si="0"/>
        <v>13.1896875</v>
      </c>
      <c r="K8" s="30">
        <f t="shared" si="1"/>
        <v>1.1726668355915928</v>
      </c>
      <c r="L8" s="39">
        <v>4897264</v>
      </c>
      <c r="M8" s="31">
        <v>14069000</v>
      </c>
      <c r="N8" s="40">
        <v>75.110183000000006</v>
      </c>
      <c r="O8" s="40">
        <v>78.136103000000006</v>
      </c>
      <c r="P8" s="40">
        <v>31.363793999999999</v>
      </c>
      <c r="Q8" s="40">
        <v>36.051504000000001</v>
      </c>
      <c r="R8" s="40">
        <v>35.752465999999998</v>
      </c>
      <c r="S8" s="40">
        <v>53.473671000000003</v>
      </c>
      <c r="T8" s="40">
        <v>30.511040999999999</v>
      </c>
      <c r="U8" s="32">
        <v>1853</v>
      </c>
      <c r="V8" s="32">
        <v>16.092300000000002</v>
      </c>
      <c r="X8" s="29" t="str">
        <f t="shared" si="2"/>
        <v>·</v>
      </c>
      <c r="Y8" s="30" t="str">
        <f t="shared" si="3"/>
        <v>·</v>
      </c>
      <c r="Z8" s="39"/>
      <c r="AA8" s="31"/>
      <c r="AB8" s="40"/>
      <c r="AC8" s="40"/>
      <c r="AD8" s="40"/>
      <c r="AE8" s="40"/>
      <c r="AF8" s="40"/>
      <c r="AG8" s="40"/>
      <c r="AH8" s="40"/>
      <c r="AI8" s="32"/>
      <c r="AJ8" s="32"/>
      <c r="AL8" s="33"/>
      <c r="AM8" s="33"/>
      <c r="AN8" s="33"/>
      <c r="AO8" s="33"/>
      <c r="AP8" s="33"/>
      <c r="AQ8" s="33"/>
      <c r="AR8" s="33"/>
    </row>
    <row r="9" spans="1:44" ht="15.75" customHeight="1" outlineLevel="1" thickBot="1" x14ac:dyDescent="0.3">
      <c r="A9" s="59"/>
      <c r="B9" s="41" t="s">
        <v>40</v>
      </c>
      <c r="C9" s="42" t="s">
        <v>376</v>
      </c>
      <c r="D9" s="41">
        <v>11997440</v>
      </c>
      <c r="E9" s="43">
        <v>10</v>
      </c>
      <c r="F9" s="42">
        <v>32</v>
      </c>
      <c r="G9" s="42">
        <v>30</v>
      </c>
      <c r="H9" s="42">
        <v>21</v>
      </c>
      <c r="J9" s="44">
        <f t="shared" si="0"/>
        <v>19.6795875</v>
      </c>
      <c r="K9" s="45">
        <f t="shared" si="1"/>
        <v>1.749669929584978</v>
      </c>
      <c r="L9" s="46">
        <v>1279248</v>
      </c>
      <c r="M9" s="47">
        <v>20991560</v>
      </c>
      <c r="N9" s="48">
        <v>999.99</v>
      </c>
      <c r="O9" s="48">
        <v>999.99</v>
      </c>
      <c r="P9" s="48">
        <v>32.162621000000001</v>
      </c>
      <c r="Q9" s="48">
        <v>36.355766000000003</v>
      </c>
      <c r="R9" s="48">
        <v>36.159323999999998</v>
      </c>
      <c r="S9" s="48">
        <v>999.99</v>
      </c>
      <c r="T9" s="48">
        <v>32.074292999999997</v>
      </c>
      <c r="U9" s="49">
        <v>825</v>
      </c>
      <c r="V9" s="49">
        <v>15.4953</v>
      </c>
      <c r="X9" s="44" t="str">
        <f t="shared" si="2"/>
        <v>·</v>
      </c>
      <c r="Y9" s="45" t="str">
        <f t="shared" si="3"/>
        <v>·</v>
      </c>
      <c r="Z9" s="46"/>
      <c r="AA9" s="47"/>
      <c r="AB9" s="48"/>
      <c r="AC9" s="48"/>
      <c r="AD9" s="48"/>
      <c r="AE9" s="48"/>
      <c r="AF9" s="48"/>
      <c r="AG9" s="48"/>
      <c r="AH9" s="48"/>
      <c r="AI9" s="49"/>
      <c r="AJ9" s="49"/>
      <c r="AL9" s="50"/>
      <c r="AM9" s="50"/>
      <c r="AN9" s="50"/>
      <c r="AO9" s="50"/>
      <c r="AP9" s="50"/>
      <c r="AQ9" s="50"/>
      <c r="AR9" s="50"/>
    </row>
    <row r="10" spans="1:44" x14ac:dyDescent="0.25">
      <c r="A10" s="60"/>
      <c r="B10" s="60" t="s">
        <v>48</v>
      </c>
      <c r="C10" s="28" t="s">
        <v>372</v>
      </c>
      <c r="D10" s="60">
        <v>9000000</v>
      </c>
      <c r="E10" s="27">
        <v>10</v>
      </c>
      <c r="F10" s="28">
        <v>32</v>
      </c>
      <c r="G10" s="28">
        <v>30</v>
      </c>
      <c r="H10" s="28">
        <v>4</v>
      </c>
      <c r="J10" s="29">
        <f t="shared" si="0"/>
        <v>2.1816149999999999</v>
      </c>
      <c r="K10" s="30">
        <f t="shared" si="1"/>
        <v>0.25856177777777778</v>
      </c>
      <c r="L10" s="39">
        <v>2412544</v>
      </c>
      <c r="M10" s="31">
        <v>2327056</v>
      </c>
      <c r="N10" s="40">
        <v>63.991075000000002</v>
      </c>
      <c r="O10" s="40">
        <v>65.007289</v>
      </c>
      <c r="P10" s="40">
        <v>33.324328000000001</v>
      </c>
      <c r="Q10" s="40">
        <v>45.618957999999999</v>
      </c>
      <c r="R10" s="40">
        <v>46.012056000000001</v>
      </c>
      <c r="S10" s="40">
        <v>44.146579000000003</v>
      </c>
      <c r="T10" s="40">
        <v>29.426217999999999</v>
      </c>
      <c r="U10" s="32">
        <v>2172</v>
      </c>
      <c r="V10" s="32">
        <v>13.0449</v>
      </c>
      <c r="X10" s="29" t="str">
        <f t="shared" si="2"/>
        <v>·</v>
      </c>
      <c r="Y10" s="30" t="str">
        <f t="shared" si="3"/>
        <v>·</v>
      </c>
      <c r="Z10" s="39"/>
      <c r="AA10" s="31"/>
      <c r="AB10" s="40"/>
      <c r="AC10" s="40"/>
      <c r="AD10" s="40"/>
      <c r="AE10" s="40"/>
      <c r="AF10" s="40"/>
      <c r="AG10" s="40"/>
      <c r="AH10" s="40"/>
      <c r="AI10" s="32"/>
      <c r="AJ10" s="32"/>
      <c r="AL10" s="33" t="str">
        <f t="array" ref="AL10">IF( OR(AND(ISBLANK(M10:M14)),AND(ISBLANK(AA10:AA14)), AND(ISBLANK(N10:N14)),AND(ISBLANK(AB10:AB14))), "·", bdRateExtend( M10:M14,N10:N14, AA10:AA14,AB10:AB14))</f>
        <v>·</v>
      </c>
      <c r="AM10" s="33" t="str">
        <f t="array" ref="AM10">IF( OR(AND(ISBLANK(M10:M14)),AND(ISBLANK(AA10:AA14)), AND(ISBLANK(O10:O14)),AND(ISBLANK(AC10:AC14))), "·", bdRateExtend( M10:M14,O10:O14, AA10:AA14,AC10:AC14))</f>
        <v>·</v>
      </c>
      <c r="AN10" s="33" t="str">
        <f t="array" ref="AN10">IF( OR(AND(ISBLANK(M10:M14)),AND(ISBLANK(AA10:AA14)), AND(ISBLANK(P10:P14)),AND(ISBLANK(AD10:AD14))), "·", bdRateExtend( M10:M14,P10:P14, AA10:AA14,AD10:AD14))</f>
        <v>·</v>
      </c>
      <c r="AO10" s="33" t="str">
        <f t="array" ref="AO10">IF( OR(AND(ISBLANK(M10:M14)),AND(ISBLANK(AA10:AA14)), AND(ISBLANK(Q10:Q14)),AND(ISBLANK(AE10:AE14))), "·", bdRateExtend( M10:M14,Q10:Q14, AA10:AA14,AE10:AE14))</f>
        <v>·</v>
      </c>
      <c r="AP10" s="33" t="str">
        <f t="array" ref="AP10">IF( OR(AND(ISBLANK(M10:M14)),AND(ISBLANK(AA10:AA14)), AND(ISBLANK(R10:R14)),AND(ISBLANK(AF10:AF14))), "·", bdRateExtend( M10:M14,R10:R14, AA10:AA14,AF10:AF14))</f>
        <v>·</v>
      </c>
      <c r="AQ10" s="33" t="str">
        <f t="array" ref="AQ10">IF( OR(AND(ISBLANK(M10:M14)),AND(ISBLANK(AA10:AA14)), AND(ISBLANK(S10:S14)),AND(ISBLANK(AG10:AG14))), "·", bdRateExtend( M10:M14,S10:S14, AA10:AA14,AG10:AG14))</f>
        <v>·</v>
      </c>
      <c r="AR10" s="33" t="str">
        <f t="array" ref="AR10">IF( OR(AND(ISBLANK(M10:M14)),AND(ISBLANK(AA10:AA14)), AND(ISBLANK(T10:T14)),AND(ISBLANK(AH10:AH14))), "·", bdRateExtend( M10:M14,T10:T14, AA10:AA14,AH10:AH14))</f>
        <v>·</v>
      </c>
    </row>
    <row r="11" spans="1:44" outlineLevel="1" x14ac:dyDescent="0.25">
      <c r="A11" s="59"/>
      <c r="B11" s="59" t="s">
        <v>48</v>
      </c>
      <c r="C11" s="13" t="s">
        <v>373</v>
      </c>
      <c r="D11" s="59">
        <v>9000000</v>
      </c>
      <c r="E11" s="12">
        <v>10</v>
      </c>
      <c r="F11" s="13">
        <v>32</v>
      </c>
      <c r="G11" s="13">
        <v>30</v>
      </c>
      <c r="H11" s="13">
        <v>8</v>
      </c>
      <c r="J11" s="14">
        <f t="shared" si="0"/>
        <v>4.8814275</v>
      </c>
      <c r="K11" s="15">
        <f t="shared" si="1"/>
        <v>0.57853955555555558</v>
      </c>
      <c r="L11" s="37">
        <v>4828096</v>
      </c>
      <c r="M11" s="16">
        <v>5206856</v>
      </c>
      <c r="N11" s="38">
        <v>70.450682999999998</v>
      </c>
      <c r="O11" s="38">
        <v>72.648409999999998</v>
      </c>
      <c r="P11" s="38">
        <v>34.953361000000001</v>
      </c>
      <c r="Q11" s="38">
        <v>45.933315999999998</v>
      </c>
      <c r="R11" s="38">
        <v>46.354292999999998</v>
      </c>
      <c r="S11" s="38">
        <v>47.676205000000003</v>
      </c>
      <c r="T11" s="38">
        <v>32.646293</v>
      </c>
      <c r="U11" s="17">
        <v>2678</v>
      </c>
      <c r="V11" s="17">
        <v>13.712300000000001</v>
      </c>
      <c r="X11" s="14" t="str">
        <f t="shared" si="2"/>
        <v>·</v>
      </c>
      <c r="Y11" s="15" t="str">
        <f t="shared" si="3"/>
        <v>·</v>
      </c>
      <c r="Z11" s="37"/>
      <c r="AA11" s="16"/>
      <c r="AB11" s="38"/>
      <c r="AC11" s="38"/>
      <c r="AD11" s="38"/>
      <c r="AE11" s="38"/>
      <c r="AF11" s="38"/>
      <c r="AG11" s="38"/>
      <c r="AH11" s="38"/>
      <c r="AI11" s="17"/>
      <c r="AJ11" s="17"/>
      <c r="AL11" s="18"/>
      <c r="AM11" s="18"/>
      <c r="AN11" s="18"/>
      <c r="AO11" s="18"/>
      <c r="AP11" s="18"/>
      <c r="AQ11" s="18"/>
      <c r="AR11" s="18"/>
    </row>
    <row r="12" spans="1:44" outlineLevel="1" x14ac:dyDescent="0.25">
      <c r="A12" s="60"/>
      <c r="B12" s="60" t="s">
        <v>48</v>
      </c>
      <c r="C12" s="28" t="s">
        <v>374</v>
      </c>
      <c r="D12" s="60">
        <v>9000000</v>
      </c>
      <c r="E12" s="27">
        <v>10</v>
      </c>
      <c r="F12" s="28">
        <v>32</v>
      </c>
      <c r="G12" s="28">
        <v>30</v>
      </c>
      <c r="H12" s="28">
        <v>11</v>
      </c>
      <c r="J12" s="29">
        <f t="shared" si="0"/>
        <v>7.0496549999999996</v>
      </c>
      <c r="K12" s="30">
        <f t="shared" si="1"/>
        <v>0.83551466666666663</v>
      </c>
      <c r="L12" s="39">
        <v>4828096</v>
      </c>
      <c r="M12" s="31">
        <v>7519632</v>
      </c>
      <c r="N12" s="40">
        <v>72.232950000000002</v>
      </c>
      <c r="O12" s="40">
        <v>74.930942999999999</v>
      </c>
      <c r="P12" s="40">
        <v>35.419701000000003</v>
      </c>
      <c r="Q12" s="40">
        <v>46.226506999999998</v>
      </c>
      <c r="R12" s="40">
        <v>46.789231999999998</v>
      </c>
      <c r="S12" s="40">
        <v>48.739742</v>
      </c>
      <c r="T12" s="40">
        <v>33.527971999999998</v>
      </c>
      <c r="U12" s="32">
        <v>2718</v>
      </c>
      <c r="V12" s="32">
        <v>13.9862</v>
      </c>
      <c r="X12" s="29" t="str">
        <f t="shared" si="2"/>
        <v>·</v>
      </c>
      <c r="Y12" s="30" t="str">
        <f t="shared" si="3"/>
        <v>·</v>
      </c>
      <c r="Z12" s="39"/>
      <c r="AA12" s="31"/>
      <c r="AB12" s="40"/>
      <c r="AC12" s="40"/>
      <c r="AD12" s="40"/>
      <c r="AE12" s="40"/>
      <c r="AF12" s="40"/>
      <c r="AG12" s="40"/>
      <c r="AH12" s="40"/>
      <c r="AI12" s="32"/>
      <c r="AJ12" s="32"/>
      <c r="AL12" s="33"/>
      <c r="AM12" s="33"/>
      <c r="AN12" s="33"/>
      <c r="AO12" s="33"/>
      <c r="AP12" s="33"/>
      <c r="AQ12" s="33"/>
      <c r="AR12" s="33"/>
    </row>
    <row r="13" spans="1:44" outlineLevel="1" x14ac:dyDescent="0.25">
      <c r="A13" s="59"/>
      <c r="B13" s="59" t="s">
        <v>48</v>
      </c>
      <c r="C13" s="13" t="s">
        <v>375</v>
      </c>
      <c r="D13" s="59">
        <v>9000000</v>
      </c>
      <c r="E13" s="12">
        <v>10</v>
      </c>
      <c r="F13" s="13">
        <v>32</v>
      </c>
      <c r="G13" s="13">
        <v>30</v>
      </c>
      <c r="H13" s="13">
        <v>14</v>
      </c>
      <c r="J13" s="14">
        <f t="shared" si="0"/>
        <v>9.4868024999999996</v>
      </c>
      <c r="K13" s="15">
        <f t="shared" si="1"/>
        <v>1.1243617777777777</v>
      </c>
      <c r="L13" s="37">
        <v>4828096</v>
      </c>
      <c r="M13" s="16">
        <v>10119256</v>
      </c>
      <c r="N13" s="38">
        <v>72.232950000000002</v>
      </c>
      <c r="O13" s="38">
        <v>74.930942999999999</v>
      </c>
      <c r="P13" s="38">
        <v>36.369577999999997</v>
      </c>
      <c r="Q13" s="38">
        <v>47.291035999999998</v>
      </c>
      <c r="R13" s="38">
        <v>47.897165000000001</v>
      </c>
      <c r="S13" s="38">
        <v>48.739742</v>
      </c>
      <c r="T13" s="38">
        <v>34.063367999999997</v>
      </c>
      <c r="U13" s="17">
        <v>2774</v>
      </c>
      <c r="V13" s="17">
        <v>13.891299999999999</v>
      </c>
      <c r="X13" s="14" t="str">
        <f t="shared" si="2"/>
        <v>·</v>
      </c>
      <c r="Y13" s="15" t="str">
        <f t="shared" si="3"/>
        <v>·</v>
      </c>
      <c r="Z13" s="37"/>
      <c r="AA13" s="16"/>
      <c r="AB13" s="38"/>
      <c r="AC13" s="38"/>
      <c r="AD13" s="38"/>
      <c r="AE13" s="38"/>
      <c r="AF13" s="38"/>
      <c r="AG13" s="38"/>
      <c r="AH13" s="38"/>
      <c r="AI13" s="17"/>
      <c r="AJ13" s="17"/>
      <c r="AL13" s="18"/>
      <c r="AM13" s="18"/>
      <c r="AN13" s="18"/>
      <c r="AO13" s="18"/>
      <c r="AP13" s="18"/>
      <c r="AQ13" s="18"/>
      <c r="AR13" s="18"/>
    </row>
    <row r="14" spans="1:44" ht="15.75" customHeight="1" outlineLevel="1" thickBot="1" x14ac:dyDescent="0.3">
      <c r="A14" s="19"/>
      <c r="B14" s="19" t="s">
        <v>48</v>
      </c>
      <c r="C14" s="21" t="s">
        <v>376</v>
      </c>
      <c r="D14" s="19">
        <v>9000000</v>
      </c>
      <c r="E14" s="20">
        <v>10</v>
      </c>
      <c r="F14" s="21">
        <v>32</v>
      </c>
      <c r="G14" s="21">
        <v>30</v>
      </c>
      <c r="H14" s="21">
        <v>21</v>
      </c>
      <c r="J14" s="22">
        <f t="shared" si="0"/>
        <v>15.707940000000001</v>
      </c>
      <c r="K14" s="23">
        <f t="shared" si="1"/>
        <v>1.8616817777777779</v>
      </c>
      <c r="L14" s="51">
        <v>4828096</v>
      </c>
      <c r="M14" s="24">
        <v>16755136</v>
      </c>
      <c r="N14" s="52">
        <v>72.583639000000005</v>
      </c>
      <c r="O14" s="52">
        <v>75.402923999999999</v>
      </c>
      <c r="P14" s="52">
        <v>37.295088</v>
      </c>
      <c r="Q14" s="52">
        <v>48.315691000000001</v>
      </c>
      <c r="R14" s="52">
        <v>48.986556</v>
      </c>
      <c r="S14" s="52">
        <v>48.916471000000001</v>
      </c>
      <c r="T14" s="52">
        <v>34.674196000000002</v>
      </c>
      <c r="U14" s="25">
        <v>3250</v>
      </c>
      <c r="V14" s="25">
        <v>15.584300000000001</v>
      </c>
      <c r="X14" s="22" t="str">
        <f t="shared" si="2"/>
        <v>·</v>
      </c>
      <c r="Y14" s="23" t="str">
        <f t="shared" si="3"/>
        <v>·</v>
      </c>
      <c r="Z14" s="51"/>
      <c r="AA14" s="24"/>
      <c r="AB14" s="52"/>
      <c r="AC14" s="52"/>
      <c r="AD14" s="52"/>
      <c r="AE14" s="52"/>
      <c r="AF14" s="52"/>
      <c r="AG14" s="52"/>
      <c r="AH14" s="52"/>
      <c r="AI14" s="25"/>
      <c r="AJ14" s="25"/>
      <c r="AL14" s="26"/>
      <c r="AM14" s="26"/>
      <c r="AN14" s="26"/>
      <c r="AO14" s="26"/>
      <c r="AP14" s="26"/>
      <c r="AQ14" s="26"/>
      <c r="AR14" s="26"/>
    </row>
    <row r="15" spans="1:44" x14ac:dyDescent="0.25">
      <c r="A15" s="59" t="s">
        <v>176</v>
      </c>
      <c r="B15" s="59" t="s">
        <v>53</v>
      </c>
      <c r="C15" s="13" t="s">
        <v>372</v>
      </c>
      <c r="D15" s="59">
        <v>11842002</v>
      </c>
      <c r="E15" s="12">
        <v>12</v>
      </c>
      <c r="F15" s="13">
        <v>32</v>
      </c>
      <c r="G15" s="13">
        <v>30</v>
      </c>
      <c r="H15" s="13">
        <v>3</v>
      </c>
      <c r="J15" s="14">
        <f t="shared" si="0"/>
        <v>2.8624575000000001</v>
      </c>
      <c r="K15" s="15">
        <f t="shared" si="1"/>
        <v>0.2578354572140758</v>
      </c>
      <c r="L15" s="37">
        <v>2419456</v>
      </c>
      <c r="M15" s="16">
        <v>3053288</v>
      </c>
      <c r="N15" s="38">
        <v>66.372065000000006</v>
      </c>
      <c r="O15" s="38">
        <v>67.116046999999995</v>
      </c>
      <c r="P15" s="38">
        <v>34.821345999999998</v>
      </c>
      <c r="Q15" s="38">
        <v>43.404254000000002</v>
      </c>
      <c r="R15" s="38">
        <v>44.930475999999999</v>
      </c>
      <c r="S15" s="38">
        <v>43.032707000000002</v>
      </c>
      <c r="T15" s="38">
        <v>30.137369</v>
      </c>
      <c r="U15" s="17">
        <v>1077</v>
      </c>
      <c r="V15" s="17">
        <v>13.6343</v>
      </c>
      <c r="X15" s="14" t="str">
        <f t="shared" si="2"/>
        <v>·</v>
      </c>
      <c r="Y15" s="15" t="str">
        <f t="shared" si="3"/>
        <v>·</v>
      </c>
      <c r="Z15" s="37"/>
      <c r="AA15" s="16"/>
      <c r="AB15" s="38"/>
      <c r="AC15" s="38"/>
      <c r="AD15" s="38"/>
      <c r="AE15" s="38"/>
      <c r="AF15" s="38"/>
      <c r="AG15" s="38"/>
      <c r="AH15" s="38"/>
      <c r="AI15" s="17"/>
      <c r="AJ15" s="17"/>
      <c r="AL15" s="18" t="str">
        <f t="array" ref="AL15">IF( OR(AND(ISBLANK(M15:M19)),AND(ISBLANK(AA15:AA19)), AND(ISBLANK(N15:N19)),AND(ISBLANK(AB15:AB19))), "·", bdRateExtend( M15:M19,N15:N19, AA15:AA19,AB15:AB19))</f>
        <v>·</v>
      </c>
      <c r="AM15" s="18" t="str">
        <f t="array" ref="AM15">IF( OR(AND(ISBLANK(M15:M19)),AND(ISBLANK(AA15:AA19)), AND(ISBLANK(O15:O19)),AND(ISBLANK(AC15:AC19))), "·", bdRateExtend( M15:M19,O15:O19, AA15:AA19,AC15:AC19))</f>
        <v>·</v>
      </c>
      <c r="AN15" s="18" t="str">
        <f t="array" ref="AN15">IF( OR(AND(ISBLANK(M15:M19)),AND(ISBLANK(AA15:AA19)), AND(ISBLANK(P15:P19)),AND(ISBLANK(AD15:AD19))), "·", bdRateExtend( M15:M19,P15:P19, AA15:AA19,AD15:AD19))</f>
        <v>·</v>
      </c>
      <c r="AO15" s="18" t="str">
        <f t="array" ref="AO15">IF( OR(AND(ISBLANK(M15:M19)),AND(ISBLANK(AA15:AA19)), AND(ISBLANK(Q15:Q19)),AND(ISBLANK(AE15:AE19))), "·", bdRateExtend( M15:M19,Q15:Q19, AA15:AA19,AE15:AE19))</f>
        <v>·</v>
      </c>
      <c r="AP15" s="18" t="str">
        <f t="array" ref="AP15">IF( OR(AND(ISBLANK(M15:M19)),AND(ISBLANK(AA15:AA19)), AND(ISBLANK(R15:R19)),AND(ISBLANK(AF15:AF19))), "·", bdRateExtend( M15:M19,R15:R19, AA15:AA19,AF15:AF19))</f>
        <v>·</v>
      </c>
      <c r="AQ15" s="18" t="str">
        <f t="array" ref="AQ15">IF( OR(AND(ISBLANK(M15:M19)),AND(ISBLANK(AA15:AA19)), AND(ISBLANK(S15:S19)),AND(ISBLANK(AG15:AG19))), "·", bdRateExtend( M15:M19,S15:S19, AA15:AA19,AG15:AG19))</f>
        <v>·</v>
      </c>
      <c r="AR15" s="18" t="str">
        <f t="array" ref="AR15">IF( OR(AND(ISBLANK(M15:M19)),AND(ISBLANK(AA15:AA19)), AND(ISBLANK(T15:T19)),AND(ISBLANK(AH15:AH19))), "·", bdRateExtend( M15:M19,T15:T19, AA15:AA19,AH15:AH19))</f>
        <v>·</v>
      </c>
    </row>
    <row r="16" spans="1:44" outlineLevel="1" x14ac:dyDescent="0.25">
      <c r="A16" s="60"/>
      <c r="B16" s="60" t="s">
        <v>53</v>
      </c>
      <c r="C16" s="28" t="s">
        <v>373</v>
      </c>
      <c r="D16" s="60">
        <v>11842002</v>
      </c>
      <c r="E16" s="27">
        <v>12</v>
      </c>
      <c r="F16" s="28">
        <v>32</v>
      </c>
      <c r="G16" s="28">
        <v>30</v>
      </c>
      <c r="H16" s="28">
        <v>5</v>
      </c>
      <c r="J16" s="29">
        <f t="shared" si="0"/>
        <v>4.6985175000000003</v>
      </c>
      <c r="K16" s="30">
        <f t="shared" si="1"/>
        <v>0.42321830379694242</v>
      </c>
      <c r="L16" s="39">
        <v>2419456</v>
      </c>
      <c r="M16" s="31">
        <v>5011752</v>
      </c>
      <c r="N16" s="40">
        <v>73.596317999999997</v>
      </c>
      <c r="O16" s="40">
        <v>75.169827999999995</v>
      </c>
      <c r="P16" s="40">
        <v>36.510913000000002</v>
      </c>
      <c r="Q16" s="40">
        <v>43.572772000000001</v>
      </c>
      <c r="R16" s="40">
        <v>45.391150000000003</v>
      </c>
      <c r="S16" s="40">
        <v>46.878819999999997</v>
      </c>
      <c r="T16" s="40">
        <v>33.535733</v>
      </c>
      <c r="U16" s="32">
        <v>1087</v>
      </c>
      <c r="V16" s="32">
        <v>13.6493</v>
      </c>
      <c r="X16" s="29" t="str">
        <f t="shared" si="2"/>
        <v>·</v>
      </c>
      <c r="Y16" s="30" t="str">
        <f t="shared" si="3"/>
        <v>·</v>
      </c>
      <c r="Z16" s="39"/>
      <c r="AA16" s="31"/>
      <c r="AB16" s="40"/>
      <c r="AC16" s="40"/>
      <c r="AD16" s="40"/>
      <c r="AE16" s="40"/>
      <c r="AF16" s="40"/>
      <c r="AG16" s="40"/>
      <c r="AH16" s="40"/>
      <c r="AI16" s="32"/>
      <c r="AJ16" s="32"/>
      <c r="AL16" s="33"/>
      <c r="AM16" s="33"/>
      <c r="AN16" s="33"/>
      <c r="AO16" s="33"/>
      <c r="AP16" s="33"/>
      <c r="AQ16" s="33"/>
      <c r="AR16" s="33"/>
    </row>
    <row r="17" spans="1:44" outlineLevel="1" x14ac:dyDescent="0.25">
      <c r="A17" s="59"/>
      <c r="B17" s="59" t="s">
        <v>53</v>
      </c>
      <c r="C17" s="13" t="s">
        <v>374</v>
      </c>
      <c r="D17" s="59">
        <v>11842002</v>
      </c>
      <c r="E17" s="12">
        <v>12</v>
      </c>
      <c r="F17" s="13">
        <v>32</v>
      </c>
      <c r="G17" s="13">
        <v>30</v>
      </c>
      <c r="H17" s="13">
        <v>10</v>
      </c>
      <c r="J17" s="14">
        <f t="shared" si="0"/>
        <v>9.7087725000000002</v>
      </c>
      <c r="K17" s="15">
        <f t="shared" si="1"/>
        <v>0.87451631911563599</v>
      </c>
      <c r="L17" s="37">
        <v>4841472</v>
      </c>
      <c r="M17" s="16">
        <v>10356024</v>
      </c>
      <c r="N17" s="38">
        <v>76.985789999999994</v>
      </c>
      <c r="O17" s="38">
        <v>79.062882999999999</v>
      </c>
      <c r="P17" s="38">
        <v>39.373322999999999</v>
      </c>
      <c r="Q17" s="38">
        <v>44.949373000000001</v>
      </c>
      <c r="R17" s="38">
        <v>47.963442999999998</v>
      </c>
      <c r="S17" s="38">
        <v>48.536476</v>
      </c>
      <c r="T17" s="38">
        <v>36.187415999999999</v>
      </c>
      <c r="U17" s="17">
        <v>1218</v>
      </c>
      <c r="V17" s="17">
        <v>14.9095</v>
      </c>
      <c r="X17" s="14" t="str">
        <f t="shared" si="2"/>
        <v>·</v>
      </c>
      <c r="Y17" s="15" t="str">
        <f t="shared" si="3"/>
        <v>·</v>
      </c>
      <c r="Z17" s="37"/>
      <c r="AA17" s="16"/>
      <c r="AB17" s="38"/>
      <c r="AC17" s="38"/>
      <c r="AD17" s="38"/>
      <c r="AE17" s="38"/>
      <c r="AF17" s="38"/>
      <c r="AG17" s="38"/>
      <c r="AH17" s="38"/>
      <c r="AI17" s="17"/>
      <c r="AJ17" s="17"/>
      <c r="AL17" s="18"/>
      <c r="AM17" s="18"/>
      <c r="AN17" s="18"/>
      <c r="AO17" s="18"/>
      <c r="AP17" s="18"/>
      <c r="AQ17" s="18"/>
      <c r="AR17" s="18"/>
    </row>
    <row r="18" spans="1:44" outlineLevel="1" x14ac:dyDescent="0.25">
      <c r="A18" s="60"/>
      <c r="B18" s="60" t="s">
        <v>53</v>
      </c>
      <c r="C18" s="28" t="s">
        <v>375</v>
      </c>
      <c r="D18" s="60">
        <v>11842002</v>
      </c>
      <c r="E18" s="27">
        <v>12</v>
      </c>
      <c r="F18" s="28">
        <v>32</v>
      </c>
      <c r="G18" s="28">
        <v>30</v>
      </c>
      <c r="H18" s="28">
        <v>14</v>
      </c>
      <c r="J18" s="29">
        <f t="shared" si="0"/>
        <v>13.5196275</v>
      </c>
      <c r="K18" s="30">
        <f t="shared" si="1"/>
        <v>1.2177785479178267</v>
      </c>
      <c r="L18" s="39">
        <v>454013</v>
      </c>
      <c r="M18" s="31">
        <v>14420936</v>
      </c>
      <c r="N18" s="40">
        <v>80.369623000000004</v>
      </c>
      <c r="O18" s="40">
        <v>83.053779000000006</v>
      </c>
      <c r="P18" s="40">
        <v>39.871904000000001</v>
      </c>
      <c r="Q18" s="40">
        <v>44.962975</v>
      </c>
      <c r="R18" s="40">
        <v>47.987363999999999</v>
      </c>
      <c r="S18" s="40">
        <v>50.591143000000002</v>
      </c>
      <c r="T18" s="40">
        <v>37.634207000000004</v>
      </c>
      <c r="U18" s="32">
        <v>1909</v>
      </c>
      <c r="V18" s="32">
        <v>14.347200000000001</v>
      </c>
      <c r="X18" s="29" t="str">
        <f t="shared" si="2"/>
        <v>·</v>
      </c>
      <c r="Y18" s="30" t="str">
        <f t="shared" si="3"/>
        <v>·</v>
      </c>
      <c r="Z18" s="39"/>
      <c r="AA18" s="31"/>
      <c r="AB18" s="40"/>
      <c r="AC18" s="40"/>
      <c r="AD18" s="40"/>
      <c r="AE18" s="40"/>
      <c r="AF18" s="40"/>
      <c r="AG18" s="40"/>
      <c r="AH18" s="40"/>
      <c r="AI18" s="32"/>
      <c r="AJ18" s="32"/>
      <c r="AL18" s="33"/>
      <c r="AM18" s="33"/>
      <c r="AN18" s="33"/>
      <c r="AO18" s="33"/>
      <c r="AP18" s="33"/>
      <c r="AQ18" s="33"/>
      <c r="AR18" s="33"/>
    </row>
    <row r="19" spans="1:44" ht="15.75" customHeight="1" outlineLevel="1" thickBot="1" x14ac:dyDescent="0.3">
      <c r="A19" s="59"/>
      <c r="B19" s="41" t="s">
        <v>53</v>
      </c>
      <c r="C19" s="42" t="s">
        <v>376</v>
      </c>
      <c r="D19" s="41">
        <v>11842002</v>
      </c>
      <c r="E19" s="43">
        <v>12</v>
      </c>
      <c r="F19" s="42">
        <v>32</v>
      </c>
      <c r="G19" s="42">
        <v>30</v>
      </c>
      <c r="H19" s="42">
        <v>21</v>
      </c>
      <c r="J19" s="44">
        <f t="shared" si="0"/>
        <v>19.8320325</v>
      </c>
      <c r="K19" s="45">
        <f t="shared" si="1"/>
        <v>1.7863675415694069</v>
      </c>
      <c r="L19" s="46">
        <v>605377</v>
      </c>
      <c r="M19" s="47">
        <v>21154168</v>
      </c>
      <c r="N19" s="48">
        <v>83.638339999999999</v>
      </c>
      <c r="O19" s="48">
        <v>87.134924999999996</v>
      </c>
      <c r="P19" s="48">
        <v>41.048296000000001</v>
      </c>
      <c r="Q19" s="48">
        <v>45.902036000000003</v>
      </c>
      <c r="R19" s="48">
        <v>49.535653000000003</v>
      </c>
      <c r="S19" s="48">
        <v>54.069744</v>
      </c>
      <c r="T19" s="48">
        <v>39.573979999999999</v>
      </c>
      <c r="U19" s="49">
        <v>2136</v>
      </c>
      <c r="V19" s="49">
        <v>14.6839</v>
      </c>
      <c r="X19" s="44" t="str">
        <f t="shared" si="2"/>
        <v>·</v>
      </c>
      <c r="Y19" s="45" t="str">
        <f t="shared" si="3"/>
        <v>·</v>
      </c>
      <c r="Z19" s="46"/>
      <c r="AA19" s="47"/>
      <c r="AB19" s="48"/>
      <c r="AC19" s="48"/>
      <c r="AD19" s="48"/>
      <c r="AE19" s="48"/>
      <c r="AF19" s="48"/>
      <c r="AG19" s="48"/>
      <c r="AH19" s="48"/>
      <c r="AI19" s="49"/>
      <c r="AJ19" s="49"/>
      <c r="AL19" s="50"/>
      <c r="AM19" s="50"/>
      <c r="AN19" s="50"/>
      <c r="AO19" s="50"/>
      <c r="AP19" s="50"/>
      <c r="AQ19" s="50"/>
      <c r="AR19" s="50"/>
    </row>
    <row r="20" spans="1:44" x14ac:dyDescent="0.25">
      <c r="A20" s="60"/>
      <c r="B20" s="60" t="s">
        <v>58</v>
      </c>
      <c r="C20" s="28" t="s">
        <v>372</v>
      </c>
      <c r="D20" s="60">
        <v>11812090</v>
      </c>
      <c r="E20" s="27">
        <v>12</v>
      </c>
      <c r="F20" s="28">
        <v>32</v>
      </c>
      <c r="G20" s="28">
        <v>30</v>
      </c>
      <c r="H20" s="28">
        <v>3</v>
      </c>
      <c r="J20" s="29">
        <f t="shared" si="0"/>
        <v>2.9985675000000001</v>
      </c>
      <c r="K20" s="30">
        <f t="shared" si="1"/>
        <v>0.27077951488686591</v>
      </c>
      <c r="L20" s="39">
        <v>2417984</v>
      </c>
      <c r="M20" s="31">
        <v>3198472</v>
      </c>
      <c r="N20" s="40">
        <v>66.784648000000004</v>
      </c>
      <c r="O20" s="40">
        <v>67.645606999999998</v>
      </c>
      <c r="P20" s="40">
        <v>33.819046999999998</v>
      </c>
      <c r="Q20" s="40">
        <v>43.284551</v>
      </c>
      <c r="R20" s="40">
        <v>44.608088000000002</v>
      </c>
      <c r="S20" s="40">
        <v>45.891067</v>
      </c>
      <c r="T20" s="40">
        <v>29.203807999999999</v>
      </c>
      <c r="U20" s="32">
        <v>1058</v>
      </c>
      <c r="V20" s="32">
        <v>13.626300000000001</v>
      </c>
      <c r="X20" s="29" t="str">
        <f t="shared" si="2"/>
        <v>·</v>
      </c>
      <c r="Y20" s="30" t="str">
        <f t="shared" si="3"/>
        <v>·</v>
      </c>
      <c r="Z20" s="39"/>
      <c r="AA20" s="31"/>
      <c r="AB20" s="40"/>
      <c r="AC20" s="40"/>
      <c r="AD20" s="40"/>
      <c r="AE20" s="40"/>
      <c r="AF20" s="40"/>
      <c r="AG20" s="40"/>
      <c r="AH20" s="40"/>
      <c r="AI20" s="32"/>
      <c r="AJ20" s="32"/>
      <c r="AL20" s="33" t="str">
        <f t="array" ref="AL20">IF( OR(AND(ISBLANK(M20:M24)),AND(ISBLANK(AA20:AA24)), AND(ISBLANK(N20:N24)),AND(ISBLANK(AB20:AB24))), "·", bdRateExtend( M20:M24,N20:N24, AA20:AA24,AB20:AB24))</f>
        <v>·</v>
      </c>
      <c r="AM20" s="33" t="str">
        <f t="array" ref="AM20">IF( OR(AND(ISBLANK(M20:M24)),AND(ISBLANK(AA20:AA24)), AND(ISBLANK(O20:O24)),AND(ISBLANK(AC20:AC24))), "·", bdRateExtend( M20:M24,O20:O24, AA20:AA24,AC20:AC24))</f>
        <v>·</v>
      </c>
      <c r="AN20" s="33" t="str">
        <f t="array" ref="AN20">IF( OR(AND(ISBLANK(M20:M24)),AND(ISBLANK(AA20:AA24)), AND(ISBLANK(P20:P24)),AND(ISBLANK(AD20:AD24))), "·", bdRateExtend( M20:M24,P20:P24, AA20:AA24,AD20:AD24))</f>
        <v>·</v>
      </c>
      <c r="AO20" s="33" t="str">
        <f t="array" ref="AO20">IF( OR(AND(ISBLANK(M20:M24)),AND(ISBLANK(AA20:AA24)), AND(ISBLANK(Q20:Q24)),AND(ISBLANK(AE20:AE24))), "·", bdRateExtend( M20:M24,Q20:Q24, AA20:AA24,AE20:AE24))</f>
        <v>·</v>
      </c>
      <c r="AP20" s="33" t="str">
        <f t="array" ref="AP20">IF( OR(AND(ISBLANK(M20:M24)),AND(ISBLANK(AA20:AA24)), AND(ISBLANK(R20:R24)),AND(ISBLANK(AF20:AF24))), "·", bdRateExtend( M20:M24,R20:R24, AA20:AA24,AF20:AF24))</f>
        <v>·</v>
      </c>
      <c r="AQ20" s="33" t="str">
        <f t="array" ref="AQ20">IF( OR(AND(ISBLANK(M20:M24)),AND(ISBLANK(AA20:AA24)), AND(ISBLANK(S20:S24)),AND(ISBLANK(AG20:AG24))), "·", bdRateExtend( M20:M24,S20:S24, AA20:AA24,AG20:AG24))</f>
        <v>·</v>
      </c>
      <c r="AR20" s="33" t="str">
        <f t="array" ref="AR20">IF( OR(AND(ISBLANK(M20:M24)),AND(ISBLANK(AA20:AA24)), AND(ISBLANK(T20:T24)),AND(ISBLANK(AH20:AH24))), "·", bdRateExtend( M20:M24,T20:T24, AA20:AA24,AH20:AH24))</f>
        <v>·</v>
      </c>
    </row>
    <row r="21" spans="1:44" outlineLevel="1" x14ac:dyDescent="0.25">
      <c r="A21" s="59"/>
      <c r="B21" s="59" t="s">
        <v>58</v>
      </c>
      <c r="C21" s="13" t="s">
        <v>373</v>
      </c>
      <c r="D21" s="59">
        <v>11812090</v>
      </c>
      <c r="E21" s="12">
        <v>12</v>
      </c>
      <c r="F21" s="13">
        <v>32</v>
      </c>
      <c r="G21" s="13">
        <v>30</v>
      </c>
      <c r="H21" s="13">
        <v>5</v>
      </c>
      <c r="J21" s="14">
        <f t="shared" si="0"/>
        <v>5.0211375</v>
      </c>
      <c r="K21" s="15">
        <f t="shared" si="1"/>
        <v>0.4534235685640729</v>
      </c>
      <c r="L21" s="37">
        <v>2417984</v>
      </c>
      <c r="M21" s="16">
        <v>5355880</v>
      </c>
      <c r="N21" s="38">
        <v>73.897357999999997</v>
      </c>
      <c r="O21" s="38">
        <v>75.638907000000003</v>
      </c>
      <c r="P21" s="38">
        <v>35.827779</v>
      </c>
      <c r="Q21" s="38">
        <v>43.802225999999997</v>
      </c>
      <c r="R21" s="38">
        <v>45.575448999999999</v>
      </c>
      <c r="S21" s="38">
        <v>49.959299000000001</v>
      </c>
      <c r="T21" s="38">
        <v>32.975583999999998</v>
      </c>
      <c r="U21" s="17">
        <v>1073</v>
      </c>
      <c r="V21" s="17">
        <v>14.0349</v>
      </c>
      <c r="X21" s="14" t="str">
        <f t="shared" si="2"/>
        <v>·</v>
      </c>
      <c r="Y21" s="15" t="str">
        <f t="shared" si="3"/>
        <v>·</v>
      </c>
      <c r="Z21" s="37"/>
      <c r="AA21" s="16"/>
      <c r="AB21" s="38"/>
      <c r="AC21" s="38"/>
      <c r="AD21" s="38"/>
      <c r="AE21" s="38"/>
      <c r="AF21" s="38"/>
      <c r="AG21" s="38"/>
      <c r="AH21" s="38"/>
      <c r="AI21" s="17"/>
      <c r="AJ21" s="17"/>
      <c r="AL21" s="18"/>
      <c r="AM21" s="18"/>
      <c r="AN21" s="18"/>
      <c r="AO21" s="18"/>
      <c r="AP21" s="18"/>
      <c r="AQ21" s="18"/>
      <c r="AR21" s="18"/>
    </row>
    <row r="22" spans="1:44" outlineLevel="1" x14ac:dyDescent="0.25">
      <c r="A22" s="60"/>
      <c r="B22" s="60" t="s">
        <v>58</v>
      </c>
      <c r="C22" s="28" t="s">
        <v>374</v>
      </c>
      <c r="D22" s="60">
        <v>11812090</v>
      </c>
      <c r="E22" s="27">
        <v>12</v>
      </c>
      <c r="F22" s="28">
        <v>32</v>
      </c>
      <c r="G22" s="28">
        <v>30</v>
      </c>
      <c r="H22" s="28">
        <v>10</v>
      </c>
      <c r="J22" s="29">
        <f t="shared" si="0"/>
        <v>9.5908274999999996</v>
      </c>
      <c r="K22" s="30">
        <f t="shared" si="1"/>
        <v>0.86608009251538043</v>
      </c>
      <c r="L22" s="39">
        <v>4836096</v>
      </c>
      <c r="M22" s="31">
        <v>10230216</v>
      </c>
      <c r="N22" s="40">
        <v>77.466463000000005</v>
      </c>
      <c r="O22" s="40">
        <v>79.884929</v>
      </c>
      <c r="P22" s="40">
        <v>38.656129</v>
      </c>
      <c r="Q22" s="40">
        <v>44.789020000000001</v>
      </c>
      <c r="R22" s="40">
        <v>47.183332999999998</v>
      </c>
      <c r="S22" s="40">
        <v>51.889159999999997</v>
      </c>
      <c r="T22" s="40">
        <v>35.780293999999998</v>
      </c>
      <c r="U22" s="32">
        <v>1198</v>
      </c>
      <c r="V22" s="32">
        <v>14.731</v>
      </c>
      <c r="X22" s="29" t="str">
        <f t="shared" si="2"/>
        <v>·</v>
      </c>
      <c r="Y22" s="30" t="str">
        <f t="shared" si="3"/>
        <v>·</v>
      </c>
      <c r="Z22" s="39"/>
      <c r="AA22" s="31"/>
      <c r="AB22" s="40"/>
      <c r="AC22" s="40"/>
      <c r="AD22" s="40"/>
      <c r="AE22" s="40"/>
      <c r="AF22" s="40"/>
      <c r="AG22" s="40"/>
      <c r="AH22" s="40"/>
      <c r="AI22" s="32"/>
      <c r="AJ22" s="32"/>
      <c r="AL22" s="33"/>
      <c r="AM22" s="33"/>
      <c r="AN22" s="33"/>
      <c r="AO22" s="33"/>
      <c r="AP22" s="33"/>
      <c r="AQ22" s="33"/>
      <c r="AR22" s="33"/>
    </row>
    <row r="23" spans="1:44" outlineLevel="1" x14ac:dyDescent="0.25">
      <c r="A23" s="59"/>
      <c r="B23" s="59" t="s">
        <v>58</v>
      </c>
      <c r="C23" s="13" t="s">
        <v>375</v>
      </c>
      <c r="D23" s="59">
        <v>11812090</v>
      </c>
      <c r="E23" s="12">
        <v>12</v>
      </c>
      <c r="F23" s="13">
        <v>32</v>
      </c>
      <c r="G23" s="13">
        <v>30</v>
      </c>
      <c r="H23" s="13">
        <v>14</v>
      </c>
      <c r="J23" s="14">
        <f t="shared" si="0"/>
        <v>13.729755000000001</v>
      </c>
      <c r="K23" s="15">
        <f t="shared" si="1"/>
        <v>1.2398374885392847</v>
      </c>
      <c r="L23" s="37">
        <v>604609</v>
      </c>
      <c r="M23" s="16">
        <v>14645072</v>
      </c>
      <c r="N23" s="38">
        <v>83.575665999999998</v>
      </c>
      <c r="O23" s="38">
        <v>87.342571000000007</v>
      </c>
      <c r="P23" s="38">
        <v>39.093200000000003</v>
      </c>
      <c r="Q23" s="38">
        <v>44.826376000000003</v>
      </c>
      <c r="R23" s="38">
        <v>47.254846999999998</v>
      </c>
      <c r="S23" s="38">
        <v>56.441001999999997</v>
      </c>
      <c r="T23" s="38">
        <v>38.020432</v>
      </c>
      <c r="U23" s="17">
        <v>2142</v>
      </c>
      <c r="V23" s="17">
        <v>14.1363</v>
      </c>
      <c r="X23" s="14" t="str">
        <f t="shared" si="2"/>
        <v>·</v>
      </c>
      <c r="Y23" s="15" t="str">
        <f t="shared" si="3"/>
        <v>·</v>
      </c>
      <c r="Z23" s="37"/>
      <c r="AA23" s="16"/>
      <c r="AB23" s="38"/>
      <c r="AC23" s="38"/>
      <c r="AD23" s="38"/>
      <c r="AE23" s="38"/>
      <c r="AF23" s="38"/>
      <c r="AG23" s="38"/>
      <c r="AH23" s="38"/>
      <c r="AI23" s="17"/>
      <c r="AJ23" s="17"/>
      <c r="AL23" s="18"/>
      <c r="AM23" s="18"/>
      <c r="AN23" s="18"/>
      <c r="AO23" s="18"/>
      <c r="AP23" s="18"/>
      <c r="AQ23" s="18"/>
      <c r="AR23" s="18"/>
    </row>
    <row r="24" spans="1:44" ht="15.75" customHeight="1" outlineLevel="1" thickBot="1" x14ac:dyDescent="0.3">
      <c r="A24" s="19"/>
      <c r="B24" s="19" t="s">
        <v>58</v>
      </c>
      <c r="C24" s="21" t="s">
        <v>376</v>
      </c>
      <c r="D24" s="19">
        <v>11812090</v>
      </c>
      <c r="E24" s="20">
        <v>12</v>
      </c>
      <c r="F24" s="21">
        <v>32</v>
      </c>
      <c r="G24" s="21">
        <v>30</v>
      </c>
      <c r="H24" s="21">
        <v>21</v>
      </c>
      <c r="J24" s="22">
        <f t="shared" si="0"/>
        <v>19.4254575</v>
      </c>
      <c r="K24" s="23">
        <f t="shared" si="1"/>
        <v>1.7541762719383276</v>
      </c>
      <c r="L24" s="51">
        <v>604609</v>
      </c>
      <c r="M24" s="24">
        <v>20720488</v>
      </c>
      <c r="N24" s="52">
        <v>83.575665999999998</v>
      </c>
      <c r="O24" s="52">
        <v>87.342571000000007</v>
      </c>
      <c r="P24" s="52">
        <v>40.675137999999997</v>
      </c>
      <c r="Q24" s="52">
        <v>46.088520000000003</v>
      </c>
      <c r="R24" s="52">
        <v>49.073670999999997</v>
      </c>
      <c r="S24" s="52">
        <v>56.441001999999997</v>
      </c>
      <c r="T24" s="52">
        <v>39.172167999999999</v>
      </c>
      <c r="U24" s="25">
        <v>2178</v>
      </c>
      <c r="V24" s="25">
        <v>14.5893</v>
      </c>
      <c r="X24" s="22" t="str">
        <f t="shared" si="2"/>
        <v>·</v>
      </c>
      <c r="Y24" s="23" t="str">
        <f t="shared" si="3"/>
        <v>·</v>
      </c>
      <c r="Z24" s="51"/>
      <c r="AA24" s="24"/>
      <c r="AB24" s="52"/>
      <c r="AC24" s="52"/>
      <c r="AD24" s="52"/>
      <c r="AE24" s="52"/>
      <c r="AF24" s="52"/>
      <c r="AG24" s="52"/>
      <c r="AH24" s="52"/>
      <c r="AI24" s="25"/>
      <c r="AJ24" s="25"/>
      <c r="AL24" s="26"/>
      <c r="AM24" s="26"/>
      <c r="AN24" s="26"/>
      <c r="AO24" s="26"/>
      <c r="AP24" s="26"/>
      <c r="AQ24" s="26"/>
      <c r="AR24" s="26"/>
    </row>
    <row r="25" spans="1:44" x14ac:dyDescent="0.25">
      <c r="A25" s="59" t="s">
        <v>177</v>
      </c>
      <c r="B25" s="59" t="s">
        <v>63</v>
      </c>
      <c r="C25" s="13" t="s">
        <v>372</v>
      </c>
      <c r="D25" s="59">
        <v>12000000</v>
      </c>
      <c r="E25" s="12">
        <v>12</v>
      </c>
      <c r="F25" s="13">
        <v>32</v>
      </c>
      <c r="G25" s="13">
        <v>30</v>
      </c>
      <c r="H25" s="13">
        <v>4</v>
      </c>
      <c r="J25" s="14">
        <f t="shared" si="0"/>
        <v>3.8389500000000001</v>
      </c>
      <c r="K25" s="15">
        <f t="shared" si="1"/>
        <v>0.34123999999999999</v>
      </c>
      <c r="L25" s="37">
        <v>2450688</v>
      </c>
      <c r="M25" s="16">
        <v>4094880</v>
      </c>
      <c r="N25" s="38">
        <v>67.838652999999994</v>
      </c>
      <c r="O25" s="38">
        <v>69.618318000000002</v>
      </c>
      <c r="P25" s="38">
        <v>30.411175</v>
      </c>
      <c r="Q25" s="38">
        <v>40.890669000000003</v>
      </c>
      <c r="R25" s="38">
        <v>37.475323000000003</v>
      </c>
      <c r="S25" s="38">
        <v>42.867725999999998</v>
      </c>
      <c r="T25" s="38">
        <v>26.750354000000002</v>
      </c>
      <c r="U25" s="17">
        <v>1301</v>
      </c>
      <c r="V25" s="17">
        <v>14.183999999999999</v>
      </c>
      <c r="X25" s="14" t="str">
        <f t="shared" si="2"/>
        <v>·</v>
      </c>
      <c r="Y25" s="15" t="str">
        <f t="shared" si="3"/>
        <v>·</v>
      </c>
      <c r="Z25" s="37"/>
      <c r="AA25" s="16"/>
      <c r="AB25" s="38"/>
      <c r="AC25" s="38"/>
      <c r="AD25" s="38"/>
      <c r="AE25" s="38"/>
      <c r="AF25" s="38"/>
      <c r="AG25" s="38"/>
      <c r="AH25" s="38"/>
      <c r="AI25" s="17"/>
      <c r="AJ25" s="17"/>
      <c r="AL25" s="18" t="str">
        <f t="array" ref="AL25">IF( OR(AND(ISBLANK(M25:M29)),AND(ISBLANK(AA25:AA29)), AND(ISBLANK(N25:N29)),AND(ISBLANK(AB25:AB29))), "·", bdRateExtend( M25:M29,N25:N29, AA25:AA29,AB25:AB29))</f>
        <v>·</v>
      </c>
      <c r="AM25" s="18" t="str">
        <f t="array" ref="AM25">IF( OR(AND(ISBLANK(M25:M29)),AND(ISBLANK(AA25:AA29)), AND(ISBLANK(O25:O29)),AND(ISBLANK(AC25:AC29))), "·", bdRateExtend( M25:M29,O25:O29, AA25:AA29,AC25:AC29))</f>
        <v>·</v>
      </c>
      <c r="AN25" s="18" t="str">
        <f t="array" ref="AN25">IF( OR(AND(ISBLANK(M25:M29)),AND(ISBLANK(AA25:AA29)), AND(ISBLANK(P25:P29)),AND(ISBLANK(AD25:AD29))), "·", bdRateExtend( M25:M29,P25:P29, AA25:AA29,AD25:AD29))</f>
        <v>·</v>
      </c>
      <c r="AO25" s="18" t="str">
        <f t="array" ref="AO25">IF( OR(AND(ISBLANK(M25:M29)),AND(ISBLANK(AA25:AA29)), AND(ISBLANK(Q25:Q29)),AND(ISBLANK(AE25:AE29))), "·", bdRateExtend( M25:M29,Q25:Q29, AA25:AA29,AE25:AE29))</f>
        <v>·</v>
      </c>
      <c r="AP25" s="18" t="str">
        <f t="array" ref="AP25">IF( OR(AND(ISBLANK(M25:M29)),AND(ISBLANK(AA25:AA29)), AND(ISBLANK(R25:R29)),AND(ISBLANK(AF25:AF29))), "·", bdRateExtend( M25:M29,R25:R29, AA25:AA29,AF25:AF29))</f>
        <v>·</v>
      </c>
      <c r="AQ25" s="18" t="str">
        <f t="array" ref="AQ25">IF( OR(AND(ISBLANK(M25:M29)),AND(ISBLANK(AA25:AA29)), AND(ISBLANK(S25:S29)),AND(ISBLANK(AG25:AG29))), "·", bdRateExtend( M25:M29,S25:S29, AA25:AA29,AG25:AG29))</f>
        <v>·</v>
      </c>
      <c r="AR25" s="18" t="str">
        <f t="array" ref="AR25">IF( OR(AND(ISBLANK(M25:M29)),AND(ISBLANK(AA25:AA29)), AND(ISBLANK(T25:T29)),AND(ISBLANK(AH25:AH29))), "·", bdRateExtend( M25:M29,T25:T29, AA25:AA29,AH25:AH29))</f>
        <v>·</v>
      </c>
    </row>
    <row r="26" spans="1:44" outlineLevel="1" x14ac:dyDescent="0.25">
      <c r="A26" s="60"/>
      <c r="B26" s="60" t="s">
        <v>63</v>
      </c>
      <c r="C26" s="28" t="s">
        <v>373</v>
      </c>
      <c r="D26" s="60">
        <v>12000000</v>
      </c>
      <c r="E26" s="27">
        <v>12</v>
      </c>
      <c r="F26" s="28">
        <v>32</v>
      </c>
      <c r="G26" s="28">
        <v>30</v>
      </c>
      <c r="H26" s="28">
        <v>8</v>
      </c>
      <c r="J26" s="29">
        <f t="shared" si="0"/>
        <v>7.5997950000000003</v>
      </c>
      <c r="K26" s="30">
        <f t="shared" si="1"/>
        <v>0.67553733333333332</v>
      </c>
      <c r="L26" s="39">
        <v>4908736</v>
      </c>
      <c r="M26" s="31">
        <v>8106448</v>
      </c>
      <c r="N26" s="40">
        <v>72.253444999999999</v>
      </c>
      <c r="O26" s="40">
        <v>75.005846000000005</v>
      </c>
      <c r="P26" s="40">
        <v>32.736092999999997</v>
      </c>
      <c r="Q26" s="40">
        <v>42.417731000000003</v>
      </c>
      <c r="R26" s="40">
        <v>39.562764999999999</v>
      </c>
      <c r="S26" s="40">
        <v>45.062976999999997</v>
      </c>
      <c r="T26" s="40">
        <v>29.510435999999999</v>
      </c>
      <c r="U26" s="32">
        <v>1418</v>
      </c>
      <c r="V26" s="32">
        <v>15.0678</v>
      </c>
      <c r="X26" s="29" t="str">
        <f t="shared" si="2"/>
        <v>·</v>
      </c>
      <c r="Y26" s="30" t="str">
        <f t="shared" si="3"/>
        <v>·</v>
      </c>
      <c r="Z26" s="39"/>
      <c r="AA26" s="31"/>
      <c r="AB26" s="40"/>
      <c r="AC26" s="40"/>
      <c r="AD26" s="40"/>
      <c r="AE26" s="40"/>
      <c r="AF26" s="40"/>
      <c r="AG26" s="40"/>
      <c r="AH26" s="40"/>
      <c r="AI26" s="32"/>
      <c r="AJ26" s="32"/>
      <c r="AL26" s="33"/>
      <c r="AM26" s="33"/>
      <c r="AN26" s="33"/>
      <c r="AO26" s="33"/>
      <c r="AP26" s="33"/>
      <c r="AQ26" s="33"/>
      <c r="AR26" s="33"/>
    </row>
    <row r="27" spans="1:44" outlineLevel="1" x14ac:dyDescent="0.25">
      <c r="A27" s="59"/>
      <c r="B27" s="59" t="s">
        <v>63</v>
      </c>
      <c r="C27" s="13" t="s">
        <v>374</v>
      </c>
      <c r="D27" s="59">
        <v>12000000</v>
      </c>
      <c r="E27" s="12">
        <v>12</v>
      </c>
      <c r="F27" s="13">
        <v>32</v>
      </c>
      <c r="G27" s="13">
        <v>30</v>
      </c>
      <c r="H27" s="13">
        <v>12</v>
      </c>
      <c r="J27" s="14">
        <f t="shared" si="0"/>
        <v>11.712104999999999</v>
      </c>
      <c r="K27" s="15">
        <f t="shared" si="1"/>
        <v>1.0410759999999999</v>
      </c>
      <c r="L27" s="37">
        <v>4914544</v>
      </c>
      <c r="M27" s="16">
        <v>12492912</v>
      </c>
      <c r="N27" s="38">
        <v>79.576252999999994</v>
      </c>
      <c r="O27" s="38">
        <v>83.481786</v>
      </c>
      <c r="P27" s="38">
        <v>33.647233</v>
      </c>
      <c r="Q27" s="38">
        <v>43.012064000000002</v>
      </c>
      <c r="R27" s="38">
        <v>40.662215000000003</v>
      </c>
      <c r="S27" s="38">
        <v>48.377645000000001</v>
      </c>
      <c r="T27" s="38">
        <v>32.297958999999999</v>
      </c>
      <c r="U27" s="17">
        <v>4258</v>
      </c>
      <c r="V27" s="17">
        <v>54.448599999999999</v>
      </c>
      <c r="X27" s="14" t="str">
        <f t="shared" si="2"/>
        <v>·</v>
      </c>
      <c r="Y27" s="15" t="str">
        <f t="shared" si="3"/>
        <v>·</v>
      </c>
      <c r="Z27" s="37"/>
      <c r="AA27" s="16"/>
      <c r="AB27" s="38"/>
      <c r="AC27" s="38"/>
      <c r="AD27" s="38"/>
      <c r="AE27" s="38"/>
      <c r="AF27" s="38"/>
      <c r="AG27" s="38"/>
      <c r="AH27" s="38"/>
      <c r="AI27" s="17"/>
      <c r="AJ27" s="17"/>
      <c r="AL27" s="18"/>
      <c r="AM27" s="18"/>
      <c r="AN27" s="18"/>
      <c r="AO27" s="18"/>
      <c r="AP27" s="18"/>
      <c r="AQ27" s="18"/>
      <c r="AR27" s="18"/>
    </row>
    <row r="28" spans="1:44" outlineLevel="1" x14ac:dyDescent="0.25">
      <c r="A28" s="60"/>
      <c r="B28" s="60" t="s">
        <v>63</v>
      </c>
      <c r="C28" s="28" t="s">
        <v>375</v>
      </c>
      <c r="D28" s="60">
        <v>12000000</v>
      </c>
      <c r="E28" s="27">
        <v>12</v>
      </c>
      <c r="F28" s="28">
        <v>32</v>
      </c>
      <c r="G28" s="28">
        <v>30</v>
      </c>
      <c r="H28" s="28">
        <v>17</v>
      </c>
      <c r="J28" s="29">
        <f t="shared" si="0"/>
        <v>15.913432500000001</v>
      </c>
      <c r="K28" s="30">
        <f t="shared" si="1"/>
        <v>1.4145273333333332</v>
      </c>
      <c r="L28" s="39">
        <v>614377</v>
      </c>
      <c r="M28" s="31">
        <v>16974328</v>
      </c>
      <c r="N28" s="40">
        <v>82.161783999999997</v>
      </c>
      <c r="O28" s="40">
        <v>86.417186999999998</v>
      </c>
      <c r="P28" s="40">
        <v>34.314197999999998</v>
      </c>
      <c r="Q28" s="40">
        <v>43.377223000000001</v>
      </c>
      <c r="R28" s="40">
        <v>41.177885000000003</v>
      </c>
      <c r="S28" s="40">
        <v>51.143863000000003</v>
      </c>
      <c r="T28" s="40">
        <v>33.387099999999997</v>
      </c>
      <c r="U28" s="32">
        <v>4990</v>
      </c>
      <c r="V28" s="32">
        <v>54.594000000000001</v>
      </c>
      <c r="X28" s="29" t="str">
        <f t="shared" si="2"/>
        <v>·</v>
      </c>
      <c r="Y28" s="30" t="str">
        <f t="shared" si="3"/>
        <v>·</v>
      </c>
      <c r="Z28" s="39"/>
      <c r="AA28" s="31"/>
      <c r="AB28" s="40"/>
      <c r="AC28" s="40"/>
      <c r="AD28" s="40"/>
      <c r="AE28" s="40"/>
      <c r="AF28" s="40"/>
      <c r="AG28" s="40"/>
      <c r="AH28" s="40"/>
      <c r="AI28" s="32"/>
      <c r="AJ28" s="32"/>
      <c r="AL28" s="33"/>
      <c r="AM28" s="33"/>
      <c r="AN28" s="33"/>
      <c r="AO28" s="33"/>
      <c r="AP28" s="33"/>
      <c r="AQ28" s="33"/>
      <c r="AR28" s="33"/>
    </row>
    <row r="29" spans="1:44" ht="15.75" customHeight="1" outlineLevel="1" thickBot="1" x14ac:dyDescent="0.3">
      <c r="A29" s="59"/>
      <c r="B29" s="41" t="s">
        <v>63</v>
      </c>
      <c r="C29" s="42" t="s">
        <v>376</v>
      </c>
      <c r="D29" s="41">
        <v>12000000</v>
      </c>
      <c r="E29" s="43">
        <v>12</v>
      </c>
      <c r="F29" s="42">
        <v>32</v>
      </c>
      <c r="G29" s="42">
        <v>30</v>
      </c>
      <c r="H29" s="42">
        <v>25</v>
      </c>
      <c r="J29" s="44">
        <f t="shared" si="0"/>
        <v>24.132840000000002</v>
      </c>
      <c r="K29" s="45">
        <f t="shared" si="1"/>
        <v>2.1451413333333331</v>
      </c>
      <c r="L29" s="46">
        <v>921583</v>
      </c>
      <c r="M29" s="47">
        <v>25741696</v>
      </c>
      <c r="N29" s="48">
        <v>85.879878000000005</v>
      </c>
      <c r="O29" s="48">
        <v>91.566540000000003</v>
      </c>
      <c r="P29" s="48">
        <v>35.411960000000001</v>
      </c>
      <c r="Q29" s="48">
        <v>43.979649000000002</v>
      </c>
      <c r="R29" s="48">
        <v>42.002249999999997</v>
      </c>
      <c r="S29" s="48">
        <v>55.600154000000003</v>
      </c>
      <c r="T29" s="48">
        <v>35.013539999999999</v>
      </c>
      <c r="U29" s="49">
        <v>5977</v>
      </c>
      <c r="V29" s="49">
        <v>55.434699999999999</v>
      </c>
      <c r="X29" s="44" t="str">
        <f t="shared" si="2"/>
        <v>·</v>
      </c>
      <c r="Y29" s="45" t="str">
        <f t="shared" si="3"/>
        <v>·</v>
      </c>
      <c r="Z29" s="46"/>
      <c r="AA29" s="47"/>
      <c r="AB29" s="48"/>
      <c r="AC29" s="48"/>
      <c r="AD29" s="48"/>
      <c r="AE29" s="48"/>
      <c r="AF29" s="48"/>
      <c r="AG29" s="48"/>
      <c r="AH29" s="48"/>
      <c r="AI29" s="49"/>
      <c r="AJ29" s="49"/>
      <c r="AL29" s="50"/>
      <c r="AM29" s="50"/>
      <c r="AN29" s="50"/>
      <c r="AO29" s="50"/>
      <c r="AP29" s="50"/>
      <c r="AQ29" s="50"/>
      <c r="AR29" s="50"/>
    </row>
    <row r="30" spans="1:44" x14ac:dyDescent="0.25">
      <c r="A30" s="60"/>
      <c r="B30" s="60" t="s">
        <v>68</v>
      </c>
      <c r="C30" s="28" t="s">
        <v>372</v>
      </c>
      <c r="D30" s="60">
        <v>5997654</v>
      </c>
      <c r="E30" s="27">
        <v>12</v>
      </c>
      <c r="F30" s="28">
        <v>32</v>
      </c>
      <c r="G30" s="28">
        <v>30</v>
      </c>
      <c r="H30" s="28">
        <v>4</v>
      </c>
      <c r="J30" s="29">
        <f t="shared" si="0"/>
        <v>3.4678724999999999</v>
      </c>
      <c r="K30" s="30">
        <f t="shared" si="1"/>
        <v>0.61675181662696776</v>
      </c>
      <c r="L30" s="39">
        <v>2426752</v>
      </c>
      <c r="M30" s="31">
        <v>3699064</v>
      </c>
      <c r="N30" s="40">
        <v>70.673359000000005</v>
      </c>
      <c r="O30" s="40">
        <v>72.022461000000007</v>
      </c>
      <c r="P30" s="40">
        <v>36.955981999999999</v>
      </c>
      <c r="Q30" s="40">
        <v>43.911298000000002</v>
      </c>
      <c r="R30" s="40">
        <v>42.331972</v>
      </c>
      <c r="S30" s="40">
        <v>45.300002999999997</v>
      </c>
      <c r="T30" s="40">
        <v>33.210842999999997</v>
      </c>
      <c r="U30" s="32">
        <v>2596</v>
      </c>
      <c r="V30" s="32">
        <v>13.415100000000001</v>
      </c>
      <c r="X30" s="29" t="str">
        <f t="shared" si="2"/>
        <v>·</v>
      </c>
      <c r="Y30" s="30" t="str">
        <f t="shared" si="3"/>
        <v>·</v>
      </c>
      <c r="Z30" s="39"/>
      <c r="AA30" s="31"/>
      <c r="AB30" s="40"/>
      <c r="AC30" s="40"/>
      <c r="AD30" s="40"/>
      <c r="AE30" s="40"/>
      <c r="AF30" s="40"/>
      <c r="AG30" s="40"/>
      <c r="AH30" s="40"/>
      <c r="AI30" s="32"/>
      <c r="AJ30" s="32"/>
      <c r="AL30" s="33" t="str">
        <f t="array" ref="AL30">IF( OR(AND(ISBLANK(M30:M34)),AND(ISBLANK(AA30:AA34)), AND(ISBLANK(N30:N34)),AND(ISBLANK(AB30:AB34))), "·", bdRateExtend( M30:M34,N30:N34, AA30:AA34,AB30:AB34))</f>
        <v>·</v>
      </c>
      <c r="AM30" s="33" t="str">
        <f t="array" ref="AM30">IF( OR(AND(ISBLANK(M30:M34)),AND(ISBLANK(AA30:AA34)), AND(ISBLANK(O30:O34)),AND(ISBLANK(AC30:AC34))), "·", bdRateExtend( M30:M34,O30:O34, AA30:AA34,AC30:AC34))</f>
        <v>·</v>
      </c>
      <c r="AN30" s="33" t="str">
        <f t="array" ref="AN30">IF( OR(AND(ISBLANK(M30:M34)),AND(ISBLANK(AA30:AA34)), AND(ISBLANK(P30:P34)),AND(ISBLANK(AD30:AD34))), "·", bdRateExtend( M30:M34,P30:P34, AA30:AA34,AD30:AD34))</f>
        <v>·</v>
      </c>
      <c r="AO30" s="33" t="str">
        <f t="array" ref="AO30">IF( OR(AND(ISBLANK(M30:M34)),AND(ISBLANK(AA30:AA34)), AND(ISBLANK(Q30:Q34)),AND(ISBLANK(AE30:AE34))), "·", bdRateExtend( M30:M34,Q30:Q34, AA30:AA34,AE30:AE34))</f>
        <v>·</v>
      </c>
      <c r="AP30" s="33" t="str">
        <f t="array" ref="AP30">IF( OR(AND(ISBLANK(M30:M34)),AND(ISBLANK(AA30:AA34)), AND(ISBLANK(R30:R34)),AND(ISBLANK(AF30:AF34))), "·", bdRateExtend( M30:M34,R30:R34, AA30:AA34,AF30:AF34))</f>
        <v>·</v>
      </c>
      <c r="AQ30" s="33" t="str">
        <f t="array" ref="AQ30">IF( OR(AND(ISBLANK(M30:M34)),AND(ISBLANK(AA30:AA34)), AND(ISBLANK(S30:S34)),AND(ISBLANK(AG30:AG34))), "·", bdRateExtend( M30:M34,S30:S34, AA30:AA34,AG30:AG34))</f>
        <v>·</v>
      </c>
      <c r="AR30" s="33" t="str">
        <f t="array" ref="AR30">IF( OR(AND(ISBLANK(M30:M34)),AND(ISBLANK(AA30:AA34)), AND(ISBLANK(T30:T34)),AND(ISBLANK(AH30:AH34))), "·", bdRateExtend( M30:M34,T30:T34, AA30:AA34,AH30:AH34))</f>
        <v>·</v>
      </c>
    </row>
    <row r="31" spans="1:44" outlineLevel="1" x14ac:dyDescent="0.25">
      <c r="A31" s="59"/>
      <c r="B31" s="59" t="s">
        <v>68</v>
      </c>
      <c r="C31" s="13" t="s">
        <v>373</v>
      </c>
      <c r="D31" s="59">
        <v>5997654</v>
      </c>
      <c r="E31" s="12">
        <v>12</v>
      </c>
      <c r="F31" s="13">
        <v>32</v>
      </c>
      <c r="G31" s="13">
        <v>30</v>
      </c>
      <c r="H31" s="13">
        <v>8</v>
      </c>
      <c r="J31" s="14">
        <f t="shared" si="0"/>
        <v>6.5492175000000001</v>
      </c>
      <c r="K31" s="15">
        <f t="shared" si="1"/>
        <v>1.1647607547884555</v>
      </c>
      <c r="L31" s="37">
        <v>2450000</v>
      </c>
      <c r="M31" s="16">
        <v>6985832</v>
      </c>
      <c r="N31" s="38">
        <v>75.875606000000005</v>
      </c>
      <c r="O31" s="38">
        <v>77.852790999999996</v>
      </c>
      <c r="P31" s="38">
        <v>39.114431000000003</v>
      </c>
      <c r="Q31" s="38">
        <v>45.477029000000002</v>
      </c>
      <c r="R31" s="38">
        <v>44.306776999999997</v>
      </c>
      <c r="S31" s="38">
        <v>48.263773999999998</v>
      </c>
      <c r="T31" s="38">
        <v>36.047204999999998</v>
      </c>
      <c r="U31" s="17">
        <v>7992</v>
      </c>
      <c r="V31" s="17">
        <v>48.034500000000001</v>
      </c>
      <c r="X31" s="14" t="str">
        <f t="shared" si="2"/>
        <v>·</v>
      </c>
      <c r="Y31" s="15" t="str">
        <f t="shared" si="3"/>
        <v>·</v>
      </c>
      <c r="Z31" s="37"/>
      <c r="AA31" s="16"/>
      <c r="AB31" s="38"/>
      <c r="AC31" s="38"/>
      <c r="AD31" s="38"/>
      <c r="AE31" s="38"/>
      <c r="AF31" s="38"/>
      <c r="AG31" s="38"/>
      <c r="AH31" s="38"/>
      <c r="AI31" s="17"/>
      <c r="AJ31" s="17"/>
      <c r="AL31" s="18"/>
      <c r="AM31" s="18"/>
      <c r="AN31" s="18"/>
      <c r="AO31" s="18"/>
      <c r="AP31" s="18"/>
      <c r="AQ31" s="18"/>
      <c r="AR31" s="18"/>
    </row>
    <row r="32" spans="1:44" outlineLevel="1" x14ac:dyDescent="0.25">
      <c r="A32" s="60"/>
      <c r="B32" s="60" t="s">
        <v>68</v>
      </c>
      <c r="C32" s="28" t="s">
        <v>374</v>
      </c>
      <c r="D32" s="60">
        <v>5997654</v>
      </c>
      <c r="E32" s="27">
        <v>12</v>
      </c>
      <c r="F32" s="28">
        <v>32</v>
      </c>
      <c r="G32" s="28">
        <v>30</v>
      </c>
      <c r="H32" s="28">
        <v>12</v>
      </c>
      <c r="J32" s="29">
        <f t="shared" si="0"/>
        <v>10.01745</v>
      </c>
      <c r="K32" s="30">
        <f t="shared" si="1"/>
        <v>1.7815765964492116</v>
      </c>
      <c r="L32" s="39">
        <v>2450000</v>
      </c>
      <c r="M32" s="31">
        <v>10685280</v>
      </c>
      <c r="N32" s="40">
        <v>76.598461</v>
      </c>
      <c r="O32" s="40">
        <v>78.706817999999998</v>
      </c>
      <c r="P32" s="40">
        <v>40.551569000000001</v>
      </c>
      <c r="Q32" s="40">
        <v>46.176884999999999</v>
      </c>
      <c r="R32" s="40">
        <v>45.121431000000001</v>
      </c>
      <c r="S32" s="40">
        <v>48.666986999999999</v>
      </c>
      <c r="T32" s="40">
        <v>36.937927000000002</v>
      </c>
      <c r="U32" s="32">
        <v>8599</v>
      </c>
      <c r="V32" s="32">
        <v>49.953499999999998</v>
      </c>
      <c r="X32" s="29" t="str">
        <f t="shared" si="2"/>
        <v>·</v>
      </c>
      <c r="Y32" s="30" t="str">
        <f t="shared" si="3"/>
        <v>·</v>
      </c>
      <c r="Z32" s="39"/>
      <c r="AA32" s="31"/>
      <c r="AB32" s="40"/>
      <c r="AC32" s="40"/>
      <c r="AD32" s="40"/>
      <c r="AE32" s="40"/>
      <c r="AF32" s="40"/>
      <c r="AG32" s="40"/>
      <c r="AH32" s="40"/>
      <c r="AI32" s="32"/>
      <c r="AJ32" s="32"/>
      <c r="AL32" s="33"/>
      <c r="AM32" s="33"/>
      <c r="AN32" s="33"/>
      <c r="AO32" s="33"/>
      <c r="AP32" s="33"/>
      <c r="AQ32" s="33"/>
      <c r="AR32" s="33"/>
    </row>
    <row r="33" spans="1:44" outlineLevel="1" x14ac:dyDescent="0.25">
      <c r="A33" s="59"/>
      <c r="B33" s="59" t="s">
        <v>68</v>
      </c>
      <c r="C33" s="13" t="s">
        <v>375</v>
      </c>
      <c r="D33" s="59">
        <v>5997654</v>
      </c>
      <c r="E33" s="12">
        <v>12</v>
      </c>
      <c r="F33" s="13">
        <v>32</v>
      </c>
      <c r="G33" s="13">
        <v>30</v>
      </c>
      <c r="H33" s="13">
        <v>17</v>
      </c>
      <c r="J33" s="14">
        <f t="shared" si="0"/>
        <v>14.8154325</v>
      </c>
      <c r="K33" s="15">
        <f t="shared" si="1"/>
        <v>2.6348849066651727</v>
      </c>
      <c r="L33" s="37">
        <v>4909168</v>
      </c>
      <c r="M33" s="16">
        <v>15803128</v>
      </c>
      <c r="N33" s="38">
        <v>80.710556999999994</v>
      </c>
      <c r="O33" s="38">
        <v>84.058756000000002</v>
      </c>
      <c r="P33" s="38">
        <v>41.501773999999997</v>
      </c>
      <c r="Q33" s="38">
        <v>46.998997000000003</v>
      </c>
      <c r="R33" s="38">
        <v>46.069184</v>
      </c>
      <c r="S33" s="38">
        <v>51.191575999999998</v>
      </c>
      <c r="T33" s="38">
        <v>39.165734999999998</v>
      </c>
      <c r="U33" s="17">
        <v>9338</v>
      </c>
      <c r="V33" s="17">
        <v>51.158999999999999</v>
      </c>
      <c r="X33" s="14" t="str">
        <f t="shared" si="2"/>
        <v>·</v>
      </c>
      <c r="Y33" s="15" t="str">
        <f t="shared" si="3"/>
        <v>·</v>
      </c>
      <c r="Z33" s="37"/>
      <c r="AA33" s="16"/>
      <c r="AB33" s="38"/>
      <c r="AC33" s="38"/>
      <c r="AD33" s="38"/>
      <c r="AE33" s="38"/>
      <c r="AF33" s="38"/>
      <c r="AG33" s="38"/>
      <c r="AH33" s="38"/>
      <c r="AI33" s="17"/>
      <c r="AJ33" s="17"/>
      <c r="AL33" s="18"/>
      <c r="AM33" s="18"/>
      <c r="AN33" s="18"/>
      <c r="AO33" s="18"/>
      <c r="AP33" s="18"/>
      <c r="AQ33" s="18"/>
      <c r="AR33" s="18"/>
    </row>
    <row r="34" spans="1:44" ht="15.75" customHeight="1" outlineLevel="1" thickBot="1" x14ac:dyDescent="0.3">
      <c r="A34" s="60"/>
      <c r="B34" s="19" t="s">
        <v>68</v>
      </c>
      <c r="C34" s="21" t="s">
        <v>376</v>
      </c>
      <c r="D34" s="19">
        <v>5997654</v>
      </c>
      <c r="E34" s="20">
        <v>12</v>
      </c>
      <c r="F34" s="21">
        <v>32</v>
      </c>
      <c r="G34" s="21">
        <v>30</v>
      </c>
      <c r="H34" s="21">
        <v>25</v>
      </c>
      <c r="J34" s="22">
        <f t="shared" si="0"/>
        <v>22.543177499999999</v>
      </c>
      <c r="K34" s="23">
        <f t="shared" si="1"/>
        <v>4.0092436142531733</v>
      </c>
      <c r="L34" s="51">
        <v>614149</v>
      </c>
      <c r="M34" s="24">
        <v>24046056</v>
      </c>
      <c r="N34" s="52">
        <v>83.292914999999994</v>
      </c>
      <c r="O34" s="52">
        <v>87.093172999999993</v>
      </c>
      <c r="P34" s="52">
        <v>42.400438999999999</v>
      </c>
      <c r="Q34" s="52">
        <v>47.734766999999998</v>
      </c>
      <c r="R34" s="52">
        <v>46.932409</v>
      </c>
      <c r="S34" s="52">
        <v>53.341925000000003</v>
      </c>
      <c r="T34" s="52">
        <v>40.714758000000003</v>
      </c>
      <c r="U34" s="25">
        <v>4782</v>
      </c>
      <c r="V34" s="25">
        <v>55.910699999999999</v>
      </c>
      <c r="X34" s="22" t="str">
        <f t="shared" si="2"/>
        <v>·</v>
      </c>
      <c r="Y34" s="23" t="str">
        <f t="shared" si="3"/>
        <v>·</v>
      </c>
      <c r="Z34" s="51"/>
      <c r="AA34" s="24"/>
      <c r="AB34" s="52"/>
      <c r="AC34" s="52"/>
      <c r="AD34" s="52"/>
      <c r="AE34" s="52"/>
      <c r="AF34" s="52"/>
      <c r="AG34" s="52"/>
      <c r="AH34" s="52"/>
      <c r="AI34" s="25"/>
      <c r="AJ34" s="25"/>
      <c r="AL34" s="26"/>
      <c r="AM34" s="26"/>
      <c r="AN34" s="26"/>
      <c r="AO34" s="26"/>
      <c r="AP34" s="26"/>
      <c r="AQ34" s="26"/>
      <c r="AR34" s="26"/>
    </row>
    <row r="35" spans="1:44" x14ac:dyDescent="0.25">
      <c r="A35" s="59"/>
      <c r="B35" s="59" t="s">
        <v>32</v>
      </c>
      <c r="C35" s="13" t="s">
        <v>372</v>
      </c>
      <c r="D35" s="59">
        <v>9000000</v>
      </c>
      <c r="E35" s="12">
        <v>12</v>
      </c>
      <c r="F35" s="13">
        <v>32</v>
      </c>
      <c r="G35" s="13">
        <v>30</v>
      </c>
      <c r="H35" s="13">
        <v>3</v>
      </c>
      <c r="J35" s="14">
        <f t="shared" si="0"/>
        <v>3.1054124999999999</v>
      </c>
      <c r="K35" s="15">
        <f t="shared" si="1"/>
        <v>0.36804888888888887</v>
      </c>
      <c r="L35" s="37">
        <v>3680512</v>
      </c>
      <c r="M35" s="16">
        <v>3312440</v>
      </c>
      <c r="N35" s="38">
        <v>71.951926999999998</v>
      </c>
      <c r="O35" s="38">
        <v>73.582310000000007</v>
      </c>
      <c r="P35" s="38">
        <v>29.615565</v>
      </c>
      <c r="Q35" s="38">
        <v>38.860930000000003</v>
      </c>
      <c r="R35" s="38">
        <v>38.791302000000002</v>
      </c>
      <c r="S35" s="38">
        <v>47.757759</v>
      </c>
      <c r="T35" s="38">
        <v>28.744242</v>
      </c>
      <c r="U35" s="17">
        <v>2155</v>
      </c>
      <c r="V35" s="17">
        <v>12.610300000000001</v>
      </c>
      <c r="X35" s="14" t="str">
        <f t="shared" si="2"/>
        <v>·</v>
      </c>
      <c r="Y35" s="15" t="str">
        <f t="shared" si="3"/>
        <v>·</v>
      </c>
      <c r="Z35" s="37"/>
      <c r="AA35" s="16"/>
      <c r="AB35" s="38"/>
      <c r="AC35" s="38"/>
      <c r="AD35" s="38"/>
      <c r="AE35" s="38"/>
      <c r="AF35" s="38"/>
      <c r="AG35" s="38"/>
      <c r="AH35" s="38"/>
      <c r="AI35" s="17"/>
      <c r="AJ35" s="17"/>
      <c r="AL35" s="18" t="str">
        <f t="array" ref="AL35">IF( OR(AND(ISBLANK(M35:M39)),AND(ISBLANK(AA35:AA39)), AND(ISBLANK(N35:N39)),AND(ISBLANK(AB35:AB39))), "·", bdRateExtend( M35:M39,N35:N39, AA35:AA39,AB35:AB39))</f>
        <v>·</v>
      </c>
      <c r="AM35" s="18" t="str">
        <f t="array" ref="AM35">IF( OR(AND(ISBLANK(M35:M39)),AND(ISBLANK(AA35:AA39)), AND(ISBLANK(O35:O39)),AND(ISBLANK(AC35:AC39))), "·", bdRateExtend( M35:M39,O35:O39, AA35:AA39,AC35:AC39))</f>
        <v>·</v>
      </c>
      <c r="AN35" s="18" t="str">
        <f t="array" ref="AN35">IF( OR(AND(ISBLANK(M35:M39)),AND(ISBLANK(AA35:AA39)), AND(ISBLANK(P35:P39)),AND(ISBLANK(AD35:AD39))), "·", bdRateExtend( M35:M39,P35:P39, AA35:AA39,AD35:AD39))</f>
        <v>·</v>
      </c>
      <c r="AO35" s="18" t="str">
        <f t="array" ref="AO35">IF( OR(AND(ISBLANK(M35:M39)),AND(ISBLANK(AA35:AA39)), AND(ISBLANK(Q35:Q39)),AND(ISBLANK(AE35:AE39))), "·", bdRateExtend( M35:M39,Q35:Q39, AA35:AA39,AE35:AE39))</f>
        <v>·</v>
      </c>
      <c r="AP35" s="18" t="str">
        <f t="array" ref="AP35">IF( OR(AND(ISBLANK(M35:M39)),AND(ISBLANK(AA35:AA39)), AND(ISBLANK(R35:R39)),AND(ISBLANK(AF35:AF39))), "·", bdRateExtend( M35:M39,R35:R39, AA35:AA39,AF35:AF39))</f>
        <v>·</v>
      </c>
      <c r="AQ35" s="18" t="str">
        <f t="array" ref="AQ35">IF( OR(AND(ISBLANK(M35:M39)),AND(ISBLANK(AA35:AA39)), AND(ISBLANK(S35:S39)),AND(ISBLANK(AG35:AG39))), "·", bdRateExtend( M35:M39,S35:S39, AA35:AA39,AG35:AG39))</f>
        <v>·</v>
      </c>
      <c r="AR35" s="18" t="str">
        <f t="array" ref="AR35">IF( OR(AND(ISBLANK(M35:M39)),AND(ISBLANK(AA35:AA39)), AND(ISBLANK(T35:T39)),AND(ISBLANK(AH35:AH39))), "·", bdRateExtend( M35:M39,T35:T39, AA35:AA39,AH35:AH39))</f>
        <v>·</v>
      </c>
    </row>
    <row r="36" spans="1:44" outlineLevel="1" x14ac:dyDescent="0.25">
      <c r="A36" s="60"/>
      <c r="B36" s="60" t="s">
        <v>32</v>
      </c>
      <c r="C36" s="28" t="s">
        <v>373</v>
      </c>
      <c r="D36" s="60">
        <v>9000000</v>
      </c>
      <c r="E36" s="27">
        <v>12</v>
      </c>
      <c r="F36" s="28">
        <v>32</v>
      </c>
      <c r="G36" s="28">
        <v>30</v>
      </c>
      <c r="H36" s="28">
        <v>4</v>
      </c>
      <c r="J36" s="29">
        <f t="shared" si="0"/>
        <v>4.1631675000000001</v>
      </c>
      <c r="K36" s="30">
        <f t="shared" si="1"/>
        <v>0.49341244444444443</v>
      </c>
      <c r="L36" s="39">
        <v>3680512</v>
      </c>
      <c r="M36" s="31">
        <v>4440712</v>
      </c>
      <c r="N36" s="40">
        <v>72.869291000000004</v>
      </c>
      <c r="O36" s="40">
        <v>74.629827000000006</v>
      </c>
      <c r="P36" s="40">
        <v>29.933139000000001</v>
      </c>
      <c r="Q36" s="40">
        <v>38.935549999999999</v>
      </c>
      <c r="R36" s="40">
        <v>38.909165999999999</v>
      </c>
      <c r="S36" s="40">
        <v>48.142505</v>
      </c>
      <c r="T36" s="40">
        <v>29.045563999999999</v>
      </c>
      <c r="U36" s="32">
        <v>2236</v>
      </c>
      <c r="V36" s="32">
        <v>12.8497</v>
      </c>
      <c r="X36" s="29" t="str">
        <f t="shared" si="2"/>
        <v>·</v>
      </c>
      <c r="Y36" s="30" t="str">
        <f t="shared" si="3"/>
        <v>·</v>
      </c>
      <c r="Z36" s="39"/>
      <c r="AA36" s="31"/>
      <c r="AB36" s="40"/>
      <c r="AC36" s="40"/>
      <c r="AD36" s="40"/>
      <c r="AE36" s="40"/>
      <c r="AF36" s="40"/>
      <c r="AG36" s="40"/>
      <c r="AH36" s="40"/>
      <c r="AI36" s="32"/>
      <c r="AJ36" s="32"/>
      <c r="AL36" s="33"/>
      <c r="AM36" s="33"/>
      <c r="AN36" s="33"/>
      <c r="AO36" s="33"/>
      <c r="AP36" s="33"/>
      <c r="AQ36" s="33"/>
      <c r="AR36" s="33"/>
    </row>
    <row r="37" spans="1:44" outlineLevel="1" x14ac:dyDescent="0.25">
      <c r="A37" s="59"/>
      <c r="B37" s="59" t="s">
        <v>32</v>
      </c>
      <c r="C37" s="13" t="s">
        <v>374</v>
      </c>
      <c r="D37" s="59">
        <v>9000000</v>
      </c>
      <c r="E37" s="12">
        <v>12</v>
      </c>
      <c r="F37" s="13">
        <v>32</v>
      </c>
      <c r="G37" s="13">
        <v>30</v>
      </c>
      <c r="H37" s="13">
        <v>6</v>
      </c>
      <c r="J37" s="14">
        <f t="shared" si="0"/>
        <v>6.1255350000000002</v>
      </c>
      <c r="K37" s="15">
        <f t="shared" si="1"/>
        <v>0.72598933333333338</v>
      </c>
      <c r="L37" s="37">
        <v>3680512</v>
      </c>
      <c r="M37" s="16">
        <v>6533904</v>
      </c>
      <c r="N37" s="38">
        <v>75.282990999999996</v>
      </c>
      <c r="O37" s="38">
        <v>77.426663000000005</v>
      </c>
      <c r="P37" s="38">
        <v>30.576425</v>
      </c>
      <c r="Q37" s="38">
        <v>39.031754999999997</v>
      </c>
      <c r="R37" s="38">
        <v>39.218826</v>
      </c>
      <c r="S37" s="38">
        <v>49.508674999999997</v>
      </c>
      <c r="T37" s="38">
        <v>29.755132</v>
      </c>
      <c r="U37" s="17">
        <v>6288</v>
      </c>
      <c r="V37" s="17">
        <v>49.1755</v>
      </c>
      <c r="X37" s="14" t="str">
        <f t="shared" si="2"/>
        <v>·</v>
      </c>
      <c r="Y37" s="15" t="str">
        <f t="shared" si="3"/>
        <v>·</v>
      </c>
      <c r="Z37" s="37"/>
      <c r="AA37" s="16"/>
      <c r="AB37" s="38"/>
      <c r="AC37" s="38"/>
      <c r="AD37" s="38"/>
      <c r="AE37" s="38"/>
      <c r="AF37" s="38"/>
      <c r="AG37" s="38"/>
      <c r="AH37" s="38"/>
      <c r="AI37" s="17"/>
      <c r="AJ37" s="17"/>
      <c r="AL37" s="18"/>
      <c r="AM37" s="18"/>
      <c r="AN37" s="18"/>
      <c r="AO37" s="18"/>
      <c r="AP37" s="18"/>
      <c r="AQ37" s="18"/>
      <c r="AR37" s="18"/>
    </row>
    <row r="38" spans="1:44" outlineLevel="1" x14ac:dyDescent="0.25">
      <c r="A38" s="60"/>
      <c r="B38" s="60" t="s">
        <v>32</v>
      </c>
      <c r="C38" s="28" t="s">
        <v>375</v>
      </c>
      <c r="D38" s="60">
        <v>9000000</v>
      </c>
      <c r="E38" s="27">
        <v>12</v>
      </c>
      <c r="F38" s="28">
        <v>32</v>
      </c>
      <c r="G38" s="28">
        <v>30</v>
      </c>
      <c r="H38" s="28">
        <v>8</v>
      </c>
      <c r="J38" s="29">
        <f t="shared" si="0"/>
        <v>7.8127050000000002</v>
      </c>
      <c r="K38" s="30">
        <f t="shared" si="1"/>
        <v>0.92595022222222223</v>
      </c>
      <c r="L38" s="39">
        <v>959238</v>
      </c>
      <c r="M38" s="31">
        <v>8333552</v>
      </c>
      <c r="N38" s="40">
        <v>478.51144199999999</v>
      </c>
      <c r="O38" s="40">
        <v>481.93568599999998</v>
      </c>
      <c r="P38" s="40">
        <v>30.736955999999999</v>
      </c>
      <c r="Q38" s="40">
        <v>38.970340999999998</v>
      </c>
      <c r="R38" s="40">
        <v>39.053148</v>
      </c>
      <c r="S38" s="40">
        <v>470.15078099999999</v>
      </c>
      <c r="T38" s="40">
        <v>30.722861000000002</v>
      </c>
      <c r="U38" s="32">
        <v>4290</v>
      </c>
      <c r="V38" s="32">
        <v>47.430300000000003</v>
      </c>
      <c r="X38" s="29" t="str">
        <f t="shared" si="2"/>
        <v>·</v>
      </c>
      <c r="Y38" s="30" t="str">
        <f t="shared" si="3"/>
        <v>·</v>
      </c>
      <c r="Z38" s="39"/>
      <c r="AA38" s="31"/>
      <c r="AB38" s="40"/>
      <c r="AC38" s="40"/>
      <c r="AD38" s="40"/>
      <c r="AE38" s="40"/>
      <c r="AF38" s="40"/>
      <c r="AG38" s="40"/>
      <c r="AH38" s="40"/>
      <c r="AI38" s="32"/>
      <c r="AJ38" s="32"/>
      <c r="AL38" s="33"/>
      <c r="AM38" s="33"/>
      <c r="AN38" s="33"/>
      <c r="AO38" s="33"/>
      <c r="AP38" s="33"/>
      <c r="AQ38" s="33"/>
      <c r="AR38" s="33"/>
    </row>
    <row r="39" spans="1:44" ht="15.75" customHeight="1" outlineLevel="1" thickBot="1" x14ac:dyDescent="0.3">
      <c r="A39" s="59"/>
      <c r="B39" s="41" t="s">
        <v>32</v>
      </c>
      <c r="C39" s="42" t="s">
        <v>376</v>
      </c>
      <c r="D39" s="41">
        <v>9000000</v>
      </c>
      <c r="E39" s="43">
        <v>12</v>
      </c>
      <c r="F39" s="42">
        <v>32</v>
      </c>
      <c r="G39" s="42">
        <v>30</v>
      </c>
      <c r="H39" s="42">
        <v>12</v>
      </c>
      <c r="J39" s="44">
        <f t="shared" si="0"/>
        <v>10.4939775</v>
      </c>
      <c r="K39" s="45">
        <f t="shared" si="1"/>
        <v>1.2437306666666668</v>
      </c>
      <c r="L39" s="46">
        <v>959238</v>
      </c>
      <c r="M39" s="47">
        <v>11193576</v>
      </c>
      <c r="N39" s="48">
        <v>478.51144199999999</v>
      </c>
      <c r="O39" s="48">
        <v>481.93568599999998</v>
      </c>
      <c r="P39" s="48">
        <v>31.956430000000001</v>
      </c>
      <c r="Q39" s="48">
        <v>39.105027</v>
      </c>
      <c r="R39" s="48">
        <v>39.326368000000002</v>
      </c>
      <c r="S39" s="48">
        <v>470.15078099999999</v>
      </c>
      <c r="T39" s="48">
        <v>31.941268000000001</v>
      </c>
      <c r="U39" s="49">
        <v>4703</v>
      </c>
      <c r="V39" s="49">
        <v>48.967100000000002</v>
      </c>
      <c r="X39" s="44" t="str">
        <f t="shared" si="2"/>
        <v>·</v>
      </c>
      <c r="Y39" s="45" t="str">
        <f t="shared" si="3"/>
        <v>·</v>
      </c>
      <c r="Z39" s="46"/>
      <c r="AA39" s="47"/>
      <c r="AB39" s="48"/>
      <c r="AC39" s="48"/>
      <c r="AD39" s="48"/>
      <c r="AE39" s="48"/>
      <c r="AF39" s="48"/>
      <c r="AG39" s="48"/>
      <c r="AH39" s="48"/>
      <c r="AI39" s="49"/>
      <c r="AJ39" s="49"/>
      <c r="AL39" s="50"/>
      <c r="AM39" s="50"/>
      <c r="AN39" s="50"/>
      <c r="AO39" s="50"/>
      <c r="AP39" s="50"/>
      <c r="AQ39" s="50"/>
      <c r="AR39" s="50"/>
    </row>
    <row r="40" spans="1:44" x14ac:dyDescent="0.25">
      <c r="A40" s="60"/>
      <c r="B40" s="60" t="s">
        <v>77</v>
      </c>
      <c r="C40" s="28" t="s">
        <v>372</v>
      </c>
      <c r="D40" s="60">
        <v>9000000</v>
      </c>
      <c r="E40" s="27">
        <v>12</v>
      </c>
      <c r="F40" s="28">
        <v>32</v>
      </c>
      <c r="G40" s="28">
        <v>30</v>
      </c>
      <c r="H40" s="28">
        <v>3</v>
      </c>
      <c r="J40" s="29">
        <f t="shared" si="0"/>
        <v>2.6670449999999999</v>
      </c>
      <c r="K40" s="30">
        <f t="shared" si="1"/>
        <v>0.31609422222222222</v>
      </c>
      <c r="L40" s="39">
        <v>3682048</v>
      </c>
      <c r="M40" s="31">
        <v>2844848</v>
      </c>
      <c r="N40" s="40">
        <v>73.234628000000001</v>
      </c>
      <c r="O40" s="40">
        <v>74.836501999999996</v>
      </c>
      <c r="P40" s="40">
        <v>32.335825999999997</v>
      </c>
      <c r="Q40" s="40">
        <v>42.296211</v>
      </c>
      <c r="R40" s="40">
        <v>42.623834000000002</v>
      </c>
      <c r="S40" s="40">
        <v>48.782904000000002</v>
      </c>
      <c r="T40" s="40">
        <v>31.581033999999999</v>
      </c>
      <c r="U40" s="32">
        <v>2090</v>
      </c>
      <c r="V40" s="32">
        <v>13.4473</v>
      </c>
      <c r="X40" s="29" t="str">
        <f t="shared" si="2"/>
        <v>·</v>
      </c>
      <c r="Y40" s="30" t="str">
        <f t="shared" si="3"/>
        <v>·</v>
      </c>
      <c r="Z40" s="39"/>
      <c r="AA40" s="31"/>
      <c r="AB40" s="40"/>
      <c r="AC40" s="40"/>
      <c r="AD40" s="40"/>
      <c r="AE40" s="40"/>
      <c r="AF40" s="40"/>
      <c r="AG40" s="40"/>
      <c r="AH40" s="40"/>
      <c r="AI40" s="32"/>
      <c r="AJ40" s="32"/>
      <c r="AL40" s="33" t="str">
        <f t="array" ref="AL40">IF( OR(AND(ISBLANK(M40:M44)),AND(ISBLANK(AA40:AA44)), AND(ISBLANK(N40:N44)),AND(ISBLANK(AB40:AB44))), "·", bdRateExtend( M40:M44,N40:N44, AA40:AA44,AB40:AB44))</f>
        <v>·</v>
      </c>
      <c r="AM40" s="33" t="str">
        <f t="array" ref="AM40">IF( OR(AND(ISBLANK(M40:M44)),AND(ISBLANK(AA40:AA44)), AND(ISBLANK(O40:O44)),AND(ISBLANK(AC40:AC44))), "·", bdRateExtend( M40:M44,O40:O44, AA40:AA44,AC40:AC44))</f>
        <v>·</v>
      </c>
      <c r="AN40" s="33" t="str">
        <f t="array" ref="AN40">IF( OR(AND(ISBLANK(M40:M44)),AND(ISBLANK(AA40:AA44)), AND(ISBLANK(P40:P44)),AND(ISBLANK(AD40:AD44))), "·", bdRateExtend( M40:M44,P40:P44, AA40:AA44,AD40:AD44))</f>
        <v>·</v>
      </c>
      <c r="AO40" s="33" t="str">
        <f t="array" ref="AO40">IF( OR(AND(ISBLANK(M40:M44)),AND(ISBLANK(AA40:AA44)), AND(ISBLANK(Q40:Q44)),AND(ISBLANK(AE40:AE44))), "·", bdRateExtend( M40:M44,Q40:Q44, AA40:AA44,AE40:AE44))</f>
        <v>·</v>
      </c>
      <c r="AP40" s="33" t="str">
        <f t="array" ref="AP40">IF( OR(AND(ISBLANK(M40:M44)),AND(ISBLANK(AA40:AA44)), AND(ISBLANK(R40:R44)),AND(ISBLANK(AF40:AF44))), "·", bdRateExtend( M40:M44,R40:R44, AA40:AA44,AF40:AF44))</f>
        <v>·</v>
      </c>
      <c r="AQ40" s="33" t="str">
        <f t="array" ref="AQ40">IF( OR(AND(ISBLANK(M40:M44)),AND(ISBLANK(AA40:AA44)), AND(ISBLANK(S40:S44)),AND(ISBLANK(AG40:AG44))), "·", bdRateExtend( M40:M44,S40:S44, AA40:AA44,AG40:AG44))</f>
        <v>·</v>
      </c>
      <c r="AR40" s="33" t="str">
        <f t="array" ref="AR40">IF( OR(AND(ISBLANK(M40:M44)),AND(ISBLANK(AA40:AA44)), AND(ISBLANK(T40:T44)),AND(ISBLANK(AH40:AH44))), "·", bdRateExtend( M40:M44,T40:T44, AA40:AA44,AH40:AH44))</f>
        <v>·</v>
      </c>
    </row>
    <row r="41" spans="1:44" outlineLevel="1" x14ac:dyDescent="0.25">
      <c r="A41" s="59"/>
      <c r="B41" s="59" t="s">
        <v>77</v>
      </c>
      <c r="C41" s="13" t="s">
        <v>373</v>
      </c>
      <c r="D41" s="59">
        <v>9000000</v>
      </c>
      <c r="E41" s="12">
        <v>12</v>
      </c>
      <c r="F41" s="13">
        <v>32</v>
      </c>
      <c r="G41" s="13">
        <v>30</v>
      </c>
      <c r="H41" s="13">
        <v>4</v>
      </c>
      <c r="J41" s="14">
        <f t="shared" si="0"/>
        <v>3.6524999999999999</v>
      </c>
      <c r="K41" s="15">
        <f t="shared" si="1"/>
        <v>0.43288888888888888</v>
      </c>
      <c r="L41" s="37">
        <v>3682048</v>
      </c>
      <c r="M41" s="16">
        <v>3896000</v>
      </c>
      <c r="N41" s="38">
        <v>74.073025999999999</v>
      </c>
      <c r="O41" s="38">
        <v>75.794794999999993</v>
      </c>
      <c r="P41" s="38">
        <v>32.677562000000002</v>
      </c>
      <c r="Q41" s="38">
        <v>42.437815999999998</v>
      </c>
      <c r="R41" s="38">
        <v>42.833362999999999</v>
      </c>
      <c r="S41" s="38">
        <v>49.344562000000003</v>
      </c>
      <c r="T41" s="38">
        <v>31.890602000000001</v>
      </c>
      <c r="U41" s="17">
        <v>2026</v>
      </c>
      <c r="V41" s="17">
        <v>13.2941</v>
      </c>
      <c r="X41" s="14" t="str">
        <f t="shared" si="2"/>
        <v>·</v>
      </c>
      <c r="Y41" s="15" t="str">
        <f t="shared" si="3"/>
        <v>·</v>
      </c>
      <c r="Z41" s="37"/>
      <c r="AA41" s="16"/>
      <c r="AB41" s="38"/>
      <c r="AC41" s="38"/>
      <c r="AD41" s="38"/>
      <c r="AE41" s="38"/>
      <c r="AF41" s="38"/>
      <c r="AG41" s="38"/>
      <c r="AH41" s="38"/>
      <c r="AI41" s="17"/>
      <c r="AJ41" s="17"/>
      <c r="AL41" s="18"/>
      <c r="AM41" s="18"/>
      <c r="AN41" s="18"/>
      <c r="AO41" s="18"/>
      <c r="AP41" s="18"/>
      <c r="AQ41" s="18"/>
      <c r="AR41" s="18"/>
    </row>
    <row r="42" spans="1:44" outlineLevel="1" x14ac:dyDescent="0.25">
      <c r="A42" s="60"/>
      <c r="B42" s="60" t="s">
        <v>77</v>
      </c>
      <c r="C42" s="28" t="s">
        <v>374</v>
      </c>
      <c r="D42" s="60">
        <v>9000000</v>
      </c>
      <c r="E42" s="27">
        <v>12</v>
      </c>
      <c r="F42" s="28">
        <v>32</v>
      </c>
      <c r="G42" s="28">
        <v>30</v>
      </c>
      <c r="H42" s="28">
        <v>6</v>
      </c>
      <c r="J42" s="29">
        <f t="shared" si="0"/>
        <v>5.4745799999999996</v>
      </c>
      <c r="K42" s="30">
        <f t="shared" si="1"/>
        <v>0.64883911111111114</v>
      </c>
      <c r="L42" s="39">
        <v>3682048</v>
      </c>
      <c r="M42" s="31">
        <v>5839552</v>
      </c>
      <c r="N42" s="40">
        <v>76.289846999999995</v>
      </c>
      <c r="O42" s="40">
        <v>78.427846000000002</v>
      </c>
      <c r="P42" s="40">
        <v>33.259630999999999</v>
      </c>
      <c r="Q42" s="40">
        <v>42.698155999999997</v>
      </c>
      <c r="R42" s="40">
        <v>43.106876</v>
      </c>
      <c r="S42" s="40">
        <v>50.608578999999999</v>
      </c>
      <c r="T42" s="40">
        <v>32.559596999999997</v>
      </c>
      <c r="U42" s="32">
        <v>5432</v>
      </c>
      <c r="V42" s="32">
        <v>48.358800000000002</v>
      </c>
      <c r="X42" s="29" t="str">
        <f t="shared" si="2"/>
        <v>·</v>
      </c>
      <c r="Y42" s="30" t="str">
        <f t="shared" si="3"/>
        <v>·</v>
      </c>
      <c r="Z42" s="39"/>
      <c r="AA42" s="31"/>
      <c r="AB42" s="40"/>
      <c r="AC42" s="40"/>
      <c r="AD42" s="40"/>
      <c r="AE42" s="40"/>
      <c r="AF42" s="40"/>
      <c r="AG42" s="40"/>
      <c r="AH42" s="40"/>
      <c r="AI42" s="32"/>
      <c r="AJ42" s="32"/>
      <c r="AL42" s="33"/>
      <c r="AM42" s="33"/>
      <c r="AN42" s="33"/>
      <c r="AO42" s="33"/>
      <c r="AP42" s="33"/>
      <c r="AQ42" s="33"/>
      <c r="AR42" s="33"/>
    </row>
    <row r="43" spans="1:44" outlineLevel="1" x14ac:dyDescent="0.25">
      <c r="A43" s="59"/>
      <c r="B43" s="59" t="s">
        <v>77</v>
      </c>
      <c r="C43" s="13" t="s">
        <v>375</v>
      </c>
      <c r="D43" s="59">
        <v>9000000</v>
      </c>
      <c r="E43" s="12">
        <v>12</v>
      </c>
      <c r="F43" s="13">
        <v>32</v>
      </c>
      <c r="G43" s="13">
        <v>30</v>
      </c>
      <c r="H43" s="13">
        <v>8</v>
      </c>
      <c r="J43" s="14">
        <f t="shared" si="0"/>
        <v>7.0436775000000003</v>
      </c>
      <c r="K43" s="15">
        <f t="shared" si="1"/>
        <v>0.83480622222222223</v>
      </c>
      <c r="L43" s="37">
        <v>959624</v>
      </c>
      <c r="M43" s="16">
        <v>7513256</v>
      </c>
      <c r="N43" s="38">
        <v>479.66687100000001</v>
      </c>
      <c r="O43" s="38">
        <v>483.90806500000002</v>
      </c>
      <c r="P43" s="38">
        <v>33.590739999999997</v>
      </c>
      <c r="Q43" s="38">
        <v>42.716636000000001</v>
      </c>
      <c r="R43" s="38">
        <v>43.218313000000002</v>
      </c>
      <c r="S43" s="38">
        <v>480.41473100000002</v>
      </c>
      <c r="T43" s="38">
        <v>33.545110999999999</v>
      </c>
      <c r="U43" s="17">
        <v>3929</v>
      </c>
      <c r="V43" s="17">
        <v>47.286000000000001</v>
      </c>
      <c r="X43" s="14" t="str">
        <f t="shared" si="2"/>
        <v>·</v>
      </c>
      <c r="Y43" s="15" t="str">
        <f t="shared" si="3"/>
        <v>·</v>
      </c>
      <c r="Z43" s="37"/>
      <c r="AA43" s="16"/>
      <c r="AB43" s="38"/>
      <c r="AC43" s="38"/>
      <c r="AD43" s="38"/>
      <c r="AE43" s="38"/>
      <c r="AF43" s="38"/>
      <c r="AG43" s="38"/>
      <c r="AH43" s="38"/>
      <c r="AI43" s="17"/>
      <c r="AJ43" s="17"/>
      <c r="AL43" s="18"/>
      <c r="AM43" s="18"/>
      <c r="AN43" s="18"/>
      <c r="AO43" s="18"/>
      <c r="AP43" s="18"/>
      <c r="AQ43" s="18"/>
      <c r="AR43" s="18"/>
    </row>
    <row r="44" spans="1:44" ht="15.75" customHeight="1" outlineLevel="1" thickBot="1" x14ac:dyDescent="0.3">
      <c r="A44" s="19"/>
      <c r="B44" s="19" t="s">
        <v>77</v>
      </c>
      <c r="C44" s="21" t="s">
        <v>376</v>
      </c>
      <c r="D44" s="19">
        <v>9000000</v>
      </c>
      <c r="E44" s="20">
        <v>12</v>
      </c>
      <c r="F44" s="21">
        <v>32</v>
      </c>
      <c r="G44" s="21">
        <v>30</v>
      </c>
      <c r="H44" s="21">
        <v>12</v>
      </c>
      <c r="J44" s="22">
        <f t="shared" si="0"/>
        <v>9.9525074999999994</v>
      </c>
      <c r="K44" s="23">
        <f t="shared" si="1"/>
        <v>1.1795564444444444</v>
      </c>
      <c r="L44" s="51">
        <v>959624</v>
      </c>
      <c r="M44" s="24">
        <v>10616008</v>
      </c>
      <c r="N44" s="52">
        <v>479.66687100000001</v>
      </c>
      <c r="O44" s="52">
        <v>483.90806500000002</v>
      </c>
      <c r="P44" s="52">
        <v>34.801234999999998</v>
      </c>
      <c r="Q44" s="52">
        <v>43.000894000000002</v>
      </c>
      <c r="R44" s="52">
        <v>43.604501999999997</v>
      </c>
      <c r="S44" s="52">
        <v>480.41473100000002</v>
      </c>
      <c r="T44" s="52">
        <v>34.747517999999999</v>
      </c>
      <c r="U44" s="25">
        <v>4318</v>
      </c>
      <c r="V44" s="25">
        <v>48.009700000000002</v>
      </c>
      <c r="X44" s="22" t="str">
        <f t="shared" si="2"/>
        <v>·</v>
      </c>
      <c r="Y44" s="23" t="str">
        <f t="shared" si="3"/>
        <v>·</v>
      </c>
      <c r="Z44" s="51"/>
      <c r="AA44" s="24"/>
      <c r="AB44" s="52"/>
      <c r="AC44" s="52"/>
      <c r="AD44" s="52"/>
      <c r="AE44" s="52"/>
      <c r="AF44" s="52"/>
      <c r="AG44" s="52"/>
      <c r="AH44" s="52"/>
      <c r="AI44" s="25"/>
      <c r="AJ44" s="25"/>
      <c r="AL44" s="26"/>
      <c r="AM44" s="26"/>
      <c r="AN44" s="26"/>
      <c r="AO44" s="26"/>
      <c r="AP44" s="26"/>
      <c r="AQ44" s="26"/>
      <c r="AR44" s="26"/>
    </row>
    <row r="45" spans="1:44" x14ac:dyDescent="0.25">
      <c r="B45" s="34" t="s">
        <v>7</v>
      </c>
      <c r="K45" s="35">
        <f>AVERAGE(K5:K14)</f>
        <v>0.95254358011546159</v>
      </c>
      <c r="Y45" s="35"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4" t="s">
        <v>8</v>
      </c>
      <c r="K46" s="35">
        <f>AVERAGE(K15:K24)</f>
        <v>0.91440131060578178</v>
      </c>
      <c r="Y46" s="35"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4" t="s">
        <v>9</v>
      </c>
      <c r="K47" s="35">
        <f>AVERAGE(K25:K44)</f>
        <v>1.1497028066613715</v>
      </c>
      <c r="Y47" s="35"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ht="15.75" customHeight="1" x14ac:dyDescent="0.25">
      <c r="B48" s="34" t="s">
        <v>10</v>
      </c>
      <c r="K48" s="35">
        <f>AVERAGE(K5:K44)</f>
        <v>1.0415876260109962</v>
      </c>
      <c r="Y48" s="35"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ht="15.75" customHeight="1" x14ac:dyDescent="0.25">
      <c r="A49" s="34" t="s">
        <v>178</v>
      </c>
      <c r="B49" s="34" t="s">
        <v>179</v>
      </c>
      <c r="U49" s="36">
        <f>SUM(U5:U14,U15:U24,U25:U44)</f>
        <v>123565</v>
      </c>
      <c r="V49" s="36">
        <f>SUM(V5:V14,V15:V24,V25:V44)</f>
        <v>1042.424</v>
      </c>
      <c r="AI49" s="36">
        <f>SUM(AI5:AI14,AI15:AI24,AI25:AI44)</f>
        <v>0</v>
      </c>
      <c r="AJ49" s="36">
        <f>SUM(AJ5:AJ14,AJ15:AJ24,AJ25:AJ44)</f>
        <v>0</v>
      </c>
    </row>
    <row r="50" spans="1:36" x14ac:dyDescent="0.25">
      <c r="B50" s="34" t="s">
        <v>180</v>
      </c>
      <c r="AI50" s="55">
        <f>AI49/U49</f>
        <v>0</v>
      </c>
      <c r="AJ50" s="55">
        <f>AJ49/V49</f>
        <v>0</v>
      </c>
    </row>
    <row r="54" spans="1:36" ht="15.75" customHeight="1" x14ac:dyDescent="0.25"/>
    <row r="59" spans="1:36" ht="15.75" customHeight="1" x14ac:dyDescent="0.25"/>
    <row r="64" spans="1:36" ht="15.75" customHeight="1" x14ac:dyDescent="0.25"/>
    <row r="69" ht="15.75" customHeight="1" x14ac:dyDescent="0.25"/>
    <row r="74" ht="15.75" customHeight="1" x14ac:dyDescent="0.25"/>
    <row r="79" ht="15.75" customHeight="1" x14ac:dyDescent="0.25"/>
    <row r="84" ht="15.75" customHeight="1" x14ac:dyDescent="0.25"/>
    <row r="89" ht="15.75" customHeight="1" x14ac:dyDescent="0.25"/>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2022-08-13T18:57:48Z</dcterms:modified>
</cp:coreProperties>
</file>