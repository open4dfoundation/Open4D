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1" defaultThemeVersion="124226"/>
  <mc:AlternateContent xmlns:mc="http://schemas.openxmlformats.org/markup-compatibility/2006">
    <mc:Choice Requires="x15">
      <x15ac:absPath xmlns:x15ac="http://schemas.microsoft.com/office/spreadsheetml/2010/11/ac" url="X:\gitv20\tmv20_v20\scripts\results\"/>
    </mc:Choice>
  </mc:AlternateContent>
  <xr:revisionPtr revIDLastSave="0" documentId="13_ncr:1_{9987F1F5-056E-40EE-8A2B-68E17C17DEA5}" xr6:coauthVersionLast="47" xr6:coauthVersionMax="47" xr10:uidLastSave="{00000000-0000-0000-0000-000000000000}"/>
  <bookViews>
    <workbookView xWindow="57480" yWindow="-45" windowWidth="29040" windowHeight="17520" xr2:uid="{00000000-000D-0000-FFFF-FFFF00000000}"/>
  </bookViews>
  <sheets>
    <sheet name="Summary" sheetId="1" r:id="rId1"/>
    <sheet name="Graphs" sheetId="2" r:id="rId2"/>
    <sheet name="C0 lossless AI" sheetId="3" r:id="rId3"/>
    <sheet name="names" sheetId="4" state="hidden" r:id="rId4"/>
    <sheet name="C1 lossy AI" sheetId="5" r:id="rId5"/>
    <sheet name="C2 lossy RA" sheetId="6" r:id="rId6"/>
  </sheets>
  <functionGroups builtInGroupCount="19"/>
  <definedNames>
    <definedName name="all_cols" localSheetId="1">Graphs!$I$2:$I$49</definedName>
    <definedName name="filter_cols" localSheetId="1">IF(ISREF(Graphs!filter_cols_),Graphs!filter_cols_,Graphs!all_cols)</definedName>
    <definedName name="filter_cols_" localSheetId="1">INDIRECT(HLOOKUP(Graphs!$B$1,Graphs!$M$1:$ZZ$2,2,0))</definedName>
    <definedName name="graph_a_A_title" localSheetId="1">INDIRECT(VLOOKUP("name.A."&amp;Graphs!$B$1,names!$A:$B,2,0))</definedName>
    <definedName name="graph_a_B_title" localSheetId="1">INDIRECT(VLOOKUP("name.B."&amp;Graphs!$B$1,names!$A:$B,2,0))</definedName>
    <definedName name="graph_a_title" localSheetId="1">CONCATENATE(Graphs!graph_a_y_title, " (Graph a)")</definedName>
    <definedName name="graph_a_x_range_A" localSheetId="1">IF(ISREF(Graphs!graph_a_x_range_A_),Graphs!graph_a_x_range_A_,{0})</definedName>
    <definedName name="graph_a_x_range_A_" localSheetId="1">INDEX(INDIRECT(VLOOKUP("range." &amp; Graphs!$B$1 &amp;"."&amp; Graphs!$B$2, names!$A:$B,2,0)), 0, VLOOKUP("col."&amp; Graphs!$B$1 &amp;".A."&amp; Graphs!$B$4, names!$A:$B,2,0))</definedName>
    <definedName name="graph_a_x_range_B" localSheetId="1">IF(ISREF(Graphs!graph_a_x_range_B_),Graphs!graph_a_x_range_B_,{0})</definedName>
    <definedName name="graph_a_x_range_B_" localSheetId="1">INDEX(INDIRECT(VLOOKUP("range." &amp; Graphs!$B$1 &amp;"."&amp; Graphs!$B$2, names!$A:$B,2,0)), 0, VLOOKUP("col."&amp; Graphs!$B$1 &amp;".B."&amp; Graphs!$B$4, names!$A:$B,2,0))</definedName>
    <definedName name="graph_a_x_title" localSheetId="1">OFFSET(Graphs!all_cols, MATCH(Graphs!$B$4, Graphs!all_cols, 0)-1,1,1,1)</definedName>
    <definedName name="graph_a_y_range_A" localSheetId="1">IF(ISREF(Graphs!graph_a_y_range_A_),Graphs!graph_a_y_range_A_,{0})</definedName>
    <definedName name="graph_a_y_range_A_" localSheetId="1">INDEX(INDIRECT(VLOOKUP("range." &amp; Graphs!$B$1 &amp;"."&amp; Graphs!$B$2, names!$A:$B,2,0)), 0, VLOOKUP("col."&amp; Graphs!$B$1 &amp;".A."&amp; Graphs!$D$4, names!$A:$B,2,0))</definedName>
    <definedName name="graph_a_y_range_B" localSheetId="1">IF(ISREF(Graphs!graph_a_y_range_B_),Graphs!graph_a_y_range_B_,{0})</definedName>
    <definedName name="graph_a_y_range_B_" localSheetId="1">INDEX(INDIRECT(VLOOKUP("range." &amp; Graphs!$B$1 &amp;"."&amp; Graphs!$B$2, names!$A:$B,2,0)), 0, VLOOKUP("col."&amp; Graphs!$B$1 &amp;".B."&amp; Graphs!$D$4, names!$A:$B,2,0))</definedName>
    <definedName name="graph_a_y_title" localSheetId="1">OFFSET(Graphs!all_cols, MATCH(Graphs!$D$4, Graphs!all_cols, 0)-1,1,1,1)</definedName>
    <definedName name="graph_b_A_title" localSheetId="1">INDIRECT(VLOOKUP("name.A."&amp;Graphs!$B$1,names!$A:$B,2,0))</definedName>
    <definedName name="graph_b_B_title" localSheetId="1">INDIRECT(VLOOKUP("name.B."&amp;Graphs!$B$1,names!$A:$B,2,0))</definedName>
    <definedName name="graph_b_title" localSheetId="1">CONCATENATE(Graphs!graph_b_y_title, " (Graph b)")</definedName>
    <definedName name="graph_b_x_range_A" localSheetId="1">IF(ISREF(Graphs!graph_b_x_range_A_),Graphs!graph_b_x_range_A_,{0})</definedName>
    <definedName name="graph_b_x_range_A_" localSheetId="1">INDEX(INDIRECT(VLOOKUP("range." &amp; Graphs!$B$1 &amp;"."&amp; Graphs!$B$2, names!$A:$B,2,0)), 0, VLOOKUP("col."&amp; Graphs!$B$1 &amp;".A."&amp; Graphs!$B$5, names!$A:$B,2,0))</definedName>
    <definedName name="graph_b_x_range_B" localSheetId="1">IF(ISREF(Graphs!graph_b_x_range_B_),Graphs!graph_b_x_range_B_,{0})</definedName>
    <definedName name="graph_b_x_range_B_" localSheetId="1">INDEX(INDIRECT(VLOOKUP("range." &amp; Graphs!$B$1 &amp;"."&amp; Graphs!$B$2, names!$A:$B,2,0)), 0, VLOOKUP("col."&amp; Graphs!$B$1 &amp;".B."&amp; Graphs!$B$5, names!$A:$B,2,0))</definedName>
    <definedName name="graph_b_x_title" localSheetId="1">OFFSET(Graphs!all_cols, MATCH(Graphs!$B$5, Graphs!all_cols, 0)-1,1,1,1)</definedName>
    <definedName name="graph_b_y_range_A" localSheetId="1">IF(ISREF(Graphs!graph_b_y_range_A_),Graphs!graph_b_y_range_A_,{0})</definedName>
    <definedName name="graph_b_y_range_A_" localSheetId="1">INDEX(INDIRECT(VLOOKUP("range." &amp; Graphs!$B$1 &amp;"."&amp; Graphs!$B$2, names!$A:$B,2,0)), 0, VLOOKUP("col."&amp; Graphs!$B$1 &amp;".A."&amp; Graphs!$D$5, names!$A:$B,2,0))</definedName>
    <definedName name="graph_b_y_range_B" localSheetId="1">IF(ISREF(Graphs!graph_b_y_range_B_),Graphs!graph_b_y_range_B_,{0})</definedName>
    <definedName name="graph_b_y_range_B_" localSheetId="1">INDEX(INDIRECT(VLOOKUP("range." &amp; Graphs!$B$1 &amp;"."&amp; Graphs!$B$2, names!$A:$B,2,0)), 0, VLOOKUP("col."&amp; Graphs!$B$1 &amp;".B."&amp; Graphs!$D$5, names!$A:$B,2,0))</definedName>
    <definedName name="graph_b_y_title" localSheetId="1">OFFSET(Graphs!all_cols, MATCH(Graphs!$D$5, Graphs!all_cols, 0)-1,1,1,1)</definedName>
    <definedName name="graph_c_A_title" localSheetId="1">INDIRECT(VLOOKUP("name.A."&amp;Graphs!$B$1,names!$A:$B,2,0))</definedName>
    <definedName name="graph_c_B_title" localSheetId="1">INDIRECT(VLOOKUP("name.B."&amp;Graphs!$B$1,names!$A:$B,2,0))</definedName>
    <definedName name="graph_c_title" localSheetId="1">CONCATENATE(Graphs!graph_c_y_title, " (Graph c)")</definedName>
    <definedName name="graph_c_x_range_A" localSheetId="1">IF(ISREF(Graphs!graph_c_x_range_A_),Graphs!graph_c_x_range_A_,{0})</definedName>
    <definedName name="graph_c_x_range_A_" localSheetId="1">INDEX(INDIRECT(VLOOKUP("range." &amp; Graphs!$B$1 &amp;"."&amp; Graphs!$B$2, names!$A:$B,2,0)), 0, VLOOKUP("col."&amp; Graphs!$B$1 &amp;".A."&amp; Graphs!$B$6, names!$A:$B,2,0))</definedName>
    <definedName name="graph_c_x_range_B" localSheetId="1">IF(ISREF(Graphs!graph_c_x_range_B_),Graphs!graph_c_x_range_B_,{0})</definedName>
    <definedName name="graph_c_x_range_B_" localSheetId="1">INDEX(INDIRECT(VLOOKUP("range." &amp; Graphs!$B$1 &amp;"."&amp; Graphs!$B$2, names!$A:$B,2,0)), 0, VLOOKUP("col."&amp; Graphs!$B$1 &amp;".B."&amp; Graphs!$B$6, names!$A:$B,2,0))</definedName>
    <definedName name="graph_c_x_title" localSheetId="1">OFFSET(Graphs!all_cols, MATCH(Graphs!$B$6, Graphs!all_cols, 0)-1,1,1,1)</definedName>
    <definedName name="graph_c_y_range_A" localSheetId="1">IF(ISREF(Graphs!graph_c_y_range_A_),Graphs!graph_c_y_range_A_,{0})</definedName>
    <definedName name="graph_c_y_range_A_" localSheetId="1">INDEX(INDIRECT(VLOOKUP("range." &amp; Graphs!$B$1 &amp;"."&amp; Graphs!$B$2, names!$A:$B,2,0)), 0, VLOOKUP("col."&amp; Graphs!$B$1 &amp;".A."&amp; Graphs!$D$6, names!$A:$B,2,0))</definedName>
    <definedName name="graph_c_y_range_B" localSheetId="1">IF(ISREF(Graphs!graph_c_y_range_B_),Graphs!graph_c_y_range_B_,{0})</definedName>
    <definedName name="graph_c_y_range_B_" localSheetId="1">INDEX(INDIRECT(VLOOKUP("range." &amp; Graphs!$B$1 &amp;"."&amp; Graphs!$B$2, names!$A:$B,2,0)), 0, VLOOKUP("col."&amp; Graphs!$B$1 &amp;".B."&amp; Graphs!$D$6, names!$A:$B,2,0))</definedName>
    <definedName name="graph_c_y_title" localSheetId="1">OFFSET(Graphs!all_cols, MATCH(Graphs!$D$6, Graphs!all_cols, 0)-1,1,1,1)</definedName>
    <definedName name="graph_d_A_title" localSheetId="1">INDIRECT(VLOOKUP("name.A."&amp;Graphs!$B$1,names!$A:$B,2,0))</definedName>
    <definedName name="graph_d_B_title" localSheetId="1">INDIRECT(VLOOKUP("name.B."&amp;Graphs!$B$1,names!$A:$B,2,0))</definedName>
    <definedName name="graph_d_title" localSheetId="1">CONCATENATE(Graphs!graph_d_y_title, " (Graph d)")</definedName>
    <definedName name="graph_d_x_range_A" localSheetId="1">IF(ISREF(Graphs!graph_d_x_range_A_),Graphs!graph_d_x_range_A_,{0})</definedName>
    <definedName name="graph_d_x_range_A_" localSheetId="1">INDEX(INDIRECT(VLOOKUP("range." &amp; Graphs!$B$1 &amp;"."&amp; Graphs!$B$2, names!$A:$B,2,0)), 0, VLOOKUP("col."&amp; Graphs!$B$1 &amp;".A."&amp; Graphs!$B$7, names!$A:$B,2,0))</definedName>
    <definedName name="graph_d_x_range_B" localSheetId="1">IF(ISREF(Graphs!graph_d_x_range_B_),Graphs!graph_d_x_range_B_,{0})</definedName>
    <definedName name="graph_d_x_range_B_" localSheetId="1">INDEX(INDIRECT(VLOOKUP("range." &amp; Graphs!$B$1 &amp;"."&amp; Graphs!$B$2, names!$A:$B,2,0)), 0, VLOOKUP("col."&amp; Graphs!$B$1 &amp;".B."&amp; Graphs!$B$7, names!$A:$B,2,0))</definedName>
    <definedName name="graph_d_x_title" localSheetId="1">OFFSET(Graphs!all_cols, MATCH(Graphs!$B$7, Graphs!all_cols, 0)-1,1,1,1)</definedName>
    <definedName name="graph_d_y_range_A" localSheetId="1">IF(ISREF(Graphs!graph_d_y_range_A_),Graphs!graph_d_y_range_A_,{0})</definedName>
    <definedName name="graph_d_y_range_A_" localSheetId="1">INDEX(INDIRECT(VLOOKUP("range." &amp; Graphs!$B$1 &amp;"."&amp; Graphs!$B$2, names!$A:$B,2,0)), 0, VLOOKUP("col."&amp; Graphs!$B$1 &amp;".A."&amp; Graphs!$D$7, names!$A:$B,2,0))</definedName>
    <definedName name="graph_d_y_range_B" localSheetId="1">IF(ISREF(Graphs!graph_d_y_range_B_),Graphs!graph_d_y_range_B_,{0})</definedName>
    <definedName name="graph_d_y_range_B_" localSheetId="1">INDEX(INDIRECT(VLOOKUP("range." &amp; Graphs!$B$1 &amp;"."&amp; Graphs!$B$2, names!$A:$B,2,0)), 0, VLOOKUP("col."&amp; Graphs!$B$1 &amp;".B."&amp; Graphs!$D$7, names!$A:$B,2,0))</definedName>
    <definedName name="graph_d_y_title" localSheetId="1">OFFSET(Graphs!all_cols, MATCH(Graphs!$D$7, Graphs!all_cols, 0)-1,1,1,1)</definedName>
    <definedName name="graph_e_A_title" localSheetId="1">INDIRECT(VLOOKUP("name.A."&amp;Graphs!$B$1,names!$A:$B,2,0))</definedName>
    <definedName name="graph_e_B_title" localSheetId="1">INDIRECT(VLOOKUP("name.B."&amp;Graphs!$B$1,names!$A:$B,2,0))</definedName>
    <definedName name="graph_e_title" localSheetId="1">CONCATENATE(Graphs!graph_e_y_title, " (Graph e)")</definedName>
    <definedName name="graph_e_x_range_A" localSheetId="1">IF(ISREF(Graphs!graph_e_x_range_A_),Graphs!graph_e_x_range_A_,{0})</definedName>
    <definedName name="graph_e_x_range_A_" localSheetId="1">INDEX(INDIRECT(VLOOKUP("range." &amp; Graphs!$B$1 &amp;"."&amp; Graphs!$B$2, names!$A:$B,2,0)), 0, VLOOKUP("col."&amp; Graphs!$B$1 &amp;".A."&amp; Graphs!$B$8, names!$A:$B,2,0))</definedName>
    <definedName name="graph_e_x_range_B" localSheetId="1">IF(ISREF(Graphs!graph_e_x_range_B_),Graphs!graph_e_x_range_B_,{0})</definedName>
    <definedName name="graph_e_x_range_B_" localSheetId="1">INDEX(INDIRECT(VLOOKUP("range." &amp; Graphs!$B$1 &amp;"."&amp; Graphs!$B$2, names!$A:$B,2,0)), 0, VLOOKUP("col."&amp; Graphs!$B$1 &amp;".B."&amp; Graphs!$B$8, names!$A:$B,2,0))</definedName>
    <definedName name="graph_e_x_title" localSheetId="1">OFFSET(Graphs!all_cols, MATCH(Graphs!$B$8, Graphs!all_cols, 0)-1,1,1,1)</definedName>
    <definedName name="graph_e_y_range_A" localSheetId="1">IF(ISREF(Graphs!graph_e_y_range_A_),Graphs!graph_e_y_range_A_,{0})</definedName>
    <definedName name="graph_e_y_range_A_" localSheetId="1">INDEX(INDIRECT(VLOOKUP("range." &amp; Graphs!$B$1 &amp;"."&amp; Graphs!$B$2, names!$A:$B,2,0)), 0, VLOOKUP("col."&amp; Graphs!$B$1 &amp;".A."&amp; Graphs!$D$8, names!$A:$B,2,0))</definedName>
    <definedName name="graph_e_y_range_B" localSheetId="1">IF(ISREF(Graphs!graph_e_y_range_B_),Graphs!graph_e_y_range_B_,{0})</definedName>
    <definedName name="graph_e_y_range_B_" localSheetId="1">INDEX(INDIRECT(VLOOKUP("range." &amp; Graphs!$B$1 &amp;"."&amp; Graphs!$B$2, names!$A:$B,2,0)), 0, VLOOKUP("col."&amp; Graphs!$B$1 &amp;".B."&amp; Graphs!$D$8, names!$A:$B,2,0))</definedName>
    <definedName name="graph_e_y_title" localSheetId="1">OFFSET(Graphs!all_cols, MATCH(Graphs!$D$8, Graphs!all_cols, 0)-1,1,1,1)</definedName>
    <definedName name="graph_f_A_title" localSheetId="1">INDIRECT(VLOOKUP("name.A."&amp;Graphs!$B$1,names!$A:$B,2,0))</definedName>
    <definedName name="graph_f_B_title" localSheetId="1">INDIRECT(VLOOKUP("name.B."&amp;Graphs!$B$1,names!$A:$B,2,0))</definedName>
    <definedName name="graph_f_title" localSheetId="1">CONCATENATE(Graphs!graph_f_y_title, " (Graph f)")</definedName>
    <definedName name="graph_f_x_range_A" localSheetId="1">IF(ISREF(Graphs!graph_f_x_range_A_),Graphs!graph_f_x_range_A_,{0})</definedName>
    <definedName name="graph_f_x_range_A_" localSheetId="1">INDEX(INDIRECT(VLOOKUP("range." &amp; Graphs!$B$1 &amp;"."&amp; Graphs!$B$2, names!$A:$B,2,0)), 0, VLOOKUP("col."&amp; Graphs!$B$1 &amp;".A."&amp; Graphs!$B$9, names!$A:$B,2,0))</definedName>
    <definedName name="graph_f_x_range_B" localSheetId="1">IF(ISREF(Graphs!graph_f_x_range_B_),Graphs!graph_f_x_range_B_,{0})</definedName>
    <definedName name="graph_f_x_range_B_" localSheetId="1">INDEX(INDIRECT(VLOOKUP("range." &amp; Graphs!$B$1 &amp;"."&amp; Graphs!$B$2, names!$A:$B,2,0)), 0, VLOOKUP("col."&amp; Graphs!$B$1 &amp;".B."&amp; Graphs!$B$9, names!$A:$B,2,0))</definedName>
    <definedName name="graph_f_x_title" localSheetId="1">OFFSET(Graphs!all_cols, MATCH(Graphs!$B$9, Graphs!all_cols, 0)-1,1,1,1)</definedName>
    <definedName name="graph_f_y_range_A" localSheetId="1">IF(ISREF(Graphs!graph_f_y_range_A_),Graphs!graph_f_y_range_A_,{0})</definedName>
    <definedName name="graph_f_y_range_A_" localSheetId="1">INDEX(INDIRECT(VLOOKUP("range." &amp; Graphs!$B$1 &amp;"."&amp; Graphs!$B$2, names!$A:$B,2,0)), 0, VLOOKUP("col."&amp; Graphs!$B$1 &amp;".A."&amp; Graphs!$D$9, names!$A:$B,2,0))</definedName>
    <definedName name="graph_f_y_range_B" localSheetId="1">IF(ISREF(Graphs!graph_f_y_range_B_),Graphs!graph_f_y_range_B_,{0})</definedName>
    <definedName name="graph_f_y_range_B_" localSheetId="1">INDEX(INDIRECT(VLOOKUP("range." &amp; Graphs!$B$1 &amp;"."&amp; Graphs!$B$2, names!$A:$B,2,0)), 0, VLOOKUP("col."&amp; Graphs!$B$1 &amp;".B."&amp; Graphs!$D$9, names!$A:$B,2,0))</definedName>
    <definedName name="graph_f_y_title" localSheetId="1">OFFSET(Graphs!all_cols, MATCH(Graphs!$D$9, Graphs!all_cols, 0)-1,1,1,1)</definedName>
    <definedName name="graph_g_A_title" localSheetId="1">INDIRECT(VLOOKUP("name.A."&amp;Graphs!$B$1,names!$A:$B,2,0))</definedName>
    <definedName name="graph_g_B_title" localSheetId="1">INDIRECT(VLOOKUP("name.B."&amp;Graphs!$B$1,names!$A:$B,2,0))</definedName>
    <definedName name="graph_g_title" localSheetId="1">CONCATENATE(Graphs!graph_g_y_title, " (Graph g)")</definedName>
    <definedName name="graph_g_x_range_A" localSheetId="1">IF(ISREF(Graphs!graph_g_x_range_A_),Graphs!graph_g_x_range_A_,{0})</definedName>
    <definedName name="graph_g_x_range_A_" localSheetId="1">INDEX(INDIRECT(VLOOKUP("range." &amp; Graphs!$B$1 &amp;"."&amp; Graphs!$B$2, names!$A:$B,2,0)), 0, VLOOKUP("col."&amp; Graphs!$B$1 &amp;".A."&amp; Graphs!$B$10, names!$A:$B,2,0))</definedName>
    <definedName name="graph_g_x_range_B" localSheetId="1">IF(ISREF(Graphs!graph_g_x_range_B_),Graphs!graph_g_x_range_B_,{0})</definedName>
    <definedName name="graph_g_x_range_B_" localSheetId="1">INDEX(INDIRECT(VLOOKUP("range." &amp; Graphs!$B$1 &amp;"."&amp; Graphs!$B$2, names!$A:$B,2,0)), 0, VLOOKUP("col."&amp; Graphs!$B$1 &amp;".B."&amp; Graphs!$B$10, names!$A:$B,2,0))</definedName>
    <definedName name="graph_g_x_title" localSheetId="1">OFFSET(Graphs!all_cols, MATCH(Graphs!$B$10, Graphs!all_cols, 0)-1,1,1,1)</definedName>
    <definedName name="graph_g_y_range_A" localSheetId="1">IF(ISREF(Graphs!graph_g_y_range_A_),Graphs!graph_g_y_range_A_,{0})</definedName>
    <definedName name="graph_g_y_range_A_" localSheetId="1">INDEX(INDIRECT(VLOOKUP("range." &amp; Graphs!$B$1 &amp;"."&amp; Graphs!$B$2, names!$A:$B,2,0)), 0, VLOOKUP("col."&amp; Graphs!$B$1 &amp;".A."&amp; Graphs!$D$10, names!$A:$B,2,0))</definedName>
    <definedName name="graph_g_y_range_B" localSheetId="1">IF(ISREF(Graphs!graph_g_y_range_B_),Graphs!graph_g_y_range_B_,{0})</definedName>
    <definedName name="graph_g_y_range_B_" localSheetId="1">INDEX(INDIRECT(VLOOKUP("range." &amp; Graphs!$B$1 &amp;"."&amp; Graphs!$B$2, names!$A:$B,2,0)), 0, VLOOKUP("col."&amp; Graphs!$B$1 &amp;".B."&amp; Graphs!$D$10, names!$A:$B,2,0))</definedName>
    <definedName name="graph_g_y_title" localSheetId="1">OFFSET(Graphs!all_cols, MATCH(Graphs!$D$10, Graphs!all_cols, 0)-1,1,1,1)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J49" i="6" l="1"/>
  <c r="AI49" i="6"/>
  <c r="AI50" i="6" s="1"/>
  <c r="C35" i="1" s="1"/>
  <c r="V49" i="6"/>
  <c r="U49" i="6"/>
  <c r="Y44" i="6"/>
  <c r="X44" i="6"/>
  <c r="K44" i="6"/>
  <c r="J44" i="6"/>
  <c r="Y43" i="6"/>
  <c r="X43" i="6"/>
  <c r="K43" i="6"/>
  <c r="J43" i="6"/>
  <c r="Y42" i="6"/>
  <c r="X42" i="6"/>
  <c r="K42" i="6"/>
  <c r="J42" i="6"/>
  <c r="Y41" i="6"/>
  <c r="X41" i="6"/>
  <c r="K41" i="6"/>
  <c r="J41" i="6"/>
  <c r="Y40" i="6"/>
  <c r="X40" i="6"/>
  <c r="K40" i="6"/>
  <c r="J40" i="6"/>
  <c r="Y39" i="6"/>
  <c r="X39" i="6"/>
  <c r="K39" i="6"/>
  <c r="J39" i="6"/>
  <c r="Y38" i="6"/>
  <c r="X38" i="6"/>
  <c r="K38" i="6"/>
  <c r="J38" i="6"/>
  <c r="Y37" i="6"/>
  <c r="X37" i="6"/>
  <c r="K37" i="6"/>
  <c r="J37" i="6"/>
  <c r="Y36" i="6"/>
  <c r="X36" i="6"/>
  <c r="K36" i="6"/>
  <c r="J36" i="6"/>
  <c r="Y35" i="6"/>
  <c r="X35" i="6"/>
  <c r="K35" i="6"/>
  <c r="J35" i="6"/>
  <c r="Y34" i="6"/>
  <c r="X34" i="6"/>
  <c r="K34" i="6"/>
  <c r="J34" i="6"/>
  <c r="Y33" i="6"/>
  <c r="X33" i="6"/>
  <c r="K33" i="6"/>
  <c r="J33" i="6"/>
  <c r="Y32" i="6"/>
  <c r="X32" i="6"/>
  <c r="K32" i="6"/>
  <c r="J32" i="6"/>
  <c r="Y31" i="6"/>
  <c r="X31" i="6"/>
  <c r="K31" i="6"/>
  <c r="J31" i="6"/>
  <c r="Y30" i="6"/>
  <c r="X30" i="6"/>
  <c r="K30" i="6"/>
  <c r="J30" i="6"/>
  <c r="Y29" i="6"/>
  <c r="X29" i="6"/>
  <c r="K29" i="6"/>
  <c r="J29" i="6"/>
  <c r="Y28" i="6"/>
  <c r="X28" i="6"/>
  <c r="K28" i="6"/>
  <c r="J28" i="6"/>
  <c r="Y27" i="6"/>
  <c r="Y47" i="6" s="1"/>
  <c r="X27" i="6"/>
  <c r="K27" i="6"/>
  <c r="J27" i="6"/>
  <c r="Y26" i="6"/>
  <c r="X26" i="6"/>
  <c r="K26" i="6"/>
  <c r="J26" i="6"/>
  <c r="Y25" i="6"/>
  <c r="X25" i="6"/>
  <c r="K25" i="6"/>
  <c r="J25" i="6"/>
  <c r="Y24" i="6"/>
  <c r="X24" i="6"/>
  <c r="K24" i="6"/>
  <c r="J24" i="6"/>
  <c r="Y23" i="6"/>
  <c r="X23" i="6"/>
  <c r="K23" i="6"/>
  <c r="J23" i="6"/>
  <c r="Y22" i="6"/>
  <c r="X22" i="6"/>
  <c r="K22" i="6"/>
  <c r="J22" i="6"/>
  <c r="Y21" i="6"/>
  <c r="X21" i="6"/>
  <c r="K21" i="6"/>
  <c r="J21" i="6"/>
  <c r="Y20" i="6"/>
  <c r="X20" i="6"/>
  <c r="K20" i="6"/>
  <c r="J20" i="6"/>
  <c r="Y19" i="6"/>
  <c r="X19" i="6"/>
  <c r="K19" i="6"/>
  <c r="J19" i="6"/>
  <c r="Y18" i="6"/>
  <c r="X18" i="6"/>
  <c r="K18" i="6"/>
  <c r="J18" i="6"/>
  <c r="Y17" i="6"/>
  <c r="X17" i="6"/>
  <c r="K17" i="6"/>
  <c r="J17" i="6"/>
  <c r="Y16" i="6"/>
  <c r="X16" i="6"/>
  <c r="K16" i="6"/>
  <c r="J16" i="6"/>
  <c r="Y15" i="6"/>
  <c r="X15" i="6"/>
  <c r="K15" i="6"/>
  <c r="J15" i="6"/>
  <c r="Y14" i="6"/>
  <c r="X14" i="6"/>
  <c r="K14" i="6"/>
  <c r="J14" i="6"/>
  <c r="Y13" i="6"/>
  <c r="X13" i="6"/>
  <c r="K13" i="6"/>
  <c r="J13" i="6"/>
  <c r="Y12" i="6"/>
  <c r="X12" i="6"/>
  <c r="K12" i="6"/>
  <c r="J12" i="6"/>
  <c r="Y11" i="6"/>
  <c r="X11" i="6"/>
  <c r="K11" i="6"/>
  <c r="J11" i="6"/>
  <c r="Y10" i="6"/>
  <c r="X10" i="6"/>
  <c r="K10" i="6"/>
  <c r="J10" i="6"/>
  <c r="Y9" i="6"/>
  <c r="X9" i="6"/>
  <c r="K9" i="6"/>
  <c r="J9" i="6"/>
  <c r="Y8" i="6"/>
  <c r="X8" i="6"/>
  <c r="K8" i="6"/>
  <c r="J8" i="6"/>
  <c r="Y7" i="6"/>
  <c r="X7" i="6"/>
  <c r="K7" i="6"/>
  <c r="J7" i="6"/>
  <c r="Y6" i="6"/>
  <c r="X6" i="6"/>
  <c r="K6" i="6"/>
  <c r="J6" i="6"/>
  <c r="Y5" i="6"/>
  <c r="X5" i="6"/>
  <c r="K5" i="6"/>
  <c r="J5" i="6"/>
  <c r="X1" i="6"/>
  <c r="J1" i="6"/>
  <c r="AJ49" i="5"/>
  <c r="AJ50" i="5" s="1"/>
  <c r="C24" i="1" s="1"/>
  <c r="AI49" i="5"/>
  <c r="AI50" i="5" s="1"/>
  <c r="C23" i="1" s="1"/>
  <c r="V49" i="5"/>
  <c r="U49" i="5"/>
  <c r="Y44" i="5"/>
  <c r="X44" i="5"/>
  <c r="K44" i="5"/>
  <c r="J44" i="5"/>
  <c r="Y43" i="5"/>
  <c r="X43" i="5"/>
  <c r="K43" i="5"/>
  <c r="J43" i="5"/>
  <c r="Y42" i="5"/>
  <c r="X42" i="5"/>
  <c r="K42" i="5"/>
  <c r="J42" i="5"/>
  <c r="Y41" i="5"/>
  <c r="X41" i="5"/>
  <c r="K41" i="5"/>
  <c r="J41" i="5"/>
  <c r="Y40" i="5"/>
  <c r="X40" i="5"/>
  <c r="K40" i="5"/>
  <c r="J40" i="5"/>
  <c r="Y39" i="5"/>
  <c r="X39" i="5"/>
  <c r="K39" i="5"/>
  <c r="J39" i="5"/>
  <c r="Y38" i="5"/>
  <c r="X38" i="5"/>
  <c r="K38" i="5"/>
  <c r="J38" i="5"/>
  <c r="Y37" i="5"/>
  <c r="X37" i="5"/>
  <c r="K37" i="5"/>
  <c r="J37" i="5"/>
  <c r="Y36" i="5"/>
  <c r="X36" i="5"/>
  <c r="K36" i="5"/>
  <c r="J36" i="5"/>
  <c r="Y35" i="5"/>
  <c r="X35" i="5"/>
  <c r="K35" i="5"/>
  <c r="J35" i="5"/>
  <c r="Y34" i="5"/>
  <c r="X34" i="5"/>
  <c r="K34" i="5"/>
  <c r="J34" i="5"/>
  <c r="Y33" i="5"/>
  <c r="X33" i="5"/>
  <c r="K33" i="5"/>
  <c r="J33" i="5"/>
  <c r="Y32" i="5"/>
  <c r="X32" i="5"/>
  <c r="K32" i="5"/>
  <c r="J32" i="5"/>
  <c r="Y31" i="5"/>
  <c r="X31" i="5"/>
  <c r="K31" i="5"/>
  <c r="J31" i="5"/>
  <c r="Y30" i="5"/>
  <c r="X30" i="5"/>
  <c r="K30" i="5"/>
  <c r="J30" i="5"/>
  <c r="Y29" i="5"/>
  <c r="X29" i="5"/>
  <c r="K29" i="5"/>
  <c r="J29" i="5"/>
  <c r="Y28" i="5"/>
  <c r="X28" i="5"/>
  <c r="K28" i="5"/>
  <c r="J28" i="5"/>
  <c r="Y27" i="5"/>
  <c r="X27" i="5"/>
  <c r="K27" i="5"/>
  <c r="J27" i="5"/>
  <c r="Y26" i="5"/>
  <c r="X26" i="5"/>
  <c r="K26" i="5"/>
  <c r="J26" i="5"/>
  <c r="Y25" i="5"/>
  <c r="X25" i="5"/>
  <c r="K25" i="5"/>
  <c r="J25" i="5"/>
  <c r="Y24" i="5"/>
  <c r="X24" i="5"/>
  <c r="K24" i="5"/>
  <c r="J24" i="5"/>
  <c r="Y23" i="5"/>
  <c r="X23" i="5"/>
  <c r="K23" i="5"/>
  <c r="J23" i="5"/>
  <c r="Y22" i="5"/>
  <c r="X22" i="5"/>
  <c r="K22" i="5"/>
  <c r="J22" i="5"/>
  <c r="Y21" i="5"/>
  <c r="X21" i="5"/>
  <c r="K21" i="5"/>
  <c r="J21" i="5"/>
  <c r="Y20" i="5"/>
  <c r="X20" i="5"/>
  <c r="K20" i="5"/>
  <c r="J20" i="5"/>
  <c r="Y19" i="5"/>
  <c r="X19" i="5"/>
  <c r="K19" i="5"/>
  <c r="J19" i="5"/>
  <c r="Y18" i="5"/>
  <c r="X18" i="5"/>
  <c r="K18" i="5"/>
  <c r="J18" i="5"/>
  <c r="Y17" i="5"/>
  <c r="X17" i="5"/>
  <c r="K17" i="5"/>
  <c r="J17" i="5"/>
  <c r="Y16" i="5"/>
  <c r="X16" i="5"/>
  <c r="K16" i="5"/>
  <c r="J16" i="5"/>
  <c r="Y15" i="5"/>
  <c r="Y46" i="5" s="1"/>
  <c r="X15" i="5"/>
  <c r="K15" i="5"/>
  <c r="J15" i="5"/>
  <c r="Y14" i="5"/>
  <c r="X14" i="5"/>
  <c r="K14" i="5"/>
  <c r="J14" i="5"/>
  <c r="Y13" i="5"/>
  <c r="X13" i="5"/>
  <c r="K13" i="5"/>
  <c r="J13" i="5"/>
  <c r="Y12" i="5"/>
  <c r="X12" i="5"/>
  <c r="K12" i="5"/>
  <c r="J12" i="5"/>
  <c r="Y11" i="5"/>
  <c r="X11" i="5"/>
  <c r="K11" i="5"/>
  <c r="J11" i="5"/>
  <c r="Y10" i="5"/>
  <c r="X10" i="5"/>
  <c r="K10" i="5"/>
  <c r="J10" i="5"/>
  <c r="Y9" i="5"/>
  <c r="X9" i="5"/>
  <c r="K9" i="5"/>
  <c r="J9" i="5"/>
  <c r="Y8" i="5"/>
  <c r="X8" i="5"/>
  <c r="K8" i="5"/>
  <c r="J8" i="5"/>
  <c r="Y7" i="5"/>
  <c r="X7" i="5"/>
  <c r="K7" i="5"/>
  <c r="J7" i="5"/>
  <c r="Y6" i="5"/>
  <c r="Y45" i="5" s="1"/>
  <c r="X6" i="5"/>
  <c r="K6" i="5"/>
  <c r="J6" i="5"/>
  <c r="Y5" i="5"/>
  <c r="X5" i="5"/>
  <c r="K5" i="5"/>
  <c r="J5" i="5"/>
  <c r="X1" i="5"/>
  <c r="J1" i="5"/>
  <c r="Q18" i="3"/>
  <c r="R17" i="3"/>
  <c r="R18" i="3" s="1"/>
  <c r="C14" i="1" s="1"/>
  <c r="Q17" i="3"/>
  <c r="L17" i="3"/>
  <c r="K17" i="3"/>
  <c r="I14" i="3"/>
  <c r="T12" i="3"/>
  <c r="O12" i="3"/>
  <c r="N12" i="3"/>
  <c r="I12" i="3"/>
  <c r="H12" i="3"/>
  <c r="O11" i="3"/>
  <c r="T11" i="3" s="1"/>
  <c r="N11" i="3"/>
  <c r="I11" i="3"/>
  <c r="H11" i="3"/>
  <c r="T10" i="3"/>
  <c r="O10" i="3"/>
  <c r="N10" i="3"/>
  <c r="I10" i="3"/>
  <c r="H10" i="3"/>
  <c r="O9" i="3"/>
  <c r="T9" i="3" s="1"/>
  <c r="N9" i="3"/>
  <c r="I9" i="3"/>
  <c r="I15" i="3" s="1"/>
  <c r="H9" i="3"/>
  <c r="T8" i="3"/>
  <c r="O8" i="3"/>
  <c r="N8" i="3"/>
  <c r="I8" i="3"/>
  <c r="H8" i="3"/>
  <c r="O7" i="3"/>
  <c r="T7" i="3" s="1"/>
  <c r="N7" i="3"/>
  <c r="I7" i="3"/>
  <c r="H7" i="3"/>
  <c r="T6" i="3"/>
  <c r="O6" i="3"/>
  <c r="N6" i="3"/>
  <c r="I6" i="3"/>
  <c r="H6" i="3"/>
  <c r="O5" i="3"/>
  <c r="O13" i="3" s="1"/>
  <c r="N5" i="3"/>
  <c r="I5" i="3"/>
  <c r="I13" i="3" s="1"/>
  <c r="H5" i="3"/>
  <c r="B1" i="2"/>
  <c r="C13" i="1"/>
  <c r="AN40" i="6" a="1"/>
  <c r="AR35" i="6" a="1"/>
  <c r="AP25" i="6" a="1"/>
  <c r="AL15" i="6" a="1"/>
  <c r="AO10" i="6" a="1"/>
  <c r="AQ40" i="5" a="1"/>
  <c r="AQ25" i="5" a="1"/>
  <c r="AO15" i="5" a="1"/>
  <c r="AR10" i="5" a="1"/>
  <c r="AM30" i="5" a="1"/>
  <c r="AQ10" i="5" a="1"/>
  <c r="AM25" i="5" a="1"/>
  <c r="AQ35" i="6" a="1"/>
  <c r="AO25" i="6" a="1"/>
  <c r="AR20" i="6" a="1"/>
  <c r="AN10" i="6" a="1"/>
  <c r="AR5" i="6" a="1"/>
  <c r="AP25" i="5" a="1"/>
  <c r="AR20" i="5" a="1"/>
  <c r="AM40" i="6" a="1"/>
  <c r="AP35" i="6" a="1"/>
  <c r="AN25" i="6" a="1"/>
  <c r="AQ20" i="6" a="1"/>
  <c r="AQ5" i="6" a="1"/>
  <c r="AL30" i="5" a="1"/>
  <c r="AO25" i="5" a="1"/>
  <c r="AM15" i="5" a="1"/>
  <c r="AP10" i="5" a="1"/>
  <c r="AP5" i="6" a="1"/>
  <c r="AR35" i="5" a="1"/>
  <c r="AO10" i="5" a="1"/>
  <c r="AL40" i="6" a="1"/>
  <c r="AO35" i="6" a="1"/>
  <c r="AM25" i="6" a="1"/>
  <c r="AP20" i="6" a="1"/>
  <c r="AM10" i="6" a="1"/>
  <c r="AO40" i="5" a="1"/>
  <c r="AN25" i="5" a="1"/>
  <c r="AN35" i="6" a="1"/>
  <c r="AR30" i="6" a="1"/>
  <c r="AL25" i="6" a="1"/>
  <c r="AL10" i="6" a="1"/>
  <c r="AO5" i="6" a="1"/>
  <c r="AN40" i="5" a="1"/>
  <c r="AQ35" i="5" a="1"/>
  <c r="AR5" i="5" a="1"/>
  <c r="AM35" i="6" a="1"/>
  <c r="AO20" i="6" a="1"/>
  <c r="AR15" i="6" a="1"/>
  <c r="AN5" i="6" a="1"/>
  <c r="AM40" i="5" a="1"/>
  <c r="AP35" i="5" a="1"/>
  <c r="AQ20" i="5" a="1"/>
  <c r="AN10" i="5" a="1"/>
  <c r="AQ5" i="5" a="1"/>
  <c r="AR10" i="6" a="1"/>
  <c r="AQ15" i="5" a="1"/>
  <c r="AQ25" i="6" a="1"/>
  <c r="AO30" i="5" a="1"/>
  <c r="AQ30" i="6" a="1"/>
  <c r="AN20" i="6" a="1"/>
  <c r="AQ15" i="6" a="1"/>
  <c r="AM5" i="6" a="1"/>
  <c r="AL40" i="5" a="1"/>
  <c r="AO35" i="5" a="1"/>
  <c r="AL25" i="5" a="1"/>
  <c r="AP20" i="5" a="1"/>
  <c r="AM10" i="5" a="1"/>
  <c r="AP5" i="5" a="1"/>
  <c r="AP30" i="5" a="1"/>
  <c r="AM30" i="6" a="1"/>
  <c r="AQ10" i="6" a="1"/>
  <c r="AM5" i="5" a="1"/>
  <c r="AL35" i="6" a="1"/>
  <c r="AP30" i="6" a="1"/>
  <c r="AM20" i="6" a="1"/>
  <c r="AP15" i="6" a="1"/>
  <c r="AR30" i="5" a="1"/>
  <c r="AO20" i="5" a="1"/>
  <c r="AL10" i="5" a="1"/>
  <c r="AO5" i="5" a="1"/>
  <c r="AQ40" i="6" a="1"/>
  <c r="AM35" i="5" a="1"/>
  <c r="AN5" i="5" a="1"/>
  <c r="AN15" i="6" a="1"/>
  <c r="AL20" i="5" a="1"/>
  <c r="AR40" i="6" a="1"/>
  <c r="AO30" i="6" a="1"/>
  <c r="AL20" i="6" a="1"/>
  <c r="AO15" i="6" a="1"/>
  <c r="AL5" i="6" a="1"/>
  <c r="AN35" i="5" a="1"/>
  <c r="AQ30" i="5" a="1"/>
  <c r="AN20" i="5" a="1"/>
  <c r="AR15" i="5" a="1"/>
  <c r="AN30" i="6" a="1"/>
  <c r="AR25" i="6" a="1"/>
  <c r="AM20" i="5" a="1"/>
  <c r="AP40" i="6" a="1"/>
  <c r="AL35" i="5" a="1"/>
  <c r="AO40" i="6" a="1"/>
  <c r="AL30" i="6" a="1"/>
  <c r="AM15" i="6" a="1"/>
  <c r="AP10" i="6" a="1"/>
  <c r="AR40" i="5" a="1"/>
  <c r="AN30" i="5" a="1"/>
  <c r="AR25" i="5" a="1"/>
  <c r="AP15" i="5" a="1"/>
  <c r="AL5" i="5" a="1"/>
  <c r="AP40" i="5" a="1"/>
  <c r="AN15" i="5" a="1"/>
  <c r="AL15" i="5" a="1"/>
  <c r="Y47" i="5" l="1"/>
  <c r="Y48" i="5"/>
  <c r="K48" i="5"/>
  <c r="K47" i="5"/>
  <c r="K46" i="5"/>
  <c r="Y46" i="6"/>
  <c r="Y48" i="6"/>
  <c r="AJ50" i="6"/>
  <c r="C36" i="1" s="1"/>
  <c r="K46" i="6"/>
  <c r="K48" i="6"/>
  <c r="K47" i="6"/>
  <c r="AL15" i="5"/>
  <c r="AN15" i="5"/>
  <c r="AP40" i="5"/>
  <c r="AL5" i="5"/>
  <c r="AP15" i="5"/>
  <c r="AR25" i="5"/>
  <c r="AN30" i="5"/>
  <c r="AR40" i="5"/>
  <c r="AP10" i="6"/>
  <c r="AM15" i="6"/>
  <c r="AL30" i="6"/>
  <c r="AO40" i="6"/>
  <c r="AL35" i="5"/>
  <c r="AP40" i="6"/>
  <c r="AM20" i="5"/>
  <c r="AR25" i="6"/>
  <c r="AN30" i="6"/>
  <c r="AR15" i="5"/>
  <c r="AN20" i="5"/>
  <c r="AQ30" i="5"/>
  <c r="AN35" i="5"/>
  <c r="AL5" i="6"/>
  <c r="AO15" i="6"/>
  <c r="AL20" i="6"/>
  <c r="AO30" i="6"/>
  <c r="AR40" i="6"/>
  <c r="AL20" i="5"/>
  <c r="AN15" i="6"/>
  <c r="AN5" i="5"/>
  <c r="AM35" i="5"/>
  <c r="AQ40" i="6"/>
  <c r="AO5" i="5"/>
  <c r="AL10" i="5"/>
  <c r="AL45" i="5" s="1"/>
  <c r="C19" i="1" s="1"/>
  <c r="AO20" i="5"/>
  <c r="AR30" i="5"/>
  <c r="AP15" i="6"/>
  <c r="AM20" i="6"/>
  <c r="AP30" i="6"/>
  <c r="AL35" i="6"/>
  <c r="AM5" i="5"/>
  <c r="AQ10" i="6"/>
  <c r="AM30" i="6"/>
  <c r="AP30" i="5"/>
  <c r="AP5" i="5"/>
  <c r="AM10" i="5"/>
  <c r="AP20" i="5"/>
  <c r="AL25" i="5"/>
  <c r="AL47" i="5" s="1"/>
  <c r="C21" i="1" s="1"/>
  <c r="AO35" i="5"/>
  <c r="AL40" i="5"/>
  <c r="AM5" i="6"/>
  <c r="AQ15" i="6"/>
  <c r="AN20" i="6"/>
  <c r="AQ30" i="6"/>
  <c r="AO30" i="5"/>
  <c r="AQ25" i="6"/>
  <c r="AQ15" i="5"/>
  <c r="AR10" i="6"/>
  <c r="AQ5" i="5"/>
  <c r="AN10" i="5"/>
  <c r="AQ20" i="5"/>
  <c r="AP35" i="5"/>
  <c r="AM40" i="5"/>
  <c r="AN5" i="6"/>
  <c r="AR15" i="6"/>
  <c r="AO20" i="6"/>
  <c r="AM35" i="6"/>
  <c r="AR5" i="5"/>
  <c r="AQ35" i="5"/>
  <c r="AN40" i="5"/>
  <c r="AO5" i="6"/>
  <c r="AL10" i="6"/>
  <c r="AL25" i="6"/>
  <c r="AR30" i="6"/>
  <c r="AN35" i="6"/>
  <c r="AN25" i="5"/>
  <c r="AO40" i="5"/>
  <c r="AM10" i="6"/>
  <c r="AP20" i="6"/>
  <c r="AM25" i="6"/>
  <c r="AO35" i="6"/>
  <c r="AL40" i="6"/>
  <c r="AO10" i="5"/>
  <c r="AR35" i="5"/>
  <c r="AP5" i="6"/>
  <c r="AP10" i="5"/>
  <c r="AM15" i="5"/>
  <c r="AO25" i="5"/>
  <c r="AL30" i="5"/>
  <c r="AQ5" i="6"/>
  <c r="AQ45" i="6" s="1"/>
  <c r="H31" i="1" s="1"/>
  <c r="AQ20" i="6"/>
  <c r="AN25" i="6"/>
  <c r="AP35" i="6"/>
  <c r="AM40" i="6"/>
  <c r="AR20" i="5"/>
  <c r="AP25" i="5"/>
  <c r="AR5" i="6"/>
  <c r="AN10" i="6"/>
  <c r="AR20" i="6"/>
  <c r="AO25" i="6"/>
  <c r="AQ35" i="6"/>
  <c r="AM25" i="5"/>
  <c r="AQ10" i="5"/>
  <c r="AM30" i="5"/>
  <c r="AR10" i="5"/>
  <c r="AO15" i="5"/>
  <c r="AQ25" i="5"/>
  <c r="AQ40" i="5"/>
  <c r="AO10" i="6"/>
  <c r="AL15" i="6"/>
  <c r="AP25" i="6"/>
  <c r="AP47" i="6" s="1"/>
  <c r="G33" i="1" s="1"/>
  <c r="AR35" i="6"/>
  <c r="AN40" i="6"/>
  <c r="T13" i="3"/>
  <c r="C9" i="1" s="1"/>
  <c r="O14" i="3"/>
  <c r="T14" i="3" s="1"/>
  <c r="C10" i="1" s="1"/>
  <c r="K45" i="5"/>
  <c r="O15" i="3"/>
  <c r="T15" i="3" s="1"/>
  <c r="C11" i="1" s="1"/>
  <c r="K45" i="6"/>
  <c r="Y45" i="6"/>
  <c r="I16" i="3"/>
  <c r="O16" i="3"/>
  <c r="T16" i="3" s="1"/>
  <c r="C12" i="1" s="1"/>
  <c r="T5" i="3"/>
  <c r="AM46" i="5" l="1"/>
  <c r="D20" i="1" s="1"/>
  <c r="AQ48" i="5"/>
  <c r="H22" i="1" s="1"/>
  <c r="AP47" i="5"/>
  <c r="G21" i="1" s="1"/>
  <c r="AM48" i="5"/>
  <c r="D22" i="1" s="1"/>
  <c r="AR45" i="5"/>
  <c r="I19" i="1" s="1"/>
  <c r="AN48" i="5"/>
  <c r="E22" i="1" s="1"/>
  <c r="AR48" i="5"/>
  <c r="I22" i="1" s="1"/>
  <c r="AP45" i="5"/>
  <c r="G19" i="1" s="1"/>
  <c r="AQ45" i="5"/>
  <c r="H19" i="1" s="1"/>
  <c r="AP48" i="5"/>
  <c r="G22" i="1" s="1"/>
  <c r="AN45" i="6"/>
  <c r="E31" i="1" s="1"/>
  <c r="AP46" i="6"/>
  <c r="G32" i="1" s="1"/>
  <c r="AP48" i="6"/>
  <c r="G34" i="1" s="1"/>
  <c r="AL47" i="6"/>
  <c r="C33" i="1" s="1"/>
  <c r="AO46" i="6"/>
  <c r="F32" i="1" s="1"/>
  <c r="AQ48" i="6"/>
  <c r="H34" i="1" s="1"/>
  <c r="AN47" i="6"/>
  <c r="E33" i="1" s="1"/>
  <c r="AL48" i="6"/>
  <c r="C34" i="1" s="1"/>
  <c r="AP45" i="6"/>
  <c r="G31" i="1" s="1"/>
  <c r="AO45" i="6"/>
  <c r="F31" i="1" s="1"/>
  <c r="AM46" i="6"/>
  <c r="D32" i="1" s="1"/>
  <c r="AR48" i="6"/>
  <c r="I34" i="1" s="1"/>
  <c r="AL45" i="6"/>
  <c r="C31" i="1" s="1"/>
  <c r="AR47" i="6"/>
  <c r="I33" i="1" s="1"/>
  <c r="AM45" i="6"/>
  <c r="D31" i="1" s="1"/>
  <c r="AQ47" i="5"/>
  <c r="H21" i="1" s="1"/>
  <c r="AO48" i="5"/>
  <c r="F22" i="1" s="1"/>
  <c r="AM47" i="6"/>
  <c r="D33" i="1" s="1"/>
  <c r="AO46" i="5"/>
  <c r="F20" i="1" s="1"/>
  <c r="AQ47" i="6"/>
  <c r="H33" i="1" s="1"/>
  <c r="AM48" i="6"/>
  <c r="D34" i="1" s="1"/>
  <c r="AL48" i="5"/>
  <c r="C22" i="1" s="1"/>
  <c r="AR46" i="5"/>
  <c r="I20" i="1" s="1"/>
  <c r="AR47" i="5"/>
  <c r="I21" i="1" s="1"/>
  <c r="AO48" i="6"/>
  <c r="F34" i="1" s="1"/>
  <c r="AN45" i="5"/>
  <c r="E19" i="1" s="1"/>
  <c r="AQ46" i="5"/>
  <c r="H20" i="1" s="1"/>
  <c r="AM45" i="5"/>
  <c r="D19" i="1" s="1"/>
  <c r="AN48" i="6"/>
  <c r="E34" i="1" s="1"/>
  <c r="AM47" i="5"/>
  <c r="D21" i="1" s="1"/>
  <c r="AP46" i="5"/>
  <c r="G20" i="1" s="1"/>
  <c r="AR46" i="6"/>
  <c r="I32" i="1" s="1"/>
  <c r="AN46" i="6"/>
  <c r="E32" i="1" s="1"/>
  <c r="AR45" i="6"/>
  <c r="I31" i="1" s="1"/>
  <c r="AO47" i="6"/>
  <c r="F33" i="1" s="1"/>
  <c r="AO47" i="5"/>
  <c r="F21" i="1" s="1"/>
  <c r="AN47" i="5"/>
  <c r="E21" i="1" s="1"/>
  <c r="AQ46" i="6"/>
  <c r="H32" i="1" s="1"/>
  <c r="AN46" i="5"/>
  <c r="E20" i="1" s="1"/>
  <c r="AO45" i="5"/>
  <c r="F19" i="1" s="1"/>
  <c r="AL46" i="6"/>
  <c r="C32" i="1" s="1"/>
  <c r="AL46" i="5"/>
  <c r="C20" i="1" s="1"/>
</calcChain>
</file>

<file path=xl/sharedStrings.xml><?xml version="1.0" encoding="utf-8"?>
<sst xmlns="http://schemas.openxmlformats.org/spreadsheetml/2006/main" count="806" uniqueCount="379">
  <si>
    <t>Reference:</t>
  </si>
  <si>
    <t>Tested:</t>
  </si>
  <si>
    <t>All Intra</t>
  </si>
  <si>
    <t>C0_ai</t>
  </si>
  <si>
    <t>lossless geometry, lossless attributes [all intra]</t>
  </si>
  <si>
    <t>bpif ratio [%]</t>
  </si>
  <si>
    <t>Total</t>
  </si>
  <si>
    <t>Cat1-A average</t>
  </si>
  <si>
    <t>Cat1-B average</t>
  </si>
  <si>
    <t>Cat1-C average</t>
  </si>
  <si>
    <t>Overall average</t>
  </si>
  <si>
    <t>Avg. Enc Time [%]</t>
  </si>
  <si>
    <t>Avg. Dec Time [%]</t>
  </si>
  <si>
    <t>C1_ai</t>
  </si>
  <si>
    <t>lossy geometry, lossy attributes [all intra]</t>
  </si>
  <si>
    <t>Pointcloud-based BD‑Rate [%]</t>
  </si>
  <si>
    <t>Image-based BD‑Rate [%]</t>
  </si>
  <si>
    <t>D1</t>
  </si>
  <si>
    <t>D2</t>
  </si>
  <si>
    <t>Luma</t>
  </si>
  <si>
    <t>Chroma Cb</t>
  </si>
  <si>
    <t>Chroma Cr</t>
  </si>
  <si>
    <t>Geom</t>
  </si>
  <si>
    <t>Inter, Random Access</t>
  </si>
  <si>
    <t>C2_ra</t>
  </si>
  <si>
    <t>lossy geometry, lossy attributes [inter, random access]</t>
  </si>
  <si>
    <t>Condition:</t>
  </si>
  <si>
    <t>← Select this …</t>
  </si>
  <si>
    <t>Columns</t>
  </si>
  <si>
    <t>C1 lossy AI</t>
  </si>
  <si>
    <t>C2 lossy RA</t>
  </si>
  <si>
    <t>Sequence:</t>
  </si>
  <si>
    <t>mitch_voxelised</t>
  </si>
  <si>
    <t>← … then this</t>
  </si>
  <si>
    <t>dec.cb-hpsnr</t>
  </si>
  <si>
    <t>Chroma Cb EtE Hausdorff PSNR [dB]</t>
  </si>
  <si>
    <t>names!$B$79:$N$79</t>
  </si>
  <si>
    <t>names!$B$131:$N$131</t>
  </si>
  <si>
    <t>dec.cb-psnr</t>
  </si>
  <si>
    <t>Chroma Cb End-to-end PSNR [dB]</t>
  </si>
  <si>
    <t>longdress_voxelised</t>
  </si>
  <si>
    <t>X:</t>
  </si>
  <si>
    <t>eqn.bitrate</t>
  </si>
  <si>
    <t>Y:</t>
  </si>
  <si>
    <t>dec.pc-d1-psnr</t>
  </si>
  <si>
    <t>← settings for graph a</t>
  </si>
  <si>
    <t>dec.cr-hpsnr</t>
  </si>
  <si>
    <t>Chroma Cr EtE Hausdorff PSNR [dB]</t>
  </si>
  <si>
    <t>soldier_voxelised</t>
  </si>
  <si>
    <t>dec.pc-d2-psnr</t>
  </si>
  <si>
    <t>← settings for graph b</t>
  </si>
  <si>
    <t>dec.cr-psnr</t>
  </si>
  <si>
    <t>Chroma Cr End-to-end PSNR [dB]</t>
  </si>
  <si>
    <t>basketball_player_voxelised</t>
  </si>
  <si>
    <t>dec.img-geom-psnr</t>
  </si>
  <si>
    <t>← settings for graph c</t>
  </si>
  <si>
    <t>dec.d1-mse</t>
  </si>
  <si>
    <t>D1 Geometry MSE</t>
  </si>
  <si>
    <t>dancer_voxelised</t>
  </si>
  <si>
    <t>dec.pc-y-psnr</t>
  </si>
  <si>
    <t>← settings for graph d</t>
  </si>
  <si>
    <t>dec.d1-psnr</t>
  </si>
  <si>
    <t>D1 Geometry PSNR [dB]</t>
  </si>
  <si>
    <t>football_voxelised</t>
  </si>
  <si>
    <t>dec.pc-cb-psnr</t>
  </si>
  <si>
    <t>← settings for graph e</t>
  </si>
  <si>
    <t>dec.d2-mse</t>
  </si>
  <si>
    <t>D2 Geometry MSE</t>
  </si>
  <si>
    <t>levi_voxelised</t>
  </si>
  <si>
    <t>dec.pc-cr-psnr</t>
  </si>
  <si>
    <t>← settings for graph f</t>
  </si>
  <si>
    <t>dec.d2-psnr</t>
  </si>
  <si>
    <t>D2 Geometry PSNR [dB]</t>
  </si>
  <si>
    <t>dec.img-y-psnr</t>
  </si>
  <si>
    <t>← settings for graph g</t>
  </si>
  <si>
    <t>dec.geom-psnr</t>
  </si>
  <si>
    <t>Geo Geometry PSNR [dB]</t>
  </si>
  <si>
    <t>thomas_voxelised</t>
  </si>
  <si>
    <t>Geom Image-based PSNR [dB]</t>
  </si>
  <si>
    <t>Luma Image-based PSNR [dB]</t>
  </si>
  <si>
    <t>dec.numduppoints.mean</t>
  </si>
  <si>
    <t>Mean duplicate points</t>
  </si>
  <si>
    <t>dec.numfaces</t>
  </si>
  <si>
    <t>№ output faces</t>
  </si>
  <si>
    <t>dec.numpoints</t>
  </si>
  <si>
    <t>№ output points</t>
  </si>
  <si>
    <t>dec.numpoints.mean</t>
  </si>
  <si>
    <t>Mean output points</t>
  </si>
  <si>
    <t>Chroma Cb Pointcloud-based PSNR [dB]</t>
  </si>
  <si>
    <t>Chroma Cr Pointcloud-based PSNR [dB]</t>
  </si>
  <si>
    <t>D1 Pointcloud-based PSNR [dB]</t>
  </si>
  <si>
    <t>D2 Pointcloud-based PSNR [dB]</t>
  </si>
  <si>
    <t>Luma Pointcloud-based PSNR [dB]</t>
  </si>
  <si>
    <t>dec.post-recolour.cb-psnr</t>
  </si>
  <si>
    <t>Chroma Cb Post recolour PSNR [dB]</t>
  </si>
  <si>
    <t>dec.post-recolour.cr-psnr</t>
  </si>
  <si>
    <t>Chroma Cr Post recolour PSNR [dB]</t>
  </si>
  <si>
    <t>dec.post-recolour.y-psnr</t>
  </si>
  <si>
    <t>Luma Post recolour PSNR [dB]</t>
  </si>
  <si>
    <t>dec.reflectance-hpsnr</t>
  </si>
  <si>
    <t>Reflectance EtE Hausdorff PSNR [dB]</t>
  </si>
  <si>
    <t>dec.reflectance-psnr</t>
  </si>
  <si>
    <t>Reflectance End-to-end PSNR [dB]</t>
  </si>
  <si>
    <t>dec.utime</t>
  </si>
  <si>
    <t>User Decoder runtime [s]</t>
  </si>
  <si>
    <t>dec.utime.children</t>
  </si>
  <si>
    <t>Child Decoder runtime [s]</t>
  </si>
  <si>
    <t>dec.utime.self</t>
  </si>
  <si>
    <t>Self Decoder runtime [s]</t>
  </si>
  <si>
    <t>dec.y-hpsnr</t>
  </si>
  <si>
    <t>Luma EtE Hausdorff PSNR [dB]</t>
  </si>
  <si>
    <t>dec.y-psnr</t>
  </si>
  <si>
    <t>Luma End-to-end PSNR [dB]</t>
  </si>
  <si>
    <t>enc.bits.colour</t>
  </si>
  <si>
    <t>Colour Bitstream [bits]</t>
  </si>
  <si>
    <t>enc.bits.geometry</t>
  </si>
  <si>
    <t>Geometry Bitstream [bits]</t>
  </si>
  <si>
    <t>enc.bits.occ+patch</t>
  </si>
  <si>
    <t>Occ+Patch Bitstream [bits]</t>
  </si>
  <si>
    <t>enc.bits.reflectance</t>
  </si>
  <si>
    <t>Reflectance Bitstream [bits]</t>
  </si>
  <si>
    <t>enc.ext.bits</t>
  </si>
  <si>
    <t>Total Bitstream [bits]</t>
  </si>
  <si>
    <t>enc.utime</t>
  </si>
  <si>
    <t>User Encoder runtime [s]</t>
  </si>
  <si>
    <t>enc.utime.children</t>
  </si>
  <si>
    <t>Child Encoder runtime [s]</t>
  </si>
  <si>
    <t>enc.utime.self</t>
  </si>
  <si>
    <t>Self Encoder runtime [s]</t>
  </si>
  <si>
    <t>Rate [Mbps]</t>
  </si>
  <si>
    <t>eqn.bits.totalgeometry</t>
  </si>
  <si>
    <t>eqn.bits.totalgeometry Bitstream [bits]</t>
  </si>
  <si>
    <t>eqn.bpf</t>
  </si>
  <si>
    <t>Total Bits per input face [bpif]</t>
  </si>
  <si>
    <t>eqn.bpop</t>
  </si>
  <si>
    <t>Total Bits per output point [bpop]</t>
  </si>
  <si>
    <t>eqn.bpp</t>
  </si>
  <si>
    <t>Total Bits per input point [bpip]</t>
  </si>
  <si>
    <t>eqn.bpp.colour</t>
  </si>
  <si>
    <t>Colour  Bits per input point [bpip]</t>
  </si>
  <si>
    <t>eqn.bpp.geometry</t>
  </si>
  <si>
    <t>Geometry Bits per input point [bpip]</t>
  </si>
  <si>
    <t>eqn.bpp.geometry+occ+patch</t>
  </si>
  <si>
    <t>Tot.Geom Bits per input point [bpip]</t>
  </si>
  <si>
    <t>eqn.bpp.reflectance</t>
  </si>
  <si>
    <t>Reflectance Bits per input point [bpip]</t>
  </si>
  <si>
    <t>eqn.compratio</t>
  </si>
  <si>
    <t>Comp. ratio [%]</t>
  </si>
  <si>
    <t>C0_ai — lossless geometry, lossless attributes [all intra]</t>
  </si>
  <si>
    <t>anchor</t>
  </si>
  <si>
    <t>proposal</t>
  </si>
  <si>
    <t>Class</t>
  </si>
  <si>
    <t>Sequence</t>
  </si>
  <si>
    <t>№ input faces</t>
  </si>
  <si>
    <t>Geometry precision [bits]</t>
  </si>
  <si>
    <t>№ frames</t>
  </si>
  <si>
    <t>Frame rate [fps]</t>
  </si>
  <si>
    <t>Total bpif ratio [%]</t>
  </si>
  <si>
    <t>class</t>
  </si>
  <si>
    <t>sequence</t>
  </si>
  <si>
    <t>src.numfaces</t>
  </si>
  <si>
    <t>src.geometry-precision</t>
  </si>
  <si>
    <t>src.framecount</t>
  </si>
  <si>
    <t>src.framerate</t>
  </si>
  <si>
    <t>A.eqn.bitrate</t>
  </si>
  <si>
    <t>A.eqn.bpf</t>
  </si>
  <si>
    <t>A.enc.ext.bits</t>
  </si>
  <si>
    <t>A.enc.utime</t>
  </si>
  <si>
    <t>A.dec.utime</t>
  </si>
  <si>
    <t>B.eqn.bitrate</t>
  </si>
  <si>
    <t>B.eqn.bpf</t>
  </si>
  <si>
    <t>B.enc.ext.bits</t>
  </si>
  <si>
    <t>B.enc.utime</t>
  </si>
  <si>
    <t>B.dec.utime</t>
  </si>
  <si>
    <t>eqn.ab.ratio-bpf</t>
  </si>
  <si>
    <t>cat1-A</t>
  </si>
  <si>
    <t>cat1-B</t>
  </si>
  <si>
    <t>cat1-C</t>
  </si>
  <si>
    <t>Overall</t>
  </si>
  <si>
    <t>Total time [s]</t>
  </si>
  <si>
    <t>Total time [%]</t>
  </si>
  <si>
    <t>col.C0 lossless AI.class</t>
  </si>
  <si>
    <t>col.C0 lossless AI.sequence</t>
  </si>
  <si>
    <t>col.C0 lossless AI.src.numfaces</t>
  </si>
  <si>
    <t>col.C0 lossless AI.src.geometry-precision</t>
  </si>
  <si>
    <t>col.C0 lossless AI.src.framecount</t>
  </si>
  <si>
    <t>col.C0 lossless AI.src.framerate</t>
  </si>
  <si>
    <t>col.C0 lossless AI.A.eqn.bitrate</t>
  </si>
  <si>
    <t>col.C0 lossless AI.A.eqn.bpf</t>
  </si>
  <si>
    <t>col.C0 lossless AI.A.enc.ext.bits</t>
  </si>
  <si>
    <t>col.C0 lossless AI.A.enc.utime</t>
  </si>
  <si>
    <t>col.C0 lossless AI.A.dec.utime</t>
  </si>
  <si>
    <t>col.C0 lossless AI.B.eqn.bitrate</t>
  </si>
  <si>
    <t>col.C0 lossless AI.B.eqn.bpf</t>
  </si>
  <si>
    <t>col.C0 lossless AI.B.enc.ext.bits</t>
  </si>
  <si>
    <t>col.C0 lossless AI.B.enc.utime</t>
  </si>
  <si>
    <t>col.C0 lossless AI.B.dec.utime</t>
  </si>
  <si>
    <t>col.C0 lossless AI.eqn.ab.ratio-bpf</t>
  </si>
  <si>
    <t>name.A.C0 lossless AI</t>
  </si>
  <si>
    <t>'C0 lossless AI'!$H$1</t>
  </si>
  <si>
    <t>name.B.C0 lossless AI</t>
  </si>
  <si>
    <t>'C0 lossless AI'!$N$1</t>
  </si>
  <si>
    <t>range.C0 lossless AI.longdress_voxelised</t>
  </si>
  <si>
    <t>'C0 lossless AI'!$A$5:$T$5</t>
  </si>
  <si>
    <t>range.C0 lossless AI.soldier_voxelised</t>
  </si>
  <si>
    <t>'C0 lossless AI'!$A$6:$T$6</t>
  </si>
  <si>
    <t>range.C0 lossless AI.basketball_player_voxelised</t>
  </si>
  <si>
    <t>'C0 lossless AI'!$A$7:$T$7</t>
  </si>
  <si>
    <t>range.C0 lossless AI.dancer_voxelised</t>
  </si>
  <si>
    <t>'C0 lossless AI'!$A$8:$T$8</t>
  </si>
  <si>
    <t>range.C0 lossless AI.football_voxelised</t>
  </si>
  <si>
    <t>'C0 lossless AI'!$A$9:$T$9</t>
  </si>
  <si>
    <t>range.C0 lossless AI.levi_voxelised</t>
  </si>
  <si>
    <t>'C0 lossless AI'!$A$10:$T$10</t>
  </si>
  <si>
    <t>range.C0 lossless AI.mitch_voxelised</t>
  </si>
  <si>
    <t>'C0 lossless AI'!$A$11:$T$11</t>
  </si>
  <si>
    <t>range.C0 lossless AI.thomas_voxelised</t>
  </si>
  <si>
    <t>'C0 lossless AI'!$A$12:$T$12</t>
  </si>
  <si>
    <t>col.C1 lossy AI.class</t>
  </si>
  <si>
    <t>col.C1 lossy AI.sequence</t>
  </si>
  <si>
    <t>col.C1 lossy AI.variant</t>
  </si>
  <si>
    <t>col.C1 lossy AI.src.numfaces</t>
  </si>
  <si>
    <t>col.C1 lossy AI.src.geometry-precision</t>
  </si>
  <si>
    <t>col.C1 lossy AI.src.framecount</t>
  </si>
  <si>
    <t>col.C1 lossy AI.src.framerate</t>
  </si>
  <si>
    <t>col.C1 lossy AI.ctc.targetrate</t>
  </si>
  <si>
    <t>col.C1 lossy AI.A.eqn.bitrate</t>
  </si>
  <si>
    <t>col.C1 lossy AI.A.eqn.bpf</t>
  </si>
  <si>
    <t>col.C1 lossy AI.A.dec.numfaces</t>
  </si>
  <si>
    <t>col.C1 lossy AI.A.enc.ext.bits</t>
  </si>
  <si>
    <t>col.C1 lossy AI.A.dec.pc-d1-psnr</t>
  </si>
  <si>
    <t>col.C1 lossy AI.A.dec.pc-d2-psnr</t>
  </si>
  <si>
    <t>col.C1 lossy AI.A.dec.pc-y-psnr</t>
  </si>
  <si>
    <t>col.C1 lossy AI.A.dec.pc-cb-psnr</t>
  </si>
  <si>
    <t>col.C1 lossy AI.A.dec.pc-cr-psnr</t>
  </si>
  <si>
    <t>col.C1 lossy AI.A.dec.img-geom-psnr</t>
  </si>
  <si>
    <t>col.C1 lossy AI.A.dec.img-y-psnr</t>
  </si>
  <si>
    <t>col.C1 lossy AI.A.enc.utime</t>
  </si>
  <si>
    <t>col.C1 lossy AI.A.dec.utime</t>
  </si>
  <si>
    <t>col.C1 lossy AI.B.eqn.bitrate</t>
  </si>
  <si>
    <t>col.C1 lossy AI.B.eqn.bpf</t>
  </si>
  <si>
    <t>col.C1 lossy AI.B.dec.numfaces</t>
  </si>
  <si>
    <t>col.C1 lossy AI.B.enc.ext.bits</t>
  </si>
  <si>
    <t>col.C1 lossy AI.B.dec.pc-d1-psnr</t>
  </si>
  <si>
    <t>col.C1 lossy AI.B.dec.pc-d2-psnr</t>
  </si>
  <si>
    <t>col.C1 lossy AI.B.dec.pc-y-psnr</t>
  </si>
  <si>
    <t>col.C1 lossy AI.B.dec.pc-cb-psnr</t>
  </si>
  <si>
    <t>col.C1 lossy AI.B.dec.pc-cr-psnr</t>
  </si>
  <si>
    <t>col.C1 lossy AI.B.dec.img-geom-psnr</t>
  </si>
  <si>
    <t>col.C1 lossy AI.B.dec.img-y-psnr</t>
  </si>
  <si>
    <t>col.C1 lossy AI.B.enc.utime</t>
  </si>
  <si>
    <t>col.C1 lossy AI.B.dec.utime</t>
  </si>
  <si>
    <t>col.C1 lossy AI.eqn.ab.bdrate-pc-d1</t>
  </si>
  <si>
    <t>col.C1 lossy AI.eqn.ab.bdrate-pc-d2</t>
  </si>
  <si>
    <t>col.C1 lossy AI.eqn.ab.bdrate-pc-y</t>
  </si>
  <si>
    <t>col.C1 lossy AI.eqn.ab.bdrate-pc-cb</t>
  </si>
  <si>
    <t>col.C1 lossy AI.eqn.ab.bdrate-pc-cr</t>
  </si>
  <si>
    <t>col.C1 lossy AI.eqn.ab.bdrate-img-geom</t>
  </si>
  <si>
    <t>col.C1 lossy AI.eqn.ab.bdrate-img-y</t>
  </si>
  <si>
    <t>name.A.C1 lossy AI</t>
  </si>
  <si>
    <t>'C1 lossy AI'!$J$1</t>
  </si>
  <si>
    <t>name.B.C1 lossy AI</t>
  </si>
  <si>
    <t>'C1 lossy AI'!$X$1</t>
  </si>
  <si>
    <t>range.C1 lossy AI.longdress_voxelised</t>
  </si>
  <si>
    <t>'C1 lossy AI'!$A$5:$AR$9</t>
  </si>
  <si>
    <t>range.C1 lossy AI.soldier_voxelised</t>
  </si>
  <si>
    <t>'C1 lossy AI'!$A$10:$AR$14</t>
  </si>
  <si>
    <t>range.C1 lossy AI.basketball_player_voxelised</t>
  </si>
  <si>
    <t>'C1 lossy AI'!$A$15:$AR$19</t>
  </si>
  <si>
    <t>range.C1 lossy AI.dancer_voxelised</t>
  </si>
  <si>
    <t>'C1 lossy AI'!$A$20:$AR$24</t>
  </si>
  <si>
    <t>range.C1 lossy AI.football_voxelised</t>
  </si>
  <si>
    <t>'C1 lossy AI'!$A$25:$AR$29</t>
  </si>
  <si>
    <t>range.C1 lossy AI.levi_voxelised</t>
  </si>
  <si>
    <t>'C1 lossy AI'!$A$30:$AR$34</t>
  </si>
  <si>
    <t>range.C1 lossy AI.mitch_voxelised</t>
  </si>
  <si>
    <t>'C1 lossy AI'!$A$35:$AR$39</t>
  </si>
  <si>
    <t>range.C1 lossy AI.thomas_voxelised</t>
  </si>
  <si>
    <t>'C1 lossy AI'!$A$40:$AR$44</t>
  </si>
  <si>
    <t>cols.C1 lossy AI</t>
  </si>
  <si>
    <t>col.C2 lossy RA.class</t>
  </si>
  <si>
    <t>col.C2 lossy RA.sequence</t>
  </si>
  <si>
    <t>col.C2 lossy RA.variant</t>
  </si>
  <si>
    <t>col.C2 lossy RA.src.numfaces</t>
  </si>
  <si>
    <t>col.C2 lossy RA.src.geometry-precision</t>
  </si>
  <si>
    <t>col.C2 lossy RA.src.framecount</t>
  </si>
  <si>
    <t>col.C2 lossy RA.src.framerate</t>
  </si>
  <si>
    <t>col.C2 lossy RA.ctc.targetrate</t>
  </si>
  <si>
    <t>col.C2 lossy RA.A.eqn.bitrate</t>
  </si>
  <si>
    <t>col.C2 lossy RA.A.eqn.bpf</t>
  </si>
  <si>
    <t>col.C2 lossy RA.A.dec.numfaces</t>
  </si>
  <si>
    <t>col.C2 lossy RA.A.enc.ext.bits</t>
  </si>
  <si>
    <t>col.C2 lossy RA.A.dec.pc-d1-psnr</t>
  </si>
  <si>
    <t>col.C2 lossy RA.A.dec.pc-d2-psnr</t>
  </si>
  <si>
    <t>col.C2 lossy RA.A.dec.pc-y-psnr</t>
  </si>
  <si>
    <t>col.C2 lossy RA.A.dec.pc-cb-psnr</t>
  </si>
  <si>
    <t>col.C2 lossy RA.A.dec.pc-cr-psnr</t>
  </si>
  <si>
    <t>col.C2 lossy RA.A.dec.img-geom-psnr</t>
  </si>
  <si>
    <t>col.C2 lossy RA.A.dec.img-y-psnr</t>
  </si>
  <si>
    <t>col.C2 lossy RA.A.enc.utime</t>
  </si>
  <si>
    <t>col.C2 lossy RA.A.dec.utime</t>
  </si>
  <si>
    <t>col.C2 lossy RA.B.eqn.bitrate</t>
  </si>
  <si>
    <t>col.C2 lossy RA.B.eqn.bpf</t>
  </si>
  <si>
    <t>col.C2 lossy RA.B.dec.numfaces</t>
  </si>
  <si>
    <t>col.C2 lossy RA.B.enc.ext.bits</t>
  </si>
  <si>
    <t>col.C2 lossy RA.B.dec.pc-d1-psnr</t>
  </si>
  <si>
    <t>col.C2 lossy RA.B.dec.pc-d2-psnr</t>
  </si>
  <si>
    <t>col.C2 lossy RA.B.dec.pc-y-psnr</t>
  </si>
  <si>
    <t>col.C2 lossy RA.B.dec.pc-cb-psnr</t>
  </si>
  <si>
    <t>col.C2 lossy RA.B.dec.pc-cr-psnr</t>
  </si>
  <si>
    <t>col.C2 lossy RA.B.dec.img-geom-psnr</t>
  </si>
  <si>
    <t>col.C2 lossy RA.B.dec.img-y-psnr</t>
  </si>
  <si>
    <t>col.C2 lossy RA.B.enc.utime</t>
  </si>
  <si>
    <t>col.C2 lossy RA.B.dec.utime</t>
  </si>
  <si>
    <t>col.C2 lossy RA.eqn.ab.bdrate-pc-d1</t>
  </si>
  <si>
    <t>col.C2 lossy RA.eqn.ab.bdrate-pc-d2</t>
  </si>
  <si>
    <t>col.C2 lossy RA.eqn.ab.bdrate-pc-y</t>
  </si>
  <si>
    <t>col.C2 lossy RA.eqn.ab.bdrate-pc-cb</t>
  </si>
  <si>
    <t>col.C2 lossy RA.eqn.ab.bdrate-pc-cr</t>
  </si>
  <si>
    <t>col.C2 lossy RA.eqn.ab.bdrate-img-geom</t>
  </si>
  <si>
    <t>col.C2 lossy RA.eqn.ab.bdrate-img-y</t>
  </si>
  <si>
    <t>name.A.C2 lossy RA</t>
  </si>
  <si>
    <t>'C2 lossy RA'!$J$1</t>
  </si>
  <si>
    <t>name.B.C2 lossy RA</t>
  </si>
  <si>
    <t>'C2 lossy RA'!$X$1</t>
  </si>
  <si>
    <t>range.C2 lossy RA.longdress_voxelised</t>
  </si>
  <si>
    <t>'C2 lossy RA'!$A$5:$AR$9</t>
  </si>
  <si>
    <t>range.C2 lossy RA.soldier_voxelised</t>
  </si>
  <si>
    <t>'C2 lossy RA'!$A$10:$AR$14</t>
  </si>
  <si>
    <t>range.C2 lossy RA.basketball_player_voxelised</t>
  </si>
  <si>
    <t>'C2 lossy RA'!$A$15:$AR$19</t>
  </si>
  <si>
    <t>range.C2 lossy RA.dancer_voxelised</t>
  </si>
  <si>
    <t>'C2 lossy RA'!$A$20:$AR$24</t>
  </si>
  <si>
    <t>range.C2 lossy RA.football_voxelised</t>
  </si>
  <si>
    <t>'C2 lossy RA'!$A$25:$AR$29</t>
  </si>
  <si>
    <t>range.C2 lossy RA.levi_voxelised</t>
  </si>
  <si>
    <t>'C2 lossy RA'!$A$30:$AR$34</t>
  </si>
  <si>
    <t>range.C2 lossy RA.mitch_voxelised</t>
  </si>
  <si>
    <t>'C2 lossy RA'!$A$35:$AR$39</t>
  </si>
  <si>
    <t>range.C2 lossy RA.thomas_voxelised</t>
  </si>
  <si>
    <t>'C2 lossy RA'!$A$40:$AR$44</t>
  </si>
  <si>
    <t>cols.C2 lossy RA</t>
  </si>
  <si>
    <t>C1_ai — lossy geometry, lossy attributes [all intra]</t>
  </si>
  <si>
    <t>Variant</t>
  </si>
  <si>
    <t>Target rate [Mbps]</t>
  </si>
  <si>
    <t>Pointcloud-based PSNR [dB]</t>
  </si>
  <si>
    <t>Image-based PSNR [dB]</t>
  </si>
  <si>
    <t>variant</t>
  </si>
  <si>
    <t>ctc.targetrate</t>
  </si>
  <si>
    <t>A.dec.numfaces</t>
  </si>
  <si>
    <t>A.dec.pc-d1-psnr</t>
  </si>
  <si>
    <t>A.dec.pc-d2-psnr</t>
  </si>
  <si>
    <t>A.dec.pc-y-psnr</t>
  </si>
  <si>
    <t>A.dec.pc-cb-psnr</t>
  </si>
  <si>
    <t>A.dec.pc-cr-psnr</t>
  </si>
  <si>
    <t>A.dec.img-geom-psnr</t>
  </si>
  <si>
    <t>A.dec.img-y-psnr</t>
  </si>
  <si>
    <t>B.dec.numfaces</t>
  </si>
  <si>
    <t>B.dec.pc-d1-psnr</t>
  </si>
  <si>
    <t>B.dec.pc-d2-psnr</t>
  </si>
  <si>
    <t>B.dec.pc-y-psnr</t>
  </si>
  <si>
    <t>B.dec.pc-cb-psnr</t>
  </si>
  <si>
    <t>B.dec.pc-cr-psnr</t>
  </si>
  <si>
    <t>B.dec.img-geom-psnr</t>
  </si>
  <si>
    <t>B.dec.img-y-psnr</t>
  </si>
  <si>
    <t>eqn.ab.bdrate-pc-d1</t>
  </si>
  <si>
    <t>eqn.ab.bdrate-pc-d2</t>
  </si>
  <si>
    <t>eqn.ab.bdrate-pc-y</t>
  </si>
  <si>
    <t>eqn.ab.bdrate-pc-cb</t>
  </si>
  <si>
    <t>eqn.ab.bdrate-pc-cr</t>
  </si>
  <si>
    <t>eqn.ab.bdrate-img-geom</t>
  </si>
  <si>
    <t>eqn.ab.bdrate-img-y</t>
  </si>
  <si>
    <t>r01</t>
  </si>
  <si>
    <t>r02</t>
  </si>
  <si>
    <t>r03</t>
  </si>
  <si>
    <t>r04</t>
  </si>
  <si>
    <t>r05</t>
  </si>
  <si>
    <t>C2_ra — lossy geometry, lossy attributes [inter, random access]</t>
  </si>
  <si>
    <t>F032_v2.0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</si>
</sst>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
    <numFmt numFmtId="165" formatCode="0.000"/>
    <numFmt numFmtId="166" formatCode="[&gt;1000]0;[&gt;100]0.0;0.00"/>
  </numFmts>
  <fonts count="2" x14ac:knownFonts="1">
    <font>
      <sz val="11"/>
      <color theme="1"/>
      <name val="Calibri"/>
      <family val="2"/>
      <scheme val="minor"/>
    </font>
    <font>
      <b/>
      <sz val="11"/>
      <color theme="1"/>
      <name val="Calibri"/>
      <family val="2"/>
      <scheme val="minor"/>
    </font>
  </fonts>
  <fills count="12">
    <fill>
      <patternFill patternType="none"/>
    </fill>
    <fill>
      <patternFill patternType="gray125"/>
    </fill>
    <fill>
      <patternFill patternType="solid">
        <fgColor rgb="FFDA9694"/>
        <bgColor auto="1"/>
      </patternFill>
    </fill>
    <fill>
      <patternFill patternType="solid">
        <fgColor rgb="FFC4D796"/>
        <bgColor auto="1"/>
      </patternFill>
    </fill>
    <fill>
      <patternFill patternType="solid">
        <fgColor rgb="FFBFBFBF"/>
        <bgColor auto="1"/>
      </patternFill>
    </fill>
    <fill>
      <patternFill patternType="solid">
        <fgColor rgb="FFA6A6A6"/>
        <bgColor auto="1"/>
      </patternFill>
    </fill>
    <fill>
      <patternFill patternType="solid">
        <fgColor rgb="FFFFFF00"/>
        <bgColor auto="1"/>
      </patternFill>
    </fill>
    <fill>
      <patternFill patternType="solid">
        <fgColor rgb="FFC4BF97"/>
        <bgColor auto="1"/>
      </patternFill>
    </fill>
    <fill>
      <patternFill patternType="solid">
        <fgColor rgb="FFF2F2F2"/>
        <bgColor auto="1"/>
      </patternFill>
    </fill>
    <fill>
      <patternFill patternType="solid">
        <fgColor rgb="FFDCE6F1"/>
        <bgColor auto="1"/>
      </patternFill>
    </fill>
    <fill>
      <patternFill patternType="solid">
        <fgColor rgb="FFD9D9D9"/>
        <bgColor auto="1"/>
      </patternFill>
    </fill>
    <fill>
      <patternFill patternType="solid">
        <fgColor rgb="FFB8CCE4"/>
        <bgColor auto="1"/>
      </patternFill>
    </fill>
  </fills>
  <borders count="5">
    <border>
      <left/>
      <right/>
      <top/>
      <bottom/>
      <diagonal/>
    </border>
    <border>
      <left/>
      <right/>
      <top style="medium">
        <color auto="1"/>
      </top>
      <bottom style="medium">
        <color auto="1"/>
      </bottom>
      <diagonal/>
    </border>
    <border>
      <left/>
      <right/>
      <top style="medium">
        <color auto="1"/>
      </top>
      <bottom/>
      <diagonal/>
    </border>
    <border>
      <left/>
      <right/>
      <top/>
      <bottom style="medium">
        <color auto="1"/>
      </bottom>
      <diagonal/>
    </border>
    <border>
      <left/>
      <right/>
      <top style="thin">
        <color auto="1"/>
      </top>
      <bottom style="thin">
        <color auto="1"/>
      </bottom>
      <diagonal/>
    </border>
  </borders>
  <cellStyleXfs count="1">
    <xf numFmtId="0" fontId="0" fillId="0" borderId="0"/>
  </cellStyleXfs>
  <cellXfs count="77">
    <xf numFmtId="0" fontId="0" fillId="0" borderId="0" xfId="0"/>
    <xf numFmtId="0" fontId="1" fillId="4" borderId="0" xfId="0" applyFont="1" applyFill="1"/>
    <xf numFmtId="0" fontId="1" fillId="4" borderId="3" xfId="0" applyFont="1" applyFill="1" applyBorder="1" applyAlignment="1">
      <alignment horizontal="center" vertical="center" wrapText="1"/>
    </xf>
    <xf numFmtId="0" fontId="0" fillId="0" borderId="0" xfId="0"/>
    <xf numFmtId="164" fontId="0" fillId="0" borderId="0" xfId="0" applyNumberFormat="1" applyAlignment="1">
      <alignment horizontal="center"/>
    </xf>
    <xf numFmtId="0" fontId="1" fillId="0" borderId="4" xfId="0" applyFont="1" applyBorder="1"/>
    <xf numFmtId="164" fontId="0" fillId="0" borderId="4" xfId="0" applyNumberFormat="1" applyBorder="1" applyAlignment="1">
      <alignment horizontal="center"/>
    </xf>
    <xf numFmtId="0" fontId="0" fillId="0" borderId="3" xfId="0" applyBorder="1"/>
    <xf numFmtId="0" fontId="1" fillId="5" borderId="3" xfId="0" applyFont="1" applyFill="1" applyBorder="1" applyAlignment="1">
      <alignment horizontal="center" vertical="center" wrapText="1"/>
    </xf>
    <xf numFmtId="0" fontId="0" fillId="6" borderId="0" xfId="0" applyFill="1"/>
    <xf numFmtId="0" fontId="1" fillId="5" borderId="3" xfId="0" applyFont="1" applyFill="1" applyBorder="1" applyAlignment="1">
      <alignment horizontal="center" textRotation="90" wrapText="1"/>
    </xf>
    <xf numFmtId="0" fontId="1" fillId="4" borderId="3" xfId="0" applyFont="1" applyFill="1" applyBorder="1" applyAlignment="1">
      <alignment horizontal="center" textRotation="90" wrapText="1"/>
    </xf>
    <xf numFmtId="0" fontId="0" fillId="8" borderId="0" xfId="0" applyFill="1"/>
    <xf numFmtId="1" fontId="0" fillId="8" borderId="0" xfId="0" applyNumberFormat="1" applyFill="1" applyAlignment="1">
      <alignment horizontal="center"/>
    </xf>
    <xf numFmtId="0" fontId="0" fillId="8" borderId="0" xfId="0" applyFill="1" applyAlignment="1">
      <alignment horizontal="center"/>
    </xf>
    <xf numFmtId="165" fontId="0" fillId="8" borderId="0" xfId="0" applyNumberFormat="1" applyFill="1" applyAlignment="1">
      <alignment horizontal="center"/>
    </xf>
    <xf numFmtId="2" fontId="0" fillId="8" borderId="0" xfId="0" applyNumberFormat="1" applyFill="1" applyAlignment="1">
      <alignment horizontal="center"/>
    </xf>
    <xf numFmtId="1" fontId="0" fillId="9" borderId="0" xfId="0" applyNumberFormat="1" applyFill="1" applyAlignment="1">
      <alignment horizontal="center"/>
    </xf>
    <xf numFmtId="166" fontId="0" fillId="9" borderId="0" xfId="0" applyNumberFormat="1" applyFill="1" applyAlignment="1">
      <alignment horizontal="center"/>
    </xf>
    <xf numFmtId="164" fontId="0" fillId="8" borderId="0" xfId="0" applyNumberFormat="1" applyFill="1" applyAlignment="1">
      <alignment horizontal="center"/>
    </xf>
    <xf numFmtId="0" fontId="0" fillId="10" borderId="3" xfId="0" applyFill="1" applyBorder="1"/>
    <xf numFmtId="1" fontId="0" fillId="10" borderId="3" xfId="0" applyNumberFormat="1" applyFill="1" applyBorder="1" applyAlignment="1">
      <alignment horizontal="center"/>
    </xf>
    <xf numFmtId="0" fontId="0" fillId="10" borderId="3" xfId="0" applyFill="1" applyBorder="1" applyAlignment="1">
      <alignment horizontal="center"/>
    </xf>
    <xf numFmtId="165" fontId="0" fillId="10" borderId="3" xfId="0" applyNumberFormat="1" applyFill="1" applyBorder="1" applyAlignment="1">
      <alignment horizontal="center"/>
    </xf>
    <xf numFmtId="2" fontId="0" fillId="10" borderId="3" xfId="0" applyNumberFormat="1" applyFill="1" applyBorder="1" applyAlignment="1">
      <alignment horizontal="center"/>
    </xf>
    <xf numFmtId="1" fontId="0" fillId="11" borderId="3" xfId="0" applyNumberFormat="1" applyFill="1" applyBorder="1" applyAlignment="1">
      <alignment horizontal="center"/>
    </xf>
    <xf numFmtId="166" fontId="0" fillId="11" borderId="3" xfId="0" applyNumberFormat="1" applyFill="1" applyBorder="1" applyAlignment="1">
      <alignment horizontal="center"/>
    </xf>
    <xf numFmtId="164" fontId="0" fillId="10" borderId="3" xfId="0" applyNumberFormat="1" applyFill="1" applyBorder="1" applyAlignment="1">
      <alignment horizontal="center"/>
    </xf>
    <xf numFmtId="0" fontId="0" fillId="10" borderId="0" xfId="0" applyFill="1"/>
    <xf numFmtId="1" fontId="0" fillId="10" borderId="0" xfId="0" applyNumberFormat="1" applyFill="1" applyAlignment="1">
      <alignment horizontal="center"/>
    </xf>
    <xf numFmtId="0" fontId="0" fillId="10" borderId="0" xfId="0" applyFill="1" applyAlignment="1">
      <alignment horizontal="center"/>
    </xf>
    <xf numFmtId="165" fontId="0" fillId="10" borderId="0" xfId="0" applyNumberFormat="1" applyFill="1" applyAlignment="1">
      <alignment horizontal="center"/>
    </xf>
    <xf numFmtId="2" fontId="0" fillId="10" borderId="0" xfId="0" applyNumberFormat="1" applyFill="1" applyAlignment="1">
      <alignment horizontal="center"/>
    </xf>
    <xf numFmtId="1" fontId="0" fillId="11" borderId="0" xfId="0" applyNumberFormat="1" applyFill="1" applyAlignment="1">
      <alignment horizontal="center"/>
    </xf>
    <xf numFmtId="166" fontId="0" fillId="11" borderId="0" xfId="0" applyNumberFormat="1" applyFill="1" applyAlignment="1">
      <alignment horizontal="center"/>
    </xf>
    <xf numFmtId="164" fontId="0" fillId="10" borderId="0" xfId="0" applyNumberFormat="1" applyFill="1" applyAlignment="1">
      <alignment horizontal="center"/>
    </xf>
    <xf numFmtId="0" fontId="1" fillId="0" borderId="0" xfId="0" applyFont="1" applyAlignment="1">
      <alignment wrapText="1"/>
    </xf>
    <xf numFmtId="2" fontId="0" fillId="0" borderId="0" xfId="0" applyNumberFormat="1" applyAlignment="1">
      <alignment horizontal="center"/>
    </xf>
    <xf numFmtId="166" fontId="0" fillId="0" borderId="0" xfId="0" applyNumberFormat="1" applyAlignment="1">
      <alignment horizontal="center"/>
    </xf>
    <xf numFmtId="0" fontId="0" fillId="9" borderId="0" xfId="0" applyFill="1"/>
    <xf numFmtId="2" fontId="0" fillId="9" borderId="0" xfId="0" applyNumberFormat="1" applyFill="1" applyAlignment="1">
      <alignment horizontal="center"/>
    </xf>
    <xf numFmtId="0" fontId="0" fillId="11" borderId="0" xfId="0" applyFill="1"/>
    <xf numFmtId="2" fontId="0" fillId="11" borderId="0" xfId="0" applyNumberFormat="1" applyFill="1" applyAlignment="1">
      <alignment horizontal="center"/>
    </xf>
    <xf numFmtId="0" fontId="0" fillId="8" borderId="3" xfId="0" applyFill="1" applyBorder="1"/>
    <xf numFmtId="0" fontId="0" fillId="8" borderId="3" xfId="0" applyFill="1" applyBorder="1" applyAlignment="1">
      <alignment horizontal="center"/>
    </xf>
    <xf numFmtId="1" fontId="0" fillId="8" borderId="3" xfId="0" applyNumberFormat="1" applyFill="1" applyBorder="1" applyAlignment="1">
      <alignment horizontal="center"/>
    </xf>
    <xf numFmtId="165" fontId="0" fillId="8" borderId="3" xfId="0" applyNumberFormat="1" applyFill="1" applyBorder="1" applyAlignment="1">
      <alignment horizontal="center"/>
    </xf>
    <xf numFmtId="2" fontId="0" fillId="8" borderId="3" xfId="0" applyNumberFormat="1" applyFill="1" applyBorder="1" applyAlignment="1">
      <alignment horizontal="center"/>
    </xf>
    <xf numFmtId="0" fontId="0" fillId="9" borderId="3" xfId="0" applyFill="1" applyBorder="1"/>
    <xf numFmtId="1" fontId="0" fillId="9" borderId="3" xfId="0" applyNumberFormat="1" applyFill="1" applyBorder="1" applyAlignment="1">
      <alignment horizontal="center"/>
    </xf>
    <xf numFmtId="2" fontId="0" fillId="9" borderId="3" xfId="0" applyNumberFormat="1" applyFill="1" applyBorder="1" applyAlignment="1">
      <alignment horizontal="center"/>
    </xf>
    <xf numFmtId="166" fontId="0" fillId="9" borderId="3" xfId="0" applyNumberFormat="1" applyFill="1" applyBorder="1" applyAlignment="1">
      <alignment horizontal="center"/>
    </xf>
    <xf numFmtId="164" fontId="0" fillId="8" borderId="3" xfId="0" applyNumberFormat="1" applyFill="1" applyBorder="1" applyAlignment="1">
      <alignment horizontal="center"/>
    </xf>
    <xf numFmtId="0" fontId="0" fillId="11" borderId="3" xfId="0" applyFill="1" applyBorder="1"/>
    <xf numFmtId="2" fontId="0" fillId="11" borderId="3" xfId="0" applyNumberFormat="1" applyFill="1" applyBorder="1" applyAlignment="1">
      <alignment horizontal="center"/>
    </xf>
    <xf numFmtId="0" fontId="1" fillId="4" borderId="2" xfId="0" applyFont="1" applyFill="1" applyBorder="1" applyAlignment="1">
      <alignment horizontal="center" vertical="center" wrapText="1"/>
    </xf>
    <xf numFmtId="0" fontId="1" fillId="4" borderId="0" xfId="0" applyFont="1" applyFill="1" applyAlignment="1">
      <alignment horizontal="center" vertical="center" wrapText="1"/>
    </xf>
    <xf numFmtId="9" fontId="0" fillId="0" borderId="0" xfId="0" applyNumberFormat="1" applyAlignment="1">
      <alignment horizontal="center"/>
    </xf>
    <xf numFmtId="9" fontId="0" fillId="0" borderId="3" xfId="0" applyNumberFormat="1" applyBorder="1" applyAlignment="1">
      <alignment horizontal="center"/>
    </xf>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9" fontId="0" fillId="0" borderId="0" xfId="0" applyNumberFormat="1" applyAlignment="1">
      <alignment horizontal="center"/>
    </xf>
    <xf numFmtId="0" fontId="0" fillId="0" borderId="0" xfId="0"/>
    <xf numFmtId="9" fontId="0" fillId="0" borderId="3" xfId="0" applyNumberFormat="1" applyBorder="1" applyAlignment="1">
      <alignment horizontal="center"/>
    </xf>
    <xf numFmtId="0" fontId="0" fillId="0" borderId="3" xfId="0" applyBorder="1"/>
    <xf numFmtId="0" fontId="1" fillId="4" borderId="1" xfId="0" applyFont="1" applyFill="1" applyBorder="1" applyAlignment="1">
      <alignment horizontal="center" vertical="center" wrapText="1"/>
    </xf>
    <xf numFmtId="0" fontId="1" fillId="4" borderId="2" xfId="0" applyFont="1" applyFill="1" applyBorder="1" applyAlignment="1">
      <alignment horizontal="center" vertical="center" wrapText="1"/>
    </xf>
    <xf numFmtId="0" fontId="0" fillId="0" borderId="2" xfId="0" applyBorder="1"/>
    <xf numFmtId="0" fontId="1" fillId="4" borderId="0" xfId="0" applyFont="1" applyFill="1" applyAlignment="1">
      <alignment horizontal="center" vertical="center" wrapText="1"/>
    </xf>
    <xf numFmtId="0" fontId="1" fillId="5" borderId="0" xfId="0" applyFont="1" applyFill="1" applyAlignment="1">
      <alignment horizontal="center" vertical="center" wrapText="1"/>
    </xf>
    <xf numFmtId="0" fontId="1" fillId="2" borderId="0" xfId="0" applyFont="1" applyFill="1" applyAlignment="1">
      <alignment horizontal="center" wrapText="1"/>
    </xf>
    <xf numFmtId="0" fontId="1" fillId="3" borderId="0" xfId="0" applyFont="1" applyFill="1" applyAlignment="1">
      <alignment horizontal="center" wrapText="1"/>
    </xf>
    <xf numFmtId="0" fontId="1" fillId="4" borderId="3" xfId="0" applyFont="1" applyFill="1" applyBorder="1" applyAlignment="1">
      <alignment horizontal="center" wrapText="1"/>
    </xf>
    <xf numFmtId="0" fontId="1" fillId="5" borderId="3" xfId="0" applyFont="1" applyFill="1" applyBorder="1" applyAlignment="1">
      <alignment horizontal="center" wrapText="1"/>
    </xf>
    <xf numFmtId="0" fontId="1" fillId="7" borderId="0" xfId="0" applyFont="1" applyFill="1" applyAlignment="1">
      <alignment horizontal="left" vertical="top"/>
    </xf>
    <xf numFmtId="0" fontId="1" fillId="4" borderId="0" xfId="0" applyFont="1" applyFill="1" applyAlignment="1">
      <alignment horizontal="center" wrapText="1"/>
    </xf>
    <xf numFmtId="0" fontId="1" fillId="5" borderId="0" xfId="0" applyFont="1" applyFill="1" applyAlignment="1">
      <alignment horizontal="center" wrapText="1"/>
    </xf>
  </cellXfs>
  <cellStyles count="1">
    <cellStyle name="Normal" xfId="0" builtinId="0"/>
  </cellStyles>
  <dxfs count="66">
    <dxf>
      <font>
        <b/>
        <color rgb="FFFF0000"/>
      </font>
    </dxf>
    <dxf>
      <font>
        <b/>
        <color rgb="FFFF0000"/>
      </font>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ont>
        <b/>
        <color rgb="FFFF0000"/>
      </font>
    </dxf>
    <dxf>
      <font>
        <b/>
        <color rgb="FFFF0000"/>
      </font>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bgColor rgb="FFFFAAAA"/>
        </patternFill>
      </fill>
      <border>
        <left style="medium">
          <color rgb="FFFF0000"/>
        </left>
        <right style="medium">
          <color rgb="FFFF0000"/>
        </right>
        <top style="medium">
          <color rgb="FFFF0000"/>
        </top>
        <bottom style="medium">
          <color rgb="FFFF0000"/>
        </bottom>
        <vertical/>
        <horizontal/>
      </border>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
      <fill>
        <patternFill patternType="mediumGray">
          <fgColor rgb="FF00FF00"/>
        </patternFill>
      </fill>
    </dxf>
    <dxf>
      <fill>
        <patternFill patternType="mediumGray">
          <fgColor rgb="FFFF000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Graphs!graph_a_title</c:f>
          <c:strCache>
            <c:ptCount val="1"/>
            <c:pt idx="0">
              <c:v>D1 Pointcloud-based PSNR [dB] (Graph a)</c:v>
            </c:pt>
          </c:strCache>
        </c:strRef>
      </c:tx>
      <c:overlay val="0"/>
      <c:txPr>
        <a:bodyPr/>
        <a:lstStyle/>
        <a:p>
          <a:pPr>
            <a:defRPr/>
          </a:pPr>
          <a:endParaRPr lang="en-US"/>
        </a:p>
      </c:txPr>
    </c:title>
    <c:autoTitleDeleted val="0"/>
    <c:plotArea>
      <c:layout/>
      <c:scatterChart>
        <c:scatterStyle val="lineMarker"/>
        <c:varyColors val="0"/>
        <c:ser>
          <c:idx val="0"/>
          <c:order val="0"/>
          <c:tx>
            <c:strRef>
              <c:f>Graphs!graph_a_A_title</c:f>
              <c:strCache>
                <c:ptCount val="1"/>
                <c:pt idx="0">
                  <c:v>F032_v2.0</c:v>
                </c:pt>
              </c:strCache>
            </c:strRef>
          </c:tx>
          <c:spPr>
            <a:ln w="28575">
              <a:prstDash val="solid"/>
            </a:ln>
          </c:spPr>
          <c:marker>
            <c:symbol val="none"/>
          </c:marker>
          <c:xVal>
            <c:numRef>
              <c:f>Graphs!graph_a_x_range_A</c:f>
              <c:numCache>
                <c:formatCode>0.000</c:formatCode>
                <c:ptCount val="5"/>
                <c:pt idx="0">
                  <c:v>4.8089550000000001</c:v>
                </c:pt>
                <c:pt idx="1">
                  <c:v>6.2796450000000004</c:v>
                </c:pt>
                <c:pt idx="2">
                  <c:v>8.4927825000000006</c:v>
                </c:pt>
                <c:pt idx="3">
                  <c:v>15.0103575</c:v>
                </c:pt>
                <c:pt idx="4">
                  <c:v>25.341112500000001</c:v>
                </c:pt>
              </c:numCache>
            </c:numRef>
          </c:xVal>
          <c:yVal>
            <c:numRef>
              <c:f>Graphs!graph_a_y_range_A</c:f>
              <c:numCache>
                <c:formatCode>0.00</c:formatCode>
                <c:ptCount val="5"/>
                <c:pt idx="0">
                  <c:v>71.046666400000007</c:v>
                </c:pt>
                <c:pt idx="1">
                  <c:v>72.422701799999999</c:v>
                </c:pt>
                <c:pt idx="2">
                  <c:v>73.742215700000003</c:v>
                </c:pt>
                <c:pt idx="3">
                  <c:v>78.8749234</c:v>
                </c:pt>
                <c:pt idx="4">
                  <c:v>999.99</c:v>
                </c:pt>
              </c:numCache>
            </c:numRef>
          </c:yVal>
          <c:smooth val="0"/>
          <c:extLst>
            <c:ext xmlns:c16="http://schemas.microsoft.com/office/drawing/2014/chart" uri="{C3380CC4-5D6E-409C-BE32-E72D297353CC}">
              <c16:uniqueId val="{00000000-2C19-455F-9035-55E6AB05508E}"/>
            </c:ext>
          </c:extLst>
        </c:ser>
        <c:ser>
          <c:idx val="1"/>
          <c:order val="1"/>
          <c:tx>
            <c:strRef>
              <c:f>Graphs!graph_a_B_title</c:f>
              <c:strCache>
                <c:ptCount val="1"/>
                <c:pt idx="0">
                  <c:v>0</c:v>
                </c:pt>
              </c:strCache>
            </c:strRef>
          </c:tx>
          <c:spPr>
            <a:ln w="28575">
              <a:prstDash val="solid"/>
            </a:ln>
          </c:spPr>
          <c:marker>
            <c:symbol val="none"/>
          </c:marker>
          <c:xVal>
            <c:strRef>
              <c:f>Graphs!graph_a_x_range_B</c:f>
              <c:strCache>
                <c:ptCount val="5"/>
                <c:pt idx="0">
                  <c:v>·</c:v>
                </c:pt>
                <c:pt idx="1">
                  <c:v>·</c:v>
                </c:pt>
                <c:pt idx="2">
                  <c:v>·</c:v>
                </c:pt>
                <c:pt idx="3">
                  <c:v>·</c:v>
                </c:pt>
                <c:pt idx="4">
                  <c:v>·</c:v>
                </c:pt>
              </c:strCache>
            </c:strRef>
          </c:xVal>
          <c:yVal>
            <c:numRef>
              <c:f>Graphs!graph_a_y_range_B</c:f>
              <c:numCache>
                <c:formatCode>0.00</c:formatCode>
                <c:ptCount val="5"/>
              </c:numCache>
            </c:numRef>
          </c:yVal>
          <c:smooth val="0"/>
          <c:extLst>
            <c:ext xmlns:c16="http://schemas.microsoft.com/office/drawing/2014/chart" uri="{C3380CC4-5D6E-409C-BE32-E72D297353CC}">
              <c16:uniqueId val="{00000001-2C19-455F-9035-55E6AB05508E}"/>
            </c:ext>
          </c:extLst>
        </c:ser>
        <c:dLbls>
          <c:showLegendKey val="0"/>
          <c:showVal val="0"/>
          <c:showCatName val="0"/>
          <c:showSerName val="0"/>
          <c:showPercent val="0"/>
          <c:showBubbleSize val="0"/>
        </c:dLbls>
        <c:axId val="50010001"/>
        <c:axId val="50010002"/>
      </c:scatterChart>
      <c:valAx>
        <c:axId val="50010001"/>
        <c:scaling>
          <c:orientation val="minMax"/>
        </c:scaling>
        <c:delete val="0"/>
        <c:axPos val="b"/>
        <c:majorGridlines>
          <c:spPr>
            <a:ln>
              <a:solidFill>
                <a:srgbClr val="DFDFDF"/>
              </a:solidFill>
              <a:prstDash val="solid"/>
            </a:ln>
          </c:spPr>
        </c:majorGridlines>
        <c:title>
          <c:tx>
            <c:strRef>
              <c:f>Graphs!graph_a_x_title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10002"/>
        <c:crosses val="autoZero"/>
        <c:crossBetween val="midCat"/>
      </c:valAx>
      <c:valAx>
        <c:axId val="50010002"/>
        <c:scaling>
          <c:orientation val="minMax"/>
        </c:scaling>
        <c:delete val="0"/>
        <c:axPos val="l"/>
        <c:majorGridlines>
          <c:spPr>
            <a:ln>
              <a:solidFill>
                <a:srgbClr val="DFDFDF"/>
              </a:solidFill>
              <a:prstDash val="solid"/>
            </a:ln>
          </c:spPr>
        </c:majorGridlines>
        <c:title>
          <c:tx>
            <c:strRef>
              <c:f>Graphs!graph_a_y_title</c:f>
              <c:strCache>
                <c:ptCount val="1"/>
                <c:pt idx="0">
                  <c:v>D1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1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Graphs!graph_b_title</c:f>
          <c:strCache>
            <c:ptCount val="1"/>
            <c:pt idx="0">
              <c:v>D2 Pointcloud-based PSNR [dB] (Graph b)</c:v>
            </c:pt>
          </c:strCache>
        </c:strRef>
      </c:tx>
      <c:overlay val="0"/>
      <c:txPr>
        <a:bodyPr/>
        <a:lstStyle/>
        <a:p>
          <a:pPr>
            <a:defRPr/>
          </a:pPr>
          <a:endParaRPr lang="en-US"/>
        </a:p>
      </c:txPr>
    </c:title>
    <c:autoTitleDeleted val="0"/>
    <c:plotArea>
      <c:layout/>
      <c:scatterChart>
        <c:scatterStyle val="lineMarker"/>
        <c:varyColors val="0"/>
        <c:ser>
          <c:idx val="0"/>
          <c:order val="0"/>
          <c:tx>
            <c:strRef>
              <c:f>Graphs!graph_b_A_title</c:f>
              <c:strCache>
                <c:ptCount val="1"/>
                <c:pt idx="0">
                  <c:v>F032_v2.0</c:v>
                </c:pt>
              </c:strCache>
            </c:strRef>
          </c:tx>
          <c:spPr>
            <a:ln w="28575">
              <a:prstDash val="solid"/>
            </a:ln>
          </c:spPr>
          <c:marker>
            <c:symbol val="none"/>
          </c:marker>
          <c:xVal>
            <c:numRef>
              <c:f>Graphs!graph_b_x_range_A</c:f>
              <c:numCache>
                <c:formatCode>0.000</c:formatCode>
                <c:ptCount val="5"/>
                <c:pt idx="0">
                  <c:v>4.8089550000000001</c:v>
                </c:pt>
                <c:pt idx="1">
                  <c:v>6.2796450000000004</c:v>
                </c:pt>
                <c:pt idx="2">
                  <c:v>8.4927825000000006</c:v>
                </c:pt>
                <c:pt idx="3">
                  <c:v>15.0103575</c:v>
                </c:pt>
                <c:pt idx="4">
                  <c:v>25.341112500000001</c:v>
                </c:pt>
              </c:numCache>
            </c:numRef>
          </c:xVal>
          <c:yVal>
            <c:numRef>
              <c:f>Graphs!graph_b_y_range_A</c:f>
              <c:numCache>
                <c:formatCode>0.00</c:formatCode>
                <c:ptCount val="5"/>
                <c:pt idx="0">
                  <c:v>72.531249599999995</c:v>
                </c:pt>
                <c:pt idx="1">
                  <c:v>74.113481500000006</c:v>
                </c:pt>
                <c:pt idx="2">
                  <c:v>75.614169000000004</c:v>
                </c:pt>
                <c:pt idx="3">
                  <c:v>81.303758999999999</c:v>
                </c:pt>
                <c:pt idx="4">
                  <c:v>881.852982</c:v>
                </c:pt>
              </c:numCache>
            </c:numRef>
          </c:yVal>
          <c:smooth val="0"/>
          <c:extLst>
            <c:ext xmlns:c16="http://schemas.microsoft.com/office/drawing/2014/chart" uri="{C3380CC4-5D6E-409C-BE32-E72D297353CC}">
              <c16:uniqueId val="{00000000-AC76-48E8-A5C1-52E2079CC690}"/>
            </c:ext>
          </c:extLst>
        </c:ser>
        <c:ser>
          <c:idx val="1"/>
          <c:order val="1"/>
          <c:tx>
            <c:strRef>
              <c:f>Graphs!graph_b_B_title</c:f>
              <c:strCache>
                <c:ptCount val="1"/>
                <c:pt idx="0">
                  <c:v>0</c:v>
                </c:pt>
              </c:strCache>
            </c:strRef>
          </c:tx>
          <c:spPr>
            <a:ln w="28575">
              <a:prstDash val="solid"/>
            </a:ln>
          </c:spPr>
          <c:marker>
            <c:symbol val="none"/>
          </c:marker>
          <c:xVal>
            <c:strRef>
              <c:f>Graphs!graph_b_x_range_B</c:f>
              <c:strCache>
                <c:ptCount val="5"/>
                <c:pt idx="0">
                  <c:v>·</c:v>
                </c:pt>
                <c:pt idx="1">
                  <c:v>·</c:v>
                </c:pt>
                <c:pt idx="2">
                  <c:v>·</c:v>
                </c:pt>
                <c:pt idx="3">
                  <c:v>·</c:v>
                </c:pt>
                <c:pt idx="4">
                  <c:v>·</c:v>
                </c:pt>
              </c:strCache>
            </c:strRef>
          </c:xVal>
          <c:yVal>
            <c:numRef>
              <c:f>Graphs!graph_b_y_range_B</c:f>
              <c:numCache>
                <c:formatCode>0.00</c:formatCode>
                <c:ptCount val="5"/>
              </c:numCache>
            </c:numRef>
          </c:yVal>
          <c:smooth val="0"/>
          <c:extLst>
            <c:ext xmlns:c16="http://schemas.microsoft.com/office/drawing/2014/chart" uri="{C3380CC4-5D6E-409C-BE32-E72D297353CC}">
              <c16:uniqueId val="{00000001-AC76-48E8-A5C1-52E2079CC690}"/>
            </c:ext>
          </c:extLst>
        </c:ser>
        <c:dLbls>
          <c:showLegendKey val="0"/>
          <c:showVal val="0"/>
          <c:showCatName val="0"/>
          <c:showSerName val="0"/>
          <c:showPercent val="0"/>
          <c:showBubbleSize val="0"/>
        </c:dLbls>
        <c:axId val="50020001"/>
        <c:axId val="50020002"/>
      </c:scatterChart>
      <c:valAx>
        <c:axId val="50020001"/>
        <c:scaling>
          <c:orientation val="minMax"/>
        </c:scaling>
        <c:delete val="0"/>
        <c:axPos val="b"/>
        <c:majorGridlines>
          <c:spPr>
            <a:ln>
              <a:solidFill>
                <a:srgbClr val="DFDFDF"/>
              </a:solidFill>
              <a:prstDash val="solid"/>
            </a:ln>
          </c:spPr>
        </c:majorGridlines>
        <c:title>
          <c:tx>
            <c:strRef>
              <c:f>Graphs!graph_b_x_title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20002"/>
        <c:crosses val="autoZero"/>
        <c:crossBetween val="midCat"/>
      </c:valAx>
      <c:valAx>
        <c:axId val="50020002"/>
        <c:scaling>
          <c:orientation val="minMax"/>
        </c:scaling>
        <c:delete val="0"/>
        <c:axPos val="l"/>
        <c:majorGridlines>
          <c:spPr>
            <a:ln>
              <a:solidFill>
                <a:srgbClr val="DFDFDF"/>
              </a:solidFill>
              <a:prstDash val="solid"/>
            </a:ln>
          </c:spPr>
        </c:majorGridlines>
        <c:title>
          <c:tx>
            <c:strRef>
              <c:f>Graphs!graph_b_y_title</c:f>
              <c:strCache>
                <c:ptCount val="1"/>
                <c:pt idx="0">
                  <c:v>D2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2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Graphs!graph_c_title</c:f>
          <c:strCache>
            <c:ptCount val="1"/>
            <c:pt idx="0">
              <c:v>Geom Image-based PSNR [dB] (Graph c)</c:v>
            </c:pt>
          </c:strCache>
        </c:strRef>
      </c:tx>
      <c:overlay val="0"/>
      <c:txPr>
        <a:bodyPr/>
        <a:lstStyle/>
        <a:p>
          <a:pPr>
            <a:defRPr/>
          </a:pPr>
          <a:endParaRPr lang="en-US"/>
        </a:p>
      </c:txPr>
    </c:title>
    <c:autoTitleDeleted val="0"/>
    <c:plotArea>
      <c:layout/>
      <c:scatterChart>
        <c:scatterStyle val="lineMarker"/>
        <c:varyColors val="0"/>
        <c:ser>
          <c:idx val="0"/>
          <c:order val="0"/>
          <c:tx>
            <c:strRef>
              <c:f>Graphs!graph_c_A_title</c:f>
              <c:strCache>
                <c:ptCount val="1"/>
                <c:pt idx="0">
                  <c:v>F032_v2.0</c:v>
                </c:pt>
              </c:strCache>
            </c:strRef>
          </c:tx>
          <c:spPr>
            <a:ln w="28575">
              <a:prstDash val="solid"/>
            </a:ln>
          </c:spPr>
          <c:marker>
            <c:symbol val="none"/>
          </c:marker>
          <c:xVal>
            <c:numRef>
              <c:f>Graphs!graph_c_x_range_A</c:f>
              <c:numCache>
                <c:formatCode>0.000</c:formatCode>
                <c:ptCount val="5"/>
                <c:pt idx="0">
                  <c:v>4.8089550000000001</c:v>
                </c:pt>
                <c:pt idx="1">
                  <c:v>6.2796450000000004</c:v>
                </c:pt>
                <c:pt idx="2">
                  <c:v>8.4927825000000006</c:v>
                </c:pt>
                <c:pt idx="3">
                  <c:v>15.0103575</c:v>
                </c:pt>
                <c:pt idx="4">
                  <c:v>25.341112500000001</c:v>
                </c:pt>
              </c:numCache>
            </c:numRef>
          </c:xVal>
          <c:yVal>
            <c:numRef>
              <c:f>Graphs!graph_c_y_range_A</c:f>
              <c:numCache>
                <c:formatCode>0.00</c:formatCode>
                <c:ptCount val="5"/>
                <c:pt idx="0">
                  <c:v>47.259539099999998</c:v>
                </c:pt>
                <c:pt idx="1">
                  <c:v>47.988968499999999</c:v>
                </c:pt>
                <c:pt idx="2">
                  <c:v>48.687194300000002</c:v>
                </c:pt>
                <c:pt idx="3">
                  <c:v>51.458347699999997</c:v>
                </c:pt>
                <c:pt idx="4">
                  <c:v>999.99</c:v>
                </c:pt>
              </c:numCache>
            </c:numRef>
          </c:yVal>
          <c:smooth val="0"/>
          <c:extLst>
            <c:ext xmlns:c16="http://schemas.microsoft.com/office/drawing/2014/chart" uri="{C3380CC4-5D6E-409C-BE32-E72D297353CC}">
              <c16:uniqueId val="{00000000-C18E-44DC-B6AA-309037D45001}"/>
            </c:ext>
          </c:extLst>
        </c:ser>
        <c:ser>
          <c:idx val="1"/>
          <c:order val="1"/>
          <c:tx>
            <c:strRef>
              <c:f>Graphs!graph_c_B_title</c:f>
              <c:strCache>
                <c:ptCount val="1"/>
                <c:pt idx="0">
                  <c:v>0</c:v>
                </c:pt>
              </c:strCache>
            </c:strRef>
          </c:tx>
          <c:spPr>
            <a:ln w="28575">
              <a:prstDash val="solid"/>
            </a:ln>
          </c:spPr>
          <c:marker>
            <c:symbol val="none"/>
          </c:marker>
          <c:xVal>
            <c:strRef>
              <c:f>Graphs!graph_c_x_range_B</c:f>
              <c:strCache>
                <c:ptCount val="5"/>
                <c:pt idx="0">
                  <c:v>·</c:v>
                </c:pt>
                <c:pt idx="1">
                  <c:v>·</c:v>
                </c:pt>
                <c:pt idx="2">
                  <c:v>·</c:v>
                </c:pt>
                <c:pt idx="3">
                  <c:v>·</c:v>
                </c:pt>
                <c:pt idx="4">
                  <c:v>·</c:v>
                </c:pt>
              </c:strCache>
            </c:strRef>
          </c:xVal>
          <c:yVal>
            <c:numRef>
              <c:f>Graphs!graph_c_y_range_B</c:f>
              <c:numCache>
                <c:formatCode>0.00</c:formatCode>
                <c:ptCount val="5"/>
              </c:numCache>
            </c:numRef>
          </c:yVal>
          <c:smooth val="0"/>
          <c:extLst>
            <c:ext xmlns:c16="http://schemas.microsoft.com/office/drawing/2014/chart" uri="{C3380CC4-5D6E-409C-BE32-E72D297353CC}">
              <c16:uniqueId val="{00000001-C18E-44DC-B6AA-309037D45001}"/>
            </c:ext>
          </c:extLst>
        </c:ser>
        <c:dLbls>
          <c:showLegendKey val="0"/>
          <c:showVal val="0"/>
          <c:showCatName val="0"/>
          <c:showSerName val="0"/>
          <c:showPercent val="0"/>
          <c:showBubbleSize val="0"/>
        </c:dLbls>
        <c:axId val="50030001"/>
        <c:axId val="50030002"/>
      </c:scatterChart>
      <c:valAx>
        <c:axId val="50030001"/>
        <c:scaling>
          <c:orientation val="minMax"/>
        </c:scaling>
        <c:delete val="0"/>
        <c:axPos val="b"/>
        <c:majorGridlines>
          <c:spPr>
            <a:ln>
              <a:solidFill>
                <a:srgbClr val="DFDFDF"/>
              </a:solidFill>
              <a:prstDash val="solid"/>
            </a:ln>
          </c:spPr>
        </c:majorGridlines>
        <c:title>
          <c:tx>
            <c:strRef>
              <c:f>Graphs!graph_c_x_title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30002"/>
        <c:crosses val="autoZero"/>
        <c:crossBetween val="midCat"/>
      </c:valAx>
      <c:valAx>
        <c:axId val="50030002"/>
        <c:scaling>
          <c:orientation val="minMax"/>
        </c:scaling>
        <c:delete val="0"/>
        <c:axPos val="l"/>
        <c:majorGridlines>
          <c:spPr>
            <a:ln>
              <a:solidFill>
                <a:srgbClr val="DFDFDF"/>
              </a:solidFill>
              <a:prstDash val="solid"/>
            </a:ln>
          </c:spPr>
        </c:majorGridlines>
        <c:title>
          <c:tx>
            <c:strRef>
              <c:f>Graphs!graph_c_y_title</c:f>
              <c:strCache>
                <c:ptCount val="1"/>
                <c:pt idx="0">
                  <c:v>Geom Image-based PSNR [dB]</c:v>
                </c:pt>
              </c:strCache>
            </c:strRef>
          </c:tx>
          <c:overlay val="0"/>
          <c:txPr>
            <a:bodyPr rot="-5400000" vert="horz"/>
            <a:lstStyle/>
            <a:p>
              <a:pPr>
                <a:defRPr/>
              </a:pPr>
              <a:endParaRPr lang="en-US"/>
            </a:p>
          </c:txPr>
        </c:title>
        <c:numFmt formatCode="0.00" sourceLinked="1"/>
        <c:majorTickMark val="out"/>
        <c:minorTickMark val="none"/>
        <c:tickLblPos val="nextTo"/>
        <c:crossAx val="5003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Graphs!graph_d_title</c:f>
          <c:strCache>
            <c:ptCount val="1"/>
            <c:pt idx="0">
              <c:v>Luma Pointcloud-based PSNR [dB] (Graph d)</c:v>
            </c:pt>
          </c:strCache>
        </c:strRef>
      </c:tx>
      <c:overlay val="0"/>
      <c:txPr>
        <a:bodyPr/>
        <a:lstStyle/>
        <a:p>
          <a:pPr>
            <a:defRPr/>
          </a:pPr>
          <a:endParaRPr lang="en-US"/>
        </a:p>
      </c:txPr>
    </c:title>
    <c:autoTitleDeleted val="0"/>
    <c:plotArea>
      <c:layout/>
      <c:scatterChart>
        <c:scatterStyle val="lineMarker"/>
        <c:varyColors val="0"/>
        <c:ser>
          <c:idx val="0"/>
          <c:order val="0"/>
          <c:tx>
            <c:strRef>
              <c:f>Graphs!graph_d_A_title</c:f>
              <c:strCache>
                <c:ptCount val="1"/>
                <c:pt idx="0">
                  <c:v>F032_v2.0</c:v>
                </c:pt>
              </c:strCache>
            </c:strRef>
          </c:tx>
          <c:spPr>
            <a:ln w="28575">
              <a:prstDash val="solid"/>
            </a:ln>
          </c:spPr>
          <c:marker>
            <c:symbol val="none"/>
          </c:marker>
          <c:xVal>
            <c:numRef>
              <c:f>Graphs!graph_d_x_range_A</c:f>
              <c:numCache>
                <c:formatCode>0.000</c:formatCode>
                <c:ptCount val="5"/>
                <c:pt idx="0">
                  <c:v>4.8089550000000001</c:v>
                </c:pt>
                <c:pt idx="1">
                  <c:v>6.2796450000000004</c:v>
                </c:pt>
                <c:pt idx="2">
                  <c:v>8.4927825000000006</c:v>
                </c:pt>
                <c:pt idx="3">
                  <c:v>15.0103575</c:v>
                </c:pt>
                <c:pt idx="4">
                  <c:v>25.341112500000001</c:v>
                </c:pt>
              </c:numCache>
            </c:numRef>
          </c:xVal>
          <c:yVal>
            <c:numRef>
              <c:f>Graphs!graph_d_y_range_A</c:f>
              <c:numCache>
                <c:formatCode>0.00</c:formatCode>
                <c:ptCount val="5"/>
                <c:pt idx="0">
                  <c:v>29.540889199999999</c:v>
                </c:pt>
                <c:pt idx="1">
                  <c:v>29.916226000000002</c:v>
                </c:pt>
                <c:pt idx="2">
                  <c:v>30.331943500000001</c:v>
                </c:pt>
                <c:pt idx="3">
                  <c:v>31.081115400000002</c:v>
                </c:pt>
                <c:pt idx="4">
                  <c:v>32.121573699999999</c:v>
                </c:pt>
              </c:numCache>
            </c:numRef>
          </c:yVal>
          <c:smooth val="0"/>
          <c:extLst>
            <c:ext xmlns:c16="http://schemas.microsoft.com/office/drawing/2014/chart" uri="{C3380CC4-5D6E-409C-BE32-E72D297353CC}">
              <c16:uniqueId val="{00000000-3E12-49E1-BE7E-AFD45771F34D}"/>
            </c:ext>
          </c:extLst>
        </c:ser>
        <c:ser>
          <c:idx val="1"/>
          <c:order val="1"/>
          <c:tx>
            <c:strRef>
              <c:f>Graphs!graph_d_B_title</c:f>
              <c:strCache>
                <c:ptCount val="1"/>
                <c:pt idx="0">
                  <c:v>0</c:v>
                </c:pt>
              </c:strCache>
            </c:strRef>
          </c:tx>
          <c:spPr>
            <a:ln w="28575">
              <a:prstDash val="solid"/>
            </a:ln>
          </c:spPr>
          <c:marker>
            <c:symbol val="none"/>
          </c:marker>
          <c:xVal>
            <c:strRef>
              <c:f>Graphs!graph_d_x_range_B</c:f>
              <c:strCache>
                <c:ptCount val="5"/>
                <c:pt idx="0">
                  <c:v>·</c:v>
                </c:pt>
                <c:pt idx="1">
                  <c:v>·</c:v>
                </c:pt>
                <c:pt idx="2">
                  <c:v>·</c:v>
                </c:pt>
                <c:pt idx="3">
                  <c:v>·</c:v>
                </c:pt>
                <c:pt idx="4">
                  <c:v>·</c:v>
                </c:pt>
              </c:strCache>
            </c:strRef>
          </c:xVal>
          <c:yVal>
            <c:numRef>
              <c:f>Graphs!graph_d_y_range_B</c:f>
              <c:numCache>
                <c:formatCode>0.00</c:formatCode>
                <c:ptCount val="5"/>
              </c:numCache>
            </c:numRef>
          </c:yVal>
          <c:smooth val="0"/>
          <c:extLst>
            <c:ext xmlns:c16="http://schemas.microsoft.com/office/drawing/2014/chart" uri="{C3380CC4-5D6E-409C-BE32-E72D297353CC}">
              <c16:uniqueId val="{00000001-3E12-49E1-BE7E-AFD45771F34D}"/>
            </c:ext>
          </c:extLst>
        </c:ser>
        <c:dLbls>
          <c:showLegendKey val="0"/>
          <c:showVal val="0"/>
          <c:showCatName val="0"/>
          <c:showSerName val="0"/>
          <c:showPercent val="0"/>
          <c:showBubbleSize val="0"/>
        </c:dLbls>
        <c:axId val="50040001"/>
        <c:axId val="50040002"/>
      </c:scatterChart>
      <c:valAx>
        <c:axId val="50040001"/>
        <c:scaling>
          <c:orientation val="minMax"/>
        </c:scaling>
        <c:delete val="0"/>
        <c:axPos val="b"/>
        <c:majorGridlines>
          <c:spPr>
            <a:ln>
              <a:solidFill>
                <a:srgbClr val="DFDFDF"/>
              </a:solidFill>
              <a:prstDash val="solid"/>
            </a:ln>
          </c:spPr>
        </c:majorGridlines>
        <c:title>
          <c:tx>
            <c:strRef>
              <c:f>Graphs!graph_d_x_title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40002"/>
        <c:crosses val="autoZero"/>
        <c:crossBetween val="midCat"/>
      </c:valAx>
      <c:valAx>
        <c:axId val="50040002"/>
        <c:scaling>
          <c:orientation val="minMax"/>
        </c:scaling>
        <c:delete val="0"/>
        <c:axPos val="l"/>
        <c:majorGridlines>
          <c:spPr>
            <a:ln>
              <a:solidFill>
                <a:srgbClr val="DFDFDF"/>
              </a:solidFill>
              <a:prstDash val="solid"/>
            </a:ln>
          </c:spPr>
        </c:majorGridlines>
        <c:title>
          <c:tx>
            <c:strRef>
              <c:f>Graphs!graph_d_y_title</c:f>
              <c:strCache>
                <c:ptCount val="1"/>
                <c:pt idx="0">
                  <c:v>Luma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4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Graphs!graph_e_title</c:f>
          <c:strCache>
            <c:ptCount val="1"/>
            <c:pt idx="0">
              <c:v>Chroma Cb Pointcloud-based PSNR [dB] (Graph e)</c:v>
            </c:pt>
          </c:strCache>
        </c:strRef>
      </c:tx>
      <c:overlay val="0"/>
      <c:txPr>
        <a:bodyPr/>
        <a:lstStyle/>
        <a:p>
          <a:pPr>
            <a:defRPr/>
          </a:pPr>
          <a:endParaRPr lang="en-US"/>
        </a:p>
      </c:txPr>
    </c:title>
    <c:autoTitleDeleted val="0"/>
    <c:plotArea>
      <c:layout/>
      <c:scatterChart>
        <c:scatterStyle val="lineMarker"/>
        <c:varyColors val="0"/>
        <c:ser>
          <c:idx val="0"/>
          <c:order val="0"/>
          <c:tx>
            <c:strRef>
              <c:f>Graphs!graph_e_A_title</c:f>
              <c:strCache>
                <c:ptCount val="1"/>
                <c:pt idx="0">
                  <c:v>F032_v2.0</c:v>
                </c:pt>
              </c:strCache>
            </c:strRef>
          </c:tx>
          <c:spPr>
            <a:ln w="28575">
              <a:prstDash val="solid"/>
            </a:ln>
          </c:spPr>
          <c:marker>
            <c:symbol val="none"/>
          </c:marker>
          <c:xVal>
            <c:numRef>
              <c:f>Graphs!graph_e_x_range_A</c:f>
              <c:numCache>
                <c:formatCode>0.000</c:formatCode>
                <c:ptCount val="5"/>
                <c:pt idx="0">
                  <c:v>4.8089550000000001</c:v>
                </c:pt>
                <c:pt idx="1">
                  <c:v>6.2796450000000004</c:v>
                </c:pt>
                <c:pt idx="2">
                  <c:v>8.4927825000000006</c:v>
                </c:pt>
                <c:pt idx="3">
                  <c:v>15.0103575</c:v>
                </c:pt>
                <c:pt idx="4">
                  <c:v>25.341112500000001</c:v>
                </c:pt>
              </c:numCache>
            </c:numRef>
          </c:xVal>
          <c:yVal>
            <c:numRef>
              <c:f>Graphs!graph_e_y_range_A</c:f>
              <c:numCache>
                <c:formatCode>0.00</c:formatCode>
                <c:ptCount val="5"/>
                <c:pt idx="0">
                  <c:v>38.553748200000001</c:v>
                </c:pt>
                <c:pt idx="1">
                  <c:v>38.831108200000003</c:v>
                </c:pt>
                <c:pt idx="2">
                  <c:v>38.918952099999998</c:v>
                </c:pt>
                <c:pt idx="3">
                  <c:v>39.018960499999999</c:v>
                </c:pt>
                <c:pt idx="4">
                  <c:v>39.076155300000003</c:v>
                </c:pt>
              </c:numCache>
            </c:numRef>
          </c:yVal>
          <c:smooth val="0"/>
          <c:extLst>
            <c:ext xmlns:c16="http://schemas.microsoft.com/office/drawing/2014/chart" uri="{C3380CC4-5D6E-409C-BE32-E72D297353CC}">
              <c16:uniqueId val="{00000000-A2C5-444E-88FB-A8C30B611A24}"/>
            </c:ext>
          </c:extLst>
        </c:ser>
        <c:ser>
          <c:idx val="1"/>
          <c:order val="1"/>
          <c:tx>
            <c:strRef>
              <c:f>Graphs!graph_e_B_title</c:f>
              <c:strCache>
                <c:ptCount val="1"/>
                <c:pt idx="0">
                  <c:v>0</c:v>
                </c:pt>
              </c:strCache>
            </c:strRef>
          </c:tx>
          <c:spPr>
            <a:ln w="28575">
              <a:prstDash val="solid"/>
            </a:ln>
          </c:spPr>
          <c:marker>
            <c:symbol val="none"/>
          </c:marker>
          <c:xVal>
            <c:strRef>
              <c:f>Graphs!graph_e_x_range_B</c:f>
              <c:strCache>
                <c:ptCount val="5"/>
                <c:pt idx="0">
                  <c:v>·</c:v>
                </c:pt>
                <c:pt idx="1">
                  <c:v>·</c:v>
                </c:pt>
                <c:pt idx="2">
                  <c:v>·</c:v>
                </c:pt>
                <c:pt idx="3">
                  <c:v>·</c:v>
                </c:pt>
                <c:pt idx="4">
                  <c:v>·</c:v>
                </c:pt>
              </c:strCache>
            </c:strRef>
          </c:xVal>
          <c:yVal>
            <c:numRef>
              <c:f>Graphs!graph_e_y_range_B</c:f>
              <c:numCache>
                <c:formatCode>0.00</c:formatCode>
                <c:ptCount val="5"/>
              </c:numCache>
            </c:numRef>
          </c:yVal>
          <c:smooth val="0"/>
          <c:extLst>
            <c:ext xmlns:c16="http://schemas.microsoft.com/office/drawing/2014/chart" uri="{C3380CC4-5D6E-409C-BE32-E72D297353CC}">
              <c16:uniqueId val="{00000001-A2C5-444E-88FB-A8C30B611A24}"/>
            </c:ext>
          </c:extLst>
        </c:ser>
        <c:dLbls>
          <c:showLegendKey val="0"/>
          <c:showVal val="0"/>
          <c:showCatName val="0"/>
          <c:showSerName val="0"/>
          <c:showPercent val="0"/>
          <c:showBubbleSize val="0"/>
        </c:dLbls>
        <c:axId val="50050001"/>
        <c:axId val="50050002"/>
      </c:scatterChart>
      <c:valAx>
        <c:axId val="50050001"/>
        <c:scaling>
          <c:orientation val="minMax"/>
        </c:scaling>
        <c:delete val="0"/>
        <c:axPos val="b"/>
        <c:majorGridlines>
          <c:spPr>
            <a:ln>
              <a:solidFill>
                <a:srgbClr val="DFDFDF"/>
              </a:solidFill>
              <a:prstDash val="solid"/>
            </a:ln>
          </c:spPr>
        </c:majorGridlines>
        <c:title>
          <c:tx>
            <c:strRef>
              <c:f>Graphs!graph_e_x_title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50002"/>
        <c:crosses val="autoZero"/>
        <c:crossBetween val="midCat"/>
      </c:valAx>
      <c:valAx>
        <c:axId val="50050002"/>
        <c:scaling>
          <c:orientation val="minMax"/>
        </c:scaling>
        <c:delete val="0"/>
        <c:axPos val="l"/>
        <c:majorGridlines>
          <c:spPr>
            <a:ln>
              <a:solidFill>
                <a:srgbClr val="DFDFDF"/>
              </a:solidFill>
              <a:prstDash val="solid"/>
            </a:ln>
          </c:spPr>
        </c:majorGridlines>
        <c:title>
          <c:tx>
            <c:strRef>
              <c:f>Graphs!graph_e_y_title</c:f>
              <c:strCache>
                <c:ptCount val="1"/>
                <c:pt idx="0">
                  <c:v>Chroma Cb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5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Graphs!graph_f_title</c:f>
          <c:strCache>
            <c:ptCount val="1"/>
            <c:pt idx="0">
              <c:v>Chroma Cr Pointcloud-based PSNR [dB] (Graph f)</c:v>
            </c:pt>
          </c:strCache>
        </c:strRef>
      </c:tx>
      <c:overlay val="0"/>
      <c:txPr>
        <a:bodyPr/>
        <a:lstStyle/>
        <a:p>
          <a:pPr>
            <a:defRPr/>
          </a:pPr>
          <a:endParaRPr lang="en-US"/>
        </a:p>
      </c:txPr>
    </c:title>
    <c:autoTitleDeleted val="0"/>
    <c:plotArea>
      <c:layout/>
      <c:scatterChart>
        <c:scatterStyle val="lineMarker"/>
        <c:varyColors val="0"/>
        <c:ser>
          <c:idx val="0"/>
          <c:order val="0"/>
          <c:tx>
            <c:strRef>
              <c:f>Graphs!graph_f_A_title</c:f>
              <c:strCache>
                <c:ptCount val="1"/>
                <c:pt idx="0">
                  <c:v>F032_v2.0</c:v>
                </c:pt>
              </c:strCache>
            </c:strRef>
          </c:tx>
          <c:spPr>
            <a:ln w="28575">
              <a:prstDash val="solid"/>
            </a:ln>
          </c:spPr>
          <c:marker>
            <c:symbol val="none"/>
          </c:marker>
          <c:xVal>
            <c:numRef>
              <c:f>Graphs!graph_f_x_range_A</c:f>
              <c:numCache>
                <c:formatCode>0.000</c:formatCode>
                <c:ptCount val="5"/>
                <c:pt idx="0">
                  <c:v>4.8089550000000001</c:v>
                </c:pt>
                <c:pt idx="1">
                  <c:v>6.2796450000000004</c:v>
                </c:pt>
                <c:pt idx="2">
                  <c:v>8.4927825000000006</c:v>
                </c:pt>
                <c:pt idx="3">
                  <c:v>15.0103575</c:v>
                </c:pt>
                <c:pt idx="4">
                  <c:v>25.341112500000001</c:v>
                </c:pt>
              </c:numCache>
            </c:numRef>
          </c:xVal>
          <c:yVal>
            <c:numRef>
              <c:f>Graphs!graph_f_y_range_A</c:f>
              <c:numCache>
                <c:formatCode>0.00</c:formatCode>
                <c:ptCount val="5"/>
                <c:pt idx="0">
                  <c:v>38.507749799999999</c:v>
                </c:pt>
                <c:pt idx="1">
                  <c:v>38.879624499999998</c:v>
                </c:pt>
                <c:pt idx="2">
                  <c:v>39.025923599999999</c:v>
                </c:pt>
                <c:pt idx="3">
                  <c:v>39.2100072</c:v>
                </c:pt>
                <c:pt idx="4">
                  <c:v>39.297184799999997</c:v>
                </c:pt>
              </c:numCache>
            </c:numRef>
          </c:yVal>
          <c:smooth val="0"/>
          <c:extLst>
            <c:ext xmlns:c16="http://schemas.microsoft.com/office/drawing/2014/chart" uri="{C3380CC4-5D6E-409C-BE32-E72D297353CC}">
              <c16:uniqueId val="{00000000-BB38-45A3-B06A-F1978B584A31}"/>
            </c:ext>
          </c:extLst>
        </c:ser>
        <c:ser>
          <c:idx val="1"/>
          <c:order val="1"/>
          <c:tx>
            <c:strRef>
              <c:f>Graphs!graph_f_B_title</c:f>
              <c:strCache>
                <c:ptCount val="1"/>
                <c:pt idx="0">
                  <c:v>0</c:v>
                </c:pt>
              </c:strCache>
            </c:strRef>
          </c:tx>
          <c:spPr>
            <a:ln w="28575">
              <a:prstDash val="solid"/>
            </a:ln>
          </c:spPr>
          <c:marker>
            <c:symbol val="none"/>
          </c:marker>
          <c:xVal>
            <c:strRef>
              <c:f>Graphs!graph_f_x_range_B</c:f>
              <c:strCache>
                <c:ptCount val="5"/>
                <c:pt idx="0">
                  <c:v>·</c:v>
                </c:pt>
                <c:pt idx="1">
                  <c:v>·</c:v>
                </c:pt>
                <c:pt idx="2">
                  <c:v>·</c:v>
                </c:pt>
                <c:pt idx="3">
                  <c:v>·</c:v>
                </c:pt>
                <c:pt idx="4">
                  <c:v>·</c:v>
                </c:pt>
              </c:strCache>
            </c:strRef>
          </c:xVal>
          <c:yVal>
            <c:numRef>
              <c:f>Graphs!graph_f_y_range_B</c:f>
              <c:numCache>
                <c:formatCode>0.00</c:formatCode>
                <c:ptCount val="5"/>
              </c:numCache>
            </c:numRef>
          </c:yVal>
          <c:smooth val="0"/>
          <c:extLst>
            <c:ext xmlns:c16="http://schemas.microsoft.com/office/drawing/2014/chart" uri="{C3380CC4-5D6E-409C-BE32-E72D297353CC}">
              <c16:uniqueId val="{00000001-BB38-45A3-B06A-F1978B584A31}"/>
            </c:ext>
          </c:extLst>
        </c:ser>
        <c:dLbls>
          <c:showLegendKey val="0"/>
          <c:showVal val="0"/>
          <c:showCatName val="0"/>
          <c:showSerName val="0"/>
          <c:showPercent val="0"/>
          <c:showBubbleSize val="0"/>
        </c:dLbls>
        <c:axId val="50060001"/>
        <c:axId val="50060002"/>
      </c:scatterChart>
      <c:valAx>
        <c:axId val="50060001"/>
        <c:scaling>
          <c:orientation val="minMax"/>
        </c:scaling>
        <c:delete val="0"/>
        <c:axPos val="b"/>
        <c:majorGridlines>
          <c:spPr>
            <a:ln>
              <a:solidFill>
                <a:srgbClr val="DFDFDF"/>
              </a:solidFill>
              <a:prstDash val="solid"/>
            </a:ln>
          </c:spPr>
        </c:majorGridlines>
        <c:title>
          <c:tx>
            <c:strRef>
              <c:f>Graphs!graph_f_x_title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60002"/>
        <c:crosses val="autoZero"/>
        <c:crossBetween val="midCat"/>
      </c:valAx>
      <c:valAx>
        <c:axId val="50060002"/>
        <c:scaling>
          <c:orientation val="minMax"/>
        </c:scaling>
        <c:delete val="0"/>
        <c:axPos val="l"/>
        <c:majorGridlines>
          <c:spPr>
            <a:ln>
              <a:solidFill>
                <a:srgbClr val="DFDFDF"/>
              </a:solidFill>
              <a:prstDash val="solid"/>
            </a:ln>
          </c:spPr>
        </c:majorGridlines>
        <c:title>
          <c:tx>
            <c:strRef>
              <c:f>Graphs!graph_f_y_title</c:f>
              <c:strCache>
                <c:ptCount val="1"/>
                <c:pt idx="0">
                  <c:v>Chroma Cr Pointcloud-based PSNR [dB]</c:v>
                </c:pt>
              </c:strCache>
            </c:strRef>
          </c:tx>
          <c:overlay val="0"/>
          <c:txPr>
            <a:bodyPr rot="-5400000" vert="horz"/>
            <a:lstStyle/>
            <a:p>
              <a:pPr>
                <a:defRPr/>
              </a:pPr>
              <a:endParaRPr lang="en-US"/>
            </a:p>
          </c:txPr>
        </c:title>
        <c:numFmt formatCode="0.00" sourceLinked="1"/>
        <c:majorTickMark val="out"/>
        <c:minorTickMark val="none"/>
        <c:tickLblPos val="nextTo"/>
        <c:crossAx val="5006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Graphs!graph_g_title</c:f>
          <c:strCache>
            <c:ptCount val="1"/>
            <c:pt idx="0">
              <c:v>Luma Image-based PSNR [dB] (Graph g)</c:v>
            </c:pt>
          </c:strCache>
        </c:strRef>
      </c:tx>
      <c:overlay val="0"/>
      <c:txPr>
        <a:bodyPr/>
        <a:lstStyle/>
        <a:p>
          <a:pPr>
            <a:defRPr/>
          </a:pPr>
          <a:endParaRPr lang="en-US"/>
        </a:p>
      </c:txPr>
    </c:title>
    <c:autoTitleDeleted val="0"/>
    <c:plotArea>
      <c:layout/>
      <c:scatterChart>
        <c:scatterStyle val="lineMarker"/>
        <c:varyColors val="0"/>
        <c:ser>
          <c:idx val="0"/>
          <c:order val="0"/>
          <c:tx>
            <c:strRef>
              <c:f>Graphs!graph_g_A_title</c:f>
              <c:strCache>
                <c:ptCount val="1"/>
                <c:pt idx="0">
                  <c:v>F032_v2.0</c:v>
                </c:pt>
              </c:strCache>
            </c:strRef>
          </c:tx>
          <c:spPr>
            <a:ln w="28575">
              <a:prstDash val="solid"/>
            </a:ln>
          </c:spPr>
          <c:marker>
            <c:symbol val="none"/>
          </c:marker>
          <c:xVal>
            <c:numRef>
              <c:f>Graphs!graph_g_x_range_A</c:f>
              <c:numCache>
                <c:formatCode>0.000</c:formatCode>
                <c:ptCount val="5"/>
                <c:pt idx="0">
                  <c:v>4.8089550000000001</c:v>
                </c:pt>
                <c:pt idx="1">
                  <c:v>6.2796450000000004</c:v>
                </c:pt>
                <c:pt idx="2">
                  <c:v>8.4927825000000006</c:v>
                </c:pt>
                <c:pt idx="3">
                  <c:v>15.0103575</c:v>
                </c:pt>
                <c:pt idx="4">
                  <c:v>25.341112500000001</c:v>
                </c:pt>
              </c:numCache>
            </c:numRef>
          </c:xVal>
          <c:yVal>
            <c:numRef>
              <c:f>Graphs!graph_g_y_range_A</c:f>
              <c:numCache>
                <c:formatCode>0.00</c:formatCode>
                <c:ptCount val="5"/>
                <c:pt idx="0">
                  <c:v>28.562339399999999</c:v>
                </c:pt>
                <c:pt idx="1">
                  <c:v>28.9758277</c:v>
                </c:pt>
                <c:pt idx="2">
                  <c:v>29.403458199999999</c:v>
                </c:pt>
                <c:pt idx="3">
                  <c:v>30.512010700000001</c:v>
                </c:pt>
                <c:pt idx="4">
                  <c:v>32.108595100000002</c:v>
                </c:pt>
              </c:numCache>
            </c:numRef>
          </c:yVal>
          <c:smooth val="0"/>
          <c:extLst>
            <c:ext xmlns:c16="http://schemas.microsoft.com/office/drawing/2014/chart" uri="{C3380CC4-5D6E-409C-BE32-E72D297353CC}">
              <c16:uniqueId val="{00000000-F2E1-40A9-81F2-E3B76D13BC38}"/>
            </c:ext>
          </c:extLst>
        </c:ser>
        <c:ser>
          <c:idx val="1"/>
          <c:order val="1"/>
          <c:tx>
            <c:strRef>
              <c:f>Graphs!graph_g_B_title</c:f>
              <c:strCache>
                <c:ptCount val="1"/>
                <c:pt idx="0">
                  <c:v>0</c:v>
                </c:pt>
              </c:strCache>
            </c:strRef>
          </c:tx>
          <c:spPr>
            <a:ln w="28575">
              <a:prstDash val="solid"/>
            </a:ln>
          </c:spPr>
          <c:marker>
            <c:symbol val="none"/>
          </c:marker>
          <c:xVal>
            <c:strRef>
              <c:f>Graphs!graph_g_x_range_B</c:f>
              <c:strCache>
                <c:ptCount val="5"/>
                <c:pt idx="0">
                  <c:v>·</c:v>
                </c:pt>
                <c:pt idx="1">
                  <c:v>·</c:v>
                </c:pt>
                <c:pt idx="2">
                  <c:v>·</c:v>
                </c:pt>
                <c:pt idx="3">
                  <c:v>·</c:v>
                </c:pt>
                <c:pt idx="4">
                  <c:v>·</c:v>
                </c:pt>
              </c:strCache>
            </c:strRef>
          </c:xVal>
          <c:yVal>
            <c:numRef>
              <c:f>Graphs!graph_g_y_range_B</c:f>
              <c:numCache>
                <c:formatCode>0.00</c:formatCode>
                <c:ptCount val="5"/>
              </c:numCache>
            </c:numRef>
          </c:yVal>
          <c:smooth val="0"/>
          <c:extLst>
            <c:ext xmlns:c16="http://schemas.microsoft.com/office/drawing/2014/chart" uri="{C3380CC4-5D6E-409C-BE32-E72D297353CC}">
              <c16:uniqueId val="{00000001-F2E1-40A9-81F2-E3B76D13BC38}"/>
            </c:ext>
          </c:extLst>
        </c:ser>
        <c:dLbls>
          <c:showLegendKey val="0"/>
          <c:showVal val="0"/>
          <c:showCatName val="0"/>
          <c:showSerName val="0"/>
          <c:showPercent val="0"/>
          <c:showBubbleSize val="0"/>
        </c:dLbls>
        <c:axId val="50070001"/>
        <c:axId val="50070002"/>
      </c:scatterChart>
      <c:valAx>
        <c:axId val="50070001"/>
        <c:scaling>
          <c:orientation val="minMax"/>
        </c:scaling>
        <c:delete val="0"/>
        <c:axPos val="b"/>
        <c:majorGridlines>
          <c:spPr>
            <a:ln>
              <a:solidFill>
                <a:srgbClr val="DFDFDF"/>
              </a:solidFill>
              <a:prstDash val="solid"/>
            </a:ln>
          </c:spPr>
        </c:majorGridlines>
        <c:title>
          <c:tx>
            <c:strRef>
              <c:f>Graphs!graph_g_x_title</c:f>
              <c:strCache>
                <c:ptCount val="1"/>
                <c:pt idx="0">
                  <c:v>Rate [Mbps]</c:v>
                </c:pt>
              </c:strCache>
            </c:strRef>
          </c:tx>
          <c:overlay val="0"/>
          <c:txPr>
            <a:bodyPr/>
            <a:lstStyle/>
            <a:p>
              <a:pPr>
                <a:defRPr/>
              </a:pPr>
              <a:endParaRPr lang="en-US"/>
            </a:p>
          </c:txPr>
        </c:title>
        <c:numFmt formatCode="0.000" sourceLinked="1"/>
        <c:majorTickMark val="out"/>
        <c:minorTickMark val="none"/>
        <c:tickLblPos val="nextTo"/>
        <c:crossAx val="50070002"/>
        <c:crosses val="autoZero"/>
        <c:crossBetween val="midCat"/>
      </c:valAx>
      <c:valAx>
        <c:axId val="50070002"/>
        <c:scaling>
          <c:orientation val="minMax"/>
        </c:scaling>
        <c:delete val="0"/>
        <c:axPos val="l"/>
        <c:majorGridlines>
          <c:spPr>
            <a:ln>
              <a:solidFill>
                <a:srgbClr val="DFDFDF"/>
              </a:solidFill>
              <a:prstDash val="solid"/>
            </a:ln>
          </c:spPr>
        </c:majorGridlines>
        <c:title>
          <c:tx>
            <c:strRef>
              <c:f>Graphs!graph_g_y_title</c:f>
              <c:strCache>
                <c:ptCount val="1"/>
                <c:pt idx="0">
                  <c:v>Luma Image-based PSNR [dB]</c:v>
                </c:pt>
              </c:strCache>
            </c:strRef>
          </c:tx>
          <c:overlay val="0"/>
          <c:txPr>
            <a:bodyPr rot="-5400000" vert="horz"/>
            <a:lstStyle/>
            <a:p>
              <a:pPr>
                <a:defRPr/>
              </a:pPr>
              <a:endParaRPr lang="en-US"/>
            </a:p>
          </c:txPr>
        </c:title>
        <c:numFmt formatCode="0.00" sourceLinked="1"/>
        <c:majorTickMark val="out"/>
        <c:minorTickMark val="none"/>
        <c:tickLblPos val="nextTo"/>
        <c:crossAx val="50070001"/>
        <c:crosses val="autoZero"/>
        <c:crossBetween val="midCat"/>
      </c:valAx>
    </c:plotArea>
    <c:legend>
      <c:legendPos val="b"/>
      <c:overlay val="0"/>
    </c:legend>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11</xdr:row>
      <xdr:rowOff>0</xdr:rowOff>
    </xdr:from>
    <xdr:to>
      <xdr:col>7</xdr:col>
      <xdr:colOff>276225</xdr:colOff>
      <xdr:row>32</xdr:row>
      <xdr:rowOff>114300</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33</xdr:row>
      <xdr:rowOff>0</xdr:rowOff>
    </xdr:from>
    <xdr:to>
      <xdr:col>7</xdr:col>
      <xdr:colOff>276225</xdr:colOff>
      <xdr:row>54</xdr:row>
      <xdr:rowOff>114300</xdr:rowOff>
    </xdr:to>
    <xdr:graphicFrame macro="">
      <xdr:nvGraphicFramePr>
        <xdr:cNvPr id="3" name="Chart 2">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55</xdr:row>
      <xdr:rowOff>0</xdr:rowOff>
    </xdr:from>
    <xdr:to>
      <xdr:col>7</xdr:col>
      <xdr:colOff>276225</xdr:colOff>
      <xdr:row>76</xdr:row>
      <xdr:rowOff>114300</xdr:rowOff>
    </xdr:to>
    <xdr:graphicFrame macro="">
      <xdr:nvGraphicFramePr>
        <xdr:cNvPr id="4" name="Chart 3">
          <a:extLst>
            <a:ext uri="{FF2B5EF4-FFF2-40B4-BE49-F238E27FC236}">
              <a16:creationId xmlns:a16="http://schemas.microsoft.com/office/drawing/2014/main" id="{00000000-0008-0000-01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11</xdr:row>
      <xdr:rowOff>0</xdr:rowOff>
    </xdr:from>
    <xdr:to>
      <xdr:col>18</xdr:col>
      <xdr:colOff>257175</xdr:colOff>
      <xdr:row>32</xdr:row>
      <xdr:rowOff>114300</xdr:rowOff>
    </xdr:to>
    <xdr:graphicFrame macro="">
      <xdr:nvGraphicFramePr>
        <xdr:cNvPr id="5" name="Chart 4">
          <a:extLst>
            <a:ext uri="{FF2B5EF4-FFF2-40B4-BE49-F238E27FC236}">
              <a16:creationId xmlns:a16="http://schemas.microsoft.com/office/drawing/2014/main" id="{00000000-0008-0000-01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0</xdr:colOff>
      <xdr:row>33</xdr:row>
      <xdr:rowOff>0</xdr:rowOff>
    </xdr:from>
    <xdr:to>
      <xdr:col>18</xdr:col>
      <xdr:colOff>257175</xdr:colOff>
      <xdr:row>54</xdr:row>
      <xdr:rowOff>114300</xdr:rowOff>
    </xdr:to>
    <xdr:graphicFrame macro="">
      <xdr:nvGraphicFramePr>
        <xdr:cNvPr id="6" name="Chart 5">
          <a:extLst>
            <a:ext uri="{FF2B5EF4-FFF2-40B4-BE49-F238E27FC236}">
              <a16:creationId xmlns:a16="http://schemas.microsoft.com/office/drawing/2014/main" id="{00000000-0008-0000-01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8</xdr:col>
      <xdr:colOff>0</xdr:colOff>
      <xdr:row>55</xdr:row>
      <xdr:rowOff>0</xdr:rowOff>
    </xdr:from>
    <xdr:to>
      <xdr:col>18</xdr:col>
      <xdr:colOff>257175</xdr:colOff>
      <xdr:row>76</xdr:row>
      <xdr:rowOff>114300</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19</xdr:col>
      <xdr:colOff>0</xdr:colOff>
      <xdr:row>11</xdr:row>
      <xdr:rowOff>0</xdr:rowOff>
    </xdr:from>
    <xdr:to>
      <xdr:col>30</xdr:col>
      <xdr:colOff>152400</xdr:colOff>
      <xdr:row>32</xdr:row>
      <xdr:rowOff>114300</xdr:rowOff>
    </xdr:to>
    <xdr:graphicFrame macro="">
      <xdr:nvGraphicFramePr>
        <xdr:cNvPr id="8" name="Chart 7">
          <a:extLst>
            <a:ext uri="{FF2B5EF4-FFF2-40B4-BE49-F238E27FC236}">
              <a16:creationId xmlns:a16="http://schemas.microsoft.com/office/drawing/2014/main" id="{00000000-0008-0000-01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B1:I36"/>
  <sheetViews>
    <sheetView tabSelected="1" workbookViewId="0">
      <selection activeCell="C1" sqref="C1:E1"/>
    </sheetView>
  </sheetViews>
  <sheetFormatPr defaultColWidth="9.140625" defaultRowHeight="15" x14ac:dyDescent="0.25"/>
  <cols>
    <col min="2" max="2" width="16.7109375" style="3" customWidth="1"/>
    <col min="3" max="9" width="24.7109375" style="3" customWidth="1"/>
  </cols>
  <sheetData>
    <row r="1" spans="2:9" x14ac:dyDescent="0.25">
      <c r="B1" t="s">
        <v>0</v>
      </c>
      <c r="C1" s="70" t="s">
        <v>378</v>
      </c>
      <c r="D1" s="62"/>
      <c r="E1" s="62"/>
    </row>
    <row r="2" spans="2:9" x14ac:dyDescent="0.25">
      <c r="B2" t="s">
        <v>1</v>
      </c>
      <c r="C2" s="71"/>
      <c r="D2" s="62"/>
      <c r="E2" s="62"/>
    </row>
    <row r="4" spans="2:9" s="1" customFormat="1" x14ac:dyDescent="0.25">
      <c r="B4" s="1" t="s">
        <v>2</v>
      </c>
    </row>
    <row r="6" spans="2:9" ht="45" customHeight="1" x14ac:dyDescent="0.25">
      <c r="B6" s="65" t="s">
        <v>3</v>
      </c>
      <c r="C6" s="55" t="s">
        <v>4</v>
      </c>
    </row>
    <row r="7" spans="2:9" x14ac:dyDescent="0.25">
      <c r="B7" s="62"/>
      <c r="C7" s="56" t="s">
        <v>5</v>
      </c>
    </row>
    <row r="8" spans="2:9" x14ac:dyDescent="0.25">
      <c r="B8" s="64"/>
      <c r="C8" s="2" t="s">
        <v>6</v>
      </c>
    </row>
    <row r="9" spans="2:9" x14ac:dyDescent="0.25">
      <c r="B9" t="s">
        <v>7</v>
      </c>
      <c r="C9" s="4" t="e">
        <f>'C0 lossless AI'!T13</f>
        <v>#DIV/0!</v>
      </c>
    </row>
    <row r="10" spans="2:9" x14ac:dyDescent="0.25">
      <c r="B10" t="s">
        <v>8</v>
      </c>
      <c r="C10" s="4" t="e">
        <f>'C0 lossless AI'!T14</f>
        <v>#DIV/0!</v>
      </c>
    </row>
    <row r="11" spans="2:9" x14ac:dyDescent="0.25">
      <c r="B11" t="s">
        <v>9</v>
      </c>
      <c r="C11" s="4" t="e">
        <f>'C0 lossless AI'!T15</f>
        <v>#DIV/0!</v>
      </c>
    </row>
    <row r="12" spans="2:9" x14ac:dyDescent="0.25">
      <c r="B12" s="5" t="s">
        <v>10</v>
      </c>
      <c r="C12" s="6" t="e">
        <f>'C0 lossless AI'!T16</f>
        <v>#DIV/0!</v>
      </c>
    </row>
    <row r="13" spans="2:9" x14ac:dyDescent="0.25">
      <c r="B13" t="s">
        <v>11</v>
      </c>
      <c r="C13" s="57" t="e">
        <f>'C0 lossless AI'!Q18</f>
        <v>#DIV/0!</v>
      </c>
    </row>
    <row r="14" spans="2:9" x14ac:dyDescent="0.25">
      <c r="B14" s="7" t="s">
        <v>12</v>
      </c>
      <c r="C14" s="58" t="e">
        <f>'C0 lossless AI'!R18</f>
        <v>#DIV/0!</v>
      </c>
    </row>
    <row r="16" spans="2:9" x14ac:dyDescent="0.25">
      <c r="B16" s="65" t="s">
        <v>13</v>
      </c>
      <c r="C16" s="66" t="s">
        <v>14</v>
      </c>
      <c r="D16" s="67"/>
      <c r="E16" s="67"/>
      <c r="F16" s="67"/>
      <c r="G16" s="67"/>
      <c r="H16" s="67"/>
      <c r="I16" s="67"/>
    </row>
    <row r="17" spans="2:9" x14ac:dyDescent="0.25">
      <c r="B17" s="62"/>
      <c r="C17" s="68" t="s">
        <v>15</v>
      </c>
      <c r="D17" s="62"/>
      <c r="E17" s="62"/>
      <c r="F17" s="62"/>
      <c r="G17" s="62"/>
      <c r="H17" s="69" t="s">
        <v>16</v>
      </c>
      <c r="I17" s="62"/>
    </row>
    <row r="18" spans="2:9" x14ac:dyDescent="0.25">
      <c r="B18" s="64"/>
      <c r="C18" s="2" t="s">
        <v>17</v>
      </c>
      <c r="D18" s="2" t="s">
        <v>18</v>
      </c>
      <c r="E18" s="2" t="s">
        <v>19</v>
      </c>
      <c r="F18" s="2" t="s">
        <v>20</v>
      </c>
      <c r="G18" s="2" t="s">
        <v>21</v>
      </c>
      <c r="H18" s="8" t="s">
        <v>22</v>
      </c>
      <c r="I18" s="8" t="s">
        <v>19</v>
      </c>
    </row>
    <row r="19" spans="2:9" x14ac:dyDescent="0.25">
      <c r="B19" t="s">
        <v>7</v>
      </c>
      <c r="C19" s="4" t="e">
        <f>'C1 lossy AI'!$AL$45:$AL$45</f>
        <v>#DIV/0!</v>
      </c>
      <c r="D19" s="4" t="e">
        <f>'C1 lossy AI'!$AM$45:$AM$45</f>
        <v>#DIV/0!</v>
      </c>
      <c r="E19" s="4" t="e">
        <f>'C1 lossy AI'!$AN$45:$AN$45</f>
        <v>#DIV/0!</v>
      </c>
      <c r="F19" s="4" t="e">
        <f>'C1 lossy AI'!$AO$45:$AO$45</f>
        <v>#DIV/0!</v>
      </c>
      <c r="G19" s="4" t="e">
        <f>'C1 lossy AI'!$AP$45:$AP$45</f>
        <v>#DIV/0!</v>
      </c>
      <c r="H19" s="4" t="e">
        <f>'C1 lossy AI'!$AQ$45:$AQ$45</f>
        <v>#DIV/0!</v>
      </c>
      <c r="I19" s="4" t="e">
        <f>'C1 lossy AI'!$AR$45:$AR$45</f>
        <v>#DIV/0!</v>
      </c>
    </row>
    <row r="20" spans="2:9" x14ac:dyDescent="0.25">
      <c r="B20" t="s">
        <v>8</v>
      </c>
      <c r="C20" s="4" t="e">
        <f>'C1 lossy AI'!$AL$46:$AL$46</f>
        <v>#DIV/0!</v>
      </c>
      <c r="D20" s="4" t="e">
        <f>'C1 lossy AI'!$AM$46:$AM$46</f>
        <v>#DIV/0!</v>
      </c>
      <c r="E20" s="4" t="e">
        <f>'C1 lossy AI'!$AN$46:$AN$46</f>
        <v>#DIV/0!</v>
      </c>
      <c r="F20" s="4" t="e">
        <f>'C1 lossy AI'!$AO$46:$AO$46</f>
        <v>#DIV/0!</v>
      </c>
      <c r="G20" s="4" t="e">
        <f>'C1 lossy AI'!$AP$46:$AP$46</f>
        <v>#DIV/0!</v>
      </c>
      <c r="H20" s="4" t="e">
        <f>'C1 lossy AI'!$AQ$46:$AQ$46</f>
        <v>#DIV/0!</v>
      </c>
      <c r="I20" s="4" t="e">
        <f>'C1 lossy AI'!$AR$46:$AR$46</f>
        <v>#DIV/0!</v>
      </c>
    </row>
    <row r="21" spans="2:9" x14ac:dyDescent="0.25">
      <c r="B21" t="s">
        <v>9</v>
      </c>
      <c r="C21" s="4" t="e">
        <f>'C1 lossy AI'!$AL$47:$AL$47</f>
        <v>#DIV/0!</v>
      </c>
      <c r="D21" s="4" t="e">
        <f>'C1 lossy AI'!$AM$47:$AM$47</f>
        <v>#DIV/0!</v>
      </c>
      <c r="E21" s="4" t="e">
        <f>'C1 lossy AI'!$AN$47:$AN$47</f>
        <v>#DIV/0!</v>
      </c>
      <c r="F21" s="4" t="e">
        <f>'C1 lossy AI'!$AO$47:$AO$47</f>
        <v>#DIV/0!</v>
      </c>
      <c r="G21" s="4" t="e">
        <f>'C1 lossy AI'!$AP$47:$AP$47</f>
        <v>#DIV/0!</v>
      </c>
      <c r="H21" s="4" t="e">
        <f>'C1 lossy AI'!$AQ$47:$AQ$47</f>
        <v>#DIV/0!</v>
      </c>
      <c r="I21" s="4" t="e">
        <f>'C1 lossy AI'!$AR$47:$AR$47</f>
        <v>#DIV/0!</v>
      </c>
    </row>
    <row r="22" spans="2:9" x14ac:dyDescent="0.25">
      <c r="B22" s="5" t="s">
        <v>10</v>
      </c>
      <c r="C22" s="6" t="e">
        <f>'C1 lossy AI'!$AL$48:$AL$48</f>
        <v>#DIV/0!</v>
      </c>
      <c r="D22" s="6" t="e">
        <f>'C1 lossy AI'!$AM$48:$AM$48</f>
        <v>#DIV/0!</v>
      </c>
      <c r="E22" s="6" t="e">
        <f>'C1 lossy AI'!$AN$48:$AN$48</f>
        <v>#DIV/0!</v>
      </c>
      <c r="F22" s="6" t="e">
        <f>'C1 lossy AI'!$AO$48:$AO$48</f>
        <v>#DIV/0!</v>
      </c>
      <c r="G22" s="6" t="e">
        <f>'C1 lossy AI'!$AP$48:$AP$48</f>
        <v>#DIV/0!</v>
      </c>
      <c r="H22" s="6" t="e">
        <f>'C1 lossy AI'!$AQ$48:$AQ$48</f>
        <v>#DIV/0!</v>
      </c>
      <c r="I22" s="6" t="e">
        <f>'C1 lossy AI'!$AR$48:$AR$48</f>
        <v>#DIV/0!</v>
      </c>
    </row>
    <row r="23" spans="2:9" x14ac:dyDescent="0.25">
      <c r="B23" t="s">
        <v>11</v>
      </c>
      <c r="C23" s="61">
        <f>'C1 lossy AI'!AI50</f>
        <v>0</v>
      </c>
      <c r="D23" s="62"/>
      <c r="E23" s="62"/>
      <c r="F23" s="62"/>
      <c r="G23" s="62"/>
      <c r="H23" s="62"/>
      <c r="I23" s="62"/>
    </row>
    <row r="24" spans="2:9" x14ac:dyDescent="0.25">
      <c r="B24" s="7" t="s">
        <v>12</v>
      </c>
      <c r="C24" s="63">
        <f>'C1 lossy AI'!AJ50</f>
        <v>0</v>
      </c>
      <c r="D24" s="64"/>
      <c r="E24" s="64"/>
      <c r="F24" s="64"/>
      <c r="G24" s="64"/>
      <c r="H24" s="64"/>
      <c r="I24" s="64"/>
    </row>
    <row r="26" spans="2:9" s="1" customFormat="1" x14ac:dyDescent="0.25">
      <c r="B26" s="1" t="s">
        <v>23</v>
      </c>
    </row>
    <row r="28" spans="2:9" x14ac:dyDescent="0.25">
      <c r="B28" s="65" t="s">
        <v>24</v>
      </c>
      <c r="C28" s="66" t="s">
        <v>25</v>
      </c>
      <c r="D28" s="67"/>
      <c r="E28" s="67"/>
      <c r="F28" s="67"/>
      <c r="G28" s="67"/>
      <c r="H28" s="67"/>
      <c r="I28" s="67"/>
    </row>
    <row r="29" spans="2:9" x14ac:dyDescent="0.25">
      <c r="B29" s="62"/>
      <c r="C29" s="68" t="s">
        <v>15</v>
      </c>
      <c r="D29" s="62"/>
      <c r="E29" s="62"/>
      <c r="F29" s="62"/>
      <c r="G29" s="62"/>
      <c r="H29" s="69" t="s">
        <v>16</v>
      </c>
      <c r="I29" s="62"/>
    </row>
    <row r="30" spans="2:9" x14ac:dyDescent="0.25">
      <c r="B30" s="64"/>
      <c r="C30" s="2" t="s">
        <v>17</v>
      </c>
      <c r="D30" s="2" t="s">
        <v>18</v>
      </c>
      <c r="E30" s="2" t="s">
        <v>19</v>
      </c>
      <c r="F30" s="2" t="s">
        <v>20</v>
      </c>
      <c r="G30" s="2" t="s">
        <v>21</v>
      </c>
      <c r="H30" s="8" t="s">
        <v>22</v>
      </c>
      <c r="I30" s="8" t="s">
        <v>19</v>
      </c>
    </row>
    <row r="31" spans="2:9" x14ac:dyDescent="0.25">
      <c r="B31" t="s">
        <v>7</v>
      </c>
      <c r="C31" s="4" t="e">
        <f>'C2 lossy RA'!$AL$45:$AL$45</f>
        <v>#DIV/0!</v>
      </c>
      <c r="D31" s="4" t="e">
        <f>'C2 lossy RA'!$AM$45:$AM$45</f>
        <v>#DIV/0!</v>
      </c>
      <c r="E31" s="4" t="e">
        <f>'C2 lossy RA'!$AN$45:$AN$45</f>
        <v>#DIV/0!</v>
      </c>
      <c r="F31" s="4" t="e">
        <f>'C2 lossy RA'!$AO$45:$AO$45</f>
        <v>#DIV/0!</v>
      </c>
      <c r="G31" s="4" t="e">
        <f>'C2 lossy RA'!$AP$45:$AP$45</f>
        <v>#DIV/0!</v>
      </c>
      <c r="H31" s="4" t="e">
        <f>'C2 lossy RA'!$AQ$45:$AQ$45</f>
        <v>#DIV/0!</v>
      </c>
      <c r="I31" s="4" t="e">
        <f>'C2 lossy RA'!$AR$45:$AR$45</f>
        <v>#DIV/0!</v>
      </c>
    </row>
    <row r="32" spans="2:9" x14ac:dyDescent="0.25">
      <c r="B32" t="s">
        <v>8</v>
      </c>
      <c r="C32" s="4" t="e">
        <f>'C2 lossy RA'!$AL$46:$AL$46</f>
        <v>#DIV/0!</v>
      </c>
      <c r="D32" s="4" t="e">
        <f>'C2 lossy RA'!$AM$46:$AM$46</f>
        <v>#DIV/0!</v>
      </c>
      <c r="E32" s="4" t="e">
        <f>'C2 lossy RA'!$AN$46:$AN$46</f>
        <v>#DIV/0!</v>
      </c>
      <c r="F32" s="4" t="e">
        <f>'C2 lossy RA'!$AO$46:$AO$46</f>
        <v>#DIV/0!</v>
      </c>
      <c r="G32" s="4" t="e">
        <f>'C2 lossy RA'!$AP$46:$AP$46</f>
        <v>#DIV/0!</v>
      </c>
      <c r="H32" s="4" t="e">
        <f>'C2 lossy RA'!$AQ$46:$AQ$46</f>
        <v>#DIV/0!</v>
      </c>
      <c r="I32" s="4" t="e">
        <f>'C2 lossy RA'!$AR$46:$AR$46</f>
        <v>#DIV/0!</v>
      </c>
    </row>
    <row r="33" spans="2:9" x14ac:dyDescent="0.25">
      <c r="B33" t="s">
        <v>9</v>
      </c>
      <c r="C33" s="4" t="e">
        <f>'C2 lossy RA'!$AL$47:$AL$47</f>
        <v>#DIV/0!</v>
      </c>
      <c r="D33" s="4" t="e">
        <f>'C2 lossy RA'!$AM$47:$AM$47</f>
        <v>#DIV/0!</v>
      </c>
      <c r="E33" s="4" t="e">
        <f>'C2 lossy RA'!$AN$47:$AN$47</f>
        <v>#DIV/0!</v>
      </c>
      <c r="F33" s="4" t="e">
        <f>'C2 lossy RA'!$AO$47:$AO$47</f>
        <v>#DIV/0!</v>
      </c>
      <c r="G33" s="4" t="e">
        <f>'C2 lossy RA'!$AP$47:$AP$47</f>
        <v>#DIV/0!</v>
      </c>
      <c r="H33" s="4" t="e">
        <f>'C2 lossy RA'!$AQ$47:$AQ$47</f>
        <v>#DIV/0!</v>
      </c>
      <c r="I33" s="4" t="e">
        <f>'C2 lossy RA'!$AR$47:$AR$47</f>
        <v>#DIV/0!</v>
      </c>
    </row>
    <row r="34" spans="2:9" x14ac:dyDescent="0.25">
      <c r="B34" s="5" t="s">
        <v>10</v>
      </c>
      <c r="C34" s="6" t="e">
        <f>'C2 lossy RA'!$AL$48:$AL$48</f>
        <v>#DIV/0!</v>
      </c>
      <c r="D34" s="6" t="e">
        <f>'C2 lossy RA'!$AM$48:$AM$48</f>
        <v>#DIV/0!</v>
      </c>
      <c r="E34" s="6" t="e">
        <f>'C2 lossy RA'!$AN$48:$AN$48</f>
        <v>#DIV/0!</v>
      </c>
      <c r="F34" s="6" t="e">
        <f>'C2 lossy RA'!$AO$48:$AO$48</f>
        <v>#DIV/0!</v>
      </c>
      <c r="G34" s="6" t="e">
        <f>'C2 lossy RA'!$AP$48:$AP$48</f>
        <v>#DIV/0!</v>
      </c>
      <c r="H34" s="6" t="e">
        <f>'C2 lossy RA'!$AQ$48:$AQ$48</f>
        <v>#DIV/0!</v>
      </c>
      <c r="I34" s="6" t="e">
        <f>'C2 lossy RA'!$AR$48:$AR$48</f>
        <v>#DIV/0!</v>
      </c>
    </row>
    <row r="35" spans="2:9" x14ac:dyDescent="0.25">
      <c r="B35" t="s">
        <v>11</v>
      </c>
      <c r="C35" s="61">
        <f>'C2 lossy RA'!AI50</f>
        <v>0</v>
      </c>
      <c r="D35" s="62"/>
      <c r="E35" s="62"/>
      <c r="F35" s="62"/>
      <c r="G35" s="62"/>
      <c r="H35" s="62"/>
      <c r="I35" s="62"/>
    </row>
    <row r="36" spans="2:9" x14ac:dyDescent="0.25">
      <c r="B36" s="7" t="s">
        <v>12</v>
      </c>
      <c r="C36" s="63">
        <f>'C2 lossy RA'!AJ50</f>
        <v>0</v>
      </c>
      <c r="D36" s="64"/>
      <c r="E36" s="64"/>
      <c r="F36" s="64"/>
      <c r="G36" s="64"/>
      <c r="H36" s="64"/>
      <c r="I36" s="64"/>
    </row>
  </sheetData>
  <mergeCells count="15">
    <mergeCell ref="C1:E1"/>
    <mergeCell ref="C2:E2"/>
    <mergeCell ref="B6:B8"/>
    <mergeCell ref="B16:B18"/>
    <mergeCell ref="C16:I16"/>
    <mergeCell ref="C17:G17"/>
    <mergeCell ref="H17:I17"/>
    <mergeCell ref="C35:I35"/>
    <mergeCell ref="C36:I36"/>
    <mergeCell ref="C23:I23"/>
    <mergeCell ref="C24:I24"/>
    <mergeCell ref="B28:B30"/>
    <mergeCell ref="C28:I28"/>
    <mergeCell ref="C29:G29"/>
    <mergeCell ref="H29:I29"/>
  </mergeCells>
  <conditionalFormatting sqref="C19 C20 C21 C22">
    <cfRule type="cellIs" dxfId="65" priority="15" operator="greaterThanOrEqual">
      <formula>0.03</formula>
    </cfRule>
    <cfRule type="cellIs" dxfId="64" priority="16" operator="lessThanOrEqual">
      <formula>-0.03</formula>
    </cfRule>
  </conditionalFormatting>
  <conditionalFormatting sqref="C31 C32 C33 C34">
    <cfRule type="cellIs" dxfId="63" priority="17" operator="greaterThanOrEqual">
      <formula>0.03</formula>
    </cfRule>
    <cfRule type="cellIs" dxfId="62" priority="18" operator="lessThanOrEqual">
      <formula>-0.03</formula>
    </cfRule>
  </conditionalFormatting>
  <conditionalFormatting sqref="C9 C10 C11 C12">
    <cfRule type="cellIs" dxfId="61" priority="1" operator="greaterThanOrEqual">
      <formula>1.03</formula>
    </cfRule>
    <cfRule type="cellIs" dxfId="60" priority="2" operator="lessThanOrEqual">
      <formula>0.97</formula>
    </cfRule>
  </conditionalFormatting>
  <conditionalFormatting sqref="D19 D20 D21 D22">
    <cfRule type="cellIs" dxfId="59" priority="11" operator="greaterThanOrEqual">
      <formula>0.03</formula>
    </cfRule>
    <cfRule type="cellIs" dxfId="58" priority="12" operator="lessThanOrEqual">
      <formula>-0.03</formula>
    </cfRule>
  </conditionalFormatting>
  <conditionalFormatting sqref="D31 D32 D33 D34">
    <cfRule type="cellIs" dxfId="57" priority="21" operator="greaterThanOrEqual">
      <formula>0.03</formula>
    </cfRule>
    <cfRule type="cellIs" dxfId="56" priority="22" operator="lessThanOrEqual">
      <formula>-0.03</formula>
    </cfRule>
  </conditionalFormatting>
  <conditionalFormatting sqref="E19 E20 E21 E22">
    <cfRule type="cellIs" dxfId="55" priority="5" operator="greaterThanOrEqual">
      <formula>0.03</formula>
    </cfRule>
    <cfRule type="cellIs" dxfId="54" priority="6" operator="lessThanOrEqual">
      <formula>-0.03</formula>
    </cfRule>
  </conditionalFormatting>
  <conditionalFormatting sqref="E31 E32 E33 E34">
    <cfRule type="cellIs" dxfId="53" priority="25" operator="greaterThanOrEqual">
      <formula>0.03</formula>
    </cfRule>
    <cfRule type="cellIs" dxfId="52" priority="26" operator="lessThanOrEqual">
      <formula>-0.03</formula>
    </cfRule>
  </conditionalFormatting>
  <conditionalFormatting sqref="F19 F20 F21 F22">
    <cfRule type="cellIs" dxfId="51" priority="3" operator="greaterThanOrEqual">
      <formula>0.03</formula>
    </cfRule>
    <cfRule type="cellIs" dxfId="50" priority="4" operator="lessThanOrEqual">
      <formula>-0.03</formula>
    </cfRule>
  </conditionalFormatting>
  <conditionalFormatting sqref="F31 F32 F33 F34">
    <cfRule type="cellIs" dxfId="49" priority="29" operator="greaterThanOrEqual">
      <formula>0.03</formula>
    </cfRule>
    <cfRule type="cellIs" dxfId="48" priority="30" operator="lessThanOrEqual">
      <formula>-0.03</formula>
    </cfRule>
  </conditionalFormatting>
  <conditionalFormatting sqref="G19 G20 G21 G22">
    <cfRule type="cellIs" dxfId="47" priority="13" operator="greaterThanOrEqual">
      <formula>0.03</formula>
    </cfRule>
    <cfRule type="cellIs" dxfId="46" priority="14" operator="lessThanOrEqual">
      <formula>-0.03</formula>
    </cfRule>
  </conditionalFormatting>
  <conditionalFormatting sqref="G31 G32 G33 G34">
    <cfRule type="cellIs" dxfId="45" priority="19" operator="greaterThanOrEqual">
      <formula>0.03</formula>
    </cfRule>
    <cfRule type="cellIs" dxfId="44" priority="20" operator="lessThanOrEqual">
      <formula>-0.03</formula>
    </cfRule>
  </conditionalFormatting>
  <conditionalFormatting sqref="H19 H20 H21 H22">
    <cfRule type="cellIs" dxfId="43" priority="9" operator="greaterThanOrEqual">
      <formula>0.03</formula>
    </cfRule>
    <cfRule type="cellIs" dxfId="42" priority="10" operator="lessThanOrEqual">
      <formula>-0.03</formula>
    </cfRule>
  </conditionalFormatting>
  <conditionalFormatting sqref="H31 H32 H33 H34">
    <cfRule type="cellIs" dxfId="41" priority="23" operator="greaterThanOrEqual">
      <formula>0.03</formula>
    </cfRule>
    <cfRule type="cellIs" dxfId="40" priority="24" operator="lessThanOrEqual">
      <formula>-0.03</formula>
    </cfRule>
  </conditionalFormatting>
  <conditionalFormatting sqref="I19 I20 I21 I22">
    <cfRule type="cellIs" dxfId="39" priority="7" operator="greaterThanOrEqual">
      <formula>0.03</formula>
    </cfRule>
    <cfRule type="cellIs" dxfId="38" priority="8" operator="lessThanOrEqual">
      <formula>-0.03</formula>
    </cfRule>
  </conditionalFormatting>
  <conditionalFormatting sqref="I31 I32 I33 I34">
    <cfRule type="cellIs" dxfId="37" priority="27" operator="greaterThanOrEqual">
      <formula>0.03</formula>
    </cfRule>
    <cfRule type="cellIs" dxfId="36" priority="28" operator="lessThanOrEqual">
      <formula>-0.03</formula>
    </cfRule>
  </conditionalFormatting>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N49"/>
  <sheetViews>
    <sheetView zoomScale="55" zoomScaleNormal="55" workbookViewId="0">
      <selection activeCell="N3" sqref="N3"/>
    </sheetView>
  </sheetViews>
  <sheetFormatPr defaultColWidth="9.140625" defaultRowHeight="15" x14ac:dyDescent="0.25"/>
  <cols>
    <col min="1" max="1" width="12.7109375" style="3" customWidth="1"/>
    <col min="2" max="2" width="24.7109375" style="3" customWidth="1"/>
    <col min="4" max="4" width="24.7109375" style="3" customWidth="1"/>
    <col min="9" max="9" width="16.7109375" style="3" customWidth="1"/>
  </cols>
  <sheetData>
    <row r="1" spans="1:14" x14ac:dyDescent="0.25">
      <c r="A1" t="s">
        <v>26</v>
      </c>
      <c r="B1" s="9" t="str">
        <f>M1</f>
        <v>C1 lossy AI</v>
      </c>
      <c r="C1" t="s">
        <v>27</v>
      </c>
      <c r="I1" t="s">
        <v>28</v>
      </c>
      <c r="M1" t="s">
        <v>29</v>
      </c>
      <c r="N1" t="s">
        <v>30</v>
      </c>
    </row>
    <row r="2" spans="1:14" x14ac:dyDescent="0.25">
      <c r="A2" t="s">
        <v>31</v>
      </c>
      <c r="B2" s="9" t="s">
        <v>32</v>
      </c>
      <c r="C2" t="s">
        <v>33</v>
      </c>
      <c r="I2" t="s">
        <v>34</v>
      </c>
      <c r="J2" t="s">
        <v>35</v>
      </c>
      <c r="M2" t="s">
        <v>36</v>
      </c>
      <c r="N2" t="s">
        <v>37</v>
      </c>
    </row>
    <row r="3" spans="1:14" x14ac:dyDescent="0.25">
      <c r="I3" t="s">
        <v>38</v>
      </c>
      <c r="J3" t="s">
        <v>39</v>
      </c>
      <c r="M3" t="s">
        <v>40</v>
      </c>
      <c r="N3" t="s">
        <v>40</v>
      </c>
    </row>
    <row r="4" spans="1:14" x14ac:dyDescent="0.25">
      <c r="A4" t="s">
        <v>41</v>
      </c>
      <c r="B4" s="9" t="s">
        <v>42</v>
      </c>
      <c r="C4" t="s">
        <v>43</v>
      </c>
      <c r="D4" s="9" t="s">
        <v>44</v>
      </c>
      <c r="E4" t="s">
        <v>45</v>
      </c>
      <c r="I4" t="s">
        <v>46</v>
      </c>
      <c r="J4" t="s">
        <v>47</v>
      </c>
      <c r="M4" t="s">
        <v>48</v>
      </c>
      <c r="N4" t="s">
        <v>48</v>
      </c>
    </row>
    <row r="5" spans="1:14" x14ac:dyDescent="0.25">
      <c r="A5" t="s">
        <v>41</v>
      </c>
      <c r="B5" s="9" t="s">
        <v>42</v>
      </c>
      <c r="C5" t="s">
        <v>43</v>
      </c>
      <c r="D5" s="9" t="s">
        <v>49</v>
      </c>
      <c r="E5" t="s">
        <v>50</v>
      </c>
      <c r="I5" t="s">
        <v>51</v>
      </c>
      <c r="J5" t="s">
        <v>52</v>
      </c>
      <c r="M5" t="s">
        <v>53</v>
      </c>
      <c r="N5" t="s">
        <v>53</v>
      </c>
    </row>
    <row r="6" spans="1:14" x14ac:dyDescent="0.25">
      <c r="A6" t="s">
        <v>41</v>
      </c>
      <c r="B6" s="9" t="s">
        <v>42</v>
      </c>
      <c r="C6" t="s">
        <v>43</v>
      </c>
      <c r="D6" s="9" t="s">
        <v>54</v>
      </c>
      <c r="E6" t="s">
        <v>55</v>
      </c>
      <c r="I6" t="s">
        <v>56</v>
      </c>
      <c r="J6" t="s">
        <v>57</v>
      </c>
      <c r="M6" t="s">
        <v>58</v>
      </c>
      <c r="N6" t="s">
        <v>58</v>
      </c>
    </row>
    <row r="7" spans="1:14" x14ac:dyDescent="0.25">
      <c r="A7" t="s">
        <v>41</v>
      </c>
      <c r="B7" s="9" t="s">
        <v>42</v>
      </c>
      <c r="C7" t="s">
        <v>43</v>
      </c>
      <c r="D7" s="9" t="s">
        <v>59</v>
      </c>
      <c r="E7" t="s">
        <v>60</v>
      </c>
      <c r="I7" t="s">
        <v>61</v>
      </c>
      <c r="J7" t="s">
        <v>62</v>
      </c>
      <c r="M7" t="s">
        <v>63</v>
      </c>
      <c r="N7" t="s">
        <v>63</v>
      </c>
    </row>
    <row r="8" spans="1:14" x14ac:dyDescent="0.25">
      <c r="A8" t="s">
        <v>41</v>
      </c>
      <c r="B8" s="9" t="s">
        <v>42</v>
      </c>
      <c r="C8" t="s">
        <v>43</v>
      </c>
      <c r="D8" s="9" t="s">
        <v>64</v>
      </c>
      <c r="E8" t="s">
        <v>65</v>
      </c>
      <c r="I8" t="s">
        <v>66</v>
      </c>
      <c r="J8" t="s">
        <v>67</v>
      </c>
      <c r="M8" t="s">
        <v>68</v>
      </c>
      <c r="N8" t="s">
        <v>68</v>
      </c>
    </row>
    <row r="9" spans="1:14" x14ac:dyDescent="0.25">
      <c r="A9" t="s">
        <v>41</v>
      </c>
      <c r="B9" s="9" t="s">
        <v>42</v>
      </c>
      <c r="C9" t="s">
        <v>43</v>
      </c>
      <c r="D9" s="9" t="s">
        <v>69</v>
      </c>
      <c r="E9" t="s">
        <v>70</v>
      </c>
      <c r="I9" t="s">
        <v>71</v>
      </c>
      <c r="J9" t="s">
        <v>72</v>
      </c>
      <c r="M9" t="s">
        <v>32</v>
      </c>
      <c r="N9" t="s">
        <v>32</v>
      </c>
    </row>
    <row r="10" spans="1:14" x14ac:dyDescent="0.25">
      <c r="A10" t="s">
        <v>41</v>
      </c>
      <c r="B10" s="9" t="s">
        <v>42</v>
      </c>
      <c r="C10" t="s">
        <v>43</v>
      </c>
      <c r="D10" s="9" t="s">
        <v>73</v>
      </c>
      <c r="E10" t="s">
        <v>74</v>
      </c>
      <c r="I10" t="s">
        <v>75</v>
      </c>
      <c r="J10" t="s">
        <v>76</v>
      </c>
      <c r="M10" t="s">
        <v>77</v>
      </c>
      <c r="N10" t="s">
        <v>77</v>
      </c>
    </row>
    <row r="11" spans="1:14" x14ac:dyDescent="0.25">
      <c r="I11" t="s">
        <v>54</v>
      </c>
      <c r="J11" t="s">
        <v>78</v>
      </c>
    </row>
    <row r="12" spans="1:14" x14ac:dyDescent="0.25">
      <c r="I12" t="s">
        <v>73</v>
      </c>
      <c r="J12" t="s">
        <v>79</v>
      </c>
    </row>
    <row r="13" spans="1:14" x14ac:dyDescent="0.25">
      <c r="I13" t="s">
        <v>80</v>
      </c>
      <c r="J13" t="s">
        <v>81</v>
      </c>
    </row>
    <row r="14" spans="1:14" x14ac:dyDescent="0.25">
      <c r="I14" t="s">
        <v>82</v>
      </c>
      <c r="J14" t="s">
        <v>83</v>
      </c>
    </row>
    <row r="15" spans="1:14" x14ac:dyDescent="0.25">
      <c r="I15" t="s">
        <v>84</v>
      </c>
      <c r="J15" t="s">
        <v>85</v>
      </c>
    </row>
    <row r="16" spans="1:14" x14ac:dyDescent="0.25">
      <c r="I16" t="s">
        <v>86</v>
      </c>
      <c r="J16" t="s">
        <v>87</v>
      </c>
    </row>
    <row r="17" spans="9:10" x14ac:dyDescent="0.25">
      <c r="I17" t="s">
        <v>64</v>
      </c>
      <c r="J17" t="s">
        <v>88</v>
      </c>
    </row>
    <row r="18" spans="9:10" x14ac:dyDescent="0.25">
      <c r="I18" t="s">
        <v>69</v>
      </c>
      <c r="J18" t="s">
        <v>89</v>
      </c>
    </row>
    <row r="19" spans="9:10" x14ac:dyDescent="0.25">
      <c r="I19" t="s">
        <v>44</v>
      </c>
      <c r="J19" t="s">
        <v>90</v>
      </c>
    </row>
    <row r="20" spans="9:10" x14ac:dyDescent="0.25">
      <c r="I20" t="s">
        <v>49</v>
      </c>
      <c r="J20" t="s">
        <v>91</v>
      </c>
    </row>
    <row r="21" spans="9:10" x14ac:dyDescent="0.25">
      <c r="I21" t="s">
        <v>59</v>
      </c>
      <c r="J21" t="s">
        <v>92</v>
      </c>
    </row>
    <row r="22" spans="9:10" x14ac:dyDescent="0.25">
      <c r="I22" t="s">
        <v>93</v>
      </c>
      <c r="J22" t="s">
        <v>94</v>
      </c>
    </row>
    <row r="23" spans="9:10" x14ac:dyDescent="0.25">
      <c r="I23" t="s">
        <v>95</v>
      </c>
      <c r="J23" t="s">
        <v>96</v>
      </c>
    </row>
    <row r="24" spans="9:10" x14ac:dyDescent="0.25">
      <c r="I24" t="s">
        <v>97</v>
      </c>
      <c r="J24" t="s">
        <v>98</v>
      </c>
    </row>
    <row r="25" spans="9:10" x14ac:dyDescent="0.25">
      <c r="I25" t="s">
        <v>99</v>
      </c>
      <c r="J25" t="s">
        <v>100</v>
      </c>
    </row>
    <row r="26" spans="9:10" x14ac:dyDescent="0.25">
      <c r="I26" t="s">
        <v>101</v>
      </c>
      <c r="J26" t="s">
        <v>102</v>
      </c>
    </row>
    <row r="27" spans="9:10" x14ac:dyDescent="0.25">
      <c r="I27" t="s">
        <v>103</v>
      </c>
      <c r="J27" t="s">
        <v>104</v>
      </c>
    </row>
    <row r="28" spans="9:10" x14ac:dyDescent="0.25">
      <c r="I28" t="s">
        <v>105</v>
      </c>
      <c r="J28" t="s">
        <v>106</v>
      </c>
    </row>
    <row r="29" spans="9:10" x14ac:dyDescent="0.25">
      <c r="I29" t="s">
        <v>107</v>
      </c>
      <c r="J29" t="s">
        <v>108</v>
      </c>
    </row>
    <row r="30" spans="9:10" x14ac:dyDescent="0.25">
      <c r="I30" t="s">
        <v>109</v>
      </c>
      <c r="J30" t="s">
        <v>110</v>
      </c>
    </row>
    <row r="31" spans="9:10" x14ac:dyDescent="0.25">
      <c r="I31" t="s">
        <v>111</v>
      </c>
      <c r="J31" t="s">
        <v>112</v>
      </c>
    </row>
    <row r="32" spans="9:10" x14ac:dyDescent="0.25">
      <c r="I32" t="s">
        <v>113</v>
      </c>
      <c r="J32" t="s">
        <v>114</v>
      </c>
    </row>
    <row r="33" spans="9:10" x14ac:dyDescent="0.25">
      <c r="I33" t="s">
        <v>115</v>
      </c>
      <c r="J33" t="s">
        <v>116</v>
      </c>
    </row>
    <row r="34" spans="9:10" x14ac:dyDescent="0.25">
      <c r="I34" t="s">
        <v>117</v>
      </c>
      <c r="J34" t="s">
        <v>118</v>
      </c>
    </row>
    <row r="35" spans="9:10" x14ac:dyDescent="0.25">
      <c r="I35" t="s">
        <v>119</v>
      </c>
      <c r="J35" t="s">
        <v>120</v>
      </c>
    </row>
    <row r="36" spans="9:10" x14ac:dyDescent="0.25">
      <c r="I36" t="s">
        <v>121</v>
      </c>
      <c r="J36" t="s">
        <v>122</v>
      </c>
    </row>
    <row r="37" spans="9:10" x14ac:dyDescent="0.25">
      <c r="I37" t="s">
        <v>123</v>
      </c>
      <c r="J37" t="s">
        <v>124</v>
      </c>
    </row>
    <row r="38" spans="9:10" x14ac:dyDescent="0.25">
      <c r="I38" t="s">
        <v>125</v>
      </c>
      <c r="J38" t="s">
        <v>126</v>
      </c>
    </row>
    <row r="39" spans="9:10" x14ac:dyDescent="0.25">
      <c r="I39" t="s">
        <v>127</v>
      </c>
      <c r="J39" t="s">
        <v>128</v>
      </c>
    </row>
    <row r="40" spans="9:10" x14ac:dyDescent="0.25">
      <c r="I40" t="s">
        <v>42</v>
      </c>
      <c r="J40" t="s">
        <v>129</v>
      </c>
    </row>
    <row r="41" spans="9:10" x14ac:dyDescent="0.25">
      <c r="I41" t="s">
        <v>130</v>
      </c>
      <c r="J41" t="s">
        <v>131</v>
      </c>
    </row>
    <row r="42" spans="9:10" x14ac:dyDescent="0.25">
      <c r="I42" t="s">
        <v>132</v>
      </c>
      <c r="J42" t="s">
        <v>133</v>
      </c>
    </row>
    <row r="43" spans="9:10" x14ac:dyDescent="0.25">
      <c r="I43" t="s">
        <v>134</v>
      </c>
      <c r="J43" t="s">
        <v>135</v>
      </c>
    </row>
    <row r="44" spans="9:10" x14ac:dyDescent="0.25">
      <c r="I44" t="s">
        <v>136</v>
      </c>
      <c r="J44" t="s">
        <v>137</v>
      </c>
    </row>
    <row r="45" spans="9:10" x14ac:dyDescent="0.25">
      <c r="I45" t="s">
        <v>138</v>
      </c>
      <c r="J45" t="s">
        <v>139</v>
      </c>
    </row>
    <row r="46" spans="9:10" x14ac:dyDescent="0.25">
      <c r="I46" t="s">
        <v>140</v>
      </c>
      <c r="J46" t="s">
        <v>141</v>
      </c>
    </row>
    <row r="47" spans="9:10" x14ac:dyDescent="0.25">
      <c r="I47" t="s">
        <v>142</v>
      </c>
      <c r="J47" t="s">
        <v>143</v>
      </c>
    </row>
    <row r="48" spans="9:10" x14ac:dyDescent="0.25">
      <c r="I48" t="s">
        <v>144</v>
      </c>
      <c r="J48" t="s">
        <v>145</v>
      </c>
    </row>
    <row r="49" spans="9:10" x14ac:dyDescent="0.25">
      <c r="I49" t="s">
        <v>146</v>
      </c>
      <c r="J49" t="s">
        <v>147</v>
      </c>
    </row>
  </sheetData>
  <conditionalFormatting sqref="B2">
    <cfRule type="expression" dxfId="35" priority="1">
      <formula>ISNA(MATCH(B2,OFFSET(M:M,2,MATCH(B1,M1:ZZ1,0)-1,COUNTA(INDEX(M:ZZ,,MATCH(B1,M1:ZZ1,0)))-2),0))</formula>
    </cfRule>
  </conditionalFormatting>
  <conditionalFormatting sqref="B4 D4 B5 D5 B6 D6 B7 D7 B8 D8 B9 D9 B10 D10">
    <cfRule type="expression" dxfId="34" priority="2">
      <formula>ISNA(MATCH(B4,filter_cols,0))</formula>
    </cfRule>
  </conditionalFormatting>
  <dataValidations count="3">
    <dataValidation type="list" allowBlank="1" showInputMessage="1" showErrorMessage="1" sqref="B1" xr:uid="{00000000-0002-0000-0100-000000000000}">
      <formula1>OFFSET(1:1,0,COLUMN(M1)-1,1,COUNTA(M1:ZZ1))</formula1>
    </dataValidation>
    <dataValidation type="list" allowBlank="1" showInputMessage="1" showErrorMessage="1" sqref="B2" xr:uid="{00000000-0002-0000-0100-000001000000}">
      <formula1>OFFSET(M:M,2,MATCH(B1,M1:ZZ1,0)-1,COUNTA(INDEX(M:ZZ,,MATCH(B1,M1:ZZ1,0)))-2)</formula1>
    </dataValidation>
    <dataValidation type="list" allowBlank="1" showInputMessage="1" showErrorMessage="1" sqref="B4:B10 D4:D10" xr:uid="{00000000-0002-0000-0100-000002000000}">
      <formula1>Graphs!filter_cols</formula1>
    </dataValidation>
  </dataValidation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outlinePr summaryBelow="0"/>
  </sheetPr>
  <dimension ref="A1:U18"/>
  <sheetViews>
    <sheetView workbookViewId="0">
      <pane xSplit="2" ySplit="4" topLeftCell="C5" activePane="bottomRight" state="frozen"/>
      <selection pane="topRight" activeCell="C1" sqref="C1"/>
      <selection pane="bottomLeft" activeCell="A5" sqref="A5"/>
      <selection pane="bottomRight" activeCell="L23" sqref="L23"/>
    </sheetView>
  </sheetViews>
  <sheetFormatPr defaultColWidth="9.140625" defaultRowHeight="15" x14ac:dyDescent="0.25"/>
  <cols>
    <col min="2" max="2" width="24.7109375" style="3" customWidth="1"/>
    <col min="3" max="4" width="10.7109375" style="3" customWidth="1"/>
    <col min="7" max="7" width="1.7109375" style="3" customWidth="1"/>
    <col min="9" max="9" width="10.7109375" style="3" customWidth="1"/>
    <col min="10" max="10" width="12.7109375" style="3" customWidth="1"/>
    <col min="13" max="13" width="1.7109375" style="3" customWidth="1"/>
    <col min="15" max="15" width="10.7109375" style="3" customWidth="1"/>
    <col min="16" max="16" width="12.7109375" style="3" customWidth="1"/>
    <col min="19" max="19" width="1.7109375" style="3" customWidth="1"/>
    <col min="21" max="21" width="1.7109375" style="3" customWidth="1"/>
  </cols>
  <sheetData>
    <row r="1" spans="1:20" x14ac:dyDescent="0.25">
      <c r="A1" s="74" t="s">
        <v>148</v>
      </c>
      <c r="B1" s="62"/>
      <c r="C1" s="62"/>
      <c r="D1" s="62"/>
      <c r="E1" s="62"/>
      <c r="F1" s="62"/>
      <c r="H1" s="70" t="s">
        <v>149</v>
      </c>
      <c r="I1" s="62"/>
      <c r="J1" s="62"/>
      <c r="K1" s="62"/>
      <c r="L1" s="62"/>
      <c r="N1" s="71" t="s">
        <v>150</v>
      </c>
      <c r="O1" s="62"/>
      <c r="P1" s="62"/>
      <c r="Q1" s="62"/>
      <c r="R1" s="62"/>
    </row>
    <row r="2" spans="1:20" ht="30" customHeight="1" x14ac:dyDescent="0.25">
      <c r="A2" s="73" t="s">
        <v>151</v>
      </c>
      <c r="B2" s="72" t="s">
        <v>152</v>
      </c>
      <c r="C2" s="73" t="s">
        <v>153</v>
      </c>
      <c r="D2" s="72" t="s">
        <v>154</v>
      </c>
      <c r="E2" s="73" t="s">
        <v>155</v>
      </c>
      <c r="F2" s="72" t="s">
        <v>156</v>
      </c>
      <c r="H2" s="73" t="s">
        <v>129</v>
      </c>
      <c r="I2" s="72" t="s">
        <v>133</v>
      </c>
      <c r="J2" s="73" t="s">
        <v>122</v>
      </c>
      <c r="K2" s="72" t="s">
        <v>124</v>
      </c>
      <c r="L2" s="73" t="s">
        <v>104</v>
      </c>
      <c r="N2" s="72" t="s">
        <v>129</v>
      </c>
      <c r="O2" s="73" t="s">
        <v>133</v>
      </c>
      <c r="P2" s="72" t="s">
        <v>122</v>
      </c>
      <c r="Q2" s="73" t="s">
        <v>124</v>
      </c>
      <c r="R2" s="72" t="s">
        <v>104</v>
      </c>
      <c r="T2" s="73" t="s">
        <v>157</v>
      </c>
    </row>
    <row r="3" spans="1:20" x14ac:dyDescent="0.25">
      <c r="A3" s="64"/>
      <c r="B3" s="64"/>
      <c r="C3" s="64"/>
      <c r="D3" s="64"/>
      <c r="E3" s="64"/>
      <c r="F3" s="64"/>
      <c r="H3" s="64"/>
      <c r="I3" s="64"/>
      <c r="J3" s="64"/>
      <c r="K3" s="64"/>
      <c r="L3" s="64"/>
      <c r="N3" s="64"/>
      <c r="O3" s="64"/>
      <c r="P3" s="64"/>
      <c r="Q3" s="64"/>
      <c r="R3" s="64"/>
      <c r="T3" s="64"/>
    </row>
    <row r="4" spans="1:20" ht="48" hidden="1" customHeight="1" x14ac:dyDescent="0.25">
      <c r="A4" s="10" t="s">
        <v>158</v>
      </c>
      <c r="B4" s="11" t="s">
        <v>159</v>
      </c>
      <c r="C4" s="10" t="s">
        <v>160</v>
      </c>
      <c r="D4" s="11" t="s">
        <v>161</v>
      </c>
      <c r="E4" s="10" t="s">
        <v>162</v>
      </c>
      <c r="F4" s="11" t="s">
        <v>163</v>
      </c>
      <c r="H4" s="10" t="s">
        <v>164</v>
      </c>
      <c r="I4" s="11" t="s">
        <v>165</v>
      </c>
      <c r="J4" s="10" t="s">
        <v>166</v>
      </c>
      <c r="K4" s="11" t="s">
        <v>167</v>
      </c>
      <c r="L4" s="10" t="s">
        <v>168</v>
      </c>
      <c r="N4" s="11" t="s">
        <v>169</v>
      </c>
      <c r="O4" s="10" t="s">
        <v>170</v>
      </c>
      <c r="P4" s="11" t="s">
        <v>171</v>
      </c>
      <c r="Q4" s="10" t="s">
        <v>172</v>
      </c>
      <c r="R4" s="11" t="s">
        <v>173</v>
      </c>
      <c r="T4" s="10" t="s">
        <v>174</v>
      </c>
    </row>
    <row r="5" spans="1:20" collapsed="1" x14ac:dyDescent="0.25">
      <c r="A5" s="12" t="s">
        <v>175</v>
      </c>
      <c r="B5" s="12" t="s">
        <v>40</v>
      </c>
      <c r="C5" s="12">
        <v>11997440</v>
      </c>
      <c r="D5" s="13">
        <v>10</v>
      </c>
      <c r="E5" s="14">
        <v>32</v>
      </c>
      <c r="F5" s="14">
        <v>30</v>
      </c>
      <c r="H5" s="15" t="str">
        <f t="shared" ref="H5:H12" si="0">IF(OR(ISBLANK(J5),ISBLANK(F5)),"·",J5*F5/E5/1000000)</f>
        <v>·</v>
      </c>
      <c r="I5" s="16" t="str">
        <f t="shared" ref="I5:I12" si="1">IF(ISBLANK(J5),"·",J5/C5)</f>
        <v>·</v>
      </c>
      <c r="J5" s="17"/>
      <c r="K5" s="18"/>
      <c r="L5" s="18"/>
      <c r="N5" s="15" t="str">
        <f t="shared" ref="N5:N12" si="2">IF(OR(ISBLANK(P5),ISBLANK(F5)),"·",P5*F5/E5/1000000)</f>
        <v>·</v>
      </c>
      <c r="O5" s="16" t="str">
        <f t="shared" ref="O5:O12" si="3">IF(ISBLANK(P5),"·",P5/C5)</f>
        <v>·</v>
      </c>
      <c r="P5" s="17"/>
      <c r="Q5" s="18"/>
      <c r="R5" s="18"/>
      <c r="T5" s="19" t="e">
        <f t="shared" ref="T5:T16" si="4">O5/I5</f>
        <v>#VALUE!</v>
      </c>
    </row>
    <row r="6" spans="1:20" collapsed="1" x14ac:dyDescent="0.25">
      <c r="A6" s="20"/>
      <c r="B6" s="20" t="s">
        <v>48</v>
      </c>
      <c r="C6" s="20">
        <v>9000000</v>
      </c>
      <c r="D6" s="21">
        <v>10</v>
      </c>
      <c r="E6" s="22">
        <v>32</v>
      </c>
      <c r="F6" s="22">
        <v>30</v>
      </c>
      <c r="H6" s="23" t="str">
        <f t="shared" si="0"/>
        <v>·</v>
      </c>
      <c r="I6" s="24" t="str">
        <f t="shared" si="1"/>
        <v>·</v>
      </c>
      <c r="J6" s="25"/>
      <c r="K6" s="26"/>
      <c r="L6" s="26"/>
      <c r="N6" s="23" t="str">
        <f t="shared" si="2"/>
        <v>·</v>
      </c>
      <c r="O6" s="24" t="str">
        <f t="shared" si="3"/>
        <v>·</v>
      </c>
      <c r="P6" s="25"/>
      <c r="Q6" s="26"/>
      <c r="R6" s="26"/>
      <c r="T6" s="27" t="e">
        <f t="shared" si="4"/>
        <v>#VALUE!</v>
      </c>
    </row>
    <row r="7" spans="1:20" collapsed="1" x14ac:dyDescent="0.25">
      <c r="A7" s="12" t="s">
        <v>176</v>
      </c>
      <c r="B7" s="12" t="s">
        <v>53</v>
      </c>
      <c r="C7" s="12">
        <v>11842002</v>
      </c>
      <c r="D7" s="13">
        <v>12</v>
      </c>
      <c r="E7" s="14">
        <v>32</v>
      </c>
      <c r="F7" s="14">
        <v>30</v>
      </c>
      <c r="H7" s="15" t="str">
        <f t="shared" si="0"/>
        <v>·</v>
      </c>
      <c r="I7" s="16" t="str">
        <f t="shared" si="1"/>
        <v>·</v>
      </c>
      <c r="J7" s="17"/>
      <c r="K7" s="18"/>
      <c r="L7" s="18"/>
      <c r="N7" s="15" t="str">
        <f t="shared" si="2"/>
        <v>·</v>
      </c>
      <c r="O7" s="16" t="str">
        <f t="shared" si="3"/>
        <v>·</v>
      </c>
      <c r="P7" s="17"/>
      <c r="Q7" s="18"/>
      <c r="R7" s="18"/>
      <c r="T7" s="19" t="e">
        <f t="shared" si="4"/>
        <v>#VALUE!</v>
      </c>
    </row>
    <row r="8" spans="1:20" collapsed="1" x14ac:dyDescent="0.25">
      <c r="A8" s="20"/>
      <c r="B8" s="20" t="s">
        <v>58</v>
      </c>
      <c r="C8" s="20">
        <v>11812090</v>
      </c>
      <c r="D8" s="21">
        <v>12</v>
      </c>
      <c r="E8" s="22">
        <v>32</v>
      </c>
      <c r="F8" s="22">
        <v>50</v>
      </c>
      <c r="H8" s="23" t="str">
        <f t="shared" si="0"/>
        <v>·</v>
      </c>
      <c r="I8" s="24" t="str">
        <f t="shared" si="1"/>
        <v>·</v>
      </c>
      <c r="J8" s="25"/>
      <c r="K8" s="26"/>
      <c r="L8" s="26"/>
      <c r="N8" s="23" t="str">
        <f t="shared" si="2"/>
        <v>·</v>
      </c>
      <c r="O8" s="24" t="str">
        <f t="shared" si="3"/>
        <v>·</v>
      </c>
      <c r="P8" s="25"/>
      <c r="Q8" s="26"/>
      <c r="R8" s="26"/>
      <c r="T8" s="27" t="e">
        <f t="shared" si="4"/>
        <v>#VALUE!</v>
      </c>
    </row>
    <row r="9" spans="1:20" collapsed="1" x14ac:dyDescent="0.25">
      <c r="A9" s="12" t="s">
        <v>177</v>
      </c>
      <c r="B9" s="12" t="s">
        <v>63</v>
      </c>
      <c r="C9" s="12">
        <v>12000000</v>
      </c>
      <c r="D9" s="13">
        <v>12</v>
      </c>
      <c r="E9" s="14">
        <v>32</v>
      </c>
      <c r="F9" s="14">
        <v>30</v>
      </c>
      <c r="H9" s="15" t="str">
        <f t="shared" si="0"/>
        <v>·</v>
      </c>
      <c r="I9" s="16" t="str">
        <f t="shared" si="1"/>
        <v>·</v>
      </c>
      <c r="J9" s="17"/>
      <c r="K9" s="18"/>
      <c r="L9" s="18"/>
      <c r="N9" s="15" t="str">
        <f t="shared" si="2"/>
        <v>·</v>
      </c>
      <c r="O9" s="16" t="str">
        <f t="shared" si="3"/>
        <v>·</v>
      </c>
      <c r="P9" s="17"/>
      <c r="Q9" s="18"/>
      <c r="R9" s="18"/>
      <c r="T9" s="19" t="e">
        <f t="shared" si="4"/>
        <v>#VALUE!</v>
      </c>
    </row>
    <row r="10" spans="1:20" collapsed="1" x14ac:dyDescent="0.25">
      <c r="A10" s="28"/>
      <c r="B10" s="28" t="s">
        <v>68</v>
      </c>
      <c r="C10" s="28">
        <v>5997654</v>
      </c>
      <c r="D10" s="29">
        <v>12</v>
      </c>
      <c r="E10" s="30">
        <v>32</v>
      </c>
      <c r="F10" s="30">
        <v>30</v>
      </c>
      <c r="H10" s="31" t="str">
        <f t="shared" si="0"/>
        <v>·</v>
      </c>
      <c r="I10" s="32" t="str">
        <f t="shared" si="1"/>
        <v>·</v>
      </c>
      <c r="J10" s="33"/>
      <c r="K10" s="34"/>
      <c r="L10" s="34"/>
      <c r="N10" s="31" t="str">
        <f t="shared" si="2"/>
        <v>·</v>
      </c>
      <c r="O10" s="32" t="str">
        <f t="shared" si="3"/>
        <v>·</v>
      </c>
      <c r="P10" s="33"/>
      <c r="Q10" s="34"/>
      <c r="R10" s="34"/>
      <c r="T10" s="35" t="e">
        <f t="shared" si="4"/>
        <v>#VALUE!</v>
      </c>
    </row>
    <row r="11" spans="1:20" collapsed="1" x14ac:dyDescent="0.25">
      <c r="A11" s="12"/>
      <c r="B11" s="12" t="s">
        <v>32</v>
      </c>
      <c r="C11" s="12">
        <v>9000000</v>
      </c>
      <c r="D11" s="13">
        <v>12</v>
      </c>
      <c r="E11" s="14">
        <v>32</v>
      </c>
      <c r="F11" s="14">
        <v>30</v>
      </c>
      <c r="H11" s="15" t="str">
        <f t="shared" si="0"/>
        <v>·</v>
      </c>
      <c r="I11" s="16" t="str">
        <f t="shared" si="1"/>
        <v>·</v>
      </c>
      <c r="J11" s="17"/>
      <c r="K11" s="18"/>
      <c r="L11" s="18"/>
      <c r="N11" s="15" t="str">
        <f t="shared" si="2"/>
        <v>·</v>
      </c>
      <c r="O11" s="16" t="str">
        <f t="shared" si="3"/>
        <v>·</v>
      </c>
      <c r="P11" s="17"/>
      <c r="Q11" s="18"/>
      <c r="R11" s="18"/>
      <c r="T11" s="19" t="e">
        <f t="shared" si="4"/>
        <v>#VALUE!</v>
      </c>
    </row>
    <row r="12" spans="1:20" collapsed="1" x14ac:dyDescent="0.25">
      <c r="A12" s="20"/>
      <c r="B12" s="20" t="s">
        <v>77</v>
      </c>
      <c r="C12" s="20">
        <v>9000000</v>
      </c>
      <c r="D12" s="21">
        <v>12</v>
      </c>
      <c r="E12" s="22">
        <v>32</v>
      </c>
      <c r="F12" s="22">
        <v>30</v>
      </c>
      <c r="H12" s="23" t="str">
        <f t="shared" si="0"/>
        <v>·</v>
      </c>
      <c r="I12" s="24" t="str">
        <f t="shared" si="1"/>
        <v>·</v>
      </c>
      <c r="J12" s="25"/>
      <c r="K12" s="26"/>
      <c r="L12" s="26"/>
      <c r="N12" s="23" t="str">
        <f t="shared" si="2"/>
        <v>·</v>
      </c>
      <c r="O12" s="24" t="str">
        <f t="shared" si="3"/>
        <v>·</v>
      </c>
      <c r="P12" s="25"/>
      <c r="Q12" s="26"/>
      <c r="R12" s="26"/>
      <c r="T12" s="27" t="e">
        <f t="shared" si="4"/>
        <v>#VALUE!</v>
      </c>
    </row>
    <row r="13" spans="1:20" x14ac:dyDescent="0.25">
      <c r="B13" s="36" t="s">
        <v>7</v>
      </c>
      <c r="I13" s="37" t="e">
        <f>AVERAGE(I5:I6)</f>
        <v>#DIV/0!</v>
      </c>
      <c r="O13" s="37" t="e">
        <f>AVERAGE(O5:O6)</f>
        <v>#DIV/0!</v>
      </c>
      <c r="T13" s="4" t="e">
        <f t="shared" si="4"/>
        <v>#DIV/0!</v>
      </c>
    </row>
    <row r="14" spans="1:20" x14ac:dyDescent="0.25">
      <c r="B14" s="36" t="s">
        <v>8</v>
      </c>
      <c r="I14" s="37" t="e">
        <f>AVERAGE(I7:I8)</f>
        <v>#DIV/0!</v>
      </c>
      <c r="O14" s="37" t="e">
        <f>AVERAGE(O7:O8)</f>
        <v>#DIV/0!</v>
      </c>
      <c r="T14" s="4" t="e">
        <f t="shared" si="4"/>
        <v>#DIV/0!</v>
      </c>
    </row>
    <row r="15" spans="1:20" x14ac:dyDescent="0.25">
      <c r="B15" s="36" t="s">
        <v>9</v>
      </c>
      <c r="I15" s="37" t="e">
        <f>AVERAGE(I9:I12)</f>
        <v>#DIV/0!</v>
      </c>
      <c r="O15" s="37" t="e">
        <f>AVERAGE(O9:O12)</f>
        <v>#DIV/0!</v>
      </c>
      <c r="T15" s="4" t="e">
        <f t="shared" si="4"/>
        <v>#DIV/0!</v>
      </c>
    </row>
    <row r="16" spans="1:20" x14ac:dyDescent="0.25">
      <c r="B16" s="36" t="s">
        <v>10</v>
      </c>
      <c r="I16" s="37" t="e">
        <f>AVERAGE(I5:I12)</f>
        <v>#DIV/0!</v>
      </c>
      <c r="O16" s="37" t="e">
        <f>AVERAGE(O5:O12)</f>
        <v>#DIV/0!</v>
      </c>
      <c r="T16" s="4" t="e">
        <f t="shared" si="4"/>
        <v>#DIV/0!</v>
      </c>
    </row>
    <row r="17" spans="1:18" x14ac:dyDescent="0.25">
      <c r="A17" s="36" t="s">
        <v>178</v>
      </c>
      <c r="B17" s="36" t="s">
        <v>179</v>
      </c>
      <c r="K17" s="38">
        <f>SUM(K5:K6,K7:K8,K9:K12)</f>
        <v>0</v>
      </c>
      <c r="L17" s="38">
        <f>SUM(L5:L6,L7:L8,L9:L12)</f>
        <v>0</v>
      </c>
      <c r="Q17" s="38">
        <f>SUM(Q5:Q6,Q7:Q8,Q9:Q12)</f>
        <v>0</v>
      </c>
      <c r="R17" s="38">
        <f>SUM(R5:R6,R7:R8,R9:R12)</f>
        <v>0</v>
      </c>
    </row>
    <row r="18" spans="1:18" x14ac:dyDescent="0.25">
      <c r="B18" s="36" t="s">
        <v>180</v>
      </c>
      <c r="Q18" s="57" t="e">
        <f>Q17/K17</f>
        <v>#DIV/0!</v>
      </c>
      <c r="R18" s="57" t="e">
        <f>R17/L17</f>
        <v>#DIV/0!</v>
      </c>
    </row>
  </sheetData>
  <mergeCells count="20">
    <mergeCell ref="T2:T3"/>
    <mergeCell ref="A1:F1"/>
    <mergeCell ref="H1:L1"/>
    <mergeCell ref="N1:R1"/>
    <mergeCell ref="L2:L3"/>
    <mergeCell ref="N2:N3"/>
    <mergeCell ref="O2:O3"/>
    <mergeCell ref="P2:P3"/>
    <mergeCell ref="Q2:Q3"/>
    <mergeCell ref="F2:F3"/>
    <mergeCell ref="H2:H3"/>
    <mergeCell ref="I2:I3"/>
    <mergeCell ref="J2:J3"/>
    <mergeCell ref="K2:K3"/>
    <mergeCell ref="A2:A3"/>
    <mergeCell ref="B2:B3"/>
    <mergeCell ref="C2:C3"/>
    <mergeCell ref="D2:D3"/>
    <mergeCell ref="E2:E3"/>
    <mergeCell ref="R2:R3"/>
  </mergeCells>
  <conditionalFormatting sqref="T5 T6 T7 T8 T9 T10 T11 T12 T13 T14 T15 T16">
    <cfRule type="cellIs" dxfId="33" priority="1" operator="greaterThanOrEqual">
      <formula>1.03</formula>
    </cfRule>
    <cfRule type="cellIs" dxfId="32" priority="2" operator="lessThanOrEqual">
      <formula>0.97</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N131"/>
  <sheetViews>
    <sheetView workbookViewId="0"/>
  </sheetViews>
  <sheetFormatPr defaultColWidth="9.140625" defaultRowHeight="15" x14ac:dyDescent="0.25"/>
  <cols>
    <col min="1" max="1" width="41.7109375" style="3" bestFit="1" customWidth="1"/>
  </cols>
  <sheetData>
    <row r="1" spans="1:2" x14ac:dyDescent="0.25">
      <c r="A1" t="s">
        <v>181</v>
      </c>
      <c r="B1">
        <v>1</v>
      </c>
    </row>
    <row r="2" spans="1:2" x14ac:dyDescent="0.25">
      <c r="A2" t="s">
        <v>182</v>
      </c>
      <c r="B2">
        <v>2</v>
      </c>
    </row>
    <row r="3" spans="1:2" x14ac:dyDescent="0.25">
      <c r="A3" t="s">
        <v>183</v>
      </c>
      <c r="B3">
        <v>3</v>
      </c>
    </row>
    <row r="4" spans="1:2" x14ac:dyDescent="0.25">
      <c r="A4" t="s">
        <v>184</v>
      </c>
      <c r="B4">
        <v>4</v>
      </c>
    </row>
    <row r="5" spans="1:2" x14ac:dyDescent="0.25">
      <c r="A5" t="s">
        <v>185</v>
      </c>
      <c r="B5">
        <v>5</v>
      </c>
    </row>
    <row r="6" spans="1:2" x14ac:dyDescent="0.25">
      <c r="A6" t="s">
        <v>186</v>
      </c>
      <c r="B6">
        <v>6</v>
      </c>
    </row>
    <row r="7" spans="1:2" x14ac:dyDescent="0.25">
      <c r="A7" t="s">
        <v>187</v>
      </c>
      <c r="B7">
        <v>8</v>
      </c>
    </row>
    <row r="8" spans="1:2" x14ac:dyDescent="0.25">
      <c r="A8" t="s">
        <v>188</v>
      </c>
      <c r="B8">
        <v>9</v>
      </c>
    </row>
    <row r="9" spans="1:2" x14ac:dyDescent="0.25">
      <c r="A9" t="s">
        <v>189</v>
      </c>
      <c r="B9">
        <v>10</v>
      </c>
    </row>
    <row r="10" spans="1:2" x14ac:dyDescent="0.25">
      <c r="A10" t="s">
        <v>190</v>
      </c>
      <c r="B10">
        <v>11</v>
      </c>
    </row>
    <row r="11" spans="1:2" x14ac:dyDescent="0.25">
      <c r="A11" t="s">
        <v>191</v>
      </c>
      <c r="B11">
        <v>12</v>
      </c>
    </row>
    <row r="12" spans="1:2" x14ac:dyDescent="0.25">
      <c r="A12" t="s">
        <v>192</v>
      </c>
      <c r="B12">
        <v>14</v>
      </c>
    </row>
    <row r="13" spans="1:2" x14ac:dyDescent="0.25">
      <c r="A13" t="s">
        <v>193</v>
      </c>
      <c r="B13">
        <v>15</v>
      </c>
    </row>
    <row r="14" spans="1:2" x14ac:dyDescent="0.25">
      <c r="A14" t="s">
        <v>194</v>
      </c>
      <c r="B14">
        <v>16</v>
      </c>
    </row>
    <row r="15" spans="1:2" x14ac:dyDescent="0.25">
      <c r="A15" t="s">
        <v>195</v>
      </c>
      <c r="B15">
        <v>17</v>
      </c>
    </row>
    <row r="16" spans="1:2" x14ac:dyDescent="0.25">
      <c r="A16" t="s">
        <v>196</v>
      </c>
      <c r="B16">
        <v>18</v>
      </c>
    </row>
    <row r="17" spans="1:2" x14ac:dyDescent="0.25">
      <c r="A17" t="s">
        <v>197</v>
      </c>
      <c r="B17">
        <v>20</v>
      </c>
    </row>
    <row r="18" spans="1:2" x14ac:dyDescent="0.25">
      <c r="A18" t="s">
        <v>198</v>
      </c>
      <c r="B18" t="s">
        <v>199</v>
      </c>
    </row>
    <row r="19" spans="1:2" x14ac:dyDescent="0.25">
      <c r="A19" t="s">
        <v>200</v>
      </c>
      <c r="B19" t="s">
        <v>201</v>
      </c>
    </row>
    <row r="20" spans="1:2" x14ac:dyDescent="0.25">
      <c r="A20" t="s">
        <v>202</v>
      </c>
      <c r="B20" t="s">
        <v>203</v>
      </c>
    </row>
    <row r="21" spans="1:2" x14ac:dyDescent="0.25">
      <c r="A21" t="s">
        <v>204</v>
      </c>
      <c r="B21" t="s">
        <v>205</v>
      </c>
    </row>
    <row r="22" spans="1:2" x14ac:dyDescent="0.25">
      <c r="A22" t="s">
        <v>206</v>
      </c>
      <c r="B22" t="s">
        <v>207</v>
      </c>
    </row>
    <row r="23" spans="1:2" x14ac:dyDescent="0.25">
      <c r="A23" t="s">
        <v>208</v>
      </c>
      <c r="B23" t="s">
        <v>209</v>
      </c>
    </row>
    <row r="24" spans="1:2" x14ac:dyDescent="0.25">
      <c r="A24" t="s">
        <v>210</v>
      </c>
      <c r="B24" t="s">
        <v>211</v>
      </c>
    </row>
    <row r="25" spans="1:2" x14ac:dyDescent="0.25">
      <c r="A25" t="s">
        <v>212</v>
      </c>
      <c r="B25" t="s">
        <v>213</v>
      </c>
    </row>
    <row r="26" spans="1:2" x14ac:dyDescent="0.25">
      <c r="A26" t="s">
        <v>214</v>
      </c>
      <c r="B26" t="s">
        <v>215</v>
      </c>
    </row>
    <row r="27" spans="1:2" x14ac:dyDescent="0.25">
      <c r="A27" t="s">
        <v>216</v>
      </c>
      <c r="B27" t="s">
        <v>217</v>
      </c>
    </row>
    <row r="28" spans="1:2" x14ac:dyDescent="0.25">
      <c r="A28" t="s">
        <v>218</v>
      </c>
      <c r="B28">
        <v>1</v>
      </c>
    </row>
    <row r="29" spans="1:2" x14ac:dyDescent="0.25">
      <c r="A29" t="s">
        <v>219</v>
      </c>
      <c r="B29">
        <v>2</v>
      </c>
    </row>
    <row r="30" spans="1:2" x14ac:dyDescent="0.25">
      <c r="A30" t="s">
        <v>220</v>
      </c>
      <c r="B30">
        <v>3</v>
      </c>
    </row>
    <row r="31" spans="1:2" x14ac:dyDescent="0.25">
      <c r="A31" t="s">
        <v>221</v>
      </c>
      <c r="B31">
        <v>4</v>
      </c>
    </row>
    <row r="32" spans="1:2" x14ac:dyDescent="0.25">
      <c r="A32" t="s">
        <v>222</v>
      </c>
      <c r="B32">
        <v>5</v>
      </c>
    </row>
    <row r="33" spans="1:2" x14ac:dyDescent="0.25">
      <c r="A33" t="s">
        <v>223</v>
      </c>
      <c r="B33">
        <v>6</v>
      </c>
    </row>
    <row r="34" spans="1:2" x14ac:dyDescent="0.25">
      <c r="A34" t="s">
        <v>224</v>
      </c>
      <c r="B34">
        <v>7</v>
      </c>
    </row>
    <row r="35" spans="1:2" x14ac:dyDescent="0.25">
      <c r="A35" t="s">
        <v>225</v>
      </c>
      <c r="B35">
        <v>8</v>
      </c>
    </row>
    <row r="36" spans="1:2" x14ac:dyDescent="0.25">
      <c r="A36" t="s">
        <v>226</v>
      </c>
      <c r="B36">
        <v>10</v>
      </c>
    </row>
    <row r="37" spans="1:2" x14ac:dyDescent="0.25">
      <c r="A37" t="s">
        <v>227</v>
      </c>
      <c r="B37">
        <v>11</v>
      </c>
    </row>
    <row r="38" spans="1:2" x14ac:dyDescent="0.25">
      <c r="A38" t="s">
        <v>228</v>
      </c>
      <c r="B38">
        <v>12</v>
      </c>
    </row>
    <row r="39" spans="1:2" x14ac:dyDescent="0.25">
      <c r="A39" t="s">
        <v>229</v>
      </c>
      <c r="B39">
        <v>13</v>
      </c>
    </row>
    <row r="40" spans="1:2" x14ac:dyDescent="0.25">
      <c r="A40" t="s">
        <v>230</v>
      </c>
      <c r="B40">
        <v>14</v>
      </c>
    </row>
    <row r="41" spans="1:2" x14ac:dyDescent="0.25">
      <c r="A41" t="s">
        <v>231</v>
      </c>
      <c r="B41">
        <v>15</v>
      </c>
    </row>
    <row r="42" spans="1:2" x14ac:dyDescent="0.25">
      <c r="A42" t="s">
        <v>232</v>
      </c>
      <c r="B42">
        <v>16</v>
      </c>
    </row>
    <row r="43" spans="1:2" x14ac:dyDescent="0.25">
      <c r="A43" t="s">
        <v>233</v>
      </c>
      <c r="B43">
        <v>17</v>
      </c>
    </row>
    <row r="44" spans="1:2" x14ac:dyDescent="0.25">
      <c r="A44" t="s">
        <v>234</v>
      </c>
      <c r="B44">
        <v>18</v>
      </c>
    </row>
    <row r="45" spans="1:2" x14ac:dyDescent="0.25">
      <c r="A45" t="s">
        <v>235</v>
      </c>
      <c r="B45">
        <v>19</v>
      </c>
    </row>
    <row r="46" spans="1:2" x14ac:dyDescent="0.25">
      <c r="A46" t="s">
        <v>236</v>
      </c>
      <c r="B46">
        <v>20</v>
      </c>
    </row>
    <row r="47" spans="1:2" x14ac:dyDescent="0.25">
      <c r="A47" t="s">
        <v>237</v>
      </c>
      <c r="B47">
        <v>21</v>
      </c>
    </row>
    <row r="48" spans="1:2" x14ac:dyDescent="0.25">
      <c r="A48" t="s">
        <v>238</v>
      </c>
      <c r="B48">
        <v>22</v>
      </c>
    </row>
    <row r="49" spans="1:2" x14ac:dyDescent="0.25">
      <c r="A49" t="s">
        <v>239</v>
      </c>
      <c r="B49">
        <v>24</v>
      </c>
    </row>
    <row r="50" spans="1:2" x14ac:dyDescent="0.25">
      <c r="A50" t="s">
        <v>240</v>
      </c>
      <c r="B50">
        <v>25</v>
      </c>
    </row>
    <row r="51" spans="1:2" x14ac:dyDescent="0.25">
      <c r="A51" t="s">
        <v>241</v>
      </c>
      <c r="B51">
        <v>26</v>
      </c>
    </row>
    <row r="52" spans="1:2" x14ac:dyDescent="0.25">
      <c r="A52" t="s">
        <v>242</v>
      </c>
      <c r="B52">
        <v>27</v>
      </c>
    </row>
    <row r="53" spans="1:2" x14ac:dyDescent="0.25">
      <c r="A53" t="s">
        <v>243</v>
      </c>
      <c r="B53">
        <v>28</v>
      </c>
    </row>
    <row r="54" spans="1:2" x14ac:dyDescent="0.25">
      <c r="A54" t="s">
        <v>244</v>
      </c>
      <c r="B54">
        <v>29</v>
      </c>
    </row>
    <row r="55" spans="1:2" x14ac:dyDescent="0.25">
      <c r="A55" t="s">
        <v>245</v>
      </c>
      <c r="B55">
        <v>30</v>
      </c>
    </row>
    <row r="56" spans="1:2" x14ac:dyDescent="0.25">
      <c r="A56" t="s">
        <v>246</v>
      </c>
      <c r="B56">
        <v>31</v>
      </c>
    </row>
    <row r="57" spans="1:2" x14ac:dyDescent="0.25">
      <c r="A57" t="s">
        <v>247</v>
      </c>
      <c r="B57">
        <v>32</v>
      </c>
    </row>
    <row r="58" spans="1:2" x14ac:dyDescent="0.25">
      <c r="A58" t="s">
        <v>248</v>
      </c>
      <c r="B58">
        <v>33</v>
      </c>
    </row>
    <row r="59" spans="1:2" x14ac:dyDescent="0.25">
      <c r="A59" t="s">
        <v>249</v>
      </c>
      <c r="B59">
        <v>34</v>
      </c>
    </row>
    <row r="60" spans="1:2" x14ac:dyDescent="0.25">
      <c r="A60" t="s">
        <v>250</v>
      </c>
      <c r="B60">
        <v>35</v>
      </c>
    </row>
    <row r="61" spans="1:2" x14ac:dyDescent="0.25">
      <c r="A61" t="s">
        <v>251</v>
      </c>
      <c r="B61">
        <v>36</v>
      </c>
    </row>
    <row r="62" spans="1:2" x14ac:dyDescent="0.25">
      <c r="A62" t="s">
        <v>252</v>
      </c>
      <c r="B62">
        <v>38</v>
      </c>
    </row>
    <row r="63" spans="1:2" x14ac:dyDescent="0.25">
      <c r="A63" t="s">
        <v>253</v>
      </c>
      <c r="B63">
        <v>39</v>
      </c>
    </row>
    <row r="64" spans="1:2" x14ac:dyDescent="0.25">
      <c r="A64" t="s">
        <v>254</v>
      </c>
      <c r="B64">
        <v>40</v>
      </c>
    </row>
    <row r="65" spans="1:14" x14ac:dyDescent="0.25">
      <c r="A65" t="s">
        <v>255</v>
      </c>
      <c r="B65">
        <v>41</v>
      </c>
    </row>
    <row r="66" spans="1:14" x14ac:dyDescent="0.25">
      <c r="A66" t="s">
        <v>256</v>
      </c>
      <c r="B66">
        <v>42</v>
      </c>
    </row>
    <row r="67" spans="1:14" x14ac:dyDescent="0.25">
      <c r="A67" t="s">
        <v>257</v>
      </c>
      <c r="B67">
        <v>43</v>
      </c>
    </row>
    <row r="68" spans="1:14" x14ac:dyDescent="0.25">
      <c r="A68" t="s">
        <v>258</v>
      </c>
      <c r="B68">
        <v>44</v>
      </c>
    </row>
    <row r="69" spans="1:14" x14ac:dyDescent="0.25">
      <c r="A69" t="s">
        <v>259</v>
      </c>
      <c r="B69" t="s">
        <v>260</v>
      </c>
    </row>
    <row r="70" spans="1:14" x14ac:dyDescent="0.25">
      <c r="A70" t="s">
        <v>261</v>
      </c>
      <c r="B70" t="s">
        <v>262</v>
      </c>
    </row>
    <row r="71" spans="1:14" x14ac:dyDescent="0.25">
      <c r="A71" t="s">
        <v>263</v>
      </c>
      <c r="B71" t="s">
        <v>264</v>
      </c>
    </row>
    <row r="72" spans="1:14" x14ac:dyDescent="0.25">
      <c r="A72" t="s">
        <v>265</v>
      </c>
      <c r="B72" t="s">
        <v>266</v>
      </c>
    </row>
    <row r="73" spans="1:14" x14ac:dyDescent="0.25">
      <c r="A73" t="s">
        <v>267</v>
      </c>
      <c r="B73" t="s">
        <v>268</v>
      </c>
    </row>
    <row r="74" spans="1:14" x14ac:dyDescent="0.25">
      <c r="A74" t="s">
        <v>269</v>
      </c>
      <c r="B74" t="s">
        <v>270</v>
      </c>
    </row>
    <row r="75" spans="1:14" x14ac:dyDescent="0.25">
      <c r="A75" t="s">
        <v>271</v>
      </c>
      <c r="B75" t="s">
        <v>272</v>
      </c>
    </row>
    <row r="76" spans="1:14" x14ac:dyDescent="0.25">
      <c r="A76" t="s">
        <v>273</v>
      </c>
      <c r="B76" t="s">
        <v>274</v>
      </c>
    </row>
    <row r="77" spans="1:14" x14ac:dyDescent="0.25">
      <c r="A77" t="s">
        <v>275</v>
      </c>
      <c r="B77" t="s">
        <v>276</v>
      </c>
    </row>
    <row r="78" spans="1:14" x14ac:dyDescent="0.25">
      <c r="A78" t="s">
        <v>277</v>
      </c>
      <c r="B78" t="s">
        <v>278</v>
      </c>
    </row>
    <row r="79" spans="1:14" x14ac:dyDescent="0.25">
      <c r="A79" t="s">
        <v>279</v>
      </c>
      <c r="B79" t="s">
        <v>44</v>
      </c>
      <c r="C79" t="s">
        <v>49</v>
      </c>
      <c r="D79" t="s">
        <v>73</v>
      </c>
      <c r="E79" t="s">
        <v>42</v>
      </c>
      <c r="F79" t="s">
        <v>121</v>
      </c>
      <c r="G79" t="s">
        <v>69</v>
      </c>
      <c r="H79" t="s">
        <v>64</v>
      </c>
      <c r="I79" t="s">
        <v>82</v>
      </c>
      <c r="J79" t="s">
        <v>123</v>
      </c>
      <c r="K79" t="s">
        <v>59</v>
      </c>
      <c r="L79" t="s">
        <v>103</v>
      </c>
      <c r="M79" t="s">
        <v>54</v>
      </c>
      <c r="N79" t="s">
        <v>132</v>
      </c>
    </row>
    <row r="80" spans="1:14" x14ac:dyDescent="0.25">
      <c r="A80" t="s">
        <v>280</v>
      </c>
      <c r="B80">
        <v>1</v>
      </c>
    </row>
    <row r="81" spans="1:2" x14ac:dyDescent="0.25">
      <c r="A81" t="s">
        <v>281</v>
      </c>
      <c r="B81">
        <v>2</v>
      </c>
    </row>
    <row r="82" spans="1:2" x14ac:dyDescent="0.25">
      <c r="A82" t="s">
        <v>282</v>
      </c>
      <c r="B82">
        <v>3</v>
      </c>
    </row>
    <row r="83" spans="1:2" x14ac:dyDescent="0.25">
      <c r="A83" t="s">
        <v>283</v>
      </c>
      <c r="B83">
        <v>4</v>
      </c>
    </row>
    <row r="84" spans="1:2" x14ac:dyDescent="0.25">
      <c r="A84" t="s">
        <v>284</v>
      </c>
      <c r="B84">
        <v>5</v>
      </c>
    </row>
    <row r="85" spans="1:2" x14ac:dyDescent="0.25">
      <c r="A85" t="s">
        <v>285</v>
      </c>
      <c r="B85">
        <v>6</v>
      </c>
    </row>
    <row r="86" spans="1:2" x14ac:dyDescent="0.25">
      <c r="A86" t="s">
        <v>286</v>
      </c>
      <c r="B86">
        <v>7</v>
      </c>
    </row>
    <row r="87" spans="1:2" x14ac:dyDescent="0.25">
      <c r="A87" t="s">
        <v>287</v>
      </c>
      <c r="B87">
        <v>8</v>
      </c>
    </row>
    <row r="88" spans="1:2" x14ac:dyDescent="0.25">
      <c r="A88" t="s">
        <v>288</v>
      </c>
      <c r="B88">
        <v>10</v>
      </c>
    </row>
    <row r="89" spans="1:2" x14ac:dyDescent="0.25">
      <c r="A89" t="s">
        <v>289</v>
      </c>
      <c r="B89">
        <v>11</v>
      </c>
    </row>
    <row r="90" spans="1:2" x14ac:dyDescent="0.25">
      <c r="A90" t="s">
        <v>290</v>
      </c>
      <c r="B90">
        <v>12</v>
      </c>
    </row>
    <row r="91" spans="1:2" x14ac:dyDescent="0.25">
      <c r="A91" t="s">
        <v>291</v>
      </c>
      <c r="B91">
        <v>13</v>
      </c>
    </row>
    <row r="92" spans="1:2" x14ac:dyDescent="0.25">
      <c r="A92" t="s">
        <v>292</v>
      </c>
      <c r="B92">
        <v>14</v>
      </c>
    </row>
    <row r="93" spans="1:2" x14ac:dyDescent="0.25">
      <c r="A93" t="s">
        <v>293</v>
      </c>
      <c r="B93">
        <v>15</v>
      </c>
    </row>
    <row r="94" spans="1:2" x14ac:dyDescent="0.25">
      <c r="A94" t="s">
        <v>294</v>
      </c>
      <c r="B94">
        <v>16</v>
      </c>
    </row>
    <row r="95" spans="1:2" x14ac:dyDescent="0.25">
      <c r="A95" t="s">
        <v>295</v>
      </c>
      <c r="B95">
        <v>17</v>
      </c>
    </row>
    <row r="96" spans="1:2" x14ac:dyDescent="0.25">
      <c r="A96" t="s">
        <v>296</v>
      </c>
      <c r="B96">
        <v>18</v>
      </c>
    </row>
    <row r="97" spans="1:2" x14ac:dyDescent="0.25">
      <c r="A97" t="s">
        <v>297</v>
      </c>
      <c r="B97">
        <v>19</v>
      </c>
    </row>
    <row r="98" spans="1:2" x14ac:dyDescent="0.25">
      <c r="A98" t="s">
        <v>298</v>
      </c>
      <c r="B98">
        <v>20</v>
      </c>
    </row>
    <row r="99" spans="1:2" x14ac:dyDescent="0.25">
      <c r="A99" t="s">
        <v>299</v>
      </c>
      <c r="B99">
        <v>21</v>
      </c>
    </row>
    <row r="100" spans="1:2" x14ac:dyDescent="0.25">
      <c r="A100" t="s">
        <v>300</v>
      </c>
      <c r="B100">
        <v>22</v>
      </c>
    </row>
    <row r="101" spans="1:2" x14ac:dyDescent="0.25">
      <c r="A101" t="s">
        <v>301</v>
      </c>
      <c r="B101">
        <v>24</v>
      </c>
    </row>
    <row r="102" spans="1:2" x14ac:dyDescent="0.25">
      <c r="A102" t="s">
        <v>302</v>
      </c>
      <c r="B102">
        <v>25</v>
      </c>
    </row>
    <row r="103" spans="1:2" x14ac:dyDescent="0.25">
      <c r="A103" t="s">
        <v>303</v>
      </c>
      <c r="B103">
        <v>26</v>
      </c>
    </row>
    <row r="104" spans="1:2" x14ac:dyDescent="0.25">
      <c r="A104" t="s">
        <v>304</v>
      </c>
      <c r="B104">
        <v>27</v>
      </c>
    </row>
    <row r="105" spans="1:2" x14ac:dyDescent="0.25">
      <c r="A105" t="s">
        <v>305</v>
      </c>
      <c r="B105">
        <v>28</v>
      </c>
    </row>
    <row r="106" spans="1:2" x14ac:dyDescent="0.25">
      <c r="A106" t="s">
        <v>306</v>
      </c>
      <c r="B106">
        <v>29</v>
      </c>
    </row>
    <row r="107" spans="1:2" x14ac:dyDescent="0.25">
      <c r="A107" t="s">
        <v>307</v>
      </c>
      <c r="B107">
        <v>30</v>
      </c>
    </row>
    <row r="108" spans="1:2" x14ac:dyDescent="0.25">
      <c r="A108" t="s">
        <v>308</v>
      </c>
      <c r="B108">
        <v>31</v>
      </c>
    </row>
    <row r="109" spans="1:2" x14ac:dyDescent="0.25">
      <c r="A109" t="s">
        <v>309</v>
      </c>
      <c r="B109">
        <v>32</v>
      </c>
    </row>
    <row r="110" spans="1:2" x14ac:dyDescent="0.25">
      <c r="A110" t="s">
        <v>310</v>
      </c>
      <c r="B110">
        <v>33</v>
      </c>
    </row>
    <row r="111" spans="1:2" x14ac:dyDescent="0.25">
      <c r="A111" t="s">
        <v>311</v>
      </c>
      <c r="B111">
        <v>34</v>
      </c>
    </row>
    <row r="112" spans="1:2" x14ac:dyDescent="0.25">
      <c r="A112" t="s">
        <v>312</v>
      </c>
      <c r="B112">
        <v>35</v>
      </c>
    </row>
    <row r="113" spans="1:2" x14ac:dyDescent="0.25">
      <c r="A113" t="s">
        <v>313</v>
      </c>
      <c r="B113">
        <v>36</v>
      </c>
    </row>
    <row r="114" spans="1:2" x14ac:dyDescent="0.25">
      <c r="A114" t="s">
        <v>314</v>
      </c>
      <c r="B114">
        <v>38</v>
      </c>
    </row>
    <row r="115" spans="1:2" x14ac:dyDescent="0.25">
      <c r="A115" t="s">
        <v>315</v>
      </c>
      <c r="B115">
        <v>39</v>
      </c>
    </row>
    <row r="116" spans="1:2" x14ac:dyDescent="0.25">
      <c r="A116" t="s">
        <v>316</v>
      </c>
      <c r="B116">
        <v>40</v>
      </c>
    </row>
    <row r="117" spans="1:2" x14ac:dyDescent="0.25">
      <c r="A117" t="s">
        <v>317</v>
      </c>
      <c r="B117">
        <v>41</v>
      </c>
    </row>
    <row r="118" spans="1:2" x14ac:dyDescent="0.25">
      <c r="A118" t="s">
        <v>318</v>
      </c>
      <c r="B118">
        <v>42</v>
      </c>
    </row>
    <row r="119" spans="1:2" x14ac:dyDescent="0.25">
      <c r="A119" t="s">
        <v>319</v>
      </c>
      <c r="B119">
        <v>43</v>
      </c>
    </row>
    <row r="120" spans="1:2" x14ac:dyDescent="0.25">
      <c r="A120" t="s">
        <v>320</v>
      </c>
      <c r="B120">
        <v>44</v>
      </c>
    </row>
    <row r="121" spans="1:2" x14ac:dyDescent="0.25">
      <c r="A121" t="s">
        <v>321</v>
      </c>
      <c r="B121" t="s">
        <v>322</v>
      </c>
    </row>
    <row r="122" spans="1:2" x14ac:dyDescent="0.25">
      <c r="A122" t="s">
        <v>323</v>
      </c>
      <c r="B122" t="s">
        <v>324</v>
      </c>
    </row>
    <row r="123" spans="1:2" x14ac:dyDescent="0.25">
      <c r="A123" t="s">
        <v>325</v>
      </c>
      <c r="B123" t="s">
        <v>326</v>
      </c>
    </row>
    <row r="124" spans="1:2" x14ac:dyDescent="0.25">
      <c r="A124" t="s">
        <v>327</v>
      </c>
      <c r="B124" t="s">
        <v>328</v>
      </c>
    </row>
    <row r="125" spans="1:2" x14ac:dyDescent="0.25">
      <c r="A125" t="s">
        <v>329</v>
      </c>
      <c r="B125" t="s">
        <v>330</v>
      </c>
    </row>
    <row r="126" spans="1:2" x14ac:dyDescent="0.25">
      <c r="A126" t="s">
        <v>331</v>
      </c>
      <c r="B126" t="s">
        <v>332</v>
      </c>
    </row>
    <row r="127" spans="1:2" x14ac:dyDescent="0.25">
      <c r="A127" t="s">
        <v>333</v>
      </c>
      <c r="B127" t="s">
        <v>334</v>
      </c>
    </row>
    <row r="128" spans="1:2" x14ac:dyDescent="0.25">
      <c r="A128" t="s">
        <v>335</v>
      </c>
      <c r="B128" t="s">
        <v>336</v>
      </c>
    </row>
    <row r="129" spans="1:14" x14ac:dyDescent="0.25">
      <c r="A129" t="s">
        <v>337</v>
      </c>
      <c r="B129" t="s">
        <v>338</v>
      </c>
    </row>
    <row r="130" spans="1:14" x14ac:dyDescent="0.25">
      <c r="A130" t="s">
        <v>339</v>
      </c>
      <c r="B130" t="s">
        <v>340</v>
      </c>
    </row>
    <row r="131" spans="1:14" x14ac:dyDescent="0.25">
      <c r="A131" t="s">
        <v>341</v>
      </c>
      <c r="B131" t="s">
        <v>59</v>
      </c>
      <c r="C131" t="s">
        <v>103</v>
      </c>
      <c r="D131" t="s">
        <v>54</v>
      </c>
      <c r="E131" t="s">
        <v>132</v>
      </c>
      <c r="F131" t="s">
        <v>44</v>
      </c>
      <c r="G131" t="s">
        <v>49</v>
      </c>
      <c r="H131" t="s">
        <v>73</v>
      </c>
      <c r="I131" t="s">
        <v>42</v>
      </c>
      <c r="J131" t="s">
        <v>69</v>
      </c>
      <c r="K131" t="s">
        <v>121</v>
      </c>
      <c r="L131" t="s">
        <v>64</v>
      </c>
      <c r="M131" t="s">
        <v>82</v>
      </c>
      <c r="N131" t="s">
        <v>123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outlinePr summaryBelow="0"/>
  </sheetPr>
  <dimension ref="A1:AS50"/>
  <sheetViews>
    <sheetView zoomScale="70" zoomScaleNormal="70" workbookViewId="0">
      <pane xSplit="2" ySplit="4" topLeftCell="C5" activePane="bottomRight" state="frozen"/>
      <selection pane="topRight" activeCell="C1" sqref="C1"/>
      <selection pane="bottomLeft" activeCell="A5" sqref="A5"/>
      <selection pane="bottomRight" activeCell="T48" sqref="T48"/>
    </sheetView>
  </sheetViews>
  <sheetFormatPr defaultColWidth="9.140625" defaultRowHeight="15" outlineLevelRow="1" x14ac:dyDescent="0.25"/>
  <cols>
    <col min="2" max="2" width="24.7109375" style="3" customWidth="1"/>
    <col min="4" max="5" width="10.7109375" style="3" customWidth="1"/>
    <col min="9" max="9" width="1.7109375" style="3" customWidth="1"/>
    <col min="11" max="12" width="10.7109375" style="3" customWidth="1"/>
    <col min="13" max="13" width="12.7109375" style="3" customWidth="1"/>
    <col min="14" max="20" width="11.7109375" style="3" customWidth="1"/>
    <col min="23" max="23" width="1.7109375" style="3" customWidth="1"/>
    <col min="25" max="26" width="10.7109375" style="3" customWidth="1"/>
    <col min="27" max="27" width="12.7109375" style="3" customWidth="1"/>
    <col min="28" max="34" width="11.7109375" style="3" customWidth="1"/>
    <col min="37" max="37" width="1.7109375" style="3" customWidth="1"/>
    <col min="40" max="44" width="11.7109375" style="3" customWidth="1"/>
    <col min="45" max="45" width="1.7109375" style="3" customWidth="1"/>
  </cols>
  <sheetData>
    <row r="1" spans="1:44" x14ac:dyDescent="0.25">
      <c r="A1" s="74" t="s">
        <v>342</v>
      </c>
      <c r="B1" s="62"/>
      <c r="C1" s="62"/>
      <c r="D1" s="62"/>
      <c r="E1" s="62"/>
      <c r="F1" s="62"/>
      <c r="G1" s="62"/>
      <c r="H1" s="62"/>
      <c r="J1" s="70" t="str">
        <f>Summary!C1</f>
        <v>F032_v2.0</v>
      </c>
      <c r="K1" s="62"/>
      <c r="L1" s="62"/>
      <c r="M1" s="62"/>
      <c r="N1" s="62"/>
      <c r="O1" s="62"/>
      <c r="P1" s="62"/>
      <c r="Q1" s="62"/>
      <c r="R1" s="62"/>
      <c r="S1" s="62"/>
      <c r="T1" s="62"/>
      <c r="U1" s="62"/>
      <c r="V1" s="62"/>
      <c r="X1" s="71">
        <f>Summary!C2</f>
        <v>0</v>
      </c>
      <c r="Y1" s="62"/>
      <c r="Z1" s="62"/>
      <c r="AA1" s="62"/>
      <c r="AB1" s="62"/>
      <c r="AC1" s="62"/>
      <c r="AD1" s="62"/>
      <c r="AE1" s="62"/>
      <c r="AF1" s="62"/>
      <c r="AG1" s="62"/>
      <c r="AH1" s="62"/>
      <c r="AI1" s="62"/>
      <c r="AJ1" s="62"/>
    </row>
    <row r="2" spans="1:44" ht="30" customHeight="1" x14ac:dyDescent="0.25">
      <c r="A2" s="73" t="s">
        <v>151</v>
      </c>
      <c r="B2" s="72" t="s">
        <v>152</v>
      </c>
      <c r="C2" s="73" t="s">
        <v>343</v>
      </c>
      <c r="D2" s="72" t="s">
        <v>153</v>
      </c>
      <c r="E2" s="73" t="s">
        <v>154</v>
      </c>
      <c r="F2" s="72" t="s">
        <v>155</v>
      </c>
      <c r="G2" s="73" t="s">
        <v>156</v>
      </c>
      <c r="H2" s="72" t="s">
        <v>344</v>
      </c>
      <c r="J2" s="73" t="s">
        <v>129</v>
      </c>
      <c r="K2" s="72" t="s">
        <v>133</v>
      </c>
      <c r="L2" s="73" t="s">
        <v>83</v>
      </c>
      <c r="M2" s="72" t="s">
        <v>122</v>
      </c>
      <c r="N2" s="76" t="s">
        <v>345</v>
      </c>
      <c r="O2" s="62"/>
      <c r="P2" s="62"/>
      <c r="Q2" s="62"/>
      <c r="R2" s="62"/>
      <c r="S2" s="75" t="s">
        <v>346</v>
      </c>
      <c r="T2" s="62"/>
      <c r="U2" s="73" t="s">
        <v>124</v>
      </c>
      <c r="V2" s="72" t="s">
        <v>104</v>
      </c>
      <c r="X2" s="73" t="s">
        <v>129</v>
      </c>
      <c r="Y2" s="72" t="s">
        <v>133</v>
      </c>
      <c r="Z2" s="73" t="s">
        <v>83</v>
      </c>
      <c r="AA2" s="72" t="s">
        <v>122</v>
      </c>
      <c r="AB2" s="76" t="s">
        <v>345</v>
      </c>
      <c r="AC2" s="62"/>
      <c r="AD2" s="62"/>
      <c r="AE2" s="62"/>
      <c r="AF2" s="62"/>
      <c r="AG2" s="75" t="s">
        <v>346</v>
      </c>
      <c r="AH2" s="62"/>
      <c r="AI2" s="73" t="s">
        <v>124</v>
      </c>
      <c r="AJ2" s="72" t="s">
        <v>104</v>
      </c>
      <c r="AL2" s="76" t="s">
        <v>15</v>
      </c>
      <c r="AM2" s="62"/>
      <c r="AN2" s="62"/>
      <c r="AO2" s="62"/>
      <c r="AP2" s="62"/>
      <c r="AQ2" s="75" t="s">
        <v>16</v>
      </c>
      <c r="AR2" s="62"/>
    </row>
    <row r="3" spans="1:44" ht="15.75" customHeight="1" thickBot="1" x14ac:dyDescent="0.3">
      <c r="A3" s="64"/>
      <c r="B3" s="64"/>
      <c r="C3" s="64"/>
      <c r="D3" s="64"/>
      <c r="E3" s="64"/>
      <c r="F3" s="64"/>
      <c r="G3" s="64"/>
      <c r="H3" s="64"/>
      <c r="J3" s="64"/>
      <c r="K3" s="64"/>
      <c r="L3" s="64"/>
      <c r="M3" s="64"/>
      <c r="N3" s="60" t="s">
        <v>17</v>
      </c>
      <c r="O3" s="60" t="s">
        <v>18</v>
      </c>
      <c r="P3" s="60" t="s">
        <v>19</v>
      </c>
      <c r="Q3" s="60" t="s">
        <v>20</v>
      </c>
      <c r="R3" s="60" t="s">
        <v>21</v>
      </c>
      <c r="S3" s="59" t="s">
        <v>22</v>
      </c>
      <c r="T3" s="59" t="s">
        <v>19</v>
      </c>
      <c r="U3" s="64"/>
      <c r="V3" s="64"/>
      <c r="X3" s="64"/>
      <c r="Y3" s="64"/>
      <c r="Z3" s="64"/>
      <c r="AA3" s="64"/>
      <c r="AB3" s="60" t="s">
        <v>17</v>
      </c>
      <c r="AC3" s="60" t="s">
        <v>18</v>
      </c>
      <c r="AD3" s="60" t="s">
        <v>19</v>
      </c>
      <c r="AE3" s="60" t="s">
        <v>20</v>
      </c>
      <c r="AF3" s="60" t="s">
        <v>21</v>
      </c>
      <c r="AG3" s="59" t="s">
        <v>22</v>
      </c>
      <c r="AH3" s="59" t="s">
        <v>19</v>
      </c>
      <c r="AI3" s="64"/>
      <c r="AJ3" s="64"/>
      <c r="AL3" s="60" t="s">
        <v>17</v>
      </c>
      <c r="AM3" s="60" t="s">
        <v>18</v>
      </c>
      <c r="AN3" s="60" t="s">
        <v>19</v>
      </c>
      <c r="AO3" s="60" t="s">
        <v>20</v>
      </c>
      <c r="AP3" s="60" t="s">
        <v>21</v>
      </c>
      <c r="AQ3" s="59" t="s">
        <v>22</v>
      </c>
      <c r="AR3" s="59" t="s">
        <v>19</v>
      </c>
    </row>
    <row r="4" spans="1:44" ht="53.25" hidden="1" customHeight="1" x14ac:dyDescent="0.25">
      <c r="A4" s="10" t="s">
        <v>158</v>
      </c>
      <c r="B4" s="11" t="s">
        <v>159</v>
      </c>
      <c r="C4" s="10" t="s">
        <v>347</v>
      </c>
      <c r="D4" s="11" t="s">
        <v>160</v>
      </c>
      <c r="E4" s="10" t="s">
        <v>161</v>
      </c>
      <c r="F4" s="11" t="s">
        <v>162</v>
      </c>
      <c r="G4" s="10" t="s">
        <v>163</v>
      </c>
      <c r="H4" s="11" t="s">
        <v>348</v>
      </c>
      <c r="J4" s="10" t="s">
        <v>164</v>
      </c>
      <c r="K4" s="11" t="s">
        <v>165</v>
      </c>
      <c r="L4" s="10" t="s">
        <v>349</v>
      </c>
      <c r="M4" s="11" t="s">
        <v>166</v>
      </c>
      <c r="N4" s="10" t="s">
        <v>350</v>
      </c>
      <c r="O4" s="10" t="s">
        <v>351</v>
      </c>
      <c r="P4" s="10" t="s">
        <v>352</v>
      </c>
      <c r="Q4" s="10" t="s">
        <v>353</v>
      </c>
      <c r="R4" s="10" t="s">
        <v>354</v>
      </c>
      <c r="S4" s="11" t="s">
        <v>355</v>
      </c>
      <c r="T4" s="11" t="s">
        <v>356</v>
      </c>
      <c r="U4" s="10" t="s">
        <v>167</v>
      </c>
      <c r="V4" s="11" t="s">
        <v>168</v>
      </c>
      <c r="X4" s="10" t="s">
        <v>169</v>
      </c>
      <c r="Y4" s="11" t="s">
        <v>170</v>
      </c>
      <c r="Z4" s="10" t="s">
        <v>357</v>
      </c>
      <c r="AA4" s="11" t="s">
        <v>171</v>
      </c>
      <c r="AB4" s="10" t="s">
        <v>358</v>
      </c>
      <c r="AC4" s="10" t="s">
        <v>359</v>
      </c>
      <c r="AD4" s="10" t="s">
        <v>360</v>
      </c>
      <c r="AE4" s="10" t="s">
        <v>361</v>
      </c>
      <c r="AF4" s="10" t="s">
        <v>362</v>
      </c>
      <c r="AG4" s="11" t="s">
        <v>363</v>
      </c>
      <c r="AH4" s="11" t="s">
        <v>364</v>
      </c>
      <c r="AI4" s="10" t="s">
        <v>172</v>
      </c>
      <c r="AJ4" s="11" t="s">
        <v>173</v>
      </c>
      <c r="AL4" s="10" t="s">
        <v>365</v>
      </c>
      <c r="AM4" s="10" t="s">
        <v>366</v>
      </c>
      <c r="AN4" s="10" t="s">
        <v>367</v>
      </c>
      <c r="AO4" s="10" t="s">
        <v>368</v>
      </c>
      <c r="AP4" s="10" t="s">
        <v>369</v>
      </c>
      <c r="AQ4" s="11" t="s">
        <v>370</v>
      </c>
      <c r="AR4" s="11" t="s">
        <v>371</v>
      </c>
    </row>
    <row r="5" spans="1:44" x14ac:dyDescent="0.25">
      <c r="A5" s="12" t="s">
        <v>175</v>
      </c>
      <c r="B5" s="12" t="s">
        <v>40</v>
      </c>
      <c r="C5" s="14" t="s">
        <v>372</v>
      </c>
      <c r="D5" s="12">
        <v>11997440</v>
      </c>
      <c r="E5" s="13">
        <v>10</v>
      </c>
      <c r="F5" s="14">
        <v>32</v>
      </c>
      <c r="G5" s="14">
        <v>30</v>
      </c>
      <c r="H5" s="14">
        <v>4</v>
      </c>
      <c r="J5" s="15">
        <f t="shared" ref="J5:J44" si="0">IF(OR(ISBLANK(M5),ISBLANK(G5)),"·",M5*G5/F5/1000000)</f>
        <v>4.9455524999999998</v>
      </c>
      <c r="K5" s="16">
        <f t="shared" ref="K5:K44" si="1">IF(ISBLANK(M5),"·",M5/D5)</f>
        <v>0.43969846900672144</v>
      </c>
      <c r="L5" s="39">
        <v>2415872</v>
      </c>
      <c r="M5" s="17">
        <v>5275256</v>
      </c>
      <c r="N5" s="40">
        <v>67.134145099999998</v>
      </c>
      <c r="O5" s="40">
        <v>68.3899562</v>
      </c>
      <c r="P5" s="40">
        <v>28.312157200000001</v>
      </c>
      <c r="Q5" s="40">
        <v>34.165756299999998</v>
      </c>
      <c r="R5" s="40">
        <v>33.7050755</v>
      </c>
      <c r="S5" s="40">
        <v>48.539464199999998</v>
      </c>
      <c r="T5" s="40">
        <v>26.895647199999999</v>
      </c>
      <c r="U5" s="18">
        <v>1113.0444299999999</v>
      </c>
      <c r="V5" s="18">
        <v>12.1123364</v>
      </c>
      <c r="X5" s="15" t="str">
        <f t="shared" ref="X5:X44" si="2">IF(OR(ISBLANK(AA5),ISBLANK(G5)),"·",AA5*G5/F5/1000000)</f>
        <v>·</v>
      </c>
      <c r="Y5" s="16" t="str">
        <f t="shared" ref="Y5:Y44" si="3">IF(ISBLANK(AA5),"·",AA5/D5)</f>
        <v>·</v>
      </c>
      <c r="Z5" s="39"/>
      <c r="AA5" s="17"/>
      <c r="AB5" s="40"/>
      <c r="AC5" s="40"/>
      <c r="AD5" s="40"/>
      <c r="AE5" s="40"/>
      <c r="AF5" s="40"/>
      <c r="AG5" s="40"/>
      <c r="AH5" s="40"/>
      <c r="AI5" s="18"/>
      <c r="AJ5" s="18"/>
      <c r="AL5" s="19" t="str">
        <f t="array" ref="AL5">IF( OR(AND(ISBLANK(M5:M9)),AND(ISBLANK(AA5:AA9)), AND(ISBLANK(N5:N9)),AND(ISBLANK(AB5:AB9))), "·", bdRateExtend( M5:M9,N5:N9, AA5:AA9,AB5:AB9))</f>
        <v>·</v>
      </c>
      <c r="AM5" s="19" t="str">
        <f t="array" ref="AM5">IF( OR(AND(ISBLANK(M5:M9)),AND(ISBLANK(AA5:AA9)), AND(ISBLANK(O5:O9)),AND(ISBLANK(AC5:AC9))), "·", bdRateExtend( M5:M9,O5:O9, AA5:AA9,AC5:AC9))</f>
        <v>·</v>
      </c>
      <c r="AN5" s="19" t="str">
        <f t="array" ref="AN5">IF( OR(AND(ISBLANK(M5:M9)),AND(ISBLANK(AA5:AA9)), AND(ISBLANK(P5:P9)),AND(ISBLANK(AD5:AD9))), "·", bdRateExtend( M5:M9,P5:P9, AA5:AA9,AD5:AD9))</f>
        <v>·</v>
      </c>
      <c r="AO5" s="19" t="str">
        <f t="array" ref="AO5">IF( OR(AND(ISBLANK(M5:M9)),AND(ISBLANK(AA5:AA9)), AND(ISBLANK(Q5:Q9)),AND(ISBLANK(AE5:AE9))), "·", bdRateExtend( M5:M9,Q5:Q9, AA5:AA9,AE5:AE9))</f>
        <v>·</v>
      </c>
      <c r="AP5" s="19" t="str">
        <f t="array" ref="AP5">IF( OR(AND(ISBLANK(M5:M9)),AND(ISBLANK(AA5:AA9)), AND(ISBLANK(R5:R9)),AND(ISBLANK(AF5:AF9))), "·", bdRateExtend( M5:M9,R5:R9, AA5:AA9,AF5:AF9))</f>
        <v>·</v>
      </c>
      <c r="AQ5" s="19" t="str">
        <f t="array" ref="AQ5">IF( OR(AND(ISBLANK(M5:M9)),AND(ISBLANK(AA5:AA9)), AND(ISBLANK(S5:S9)),AND(ISBLANK(AG5:AG9))), "·", bdRateExtend( M5:M9,S5:S9, AA5:AA9,AG5:AG9))</f>
        <v>·</v>
      </c>
      <c r="AR5" s="19" t="str">
        <f t="array" ref="AR5">IF( OR(AND(ISBLANK(M5:M9)),AND(ISBLANK(AA5:AA9)), AND(ISBLANK(T5:T9)),AND(ISBLANK(AH5:AH9))), "·", bdRateExtend( M5:M9,T5:T9, AA5:AA9,AH5:AH9))</f>
        <v>·</v>
      </c>
    </row>
    <row r="6" spans="1:44" outlineLevel="1" x14ac:dyDescent="0.25">
      <c r="A6" s="28"/>
      <c r="B6" s="28" t="s">
        <v>40</v>
      </c>
      <c r="C6" s="30" t="s">
        <v>373</v>
      </c>
      <c r="D6" s="28">
        <v>11997440</v>
      </c>
      <c r="E6" s="29">
        <v>10</v>
      </c>
      <c r="F6" s="30">
        <v>32</v>
      </c>
      <c r="G6" s="30">
        <v>30</v>
      </c>
      <c r="H6" s="30">
        <v>9</v>
      </c>
      <c r="J6" s="31">
        <f t="shared" si="0"/>
        <v>7.1580525000000002</v>
      </c>
      <c r="K6" s="32">
        <f t="shared" si="1"/>
        <v>0.63640710018137203</v>
      </c>
      <c r="L6" s="41">
        <v>2415872</v>
      </c>
      <c r="M6" s="33">
        <v>7635256</v>
      </c>
      <c r="N6" s="42">
        <v>68.152330899999995</v>
      </c>
      <c r="O6" s="42">
        <v>69.524168599999996</v>
      </c>
      <c r="P6" s="42">
        <v>29.669392899999998</v>
      </c>
      <c r="Q6" s="42">
        <v>35.448487399999998</v>
      </c>
      <c r="R6" s="42">
        <v>35.068362700000002</v>
      </c>
      <c r="S6" s="42">
        <v>49.040383400000003</v>
      </c>
      <c r="T6" s="42">
        <v>27.906745399999998</v>
      </c>
      <c r="U6" s="34">
        <v>1118.01334</v>
      </c>
      <c r="V6" s="34">
        <v>12.3470709</v>
      </c>
      <c r="X6" s="31" t="str">
        <f t="shared" si="2"/>
        <v>·</v>
      </c>
      <c r="Y6" s="32" t="str">
        <f t="shared" si="3"/>
        <v>·</v>
      </c>
      <c r="Z6" s="41"/>
      <c r="AA6" s="33"/>
      <c r="AB6" s="42"/>
      <c r="AC6" s="42"/>
      <c r="AD6" s="42"/>
      <c r="AE6" s="42"/>
      <c r="AF6" s="42"/>
      <c r="AG6" s="42"/>
      <c r="AH6" s="42"/>
      <c r="AI6" s="34"/>
      <c r="AJ6" s="34"/>
      <c r="AL6" s="35"/>
      <c r="AM6" s="35"/>
      <c r="AN6" s="35"/>
      <c r="AO6" s="35"/>
      <c r="AP6" s="35"/>
      <c r="AQ6" s="35"/>
      <c r="AR6" s="35"/>
    </row>
    <row r="7" spans="1:44" outlineLevel="1" x14ac:dyDescent="0.25">
      <c r="A7" s="12"/>
      <c r="B7" s="12" t="s">
        <v>40</v>
      </c>
      <c r="C7" s="14" t="s">
        <v>374</v>
      </c>
      <c r="D7" s="12">
        <v>11997440</v>
      </c>
      <c r="E7" s="13">
        <v>10</v>
      </c>
      <c r="F7" s="14">
        <v>32</v>
      </c>
      <c r="G7" s="14">
        <v>30</v>
      </c>
      <c r="H7" s="14">
        <v>12</v>
      </c>
      <c r="J7" s="15">
        <f t="shared" si="0"/>
        <v>10.2528975</v>
      </c>
      <c r="K7" s="16">
        <f t="shared" si="1"/>
        <v>0.91156313346847329</v>
      </c>
      <c r="L7" s="39">
        <v>4871680</v>
      </c>
      <c r="M7" s="17">
        <v>10936424</v>
      </c>
      <c r="N7" s="40">
        <v>72.186394500000006</v>
      </c>
      <c r="O7" s="40">
        <v>74.072761200000002</v>
      </c>
      <c r="P7" s="40">
        <v>31.2128935</v>
      </c>
      <c r="Q7" s="40">
        <v>35.958318300000002</v>
      </c>
      <c r="R7" s="40">
        <v>35.638153199999998</v>
      </c>
      <c r="S7" s="40">
        <v>51.297784100000001</v>
      </c>
      <c r="T7" s="40">
        <v>29.7961715</v>
      </c>
      <c r="U7" s="18">
        <v>1245.3520000000001</v>
      </c>
      <c r="V7" s="18">
        <v>12.9958955</v>
      </c>
      <c r="X7" s="15" t="str">
        <f t="shared" si="2"/>
        <v>·</v>
      </c>
      <c r="Y7" s="16" t="str">
        <f t="shared" si="3"/>
        <v>·</v>
      </c>
      <c r="Z7" s="39"/>
      <c r="AA7" s="17"/>
      <c r="AB7" s="40"/>
      <c r="AC7" s="40"/>
      <c r="AD7" s="40"/>
      <c r="AE7" s="40"/>
      <c r="AF7" s="40"/>
      <c r="AG7" s="40"/>
      <c r="AH7" s="40"/>
      <c r="AI7" s="18"/>
      <c r="AJ7" s="18"/>
      <c r="AL7" s="19"/>
      <c r="AM7" s="19"/>
      <c r="AN7" s="19"/>
      <c r="AO7" s="19"/>
      <c r="AP7" s="19"/>
      <c r="AQ7" s="19"/>
      <c r="AR7" s="19"/>
    </row>
    <row r="8" spans="1:44" outlineLevel="1" x14ac:dyDescent="0.25">
      <c r="A8" s="28"/>
      <c r="B8" s="28" t="s">
        <v>40</v>
      </c>
      <c r="C8" s="30" t="s">
        <v>375</v>
      </c>
      <c r="D8" s="28">
        <v>11997440</v>
      </c>
      <c r="E8" s="29">
        <v>10</v>
      </c>
      <c r="F8" s="30">
        <v>32</v>
      </c>
      <c r="G8" s="30">
        <v>30</v>
      </c>
      <c r="H8" s="30">
        <v>15</v>
      </c>
      <c r="J8" s="31">
        <f t="shared" si="0"/>
        <v>14.07291</v>
      </c>
      <c r="K8" s="32">
        <f t="shared" si="1"/>
        <v>1.2511922543475942</v>
      </c>
      <c r="L8" s="41">
        <v>4871680</v>
      </c>
      <c r="M8" s="33">
        <v>15011104</v>
      </c>
      <c r="N8" s="42">
        <v>73.183310599999999</v>
      </c>
      <c r="O8" s="42">
        <v>75.222657299999995</v>
      </c>
      <c r="P8" s="42">
        <v>32.452634199999999</v>
      </c>
      <c r="Q8" s="42">
        <v>36.894283000000001</v>
      </c>
      <c r="R8" s="42">
        <v>36.567197700000001</v>
      </c>
      <c r="S8" s="42">
        <v>51.777075799999999</v>
      </c>
      <c r="T8" s="42">
        <v>30.825767899999999</v>
      </c>
      <c r="U8" s="34">
        <v>1263.5827899999999</v>
      </c>
      <c r="V8" s="34">
        <v>13.4135738</v>
      </c>
      <c r="X8" s="31" t="str">
        <f t="shared" si="2"/>
        <v>·</v>
      </c>
      <c r="Y8" s="32" t="str">
        <f t="shared" si="3"/>
        <v>·</v>
      </c>
      <c r="Z8" s="41"/>
      <c r="AA8" s="33"/>
      <c r="AB8" s="42"/>
      <c r="AC8" s="42"/>
      <c r="AD8" s="42"/>
      <c r="AE8" s="42"/>
      <c r="AF8" s="42"/>
      <c r="AG8" s="42"/>
      <c r="AH8" s="42"/>
      <c r="AI8" s="34"/>
      <c r="AJ8" s="34"/>
      <c r="AL8" s="35"/>
      <c r="AM8" s="35"/>
      <c r="AN8" s="35"/>
      <c r="AO8" s="35"/>
      <c r="AP8" s="35"/>
      <c r="AQ8" s="35"/>
      <c r="AR8" s="35"/>
    </row>
    <row r="9" spans="1:44" ht="15.75" customHeight="1" outlineLevel="1" thickBot="1" x14ac:dyDescent="0.3">
      <c r="A9" s="12"/>
      <c r="B9" s="43" t="s">
        <v>40</v>
      </c>
      <c r="C9" s="44" t="s">
        <v>376</v>
      </c>
      <c r="D9" s="43">
        <v>11997440</v>
      </c>
      <c r="E9" s="45">
        <v>10</v>
      </c>
      <c r="F9" s="44">
        <v>32</v>
      </c>
      <c r="G9" s="44">
        <v>30</v>
      </c>
      <c r="H9" s="44">
        <v>22</v>
      </c>
      <c r="J9" s="46">
        <f t="shared" si="0"/>
        <v>23.188739999999999</v>
      </c>
      <c r="K9" s="47">
        <f t="shared" si="1"/>
        <v>2.0616611543796011</v>
      </c>
      <c r="L9" s="48">
        <v>1279248</v>
      </c>
      <c r="M9" s="49">
        <v>24734656</v>
      </c>
      <c r="N9" s="50">
        <v>999.99</v>
      </c>
      <c r="O9" s="50">
        <v>184.45076900000001</v>
      </c>
      <c r="P9" s="50">
        <v>33.677618199999998</v>
      </c>
      <c r="Q9" s="50">
        <v>37.367480800000003</v>
      </c>
      <c r="R9" s="50">
        <v>37.1575998</v>
      </c>
      <c r="S9" s="50">
        <v>999.99</v>
      </c>
      <c r="T9" s="50">
        <v>33.577017300000001</v>
      </c>
      <c r="U9" s="51">
        <v>751.10935099999995</v>
      </c>
      <c r="V9" s="51">
        <v>14.024789200000001</v>
      </c>
      <c r="X9" s="46" t="str">
        <f t="shared" si="2"/>
        <v>·</v>
      </c>
      <c r="Y9" s="47" t="str">
        <f t="shared" si="3"/>
        <v>·</v>
      </c>
      <c r="Z9" s="48"/>
      <c r="AA9" s="49"/>
      <c r="AB9" s="50"/>
      <c r="AC9" s="50"/>
      <c r="AD9" s="50"/>
      <c r="AE9" s="50"/>
      <c r="AF9" s="50"/>
      <c r="AG9" s="50"/>
      <c r="AH9" s="50"/>
      <c r="AI9" s="51"/>
      <c r="AJ9" s="51"/>
      <c r="AL9" s="52"/>
      <c r="AM9" s="52"/>
      <c r="AN9" s="52"/>
      <c r="AO9" s="52"/>
      <c r="AP9" s="52"/>
      <c r="AQ9" s="52"/>
      <c r="AR9" s="52"/>
    </row>
    <row r="10" spans="1:44" x14ac:dyDescent="0.25">
      <c r="A10" s="28"/>
      <c r="B10" s="28" t="s">
        <v>48</v>
      </c>
      <c r="C10" s="30" t="s">
        <v>372</v>
      </c>
      <c r="D10" s="28">
        <v>9000000</v>
      </c>
      <c r="E10" s="29">
        <v>10</v>
      </c>
      <c r="F10" s="30">
        <v>32</v>
      </c>
      <c r="G10" s="30">
        <v>30</v>
      </c>
      <c r="H10" s="30">
        <v>5</v>
      </c>
      <c r="J10" s="31">
        <f t="shared" si="0"/>
        <v>4.1600400000000004</v>
      </c>
      <c r="K10" s="32">
        <f t="shared" si="1"/>
        <v>0.4930417777777778</v>
      </c>
      <c r="L10" s="41">
        <v>2393664</v>
      </c>
      <c r="M10" s="33">
        <v>4437376</v>
      </c>
      <c r="N10" s="42">
        <v>65.036915699999994</v>
      </c>
      <c r="O10" s="42">
        <v>66.140370399999995</v>
      </c>
      <c r="P10" s="42">
        <v>30.5212085</v>
      </c>
      <c r="Q10" s="42">
        <v>44.020193599999999</v>
      </c>
      <c r="R10" s="42">
        <v>44.197026800000003</v>
      </c>
      <c r="S10" s="42">
        <v>44.170917500000002</v>
      </c>
      <c r="T10" s="42">
        <v>28.670860900000001</v>
      </c>
      <c r="U10" s="34">
        <v>1085.5036</v>
      </c>
      <c r="V10" s="34">
        <v>12.112031999999999</v>
      </c>
      <c r="X10" s="31" t="str">
        <f t="shared" si="2"/>
        <v>·</v>
      </c>
      <c r="Y10" s="32" t="str">
        <f t="shared" si="3"/>
        <v>·</v>
      </c>
      <c r="Z10" s="41"/>
      <c r="AA10" s="33"/>
      <c r="AB10" s="42"/>
      <c r="AC10" s="42"/>
      <c r="AD10" s="42"/>
      <c r="AE10" s="42"/>
      <c r="AF10" s="42"/>
      <c r="AG10" s="42"/>
      <c r="AH10" s="42"/>
      <c r="AI10" s="34"/>
      <c r="AJ10" s="34"/>
      <c r="AL10" s="35" t="str">
        <f t="array" ref="AL10">IF( OR(AND(ISBLANK(M10:M14)),AND(ISBLANK(AA10:AA14)), AND(ISBLANK(N10:N14)),AND(ISBLANK(AB10:AB14))), "·", bdRateExtend( M10:M14,N10:N14, AA10:AA14,AB10:AB14))</f>
        <v>·</v>
      </c>
      <c r="AM10" s="35" t="str">
        <f t="array" ref="AM10">IF( OR(AND(ISBLANK(M10:M14)),AND(ISBLANK(AA10:AA14)), AND(ISBLANK(O10:O14)),AND(ISBLANK(AC10:AC14))), "·", bdRateExtend( M10:M14,O10:O14, AA10:AA14,AC10:AC14))</f>
        <v>·</v>
      </c>
      <c r="AN10" s="35" t="str">
        <f t="array" ref="AN10">IF( OR(AND(ISBLANK(M10:M14)),AND(ISBLANK(AA10:AA14)), AND(ISBLANK(P10:P14)),AND(ISBLANK(AD10:AD14))), "·", bdRateExtend( M10:M14,P10:P14, AA10:AA14,AD10:AD14))</f>
        <v>·</v>
      </c>
      <c r="AO10" s="35" t="str">
        <f t="array" ref="AO10">IF( OR(AND(ISBLANK(M10:M14)),AND(ISBLANK(AA10:AA14)), AND(ISBLANK(Q10:Q14)),AND(ISBLANK(AE10:AE14))), "·", bdRateExtend( M10:M14,Q10:Q14, AA10:AA14,AE10:AE14))</f>
        <v>·</v>
      </c>
      <c r="AP10" s="35" t="str">
        <f t="array" ref="AP10">IF( OR(AND(ISBLANK(M10:M14)),AND(ISBLANK(AA10:AA14)), AND(ISBLANK(R10:R14)),AND(ISBLANK(AF10:AF14))), "·", bdRateExtend( M10:M14,R10:R14, AA10:AA14,AF10:AF14))</f>
        <v>·</v>
      </c>
      <c r="AQ10" s="35" t="str">
        <f t="array" ref="AQ10">IF( OR(AND(ISBLANK(M10:M14)),AND(ISBLANK(AA10:AA14)), AND(ISBLANK(S10:S14)),AND(ISBLANK(AG10:AG14))), "·", bdRateExtend( M10:M14,S10:S14, AA10:AA14,AG10:AG14))</f>
        <v>·</v>
      </c>
      <c r="AR10" s="35" t="str">
        <f t="array" ref="AR10">IF( OR(AND(ISBLANK(M10:M14)),AND(ISBLANK(AA10:AA14)), AND(ISBLANK(T10:T14)),AND(ISBLANK(AH10:AH14))), "·", bdRateExtend( M10:M14,T10:T14, AA10:AA14,AH10:AH14))</f>
        <v>·</v>
      </c>
    </row>
    <row r="11" spans="1:44" outlineLevel="1" x14ac:dyDescent="0.25">
      <c r="A11" s="12"/>
      <c r="B11" s="12" t="s">
        <v>48</v>
      </c>
      <c r="C11" s="14" t="s">
        <v>373</v>
      </c>
      <c r="D11" s="12">
        <v>9000000</v>
      </c>
      <c r="E11" s="13">
        <v>10</v>
      </c>
      <c r="F11" s="14">
        <v>32</v>
      </c>
      <c r="G11" s="14">
        <v>30</v>
      </c>
      <c r="H11" s="14">
        <v>9</v>
      </c>
      <c r="J11" s="15">
        <f t="shared" si="0"/>
        <v>6.4824824999999997</v>
      </c>
      <c r="K11" s="16">
        <f t="shared" si="1"/>
        <v>0.76829422222222221</v>
      </c>
      <c r="L11" s="39">
        <v>4847680</v>
      </c>
      <c r="M11" s="17">
        <v>6914648</v>
      </c>
      <c r="N11" s="40">
        <v>69.529327699999996</v>
      </c>
      <c r="O11" s="40">
        <v>71.183392400000002</v>
      </c>
      <c r="P11" s="40">
        <v>32.184376399999998</v>
      </c>
      <c r="Q11" s="40">
        <v>44.851930699999997</v>
      </c>
      <c r="R11" s="40">
        <v>45.172913999999999</v>
      </c>
      <c r="S11" s="40">
        <v>46.929238900000001</v>
      </c>
      <c r="T11" s="40">
        <v>30.682129</v>
      </c>
      <c r="U11" s="18">
        <v>1228.0237999999999</v>
      </c>
      <c r="V11" s="18">
        <v>12.7110419</v>
      </c>
      <c r="X11" s="15" t="str">
        <f t="shared" si="2"/>
        <v>·</v>
      </c>
      <c r="Y11" s="16" t="str">
        <f t="shared" si="3"/>
        <v>·</v>
      </c>
      <c r="Z11" s="39"/>
      <c r="AA11" s="17"/>
      <c r="AB11" s="40"/>
      <c r="AC11" s="40"/>
      <c r="AD11" s="40"/>
      <c r="AE11" s="40"/>
      <c r="AF11" s="40"/>
      <c r="AG11" s="40"/>
      <c r="AH11" s="40"/>
      <c r="AI11" s="18"/>
      <c r="AJ11" s="18"/>
      <c r="AL11" s="19"/>
      <c r="AM11" s="19"/>
      <c r="AN11" s="19"/>
      <c r="AO11" s="19"/>
      <c r="AP11" s="19"/>
      <c r="AQ11" s="19"/>
      <c r="AR11" s="19"/>
    </row>
    <row r="12" spans="1:44" outlineLevel="1" x14ac:dyDescent="0.25">
      <c r="A12" s="28"/>
      <c r="B12" s="28" t="s">
        <v>48</v>
      </c>
      <c r="C12" s="30" t="s">
        <v>374</v>
      </c>
      <c r="D12" s="28">
        <v>9000000</v>
      </c>
      <c r="E12" s="29">
        <v>10</v>
      </c>
      <c r="F12" s="30">
        <v>32</v>
      </c>
      <c r="G12" s="30">
        <v>30</v>
      </c>
      <c r="H12" s="30">
        <v>12</v>
      </c>
      <c r="J12" s="31">
        <f t="shared" si="0"/>
        <v>8.8109474999999993</v>
      </c>
      <c r="K12" s="32">
        <f t="shared" si="1"/>
        <v>1.0442604444444445</v>
      </c>
      <c r="L12" s="41">
        <v>4847680</v>
      </c>
      <c r="M12" s="33">
        <v>9398344</v>
      </c>
      <c r="N12" s="42">
        <v>70.533792000000005</v>
      </c>
      <c r="O12" s="42">
        <v>72.316993299999993</v>
      </c>
      <c r="P12" s="42">
        <v>33.543769699999999</v>
      </c>
      <c r="Q12" s="42">
        <v>45.097189499999999</v>
      </c>
      <c r="R12" s="42">
        <v>45.4777567</v>
      </c>
      <c r="S12" s="42">
        <v>47.414445999999998</v>
      </c>
      <c r="T12" s="42">
        <v>31.755837499999998</v>
      </c>
      <c r="U12" s="34">
        <v>1239.1716799999999</v>
      </c>
      <c r="V12" s="34">
        <v>12.909932700000001</v>
      </c>
      <c r="X12" s="31" t="str">
        <f t="shared" si="2"/>
        <v>·</v>
      </c>
      <c r="Y12" s="32" t="str">
        <f t="shared" si="3"/>
        <v>·</v>
      </c>
      <c r="Z12" s="41"/>
      <c r="AA12" s="33"/>
      <c r="AB12" s="42"/>
      <c r="AC12" s="42"/>
      <c r="AD12" s="42"/>
      <c r="AE12" s="42"/>
      <c r="AF12" s="42"/>
      <c r="AG12" s="42"/>
      <c r="AH12" s="42"/>
      <c r="AI12" s="34"/>
      <c r="AJ12" s="34"/>
      <c r="AL12" s="35"/>
      <c r="AM12" s="35"/>
      <c r="AN12" s="35"/>
      <c r="AO12" s="35"/>
      <c r="AP12" s="35"/>
      <c r="AQ12" s="35"/>
      <c r="AR12" s="35"/>
    </row>
    <row r="13" spans="1:44" outlineLevel="1" x14ac:dyDescent="0.25">
      <c r="A13" s="12"/>
      <c r="B13" s="12" t="s">
        <v>48</v>
      </c>
      <c r="C13" s="14" t="s">
        <v>375</v>
      </c>
      <c r="D13" s="12">
        <v>9000000</v>
      </c>
      <c r="E13" s="13">
        <v>10</v>
      </c>
      <c r="F13" s="14">
        <v>32</v>
      </c>
      <c r="G13" s="14">
        <v>30</v>
      </c>
      <c r="H13" s="14">
        <v>15</v>
      </c>
      <c r="J13" s="15">
        <f t="shared" si="0"/>
        <v>12.154372499999999</v>
      </c>
      <c r="K13" s="16">
        <f t="shared" si="1"/>
        <v>1.4405182222222221</v>
      </c>
      <c r="L13" s="39">
        <v>4847680</v>
      </c>
      <c r="M13" s="17">
        <v>12964664</v>
      </c>
      <c r="N13" s="40">
        <v>71.639070099999998</v>
      </c>
      <c r="O13" s="40">
        <v>73.571392000000003</v>
      </c>
      <c r="P13" s="40">
        <v>34.806100800000003</v>
      </c>
      <c r="Q13" s="40">
        <v>45.766902399999999</v>
      </c>
      <c r="R13" s="40">
        <v>46.227457100000002</v>
      </c>
      <c r="S13" s="40">
        <v>47.997292399999999</v>
      </c>
      <c r="T13" s="40">
        <v>32.790424700000003</v>
      </c>
      <c r="U13" s="18">
        <v>1257.27406</v>
      </c>
      <c r="V13" s="18">
        <v>13.1930692</v>
      </c>
      <c r="X13" s="15" t="str">
        <f t="shared" si="2"/>
        <v>·</v>
      </c>
      <c r="Y13" s="16" t="str">
        <f t="shared" si="3"/>
        <v>·</v>
      </c>
      <c r="Z13" s="39"/>
      <c r="AA13" s="17"/>
      <c r="AB13" s="40"/>
      <c r="AC13" s="40"/>
      <c r="AD13" s="40"/>
      <c r="AE13" s="40"/>
      <c r="AF13" s="40"/>
      <c r="AG13" s="40"/>
      <c r="AH13" s="40"/>
      <c r="AI13" s="18"/>
      <c r="AJ13" s="18"/>
      <c r="AL13" s="19"/>
      <c r="AM13" s="19"/>
      <c r="AN13" s="19"/>
      <c r="AO13" s="19"/>
      <c r="AP13" s="19"/>
      <c r="AQ13" s="19"/>
      <c r="AR13" s="19"/>
    </row>
    <row r="14" spans="1:44" ht="15.75" customHeight="1" outlineLevel="1" thickBot="1" x14ac:dyDescent="0.3">
      <c r="A14" s="20"/>
      <c r="B14" s="20" t="s">
        <v>48</v>
      </c>
      <c r="C14" s="22" t="s">
        <v>376</v>
      </c>
      <c r="D14" s="20">
        <v>9000000</v>
      </c>
      <c r="E14" s="21">
        <v>10</v>
      </c>
      <c r="F14" s="22">
        <v>32</v>
      </c>
      <c r="G14" s="22">
        <v>30</v>
      </c>
      <c r="H14" s="22">
        <v>22</v>
      </c>
      <c r="J14" s="23">
        <f t="shared" si="0"/>
        <v>24.447262500000001</v>
      </c>
      <c r="K14" s="24">
        <f t="shared" si="1"/>
        <v>2.8974533333333334</v>
      </c>
      <c r="L14" s="53">
        <v>1279214</v>
      </c>
      <c r="M14" s="25">
        <v>26077080</v>
      </c>
      <c r="N14" s="54">
        <v>999.99</v>
      </c>
      <c r="O14" s="54">
        <v>185.339686</v>
      </c>
      <c r="P14" s="54">
        <v>37.928226600000002</v>
      </c>
      <c r="Q14" s="54">
        <v>46.604810800000003</v>
      </c>
      <c r="R14" s="54">
        <v>47.166191400000002</v>
      </c>
      <c r="S14" s="54">
        <v>999.99</v>
      </c>
      <c r="T14" s="54">
        <v>37.810928599999997</v>
      </c>
      <c r="U14" s="26">
        <v>755.49739299999999</v>
      </c>
      <c r="V14" s="26">
        <v>14.650003099999999</v>
      </c>
      <c r="X14" s="23" t="str">
        <f t="shared" si="2"/>
        <v>·</v>
      </c>
      <c r="Y14" s="24" t="str">
        <f t="shared" si="3"/>
        <v>·</v>
      </c>
      <c r="Z14" s="53"/>
      <c r="AA14" s="25"/>
      <c r="AB14" s="54"/>
      <c r="AC14" s="54"/>
      <c r="AD14" s="54"/>
      <c r="AE14" s="54"/>
      <c r="AF14" s="54"/>
      <c r="AG14" s="54"/>
      <c r="AH14" s="54"/>
      <c r="AI14" s="26"/>
      <c r="AJ14" s="26"/>
      <c r="AL14" s="27"/>
      <c r="AM14" s="27"/>
      <c r="AN14" s="27"/>
      <c r="AO14" s="27"/>
      <c r="AP14" s="27"/>
      <c r="AQ14" s="27"/>
      <c r="AR14" s="27"/>
    </row>
    <row r="15" spans="1:44" x14ac:dyDescent="0.25">
      <c r="A15" s="12" t="s">
        <v>176</v>
      </c>
      <c r="B15" s="12" t="s">
        <v>53</v>
      </c>
      <c r="C15" s="14" t="s">
        <v>372</v>
      </c>
      <c r="D15" s="12">
        <v>11842002</v>
      </c>
      <c r="E15" s="13">
        <v>12</v>
      </c>
      <c r="F15" s="14">
        <v>32</v>
      </c>
      <c r="G15" s="14">
        <v>30</v>
      </c>
      <c r="H15" s="14">
        <v>3</v>
      </c>
      <c r="J15" s="15">
        <f t="shared" si="0"/>
        <v>4.0745624999999999</v>
      </c>
      <c r="K15" s="16">
        <f t="shared" si="1"/>
        <v>0.36701564482086729</v>
      </c>
      <c r="L15" s="39">
        <v>2419456</v>
      </c>
      <c r="M15" s="17">
        <v>4346200</v>
      </c>
      <c r="N15" s="40">
        <v>71.227994899999999</v>
      </c>
      <c r="O15" s="40">
        <v>72.527846100000005</v>
      </c>
      <c r="P15" s="40">
        <v>36.399216699999997</v>
      </c>
      <c r="Q15" s="40">
        <v>43.563927700000001</v>
      </c>
      <c r="R15" s="40">
        <v>45.415521499999997</v>
      </c>
      <c r="S15" s="40">
        <v>45.635088799999998</v>
      </c>
      <c r="T15" s="40">
        <v>32.581980199999997</v>
      </c>
      <c r="U15" s="18">
        <v>1140.1983299999999</v>
      </c>
      <c r="V15" s="18">
        <v>12.0704376</v>
      </c>
      <c r="X15" s="15" t="str">
        <f t="shared" si="2"/>
        <v>·</v>
      </c>
      <c r="Y15" s="16" t="str">
        <f t="shared" si="3"/>
        <v>·</v>
      </c>
      <c r="Z15" s="39"/>
      <c r="AA15" s="17"/>
      <c r="AB15" s="40"/>
      <c r="AC15" s="40"/>
      <c r="AD15" s="40"/>
      <c r="AE15" s="40"/>
      <c r="AF15" s="40"/>
      <c r="AG15" s="40"/>
      <c r="AH15" s="40"/>
      <c r="AI15" s="18"/>
      <c r="AJ15" s="18"/>
      <c r="AL15" s="19" t="str">
        <f t="array" ref="AL15">IF( OR(AND(ISBLANK(M15:M19)),AND(ISBLANK(AA15:AA19)), AND(ISBLANK(N15:N19)),AND(ISBLANK(AB15:AB19))), "·", bdRateExtend( M15:M19,N15:N19, AA15:AA19,AB15:AB19))</f>
        <v>·</v>
      </c>
      <c r="AM15" s="19" t="str">
        <f t="array" ref="AM15">IF( OR(AND(ISBLANK(M15:M19)),AND(ISBLANK(AA15:AA19)), AND(ISBLANK(O15:O19)),AND(ISBLANK(AC15:AC19))), "·", bdRateExtend( M15:M19,O15:O19, AA15:AA19,AC15:AC19))</f>
        <v>·</v>
      </c>
      <c r="AN15" s="19" t="str">
        <f t="array" ref="AN15">IF( OR(AND(ISBLANK(M15:M19)),AND(ISBLANK(AA15:AA19)), AND(ISBLANK(P15:P19)),AND(ISBLANK(AD15:AD19))), "·", bdRateExtend( M15:M19,P15:P19, AA15:AA19,AD15:AD19))</f>
        <v>·</v>
      </c>
      <c r="AO15" s="19" t="str">
        <f t="array" ref="AO15">IF( OR(AND(ISBLANK(M15:M19)),AND(ISBLANK(AA15:AA19)), AND(ISBLANK(Q15:Q19)),AND(ISBLANK(AE15:AE19))), "·", bdRateExtend( M15:M19,Q15:Q19, AA15:AA19,AE15:AE19))</f>
        <v>·</v>
      </c>
      <c r="AP15" s="19" t="str">
        <f t="array" ref="AP15">IF( OR(AND(ISBLANK(M15:M19)),AND(ISBLANK(AA15:AA19)), AND(ISBLANK(R15:R19)),AND(ISBLANK(AF15:AF19))), "·", bdRateExtend( M15:M19,R15:R19, AA15:AA19,AF15:AF19))</f>
        <v>·</v>
      </c>
      <c r="AQ15" s="19" t="str">
        <f t="array" ref="AQ15">IF( OR(AND(ISBLANK(M15:M19)),AND(ISBLANK(AA15:AA19)), AND(ISBLANK(S15:S19)),AND(ISBLANK(AG15:AG19))), "·", bdRateExtend( M15:M19,S15:S19, AA15:AA19,AG15:AG19))</f>
        <v>·</v>
      </c>
      <c r="AR15" s="19" t="str">
        <f t="array" ref="AR15">IF( OR(AND(ISBLANK(M15:M19)),AND(ISBLANK(AA15:AA19)), AND(ISBLANK(T15:T19)),AND(ISBLANK(AH15:AH19))), "·", bdRateExtend( M15:M19,T15:T19, AA15:AA19,AH15:AH19))</f>
        <v>·</v>
      </c>
    </row>
    <row r="16" spans="1:44" outlineLevel="1" x14ac:dyDescent="0.25">
      <c r="A16" s="28"/>
      <c r="B16" s="28" t="s">
        <v>53</v>
      </c>
      <c r="C16" s="30" t="s">
        <v>373</v>
      </c>
      <c r="D16" s="28">
        <v>11842002</v>
      </c>
      <c r="E16" s="29">
        <v>12</v>
      </c>
      <c r="F16" s="30">
        <v>32</v>
      </c>
      <c r="G16" s="30">
        <v>30</v>
      </c>
      <c r="H16" s="30">
        <v>5</v>
      </c>
      <c r="J16" s="31">
        <f t="shared" si="0"/>
        <v>6.9868949999999996</v>
      </c>
      <c r="K16" s="32">
        <f t="shared" si="1"/>
        <v>0.62934358565384463</v>
      </c>
      <c r="L16" s="41">
        <v>4841472</v>
      </c>
      <c r="M16" s="33">
        <v>7452688</v>
      </c>
      <c r="N16" s="42">
        <v>75.002629299999995</v>
      </c>
      <c r="O16" s="42">
        <v>76.7310722</v>
      </c>
      <c r="P16" s="42">
        <v>38.508728300000001</v>
      </c>
      <c r="Q16" s="42">
        <v>44.285421200000002</v>
      </c>
      <c r="R16" s="42">
        <v>46.688111800000001</v>
      </c>
      <c r="S16" s="42">
        <v>47.530806599999998</v>
      </c>
      <c r="T16" s="42">
        <v>35.052553600000003</v>
      </c>
      <c r="U16" s="34">
        <v>1265.41977</v>
      </c>
      <c r="V16" s="34">
        <v>13.0334384</v>
      </c>
      <c r="X16" s="31" t="str">
        <f t="shared" si="2"/>
        <v>·</v>
      </c>
      <c r="Y16" s="32" t="str">
        <f t="shared" si="3"/>
        <v>·</v>
      </c>
      <c r="Z16" s="41"/>
      <c r="AA16" s="33"/>
      <c r="AB16" s="42"/>
      <c r="AC16" s="42"/>
      <c r="AD16" s="42"/>
      <c r="AE16" s="42"/>
      <c r="AF16" s="42"/>
      <c r="AG16" s="42"/>
      <c r="AH16" s="42"/>
      <c r="AI16" s="34"/>
      <c r="AJ16" s="34"/>
      <c r="AL16" s="35"/>
      <c r="AM16" s="35"/>
      <c r="AN16" s="35"/>
      <c r="AO16" s="35"/>
      <c r="AP16" s="35"/>
      <c r="AQ16" s="35"/>
      <c r="AR16" s="35"/>
    </row>
    <row r="17" spans="1:44" outlineLevel="1" x14ac:dyDescent="0.25">
      <c r="A17" s="12"/>
      <c r="B17" s="12" t="s">
        <v>53</v>
      </c>
      <c r="C17" s="14" t="s">
        <v>374</v>
      </c>
      <c r="D17" s="12">
        <v>11842002</v>
      </c>
      <c r="E17" s="13">
        <v>12</v>
      </c>
      <c r="F17" s="14">
        <v>32</v>
      </c>
      <c r="G17" s="14">
        <v>30</v>
      </c>
      <c r="H17" s="14">
        <v>10</v>
      </c>
      <c r="J17" s="15">
        <f t="shared" si="0"/>
        <v>10.945589999999999</v>
      </c>
      <c r="K17" s="16">
        <f t="shared" si="1"/>
        <v>0.98592248168848473</v>
      </c>
      <c r="L17" s="39">
        <v>4841472</v>
      </c>
      <c r="M17" s="17">
        <v>11675296</v>
      </c>
      <c r="N17" s="40">
        <v>76.251407700000001</v>
      </c>
      <c r="O17" s="40">
        <v>78.185012599999993</v>
      </c>
      <c r="P17" s="40">
        <v>39.8028434</v>
      </c>
      <c r="Q17" s="40">
        <v>45.163939900000003</v>
      </c>
      <c r="R17" s="40">
        <v>48.365233699999997</v>
      </c>
      <c r="S17" s="40">
        <v>48.1840306</v>
      </c>
      <c r="T17" s="40">
        <v>36.040203099999999</v>
      </c>
      <c r="U17" s="18">
        <v>1275.3101200000001</v>
      </c>
      <c r="V17" s="18">
        <v>13.440789499999999</v>
      </c>
      <c r="X17" s="15" t="str">
        <f t="shared" si="2"/>
        <v>·</v>
      </c>
      <c r="Y17" s="16" t="str">
        <f t="shared" si="3"/>
        <v>·</v>
      </c>
      <c r="Z17" s="39"/>
      <c r="AA17" s="17"/>
      <c r="AB17" s="40"/>
      <c r="AC17" s="40"/>
      <c r="AD17" s="40"/>
      <c r="AE17" s="40"/>
      <c r="AF17" s="40"/>
      <c r="AG17" s="40"/>
      <c r="AH17" s="40"/>
      <c r="AI17" s="18"/>
      <c r="AJ17" s="18"/>
      <c r="AL17" s="19"/>
      <c r="AM17" s="19"/>
      <c r="AN17" s="19"/>
      <c r="AO17" s="19"/>
      <c r="AP17" s="19"/>
      <c r="AQ17" s="19"/>
      <c r="AR17" s="19"/>
    </row>
    <row r="18" spans="1:44" outlineLevel="1" x14ac:dyDescent="0.25">
      <c r="A18" s="28"/>
      <c r="B18" s="28" t="s">
        <v>53</v>
      </c>
      <c r="C18" s="30" t="s">
        <v>375</v>
      </c>
      <c r="D18" s="28">
        <v>11842002</v>
      </c>
      <c r="E18" s="29">
        <v>12</v>
      </c>
      <c r="F18" s="30">
        <v>32</v>
      </c>
      <c r="G18" s="30">
        <v>30</v>
      </c>
      <c r="H18" s="30">
        <v>14</v>
      </c>
      <c r="J18" s="31">
        <f t="shared" si="0"/>
        <v>16.150304999999999</v>
      </c>
      <c r="K18" s="32">
        <f t="shared" si="1"/>
        <v>1.4547364541907695</v>
      </c>
      <c r="L18" s="41">
        <v>605377</v>
      </c>
      <c r="M18" s="33">
        <v>17226992</v>
      </c>
      <c r="N18" s="42">
        <v>83.638361700000004</v>
      </c>
      <c r="O18" s="42">
        <v>87.134950500000002</v>
      </c>
      <c r="P18" s="42">
        <v>40.400183800000001</v>
      </c>
      <c r="Q18" s="42">
        <v>45.210360799999997</v>
      </c>
      <c r="R18" s="42">
        <v>48.433042999999998</v>
      </c>
      <c r="S18" s="42">
        <v>54.069744</v>
      </c>
      <c r="T18" s="42">
        <v>39.117715400000002</v>
      </c>
      <c r="U18" s="34">
        <v>2085.6887900000002</v>
      </c>
      <c r="V18" s="34">
        <v>12.301857800000001</v>
      </c>
      <c r="X18" s="31" t="str">
        <f t="shared" si="2"/>
        <v>·</v>
      </c>
      <c r="Y18" s="32" t="str">
        <f t="shared" si="3"/>
        <v>·</v>
      </c>
      <c r="Z18" s="41"/>
      <c r="AA18" s="33"/>
      <c r="AB18" s="42"/>
      <c r="AC18" s="42"/>
      <c r="AD18" s="42"/>
      <c r="AE18" s="42"/>
      <c r="AF18" s="42"/>
      <c r="AG18" s="42"/>
      <c r="AH18" s="42"/>
      <c r="AI18" s="34"/>
      <c r="AJ18" s="34"/>
      <c r="AL18" s="35"/>
      <c r="AM18" s="35"/>
      <c r="AN18" s="35"/>
      <c r="AO18" s="35"/>
      <c r="AP18" s="35"/>
      <c r="AQ18" s="35"/>
      <c r="AR18" s="35"/>
    </row>
    <row r="19" spans="1:44" ht="15.75" customHeight="1" outlineLevel="1" thickBot="1" x14ac:dyDescent="0.3">
      <c r="A19" s="12"/>
      <c r="B19" s="43" t="s">
        <v>53</v>
      </c>
      <c r="C19" s="44" t="s">
        <v>376</v>
      </c>
      <c r="D19" s="43">
        <v>11842002</v>
      </c>
      <c r="E19" s="45">
        <v>12</v>
      </c>
      <c r="F19" s="44">
        <v>32</v>
      </c>
      <c r="G19" s="44">
        <v>30</v>
      </c>
      <c r="H19" s="44">
        <v>21</v>
      </c>
      <c r="J19" s="46">
        <f t="shared" si="0"/>
        <v>22.511295</v>
      </c>
      <c r="K19" s="47">
        <f t="shared" si="1"/>
        <v>2.0277017348924615</v>
      </c>
      <c r="L19" s="48">
        <v>1261248</v>
      </c>
      <c r="M19" s="49">
        <v>24012048</v>
      </c>
      <c r="N19" s="50">
        <v>999.99</v>
      </c>
      <c r="O19" s="50">
        <v>927.37375299999997</v>
      </c>
      <c r="P19" s="50">
        <v>41.902844299999998</v>
      </c>
      <c r="Q19" s="50">
        <v>45.136736300000003</v>
      </c>
      <c r="R19" s="50">
        <v>48.301017100000003</v>
      </c>
      <c r="S19" s="50">
        <v>999.99</v>
      </c>
      <c r="T19" s="50">
        <v>42.028587899999998</v>
      </c>
      <c r="U19" s="51">
        <v>878.18464700000004</v>
      </c>
      <c r="V19" s="51">
        <v>13.7367206</v>
      </c>
      <c r="X19" s="46" t="str">
        <f t="shared" si="2"/>
        <v>·</v>
      </c>
      <c r="Y19" s="47" t="str">
        <f t="shared" si="3"/>
        <v>·</v>
      </c>
      <c r="Z19" s="48"/>
      <c r="AA19" s="49"/>
      <c r="AB19" s="50"/>
      <c r="AC19" s="50"/>
      <c r="AD19" s="50"/>
      <c r="AE19" s="50"/>
      <c r="AF19" s="50"/>
      <c r="AG19" s="50"/>
      <c r="AH19" s="50"/>
      <c r="AI19" s="51"/>
      <c r="AJ19" s="51"/>
      <c r="AL19" s="52"/>
      <c r="AM19" s="52"/>
      <c r="AN19" s="52"/>
      <c r="AO19" s="52"/>
      <c r="AP19" s="52"/>
      <c r="AQ19" s="52"/>
      <c r="AR19" s="52"/>
    </row>
    <row r="20" spans="1:44" x14ac:dyDescent="0.25">
      <c r="A20" s="28"/>
      <c r="B20" s="28" t="s">
        <v>58</v>
      </c>
      <c r="C20" s="30" t="s">
        <v>372</v>
      </c>
      <c r="D20" s="28">
        <v>11812090</v>
      </c>
      <c r="E20" s="29">
        <v>12</v>
      </c>
      <c r="F20" s="30">
        <v>32</v>
      </c>
      <c r="G20" s="30">
        <v>30</v>
      </c>
      <c r="H20" s="30">
        <v>3</v>
      </c>
      <c r="J20" s="31">
        <f t="shared" si="0"/>
        <v>3.0546074999999999</v>
      </c>
      <c r="K20" s="32">
        <f t="shared" si="1"/>
        <v>0.27584009265083487</v>
      </c>
      <c r="L20" s="41">
        <v>2417984</v>
      </c>
      <c r="M20" s="33">
        <v>3258248</v>
      </c>
      <c r="N20" s="42">
        <v>69.897646600000002</v>
      </c>
      <c r="O20" s="42">
        <v>71.128684500000006</v>
      </c>
      <c r="P20" s="42">
        <v>33.799675999999998</v>
      </c>
      <c r="Q20" s="42">
        <v>43.320050600000002</v>
      </c>
      <c r="R20" s="42">
        <v>44.716597800000002</v>
      </c>
      <c r="S20" s="42">
        <v>47.740298099999997</v>
      </c>
      <c r="T20" s="42">
        <v>30.577342099999999</v>
      </c>
      <c r="U20" s="34">
        <v>1105.3606</v>
      </c>
      <c r="V20" s="34">
        <v>13.1342131</v>
      </c>
      <c r="X20" s="31" t="str">
        <f t="shared" si="2"/>
        <v>·</v>
      </c>
      <c r="Y20" s="32" t="str">
        <f t="shared" si="3"/>
        <v>·</v>
      </c>
      <c r="Z20" s="41"/>
      <c r="AA20" s="33"/>
      <c r="AB20" s="42"/>
      <c r="AC20" s="42"/>
      <c r="AD20" s="42"/>
      <c r="AE20" s="42"/>
      <c r="AF20" s="42"/>
      <c r="AG20" s="42"/>
      <c r="AH20" s="42"/>
      <c r="AI20" s="34"/>
      <c r="AJ20" s="34"/>
      <c r="AL20" s="35" t="str">
        <f t="array" ref="AL20">IF( OR(AND(ISBLANK(M20:M24)),AND(ISBLANK(AA20:AA24)), AND(ISBLANK(N20:N24)),AND(ISBLANK(AB20:AB24))), "·", bdRateExtend( M20:M24,N20:N24, AA20:AA24,AB20:AB24))</f>
        <v>·</v>
      </c>
      <c r="AM20" s="35" t="str">
        <f t="array" ref="AM20">IF( OR(AND(ISBLANK(M20:M24)),AND(ISBLANK(AA20:AA24)), AND(ISBLANK(O20:O24)),AND(ISBLANK(AC20:AC24))), "·", bdRateExtend( M20:M24,O20:O24, AA20:AA24,AC20:AC24))</f>
        <v>·</v>
      </c>
      <c r="AN20" s="35" t="str">
        <f t="array" ref="AN20">IF( OR(AND(ISBLANK(M20:M24)),AND(ISBLANK(AA20:AA24)), AND(ISBLANK(P20:P24)),AND(ISBLANK(AD20:AD24))), "·", bdRateExtend( M20:M24,P20:P24, AA20:AA24,AD20:AD24))</f>
        <v>·</v>
      </c>
      <c r="AO20" s="35" t="str">
        <f t="array" ref="AO20">IF( OR(AND(ISBLANK(M20:M24)),AND(ISBLANK(AA20:AA24)), AND(ISBLANK(Q20:Q24)),AND(ISBLANK(AE20:AE24))), "·", bdRateExtend( M20:M24,Q20:Q24, AA20:AA24,AE20:AE24))</f>
        <v>·</v>
      </c>
      <c r="AP20" s="35" t="str">
        <f t="array" ref="AP20">IF( OR(AND(ISBLANK(M20:M24)),AND(ISBLANK(AA20:AA24)), AND(ISBLANK(R20:R24)),AND(ISBLANK(AF20:AF24))), "·", bdRateExtend( M20:M24,R20:R24, AA20:AA24,AF20:AF24))</f>
        <v>·</v>
      </c>
      <c r="AQ20" s="35" t="str">
        <f t="array" ref="AQ20">IF( OR(AND(ISBLANK(M20:M24)),AND(ISBLANK(AA20:AA24)), AND(ISBLANK(S20:S24)),AND(ISBLANK(AG20:AG24))), "·", bdRateExtend( M20:M24,S20:S24, AA20:AA24,AG20:AG24))</f>
        <v>·</v>
      </c>
      <c r="AR20" s="35" t="str">
        <f t="array" ref="AR20">IF( OR(AND(ISBLANK(M20:M24)),AND(ISBLANK(AA20:AA24)), AND(ISBLANK(T20:T24)),AND(ISBLANK(AH20:AH24))), "·", bdRateExtend( M20:M24,T20:T24, AA20:AA24,AH20:AH24))</f>
        <v>·</v>
      </c>
    </row>
    <row r="21" spans="1:44" outlineLevel="1" x14ac:dyDescent="0.25">
      <c r="A21" s="12"/>
      <c r="B21" s="12" t="s">
        <v>58</v>
      </c>
      <c r="C21" s="14" t="s">
        <v>373</v>
      </c>
      <c r="D21" s="12">
        <v>11812090</v>
      </c>
      <c r="E21" s="13">
        <v>12</v>
      </c>
      <c r="F21" s="14">
        <v>32</v>
      </c>
      <c r="G21" s="14">
        <v>30</v>
      </c>
      <c r="H21" s="14">
        <v>5</v>
      </c>
      <c r="J21" s="15">
        <f t="shared" si="0"/>
        <v>4.5894075000000001</v>
      </c>
      <c r="K21" s="16">
        <f t="shared" si="1"/>
        <v>0.4144370725248453</v>
      </c>
      <c r="L21" s="39">
        <v>2417984</v>
      </c>
      <c r="M21" s="17">
        <v>4895368</v>
      </c>
      <c r="N21" s="40">
        <v>71.1754952</v>
      </c>
      <c r="O21" s="40">
        <v>72.568733499999993</v>
      </c>
      <c r="P21" s="40">
        <v>35.960776699999997</v>
      </c>
      <c r="Q21" s="40">
        <v>43.761032800000002</v>
      </c>
      <c r="R21" s="40">
        <v>45.518406400000003</v>
      </c>
      <c r="S21" s="40">
        <v>48.422817500000001</v>
      </c>
      <c r="T21" s="40">
        <v>31.860055899999999</v>
      </c>
      <c r="U21" s="18">
        <v>1169.05393</v>
      </c>
      <c r="V21" s="18">
        <v>14.2486277</v>
      </c>
      <c r="X21" s="15" t="str">
        <f t="shared" si="2"/>
        <v>·</v>
      </c>
      <c r="Y21" s="16" t="str">
        <f t="shared" si="3"/>
        <v>·</v>
      </c>
      <c r="Z21" s="39"/>
      <c r="AA21" s="17"/>
      <c r="AB21" s="40"/>
      <c r="AC21" s="40"/>
      <c r="AD21" s="40"/>
      <c r="AE21" s="40"/>
      <c r="AF21" s="40"/>
      <c r="AG21" s="40"/>
      <c r="AH21" s="40"/>
      <c r="AI21" s="18"/>
      <c r="AJ21" s="18"/>
      <c r="AL21" s="19"/>
      <c r="AM21" s="19"/>
      <c r="AN21" s="19"/>
      <c r="AO21" s="19"/>
      <c r="AP21" s="19"/>
      <c r="AQ21" s="19"/>
      <c r="AR21" s="19"/>
    </row>
    <row r="22" spans="1:44" outlineLevel="1" x14ac:dyDescent="0.25">
      <c r="A22" s="28"/>
      <c r="B22" s="28" t="s">
        <v>58</v>
      </c>
      <c r="C22" s="30" t="s">
        <v>374</v>
      </c>
      <c r="D22" s="28">
        <v>11812090</v>
      </c>
      <c r="E22" s="29">
        <v>12</v>
      </c>
      <c r="F22" s="30">
        <v>32</v>
      </c>
      <c r="G22" s="30">
        <v>30</v>
      </c>
      <c r="H22" s="30">
        <v>10</v>
      </c>
      <c r="J22" s="31">
        <f t="shared" si="0"/>
        <v>7.7428724999999998</v>
      </c>
      <c r="K22" s="32">
        <f t="shared" si="1"/>
        <v>0.69920428984201777</v>
      </c>
      <c r="L22" s="41">
        <v>4836096</v>
      </c>
      <c r="M22" s="33">
        <v>8259064</v>
      </c>
      <c r="N22" s="42">
        <v>74.867706400000003</v>
      </c>
      <c r="O22" s="42">
        <v>76.713124100000002</v>
      </c>
      <c r="P22" s="42">
        <v>38.209698899999999</v>
      </c>
      <c r="Q22" s="42">
        <v>44.528493500000003</v>
      </c>
      <c r="R22" s="42">
        <v>46.796091199999999</v>
      </c>
      <c r="S22" s="42">
        <v>50.429447099999997</v>
      </c>
      <c r="T22" s="42">
        <v>34.493274</v>
      </c>
      <c r="U22" s="34">
        <v>1241.9601600000001</v>
      </c>
      <c r="V22" s="34">
        <v>14.163378099999999</v>
      </c>
      <c r="X22" s="31" t="str">
        <f t="shared" si="2"/>
        <v>·</v>
      </c>
      <c r="Y22" s="32" t="str">
        <f t="shared" si="3"/>
        <v>·</v>
      </c>
      <c r="Z22" s="41"/>
      <c r="AA22" s="33"/>
      <c r="AB22" s="42"/>
      <c r="AC22" s="42"/>
      <c r="AD22" s="42"/>
      <c r="AE22" s="42"/>
      <c r="AF22" s="42"/>
      <c r="AG22" s="42"/>
      <c r="AH22" s="42"/>
      <c r="AI22" s="34"/>
      <c r="AJ22" s="34"/>
      <c r="AL22" s="35"/>
      <c r="AM22" s="35"/>
      <c r="AN22" s="35"/>
      <c r="AO22" s="35"/>
      <c r="AP22" s="35"/>
      <c r="AQ22" s="35"/>
      <c r="AR22" s="35"/>
    </row>
    <row r="23" spans="1:44" outlineLevel="1" x14ac:dyDescent="0.25">
      <c r="A23" s="12"/>
      <c r="B23" s="12" t="s">
        <v>58</v>
      </c>
      <c r="C23" s="14" t="s">
        <v>375</v>
      </c>
      <c r="D23" s="12">
        <v>11812090</v>
      </c>
      <c r="E23" s="13">
        <v>12</v>
      </c>
      <c r="F23" s="14">
        <v>32</v>
      </c>
      <c r="G23" s="14">
        <v>30</v>
      </c>
      <c r="H23" s="14">
        <v>14</v>
      </c>
      <c r="J23" s="15">
        <f t="shared" si="0"/>
        <v>12.010154999999999</v>
      </c>
      <c r="K23" s="16">
        <f t="shared" si="1"/>
        <v>1.0845525220346273</v>
      </c>
      <c r="L23" s="39">
        <v>4836096</v>
      </c>
      <c r="M23" s="17">
        <v>12810832</v>
      </c>
      <c r="N23" s="40">
        <v>76.081173800000002</v>
      </c>
      <c r="O23" s="40">
        <v>78.156279299999994</v>
      </c>
      <c r="P23" s="40">
        <v>39.566354400000002</v>
      </c>
      <c r="Q23" s="40">
        <v>45.524979299999998</v>
      </c>
      <c r="R23" s="40">
        <v>48.294735199999998</v>
      </c>
      <c r="S23" s="40">
        <v>51.0951649</v>
      </c>
      <c r="T23" s="40">
        <v>35.516958899999999</v>
      </c>
      <c r="U23" s="18">
        <v>1270.0069800000001</v>
      </c>
      <c r="V23" s="18">
        <v>14.859136400000001</v>
      </c>
      <c r="X23" s="15" t="str">
        <f t="shared" si="2"/>
        <v>·</v>
      </c>
      <c r="Y23" s="16" t="str">
        <f t="shared" si="3"/>
        <v>·</v>
      </c>
      <c r="Z23" s="39"/>
      <c r="AA23" s="17"/>
      <c r="AB23" s="40"/>
      <c r="AC23" s="40"/>
      <c r="AD23" s="40"/>
      <c r="AE23" s="40"/>
      <c r="AF23" s="40"/>
      <c r="AG23" s="40"/>
      <c r="AH23" s="40"/>
      <c r="AI23" s="18"/>
      <c r="AJ23" s="18"/>
      <c r="AL23" s="19"/>
      <c r="AM23" s="19"/>
      <c r="AN23" s="19"/>
      <c r="AO23" s="19"/>
      <c r="AP23" s="19"/>
      <c r="AQ23" s="19"/>
      <c r="AR23" s="19"/>
    </row>
    <row r="24" spans="1:44" ht="15.75" customHeight="1" outlineLevel="1" thickBot="1" x14ac:dyDescent="0.3">
      <c r="A24" s="20"/>
      <c r="B24" s="20" t="s">
        <v>58</v>
      </c>
      <c r="C24" s="22" t="s">
        <v>376</v>
      </c>
      <c r="D24" s="20">
        <v>11812090</v>
      </c>
      <c r="E24" s="21">
        <v>12</v>
      </c>
      <c r="F24" s="22">
        <v>32</v>
      </c>
      <c r="G24" s="22">
        <v>30</v>
      </c>
      <c r="H24" s="22">
        <v>21</v>
      </c>
      <c r="J24" s="23">
        <f t="shared" si="0"/>
        <v>23.218499999999999</v>
      </c>
      <c r="K24" s="24">
        <f t="shared" si="1"/>
        <v>2.0966992293489128</v>
      </c>
      <c r="L24" s="53">
        <v>1259636</v>
      </c>
      <c r="M24" s="25">
        <v>24766400</v>
      </c>
      <c r="N24" s="54">
        <v>999.99</v>
      </c>
      <c r="O24" s="54">
        <v>927.52482599999996</v>
      </c>
      <c r="P24" s="54">
        <v>41.809735099999997</v>
      </c>
      <c r="Q24" s="54">
        <v>45.398481799999999</v>
      </c>
      <c r="R24" s="54">
        <v>48.214226099999998</v>
      </c>
      <c r="S24" s="54">
        <v>999.99</v>
      </c>
      <c r="T24" s="54">
        <v>41.871235900000002</v>
      </c>
      <c r="U24" s="26">
        <v>887.57717400000001</v>
      </c>
      <c r="V24" s="26">
        <v>14.4659557</v>
      </c>
      <c r="X24" s="23" t="str">
        <f t="shared" si="2"/>
        <v>·</v>
      </c>
      <c r="Y24" s="24" t="str">
        <f t="shared" si="3"/>
        <v>·</v>
      </c>
      <c r="Z24" s="53"/>
      <c r="AA24" s="25"/>
      <c r="AB24" s="54"/>
      <c r="AC24" s="54"/>
      <c r="AD24" s="54"/>
      <c r="AE24" s="54"/>
      <c r="AF24" s="54"/>
      <c r="AG24" s="54"/>
      <c r="AH24" s="54"/>
      <c r="AI24" s="26"/>
      <c r="AJ24" s="26"/>
      <c r="AL24" s="27"/>
      <c r="AM24" s="27"/>
      <c r="AN24" s="27"/>
      <c r="AO24" s="27"/>
      <c r="AP24" s="27"/>
      <c r="AQ24" s="27"/>
      <c r="AR24" s="27"/>
    </row>
    <row r="25" spans="1:44" x14ac:dyDescent="0.25">
      <c r="A25" s="12" t="s">
        <v>177</v>
      </c>
      <c r="B25" s="12" t="s">
        <v>63</v>
      </c>
      <c r="C25" s="14" t="s">
        <v>372</v>
      </c>
      <c r="D25" s="12">
        <v>12000000</v>
      </c>
      <c r="E25" s="13">
        <v>12</v>
      </c>
      <c r="F25" s="14">
        <v>32</v>
      </c>
      <c r="G25" s="14">
        <v>30</v>
      </c>
      <c r="H25" s="14">
        <v>4</v>
      </c>
      <c r="J25" s="15">
        <f t="shared" si="0"/>
        <v>5.1303450000000002</v>
      </c>
      <c r="K25" s="16">
        <f t="shared" si="1"/>
        <v>0.45603066666666664</v>
      </c>
      <c r="L25" s="39">
        <v>4912768</v>
      </c>
      <c r="M25" s="17">
        <v>5472368</v>
      </c>
      <c r="N25" s="40">
        <v>73.290303499999993</v>
      </c>
      <c r="O25" s="40">
        <v>75.054036600000003</v>
      </c>
      <c r="P25" s="40">
        <v>31.3643261</v>
      </c>
      <c r="Q25" s="40">
        <v>40.416668799999997</v>
      </c>
      <c r="R25" s="40">
        <v>37.551862999999997</v>
      </c>
      <c r="S25" s="40">
        <v>45.170257599999999</v>
      </c>
      <c r="T25" s="40">
        <v>28.858760799999999</v>
      </c>
      <c r="U25" s="18">
        <v>3771.5654300000001</v>
      </c>
      <c r="V25" s="18">
        <v>45.186050899999998</v>
      </c>
      <c r="X25" s="15" t="str">
        <f t="shared" si="2"/>
        <v>·</v>
      </c>
      <c r="Y25" s="16" t="str">
        <f t="shared" si="3"/>
        <v>·</v>
      </c>
      <c r="Z25" s="39"/>
      <c r="AA25" s="17"/>
      <c r="AB25" s="40"/>
      <c r="AC25" s="40"/>
      <c r="AD25" s="40"/>
      <c r="AE25" s="40"/>
      <c r="AF25" s="40"/>
      <c r="AG25" s="40"/>
      <c r="AH25" s="40"/>
      <c r="AI25" s="18"/>
      <c r="AJ25" s="18"/>
      <c r="AL25" s="19" t="str">
        <f t="array" ref="AL25">IF( OR(AND(ISBLANK(M25:M29)),AND(ISBLANK(AA25:AA29)), AND(ISBLANK(N25:N29)),AND(ISBLANK(AB25:AB29))), "·", bdRateExtend( M25:M29,N25:N29, AA25:AA29,AB25:AB29))</f>
        <v>·</v>
      </c>
      <c r="AM25" s="19" t="str">
        <f t="array" ref="AM25">IF( OR(AND(ISBLANK(M25:M29)),AND(ISBLANK(AA25:AA29)), AND(ISBLANK(O25:O29)),AND(ISBLANK(AC25:AC29))), "·", bdRateExtend( M25:M29,O25:O29, AA25:AA29,AC25:AC29))</f>
        <v>·</v>
      </c>
      <c r="AN25" s="19" t="str">
        <f t="array" ref="AN25">IF( OR(AND(ISBLANK(M25:M29)),AND(ISBLANK(AA25:AA29)), AND(ISBLANK(P25:P29)),AND(ISBLANK(AD25:AD29))), "·", bdRateExtend( M25:M29,P25:P29, AA25:AA29,AD25:AD29))</f>
        <v>·</v>
      </c>
      <c r="AO25" s="19" t="str">
        <f t="array" ref="AO25">IF( OR(AND(ISBLANK(M25:M29)),AND(ISBLANK(AA25:AA29)), AND(ISBLANK(Q25:Q29)),AND(ISBLANK(AE25:AE29))), "·", bdRateExtend( M25:M29,Q25:Q29, AA25:AA29,AE25:AE29))</f>
        <v>·</v>
      </c>
      <c r="AP25" s="19" t="str">
        <f t="array" ref="AP25">IF( OR(AND(ISBLANK(M25:M29)),AND(ISBLANK(AA25:AA29)), AND(ISBLANK(R25:R29)),AND(ISBLANK(AF25:AF29))), "·", bdRateExtend( M25:M29,R25:R29, AA25:AA29,AF25:AF29))</f>
        <v>·</v>
      </c>
      <c r="AQ25" s="19" t="str">
        <f t="array" ref="AQ25">IF( OR(AND(ISBLANK(M25:M29)),AND(ISBLANK(AA25:AA29)), AND(ISBLANK(S25:S29)),AND(ISBLANK(AG25:AG29))), "·", bdRateExtend( M25:M29,S25:S29, AA25:AA29,AG25:AG29))</f>
        <v>·</v>
      </c>
      <c r="AR25" s="19" t="str">
        <f t="array" ref="AR25">IF( OR(AND(ISBLANK(M25:M29)),AND(ISBLANK(AA25:AA29)), AND(ISBLANK(T25:T29)),AND(ISBLANK(AH25:AH29))), "·", bdRateExtend( M25:M29,T25:T29, AA25:AA29,AH25:AH29))</f>
        <v>·</v>
      </c>
    </row>
    <row r="26" spans="1:44" outlineLevel="1" x14ac:dyDescent="0.25">
      <c r="A26" s="28"/>
      <c r="B26" s="28" t="s">
        <v>63</v>
      </c>
      <c r="C26" s="30" t="s">
        <v>373</v>
      </c>
      <c r="D26" s="28">
        <v>12000000</v>
      </c>
      <c r="E26" s="29">
        <v>12</v>
      </c>
      <c r="F26" s="30">
        <v>32</v>
      </c>
      <c r="G26" s="30">
        <v>30</v>
      </c>
      <c r="H26" s="30">
        <v>8</v>
      </c>
      <c r="J26" s="31">
        <f t="shared" si="0"/>
        <v>7.2467699999999997</v>
      </c>
      <c r="K26" s="32">
        <f t="shared" si="1"/>
        <v>0.64415733333333336</v>
      </c>
      <c r="L26" s="41">
        <v>4912768</v>
      </c>
      <c r="M26" s="33">
        <v>7729888</v>
      </c>
      <c r="N26" s="42">
        <v>74.437756100000001</v>
      </c>
      <c r="O26" s="42">
        <v>76.373139300000005</v>
      </c>
      <c r="P26" s="42">
        <v>32.6513986</v>
      </c>
      <c r="Q26" s="42">
        <v>42.179254499999999</v>
      </c>
      <c r="R26" s="42">
        <v>39.5924707</v>
      </c>
      <c r="S26" s="42">
        <v>45.668463699999997</v>
      </c>
      <c r="T26" s="42">
        <v>29.883373500000001</v>
      </c>
      <c r="U26" s="34">
        <v>3818.3848499999999</v>
      </c>
      <c r="V26" s="34">
        <v>46.060930599999999</v>
      </c>
      <c r="X26" s="31" t="str">
        <f t="shared" si="2"/>
        <v>·</v>
      </c>
      <c r="Y26" s="32" t="str">
        <f t="shared" si="3"/>
        <v>·</v>
      </c>
      <c r="Z26" s="41"/>
      <c r="AA26" s="33"/>
      <c r="AB26" s="42"/>
      <c r="AC26" s="42"/>
      <c r="AD26" s="42"/>
      <c r="AE26" s="42"/>
      <c r="AF26" s="42"/>
      <c r="AG26" s="42"/>
      <c r="AH26" s="42"/>
      <c r="AI26" s="34"/>
      <c r="AJ26" s="34"/>
      <c r="AL26" s="35"/>
      <c r="AM26" s="35"/>
      <c r="AN26" s="35"/>
      <c r="AO26" s="35"/>
      <c r="AP26" s="35"/>
      <c r="AQ26" s="35"/>
      <c r="AR26" s="35"/>
    </row>
    <row r="27" spans="1:44" outlineLevel="1" x14ac:dyDescent="0.25">
      <c r="A27" s="12"/>
      <c r="B27" s="12" t="s">
        <v>63</v>
      </c>
      <c r="C27" s="14" t="s">
        <v>374</v>
      </c>
      <c r="D27" s="12">
        <v>12000000</v>
      </c>
      <c r="E27" s="13">
        <v>12</v>
      </c>
      <c r="F27" s="14">
        <v>32</v>
      </c>
      <c r="G27" s="14">
        <v>30</v>
      </c>
      <c r="H27" s="14">
        <v>12</v>
      </c>
      <c r="J27" s="15">
        <f t="shared" si="0"/>
        <v>11.1869025</v>
      </c>
      <c r="K27" s="16">
        <f t="shared" si="1"/>
        <v>0.99439133333333329</v>
      </c>
      <c r="L27" s="39">
        <v>2456992</v>
      </c>
      <c r="M27" s="17">
        <v>11932696</v>
      </c>
      <c r="N27" s="40">
        <v>77.224398199999996</v>
      </c>
      <c r="O27" s="40">
        <v>79.851763700000006</v>
      </c>
      <c r="P27" s="40">
        <v>33.855173000000001</v>
      </c>
      <c r="Q27" s="40">
        <v>43.311792099999998</v>
      </c>
      <c r="R27" s="40">
        <v>41.004220799999999</v>
      </c>
      <c r="S27" s="40">
        <v>46.8038892</v>
      </c>
      <c r="T27" s="40">
        <v>31.5188162</v>
      </c>
      <c r="U27" s="18">
        <v>3900.1527099999998</v>
      </c>
      <c r="V27" s="18">
        <v>46.742578399999999</v>
      </c>
      <c r="X27" s="15" t="str">
        <f t="shared" si="2"/>
        <v>·</v>
      </c>
      <c r="Y27" s="16" t="str">
        <f t="shared" si="3"/>
        <v>·</v>
      </c>
      <c r="Z27" s="39"/>
      <c r="AA27" s="17"/>
      <c r="AB27" s="40"/>
      <c r="AC27" s="40"/>
      <c r="AD27" s="40"/>
      <c r="AE27" s="40"/>
      <c r="AF27" s="40"/>
      <c r="AG27" s="40"/>
      <c r="AH27" s="40"/>
      <c r="AI27" s="18"/>
      <c r="AJ27" s="18"/>
      <c r="AL27" s="19"/>
      <c r="AM27" s="19"/>
      <c r="AN27" s="19"/>
      <c r="AO27" s="19"/>
      <c r="AP27" s="19"/>
      <c r="AQ27" s="19"/>
      <c r="AR27" s="19"/>
    </row>
    <row r="28" spans="1:44" outlineLevel="1" x14ac:dyDescent="0.25">
      <c r="A28" s="28"/>
      <c r="B28" s="28" t="s">
        <v>63</v>
      </c>
      <c r="C28" s="30" t="s">
        <v>375</v>
      </c>
      <c r="D28" s="28">
        <v>12000000</v>
      </c>
      <c r="E28" s="29">
        <v>12</v>
      </c>
      <c r="F28" s="30">
        <v>32</v>
      </c>
      <c r="G28" s="30">
        <v>30</v>
      </c>
      <c r="H28" s="30">
        <v>17</v>
      </c>
      <c r="J28" s="31">
        <f t="shared" si="0"/>
        <v>12.7312575</v>
      </c>
      <c r="K28" s="32">
        <f t="shared" si="1"/>
        <v>1.1316673333333334</v>
      </c>
      <c r="L28" s="41">
        <v>4914848</v>
      </c>
      <c r="M28" s="33">
        <v>13580008</v>
      </c>
      <c r="N28" s="42">
        <v>79.433137400000007</v>
      </c>
      <c r="O28" s="42">
        <v>82.6047966</v>
      </c>
      <c r="P28" s="42">
        <v>34.071380099999999</v>
      </c>
      <c r="Q28" s="42">
        <v>43.342191499999998</v>
      </c>
      <c r="R28" s="42">
        <v>41.093344500000001</v>
      </c>
      <c r="S28" s="42">
        <v>48.367856000000003</v>
      </c>
      <c r="T28" s="42">
        <v>32.4368707</v>
      </c>
      <c r="U28" s="34">
        <v>4286.8676100000002</v>
      </c>
      <c r="V28" s="34">
        <v>45.9228138</v>
      </c>
      <c r="X28" s="31" t="str">
        <f t="shared" si="2"/>
        <v>·</v>
      </c>
      <c r="Y28" s="32" t="str">
        <f t="shared" si="3"/>
        <v>·</v>
      </c>
      <c r="Z28" s="41"/>
      <c r="AA28" s="33"/>
      <c r="AB28" s="42"/>
      <c r="AC28" s="42"/>
      <c r="AD28" s="42"/>
      <c r="AE28" s="42"/>
      <c r="AF28" s="42"/>
      <c r="AG28" s="42"/>
      <c r="AH28" s="42"/>
      <c r="AI28" s="34"/>
      <c r="AJ28" s="34"/>
      <c r="AL28" s="35"/>
      <c r="AM28" s="35"/>
      <c r="AN28" s="35"/>
      <c r="AO28" s="35"/>
      <c r="AP28" s="35"/>
      <c r="AQ28" s="35"/>
      <c r="AR28" s="35"/>
    </row>
    <row r="29" spans="1:44" ht="15.75" customHeight="1" outlineLevel="1" thickBot="1" x14ac:dyDescent="0.3">
      <c r="A29" s="12"/>
      <c r="B29" s="43" t="s">
        <v>63</v>
      </c>
      <c r="C29" s="44" t="s">
        <v>376</v>
      </c>
      <c r="D29" s="43">
        <v>12000000</v>
      </c>
      <c r="E29" s="45">
        <v>12</v>
      </c>
      <c r="F29" s="44">
        <v>32</v>
      </c>
      <c r="G29" s="44">
        <v>30</v>
      </c>
      <c r="H29" s="44">
        <v>25</v>
      </c>
      <c r="J29" s="46">
        <f t="shared" si="0"/>
        <v>22.9211025</v>
      </c>
      <c r="K29" s="47">
        <f t="shared" si="1"/>
        <v>2.0374313333333331</v>
      </c>
      <c r="L29" s="48">
        <v>921591</v>
      </c>
      <c r="M29" s="49">
        <v>24449176</v>
      </c>
      <c r="N29" s="50">
        <v>85.9955164</v>
      </c>
      <c r="O29" s="50">
        <v>91.402885400000002</v>
      </c>
      <c r="P29" s="50">
        <v>35.275676699999998</v>
      </c>
      <c r="Q29" s="50">
        <v>43.992724299999999</v>
      </c>
      <c r="R29" s="50">
        <v>42.009860799999998</v>
      </c>
      <c r="S29" s="50">
        <v>55.644798000000002</v>
      </c>
      <c r="T29" s="50">
        <v>34.854059100000001</v>
      </c>
      <c r="U29" s="51">
        <v>5805.2509899999995</v>
      </c>
      <c r="V29" s="51">
        <v>46.2096479</v>
      </c>
      <c r="X29" s="46" t="str">
        <f t="shared" si="2"/>
        <v>·</v>
      </c>
      <c r="Y29" s="47" t="str">
        <f t="shared" si="3"/>
        <v>·</v>
      </c>
      <c r="Z29" s="48"/>
      <c r="AA29" s="49"/>
      <c r="AB29" s="50"/>
      <c r="AC29" s="50"/>
      <c r="AD29" s="50"/>
      <c r="AE29" s="50"/>
      <c r="AF29" s="50"/>
      <c r="AG29" s="50"/>
      <c r="AH29" s="50"/>
      <c r="AI29" s="51"/>
      <c r="AJ29" s="51"/>
      <c r="AL29" s="52"/>
      <c r="AM29" s="52"/>
      <c r="AN29" s="52"/>
      <c r="AO29" s="52"/>
      <c r="AP29" s="52"/>
      <c r="AQ29" s="52"/>
      <c r="AR29" s="52"/>
    </row>
    <row r="30" spans="1:44" x14ac:dyDescent="0.25">
      <c r="A30" s="28"/>
      <c r="B30" s="28" t="s">
        <v>68</v>
      </c>
      <c r="C30" s="30" t="s">
        <v>372</v>
      </c>
      <c r="D30" s="28">
        <v>5997654</v>
      </c>
      <c r="E30" s="29">
        <v>12</v>
      </c>
      <c r="F30" s="30">
        <v>32</v>
      </c>
      <c r="G30" s="30">
        <v>30</v>
      </c>
      <c r="H30" s="30">
        <v>4</v>
      </c>
      <c r="J30" s="31">
        <f t="shared" si="0"/>
        <v>4.7240849999999996</v>
      </c>
      <c r="K30" s="32">
        <f t="shared" si="1"/>
        <v>0.84016583817606016</v>
      </c>
      <c r="L30" s="41">
        <v>4885312</v>
      </c>
      <c r="M30" s="33">
        <v>5039024</v>
      </c>
      <c r="N30" s="42">
        <v>73.155633199999997</v>
      </c>
      <c r="O30" s="42">
        <v>74.800906400000002</v>
      </c>
      <c r="P30" s="42">
        <v>37.204790799999998</v>
      </c>
      <c r="Q30" s="42">
        <v>44.188206999999998</v>
      </c>
      <c r="R30" s="42">
        <v>42.8908305</v>
      </c>
      <c r="S30" s="42">
        <v>46.696672300000003</v>
      </c>
      <c r="T30" s="42">
        <v>34.260990399999997</v>
      </c>
      <c r="U30" s="34">
        <v>3697.8948799999998</v>
      </c>
      <c r="V30" s="34">
        <v>44.734879200000002</v>
      </c>
      <c r="X30" s="31" t="str">
        <f t="shared" si="2"/>
        <v>·</v>
      </c>
      <c r="Y30" s="32" t="str">
        <f t="shared" si="3"/>
        <v>·</v>
      </c>
      <c r="Z30" s="41"/>
      <c r="AA30" s="33"/>
      <c r="AB30" s="42"/>
      <c r="AC30" s="42"/>
      <c r="AD30" s="42"/>
      <c r="AE30" s="42"/>
      <c r="AF30" s="42"/>
      <c r="AG30" s="42"/>
      <c r="AH30" s="42"/>
      <c r="AI30" s="34"/>
      <c r="AJ30" s="34"/>
      <c r="AL30" s="35" t="str">
        <f t="array" ref="AL30">IF( OR(AND(ISBLANK(M30:M34)),AND(ISBLANK(AA30:AA34)), AND(ISBLANK(N30:N34)),AND(ISBLANK(AB30:AB34))), "·", bdRateExtend( M30:M34,N30:N34, AA30:AA34,AB30:AB34))</f>
        <v>·</v>
      </c>
      <c r="AM30" s="35" t="str">
        <f t="array" ref="AM30">IF( OR(AND(ISBLANK(M30:M34)),AND(ISBLANK(AA30:AA34)), AND(ISBLANK(O30:O34)),AND(ISBLANK(AC30:AC34))), "·", bdRateExtend( M30:M34,O30:O34, AA30:AA34,AC30:AC34))</f>
        <v>·</v>
      </c>
      <c r="AN30" s="35" t="str">
        <f t="array" ref="AN30">IF( OR(AND(ISBLANK(M30:M34)),AND(ISBLANK(AA30:AA34)), AND(ISBLANK(P30:P34)),AND(ISBLANK(AD30:AD34))), "·", bdRateExtend( M30:M34,P30:P34, AA30:AA34,AD30:AD34))</f>
        <v>·</v>
      </c>
      <c r="AO30" s="35" t="str">
        <f t="array" ref="AO30">IF( OR(AND(ISBLANK(M30:M34)),AND(ISBLANK(AA30:AA34)), AND(ISBLANK(Q30:Q34)),AND(ISBLANK(AE30:AE34))), "·", bdRateExtend( M30:M34,Q30:Q34, AA30:AA34,AE30:AE34))</f>
        <v>·</v>
      </c>
      <c r="AP30" s="35" t="str">
        <f t="array" ref="AP30">IF( OR(AND(ISBLANK(M30:M34)),AND(ISBLANK(AA30:AA34)), AND(ISBLANK(R30:R34)),AND(ISBLANK(AF30:AF34))), "·", bdRateExtend( M30:M34,R30:R34, AA30:AA34,AF30:AF34))</f>
        <v>·</v>
      </c>
      <c r="AQ30" s="35" t="str">
        <f t="array" ref="AQ30">IF( OR(AND(ISBLANK(M30:M34)),AND(ISBLANK(AA30:AA34)), AND(ISBLANK(S30:S34)),AND(ISBLANK(AG30:AG34))), "·", bdRateExtend( M30:M34,S30:S34, AA30:AA34,AG30:AG34))</f>
        <v>·</v>
      </c>
      <c r="AR30" s="35" t="str">
        <f t="array" ref="AR30">IF( OR(AND(ISBLANK(M30:M34)),AND(ISBLANK(AA30:AA34)), AND(ISBLANK(T30:T34)),AND(ISBLANK(AH30:AH34))), "·", bdRateExtend( M30:M34,T30:T34, AA30:AA34,AH30:AH34))</f>
        <v>·</v>
      </c>
    </row>
    <row r="31" spans="1:44" outlineLevel="1" x14ac:dyDescent="0.25">
      <c r="A31" s="12"/>
      <c r="B31" s="12" t="s">
        <v>68</v>
      </c>
      <c r="C31" s="14" t="s">
        <v>373</v>
      </c>
      <c r="D31" s="12">
        <v>5997654</v>
      </c>
      <c r="E31" s="13">
        <v>12</v>
      </c>
      <c r="F31" s="14">
        <v>32</v>
      </c>
      <c r="G31" s="14">
        <v>30</v>
      </c>
      <c r="H31" s="14">
        <v>8</v>
      </c>
      <c r="J31" s="15">
        <f t="shared" si="0"/>
        <v>6.5318550000000002</v>
      </c>
      <c r="K31" s="16">
        <f t="shared" si="1"/>
        <v>1.161672880763045</v>
      </c>
      <c r="L31" s="39">
        <v>4885312</v>
      </c>
      <c r="M31" s="17">
        <v>6967312</v>
      </c>
      <c r="N31" s="40">
        <v>74.332512100000002</v>
      </c>
      <c r="O31" s="40">
        <v>76.142606000000001</v>
      </c>
      <c r="P31" s="40">
        <v>38.653557999999997</v>
      </c>
      <c r="Q31" s="40">
        <v>45.049091199999999</v>
      </c>
      <c r="R31" s="40">
        <v>43.851861</v>
      </c>
      <c r="S31" s="40">
        <v>47.333829799999997</v>
      </c>
      <c r="T31" s="40">
        <v>35.324754599999999</v>
      </c>
      <c r="U31" s="18">
        <v>3751.8692500000002</v>
      </c>
      <c r="V31" s="18">
        <v>45.748188499999998</v>
      </c>
      <c r="X31" s="15" t="str">
        <f t="shared" si="2"/>
        <v>·</v>
      </c>
      <c r="Y31" s="16" t="str">
        <f t="shared" si="3"/>
        <v>·</v>
      </c>
      <c r="Z31" s="39"/>
      <c r="AA31" s="17"/>
      <c r="AB31" s="40"/>
      <c r="AC31" s="40"/>
      <c r="AD31" s="40"/>
      <c r="AE31" s="40"/>
      <c r="AF31" s="40"/>
      <c r="AG31" s="40"/>
      <c r="AH31" s="40"/>
      <c r="AI31" s="18"/>
      <c r="AJ31" s="18"/>
      <c r="AL31" s="19"/>
      <c r="AM31" s="19"/>
      <c r="AN31" s="19"/>
      <c r="AO31" s="19"/>
      <c r="AP31" s="19"/>
      <c r="AQ31" s="19"/>
      <c r="AR31" s="19"/>
    </row>
    <row r="32" spans="1:44" outlineLevel="1" x14ac:dyDescent="0.25">
      <c r="A32" s="28"/>
      <c r="B32" s="28" t="s">
        <v>68</v>
      </c>
      <c r="C32" s="30" t="s">
        <v>374</v>
      </c>
      <c r="D32" s="28">
        <v>5997654</v>
      </c>
      <c r="E32" s="29">
        <v>12</v>
      </c>
      <c r="F32" s="30">
        <v>32</v>
      </c>
      <c r="G32" s="30">
        <v>30</v>
      </c>
      <c r="H32" s="30">
        <v>12</v>
      </c>
      <c r="J32" s="31">
        <f t="shared" si="0"/>
        <v>10.443210000000001</v>
      </c>
      <c r="K32" s="32">
        <f t="shared" si="1"/>
        <v>1.8572968697427361</v>
      </c>
      <c r="L32" s="41">
        <v>2450608</v>
      </c>
      <c r="M32" s="33">
        <v>11139424</v>
      </c>
      <c r="N32" s="42">
        <v>77.343469299999995</v>
      </c>
      <c r="O32" s="42">
        <v>79.616618599999995</v>
      </c>
      <c r="P32" s="42">
        <v>40.227829</v>
      </c>
      <c r="Q32" s="42">
        <v>45.8317379</v>
      </c>
      <c r="R32" s="42">
        <v>44.755043399999998</v>
      </c>
      <c r="S32" s="42">
        <v>49.0569013</v>
      </c>
      <c r="T32" s="42">
        <v>37.086175500000003</v>
      </c>
      <c r="U32" s="34">
        <v>3847.7124899999999</v>
      </c>
      <c r="V32" s="34">
        <v>46.934672900000002</v>
      </c>
      <c r="X32" s="31" t="str">
        <f t="shared" si="2"/>
        <v>·</v>
      </c>
      <c r="Y32" s="32" t="str">
        <f t="shared" si="3"/>
        <v>·</v>
      </c>
      <c r="Z32" s="41"/>
      <c r="AA32" s="33"/>
      <c r="AB32" s="42"/>
      <c r="AC32" s="42"/>
      <c r="AD32" s="42"/>
      <c r="AE32" s="42"/>
      <c r="AF32" s="42"/>
      <c r="AG32" s="42"/>
      <c r="AH32" s="42"/>
      <c r="AI32" s="34"/>
      <c r="AJ32" s="34"/>
      <c r="AL32" s="35"/>
      <c r="AM32" s="35"/>
      <c r="AN32" s="35"/>
      <c r="AO32" s="35"/>
      <c r="AP32" s="35"/>
      <c r="AQ32" s="35"/>
      <c r="AR32" s="35"/>
    </row>
    <row r="33" spans="1:44" outlineLevel="1" x14ac:dyDescent="0.25">
      <c r="A33" s="12"/>
      <c r="B33" s="12" t="s">
        <v>68</v>
      </c>
      <c r="C33" s="14" t="s">
        <v>375</v>
      </c>
      <c r="D33" s="12">
        <v>5997654</v>
      </c>
      <c r="E33" s="13">
        <v>12</v>
      </c>
      <c r="F33" s="14">
        <v>32</v>
      </c>
      <c r="G33" s="14">
        <v>30</v>
      </c>
      <c r="H33" s="14">
        <v>17</v>
      </c>
      <c r="J33" s="15">
        <f t="shared" si="0"/>
        <v>11.9742975</v>
      </c>
      <c r="K33" s="16">
        <f t="shared" si="1"/>
        <v>2.1295966722988688</v>
      </c>
      <c r="L33" s="39">
        <v>4909200</v>
      </c>
      <c r="M33" s="17">
        <v>12772584</v>
      </c>
      <c r="N33" s="40">
        <v>79.641616499999998</v>
      </c>
      <c r="O33" s="40">
        <v>82.450774899999999</v>
      </c>
      <c r="P33" s="40">
        <v>40.515061899999999</v>
      </c>
      <c r="Q33" s="40">
        <v>45.905167499999997</v>
      </c>
      <c r="R33" s="40">
        <v>44.872962000000001</v>
      </c>
      <c r="S33" s="40">
        <v>50.485833800000002</v>
      </c>
      <c r="T33" s="40">
        <v>38.184642199999999</v>
      </c>
      <c r="U33" s="18">
        <v>4180.7168300000003</v>
      </c>
      <c r="V33" s="18">
        <v>46.267452900000002</v>
      </c>
      <c r="X33" s="15" t="str">
        <f t="shared" si="2"/>
        <v>·</v>
      </c>
      <c r="Y33" s="16" t="str">
        <f t="shared" si="3"/>
        <v>·</v>
      </c>
      <c r="Z33" s="39"/>
      <c r="AA33" s="17"/>
      <c r="AB33" s="40"/>
      <c r="AC33" s="40"/>
      <c r="AD33" s="40"/>
      <c r="AE33" s="40"/>
      <c r="AF33" s="40"/>
      <c r="AG33" s="40"/>
      <c r="AH33" s="40"/>
      <c r="AI33" s="18"/>
      <c r="AJ33" s="18"/>
      <c r="AL33" s="19"/>
      <c r="AM33" s="19"/>
      <c r="AN33" s="19"/>
      <c r="AO33" s="19"/>
      <c r="AP33" s="19"/>
      <c r="AQ33" s="19"/>
      <c r="AR33" s="19"/>
    </row>
    <row r="34" spans="1:44" ht="15.75" customHeight="1" outlineLevel="1" thickBot="1" x14ac:dyDescent="0.3">
      <c r="A34" s="28"/>
      <c r="B34" s="20" t="s">
        <v>68</v>
      </c>
      <c r="C34" s="22" t="s">
        <v>376</v>
      </c>
      <c r="D34" s="20">
        <v>5997654</v>
      </c>
      <c r="E34" s="21">
        <v>12</v>
      </c>
      <c r="F34" s="22">
        <v>32</v>
      </c>
      <c r="G34" s="22">
        <v>30</v>
      </c>
      <c r="H34" s="22">
        <v>25</v>
      </c>
      <c r="J34" s="23">
        <f t="shared" si="0"/>
        <v>19.299757499999998</v>
      </c>
      <c r="K34" s="24">
        <f t="shared" si="1"/>
        <v>3.4324100723382842</v>
      </c>
      <c r="L34" s="53">
        <v>614149</v>
      </c>
      <c r="M34" s="25">
        <v>20586408</v>
      </c>
      <c r="N34" s="54">
        <v>83.276038999999997</v>
      </c>
      <c r="O34" s="54">
        <v>87.071905700000002</v>
      </c>
      <c r="P34" s="54">
        <v>41.956793099999999</v>
      </c>
      <c r="Q34" s="54">
        <v>47.041770999999997</v>
      </c>
      <c r="R34" s="54">
        <v>46.175216200000001</v>
      </c>
      <c r="S34" s="54">
        <v>53.335746899999997</v>
      </c>
      <c r="T34" s="54">
        <v>40.409345100000003</v>
      </c>
      <c r="U34" s="26">
        <v>4710.00054</v>
      </c>
      <c r="V34" s="26">
        <v>46.777670700000002</v>
      </c>
      <c r="X34" s="23" t="str">
        <f t="shared" si="2"/>
        <v>·</v>
      </c>
      <c r="Y34" s="24" t="str">
        <f t="shared" si="3"/>
        <v>·</v>
      </c>
      <c r="Z34" s="53"/>
      <c r="AA34" s="25"/>
      <c r="AB34" s="54"/>
      <c r="AC34" s="54"/>
      <c r="AD34" s="54"/>
      <c r="AE34" s="54"/>
      <c r="AF34" s="54"/>
      <c r="AG34" s="54"/>
      <c r="AH34" s="54"/>
      <c r="AI34" s="26"/>
      <c r="AJ34" s="26"/>
      <c r="AL34" s="27"/>
      <c r="AM34" s="27"/>
      <c r="AN34" s="27"/>
      <c r="AO34" s="27"/>
      <c r="AP34" s="27"/>
      <c r="AQ34" s="27"/>
      <c r="AR34" s="27"/>
    </row>
    <row r="35" spans="1:44" x14ac:dyDescent="0.25">
      <c r="A35" s="12"/>
      <c r="B35" s="12" t="s">
        <v>32</v>
      </c>
      <c r="C35" s="14" t="s">
        <v>372</v>
      </c>
      <c r="D35" s="12">
        <v>9000000</v>
      </c>
      <c r="E35" s="13">
        <v>12</v>
      </c>
      <c r="F35" s="14">
        <v>32</v>
      </c>
      <c r="G35" s="14">
        <v>30</v>
      </c>
      <c r="H35" s="14">
        <v>4</v>
      </c>
      <c r="J35" s="15">
        <f t="shared" si="0"/>
        <v>4.8089550000000001</v>
      </c>
      <c r="K35" s="16">
        <f t="shared" si="1"/>
        <v>0.56995022222222225</v>
      </c>
      <c r="L35" s="39">
        <v>3680768</v>
      </c>
      <c r="M35" s="17">
        <v>5129552</v>
      </c>
      <c r="N35" s="40">
        <v>71.046666400000007</v>
      </c>
      <c r="O35" s="40">
        <v>72.531249599999995</v>
      </c>
      <c r="P35" s="40">
        <v>29.540889199999999</v>
      </c>
      <c r="Q35" s="40">
        <v>38.553748200000001</v>
      </c>
      <c r="R35" s="40">
        <v>38.507749799999999</v>
      </c>
      <c r="S35" s="40">
        <v>47.259539099999998</v>
      </c>
      <c r="T35" s="40">
        <v>28.562339399999999</v>
      </c>
      <c r="U35" s="18">
        <v>3368.7835799999998</v>
      </c>
      <c r="V35" s="18">
        <v>44.4464319</v>
      </c>
      <c r="X35" s="15" t="str">
        <f t="shared" si="2"/>
        <v>·</v>
      </c>
      <c r="Y35" s="16" t="str">
        <f t="shared" si="3"/>
        <v>·</v>
      </c>
      <c r="Z35" s="39"/>
      <c r="AA35" s="17"/>
      <c r="AB35" s="40"/>
      <c r="AC35" s="40"/>
      <c r="AD35" s="40"/>
      <c r="AE35" s="40"/>
      <c r="AF35" s="40"/>
      <c r="AG35" s="40"/>
      <c r="AH35" s="40"/>
      <c r="AI35" s="18"/>
      <c r="AJ35" s="18"/>
      <c r="AL35" s="19" t="str">
        <f t="array" ref="AL35">IF( OR(AND(ISBLANK(M35:M39)),AND(ISBLANK(AA35:AA39)), AND(ISBLANK(N35:N39)),AND(ISBLANK(AB35:AB39))), "·", bdRateExtend( M35:M39,N35:N39, AA35:AA39,AB35:AB39))</f>
        <v>·</v>
      </c>
      <c r="AM35" s="19" t="str">
        <f t="array" ref="AM35">IF( OR(AND(ISBLANK(M35:M39)),AND(ISBLANK(AA35:AA39)), AND(ISBLANK(O35:O39)),AND(ISBLANK(AC35:AC39))), "·", bdRateExtend( M35:M39,O35:O39, AA35:AA39,AC35:AC39))</f>
        <v>·</v>
      </c>
      <c r="AN35" s="19" t="str">
        <f t="array" ref="AN35">IF( OR(AND(ISBLANK(M35:M39)),AND(ISBLANK(AA35:AA39)), AND(ISBLANK(P35:P39)),AND(ISBLANK(AD35:AD39))), "·", bdRateExtend( M35:M39,P35:P39, AA35:AA39,AD35:AD39))</f>
        <v>·</v>
      </c>
      <c r="AO35" s="19" t="str">
        <f t="array" ref="AO35">IF( OR(AND(ISBLANK(M35:M39)),AND(ISBLANK(AA35:AA39)), AND(ISBLANK(Q35:Q39)),AND(ISBLANK(AE35:AE39))), "·", bdRateExtend( M35:M39,Q35:Q39, AA35:AA39,AE35:AE39))</f>
        <v>·</v>
      </c>
      <c r="AP35" s="19" t="str">
        <f t="array" ref="AP35">IF( OR(AND(ISBLANK(M35:M39)),AND(ISBLANK(AA35:AA39)), AND(ISBLANK(R35:R39)),AND(ISBLANK(AF35:AF39))), "·", bdRateExtend( M35:M39,R35:R39, AA35:AA39,AF35:AF39))</f>
        <v>·</v>
      </c>
      <c r="AQ35" s="19" t="str">
        <f t="array" ref="AQ35">IF( OR(AND(ISBLANK(M35:M39)),AND(ISBLANK(AA35:AA39)), AND(ISBLANK(S35:S39)),AND(ISBLANK(AG35:AG39))), "·", bdRateExtend( M35:M39,S35:S39, AA35:AA39,AG35:AG39))</f>
        <v>·</v>
      </c>
      <c r="AR35" s="19" t="str">
        <f t="array" ref="AR35">IF( OR(AND(ISBLANK(M35:M39)),AND(ISBLANK(AA35:AA39)), AND(ISBLANK(T35:T39)),AND(ISBLANK(AH35:AH39))), "·", bdRateExtend( M35:M39,T35:T39, AA35:AA39,AH35:AH39))</f>
        <v>·</v>
      </c>
    </row>
    <row r="36" spans="1:44" outlineLevel="1" x14ac:dyDescent="0.25">
      <c r="A36" s="28"/>
      <c r="B36" s="28" t="s">
        <v>32</v>
      </c>
      <c r="C36" s="30" t="s">
        <v>373</v>
      </c>
      <c r="D36" s="28">
        <v>9000000</v>
      </c>
      <c r="E36" s="29">
        <v>12</v>
      </c>
      <c r="F36" s="30">
        <v>32</v>
      </c>
      <c r="G36" s="30">
        <v>30</v>
      </c>
      <c r="H36" s="30">
        <v>6</v>
      </c>
      <c r="J36" s="31">
        <f t="shared" si="0"/>
        <v>6.2796450000000004</v>
      </c>
      <c r="K36" s="32">
        <f t="shared" si="1"/>
        <v>0.74425422222222226</v>
      </c>
      <c r="L36" s="41">
        <v>3680768</v>
      </c>
      <c r="M36" s="33">
        <v>6698288</v>
      </c>
      <c r="N36" s="42">
        <v>72.422701799999999</v>
      </c>
      <c r="O36" s="42">
        <v>74.113481500000006</v>
      </c>
      <c r="P36" s="42">
        <v>29.916226000000002</v>
      </c>
      <c r="Q36" s="42">
        <v>38.831108200000003</v>
      </c>
      <c r="R36" s="42">
        <v>38.879624499999998</v>
      </c>
      <c r="S36" s="42">
        <v>47.988968499999999</v>
      </c>
      <c r="T36" s="42">
        <v>28.9758277</v>
      </c>
      <c r="U36" s="34">
        <v>3332.57413</v>
      </c>
      <c r="V36" s="34">
        <v>44.473436200000002</v>
      </c>
      <c r="X36" s="31" t="str">
        <f t="shared" si="2"/>
        <v>·</v>
      </c>
      <c r="Y36" s="32" t="str">
        <f t="shared" si="3"/>
        <v>·</v>
      </c>
      <c r="Z36" s="41"/>
      <c r="AA36" s="33"/>
      <c r="AB36" s="42"/>
      <c r="AC36" s="42"/>
      <c r="AD36" s="42"/>
      <c r="AE36" s="42"/>
      <c r="AF36" s="42"/>
      <c r="AG36" s="42"/>
      <c r="AH36" s="42"/>
      <c r="AI36" s="34"/>
      <c r="AJ36" s="34"/>
      <c r="AL36" s="35"/>
      <c r="AM36" s="35"/>
      <c r="AN36" s="35"/>
      <c r="AO36" s="35"/>
      <c r="AP36" s="35"/>
      <c r="AQ36" s="35"/>
      <c r="AR36" s="35"/>
    </row>
    <row r="37" spans="1:44" outlineLevel="1" x14ac:dyDescent="0.25">
      <c r="A37" s="12"/>
      <c r="B37" s="12" t="s">
        <v>32</v>
      </c>
      <c r="C37" s="14" t="s">
        <v>374</v>
      </c>
      <c r="D37" s="12">
        <v>9000000</v>
      </c>
      <c r="E37" s="13">
        <v>12</v>
      </c>
      <c r="F37" s="14">
        <v>32</v>
      </c>
      <c r="G37" s="14">
        <v>30</v>
      </c>
      <c r="H37" s="14">
        <v>11</v>
      </c>
      <c r="J37" s="15">
        <f t="shared" si="0"/>
        <v>8.4927825000000006</v>
      </c>
      <c r="K37" s="16">
        <f t="shared" si="1"/>
        <v>1.0065519999999999</v>
      </c>
      <c r="L37" s="39">
        <v>3680768</v>
      </c>
      <c r="M37" s="17">
        <v>9058968</v>
      </c>
      <c r="N37" s="40">
        <v>73.742215700000003</v>
      </c>
      <c r="O37" s="40">
        <v>75.614169000000004</v>
      </c>
      <c r="P37" s="40">
        <v>30.331943500000001</v>
      </c>
      <c r="Q37" s="40">
        <v>38.918952099999998</v>
      </c>
      <c r="R37" s="40">
        <v>39.025923599999999</v>
      </c>
      <c r="S37" s="40">
        <v>48.687194300000002</v>
      </c>
      <c r="T37" s="40">
        <v>29.403458199999999</v>
      </c>
      <c r="U37" s="18">
        <v>3343.7192300000002</v>
      </c>
      <c r="V37" s="18">
        <v>45.4180773</v>
      </c>
      <c r="X37" s="15" t="str">
        <f t="shared" si="2"/>
        <v>·</v>
      </c>
      <c r="Y37" s="16" t="str">
        <f t="shared" si="3"/>
        <v>·</v>
      </c>
      <c r="Z37" s="39"/>
      <c r="AA37" s="17"/>
      <c r="AB37" s="40"/>
      <c r="AC37" s="40"/>
      <c r="AD37" s="40"/>
      <c r="AE37" s="40"/>
      <c r="AF37" s="40"/>
      <c r="AG37" s="40"/>
      <c r="AH37" s="40"/>
      <c r="AI37" s="18"/>
      <c r="AJ37" s="18"/>
      <c r="AL37" s="19"/>
      <c r="AM37" s="19"/>
      <c r="AN37" s="19"/>
      <c r="AO37" s="19"/>
      <c r="AP37" s="19"/>
      <c r="AQ37" s="19"/>
      <c r="AR37" s="19"/>
    </row>
    <row r="38" spans="1:44" outlineLevel="1" x14ac:dyDescent="0.25">
      <c r="A38" s="28"/>
      <c r="B38" s="28" t="s">
        <v>32</v>
      </c>
      <c r="C38" s="30" t="s">
        <v>375</v>
      </c>
      <c r="D38" s="28">
        <v>9000000</v>
      </c>
      <c r="E38" s="29">
        <v>12</v>
      </c>
      <c r="F38" s="30">
        <v>32</v>
      </c>
      <c r="G38" s="30">
        <v>30</v>
      </c>
      <c r="H38" s="30">
        <v>16</v>
      </c>
      <c r="J38" s="31">
        <f t="shared" si="0"/>
        <v>15.0103575</v>
      </c>
      <c r="K38" s="32">
        <f t="shared" si="1"/>
        <v>1.7790053333333333</v>
      </c>
      <c r="L38" s="41">
        <v>345320</v>
      </c>
      <c r="M38" s="33">
        <v>16011048</v>
      </c>
      <c r="N38" s="42">
        <v>78.8749234</v>
      </c>
      <c r="O38" s="42">
        <v>81.303758999999999</v>
      </c>
      <c r="P38" s="42">
        <v>31.081115400000002</v>
      </c>
      <c r="Q38" s="42">
        <v>39.018960499999999</v>
      </c>
      <c r="R38" s="42">
        <v>39.2100072</v>
      </c>
      <c r="S38" s="42">
        <v>51.458347699999997</v>
      </c>
      <c r="T38" s="42">
        <v>30.512010700000001</v>
      </c>
      <c r="U38" s="34">
        <v>3973.0006400000002</v>
      </c>
      <c r="V38" s="34">
        <v>45.989368499999998</v>
      </c>
      <c r="X38" s="31" t="str">
        <f t="shared" si="2"/>
        <v>·</v>
      </c>
      <c r="Y38" s="32" t="str">
        <f t="shared" si="3"/>
        <v>·</v>
      </c>
      <c r="Z38" s="41"/>
      <c r="AA38" s="33"/>
      <c r="AB38" s="42"/>
      <c r="AC38" s="42"/>
      <c r="AD38" s="42"/>
      <c r="AE38" s="42"/>
      <c r="AF38" s="42"/>
      <c r="AG38" s="42"/>
      <c r="AH38" s="42"/>
      <c r="AI38" s="34"/>
      <c r="AJ38" s="34"/>
      <c r="AL38" s="35"/>
      <c r="AM38" s="35"/>
      <c r="AN38" s="35"/>
      <c r="AO38" s="35"/>
      <c r="AP38" s="35"/>
      <c r="AQ38" s="35"/>
      <c r="AR38" s="35"/>
    </row>
    <row r="39" spans="1:44" ht="15.75" customHeight="1" outlineLevel="1" thickBot="1" x14ac:dyDescent="0.3">
      <c r="A39" s="12"/>
      <c r="B39" s="43" t="s">
        <v>32</v>
      </c>
      <c r="C39" s="44" t="s">
        <v>376</v>
      </c>
      <c r="D39" s="43">
        <v>9000000</v>
      </c>
      <c r="E39" s="45">
        <v>12</v>
      </c>
      <c r="F39" s="44">
        <v>32</v>
      </c>
      <c r="G39" s="44">
        <v>30</v>
      </c>
      <c r="H39" s="44">
        <v>24</v>
      </c>
      <c r="J39" s="46">
        <f t="shared" si="0"/>
        <v>25.341112500000001</v>
      </c>
      <c r="K39" s="47">
        <f t="shared" si="1"/>
        <v>3.0033911111111111</v>
      </c>
      <c r="L39" s="48">
        <v>959262</v>
      </c>
      <c r="M39" s="49">
        <v>27030520</v>
      </c>
      <c r="N39" s="50">
        <v>999.99</v>
      </c>
      <c r="O39" s="50">
        <v>881.852982</v>
      </c>
      <c r="P39" s="50">
        <v>32.121573699999999</v>
      </c>
      <c r="Q39" s="50">
        <v>39.076155300000003</v>
      </c>
      <c r="R39" s="50">
        <v>39.297184799999997</v>
      </c>
      <c r="S39" s="50">
        <v>999.99</v>
      </c>
      <c r="T39" s="50">
        <v>32.108595100000002</v>
      </c>
      <c r="U39" s="51">
        <v>2935.4789000000001</v>
      </c>
      <c r="V39" s="51">
        <v>47.011199900000001</v>
      </c>
      <c r="X39" s="46" t="str">
        <f t="shared" si="2"/>
        <v>·</v>
      </c>
      <c r="Y39" s="47" t="str">
        <f t="shared" si="3"/>
        <v>·</v>
      </c>
      <c r="Z39" s="48"/>
      <c r="AA39" s="49"/>
      <c r="AB39" s="50"/>
      <c r="AC39" s="50"/>
      <c r="AD39" s="50"/>
      <c r="AE39" s="50"/>
      <c r="AF39" s="50"/>
      <c r="AG39" s="50"/>
      <c r="AH39" s="50"/>
      <c r="AI39" s="51"/>
      <c r="AJ39" s="51"/>
      <c r="AL39" s="52"/>
      <c r="AM39" s="52"/>
      <c r="AN39" s="52"/>
      <c r="AO39" s="52"/>
      <c r="AP39" s="52"/>
      <c r="AQ39" s="52"/>
      <c r="AR39" s="52"/>
    </row>
    <row r="40" spans="1:44" x14ac:dyDescent="0.25">
      <c r="A40" s="28"/>
      <c r="B40" s="28" t="s">
        <v>77</v>
      </c>
      <c r="C40" s="30" t="s">
        <v>372</v>
      </c>
      <c r="D40" s="28">
        <v>9000000</v>
      </c>
      <c r="E40" s="29">
        <v>12</v>
      </c>
      <c r="F40" s="30">
        <v>32</v>
      </c>
      <c r="G40" s="30">
        <v>30</v>
      </c>
      <c r="H40" s="30">
        <v>4</v>
      </c>
      <c r="J40" s="31">
        <f t="shared" si="0"/>
        <v>4.8435825000000001</v>
      </c>
      <c r="K40" s="32">
        <f t="shared" si="1"/>
        <v>0.57405422222222224</v>
      </c>
      <c r="L40" s="41">
        <v>3682816</v>
      </c>
      <c r="M40" s="33">
        <v>5166488</v>
      </c>
      <c r="N40" s="42">
        <v>71.500928700000003</v>
      </c>
      <c r="O40" s="42">
        <v>72.859134299999994</v>
      </c>
      <c r="P40" s="42">
        <v>32.237099399999998</v>
      </c>
      <c r="Q40" s="42">
        <v>42.370091700000003</v>
      </c>
      <c r="R40" s="42">
        <v>42.612103500000003</v>
      </c>
      <c r="S40" s="42">
        <v>47.919080200000003</v>
      </c>
      <c r="T40" s="42">
        <v>31.259533600000001</v>
      </c>
      <c r="U40" s="34">
        <v>3063.0913399999999</v>
      </c>
      <c r="V40" s="34">
        <v>43.481062199999997</v>
      </c>
      <c r="X40" s="31" t="str">
        <f t="shared" si="2"/>
        <v>·</v>
      </c>
      <c r="Y40" s="32" t="str">
        <f t="shared" si="3"/>
        <v>·</v>
      </c>
      <c r="Z40" s="41"/>
      <c r="AA40" s="33"/>
      <c r="AB40" s="42"/>
      <c r="AC40" s="42"/>
      <c r="AD40" s="42"/>
      <c r="AE40" s="42"/>
      <c r="AF40" s="42"/>
      <c r="AG40" s="42"/>
      <c r="AH40" s="42"/>
      <c r="AI40" s="34"/>
      <c r="AJ40" s="34"/>
      <c r="AL40" s="35" t="str">
        <f t="array" ref="AL40">IF( OR(AND(ISBLANK(M40:M44)),AND(ISBLANK(AA40:AA44)), AND(ISBLANK(N40:N44)),AND(ISBLANK(AB40:AB44))), "·", bdRateExtend( M40:M44,N40:N44, AA40:AA44,AB40:AB44))</f>
        <v>·</v>
      </c>
      <c r="AM40" s="35" t="str">
        <f t="array" ref="AM40">IF( OR(AND(ISBLANK(M40:M44)),AND(ISBLANK(AA40:AA44)), AND(ISBLANK(O40:O44)),AND(ISBLANK(AC40:AC44))), "·", bdRateExtend( M40:M44,O40:O44, AA40:AA44,AC40:AC44))</f>
        <v>·</v>
      </c>
      <c r="AN40" s="35" t="str">
        <f t="array" ref="AN40">IF( OR(AND(ISBLANK(M40:M44)),AND(ISBLANK(AA40:AA44)), AND(ISBLANK(P40:P44)),AND(ISBLANK(AD40:AD44))), "·", bdRateExtend( M40:M44,P40:P44, AA40:AA44,AD40:AD44))</f>
        <v>·</v>
      </c>
      <c r="AO40" s="35" t="str">
        <f t="array" ref="AO40">IF( OR(AND(ISBLANK(M40:M44)),AND(ISBLANK(AA40:AA44)), AND(ISBLANK(Q40:Q44)),AND(ISBLANK(AE40:AE44))), "·", bdRateExtend( M40:M44,Q40:Q44, AA40:AA44,AE40:AE44))</f>
        <v>·</v>
      </c>
      <c r="AP40" s="35" t="str">
        <f t="array" ref="AP40">IF( OR(AND(ISBLANK(M40:M44)),AND(ISBLANK(AA40:AA44)), AND(ISBLANK(R40:R44)),AND(ISBLANK(AF40:AF44))), "·", bdRateExtend( M40:M44,R40:R44, AA40:AA44,AF40:AF44))</f>
        <v>·</v>
      </c>
      <c r="AQ40" s="35" t="str">
        <f t="array" ref="AQ40">IF( OR(AND(ISBLANK(M40:M44)),AND(ISBLANK(AA40:AA44)), AND(ISBLANK(S40:S44)),AND(ISBLANK(AG40:AG44))), "·", bdRateExtend( M40:M44,S40:S44, AA40:AA44,AG40:AG44))</f>
        <v>·</v>
      </c>
      <c r="AR40" s="35" t="str">
        <f t="array" ref="AR40">IF( OR(AND(ISBLANK(M40:M44)),AND(ISBLANK(AA40:AA44)), AND(ISBLANK(T40:T44)),AND(ISBLANK(AH40:AH44))), "·", bdRateExtend( M40:M44,T40:T44, AA40:AA44,AH40:AH44))</f>
        <v>·</v>
      </c>
    </row>
    <row r="41" spans="1:44" outlineLevel="1" x14ac:dyDescent="0.25">
      <c r="A41" s="12"/>
      <c r="B41" s="12" t="s">
        <v>77</v>
      </c>
      <c r="C41" s="14" t="s">
        <v>373</v>
      </c>
      <c r="D41" s="12">
        <v>9000000</v>
      </c>
      <c r="E41" s="13">
        <v>12</v>
      </c>
      <c r="F41" s="14">
        <v>32</v>
      </c>
      <c r="G41" s="14">
        <v>30</v>
      </c>
      <c r="H41" s="14">
        <v>6</v>
      </c>
      <c r="J41" s="15">
        <f t="shared" si="0"/>
        <v>6.21075</v>
      </c>
      <c r="K41" s="16">
        <f t="shared" si="1"/>
        <v>0.7360888888888889</v>
      </c>
      <c r="L41" s="39">
        <v>3682816</v>
      </c>
      <c r="M41" s="17">
        <v>6624800</v>
      </c>
      <c r="N41" s="40">
        <v>72.826658699999996</v>
      </c>
      <c r="O41" s="40">
        <v>74.356186100000002</v>
      </c>
      <c r="P41" s="40">
        <v>32.607421500000001</v>
      </c>
      <c r="Q41" s="40">
        <v>42.542759599999997</v>
      </c>
      <c r="R41" s="40">
        <v>42.936446699999998</v>
      </c>
      <c r="S41" s="40">
        <v>48.639744999999998</v>
      </c>
      <c r="T41" s="40">
        <v>31.6753848</v>
      </c>
      <c r="U41" s="18">
        <v>3102.7205300000001</v>
      </c>
      <c r="V41" s="18">
        <v>44.017240100000002</v>
      </c>
      <c r="X41" s="15" t="str">
        <f t="shared" si="2"/>
        <v>·</v>
      </c>
      <c r="Y41" s="16" t="str">
        <f t="shared" si="3"/>
        <v>·</v>
      </c>
      <c r="Z41" s="39"/>
      <c r="AA41" s="17"/>
      <c r="AB41" s="40"/>
      <c r="AC41" s="40"/>
      <c r="AD41" s="40"/>
      <c r="AE41" s="40"/>
      <c r="AF41" s="40"/>
      <c r="AG41" s="40"/>
      <c r="AH41" s="40"/>
      <c r="AI41" s="18"/>
      <c r="AJ41" s="18"/>
      <c r="AL41" s="19"/>
      <c r="AM41" s="19"/>
      <c r="AN41" s="19"/>
      <c r="AO41" s="19"/>
      <c r="AP41" s="19"/>
      <c r="AQ41" s="19"/>
      <c r="AR41" s="19"/>
    </row>
    <row r="42" spans="1:44" outlineLevel="1" x14ac:dyDescent="0.25">
      <c r="A42" s="28"/>
      <c r="B42" s="28" t="s">
        <v>77</v>
      </c>
      <c r="C42" s="30" t="s">
        <v>374</v>
      </c>
      <c r="D42" s="28">
        <v>9000000</v>
      </c>
      <c r="E42" s="29">
        <v>12</v>
      </c>
      <c r="F42" s="30">
        <v>32</v>
      </c>
      <c r="G42" s="30">
        <v>30</v>
      </c>
      <c r="H42" s="30">
        <v>11</v>
      </c>
      <c r="J42" s="31">
        <f t="shared" si="0"/>
        <v>8.3210250000000006</v>
      </c>
      <c r="K42" s="32">
        <f t="shared" si="1"/>
        <v>0.9861955555555556</v>
      </c>
      <c r="L42" s="41">
        <v>3682816</v>
      </c>
      <c r="M42" s="33">
        <v>8875760</v>
      </c>
      <c r="N42" s="42">
        <v>74.096951799999999</v>
      </c>
      <c r="O42" s="42">
        <v>75.806029100000003</v>
      </c>
      <c r="P42" s="42">
        <v>32.979219399999998</v>
      </c>
      <c r="Q42" s="42">
        <v>42.683756700000004</v>
      </c>
      <c r="R42" s="42">
        <v>43.140554000000002</v>
      </c>
      <c r="S42" s="42">
        <v>49.273299399999999</v>
      </c>
      <c r="T42" s="42">
        <v>32.074983099999997</v>
      </c>
      <c r="U42" s="34">
        <v>3115.68325</v>
      </c>
      <c r="V42" s="34">
        <v>44.857799</v>
      </c>
      <c r="X42" s="31" t="str">
        <f t="shared" si="2"/>
        <v>·</v>
      </c>
      <c r="Y42" s="32" t="str">
        <f t="shared" si="3"/>
        <v>·</v>
      </c>
      <c r="Z42" s="41"/>
      <c r="AA42" s="33"/>
      <c r="AB42" s="42"/>
      <c r="AC42" s="42"/>
      <c r="AD42" s="42"/>
      <c r="AE42" s="42"/>
      <c r="AF42" s="42"/>
      <c r="AG42" s="42"/>
      <c r="AH42" s="42"/>
      <c r="AI42" s="34"/>
      <c r="AJ42" s="34"/>
      <c r="AL42" s="35"/>
      <c r="AM42" s="35"/>
      <c r="AN42" s="35"/>
      <c r="AO42" s="35"/>
      <c r="AP42" s="35"/>
      <c r="AQ42" s="35"/>
      <c r="AR42" s="35"/>
    </row>
    <row r="43" spans="1:44" outlineLevel="1" x14ac:dyDescent="0.25">
      <c r="A43" s="12"/>
      <c r="B43" s="12" t="s">
        <v>77</v>
      </c>
      <c r="C43" s="14" t="s">
        <v>375</v>
      </c>
      <c r="D43" s="12">
        <v>9000000</v>
      </c>
      <c r="E43" s="13">
        <v>12</v>
      </c>
      <c r="F43" s="14">
        <v>32</v>
      </c>
      <c r="G43" s="14">
        <v>30</v>
      </c>
      <c r="H43" s="14">
        <v>16</v>
      </c>
      <c r="J43" s="15">
        <f t="shared" si="0"/>
        <v>14.670315</v>
      </c>
      <c r="K43" s="16">
        <f t="shared" si="1"/>
        <v>1.738704</v>
      </c>
      <c r="L43" s="39">
        <v>345450</v>
      </c>
      <c r="M43" s="17">
        <v>15648336</v>
      </c>
      <c r="N43" s="40">
        <v>79.3651141</v>
      </c>
      <c r="O43" s="40">
        <v>81.640471599999998</v>
      </c>
      <c r="P43" s="40">
        <v>33.735745000000001</v>
      </c>
      <c r="Q43" s="40">
        <v>42.8100533</v>
      </c>
      <c r="R43" s="40">
        <v>43.368316</v>
      </c>
      <c r="S43" s="40">
        <v>52.3824355</v>
      </c>
      <c r="T43" s="40">
        <v>33.260322600000002</v>
      </c>
      <c r="U43" s="18">
        <v>3786.7666399999998</v>
      </c>
      <c r="V43" s="18">
        <v>45.055228</v>
      </c>
      <c r="X43" s="15" t="str">
        <f t="shared" si="2"/>
        <v>·</v>
      </c>
      <c r="Y43" s="16" t="str">
        <f t="shared" si="3"/>
        <v>·</v>
      </c>
      <c r="Z43" s="39"/>
      <c r="AA43" s="17"/>
      <c r="AB43" s="40"/>
      <c r="AC43" s="40"/>
      <c r="AD43" s="40"/>
      <c r="AE43" s="40"/>
      <c r="AF43" s="40"/>
      <c r="AG43" s="40"/>
      <c r="AH43" s="40"/>
      <c r="AI43" s="18"/>
      <c r="AJ43" s="18"/>
      <c r="AL43" s="19"/>
      <c r="AM43" s="19"/>
      <c r="AN43" s="19"/>
      <c r="AO43" s="19"/>
      <c r="AP43" s="19"/>
      <c r="AQ43" s="19"/>
      <c r="AR43" s="19"/>
    </row>
    <row r="44" spans="1:44" ht="15.75" customHeight="1" outlineLevel="1" thickBot="1" x14ac:dyDescent="0.3">
      <c r="A44" s="20"/>
      <c r="B44" s="20" t="s">
        <v>77</v>
      </c>
      <c r="C44" s="22" t="s">
        <v>376</v>
      </c>
      <c r="D44" s="20">
        <v>9000000</v>
      </c>
      <c r="E44" s="21">
        <v>12</v>
      </c>
      <c r="F44" s="22">
        <v>32</v>
      </c>
      <c r="G44" s="22">
        <v>30</v>
      </c>
      <c r="H44" s="22">
        <v>24</v>
      </c>
      <c r="J44" s="23">
        <f t="shared" si="0"/>
        <v>23.724427500000001</v>
      </c>
      <c r="K44" s="24">
        <f t="shared" si="1"/>
        <v>2.8117839999999998</v>
      </c>
      <c r="L44" s="53">
        <v>959594</v>
      </c>
      <c r="M44" s="25">
        <v>25306056</v>
      </c>
      <c r="N44" s="54">
        <v>999.99</v>
      </c>
      <c r="O44" s="54">
        <v>976.42345899999998</v>
      </c>
      <c r="P44" s="54">
        <v>35.000296499999997</v>
      </c>
      <c r="Q44" s="54">
        <v>42.9330778</v>
      </c>
      <c r="R44" s="54">
        <v>43.5709564</v>
      </c>
      <c r="S44" s="54">
        <v>999.99</v>
      </c>
      <c r="T44" s="54">
        <v>34.993017000000002</v>
      </c>
      <c r="U44" s="26">
        <v>2727.2458900000001</v>
      </c>
      <c r="V44" s="26">
        <v>47.018579299999999</v>
      </c>
      <c r="X44" s="23" t="str">
        <f t="shared" si="2"/>
        <v>·</v>
      </c>
      <c r="Y44" s="24" t="str">
        <f t="shared" si="3"/>
        <v>·</v>
      </c>
      <c r="Z44" s="53"/>
      <c r="AA44" s="25"/>
      <c r="AB44" s="54"/>
      <c r="AC44" s="54"/>
      <c r="AD44" s="54"/>
      <c r="AE44" s="54"/>
      <c r="AF44" s="54"/>
      <c r="AG44" s="54"/>
      <c r="AH44" s="54"/>
      <c r="AI44" s="26"/>
      <c r="AJ44" s="26"/>
      <c r="AL44" s="27"/>
      <c r="AM44" s="27"/>
      <c r="AN44" s="27"/>
      <c r="AO44" s="27"/>
      <c r="AP44" s="27"/>
      <c r="AQ44" s="27"/>
      <c r="AR44" s="27"/>
    </row>
    <row r="45" spans="1:44" x14ac:dyDescent="0.25">
      <c r="B45" s="36" t="s">
        <v>7</v>
      </c>
      <c r="K45" s="37">
        <f>AVERAGE(K5:K14)</f>
        <v>1.1944090111383763</v>
      </c>
      <c r="Y45" s="37" t="e">
        <f>AVERAGE(Y5:Y14)</f>
        <v>#DIV/0!</v>
      </c>
      <c r="AL45" s="4" t="e">
        <f t="shared" ref="AL45:AR45" si="4">AVERAGE(AL5:AL14)</f>
        <v>#DIV/0!</v>
      </c>
      <c r="AM45" s="4" t="e">
        <f t="shared" si="4"/>
        <v>#DIV/0!</v>
      </c>
      <c r="AN45" s="4" t="e">
        <f t="shared" si="4"/>
        <v>#DIV/0!</v>
      </c>
      <c r="AO45" s="4" t="e">
        <f t="shared" si="4"/>
        <v>#DIV/0!</v>
      </c>
      <c r="AP45" s="4" t="e">
        <f t="shared" si="4"/>
        <v>#DIV/0!</v>
      </c>
      <c r="AQ45" s="4" t="e">
        <f t="shared" si="4"/>
        <v>#DIV/0!</v>
      </c>
      <c r="AR45" s="4" t="e">
        <f t="shared" si="4"/>
        <v>#DIV/0!</v>
      </c>
    </row>
    <row r="46" spans="1:44" x14ac:dyDescent="0.25">
      <c r="B46" s="36" t="s">
        <v>8</v>
      </c>
      <c r="K46" s="37">
        <f>AVERAGE(K15:K24)</f>
        <v>1.0035453107647665</v>
      </c>
      <c r="Y46" s="37" t="e">
        <f>AVERAGE(Y15:Y24)</f>
        <v>#DIV/0!</v>
      </c>
      <c r="AL46" s="4" t="e">
        <f t="shared" ref="AL46:AR46" si="5">AVERAGE(AL15:AL24)</f>
        <v>#DIV/0!</v>
      </c>
      <c r="AM46" s="4" t="e">
        <f t="shared" si="5"/>
        <v>#DIV/0!</v>
      </c>
      <c r="AN46" s="4" t="e">
        <f t="shared" si="5"/>
        <v>#DIV/0!</v>
      </c>
      <c r="AO46" s="4" t="e">
        <f t="shared" si="5"/>
        <v>#DIV/0!</v>
      </c>
      <c r="AP46" s="4" t="e">
        <f t="shared" si="5"/>
        <v>#DIV/0!</v>
      </c>
      <c r="AQ46" s="4" t="e">
        <f t="shared" si="5"/>
        <v>#DIV/0!</v>
      </c>
      <c r="AR46" s="4" t="e">
        <f t="shared" si="5"/>
        <v>#DIV/0!</v>
      </c>
    </row>
    <row r="47" spans="1:44" x14ac:dyDescent="0.25">
      <c r="B47" s="36" t="s">
        <v>9</v>
      </c>
      <c r="K47" s="37">
        <f>AVERAGE(K25:K44)</f>
        <v>1.4317399944437272</v>
      </c>
      <c r="Y47" s="37" t="e">
        <f>AVERAGE(Y25:Y44)</f>
        <v>#DIV/0!</v>
      </c>
      <c r="AL47" s="4" t="e">
        <f t="shared" ref="AL47:AR47" si="6">AVERAGE(AL25:AL44)</f>
        <v>#DIV/0!</v>
      </c>
      <c r="AM47" s="4" t="e">
        <f t="shared" si="6"/>
        <v>#DIV/0!</v>
      </c>
      <c r="AN47" s="4" t="e">
        <f t="shared" si="6"/>
        <v>#DIV/0!</v>
      </c>
      <c r="AO47" s="4" t="e">
        <f t="shared" si="6"/>
        <v>#DIV/0!</v>
      </c>
      <c r="AP47" s="4" t="e">
        <f t="shared" si="6"/>
        <v>#DIV/0!</v>
      </c>
      <c r="AQ47" s="4" t="e">
        <f t="shared" si="6"/>
        <v>#DIV/0!</v>
      </c>
      <c r="AR47" s="4" t="e">
        <f t="shared" si="6"/>
        <v>#DIV/0!</v>
      </c>
    </row>
    <row r="48" spans="1:44" x14ac:dyDescent="0.25">
      <c r="B48" s="36" t="s">
        <v>10</v>
      </c>
      <c r="K48" s="37">
        <f>AVERAGE(K5:K44)</f>
        <v>1.2653585776976495</v>
      </c>
      <c r="Y48" s="37" t="e">
        <f>AVERAGE(Y5:Y44)</f>
        <v>#DIV/0!</v>
      </c>
      <c r="AL48" s="4" t="e">
        <f t="shared" ref="AL48:AR48" si="7">AVERAGE(AL5:AL44)</f>
        <v>#DIV/0!</v>
      </c>
      <c r="AM48" s="4" t="e">
        <f t="shared" si="7"/>
        <v>#DIV/0!</v>
      </c>
      <c r="AN48" s="4" t="e">
        <f t="shared" si="7"/>
        <v>#DIV/0!</v>
      </c>
      <c r="AO48" s="4" t="e">
        <f t="shared" si="7"/>
        <v>#DIV/0!</v>
      </c>
      <c r="AP48" s="4" t="e">
        <f t="shared" si="7"/>
        <v>#DIV/0!</v>
      </c>
      <c r="AQ48" s="4" t="e">
        <f t="shared" si="7"/>
        <v>#DIV/0!</v>
      </c>
      <c r="AR48" s="4" t="e">
        <f t="shared" si="7"/>
        <v>#DIV/0!</v>
      </c>
    </row>
    <row r="49" spans="1:36" x14ac:dyDescent="0.25">
      <c r="A49" s="36" t="s">
        <v>178</v>
      </c>
      <c r="B49" s="36" t="s">
        <v>179</v>
      </c>
      <c r="U49" s="38">
        <f>SUM(U5:U14,U15:U24,U25:U44)</f>
        <v>97894.812655000016</v>
      </c>
      <c r="V49" s="38">
        <f>SUM(V5:V14,V15:V24,V25:V44)</f>
        <v>1178.2776077999999</v>
      </c>
      <c r="AI49" s="38">
        <f>SUM(AI5:AI14,AI15:AI24,AI25:AI44)</f>
        <v>0</v>
      </c>
      <c r="AJ49" s="38">
        <f>SUM(AJ5:AJ14,AJ15:AJ24,AJ25:AJ44)</f>
        <v>0</v>
      </c>
    </row>
    <row r="50" spans="1:36" x14ac:dyDescent="0.25">
      <c r="B50" s="36" t="s">
        <v>180</v>
      </c>
      <c r="AI50" s="57">
        <f>AI49/U49</f>
        <v>0</v>
      </c>
      <c r="AJ50" s="57">
        <f>AJ49/V49</f>
        <v>0</v>
      </c>
    </row>
  </sheetData>
  <mergeCells count="29">
    <mergeCell ref="A2:A3"/>
    <mergeCell ref="B2:B3"/>
    <mergeCell ref="C2:C3"/>
    <mergeCell ref="D2:D3"/>
    <mergeCell ref="E2:E3"/>
    <mergeCell ref="N2:R2"/>
    <mergeCell ref="S2:T2"/>
    <mergeCell ref="U2:U3"/>
    <mergeCell ref="F2:F3"/>
    <mergeCell ref="G2:G3"/>
    <mergeCell ref="H2:H3"/>
    <mergeCell ref="J2:J3"/>
    <mergeCell ref="K2:K3"/>
    <mergeCell ref="AQ2:AR2"/>
    <mergeCell ref="A1:H1"/>
    <mergeCell ref="J1:V1"/>
    <mergeCell ref="X1:AJ1"/>
    <mergeCell ref="AB2:AF2"/>
    <mergeCell ref="AG2:AH2"/>
    <mergeCell ref="AI2:AI3"/>
    <mergeCell ref="AJ2:AJ3"/>
    <mergeCell ref="AL2:AP2"/>
    <mergeCell ref="V2:V3"/>
    <mergeCell ref="X2:X3"/>
    <mergeCell ref="Y2:Y3"/>
    <mergeCell ref="Z2:Z3"/>
    <mergeCell ref="AA2:AA3"/>
    <mergeCell ref="L2:L3"/>
    <mergeCell ref="M2:M3"/>
  </mergeCells>
  <conditionalFormatting sqref="AL5 AL6 AL7 AL8 AL9 AL10 AL11 AL12 AL13 AL14 AL15 AL16 AL17 AL18 AL19 AL20 AL21 AL22 AL23 AL24 AL25 AL26 AL27 AL28 AL29 AL30 AL31 AL32 AL33 AL34 AL35 AL36 AL37 AL38 AL39 AL40 AL41 AL42 AL43 AL44 AL45 AL46 AL47 AL48">
    <cfRule type="cellIs" dxfId="31" priority="3" operator="greaterThanOrEqual">
      <formula>0.03</formula>
    </cfRule>
    <cfRule type="cellIs" dxfId="30" priority="4" operator="lessThanOrEqual">
      <formula>-0.03</formula>
    </cfRule>
  </conditionalFormatting>
  <conditionalFormatting sqref="AM5 AM6 AM7 AM8 AM9 AM10 AM11 AM12 AM13 AM14 AM15 AM16 AM17 AM18 AM19 AM20 AM21 AM22 AM23 AM24 AM25 AM26 AM27 AM28 AM29 AM30 AM31 AM32 AM33 AM34 AM35 AM36 AM37 AM38 AM39 AM40 AM41 AM42 AM43 AM44 AM45 AM46 AM47 AM48">
    <cfRule type="cellIs" dxfId="29" priority="5" operator="greaterThanOrEqual">
      <formula>0.03</formula>
    </cfRule>
    <cfRule type="cellIs" dxfId="28" priority="6" operator="lessThanOrEqual">
      <formula>-0.03</formula>
    </cfRule>
  </conditionalFormatting>
  <conditionalFormatting sqref="AN5 AN6 AN7 AN8 AN9 AN10 AN11 AN12 AN13 AN14 AN15 AN16 AN17 AN18 AN19 AN20 AN21 AN22 AN23 AN24 AN25 AN26 AN27 AN28 AN29 AN30 AN31 AN32 AN33 AN34 AN35 AN36 AN37 AN38 AN39 AN40 AN41 AN42 AN43 AN44 AN45 AN46 AN47 AN48">
    <cfRule type="cellIs" dxfId="27" priority="13" operator="greaterThanOrEqual">
      <formula>0.03</formula>
    </cfRule>
    <cfRule type="cellIs" dxfId="26" priority="14" operator="lessThanOrEqual">
      <formula>-0.03</formula>
    </cfRule>
  </conditionalFormatting>
  <conditionalFormatting sqref="AO5 AO6 AO7 AO8 AO9 AO10 AO11 AO12 AO13 AO14 AO15 AO16 AO17 AO18 AO19 AO20 AO21 AO22 AO23 AO24 AO25 AO26 AO27 AO28 AO29 AO30 AO31 AO32 AO33 AO34 AO35 AO36 AO37 AO38 AO39 AO40 AO41 AO42 AO43 AO44 AO45 AO46 AO47 AO48">
    <cfRule type="cellIs" dxfId="25" priority="15" operator="greaterThanOrEqual">
      <formula>0.03</formula>
    </cfRule>
    <cfRule type="cellIs" dxfId="24" priority="16" operator="lessThanOrEqual">
      <formula>-0.03</formula>
    </cfRule>
  </conditionalFormatting>
  <conditionalFormatting sqref="AP5 AP6 AP7 AP8 AP9 AP10 AP11 AP12 AP13 AP14 AP15 AP16 AP17 AP18 AP19 AP20 AP21 AP22 AP23 AP24 AP25 AP26 AP27 AP28 AP29 AP30 AP31 AP32 AP33 AP34 AP35 AP36 AP37 AP38 AP39 AP40 AP41 AP42 AP43 AP44 AP45 AP46 AP47 AP48">
    <cfRule type="cellIs" dxfId="23" priority="7" operator="greaterThanOrEqual">
      <formula>0.03</formula>
    </cfRule>
    <cfRule type="cellIs" dxfId="22" priority="8" operator="lessThanOrEqual">
      <formula>-0.03</formula>
    </cfRule>
  </conditionalFormatting>
  <conditionalFormatting sqref="AQ5 AQ6 AQ7 AQ8 AQ9 AQ10 AQ11 AQ12 AQ13 AQ14 AQ15 AQ16 AQ17 AQ18 AQ19 AQ20 AQ21 AQ22 AQ23 AQ24 AQ25 AQ26 AQ27 AQ28 AQ29 AQ30 AQ31 AQ32 AQ33 AQ34 AQ35 AQ36 AQ37 AQ38 AQ39 AQ40 AQ41 AQ42 AQ43 AQ44 AQ45 AQ46 AQ47 AQ48">
    <cfRule type="cellIs" dxfId="21" priority="9" operator="greaterThanOrEqual">
      <formula>0.03</formula>
    </cfRule>
    <cfRule type="cellIs" dxfId="20" priority="10" operator="lessThanOrEqual">
      <formula>-0.03</formula>
    </cfRule>
  </conditionalFormatting>
  <conditionalFormatting sqref="AR5 AR6 AR7 AR8 AR9 AR10 AR11 AR12 AR13 AR14 AR15 AR16 AR17 AR18 AR19 AR20 AR21 AR22 AR23 AR24 AR25 AR26 AR27 AR28 AR29 AR30 AR31 AR32 AR33 AR34 AR35 AR36 AR37 AR38 AR39 AR40 AR41 AR42 AR43 AR44 AR45 AR46 AR47 AR48">
    <cfRule type="cellIs" dxfId="19" priority="11" operator="greaterThanOrEqual">
      <formula>0.03</formula>
    </cfRule>
    <cfRule type="cellIs" dxfId="18" priority="12" operator="lessThanOrEqual">
      <formula>-0.03</formula>
    </cfRule>
  </conditionalFormatting>
  <conditionalFormatting sqref="J5:J45">
    <cfRule type="expression" dxfId="17" priority="2">
      <formula>OR(J5 &lt; H5 * 0.9, J5 &gt; H5)</formula>
    </cfRule>
  </conditionalFormatting>
  <conditionalFormatting sqref="X5:X45">
    <cfRule type="expression" dxfId="16" priority="1">
      <formula>OR(X5 &lt; H5 * 0.9, X5 &gt; H5)</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outlinePr summaryBelow="0"/>
  </sheetPr>
  <dimension ref="A1:AS50"/>
  <sheetViews>
    <sheetView zoomScale="70" zoomScaleNormal="70" workbookViewId="0">
      <pane xSplit="2" ySplit="4" topLeftCell="C5" activePane="bottomRight" state="frozen"/>
      <selection pane="topRight" activeCell="C1" sqref="C1"/>
      <selection pane="bottomLeft" activeCell="A5" sqref="A5"/>
      <selection pane="bottomRight" activeCell="AD49" sqref="AD49"/>
    </sheetView>
  </sheetViews>
  <sheetFormatPr defaultColWidth="9.140625" defaultRowHeight="15" outlineLevelRow="1" x14ac:dyDescent="0.25"/>
  <cols>
    <col min="2" max="2" width="24.7109375" style="3" customWidth="1"/>
    <col min="4" max="5" width="10.7109375" style="3" customWidth="1"/>
    <col min="9" max="9" width="1.7109375" style="3" customWidth="1"/>
    <col min="11" max="12" width="10.7109375" style="3" customWidth="1"/>
    <col min="13" max="13" width="12.7109375" style="3" customWidth="1"/>
    <col min="14" max="20" width="11.7109375" style="3" customWidth="1"/>
    <col min="23" max="23" width="1.7109375" style="3" customWidth="1"/>
    <col min="25" max="26" width="10.7109375" style="3" customWidth="1"/>
    <col min="27" max="27" width="12.7109375" style="3" customWidth="1"/>
    <col min="28" max="34" width="11.7109375" style="3" customWidth="1"/>
    <col min="37" max="37" width="1.7109375" style="3" customWidth="1"/>
    <col min="40" max="44" width="11.7109375" style="3" customWidth="1"/>
    <col min="45" max="45" width="1.7109375" style="3" customWidth="1"/>
  </cols>
  <sheetData>
    <row r="1" spans="1:44" x14ac:dyDescent="0.25">
      <c r="A1" s="74" t="s">
        <v>377</v>
      </c>
      <c r="B1" s="62"/>
      <c r="C1" s="62"/>
      <c r="D1" s="62"/>
      <c r="E1" s="62"/>
      <c r="F1" s="62"/>
      <c r="G1" s="62"/>
      <c r="H1" s="62"/>
      <c r="J1" s="70" t="str">
        <f>Summary!C1</f>
        <v>F032_v2.0</v>
      </c>
      <c r="K1" s="62"/>
      <c r="L1" s="62"/>
      <c r="M1" s="62"/>
      <c r="N1" s="62"/>
      <c r="O1" s="62"/>
      <c r="P1" s="62"/>
      <c r="Q1" s="62"/>
      <c r="R1" s="62"/>
      <c r="S1" s="62"/>
      <c r="T1" s="62"/>
      <c r="U1" s="62"/>
      <c r="V1" s="62"/>
      <c r="X1" s="71">
        <f>Summary!C2</f>
        <v>0</v>
      </c>
      <c r="Y1" s="62"/>
      <c r="Z1" s="62"/>
      <c r="AA1" s="62"/>
      <c r="AB1" s="62"/>
      <c r="AC1" s="62"/>
      <c r="AD1" s="62"/>
      <c r="AE1" s="62"/>
      <c r="AF1" s="62"/>
      <c r="AG1" s="62"/>
      <c r="AH1" s="62"/>
      <c r="AI1" s="62"/>
      <c r="AJ1" s="62"/>
    </row>
    <row r="2" spans="1:44" ht="30" customHeight="1" x14ac:dyDescent="0.25">
      <c r="A2" s="73" t="s">
        <v>151</v>
      </c>
      <c r="B2" s="72" t="s">
        <v>152</v>
      </c>
      <c r="C2" s="73" t="s">
        <v>343</v>
      </c>
      <c r="D2" s="72" t="s">
        <v>153</v>
      </c>
      <c r="E2" s="73" t="s">
        <v>154</v>
      </c>
      <c r="F2" s="72" t="s">
        <v>155</v>
      </c>
      <c r="G2" s="73" t="s">
        <v>156</v>
      </c>
      <c r="H2" s="72" t="s">
        <v>344</v>
      </c>
      <c r="J2" s="73" t="s">
        <v>129</v>
      </c>
      <c r="K2" s="72" t="s">
        <v>133</v>
      </c>
      <c r="L2" s="73" t="s">
        <v>83</v>
      </c>
      <c r="M2" s="72" t="s">
        <v>122</v>
      </c>
      <c r="N2" s="76" t="s">
        <v>345</v>
      </c>
      <c r="O2" s="62"/>
      <c r="P2" s="62"/>
      <c r="Q2" s="62"/>
      <c r="R2" s="62"/>
      <c r="S2" s="75" t="s">
        <v>346</v>
      </c>
      <c r="T2" s="62"/>
      <c r="U2" s="73" t="s">
        <v>124</v>
      </c>
      <c r="V2" s="72" t="s">
        <v>104</v>
      </c>
      <c r="X2" s="73" t="s">
        <v>129</v>
      </c>
      <c r="Y2" s="72" t="s">
        <v>133</v>
      </c>
      <c r="Z2" s="73" t="s">
        <v>83</v>
      </c>
      <c r="AA2" s="72" t="s">
        <v>122</v>
      </c>
      <c r="AB2" s="76" t="s">
        <v>345</v>
      </c>
      <c r="AC2" s="62"/>
      <c r="AD2" s="62"/>
      <c r="AE2" s="62"/>
      <c r="AF2" s="62"/>
      <c r="AG2" s="75" t="s">
        <v>346</v>
      </c>
      <c r="AH2" s="62"/>
      <c r="AI2" s="73" t="s">
        <v>124</v>
      </c>
      <c r="AJ2" s="72" t="s">
        <v>104</v>
      </c>
      <c r="AL2" s="76" t="s">
        <v>15</v>
      </c>
      <c r="AM2" s="62"/>
      <c r="AN2" s="62"/>
      <c r="AO2" s="62"/>
      <c r="AP2" s="62"/>
      <c r="AQ2" s="75" t="s">
        <v>16</v>
      </c>
      <c r="AR2" s="62"/>
    </row>
    <row r="3" spans="1:44" ht="15.75" customHeight="1" thickBot="1" x14ac:dyDescent="0.3">
      <c r="A3" s="64"/>
      <c r="B3" s="64"/>
      <c r="C3" s="64"/>
      <c r="D3" s="64"/>
      <c r="E3" s="64"/>
      <c r="F3" s="64"/>
      <c r="G3" s="64"/>
      <c r="H3" s="64"/>
      <c r="J3" s="64"/>
      <c r="K3" s="64"/>
      <c r="L3" s="64"/>
      <c r="M3" s="64"/>
      <c r="N3" s="60" t="s">
        <v>17</v>
      </c>
      <c r="O3" s="60" t="s">
        <v>18</v>
      </c>
      <c r="P3" s="60" t="s">
        <v>19</v>
      </c>
      <c r="Q3" s="60" t="s">
        <v>20</v>
      </c>
      <c r="R3" s="60" t="s">
        <v>21</v>
      </c>
      <c r="S3" s="59" t="s">
        <v>22</v>
      </c>
      <c r="T3" s="59" t="s">
        <v>19</v>
      </c>
      <c r="U3" s="64"/>
      <c r="V3" s="64"/>
      <c r="X3" s="64"/>
      <c r="Y3" s="64"/>
      <c r="Z3" s="64"/>
      <c r="AA3" s="64"/>
      <c r="AB3" s="60" t="s">
        <v>17</v>
      </c>
      <c r="AC3" s="60" t="s">
        <v>18</v>
      </c>
      <c r="AD3" s="60" t="s">
        <v>19</v>
      </c>
      <c r="AE3" s="60" t="s">
        <v>20</v>
      </c>
      <c r="AF3" s="60" t="s">
        <v>21</v>
      </c>
      <c r="AG3" s="59" t="s">
        <v>22</v>
      </c>
      <c r="AH3" s="59" t="s">
        <v>19</v>
      </c>
      <c r="AI3" s="64"/>
      <c r="AJ3" s="64"/>
      <c r="AL3" s="60" t="s">
        <v>17</v>
      </c>
      <c r="AM3" s="60" t="s">
        <v>18</v>
      </c>
      <c r="AN3" s="60" t="s">
        <v>19</v>
      </c>
      <c r="AO3" s="60" t="s">
        <v>20</v>
      </c>
      <c r="AP3" s="60" t="s">
        <v>21</v>
      </c>
      <c r="AQ3" s="59" t="s">
        <v>22</v>
      </c>
      <c r="AR3" s="59" t="s">
        <v>19</v>
      </c>
    </row>
    <row r="4" spans="1:44" ht="53.25" hidden="1" customHeight="1" x14ac:dyDescent="0.25">
      <c r="A4" s="10" t="s">
        <v>158</v>
      </c>
      <c r="B4" s="11" t="s">
        <v>159</v>
      </c>
      <c r="C4" s="10" t="s">
        <v>347</v>
      </c>
      <c r="D4" s="11" t="s">
        <v>160</v>
      </c>
      <c r="E4" s="10" t="s">
        <v>161</v>
      </c>
      <c r="F4" s="11" t="s">
        <v>162</v>
      </c>
      <c r="G4" s="10" t="s">
        <v>163</v>
      </c>
      <c r="H4" s="11" t="s">
        <v>348</v>
      </c>
      <c r="J4" s="10" t="s">
        <v>164</v>
      </c>
      <c r="K4" s="11" t="s">
        <v>165</v>
      </c>
      <c r="L4" s="10" t="s">
        <v>349</v>
      </c>
      <c r="M4" s="11" t="s">
        <v>166</v>
      </c>
      <c r="N4" s="10" t="s">
        <v>350</v>
      </c>
      <c r="O4" s="10" t="s">
        <v>351</v>
      </c>
      <c r="P4" s="10" t="s">
        <v>352</v>
      </c>
      <c r="Q4" s="10" t="s">
        <v>353</v>
      </c>
      <c r="R4" s="10" t="s">
        <v>354</v>
      </c>
      <c r="S4" s="11" t="s">
        <v>355</v>
      </c>
      <c r="T4" s="11" t="s">
        <v>356</v>
      </c>
      <c r="U4" s="10" t="s">
        <v>167</v>
      </c>
      <c r="V4" s="11" t="s">
        <v>168</v>
      </c>
      <c r="X4" s="10" t="s">
        <v>169</v>
      </c>
      <c r="Y4" s="11" t="s">
        <v>170</v>
      </c>
      <c r="Z4" s="10" t="s">
        <v>357</v>
      </c>
      <c r="AA4" s="11" t="s">
        <v>171</v>
      </c>
      <c r="AB4" s="10" t="s">
        <v>358</v>
      </c>
      <c r="AC4" s="10" t="s">
        <v>359</v>
      </c>
      <c r="AD4" s="10" t="s">
        <v>360</v>
      </c>
      <c r="AE4" s="10" t="s">
        <v>361</v>
      </c>
      <c r="AF4" s="10" t="s">
        <v>362</v>
      </c>
      <c r="AG4" s="11" t="s">
        <v>363</v>
      </c>
      <c r="AH4" s="11" t="s">
        <v>364</v>
      </c>
      <c r="AI4" s="10" t="s">
        <v>172</v>
      </c>
      <c r="AJ4" s="11" t="s">
        <v>173</v>
      </c>
      <c r="AL4" s="10" t="s">
        <v>365</v>
      </c>
      <c r="AM4" s="10" t="s">
        <v>366</v>
      </c>
      <c r="AN4" s="10" t="s">
        <v>367</v>
      </c>
      <c r="AO4" s="10" t="s">
        <v>368</v>
      </c>
      <c r="AP4" s="10" t="s">
        <v>369</v>
      </c>
      <c r="AQ4" s="11" t="s">
        <v>370</v>
      </c>
      <c r="AR4" s="11" t="s">
        <v>371</v>
      </c>
    </row>
    <row r="5" spans="1:44" x14ac:dyDescent="0.25">
      <c r="A5" s="12" t="s">
        <v>175</v>
      </c>
      <c r="B5" s="12" t="s">
        <v>40</v>
      </c>
      <c r="C5" s="14" t="s">
        <v>372</v>
      </c>
      <c r="D5" s="12">
        <v>11997440</v>
      </c>
      <c r="E5" s="13">
        <v>10</v>
      </c>
      <c r="F5" s="14">
        <v>32</v>
      </c>
      <c r="G5" s="14">
        <v>30</v>
      </c>
      <c r="H5" s="14">
        <v>4</v>
      </c>
      <c r="J5" s="15">
        <f t="shared" ref="J5:J44" si="0">IF(OR(ISBLANK(M5),ISBLANK(G5)),"·",M5*G5/F5/1000000)</f>
        <v>4.9385250000000003</v>
      </c>
      <c r="K5" s="16">
        <f t="shared" ref="K5:K44" si="1">IF(ISBLANK(M5),"·",M5/D5)</f>
        <v>0.43907366904939721</v>
      </c>
      <c r="L5" s="39">
        <v>2415872</v>
      </c>
      <c r="M5" s="17">
        <v>5267760</v>
      </c>
      <c r="N5" s="40">
        <v>67.134145099999998</v>
      </c>
      <c r="O5" s="40">
        <v>68.3899562</v>
      </c>
      <c r="P5" s="40">
        <v>28.312157200000001</v>
      </c>
      <c r="Q5" s="40">
        <v>34.165756299999998</v>
      </c>
      <c r="R5" s="40">
        <v>33.7050755</v>
      </c>
      <c r="S5" s="40">
        <v>48.539464199999998</v>
      </c>
      <c r="T5" s="40">
        <v>26.895647199999999</v>
      </c>
      <c r="U5" s="18">
        <v>1112.85006</v>
      </c>
      <c r="V5" s="18">
        <v>13.081380599999999</v>
      </c>
      <c r="X5" s="15" t="str">
        <f t="shared" ref="X5:X44" si="2">IF(OR(ISBLANK(AA5),ISBLANK(G5)),"·",AA5*G5/F5/1000000)</f>
        <v>·</v>
      </c>
      <c r="Y5" s="16" t="str">
        <f t="shared" ref="Y5:Y44" si="3">IF(ISBLANK(AA5),"·",AA5/D5)</f>
        <v>·</v>
      </c>
      <c r="Z5" s="39"/>
      <c r="AA5" s="17"/>
      <c r="AB5" s="40"/>
      <c r="AC5" s="40"/>
      <c r="AD5" s="40"/>
      <c r="AE5" s="40"/>
      <c r="AF5" s="40"/>
      <c r="AG5" s="40"/>
      <c r="AH5" s="40"/>
      <c r="AI5" s="18"/>
      <c r="AJ5" s="18"/>
      <c r="AL5" s="19" t="str">
        <f t="array" ref="AL5">IF( OR(AND(ISBLANK(M5:M9)),AND(ISBLANK(AA5:AA9)), AND(ISBLANK(N5:N9)),AND(ISBLANK(AB5:AB9))), "·", bdRateExtend( M5:M9,N5:N9, AA5:AA9,AB5:AB9))</f>
        <v>·</v>
      </c>
      <c r="AM5" s="19" t="str">
        <f t="array" ref="AM5">IF( OR(AND(ISBLANK(M5:M9)),AND(ISBLANK(AA5:AA9)), AND(ISBLANK(O5:O9)),AND(ISBLANK(AC5:AC9))), "·", bdRateExtend( M5:M9,O5:O9, AA5:AA9,AC5:AC9))</f>
        <v>·</v>
      </c>
      <c r="AN5" s="19" t="str">
        <f t="array" ref="AN5">IF( OR(AND(ISBLANK(M5:M9)),AND(ISBLANK(AA5:AA9)), AND(ISBLANK(P5:P9)),AND(ISBLANK(AD5:AD9))), "·", bdRateExtend( M5:M9,P5:P9, AA5:AA9,AD5:AD9))</f>
        <v>·</v>
      </c>
      <c r="AO5" s="19" t="str">
        <f t="array" ref="AO5">IF( OR(AND(ISBLANK(M5:M9)),AND(ISBLANK(AA5:AA9)), AND(ISBLANK(Q5:Q9)),AND(ISBLANK(AE5:AE9))), "·", bdRateExtend( M5:M9,Q5:Q9, AA5:AA9,AE5:AE9))</f>
        <v>·</v>
      </c>
      <c r="AP5" s="19" t="str">
        <f t="array" ref="AP5">IF( OR(AND(ISBLANK(M5:M9)),AND(ISBLANK(AA5:AA9)), AND(ISBLANK(R5:R9)),AND(ISBLANK(AF5:AF9))), "·", bdRateExtend( M5:M9,R5:R9, AA5:AA9,AF5:AF9))</f>
        <v>·</v>
      </c>
      <c r="AQ5" s="19" t="str">
        <f t="array" ref="AQ5">IF( OR(AND(ISBLANK(M5:M9)),AND(ISBLANK(AA5:AA9)), AND(ISBLANK(S5:S9)),AND(ISBLANK(AG5:AG9))), "·", bdRateExtend( M5:M9,S5:S9, AA5:AA9,AG5:AG9))</f>
        <v>·</v>
      </c>
      <c r="AR5" s="19" t="str">
        <f t="array" ref="AR5">IF( OR(AND(ISBLANK(M5:M9)),AND(ISBLANK(AA5:AA9)), AND(ISBLANK(T5:T9)),AND(ISBLANK(AH5:AH9))), "·", bdRateExtend( M5:M9,T5:T9, AA5:AA9,AH5:AH9))</f>
        <v>·</v>
      </c>
    </row>
    <row r="6" spans="1:44" outlineLevel="1" x14ac:dyDescent="0.25">
      <c r="A6" s="28"/>
      <c r="B6" s="28" t="s">
        <v>40</v>
      </c>
      <c r="C6" s="30" t="s">
        <v>373</v>
      </c>
      <c r="D6" s="28">
        <v>11997440</v>
      </c>
      <c r="E6" s="29">
        <v>10</v>
      </c>
      <c r="F6" s="30">
        <v>32</v>
      </c>
      <c r="G6" s="30">
        <v>30</v>
      </c>
      <c r="H6" s="30">
        <v>8</v>
      </c>
      <c r="J6" s="31">
        <f t="shared" si="0"/>
        <v>7.1532749999999998</v>
      </c>
      <c r="K6" s="32">
        <f t="shared" si="1"/>
        <v>0.63598234289981859</v>
      </c>
      <c r="L6" s="41">
        <v>2415872</v>
      </c>
      <c r="M6" s="33">
        <v>7630160</v>
      </c>
      <c r="N6" s="42">
        <v>68.152330899999995</v>
      </c>
      <c r="O6" s="42">
        <v>69.524168599999996</v>
      </c>
      <c r="P6" s="42">
        <v>29.669392899999998</v>
      </c>
      <c r="Q6" s="42">
        <v>35.448487399999998</v>
      </c>
      <c r="R6" s="42">
        <v>35.068362700000002</v>
      </c>
      <c r="S6" s="42">
        <v>49.040383400000003</v>
      </c>
      <c r="T6" s="42">
        <v>27.906745399999998</v>
      </c>
      <c r="U6" s="34">
        <v>1143.37201</v>
      </c>
      <c r="V6" s="34">
        <v>13.475899800000001</v>
      </c>
      <c r="X6" s="31" t="str">
        <f t="shared" si="2"/>
        <v>·</v>
      </c>
      <c r="Y6" s="32" t="str">
        <f t="shared" si="3"/>
        <v>·</v>
      </c>
      <c r="Z6" s="41"/>
      <c r="AA6" s="33"/>
      <c r="AB6" s="42"/>
      <c r="AC6" s="42"/>
      <c r="AD6" s="42"/>
      <c r="AE6" s="42"/>
      <c r="AF6" s="42"/>
      <c r="AG6" s="42"/>
      <c r="AH6" s="42"/>
      <c r="AI6" s="34"/>
      <c r="AJ6" s="34"/>
      <c r="AL6" s="35"/>
      <c r="AM6" s="35"/>
      <c r="AN6" s="35"/>
      <c r="AO6" s="35"/>
      <c r="AP6" s="35"/>
      <c r="AQ6" s="35"/>
      <c r="AR6" s="35"/>
    </row>
    <row r="7" spans="1:44" outlineLevel="1" x14ac:dyDescent="0.25">
      <c r="A7" s="12"/>
      <c r="B7" s="12" t="s">
        <v>40</v>
      </c>
      <c r="C7" s="14" t="s">
        <v>374</v>
      </c>
      <c r="D7" s="12">
        <v>11997440</v>
      </c>
      <c r="E7" s="13">
        <v>10</v>
      </c>
      <c r="F7" s="14">
        <v>32</v>
      </c>
      <c r="G7" s="14">
        <v>30</v>
      </c>
      <c r="H7" s="14">
        <v>11</v>
      </c>
      <c r="J7" s="15">
        <f t="shared" si="0"/>
        <v>10.2438825</v>
      </c>
      <c r="K7" s="16">
        <f t="shared" si="1"/>
        <v>0.91076162914755143</v>
      </c>
      <c r="L7" s="39">
        <v>4871680</v>
      </c>
      <c r="M7" s="17">
        <v>10926808</v>
      </c>
      <c r="N7" s="40">
        <v>72.186394500000006</v>
      </c>
      <c r="O7" s="40">
        <v>74.072761200000002</v>
      </c>
      <c r="P7" s="40">
        <v>31.2128935</v>
      </c>
      <c r="Q7" s="40">
        <v>35.958318300000002</v>
      </c>
      <c r="R7" s="40">
        <v>35.638153199999998</v>
      </c>
      <c r="S7" s="40">
        <v>51.297784100000001</v>
      </c>
      <c r="T7" s="40">
        <v>29.7961715</v>
      </c>
      <c r="U7" s="18">
        <v>1265.0620100000001</v>
      </c>
      <c r="V7" s="18">
        <v>13.547439900000001</v>
      </c>
      <c r="X7" s="15" t="str">
        <f t="shared" si="2"/>
        <v>·</v>
      </c>
      <c r="Y7" s="16" t="str">
        <f t="shared" si="3"/>
        <v>·</v>
      </c>
      <c r="Z7" s="39"/>
      <c r="AA7" s="17"/>
      <c r="AB7" s="40"/>
      <c r="AC7" s="40"/>
      <c r="AD7" s="40"/>
      <c r="AE7" s="40"/>
      <c r="AF7" s="40"/>
      <c r="AG7" s="40"/>
      <c r="AH7" s="40"/>
      <c r="AI7" s="18"/>
      <c r="AJ7" s="18"/>
      <c r="AL7" s="19"/>
      <c r="AM7" s="19"/>
      <c r="AN7" s="19"/>
      <c r="AO7" s="19"/>
      <c r="AP7" s="19"/>
      <c r="AQ7" s="19"/>
      <c r="AR7" s="19"/>
    </row>
    <row r="8" spans="1:44" outlineLevel="1" x14ac:dyDescent="0.25">
      <c r="A8" s="28"/>
      <c r="B8" s="28" t="s">
        <v>40</v>
      </c>
      <c r="C8" s="30" t="s">
        <v>375</v>
      </c>
      <c r="D8" s="28">
        <v>11997440</v>
      </c>
      <c r="E8" s="29">
        <v>10</v>
      </c>
      <c r="F8" s="30">
        <v>32</v>
      </c>
      <c r="G8" s="30">
        <v>30</v>
      </c>
      <c r="H8" s="30">
        <v>14</v>
      </c>
      <c r="J8" s="31">
        <f t="shared" si="0"/>
        <v>14.0634225</v>
      </c>
      <c r="K8" s="32">
        <f t="shared" si="1"/>
        <v>1.2503487410647605</v>
      </c>
      <c r="L8" s="41">
        <v>4871680</v>
      </c>
      <c r="M8" s="33">
        <v>15000984</v>
      </c>
      <c r="N8" s="42">
        <v>73.183310599999999</v>
      </c>
      <c r="O8" s="42">
        <v>75.222657299999995</v>
      </c>
      <c r="P8" s="42">
        <v>32.452634199999999</v>
      </c>
      <c r="Q8" s="42">
        <v>36.894283000000001</v>
      </c>
      <c r="R8" s="42">
        <v>36.567197700000001</v>
      </c>
      <c r="S8" s="42">
        <v>51.777075799999999</v>
      </c>
      <c r="T8" s="42">
        <v>30.825767899999999</v>
      </c>
      <c r="U8" s="34">
        <v>1286.3818200000001</v>
      </c>
      <c r="V8" s="34">
        <v>13.475239</v>
      </c>
      <c r="X8" s="31" t="str">
        <f t="shared" si="2"/>
        <v>·</v>
      </c>
      <c r="Y8" s="32" t="str">
        <f t="shared" si="3"/>
        <v>·</v>
      </c>
      <c r="Z8" s="41"/>
      <c r="AA8" s="33"/>
      <c r="AB8" s="42"/>
      <c r="AC8" s="42"/>
      <c r="AD8" s="42"/>
      <c r="AE8" s="42"/>
      <c r="AF8" s="42"/>
      <c r="AG8" s="42"/>
      <c r="AH8" s="42"/>
      <c r="AI8" s="34"/>
      <c r="AJ8" s="34"/>
      <c r="AL8" s="35"/>
      <c r="AM8" s="35"/>
      <c r="AN8" s="35"/>
      <c r="AO8" s="35"/>
      <c r="AP8" s="35"/>
      <c r="AQ8" s="35"/>
      <c r="AR8" s="35"/>
    </row>
    <row r="9" spans="1:44" ht="15.75" customHeight="1" outlineLevel="1" thickBot="1" x14ac:dyDescent="0.3">
      <c r="A9" s="12"/>
      <c r="B9" s="43" t="s">
        <v>40</v>
      </c>
      <c r="C9" s="44" t="s">
        <v>376</v>
      </c>
      <c r="D9" s="43">
        <v>11997440</v>
      </c>
      <c r="E9" s="45">
        <v>10</v>
      </c>
      <c r="F9" s="44">
        <v>32</v>
      </c>
      <c r="G9" s="44">
        <v>30</v>
      </c>
      <c r="H9" s="44">
        <v>21</v>
      </c>
      <c r="J9" s="46">
        <f t="shared" si="0"/>
        <v>23.188739999999999</v>
      </c>
      <c r="K9" s="47">
        <f t="shared" si="1"/>
        <v>2.0616611543796011</v>
      </c>
      <c r="L9" s="48">
        <v>1279248</v>
      </c>
      <c r="M9" s="49">
        <v>24734656</v>
      </c>
      <c r="N9" s="50">
        <v>999.99</v>
      </c>
      <c r="O9" s="50">
        <v>184.45076900000001</v>
      </c>
      <c r="P9" s="50">
        <v>33.677618199999998</v>
      </c>
      <c r="Q9" s="50">
        <v>37.367480800000003</v>
      </c>
      <c r="R9" s="50">
        <v>37.1575998</v>
      </c>
      <c r="S9" s="50">
        <v>999.99</v>
      </c>
      <c r="T9" s="50">
        <v>33.577017300000001</v>
      </c>
      <c r="U9" s="51">
        <v>740.445291</v>
      </c>
      <c r="V9" s="51">
        <v>14.693581</v>
      </c>
      <c r="X9" s="46" t="str">
        <f t="shared" si="2"/>
        <v>·</v>
      </c>
      <c r="Y9" s="47" t="str">
        <f t="shared" si="3"/>
        <v>·</v>
      </c>
      <c r="Z9" s="48"/>
      <c r="AA9" s="49"/>
      <c r="AB9" s="50"/>
      <c r="AC9" s="50"/>
      <c r="AD9" s="50"/>
      <c r="AE9" s="50"/>
      <c r="AF9" s="50"/>
      <c r="AG9" s="50"/>
      <c r="AH9" s="50"/>
      <c r="AI9" s="51"/>
      <c r="AJ9" s="51"/>
      <c r="AL9" s="52"/>
      <c r="AM9" s="52"/>
      <c r="AN9" s="52"/>
      <c r="AO9" s="52"/>
      <c r="AP9" s="52"/>
      <c r="AQ9" s="52"/>
      <c r="AR9" s="52"/>
    </row>
    <row r="10" spans="1:44" x14ac:dyDescent="0.25">
      <c r="A10" s="28"/>
      <c r="B10" s="28" t="s">
        <v>48</v>
      </c>
      <c r="C10" s="30" t="s">
        <v>372</v>
      </c>
      <c r="D10" s="28">
        <v>9000000</v>
      </c>
      <c r="E10" s="29">
        <v>10</v>
      </c>
      <c r="F10" s="30">
        <v>32</v>
      </c>
      <c r="G10" s="30">
        <v>30</v>
      </c>
      <c r="H10" s="30">
        <v>4</v>
      </c>
      <c r="J10" s="31">
        <f t="shared" si="0"/>
        <v>2.1816149999999999</v>
      </c>
      <c r="K10" s="32">
        <f t="shared" si="1"/>
        <v>0.25856177777777778</v>
      </c>
      <c r="L10" s="41">
        <v>2412544</v>
      </c>
      <c r="M10" s="33">
        <v>2327056</v>
      </c>
      <c r="N10" s="42">
        <v>63.991077900000001</v>
      </c>
      <c r="O10" s="42">
        <v>65.0072981</v>
      </c>
      <c r="P10" s="42">
        <v>33.324346900000002</v>
      </c>
      <c r="Q10" s="42">
        <v>45.618951000000003</v>
      </c>
      <c r="R10" s="42">
        <v>46.012043200000001</v>
      </c>
      <c r="S10" s="42">
        <v>44.146388700000003</v>
      </c>
      <c r="T10" s="42">
        <v>29.426209700000001</v>
      </c>
      <c r="U10" s="34">
        <v>2149.9197399999998</v>
      </c>
      <c r="V10" s="34">
        <v>10.2350885</v>
      </c>
      <c r="X10" s="31" t="str">
        <f t="shared" si="2"/>
        <v>·</v>
      </c>
      <c r="Y10" s="32" t="str">
        <f t="shared" si="3"/>
        <v>·</v>
      </c>
      <c r="Z10" s="41"/>
      <c r="AA10" s="33"/>
      <c r="AB10" s="42"/>
      <c r="AC10" s="42"/>
      <c r="AD10" s="42"/>
      <c r="AE10" s="42"/>
      <c r="AF10" s="42"/>
      <c r="AG10" s="42"/>
      <c r="AH10" s="42"/>
      <c r="AI10" s="34"/>
      <c r="AJ10" s="34"/>
      <c r="AL10" s="35" t="str">
        <f t="array" ref="AL10">IF( OR(AND(ISBLANK(M10:M14)),AND(ISBLANK(AA10:AA14)), AND(ISBLANK(N10:N14)),AND(ISBLANK(AB10:AB14))), "·", bdRateExtend( M10:M14,N10:N14, AA10:AA14,AB10:AB14))</f>
        <v>·</v>
      </c>
      <c r="AM10" s="35" t="str">
        <f t="array" ref="AM10">IF( OR(AND(ISBLANK(M10:M14)),AND(ISBLANK(AA10:AA14)), AND(ISBLANK(O10:O14)),AND(ISBLANK(AC10:AC14))), "·", bdRateExtend( M10:M14,O10:O14, AA10:AA14,AC10:AC14))</f>
        <v>·</v>
      </c>
      <c r="AN10" s="35" t="str">
        <f t="array" ref="AN10">IF( OR(AND(ISBLANK(M10:M14)),AND(ISBLANK(AA10:AA14)), AND(ISBLANK(P10:P14)),AND(ISBLANK(AD10:AD14))), "·", bdRateExtend( M10:M14,P10:P14, AA10:AA14,AD10:AD14))</f>
        <v>·</v>
      </c>
      <c r="AO10" s="35" t="str">
        <f t="array" ref="AO10">IF( OR(AND(ISBLANK(M10:M14)),AND(ISBLANK(AA10:AA14)), AND(ISBLANK(Q10:Q14)),AND(ISBLANK(AE10:AE14))), "·", bdRateExtend( M10:M14,Q10:Q14, AA10:AA14,AE10:AE14))</f>
        <v>·</v>
      </c>
      <c r="AP10" s="35" t="str">
        <f t="array" ref="AP10">IF( OR(AND(ISBLANK(M10:M14)),AND(ISBLANK(AA10:AA14)), AND(ISBLANK(R10:R14)),AND(ISBLANK(AF10:AF14))), "·", bdRateExtend( M10:M14,R10:R14, AA10:AA14,AF10:AF14))</f>
        <v>·</v>
      </c>
      <c r="AQ10" s="35" t="str">
        <f t="array" ref="AQ10">IF( OR(AND(ISBLANK(M10:M14)),AND(ISBLANK(AA10:AA14)), AND(ISBLANK(S10:S14)),AND(ISBLANK(AG10:AG14))), "·", bdRateExtend( M10:M14,S10:S14, AA10:AA14,AG10:AG14))</f>
        <v>·</v>
      </c>
      <c r="AR10" s="35" t="str">
        <f t="array" ref="AR10">IF( OR(AND(ISBLANK(M10:M14)),AND(ISBLANK(AA10:AA14)), AND(ISBLANK(T10:T14)),AND(ISBLANK(AH10:AH14))), "·", bdRateExtend( M10:M14,T10:T14, AA10:AA14,AH10:AH14))</f>
        <v>·</v>
      </c>
    </row>
    <row r="11" spans="1:44" outlineLevel="1" x14ac:dyDescent="0.25">
      <c r="A11" s="12"/>
      <c r="B11" s="12" t="s">
        <v>48</v>
      </c>
      <c r="C11" s="14" t="s">
        <v>373</v>
      </c>
      <c r="D11" s="12">
        <v>9000000</v>
      </c>
      <c r="E11" s="13">
        <v>10</v>
      </c>
      <c r="F11" s="14">
        <v>32</v>
      </c>
      <c r="G11" s="14">
        <v>30</v>
      </c>
      <c r="H11" s="14">
        <v>8</v>
      </c>
      <c r="J11" s="15">
        <f t="shared" si="0"/>
        <v>5.2881299999999998</v>
      </c>
      <c r="K11" s="16">
        <f t="shared" si="1"/>
        <v>0.62674133333333337</v>
      </c>
      <c r="L11" s="39">
        <v>4841856</v>
      </c>
      <c r="M11" s="17">
        <v>5640672</v>
      </c>
      <c r="N11" s="40">
        <v>70.476475399999998</v>
      </c>
      <c r="O11" s="40">
        <v>72.6103722</v>
      </c>
      <c r="P11" s="40">
        <v>35.0118942</v>
      </c>
      <c r="Q11" s="40">
        <v>45.963940399999998</v>
      </c>
      <c r="R11" s="40">
        <v>46.420941999999997</v>
      </c>
      <c r="S11" s="40">
        <v>47.677731700000002</v>
      </c>
      <c r="T11" s="40">
        <v>32.674180700000001</v>
      </c>
      <c r="U11" s="18">
        <v>2667.19497</v>
      </c>
      <c r="V11" s="18">
        <v>11.1364486</v>
      </c>
      <c r="X11" s="15" t="str">
        <f t="shared" si="2"/>
        <v>·</v>
      </c>
      <c r="Y11" s="16" t="str">
        <f t="shared" si="3"/>
        <v>·</v>
      </c>
      <c r="Z11" s="39"/>
      <c r="AA11" s="17"/>
      <c r="AB11" s="40"/>
      <c r="AC11" s="40"/>
      <c r="AD11" s="40"/>
      <c r="AE11" s="40"/>
      <c r="AF11" s="40"/>
      <c r="AG11" s="40"/>
      <c r="AH11" s="40"/>
      <c r="AI11" s="18"/>
      <c r="AJ11" s="18"/>
      <c r="AL11" s="19"/>
      <c r="AM11" s="19"/>
      <c r="AN11" s="19"/>
      <c r="AO11" s="19"/>
      <c r="AP11" s="19"/>
      <c r="AQ11" s="19"/>
      <c r="AR11" s="19"/>
    </row>
    <row r="12" spans="1:44" outlineLevel="1" x14ac:dyDescent="0.25">
      <c r="A12" s="28"/>
      <c r="B12" s="28" t="s">
        <v>48</v>
      </c>
      <c r="C12" s="30" t="s">
        <v>374</v>
      </c>
      <c r="D12" s="28">
        <v>9000000</v>
      </c>
      <c r="E12" s="29">
        <v>10</v>
      </c>
      <c r="F12" s="30">
        <v>32</v>
      </c>
      <c r="G12" s="30">
        <v>30</v>
      </c>
      <c r="H12" s="30">
        <v>11</v>
      </c>
      <c r="J12" s="31">
        <f t="shared" si="0"/>
        <v>7.5037425000000004</v>
      </c>
      <c r="K12" s="32">
        <f t="shared" si="1"/>
        <v>0.88933244444444448</v>
      </c>
      <c r="L12" s="41">
        <v>4841856</v>
      </c>
      <c r="M12" s="33">
        <v>8003992</v>
      </c>
      <c r="N12" s="42">
        <v>72.263154499999999</v>
      </c>
      <c r="O12" s="42">
        <v>74.885444899999996</v>
      </c>
      <c r="P12" s="42">
        <v>35.471842000000002</v>
      </c>
      <c r="Q12" s="42">
        <v>46.270454100000002</v>
      </c>
      <c r="R12" s="42">
        <v>46.815726499999997</v>
      </c>
      <c r="S12" s="42">
        <v>48.732078399999999</v>
      </c>
      <c r="T12" s="42">
        <v>33.558664100000001</v>
      </c>
      <c r="U12" s="34">
        <v>2752.1998699999999</v>
      </c>
      <c r="V12" s="34">
        <v>11.2755446</v>
      </c>
      <c r="X12" s="31" t="str">
        <f t="shared" si="2"/>
        <v>·</v>
      </c>
      <c r="Y12" s="32" t="str">
        <f t="shared" si="3"/>
        <v>·</v>
      </c>
      <c r="Z12" s="41"/>
      <c r="AA12" s="33"/>
      <c r="AB12" s="42"/>
      <c r="AC12" s="42"/>
      <c r="AD12" s="42"/>
      <c r="AE12" s="42"/>
      <c r="AF12" s="42"/>
      <c r="AG12" s="42"/>
      <c r="AH12" s="42"/>
      <c r="AI12" s="34"/>
      <c r="AJ12" s="34"/>
      <c r="AL12" s="35"/>
      <c r="AM12" s="35"/>
      <c r="AN12" s="35"/>
      <c r="AO12" s="35"/>
      <c r="AP12" s="35"/>
      <c r="AQ12" s="35"/>
      <c r="AR12" s="35"/>
    </row>
    <row r="13" spans="1:44" outlineLevel="1" x14ac:dyDescent="0.25">
      <c r="A13" s="12"/>
      <c r="B13" s="12" t="s">
        <v>48</v>
      </c>
      <c r="C13" s="14" t="s">
        <v>375</v>
      </c>
      <c r="D13" s="12">
        <v>9000000</v>
      </c>
      <c r="E13" s="13">
        <v>10</v>
      </c>
      <c r="F13" s="14">
        <v>32</v>
      </c>
      <c r="G13" s="14">
        <v>30</v>
      </c>
      <c r="H13" s="14">
        <v>14</v>
      </c>
      <c r="J13" s="15">
        <f t="shared" si="0"/>
        <v>10.085760000000001</v>
      </c>
      <c r="K13" s="16">
        <f t="shared" si="1"/>
        <v>1.1953493333333334</v>
      </c>
      <c r="L13" s="39">
        <v>4841856</v>
      </c>
      <c r="M13" s="17">
        <v>10758144</v>
      </c>
      <c r="N13" s="40">
        <v>72.263154499999999</v>
      </c>
      <c r="O13" s="40">
        <v>74.885444899999996</v>
      </c>
      <c r="P13" s="40">
        <v>36.398969999999998</v>
      </c>
      <c r="Q13" s="40">
        <v>47.341904300000003</v>
      </c>
      <c r="R13" s="40">
        <v>47.965035700000001</v>
      </c>
      <c r="S13" s="40">
        <v>48.732078399999999</v>
      </c>
      <c r="T13" s="40">
        <v>34.082548799999998</v>
      </c>
      <c r="U13" s="18">
        <v>3052.5698699999998</v>
      </c>
      <c r="V13" s="18">
        <v>12.126506600000001</v>
      </c>
      <c r="X13" s="15" t="str">
        <f t="shared" si="2"/>
        <v>·</v>
      </c>
      <c r="Y13" s="16" t="str">
        <f t="shared" si="3"/>
        <v>·</v>
      </c>
      <c r="Z13" s="39"/>
      <c r="AA13" s="17"/>
      <c r="AB13" s="40"/>
      <c r="AC13" s="40"/>
      <c r="AD13" s="40"/>
      <c r="AE13" s="40"/>
      <c r="AF13" s="40"/>
      <c r="AG13" s="40"/>
      <c r="AH13" s="40"/>
      <c r="AI13" s="18"/>
      <c r="AJ13" s="18"/>
      <c r="AL13" s="19"/>
      <c r="AM13" s="19"/>
      <c r="AN13" s="19"/>
      <c r="AO13" s="19"/>
      <c r="AP13" s="19"/>
      <c r="AQ13" s="19"/>
      <c r="AR13" s="19"/>
    </row>
    <row r="14" spans="1:44" ht="15.75" customHeight="1" outlineLevel="1" thickBot="1" x14ac:dyDescent="0.3">
      <c r="A14" s="20"/>
      <c r="B14" s="20" t="s">
        <v>48</v>
      </c>
      <c r="C14" s="22" t="s">
        <v>376</v>
      </c>
      <c r="D14" s="20">
        <v>9000000</v>
      </c>
      <c r="E14" s="21">
        <v>10</v>
      </c>
      <c r="F14" s="22">
        <v>32</v>
      </c>
      <c r="G14" s="22">
        <v>30</v>
      </c>
      <c r="H14" s="22">
        <v>21</v>
      </c>
      <c r="J14" s="23">
        <f t="shared" si="0"/>
        <v>16.581937499999999</v>
      </c>
      <c r="K14" s="24">
        <f t="shared" si="1"/>
        <v>1.9652666666666667</v>
      </c>
      <c r="L14" s="53">
        <v>4841856</v>
      </c>
      <c r="M14" s="25">
        <v>17687400</v>
      </c>
      <c r="N14" s="54">
        <v>72.624424700000006</v>
      </c>
      <c r="O14" s="54">
        <v>75.353155000000001</v>
      </c>
      <c r="P14" s="54">
        <v>37.302512499999999</v>
      </c>
      <c r="Q14" s="54">
        <v>48.388124300000001</v>
      </c>
      <c r="R14" s="54">
        <v>49.047451899999999</v>
      </c>
      <c r="S14" s="54">
        <v>48.904587200000002</v>
      </c>
      <c r="T14" s="54">
        <v>34.678298400000003</v>
      </c>
      <c r="U14" s="26">
        <v>3152.06095</v>
      </c>
      <c r="V14" s="26">
        <v>12.5278793</v>
      </c>
      <c r="X14" s="23" t="str">
        <f t="shared" si="2"/>
        <v>·</v>
      </c>
      <c r="Y14" s="24" t="str">
        <f t="shared" si="3"/>
        <v>·</v>
      </c>
      <c r="Z14" s="53"/>
      <c r="AA14" s="25"/>
      <c r="AB14" s="54"/>
      <c r="AC14" s="54"/>
      <c r="AD14" s="54"/>
      <c r="AE14" s="54"/>
      <c r="AF14" s="54"/>
      <c r="AG14" s="54"/>
      <c r="AH14" s="54"/>
      <c r="AI14" s="26"/>
      <c r="AJ14" s="26"/>
      <c r="AL14" s="27"/>
      <c r="AM14" s="27"/>
      <c r="AN14" s="27"/>
      <c r="AO14" s="27"/>
      <c r="AP14" s="27"/>
      <c r="AQ14" s="27"/>
      <c r="AR14" s="27"/>
    </row>
    <row r="15" spans="1:44" x14ac:dyDescent="0.25">
      <c r="A15" s="12" t="s">
        <v>176</v>
      </c>
      <c r="B15" s="12" t="s">
        <v>53</v>
      </c>
      <c r="C15" s="14" t="s">
        <v>372</v>
      </c>
      <c r="D15" s="12">
        <v>11842002</v>
      </c>
      <c r="E15" s="13">
        <v>12</v>
      </c>
      <c r="F15" s="14">
        <v>32</v>
      </c>
      <c r="G15" s="14">
        <v>30</v>
      </c>
      <c r="H15" s="14">
        <v>3</v>
      </c>
      <c r="J15" s="15">
        <f t="shared" si="0"/>
        <v>4.0660049999999996</v>
      </c>
      <c r="K15" s="16">
        <f t="shared" si="1"/>
        <v>0.36624482921046625</v>
      </c>
      <c r="L15" s="39">
        <v>2419456</v>
      </c>
      <c r="M15" s="17">
        <v>4337072</v>
      </c>
      <c r="N15" s="40">
        <v>71.227994899999999</v>
      </c>
      <c r="O15" s="40">
        <v>72.527846100000005</v>
      </c>
      <c r="P15" s="40">
        <v>36.399216699999997</v>
      </c>
      <c r="Q15" s="40">
        <v>43.563927700000001</v>
      </c>
      <c r="R15" s="40">
        <v>45.415521499999997</v>
      </c>
      <c r="S15" s="40">
        <v>45.635088799999998</v>
      </c>
      <c r="T15" s="40">
        <v>32.581980199999997</v>
      </c>
      <c r="U15" s="18">
        <v>1165.5814800000001</v>
      </c>
      <c r="V15" s="18">
        <v>12.672139700000001</v>
      </c>
      <c r="X15" s="15" t="str">
        <f t="shared" si="2"/>
        <v>·</v>
      </c>
      <c r="Y15" s="16" t="str">
        <f t="shared" si="3"/>
        <v>·</v>
      </c>
      <c r="Z15" s="39"/>
      <c r="AA15" s="17"/>
      <c r="AB15" s="40"/>
      <c r="AC15" s="40"/>
      <c r="AD15" s="40"/>
      <c r="AE15" s="40"/>
      <c r="AF15" s="40"/>
      <c r="AG15" s="40"/>
      <c r="AH15" s="40"/>
      <c r="AI15" s="18"/>
      <c r="AJ15" s="18"/>
      <c r="AL15" s="19" t="str">
        <f t="array" ref="AL15">IF( OR(AND(ISBLANK(M15:M19)),AND(ISBLANK(AA15:AA19)), AND(ISBLANK(N15:N19)),AND(ISBLANK(AB15:AB19))), "·", bdRateExtend( M15:M19,N15:N19, AA15:AA19,AB15:AB19))</f>
        <v>·</v>
      </c>
      <c r="AM15" s="19" t="str">
        <f t="array" ref="AM15">IF( OR(AND(ISBLANK(M15:M19)),AND(ISBLANK(AA15:AA19)), AND(ISBLANK(O15:O19)),AND(ISBLANK(AC15:AC19))), "·", bdRateExtend( M15:M19,O15:O19, AA15:AA19,AC15:AC19))</f>
        <v>·</v>
      </c>
      <c r="AN15" s="19" t="str">
        <f t="array" ref="AN15">IF( OR(AND(ISBLANK(M15:M19)),AND(ISBLANK(AA15:AA19)), AND(ISBLANK(P15:P19)),AND(ISBLANK(AD15:AD19))), "·", bdRateExtend( M15:M19,P15:P19, AA15:AA19,AD15:AD19))</f>
        <v>·</v>
      </c>
      <c r="AO15" s="19" t="str">
        <f t="array" ref="AO15">IF( OR(AND(ISBLANK(M15:M19)),AND(ISBLANK(AA15:AA19)), AND(ISBLANK(Q15:Q19)),AND(ISBLANK(AE15:AE19))), "·", bdRateExtend( M15:M19,Q15:Q19, AA15:AA19,AE15:AE19))</f>
        <v>·</v>
      </c>
      <c r="AP15" s="19" t="str">
        <f t="array" ref="AP15">IF( OR(AND(ISBLANK(M15:M19)),AND(ISBLANK(AA15:AA19)), AND(ISBLANK(R15:R19)),AND(ISBLANK(AF15:AF19))), "·", bdRateExtend( M15:M19,R15:R19, AA15:AA19,AF15:AF19))</f>
        <v>·</v>
      </c>
      <c r="AQ15" s="19" t="str">
        <f t="array" ref="AQ15">IF( OR(AND(ISBLANK(M15:M19)),AND(ISBLANK(AA15:AA19)), AND(ISBLANK(S15:S19)),AND(ISBLANK(AG15:AG19))), "·", bdRateExtend( M15:M19,S15:S19, AA15:AA19,AG15:AG19))</f>
        <v>·</v>
      </c>
      <c r="AR15" s="19" t="str">
        <f t="array" ref="AR15">IF( OR(AND(ISBLANK(M15:M19)),AND(ISBLANK(AA15:AA19)), AND(ISBLANK(T15:T19)),AND(ISBLANK(AH15:AH19))), "·", bdRateExtend( M15:M19,T15:T19, AA15:AA19,AH15:AH19))</f>
        <v>·</v>
      </c>
    </row>
    <row r="16" spans="1:44" outlineLevel="1" x14ac:dyDescent="0.25">
      <c r="A16" s="28"/>
      <c r="B16" s="28" t="s">
        <v>53</v>
      </c>
      <c r="C16" s="30" t="s">
        <v>373</v>
      </c>
      <c r="D16" s="28">
        <v>11842002</v>
      </c>
      <c r="E16" s="29">
        <v>12</v>
      </c>
      <c r="F16" s="30">
        <v>32</v>
      </c>
      <c r="G16" s="30">
        <v>30</v>
      </c>
      <c r="H16" s="30">
        <v>5</v>
      </c>
      <c r="J16" s="31">
        <f t="shared" si="0"/>
        <v>6.9719474999999997</v>
      </c>
      <c r="K16" s="32">
        <f t="shared" si="1"/>
        <v>0.62799719169106705</v>
      </c>
      <c r="L16" s="41">
        <v>4841472</v>
      </c>
      <c r="M16" s="33">
        <v>7436744</v>
      </c>
      <c r="N16" s="42">
        <v>75.002629299999995</v>
      </c>
      <c r="O16" s="42">
        <v>76.7310722</v>
      </c>
      <c r="P16" s="42">
        <v>38.508728300000001</v>
      </c>
      <c r="Q16" s="42">
        <v>44.285421200000002</v>
      </c>
      <c r="R16" s="42">
        <v>46.688111800000001</v>
      </c>
      <c r="S16" s="42">
        <v>47.530806599999998</v>
      </c>
      <c r="T16" s="42">
        <v>35.052553600000003</v>
      </c>
      <c r="U16" s="34">
        <v>1291.90886</v>
      </c>
      <c r="V16" s="34">
        <v>13.284006099999999</v>
      </c>
      <c r="X16" s="31" t="str">
        <f t="shared" si="2"/>
        <v>·</v>
      </c>
      <c r="Y16" s="32" t="str">
        <f t="shared" si="3"/>
        <v>·</v>
      </c>
      <c r="Z16" s="41"/>
      <c r="AA16" s="33"/>
      <c r="AB16" s="42"/>
      <c r="AC16" s="42"/>
      <c r="AD16" s="42"/>
      <c r="AE16" s="42"/>
      <c r="AF16" s="42"/>
      <c r="AG16" s="42"/>
      <c r="AH16" s="42"/>
      <c r="AI16" s="34"/>
      <c r="AJ16" s="34"/>
      <c r="AL16" s="35"/>
      <c r="AM16" s="35"/>
      <c r="AN16" s="35"/>
      <c r="AO16" s="35"/>
      <c r="AP16" s="35"/>
      <c r="AQ16" s="35"/>
      <c r="AR16" s="35"/>
    </row>
    <row r="17" spans="1:44" outlineLevel="1" x14ac:dyDescent="0.25">
      <c r="A17" s="12"/>
      <c r="B17" s="12" t="s">
        <v>53</v>
      </c>
      <c r="C17" s="14" t="s">
        <v>374</v>
      </c>
      <c r="D17" s="12">
        <v>11842002</v>
      </c>
      <c r="E17" s="13">
        <v>12</v>
      </c>
      <c r="F17" s="14">
        <v>32</v>
      </c>
      <c r="G17" s="14">
        <v>30</v>
      </c>
      <c r="H17" s="14">
        <v>10</v>
      </c>
      <c r="J17" s="15">
        <f t="shared" si="0"/>
        <v>10.9319775</v>
      </c>
      <c r="K17" s="16">
        <f t="shared" si="1"/>
        <v>0.98469633766317555</v>
      </c>
      <c r="L17" s="39">
        <v>4841472</v>
      </c>
      <c r="M17" s="17">
        <v>11660776</v>
      </c>
      <c r="N17" s="40">
        <v>76.251407700000001</v>
      </c>
      <c r="O17" s="40">
        <v>78.185012599999993</v>
      </c>
      <c r="P17" s="40">
        <v>39.8028434</v>
      </c>
      <c r="Q17" s="40">
        <v>45.163939900000003</v>
      </c>
      <c r="R17" s="40">
        <v>48.365233699999997</v>
      </c>
      <c r="S17" s="40">
        <v>48.1840306</v>
      </c>
      <c r="T17" s="40">
        <v>36.040203099999999</v>
      </c>
      <c r="U17" s="18">
        <v>1308.98092</v>
      </c>
      <c r="V17" s="18">
        <v>13.7872751</v>
      </c>
      <c r="X17" s="15" t="str">
        <f t="shared" si="2"/>
        <v>·</v>
      </c>
      <c r="Y17" s="16" t="str">
        <f t="shared" si="3"/>
        <v>·</v>
      </c>
      <c r="Z17" s="39"/>
      <c r="AA17" s="17"/>
      <c r="AB17" s="40"/>
      <c r="AC17" s="40"/>
      <c r="AD17" s="40"/>
      <c r="AE17" s="40"/>
      <c r="AF17" s="40"/>
      <c r="AG17" s="40"/>
      <c r="AH17" s="40"/>
      <c r="AI17" s="18"/>
      <c r="AJ17" s="18"/>
      <c r="AL17" s="19"/>
      <c r="AM17" s="19"/>
      <c r="AN17" s="19"/>
      <c r="AO17" s="19"/>
      <c r="AP17" s="19"/>
      <c r="AQ17" s="19"/>
      <c r="AR17" s="19"/>
    </row>
    <row r="18" spans="1:44" outlineLevel="1" x14ac:dyDescent="0.25">
      <c r="A18" s="28"/>
      <c r="B18" s="28" t="s">
        <v>53</v>
      </c>
      <c r="C18" s="30" t="s">
        <v>375</v>
      </c>
      <c r="D18" s="28">
        <v>11842002</v>
      </c>
      <c r="E18" s="29">
        <v>12</v>
      </c>
      <c r="F18" s="30">
        <v>32</v>
      </c>
      <c r="G18" s="30">
        <v>30</v>
      </c>
      <c r="H18" s="30">
        <v>14</v>
      </c>
      <c r="J18" s="31">
        <f t="shared" si="0"/>
        <v>16.150304999999999</v>
      </c>
      <c r="K18" s="32">
        <f t="shared" si="1"/>
        <v>1.4547364541907695</v>
      </c>
      <c r="L18" s="41">
        <v>605377</v>
      </c>
      <c r="M18" s="33">
        <v>17226992</v>
      </c>
      <c r="N18" s="42">
        <v>83.638361700000004</v>
      </c>
      <c r="O18" s="42">
        <v>87.134950500000002</v>
      </c>
      <c r="P18" s="42">
        <v>40.400183800000001</v>
      </c>
      <c r="Q18" s="42">
        <v>45.210360799999997</v>
      </c>
      <c r="R18" s="42">
        <v>48.433042999999998</v>
      </c>
      <c r="S18" s="42">
        <v>54.069744</v>
      </c>
      <c r="T18" s="42">
        <v>39.117715400000002</v>
      </c>
      <c r="U18" s="34">
        <v>2166.9810499999999</v>
      </c>
      <c r="V18" s="34">
        <v>12.556643599999999</v>
      </c>
      <c r="X18" s="31" t="str">
        <f t="shared" si="2"/>
        <v>·</v>
      </c>
      <c r="Y18" s="32" t="str">
        <f t="shared" si="3"/>
        <v>·</v>
      </c>
      <c r="Z18" s="41"/>
      <c r="AA18" s="33"/>
      <c r="AB18" s="42"/>
      <c r="AC18" s="42"/>
      <c r="AD18" s="42"/>
      <c r="AE18" s="42"/>
      <c r="AF18" s="42"/>
      <c r="AG18" s="42"/>
      <c r="AH18" s="42"/>
      <c r="AI18" s="34"/>
      <c r="AJ18" s="34"/>
      <c r="AL18" s="35"/>
      <c r="AM18" s="35"/>
      <c r="AN18" s="35"/>
      <c r="AO18" s="35"/>
      <c r="AP18" s="35"/>
      <c r="AQ18" s="35"/>
      <c r="AR18" s="35"/>
    </row>
    <row r="19" spans="1:44" ht="15.75" customHeight="1" outlineLevel="1" thickBot="1" x14ac:dyDescent="0.3">
      <c r="A19" s="12"/>
      <c r="B19" s="43" t="s">
        <v>53</v>
      </c>
      <c r="C19" s="44" t="s">
        <v>376</v>
      </c>
      <c r="D19" s="43">
        <v>11842002</v>
      </c>
      <c r="E19" s="45">
        <v>12</v>
      </c>
      <c r="F19" s="44">
        <v>32</v>
      </c>
      <c r="G19" s="44">
        <v>30</v>
      </c>
      <c r="H19" s="44">
        <v>21</v>
      </c>
      <c r="J19" s="46">
        <f t="shared" si="0"/>
        <v>22.511295</v>
      </c>
      <c r="K19" s="47">
        <f t="shared" si="1"/>
        <v>2.0277017348924615</v>
      </c>
      <c r="L19" s="48">
        <v>1261248</v>
      </c>
      <c r="M19" s="49">
        <v>24012048</v>
      </c>
      <c r="N19" s="50">
        <v>999.99</v>
      </c>
      <c r="O19" s="50">
        <v>927.37375299999997</v>
      </c>
      <c r="P19" s="50">
        <v>41.902844299999998</v>
      </c>
      <c r="Q19" s="50">
        <v>45.136736300000003</v>
      </c>
      <c r="R19" s="50">
        <v>48.301017100000003</v>
      </c>
      <c r="S19" s="50">
        <v>999.99</v>
      </c>
      <c r="T19" s="50">
        <v>42.028587899999998</v>
      </c>
      <c r="U19" s="51">
        <v>918.51374499999997</v>
      </c>
      <c r="V19" s="51">
        <v>14.297040600000001</v>
      </c>
      <c r="X19" s="46" t="str">
        <f t="shared" si="2"/>
        <v>·</v>
      </c>
      <c r="Y19" s="47" t="str">
        <f t="shared" si="3"/>
        <v>·</v>
      </c>
      <c r="Z19" s="48"/>
      <c r="AA19" s="49"/>
      <c r="AB19" s="50"/>
      <c r="AC19" s="50"/>
      <c r="AD19" s="50"/>
      <c r="AE19" s="50"/>
      <c r="AF19" s="50"/>
      <c r="AG19" s="50"/>
      <c r="AH19" s="50"/>
      <c r="AI19" s="51"/>
      <c r="AJ19" s="51"/>
      <c r="AL19" s="52"/>
      <c r="AM19" s="52"/>
      <c r="AN19" s="52"/>
      <c r="AO19" s="52"/>
      <c r="AP19" s="52"/>
      <c r="AQ19" s="52"/>
      <c r="AR19" s="52"/>
    </row>
    <row r="20" spans="1:44" x14ac:dyDescent="0.25">
      <c r="A20" s="28"/>
      <c r="B20" s="28" t="s">
        <v>58</v>
      </c>
      <c r="C20" s="30" t="s">
        <v>372</v>
      </c>
      <c r="D20" s="28">
        <v>11812090</v>
      </c>
      <c r="E20" s="29">
        <v>12</v>
      </c>
      <c r="F20" s="30">
        <v>32</v>
      </c>
      <c r="G20" s="30">
        <v>30</v>
      </c>
      <c r="H20" s="30">
        <v>3</v>
      </c>
      <c r="J20" s="31">
        <f t="shared" si="0"/>
        <v>3.0447150000000001</v>
      </c>
      <c r="K20" s="32">
        <f t="shared" si="1"/>
        <v>0.27494677063923489</v>
      </c>
      <c r="L20" s="41">
        <v>2417984</v>
      </c>
      <c r="M20" s="33">
        <v>3247696</v>
      </c>
      <c r="N20" s="42">
        <v>69.897646600000002</v>
      </c>
      <c r="O20" s="42">
        <v>71.128684500000006</v>
      </c>
      <c r="P20" s="42">
        <v>33.799675999999998</v>
      </c>
      <c r="Q20" s="42">
        <v>43.320050600000002</v>
      </c>
      <c r="R20" s="42">
        <v>44.716597800000002</v>
      </c>
      <c r="S20" s="42">
        <v>47.740298099999997</v>
      </c>
      <c r="T20" s="42">
        <v>30.577342099999999</v>
      </c>
      <c r="U20" s="34">
        <v>1129.4373700000001</v>
      </c>
      <c r="V20" s="34">
        <v>12.8744286</v>
      </c>
      <c r="X20" s="31" t="str">
        <f t="shared" si="2"/>
        <v>·</v>
      </c>
      <c r="Y20" s="32" t="str">
        <f t="shared" si="3"/>
        <v>·</v>
      </c>
      <c r="Z20" s="41"/>
      <c r="AA20" s="33"/>
      <c r="AB20" s="42"/>
      <c r="AC20" s="42"/>
      <c r="AD20" s="42"/>
      <c r="AE20" s="42"/>
      <c r="AF20" s="42"/>
      <c r="AG20" s="42"/>
      <c r="AH20" s="42"/>
      <c r="AI20" s="34"/>
      <c r="AJ20" s="34"/>
      <c r="AL20" s="35" t="str">
        <f t="array" ref="AL20">IF( OR(AND(ISBLANK(M20:M24)),AND(ISBLANK(AA20:AA24)), AND(ISBLANK(N20:N24)),AND(ISBLANK(AB20:AB24))), "·", bdRateExtend( M20:M24,N20:N24, AA20:AA24,AB20:AB24))</f>
        <v>·</v>
      </c>
      <c r="AM20" s="35" t="str">
        <f t="array" ref="AM20">IF( OR(AND(ISBLANK(M20:M24)),AND(ISBLANK(AA20:AA24)), AND(ISBLANK(O20:O24)),AND(ISBLANK(AC20:AC24))), "·", bdRateExtend( M20:M24,O20:O24, AA20:AA24,AC20:AC24))</f>
        <v>·</v>
      </c>
      <c r="AN20" s="35" t="str">
        <f t="array" ref="AN20">IF( OR(AND(ISBLANK(M20:M24)),AND(ISBLANK(AA20:AA24)), AND(ISBLANK(P20:P24)),AND(ISBLANK(AD20:AD24))), "·", bdRateExtend( M20:M24,P20:P24, AA20:AA24,AD20:AD24))</f>
        <v>·</v>
      </c>
      <c r="AO20" s="35" t="str">
        <f t="array" ref="AO20">IF( OR(AND(ISBLANK(M20:M24)),AND(ISBLANK(AA20:AA24)), AND(ISBLANK(Q20:Q24)),AND(ISBLANK(AE20:AE24))), "·", bdRateExtend( M20:M24,Q20:Q24, AA20:AA24,AE20:AE24))</f>
        <v>·</v>
      </c>
      <c r="AP20" s="35" t="str">
        <f t="array" ref="AP20">IF( OR(AND(ISBLANK(M20:M24)),AND(ISBLANK(AA20:AA24)), AND(ISBLANK(R20:R24)),AND(ISBLANK(AF20:AF24))), "·", bdRateExtend( M20:M24,R20:R24, AA20:AA24,AF20:AF24))</f>
        <v>·</v>
      </c>
      <c r="AQ20" s="35" t="str">
        <f t="array" ref="AQ20">IF( OR(AND(ISBLANK(M20:M24)),AND(ISBLANK(AA20:AA24)), AND(ISBLANK(S20:S24)),AND(ISBLANK(AG20:AG24))), "·", bdRateExtend( M20:M24,S20:S24, AA20:AA24,AG20:AG24))</f>
        <v>·</v>
      </c>
      <c r="AR20" s="35" t="str">
        <f t="array" ref="AR20">IF( OR(AND(ISBLANK(M20:M24)),AND(ISBLANK(AA20:AA24)), AND(ISBLANK(T20:T24)),AND(ISBLANK(AH20:AH24))), "·", bdRateExtend( M20:M24,T20:T24, AA20:AA24,AH20:AH24))</f>
        <v>·</v>
      </c>
    </row>
    <row r="21" spans="1:44" outlineLevel="1" x14ac:dyDescent="0.25">
      <c r="A21" s="12"/>
      <c r="B21" s="12" t="s">
        <v>58</v>
      </c>
      <c r="C21" s="14" t="s">
        <v>373</v>
      </c>
      <c r="D21" s="12">
        <v>11812090</v>
      </c>
      <c r="E21" s="13">
        <v>12</v>
      </c>
      <c r="F21" s="14">
        <v>32</v>
      </c>
      <c r="G21" s="14">
        <v>30</v>
      </c>
      <c r="H21" s="14">
        <v>5</v>
      </c>
      <c r="J21" s="15">
        <f t="shared" si="0"/>
        <v>4.5809474999999997</v>
      </c>
      <c r="K21" s="16">
        <f t="shared" si="1"/>
        <v>0.41367310950052022</v>
      </c>
      <c r="L21" s="39">
        <v>2417984</v>
      </c>
      <c r="M21" s="17">
        <v>4886344</v>
      </c>
      <c r="N21" s="40">
        <v>71.1754952</v>
      </c>
      <c r="O21" s="40">
        <v>72.568733499999993</v>
      </c>
      <c r="P21" s="40">
        <v>35.960776699999997</v>
      </c>
      <c r="Q21" s="40">
        <v>43.761032800000002</v>
      </c>
      <c r="R21" s="40">
        <v>45.518406400000003</v>
      </c>
      <c r="S21" s="40">
        <v>48.422817500000001</v>
      </c>
      <c r="T21" s="40">
        <v>31.860055899999999</v>
      </c>
      <c r="U21" s="18">
        <v>1149.08744</v>
      </c>
      <c r="V21" s="18">
        <v>13.3087722</v>
      </c>
      <c r="X21" s="15" t="str">
        <f t="shared" si="2"/>
        <v>·</v>
      </c>
      <c r="Y21" s="16" t="str">
        <f t="shared" si="3"/>
        <v>·</v>
      </c>
      <c r="Z21" s="39"/>
      <c r="AA21" s="17"/>
      <c r="AB21" s="40"/>
      <c r="AC21" s="40"/>
      <c r="AD21" s="40"/>
      <c r="AE21" s="40"/>
      <c r="AF21" s="40"/>
      <c r="AG21" s="40"/>
      <c r="AH21" s="40"/>
      <c r="AI21" s="18"/>
      <c r="AJ21" s="18"/>
      <c r="AL21" s="19"/>
      <c r="AM21" s="19"/>
      <c r="AN21" s="19"/>
      <c r="AO21" s="19"/>
      <c r="AP21" s="19"/>
      <c r="AQ21" s="19"/>
      <c r="AR21" s="19"/>
    </row>
    <row r="22" spans="1:44" outlineLevel="1" x14ac:dyDescent="0.25">
      <c r="A22" s="28"/>
      <c r="B22" s="28" t="s">
        <v>58</v>
      </c>
      <c r="C22" s="30" t="s">
        <v>374</v>
      </c>
      <c r="D22" s="28">
        <v>11812090</v>
      </c>
      <c r="E22" s="29">
        <v>12</v>
      </c>
      <c r="F22" s="30">
        <v>32</v>
      </c>
      <c r="G22" s="30">
        <v>30</v>
      </c>
      <c r="H22" s="30">
        <v>10</v>
      </c>
      <c r="J22" s="31">
        <f t="shared" si="0"/>
        <v>7.7268675</v>
      </c>
      <c r="K22" s="32">
        <f t="shared" si="1"/>
        <v>0.69775899099989924</v>
      </c>
      <c r="L22" s="41">
        <v>4836096</v>
      </c>
      <c r="M22" s="33">
        <v>8241992</v>
      </c>
      <c r="N22" s="42">
        <v>74.867706400000003</v>
      </c>
      <c r="O22" s="42">
        <v>76.713124100000002</v>
      </c>
      <c r="P22" s="42">
        <v>38.209698899999999</v>
      </c>
      <c r="Q22" s="42">
        <v>44.528493500000003</v>
      </c>
      <c r="R22" s="42">
        <v>46.796091199999999</v>
      </c>
      <c r="S22" s="42">
        <v>50.429447099999997</v>
      </c>
      <c r="T22" s="42">
        <v>34.493274</v>
      </c>
      <c r="U22" s="34">
        <v>1273.4878000000001</v>
      </c>
      <c r="V22" s="34">
        <v>13.224129100000001</v>
      </c>
      <c r="X22" s="31" t="str">
        <f t="shared" si="2"/>
        <v>·</v>
      </c>
      <c r="Y22" s="32" t="str">
        <f t="shared" si="3"/>
        <v>·</v>
      </c>
      <c r="Z22" s="41"/>
      <c r="AA22" s="33"/>
      <c r="AB22" s="42"/>
      <c r="AC22" s="42"/>
      <c r="AD22" s="42"/>
      <c r="AE22" s="42"/>
      <c r="AF22" s="42"/>
      <c r="AG22" s="42"/>
      <c r="AH22" s="42"/>
      <c r="AI22" s="34"/>
      <c r="AJ22" s="34"/>
      <c r="AL22" s="35"/>
      <c r="AM22" s="35"/>
      <c r="AN22" s="35"/>
      <c r="AO22" s="35"/>
      <c r="AP22" s="35"/>
      <c r="AQ22" s="35"/>
      <c r="AR22" s="35"/>
    </row>
    <row r="23" spans="1:44" outlineLevel="1" x14ac:dyDescent="0.25">
      <c r="A23" s="12"/>
      <c r="B23" s="12" t="s">
        <v>58</v>
      </c>
      <c r="C23" s="14" t="s">
        <v>375</v>
      </c>
      <c r="D23" s="12">
        <v>11812090</v>
      </c>
      <c r="E23" s="13">
        <v>12</v>
      </c>
      <c r="F23" s="14">
        <v>32</v>
      </c>
      <c r="G23" s="14">
        <v>30</v>
      </c>
      <c r="H23" s="14">
        <v>14</v>
      </c>
      <c r="J23" s="15">
        <f t="shared" si="0"/>
        <v>11.997757500000001</v>
      </c>
      <c r="K23" s="16">
        <f t="shared" si="1"/>
        <v>1.0834329911133422</v>
      </c>
      <c r="L23" s="39">
        <v>4836096</v>
      </c>
      <c r="M23" s="17">
        <v>12797608</v>
      </c>
      <c r="N23" s="40">
        <v>76.081173800000002</v>
      </c>
      <c r="O23" s="40">
        <v>78.156279299999994</v>
      </c>
      <c r="P23" s="40">
        <v>39.566354400000002</v>
      </c>
      <c r="Q23" s="40">
        <v>45.524979299999998</v>
      </c>
      <c r="R23" s="40">
        <v>48.294735199999998</v>
      </c>
      <c r="S23" s="40">
        <v>51.0951649</v>
      </c>
      <c r="T23" s="40">
        <v>35.516958899999999</v>
      </c>
      <c r="U23" s="18">
        <v>1294.09295</v>
      </c>
      <c r="V23" s="18">
        <v>13.8877168</v>
      </c>
      <c r="X23" s="15" t="str">
        <f t="shared" si="2"/>
        <v>·</v>
      </c>
      <c r="Y23" s="16" t="str">
        <f t="shared" si="3"/>
        <v>·</v>
      </c>
      <c r="Z23" s="39"/>
      <c r="AA23" s="17"/>
      <c r="AB23" s="40"/>
      <c r="AC23" s="40"/>
      <c r="AD23" s="40"/>
      <c r="AE23" s="40"/>
      <c r="AF23" s="40"/>
      <c r="AG23" s="40"/>
      <c r="AH23" s="40"/>
      <c r="AI23" s="18"/>
      <c r="AJ23" s="18"/>
      <c r="AL23" s="19"/>
      <c r="AM23" s="19"/>
      <c r="AN23" s="19"/>
      <c r="AO23" s="19"/>
      <c r="AP23" s="19"/>
      <c r="AQ23" s="19"/>
      <c r="AR23" s="19"/>
    </row>
    <row r="24" spans="1:44" ht="15.75" customHeight="1" outlineLevel="1" thickBot="1" x14ac:dyDescent="0.3">
      <c r="A24" s="20"/>
      <c r="B24" s="20" t="s">
        <v>58</v>
      </c>
      <c r="C24" s="22" t="s">
        <v>376</v>
      </c>
      <c r="D24" s="20">
        <v>11812090</v>
      </c>
      <c r="E24" s="21">
        <v>12</v>
      </c>
      <c r="F24" s="22">
        <v>32</v>
      </c>
      <c r="G24" s="22">
        <v>30</v>
      </c>
      <c r="H24" s="22">
        <v>21</v>
      </c>
      <c r="J24" s="23">
        <f t="shared" si="0"/>
        <v>23.218499999999999</v>
      </c>
      <c r="K24" s="24">
        <f t="shared" si="1"/>
        <v>2.0966992293489128</v>
      </c>
      <c r="L24" s="53">
        <v>1259636</v>
      </c>
      <c r="M24" s="25">
        <v>24766400</v>
      </c>
      <c r="N24" s="54">
        <v>999.99</v>
      </c>
      <c r="O24" s="54">
        <v>927.52482599999996</v>
      </c>
      <c r="P24" s="54">
        <v>41.809735099999997</v>
      </c>
      <c r="Q24" s="54">
        <v>45.398481799999999</v>
      </c>
      <c r="R24" s="54">
        <v>48.214226099999998</v>
      </c>
      <c r="S24" s="54">
        <v>999.99</v>
      </c>
      <c r="T24" s="54">
        <v>41.871235900000002</v>
      </c>
      <c r="U24" s="26">
        <v>916.04704500000003</v>
      </c>
      <c r="V24" s="26">
        <v>14.7062957</v>
      </c>
      <c r="X24" s="23" t="str">
        <f t="shared" si="2"/>
        <v>·</v>
      </c>
      <c r="Y24" s="24" t="str">
        <f t="shared" si="3"/>
        <v>·</v>
      </c>
      <c r="Z24" s="53"/>
      <c r="AA24" s="25"/>
      <c r="AB24" s="54"/>
      <c r="AC24" s="54"/>
      <c r="AD24" s="54"/>
      <c r="AE24" s="54"/>
      <c r="AF24" s="54"/>
      <c r="AG24" s="54"/>
      <c r="AH24" s="54"/>
      <c r="AI24" s="26"/>
      <c r="AJ24" s="26"/>
      <c r="AL24" s="27"/>
      <c r="AM24" s="27"/>
      <c r="AN24" s="27"/>
      <c r="AO24" s="27"/>
      <c r="AP24" s="27"/>
      <c r="AQ24" s="27"/>
      <c r="AR24" s="27"/>
    </row>
    <row r="25" spans="1:44" x14ac:dyDescent="0.25">
      <c r="A25" s="12" t="s">
        <v>177</v>
      </c>
      <c r="B25" s="12" t="s">
        <v>63</v>
      </c>
      <c r="C25" s="14" t="s">
        <v>372</v>
      </c>
      <c r="D25" s="12">
        <v>12000000</v>
      </c>
      <c r="E25" s="13">
        <v>12</v>
      </c>
      <c r="F25" s="14">
        <v>32</v>
      </c>
      <c r="G25" s="14">
        <v>30</v>
      </c>
      <c r="H25" s="14">
        <v>4</v>
      </c>
      <c r="J25" s="15">
        <f t="shared" si="0"/>
        <v>5.1203475000000003</v>
      </c>
      <c r="K25" s="16">
        <f t="shared" si="1"/>
        <v>0.45514199999999999</v>
      </c>
      <c r="L25" s="39">
        <v>4912768</v>
      </c>
      <c r="M25" s="17">
        <v>5461704</v>
      </c>
      <c r="N25" s="40">
        <v>73.290303499999993</v>
      </c>
      <c r="O25" s="40">
        <v>75.054036600000003</v>
      </c>
      <c r="P25" s="40">
        <v>31.3643261</v>
      </c>
      <c r="Q25" s="40">
        <v>40.416668799999997</v>
      </c>
      <c r="R25" s="40">
        <v>37.551862999999997</v>
      </c>
      <c r="S25" s="40">
        <v>45.170257599999999</v>
      </c>
      <c r="T25" s="40">
        <v>28.858760799999999</v>
      </c>
      <c r="U25" s="18">
        <v>3659.2544699999999</v>
      </c>
      <c r="V25" s="18">
        <v>43.819943500000001</v>
      </c>
      <c r="X25" s="15" t="str">
        <f t="shared" si="2"/>
        <v>·</v>
      </c>
      <c r="Y25" s="16" t="str">
        <f t="shared" si="3"/>
        <v>·</v>
      </c>
      <c r="Z25" s="39"/>
      <c r="AA25" s="17"/>
      <c r="AB25" s="40"/>
      <c r="AC25" s="40"/>
      <c r="AD25" s="40"/>
      <c r="AE25" s="40"/>
      <c r="AF25" s="40"/>
      <c r="AG25" s="40"/>
      <c r="AH25" s="40"/>
      <c r="AI25" s="18"/>
      <c r="AJ25" s="18"/>
      <c r="AL25" s="19" t="str">
        <f t="array" ref="AL25">IF( OR(AND(ISBLANK(M25:M29)),AND(ISBLANK(AA25:AA29)), AND(ISBLANK(N25:N29)),AND(ISBLANK(AB25:AB29))), "·", bdRateExtend( M25:M29,N25:N29, AA25:AA29,AB25:AB29))</f>
        <v>·</v>
      </c>
      <c r="AM25" s="19" t="str">
        <f t="array" ref="AM25">IF( OR(AND(ISBLANK(M25:M29)),AND(ISBLANK(AA25:AA29)), AND(ISBLANK(O25:O29)),AND(ISBLANK(AC25:AC29))), "·", bdRateExtend( M25:M29,O25:O29, AA25:AA29,AC25:AC29))</f>
        <v>·</v>
      </c>
      <c r="AN25" s="19" t="str">
        <f t="array" ref="AN25">IF( OR(AND(ISBLANK(M25:M29)),AND(ISBLANK(AA25:AA29)), AND(ISBLANK(P25:P29)),AND(ISBLANK(AD25:AD29))), "·", bdRateExtend( M25:M29,P25:P29, AA25:AA29,AD25:AD29))</f>
        <v>·</v>
      </c>
      <c r="AO25" s="19" t="str">
        <f t="array" ref="AO25">IF( OR(AND(ISBLANK(M25:M29)),AND(ISBLANK(AA25:AA29)), AND(ISBLANK(Q25:Q29)),AND(ISBLANK(AE25:AE29))), "·", bdRateExtend( M25:M29,Q25:Q29, AA25:AA29,AE25:AE29))</f>
        <v>·</v>
      </c>
      <c r="AP25" s="19" t="str">
        <f t="array" ref="AP25">IF( OR(AND(ISBLANK(M25:M29)),AND(ISBLANK(AA25:AA29)), AND(ISBLANK(R25:R29)),AND(ISBLANK(AF25:AF29))), "·", bdRateExtend( M25:M29,R25:R29, AA25:AA29,AF25:AF29))</f>
        <v>·</v>
      </c>
      <c r="AQ25" s="19" t="str">
        <f t="array" ref="AQ25">IF( OR(AND(ISBLANK(M25:M29)),AND(ISBLANK(AA25:AA29)), AND(ISBLANK(S25:S29)),AND(ISBLANK(AG25:AG29))), "·", bdRateExtend( M25:M29,S25:S29, AA25:AA29,AG25:AG29))</f>
        <v>·</v>
      </c>
      <c r="AR25" s="19" t="str">
        <f t="array" ref="AR25">IF( OR(AND(ISBLANK(M25:M29)),AND(ISBLANK(AA25:AA29)), AND(ISBLANK(T25:T29)),AND(ISBLANK(AH25:AH29))), "·", bdRateExtend( M25:M29,T25:T29, AA25:AA29,AH25:AH29))</f>
        <v>·</v>
      </c>
    </row>
    <row r="26" spans="1:44" outlineLevel="1" x14ac:dyDescent="0.25">
      <c r="A26" s="28"/>
      <c r="B26" s="28" t="s">
        <v>63</v>
      </c>
      <c r="C26" s="30" t="s">
        <v>373</v>
      </c>
      <c r="D26" s="28">
        <v>12000000</v>
      </c>
      <c r="E26" s="29">
        <v>12</v>
      </c>
      <c r="F26" s="30">
        <v>32</v>
      </c>
      <c r="G26" s="30">
        <v>30</v>
      </c>
      <c r="H26" s="30">
        <v>8</v>
      </c>
      <c r="J26" s="31">
        <f t="shared" si="0"/>
        <v>7.2318600000000002</v>
      </c>
      <c r="K26" s="32">
        <f t="shared" si="1"/>
        <v>0.64283199999999996</v>
      </c>
      <c r="L26" s="41">
        <v>4912768</v>
      </c>
      <c r="M26" s="33">
        <v>7713984</v>
      </c>
      <c r="N26" s="42">
        <v>74.437756100000001</v>
      </c>
      <c r="O26" s="42">
        <v>76.373139300000005</v>
      </c>
      <c r="P26" s="42">
        <v>32.6513986</v>
      </c>
      <c r="Q26" s="42">
        <v>42.179254499999999</v>
      </c>
      <c r="R26" s="42">
        <v>39.5924707</v>
      </c>
      <c r="S26" s="42">
        <v>45.668463699999997</v>
      </c>
      <c r="T26" s="42">
        <v>29.883373500000001</v>
      </c>
      <c r="U26" s="34">
        <v>3693.6368499999999</v>
      </c>
      <c r="V26" s="34">
        <v>44.858020699999997</v>
      </c>
      <c r="X26" s="31" t="str">
        <f t="shared" si="2"/>
        <v>·</v>
      </c>
      <c r="Y26" s="32" t="str">
        <f t="shared" si="3"/>
        <v>·</v>
      </c>
      <c r="Z26" s="41"/>
      <c r="AA26" s="33"/>
      <c r="AB26" s="42"/>
      <c r="AC26" s="42"/>
      <c r="AD26" s="42"/>
      <c r="AE26" s="42"/>
      <c r="AF26" s="42"/>
      <c r="AG26" s="42"/>
      <c r="AH26" s="42"/>
      <c r="AI26" s="34"/>
      <c r="AJ26" s="34"/>
      <c r="AL26" s="35"/>
      <c r="AM26" s="35"/>
      <c r="AN26" s="35"/>
      <c r="AO26" s="35"/>
      <c r="AP26" s="35"/>
      <c r="AQ26" s="35"/>
      <c r="AR26" s="35"/>
    </row>
    <row r="27" spans="1:44" outlineLevel="1" x14ac:dyDescent="0.25">
      <c r="A27" s="12"/>
      <c r="B27" s="12" t="s">
        <v>63</v>
      </c>
      <c r="C27" s="14" t="s">
        <v>374</v>
      </c>
      <c r="D27" s="12">
        <v>12000000</v>
      </c>
      <c r="E27" s="13">
        <v>12</v>
      </c>
      <c r="F27" s="14">
        <v>32</v>
      </c>
      <c r="G27" s="14">
        <v>30</v>
      </c>
      <c r="H27" s="14">
        <v>12</v>
      </c>
      <c r="J27" s="15">
        <f t="shared" si="0"/>
        <v>11.180580000000001</v>
      </c>
      <c r="K27" s="16">
        <f t="shared" si="1"/>
        <v>0.99382933333333334</v>
      </c>
      <c r="L27" s="39">
        <v>2456992</v>
      </c>
      <c r="M27" s="17">
        <v>11925952</v>
      </c>
      <c r="N27" s="40">
        <v>77.224398199999996</v>
      </c>
      <c r="O27" s="40">
        <v>79.851763700000006</v>
      </c>
      <c r="P27" s="40">
        <v>33.855173000000001</v>
      </c>
      <c r="Q27" s="40">
        <v>43.311792099999998</v>
      </c>
      <c r="R27" s="40">
        <v>41.004220799999999</v>
      </c>
      <c r="S27" s="40">
        <v>46.8038892</v>
      </c>
      <c r="T27" s="40">
        <v>31.5188162</v>
      </c>
      <c r="U27" s="18">
        <v>3806.0065300000001</v>
      </c>
      <c r="V27" s="18">
        <v>45.568900200000002</v>
      </c>
      <c r="X27" s="15" t="str">
        <f t="shared" si="2"/>
        <v>·</v>
      </c>
      <c r="Y27" s="16" t="str">
        <f t="shared" si="3"/>
        <v>·</v>
      </c>
      <c r="Z27" s="39"/>
      <c r="AA27" s="17"/>
      <c r="AB27" s="40"/>
      <c r="AC27" s="40"/>
      <c r="AD27" s="40"/>
      <c r="AE27" s="40"/>
      <c r="AF27" s="40"/>
      <c r="AG27" s="40"/>
      <c r="AH27" s="40"/>
      <c r="AI27" s="18"/>
      <c r="AJ27" s="18"/>
      <c r="AL27" s="19"/>
      <c r="AM27" s="19"/>
      <c r="AN27" s="19"/>
      <c r="AO27" s="19"/>
      <c r="AP27" s="19"/>
      <c r="AQ27" s="19"/>
      <c r="AR27" s="19"/>
    </row>
    <row r="28" spans="1:44" outlineLevel="1" x14ac:dyDescent="0.25">
      <c r="A28" s="28"/>
      <c r="B28" s="28" t="s">
        <v>63</v>
      </c>
      <c r="C28" s="30" t="s">
        <v>375</v>
      </c>
      <c r="D28" s="28">
        <v>12000000</v>
      </c>
      <c r="E28" s="29">
        <v>12</v>
      </c>
      <c r="F28" s="30">
        <v>32</v>
      </c>
      <c r="G28" s="30">
        <v>30</v>
      </c>
      <c r="H28" s="30">
        <v>17</v>
      </c>
      <c r="J28" s="31">
        <f t="shared" si="0"/>
        <v>12.72348</v>
      </c>
      <c r="K28" s="32">
        <f t="shared" si="1"/>
        <v>1.130976</v>
      </c>
      <c r="L28" s="41">
        <v>4914848</v>
      </c>
      <c r="M28" s="33">
        <v>13571712</v>
      </c>
      <c r="N28" s="42">
        <v>79.433137400000007</v>
      </c>
      <c r="O28" s="42">
        <v>82.6047966</v>
      </c>
      <c r="P28" s="42">
        <v>34.071380099999999</v>
      </c>
      <c r="Q28" s="42">
        <v>43.342191499999998</v>
      </c>
      <c r="R28" s="42">
        <v>41.093344500000001</v>
      </c>
      <c r="S28" s="42">
        <v>48.367856000000003</v>
      </c>
      <c r="T28" s="42">
        <v>32.4368707</v>
      </c>
      <c r="U28" s="34">
        <v>4271.0690000000004</v>
      </c>
      <c r="V28" s="34">
        <v>47.219068499999999</v>
      </c>
      <c r="X28" s="31" t="str">
        <f t="shared" si="2"/>
        <v>·</v>
      </c>
      <c r="Y28" s="32" t="str">
        <f t="shared" si="3"/>
        <v>·</v>
      </c>
      <c r="Z28" s="41"/>
      <c r="AA28" s="33"/>
      <c r="AB28" s="42"/>
      <c r="AC28" s="42"/>
      <c r="AD28" s="42"/>
      <c r="AE28" s="42"/>
      <c r="AF28" s="42"/>
      <c r="AG28" s="42"/>
      <c r="AH28" s="42"/>
      <c r="AI28" s="34"/>
      <c r="AJ28" s="34"/>
      <c r="AL28" s="35"/>
      <c r="AM28" s="35"/>
      <c r="AN28" s="35"/>
      <c r="AO28" s="35"/>
      <c r="AP28" s="35"/>
      <c r="AQ28" s="35"/>
      <c r="AR28" s="35"/>
    </row>
    <row r="29" spans="1:44" ht="15.75" customHeight="1" outlineLevel="1" thickBot="1" x14ac:dyDescent="0.3">
      <c r="A29" s="12"/>
      <c r="B29" s="43" t="s">
        <v>63</v>
      </c>
      <c r="C29" s="44" t="s">
        <v>376</v>
      </c>
      <c r="D29" s="43">
        <v>12000000</v>
      </c>
      <c r="E29" s="45">
        <v>12</v>
      </c>
      <c r="F29" s="44">
        <v>32</v>
      </c>
      <c r="G29" s="44">
        <v>30</v>
      </c>
      <c r="H29" s="44">
        <v>25</v>
      </c>
      <c r="J29" s="46">
        <f t="shared" si="0"/>
        <v>22.9211025</v>
      </c>
      <c r="K29" s="47">
        <f t="shared" si="1"/>
        <v>2.0374313333333331</v>
      </c>
      <c r="L29" s="48">
        <v>921591</v>
      </c>
      <c r="M29" s="49">
        <v>24449176</v>
      </c>
      <c r="N29" s="50">
        <v>85.9955164</v>
      </c>
      <c r="O29" s="50">
        <v>91.402885400000002</v>
      </c>
      <c r="P29" s="50">
        <v>35.275676699999998</v>
      </c>
      <c r="Q29" s="50">
        <v>43.992724299999999</v>
      </c>
      <c r="R29" s="50">
        <v>42.009860799999998</v>
      </c>
      <c r="S29" s="50">
        <v>55.644798000000002</v>
      </c>
      <c r="T29" s="50">
        <v>34.854059100000001</v>
      </c>
      <c r="U29" s="51">
        <v>5835.5593900000003</v>
      </c>
      <c r="V29" s="51">
        <v>47.163538299999999</v>
      </c>
      <c r="X29" s="46" t="str">
        <f t="shared" si="2"/>
        <v>·</v>
      </c>
      <c r="Y29" s="47" t="str">
        <f t="shared" si="3"/>
        <v>·</v>
      </c>
      <c r="Z29" s="48"/>
      <c r="AA29" s="49"/>
      <c r="AB29" s="50"/>
      <c r="AC29" s="50"/>
      <c r="AD29" s="50"/>
      <c r="AE29" s="50"/>
      <c r="AF29" s="50"/>
      <c r="AG29" s="50"/>
      <c r="AH29" s="50"/>
      <c r="AI29" s="51"/>
      <c r="AJ29" s="51"/>
      <c r="AL29" s="52"/>
      <c r="AM29" s="52"/>
      <c r="AN29" s="52"/>
      <c r="AO29" s="52"/>
      <c r="AP29" s="52"/>
      <c r="AQ29" s="52"/>
      <c r="AR29" s="52"/>
    </row>
    <row r="30" spans="1:44" x14ac:dyDescent="0.25">
      <c r="A30" s="28"/>
      <c r="B30" s="28" t="s">
        <v>68</v>
      </c>
      <c r="C30" s="30" t="s">
        <v>372</v>
      </c>
      <c r="D30" s="28">
        <v>5997654</v>
      </c>
      <c r="E30" s="29">
        <v>12</v>
      </c>
      <c r="F30" s="30">
        <v>32</v>
      </c>
      <c r="G30" s="30">
        <v>30</v>
      </c>
      <c r="H30" s="30">
        <v>4</v>
      </c>
      <c r="J30" s="31">
        <f t="shared" si="0"/>
        <v>3.2186325</v>
      </c>
      <c r="K30" s="32">
        <f t="shared" si="1"/>
        <v>0.57242515156759621</v>
      </c>
      <c r="L30" s="41">
        <v>2425472</v>
      </c>
      <c r="M30" s="33">
        <v>3433208</v>
      </c>
      <c r="N30" s="42">
        <v>70.669883900000002</v>
      </c>
      <c r="O30" s="42">
        <v>72.016453600000006</v>
      </c>
      <c r="P30" s="42">
        <v>36.967788300000002</v>
      </c>
      <c r="Q30" s="42">
        <v>43.913235499999999</v>
      </c>
      <c r="R30" s="42">
        <v>42.345749099999999</v>
      </c>
      <c r="S30" s="42">
        <v>45.298437499999999</v>
      </c>
      <c r="T30" s="42">
        <v>33.223877799999997</v>
      </c>
      <c r="U30" s="34">
        <v>2553.5107200000002</v>
      </c>
      <c r="V30" s="34">
        <v>11.297802300000001</v>
      </c>
      <c r="X30" s="31" t="str">
        <f t="shared" si="2"/>
        <v>·</v>
      </c>
      <c r="Y30" s="32" t="str">
        <f t="shared" si="3"/>
        <v>·</v>
      </c>
      <c r="Z30" s="41"/>
      <c r="AA30" s="33"/>
      <c r="AB30" s="42"/>
      <c r="AC30" s="42"/>
      <c r="AD30" s="42"/>
      <c r="AE30" s="42"/>
      <c r="AF30" s="42"/>
      <c r="AG30" s="42"/>
      <c r="AH30" s="42"/>
      <c r="AI30" s="34"/>
      <c r="AJ30" s="34"/>
      <c r="AL30" s="35" t="str">
        <f t="array" ref="AL30">IF( OR(AND(ISBLANK(M30:M34)),AND(ISBLANK(AA30:AA34)), AND(ISBLANK(N30:N34)),AND(ISBLANK(AB30:AB34))), "·", bdRateExtend( M30:M34,N30:N34, AA30:AA34,AB30:AB34))</f>
        <v>·</v>
      </c>
      <c r="AM30" s="35" t="str">
        <f t="array" ref="AM30">IF( OR(AND(ISBLANK(M30:M34)),AND(ISBLANK(AA30:AA34)), AND(ISBLANK(O30:O34)),AND(ISBLANK(AC30:AC34))), "·", bdRateExtend( M30:M34,O30:O34, AA30:AA34,AC30:AC34))</f>
        <v>·</v>
      </c>
      <c r="AN30" s="35" t="str">
        <f t="array" ref="AN30">IF( OR(AND(ISBLANK(M30:M34)),AND(ISBLANK(AA30:AA34)), AND(ISBLANK(P30:P34)),AND(ISBLANK(AD30:AD34))), "·", bdRateExtend( M30:M34,P30:P34, AA30:AA34,AD30:AD34))</f>
        <v>·</v>
      </c>
      <c r="AO30" s="35" t="str">
        <f t="array" ref="AO30">IF( OR(AND(ISBLANK(M30:M34)),AND(ISBLANK(AA30:AA34)), AND(ISBLANK(Q30:Q34)),AND(ISBLANK(AE30:AE34))), "·", bdRateExtend( M30:M34,Q30:Q34, AA30:AA34,AE30:AE34))</f>
        <v>·</v>
      </c>
      <c r="AP30" s="35" t="str">
        <f t="array" ref="AP30">IF( OR(AND(ISBLANK(M30:M34)),AND(ISBLANK(AA30:AA34)), AND(ISBLANK(R30:R34)),AND(ISBLANK(AF30:AF34))), "·", bdRateExtend( M30:M34,R30:R34, AA30:AA34,AF30:AF34))</f>
        <v>·</v>
      </c>
      <c r="AQ30" s="35" t="str">
        <f t="array" ref="AQ30">IF( OR(AND(ISBLANK(M30:M34)),AND(ISBLANK(AA30:AA34)), AND(ISBLANK(S30:S34)),AND(ISBLANK(AG30:AG34))), "·", bdRateExtend( M30:M34,S30:S34, AA30:AA34,AG30:AG34))</f>
        <v>·</v>
      </c>
      <c r="AR30" s="35" t="str">
        <f t="array" ref="AR30">IF( OR(AND(ISBLANK(M30:M34)),AND(ISBLANK(AA30:AA34)), AND(ISBLANK(T30:T34)),AND(ISBLANK(AH30:AH34))), "·", bdRateExtend( M30:M34,T30:T34, AA30:AA34,AH30:AH34))</f>
        <v>·</v>
      </c>
    </row>
    <row r="31" spans="1:44" outlineLevel="1" x14ac:dyDescent="0.25">
      <c r="A31" s="12"/>
      <c r="B31" s="12" t="s">
        <v>68</v>
      </c>
      <c r="C31" s="14" t="s">
        <v>373</v>
      </c>
      <c r="D31" s="12">
        <v>5997654</v>
      </c>
      <c r="E31" s="13">
        <v>12</v>
      </c>
      <c r="F31" s="14">
        <v>32</v>
      </c>
      <c r="G31" s="14">
        <v>30</v>
      </c>
      <c r="H31" s="14">
        <v>8</v>
      </c>
      <c r="J31" s="15">
        <f t="shared" si="0"/>
        <v>6.4213725000000004</v>
      </c>
      <c r="K31" s="16">
        <f t="shared" si="1"/>
        <v>1.1420238646644172</v>
      </c>
      <c r="L31" s="39">
        <v>2449840</v>
      </c>
      <c r="M31" s="17">
        <v>6849464</v>
      </c>
      <c r="N31" s="40">
        <v>75.872135200000002</v>
      </c>
      <c r="O31" s="40">
        <v>77.848551999999998</v>
      </c>
      <c r="P31" s="40">
        <v>39.111015000000002</v>
      </c>
      <c r="Q31" s="40">
        <v>45.466149399999999</v>
      </c>
      <c r="R31" s="40">
        <v>44.302761599999997</v>
      </c>
      <c r="S31" s="40">
        <v>48.250215400000002</v>
      </c>
      <c r="T31" s="40">
        <v>36.043490499999997</v>
      </c>
      <c r="U31" s="18">
        <v>7755.0596699999996</v>
      </c>
      <c r="V31" s="18">
        <v>41.520060600000001</v>
      </c>
      <c r="X31" s="15" t="str">
        <f t="shared" si="2"/>
        <v>·</v>
      </c>
      <c r="Y31" s="16" t="str">
        <f t="shared" si="3"/>
        <v>·</v>
      </c>
      <c r="Z31" s="39"/>
      <c r="AA31" s="17"/>
      <c r="AB31" s="40"/>
      <c r="AC31" s="40"/>
      <c r="AD31" s="40"/>
      <c r="AE31" s="40"/>
      <c r="AF31" s="40"/>
      <c r="AG31" s="40"/>
      <c r="AH31" s="40"/>
      <c r="AI31" s="18"/>
      <c r="AJ31" s="18"/>
      <c r="AL31" s="19"/>
      <c r="AM31" s="19"/>
      <c r="AN31" s="19"/>
      <c r="AO31" s="19"/>
      <c r="AP31" s="19"/>
      <c r="AQ31" s="19"/>
      <c r="AR31" s="19"/>
    </row>
    <row r="32" spans="1:44" outlineLevel="1" x14ac:dyDescent="0.25">
      <c r="A32" s="28"/>
      <c r="B32" s="28" t="s">
        <v>68</v>
      </c>
      <c r="C32" s="30" t="s">
        <v>374</v>
      </c>
      <c r="D32" s="28">
        <v>5997654</v>
      </c>
      <c r="E32" s="29">
        <v>12</v>
      </c>
      <c r="F32" s="30">
        <v>32</v>
      </c>
      <c r="G32" s="30">
        <v>30</v>
      </c>
      <c r="H32" s="30">
        <v>12</v>
      </c>
      <c r="J32" s="31">
        <f t="shared" si="0"/>
        <v>9.8407125000000004</v>
      </c>
      <c r="K32" s="32">
        <f t="shared" si="1"/>
        <v>1.7501443064238118</v>
      </c>
      <c r="L32" s="41">
        <v>2449840</v>
      </c>
      <c r="M32" s="33">
        <v>10496760</v>
      </c>
      <c r="N32" s="42">
        <v>76.593355900000006</v>
      </c>
      <c r="O32" s="42">
        <v>78.700564400000005</v>
      </c>
      <c r="P32" s="42">
        <v>40.541528800000002</v>
      </c>
      <c r="Q32" s="42">
        <v>46.157295300000001</v>
      </c>
      <c r="R32" s="42">
        <v>45.124122399999997</v>
      </c>
      <c r="S32" s="42">
        <v>48.661996500000001</v>
      </c>
      <c r="T32" s="42">
        <v>36.9269465</v>
      </c>
      <c r="U32" s="34">
        <v>8347.3867699999992</v>
      </c>
      <c r="V32" s="34">
        <v>43.0987315</v>
      </c>
      <c r="X32" s="31" t="str">
        <f t="shared" si="2"/>
        <v>·</v>
      </c>
      <c r="Y32" s="32" t="str">
        <f t="shared" si="3"/>
        <v>·</v>
      </c>
      <c r="Z32" s="41"/>
      <c r="AA32" s="33"/>
      <c r="AB32" s="42"/>
      <c r="AC32" s="42"/>
      <c r="AD32" s="42"/>
      <c r="AE32" s="42"/>
      <c r="AF32" s="42"/>
      <c r="AG32" s="42"/>
      <c r="AH32" s="42"/>
      <c r="AI32" s="34"/>
      <c r="AJ32" s="34"/>
      <c r="AL32" s="35"/>
      <c r="AM32" s="35"/>
      <c r="AN32" s="35"/>
      <c r="AO32" s="35"/>
      <c r="AP32" s="35"/>
      <c r="AQ32" s="35"/>
      <c r="AR32" s="35"/>
    </row>
    <row r="33" spans="1:44" outlineLevel="1" x14ac:dyDescent="0.25">
      <c r="A33" s="12"/>
      <c r="B33" s="12" t="s">
        <v>68</v>
      </c>
      <c r="C33" s="14" t="s">
        <v>375</v>
      </c>
      <c r="D33" s="12">
        <v>5997654</v>
      </c>
      <c r="E33" s="13">
        <v>12</v>
      </c>
      <c r="F33" s="14">
        <v>32</v>
      </c>
      <c r="G33" s="14">
        <v>30</v>
      </c>
      <c r="H33" s="14">
        <v>17</v>
      </c>
      <c r="J33" s="15">
        <f t="shared" si="0"/>
        <v>14.575559999999999</v>
      </c>
      <c r="K33" s="16">
        <f t="shared" si="1"/>
        <v>2.5922242263391655</v>
      </c>
      <c r="L33" s="39">
        <v>4909088</v>
      </c>
      <c r="M33" s="17">
        <v>15547264</v>
      </c>
      <c r="N33" s="40">
        <v>80.707044100000005</v>
      </c>
      <c r="O33" s="40">
        <v>84.054380699999996</v>
      </c>
      <c r="P33" s="40">
        <v>41.504823299999998</v>
      </c>
      <c r="Q33" s="40">
        <v>47.004440299999999</v>
      </c>
      <c r="R33" s="40">
        <v>46.070081999999999</v>
      </c>
      <c r="S33" s="40">
        <v>51.1815517</v>
      </c>
      <c r="T33" s="40">
        <v>39.168155200000001</v>
      </c>
      <c r="U33" s="18">
        <v>9090.6499299999996</v>
      </c>
      <c r="V33" s="18">
        <v>43.389775800000002</v>
      </c>
      <c r="X33" s="15" t="str">
        <f t="shared" si="2"/>
        <v>·</v>
      </c>
      <c r="Y33" s="16" t="str">
        <f t="shared" si="3"/>
        <v>·</v>
      </c>
      <c r="Z33" s="39"/>
      <c r="AA33" s="17"/>
      <c r="AB33" s="40"/>
      <c r="AC33" s="40"/>
      <c r="AD33" s="40"/>
      <c r="AE33" s="40"/>
      <c r="AF33" s="40"/>
      <c r="AG33" s="40"/>
      <c r="AH33" s="40"/>
      <c r="AI33" s="18"/>
      <c r="AJ33" s="18"/>
      <c r="AL33" s="19"/>
      <c r="AM33" s="19"/>
      <c r="AN33" s="19"/>
      <c r="AO33" s="19"/>
      <c r="AP33" s="19"/>
      <c r="AQ33" s="19"/>
      <c r="AR33" s="19"/>
    </row>
    <row r="34" spans="1:44" ht="15.75" customHeight="1" outlineLevel="1" thickBot="1" x14ac:dyDescent="0.3">
      <c r="A34" s="28"/>
      <c r="B34" s="20" t="s">
        <v>68</v>
      </c>
      <c r="C34" s="22" t="s">
        <v>376</v>
      </c>
      <c r="D34" s="20">
        <v>5997654</v>
      </c>
      <c r="E34" s="21">
        <v>12</v>
      </c>
      <c r="F34" s="22">
        <v>32</v>
      </c>
      <c r="G34" s="22">
        <v>30</v>
      </c>
      <c r="H34" s="22">
        <v>25</v>
      </c>
      <c r="J34" s="23">
        <f t="shared" si="0"/>
        <v>22.545562499999999</v>
      </c>
      <c r="K34" s="24">
        <f t="shared" si="1"/>
        <v>4.0096677801020197</v>
      </c>
      <c r="L34" s="53">
        <v>614149</v>
      </c>
      <c r="M34" s="25">
        <v>24048600</v>
      </c>
      <c r="N34" s="54">
        <v>83.292922099999998</v>
      </c>
      <c r="O34" s="54">
        <v>87.093126600000005</v>
      </c>
      <c r="P34" s="54">
        <v>42.4041158</v>
      </c>
      <c r="Q34" s="54">
        <v>47.736338199999999</v>
      </c>
      <c r="R34" s="54">
        <v>46.934595199999997</v>
      </c>
      <c r="S34" s="54">
        <v>53.341924200000001</v>
      </c>
      <c r="T34" s="54">
        <v>40.715426299999997</v>
      </c>
      <c r="U34" s="26">
        <v>4766.8349200000002</v>
      </c>
      <c r="V34" s="26">
        <v>47.519295999999997</v>
      </c>
      <c r="X34" s="23" t="str">
        <f t="shared" si="2"/>
        <v>·</v>
      </c>
      <c r="Y34" s="24" t="str">
        <f t="shared" si="3"/>
        <v>·</v>
      </c>
      <c r="Z34" s="53"/>
      <c r="AA34" s="25"/>
      <c r="AB34" s="54"/>
      <c r="AC34" s="54"/>
      <c r="AD34" s="54"/>
      <c r="AE34" s="54"/>
      <c r="AF34" s="54"/>
      <c r="AG34" s="54"/>
      <c r="AH34" s="54"/>
      <c r="AI34" s="26"/>
      <c r="AJ34" s="26"/>
      <c r="AL34" s="27"/>
      <c r="AM34" s="27"/>
      <c r="AN34" s="27"/>
      <c r="AO34" s="27"/>
      <c r="AP34" s="27"/>
      <c r="AQ34" s="27"/>
      <c r="AR34" s="27"/>
    </row>
    <row r="35" spans="1:44" x14ac:dyDescent="0.25">
      <c r="A35" s="12"/>
      <c r="B35" s="12" t="s">
        <v>32</v>
      </c>
      <c r="C35" s="14" t="s">
        <v>372</v>
      </c>
      <c r="D35" s="12">
        <v>9000000</v>
      </c>
      <c r="E35" s="13">
        <v>12</v>
      </c>
      <c r="F35" s="14">
        <v>32</v>
      </c>
      <c r="G35" s="14">
        <v>30</v>
      </c>
      <c r="H35" s="14">
        <v>3</v>
      </c>
      <c r="J35" s="15">
        <f t="shared" si="0"/>
        <v>2.9770275000000002</v>
      </c>
      <c r="K35" s="16">
        <f t="shared" si="1"/>
        <v>0.35283288888888886</v>
      </c>
      <c r="L35" s="39">
        <v>3680512</v>
      </c>
      <c r="M35" s="17">
        <v>3175496</v>
      </c>
      <c r="N35" s="40">
        <v>71.944628499999993</v>
      </c>
      <c r="O35" s="40">
        <v>73.582767799999999</v>
      </c>
      <c r="P35" s="40">
        <v>29.617571099999999</v>
      </c>
      <c r="Q35" s="40">
        <v>38.860703399999998</v>
      </c>
      <c r="R35" s="40">
        <v>38.792974700000002</v>
      </c>
      <c r="S35" s="40">
        <v>47.763128700000003</v>
      </c>
      <c r="T35" s="40">
        <v>28.744095099999999</v>
      </c>
      <c r="U35" s="18">
        <v>2217.4160099999999</v>
      </c>
      <c r="V35" s="18">
        <v>11.365476299999999</v>
      </c>
      <c r="X35" s="15" t="str">
        <f t="shared" si="2"/>
        <v>·</v>
      </c>
      <c r="Y35" s="16" t="str">
        <f t="shared" si="3"/>
        <v>·</v>
      </c>
      <c r="Z35" s="39"/>
      <c r="AA35" s="17"/>
      <c r="AB35" s="40"/>
      <c r="AC35" s="40"/>
      <c r="AD35" s="40"/>
      <c r="AE35" s="40"/>
      <c r="AF35" s="40"/>
      <c r="AG35" s="40"/>
      <c r="AH35" s="40"/>
      <c r="AI35" s="18"/>
      <c r="AJ35" s="18"/>
      <c r="AL35" s="19" t="str">
        <f t="array" ref="AL35">IF( OR(AND(ISBLANK(M35:M39)),AND(ISBLANK(AA35:AA39)), AND(ISBLANK(N35:N39)),AND(ISBLANK(AB35:AB39))), "·", bdRateExtend( M35:M39,N35:N39, AA35:AA39,AB35:AB39))</f>
        <v>·</v>
      </c>
      <c r="AM35" s="19" t="str">
        <f t="array" ref="AM35">IF( OR(AND(ISBLANK(M35:M39)),AND(ISBLANK(AA35:AA39)), AND(ISBLANK(O35:O39)),AND(ISBLANK(AC35:AC39))), "·", bdRateExtend( M35:M39,O35:O39, AA35:AA39,AC35:AC39))</f>
        <v>·</v>
      </c>
      <c r="AN35" s="19" t="str">
        <f t="array" ref="AN35">IF( OR(AND(ISBLANK(M35:M39)),AND(ISBLANK(AA35:AA39)), AND(ISBLANK(P35:P39)),AND(ISBLANK(AD35:AD39))), "·", bdRateExtend( M35:M39,P35:P39, AA35:AA39,AD35:AD39))</f>
        <v>·</v>
      </c>
      <c r="AO35" s="19" t="str">
        <f t="array" ref="AO35">IF( OR(AND(ISBLANK(M35:M39)),AND(ISBLANK(AA35:AA39)), AND(ISBLANK(Q35:Q39)),AND(ISBLANK(AE35:AE39))), "·", bdRateExtend( M35:M39,Q35:Q39, AA35:AA39,AE35:AE39))</f>
        <v>·</v>
      </c>
      <c r="AP35" s="19" t="str">
        <f t="array" ref="AP35">IF( OR(AND(ISBLANK(M35:M39)),AND(ISBLANK(AA35:AA39)), AND(ISBLANK(R35:R39)),AND(ISBLANK(AF35:AF39))), "·", bdRateExtend( M35:M39,R35:R39, AA35:AA39,AF35:AF39))</f>
        <v>·</v>
      </c>
      <c r="AQ35" s="19" t="str">
        <f t="array" ref="AQ35">IF( OR(AND(ISBLANK(M35:M39)),AND(ISBLANK(AA35:AA39)), AND(ISBLANK(S35:S39)),AND(ISBLANK(AG35:AG39))), "·", bdRateExtend( M35:M39,S35:S39, AA35:AA39,AG35:AG39))</f>
        <v>·</v>
      </c>
      <c r="AR35" s="19" t="str">
        <f t="array" ref="AR35">IF( OR(AND(ISBLANK(M35:M39)),AND(ISBLANK(AA35:AA39)), AND(ISBLANK(T35:T39)),AND(ISBLANK(AH35:AH39))), "·", bdRateExtend( M35:M39,T35:T39, AA35:AA39,AH35:AH39))</f>
        <v>·</v>
      </c>
    </row>
    <row r="36" spans="1:44" outlineLevel="1" x14ac:dyDescent="0.25">
      <c r="A36" s="28"/>
      <c r="B36" s="28" t="s">
        <v>32</v>
      </c>
      <c r="C36" s="30" t="s">
        <v>373</v>
      </c>
      <c r="D36" s="28">
        <v>9000000</v>
      </c>
      <c r="E36" s="29">
        <v>12</v>
      </c>
      <c r="F36" s="30">
        <v>32</v>
      </c>
      <c r="G36" s="30">
        <v>30</v>
      </c>
      <c r="H36" s="30">
        <v>4</v>
      </c>
      <c r="J36" s="31">
        <f t="shared" si="0"/>
        <v>4.0024575000000002</v>
      </c>
      <c r="K36" s="32">
        <f t="shared" si="1"/>
        <v>0.47436533333333336</v>
      </c>
      <c r="L36" s="41">
        <v>3680512</v>
      </c>
      <c r="M36" s="33">
        <v>4269288</v>
      </c>
      <c r="N36" s="42">
        <v>72.862286900000001</v>
      </c>
      <c r="O36" s="42">
        <v>74.634444200000004</v>
      </c>
      <c r="P36" s="42">
        <v>29.933825200000001</v>
      </c>
      <c r="Q36" s="42">
        <v>38.937613800000001</v>
      </c>
      <c r="R36" s="42">
        <v>38.907921299999998</v>
      </c>
      <c r="S36" s="42">
        <v>48.143657400000002</v>
      </c>
      <c r="T36" s="42">
        <v>29.046645900000001</v>
      </c>
      <c r="U36" s="34">
        <v>2314.4714300000001</v>
      </c>
      <c r="V36" s="34">
        <v>11.498274500000001</v>
      </c>
      <c r="X36" s="31" t="str">
        <f t="shared" si="2"/>
        <v>·</v>
      </c>
      <c r="Y36" s="32" t="str">
        <f t="shared" si="3"/>
        <v>·</v>
      </c>
      <c r="Z36" s="41"/>
      <c r="AA36" s="33"/>
      <c r="AB36" s="42"/>
      <c r="AC36" s="42"/>
      <c r="AD36" s="42"/>
      <c r="AE36" s="42"/>
      <c r="AF36" s="42"/>
      <c r="AG36" s="42"/>
      <c r="AH36" s="42"/>
      <c r="AI36" s="34"/>
      <c r="AJ36" s="34"/>
      <c r="AL36" s="35"/>
      <c r="AM36" s="35"/>
      <c r="AN36" s="35"/>
      <c r="AO36" s="35"/>
      <c r="AP36" s="35"/>
      <c r="AQ36" s="35"/>
      <c r="AR36" s="35"/>
    </row>
    <row r="37" spans="1:44" outlineLevel="1" x14ac:dyDescent="0.25">
      <c r="A37" s="12"/>
      <c r="B37" s="12" t="s">
        <v>32</v>
      </c>
      <c r="C37" s="14" t="s">
        <v>374</v>
      </c>
      <c r="D37" s="12">
        <v>9000000</v>
      </c>
      <c r="E37" s="13">
        <v>12</v>
      </c>
      <c r="F37" s="14">
        <v>32</v>
      </c>
      <c r="G37" s="14">
        <v>30</v>
      </c>
      <c r="H37" s="14">
        <v>6</v>
      </c>
      <c r="J37" s="15">
        <f t="shared" si="0"/>
        <v>5.8863824999999999</v>
      </c>
      <c r="K37" s="16">
        <f t="shared" si="1"/>
        <v>0.69764533333333334</v>
      </c>
      <c r="L37" s="39">
        <v>3680512</v>
      </c>
      <c r="M37" s="17">
        <v>6278808</v>
      </c>
      <c r="N37" s="40">
        <v>75.264771600000003</v>
      </c>
      <c r="O37" s="40">
        <v>77.427297499999995</v>
      </c>
      <c r="P37" s="40">
        <v>30.576485699999999</v>
      </c>
      <c r="Q37" s="40">
        <v>39.033302300000003</v>
      </c>
      <c r="R37" s="40">
        <v>39.214171200000003</v>
      </c>
      <c r="S37" s="40">
        <v>49.509763499999998</v>
      </c>
      <c r="T37" s="40">
        <v>29.7534888</v>
      </c>
      <c r="U37" s="18">
        <v>6118.7680899999996</v>
      </c>
      <c r="V37" s="18">
        <v>40.667347800000002</v>
      </c>
      <c r="X37" s="15" t="str">
        <f t="shared" si="2"/>
        <v>·</v>
      </c>
      <c r="Y37" s="16" t="str">
        <f t="shared" si="3"/>
        <v>·</v>
      </c>
      <c r="Z37" s="39"/>
      <c r="AA37" s="17"/>
      <c r="AB37" s="40"/>
      <c r="AC37" s="40"/>
      <c r="AD37" s="40"/>
      <c r="AE37" s="40"/>
      <c r="AF37" s="40"/>
      <c r="AG37" s="40"/>
      <c r="AH37" s="40"/>
      <c r="AI37" s="18"/>
      <c r="AJ37" s="18"/>
      <c r="AL37" s="19"/>
      <c r="AM37" s="19"/>
      <c r="AN37" s="19"/>
      <c r="AO37" s="19"/>
      <c r="AP37" s="19"/>
      <c r="AQ37" s="19"/>
      <c r="AR37" s="19"/>
    </row>
    <row r="38" spans="1:44" outlineLevel="1" x14ac:dyDescent="0.25">
      <c r="A38" s="28"/>
      <c r="B38" s="28" t="s">
        <v>32</v>
      </c>
      <c r="C38" s="30" t="s">
        <v>375</v>
      </c>
      <c r="D38" s="28">
        <v>9000000</v>
      </c>
      <c r="E38" s="29">
        <v>12</v>
      </c>
      <c r="F38" s="30">
        <v>32</v>
      </c>
      <c r="G38" s="30">
        <v>30</v>
      </c>
      <c r="H38" s="30">
        <v>8</v>
      </c>
      <c r="J38" s="31">
        <f t="shared" si="0"/>
        <v>7.8851250000000004</v>
      </c>
      <c r="K38" s="32">
        <f t="shared" si="1"/>
        <v>0.93453333333333333</v>
      </c>
      <c r="L38" s="41">
        <v>959238</v>
      </c>
      <c r="M38" s="33">
        <v>8410800</v>
      </c>
      <c r="N38" s="42">
        <v>478.51144199999999</v>
      </c>
      <c r="O38" s="42">
        <v>433.771389</v>
      </c>
      <c r="P38" s="42">
        <v>30.7819085</v>
      </c>
      <c r="Q38" s="42">
        <v>38.964081100000001</v>
      </c>
      <c r="R38" s="42">
        <v>39.056975100000002</v>
      </c>
      <c r="S38" s="42">
        <v>470.15078099999999</v>
      </c>
      <c r="T38" s="42">
        <v>30.7653812</v>
      </c>
      <c r="U38" s="34">
        <v>4287.33122</v>
      </c>
      <c r="V38" s="34">
        <v>39.275901599999997</v>
      </c>
      <c r="X38" s="31" t="str">
        <f t="shared" si="2"/>
        <v>·</v>
      </c>
      <c r="Y38" s="32" t="str">
        <f t="shared" si="3"/>
        <v>·</v>
      </c>
      <c r="Z38" s="41"/>
      <c r="AA38" s="33"/>
      <c r="AB38" s="42"/>
      <c r="AC38" s="42"/>
      <c r="AD38" s="42"/>
      <c r="AE38" s="42"/>
      <c r="AF38" s="42"/>
      <c r="AG38" s="42"/>
      <c r="AH38" s="42"/>
      <c r="AI38" s="34"/>
      <c r="AJ38" s="34"/>
      <c r="AL38" s="35"/>
      <c r="AM38" s="35"/>
      <c r="AN38" s="35"/>
      <c r="AO38" s="35"/>
      <c r="AP38" s="35"/>
      <c r="AQ38" s="35"/>
      <c r="AR38" s="35"/>
    </row>
    <row r="39" spans="1:44" ht="15.75" customHeight="1" outlineLevel="1" thickBot="1" x14ac:dyDescent="0.3">
      <c r="A39" s="12"/>
      <c r="B39" s="43" t="s">
        <v>32</v>
      </c>
      <c r="C39" s="44" t="s">
        <v>376</v>
      </c>
      <c r="D39" s="43">
        <v>9000000</v>
      </c>
      <c r="E39" s="45">
        <v>12</v>
      </c>
      <c r="F39" s="44">
        <v>32</v>
      </c>
      <c r="G39" s="44">
        <v>30</v>
      </c>
      <c r="H39" s="44">
        <v>12</v>
      </c>
      <c r="J39" s="46">
        <f t="shared" si="0"/>
        <v>10.6134</v>
      </c>
      <c r="K39" s="47">
        <f t="shared" si="1"/>
        <v>1.2578844444444444</v>
      </c>
      <c r="L39" s="48">
        <v>959238</v>
      </c>
      <c r="M39" s="49">
        <v>11320960</v>
      </c>
      <c r="N39" s="50">
        <v>478.51144199999999</v>
      </c>
      <c r="O39" s="50">
        <v>433.771389</v>
      </c>
      <c r="P39" s="50">
        <v>32.015202199999997</v>
      </c>
      <c r="Q39" s="50">
        <v>39.1058618</v>
      </c>
      <c r="R39" s="50">
        <v>39.341298500000001</v>
      </c>
      <c r="S39" s="50">
        <v>470.15078099999999</v>
      </c>
      <c r="T39" s="50">
        <v>32.001202900000003</v>
      </c>
      <c r="U39" s="51">
        <v>4635.6731</v>
      </c>
      <c r="V39" s="51">
        <v>40.040182700000003</v>
      </c>
      <c r="X39" s="46" t="str">
        <f t="shared" si="2"/>
        <v>·</v>
      </c>
      <c r="Y39" s="47" t="str">
        <f t="shared" si="3"/>
        <v>·</v>
      </c>
      <c r="Z39" s="48"/>
      <c r="AA39" s="49"/>
      <c r="AB39" s="50"/>
      <c r="AC39" s="50"/>
      <c r="AD39" s="50"/>
      <c r="AE39" s="50"/>
      <c r="AF39" s="50"/>
      <c r="AG39" s="50"/>
      <c r="AH39" s="50"/>
      <c r="AI39" s="51"/>
      <c r="AJ39" s="51"/>
      <c r="AL39" s="52"/>
      <c r="AM39" s="52"/>
      <c r="AN39" s="52"/>
      <c r="AO39" s="52"/>
      <c r="AP39" s="52"/>
      <c r="AQ39" s="52"/>
      <c r="AR39" s="52"/>
    </row>
    <row r="40" spans="1:44" x14ac:dyDescent="0.25">
      <c r="A40" s="28"/>
      <c r="B40" s="28" t="s">
        <v>77</v>
      </c>
      <c r="C40" s="30" t="s">
        <v>372</v>
      </c>
      <c r="D40" s="28">
        <v>9000000</v>
      </c>
      <c r="E40" s="29">
        <v>12</v>
      </c>
      <c r="F40" s="30">
        <v>32</v>
      </c>
      <c r="G40" s="30">
        <v>30</v>
      </c>
      <c r="H40" s="30">
        <v>3</v>
      </c>
      <c r="J40" s="31">
        <f t="shared" si="0"/>
        <v>2.6670449999999999</v>
      </c>
      <c r="K40" s="32">
        <f t="shared" si="1"/>
        <v>0.31609422222222222</v>
      </c>
      <c r="L40" s="41">
        <v>3682048</v>
      </c>
      <c r="M40" s="33">
        <v>2844848</v>
      </c>
      <c r="N40" s="42">
        <v>73.234615399999996</v>
      </c>
      <c r="O40" s="42">
        <v>74.836510200000006</v>
      </c>
      <c r="P40" s="42">
        <v>32.3357654</v>
      </c>
      <c r="Q40" s="42">
        <v>42.296214200000001</v>
      </c>
      <c r="R40" s="42">
        <v>42.623805400000002</v>
      </c>
      <c r="S40" s="42">
        <v>48.781385200000003</v>
      </c>
      <c r="T40" s="42">
        <v>31.581016999999999</v>
      </c>
      <c r="U40" s="34">
        <v>2003.2273700000001</v>
      </c>
      <c r="V40" s="34">
        <v>11.2333076</v>
      </c>
      <c r="X40" s="31" t="str">
        <f t="shared" si="2"/>
        <v>·</v>
      </c>
      <c r="Y40" s="32" t="str">
        <f t="shared" si="3"/>
        <v>·</v>
      </c>
      <c r="Z40" s="41"/>
      <c r="AA40" s="33"/>
      <c r="AB40" s="42"/>
      <c r="AC40" s="42"/>
      <c r="AD40" s="42"/>
      <c r="AE40" s="42"/>
      <c r="AF40" s="42"/>
      <c r="AG40" s="42"/>
      <c r="AH40" s="42"/>
      <c r="AI40" s="34"/>
      <c r="AJ40" s="34"/>
      <c r="AL40" s="35" t="str">
        <f t="array" ref="AL40">IF( OR(AND(ISBLANK(M40:M44)),AND(ISBLANK(AA40:AA44)), AND(ISBLANK(N40:N44)),AND(ISBLANK(AB40:AB44))), "·", bdRateExtend( M40:M44,N40:N44, AA40:AA44,AB40:AB44))</f>
        <v>·</v>
      </c>
      <c r="AM40" s="35" t="str">
        <f t="array" ref="AM40">IF( OR(AND(ISBLANK(M40:M44)),AND(ISBLANK(AA40:AA44)), AND(ISBLANK(O40:O44)),AND(ISBLANK(AC40:AC44))), "·", bdRateExtend( M40:M44,O40:O44, AA40:AA44,AC40:AC44))</f>
        <v>·</v>
      </c>
      <c r="AN40" s="35" t="str">
        <f t="array" ref="AN40">IF( OR(AND(ISBLANK(M40:M44)),AND(ISBLANK(AA40:AA44)), AND(ISBLANK(P40:P44)),AND(ISBLANK(AD40:AD44))), "·", bdRateExtend( M40:M44,P40:P44, AA40:AA44,AD40:AD44))</f>
        <v>·</v>
      </c>
      <c r="AO40" s="35" t="str">
        <f t="array" ref="AO40">IF( OR(AND(ISBLANK(M40:M44)),AND(ISBLANK(AA40:AA44)), AND(ISBLANK(Q40:Q44)),AND(ISBLANK(AE40:AE44))), "·", bdRateExtend( M40:M44,Q40:Q44, AA40:AA44,AE40:AE44))</f>
        <v>·</v>
      </c>
      <c r="AP40" s="35" t="str">
        <f t="array" ref="AP40">IF( OR(AND(ISBLANK(M40:M44)),AND(ISBLANK(AA40:AA44)), AND(ISBLANK(R40:R44)),AND(ISBLANK(AF40:AF44))), "·", bdRateExtend( M40:M44,R40:R44, AA40:AA44,AF40:AF44))</f>
        <v>·</v>
      </c>
      <c r="AQ40" s="35" t="str">
        <f t="array" ref="AQ40">IF( OR(AND(ISBLANK(M40:M44)),AND(ISBLANK(AA40:AA44)), AND(ISBLANK(S40:S44)),AND(ISBLANK(AG40:AG44))), "·", bdRateExtend( M40:M44,S40:S44, AA40:AA44,AG40:AG44))</f>
        <v>·</v>
      </c>
      <c r="AR40" s="35" t="str">
        <f t="array" ref="AR40">IF( OR(AND(ISBLANK(M40:M44)),AND(ISBLANK(AA40:AA44)), AND(ISBLANK(T40:T44)),AND(ISBLANK(AH40:AH44))), "·", bdRateExtend( M40:M44,T40:T44, AA40:AA44,AH40:AH44))</f>
        <v>·</v>
      </c>
    </row>
    <row r="41" spans="1:44" outlineLevel="1" x14ac:dyDescent="0.25">
      <c r="A41" s="12"/>
      <c r="B41" s="12" t="s">
        <v>77</v>
      </c>
      <c r="C41" s="14" t="s">
        <v>373</v>
      </c>
      <c r="D41" s="12">
        <v>9000000</v>
      </c>
      <c r="E41" s="13">
        <v>12</v>
      </c>
      <c r="F41" s="14">
        <v>32</v>
      </c>
      <c r="G41" s="14">
        <v>30</v>
      </c>
      <c r="H41" s="14">
        <v>4</v>
      </c>
      <c r="J41" s="15">
        <f t="shared" si="0"/>
        <v>3.6524999999999999</v>
      </c>
      <c r="K41" s="16">
        <f t="shared" si="1"/>
        <v>0.43288888888888888</v>
      </c>
      <c r="L41" s="39">
        <v>3682048</v>
      </c>
      <c r="M41" s="17">
        <v>3896000</v>
      </c>
      <c r="N41" s="40">
        <v>74.073028100000002</v>
      </c>
      <c r="O41" s="40">
        <v>75.794793499999997</v>
      </c>
      <c r="P41" s="40">
        <v>32.677491699999997</v>
      </c>
      <c r="Q41" s="40">
        <v>42.437835999999997</v>
      </c>
      <c r="R41" s="40">
        <v>42.833316699999997</v>
      </c>
      <c r="S41" s="40">
        <v>49.343474999999998</v>
      </c>
      <c r="T41" s="40">
        <v>31.890602099999999</v>
      </c>
      <c r="U41" s="18">
        <v>2076.3606199999999</v>
      </c>
      <c r="V41" s="18">
        <v>11.5411682</v>
      </c>
      <c r="X41" s="15" t="str">
        <f t="shared" si="2"/>
        <v>·</v>
      </c>
      <c r="Y41" s="16" t="str">
        <f t="shared" si="3"/>
        <v>·</v>
      </c>
      <c r="Z41" s="39"/>
      <c r="AA41" s="17"/>
      <c r="AB41" s="40"/>
      <c r="AC41" s="40"/>
      <c r="AD41" s="40"/>
      <c r="AE41" s="40"/>
      <c r="AF41" s="40"/>
      <c r="AG41" s="40"/>
      <c r="AH41" s="40"/>
      <c r="AI41" s="18"/>
      <c r="AJ41" s="18"/>
      <c r="AL41" s="19"/>
      <c r="AM41" s="19"/>
      <c r="AN41" s="19"/>
      <c r="AO41" s="19"/>
      <c r="AP41" s="19"/>
      <c r="AQ41" s="19"/>
      <c r="AR41" s="19"/>
    </row>
    <row r="42" spans="1:44" outlineLevel="1" x14ac:dyDescent="0.25">
      <c r="A42" s="28"/>
      <c r="B42" s="28" t="s">
        <v>77</v>
      </c>
      <c r="C42" s="30" t="s">
        <v>374</v>
      </c>
      <c r="D42" s="28">
        <v>9000000</v>
      </c>
      <c r="E42" s="29">
        <v>12</v>
      </c>
      <c r="F42" s="30">
        <v>32</v>
      </c>
      <c r="G42" s="30">
        <v>30</v>
      </c>
      <c r="H42" s="30">
        <v>6</v>
      </c>
      <c r="J42" s="31">
        <f t="shared" si="0"/>
        <v>5.4745799999999996</v>
      </c>
      <c r="K42" s="32">
        <f t="shared" si="1"/>
        <v>0.64883911111111114</v>
      </c>
      <c r="L42" s="41">
        <v>3682048</v>
      </c>
      <c r="M42" s="33">
        <v>5839552</v>
      </c>
      <c r="N42" s="42">
        <v>76.289901799999996</v>
      </c>
      <c r="O42" s="42">
        <v>78.427822899999995</v>
      </c>
      <c r="P42" s="42">
        <v>33.259678600000001</v>
      </c>
      <c r="Q42" s="42">
        <v>42.6981471</v>
      </c>
      <c r="R42" s="42">
        <v>43.106962899999999</v>
      </c>
      <c r="S42" s="42">
        <v>50.610770700000003</v>
      </c>
      <c r="T42" s="42">
        <v>32.559661300000002</v>
      </c>
      <c r="U42" s="34">
        <v>5375.8969699999998</v>
      </c>
      <c r="V42" s="34">
        <v>39.872819700000001</v>
      </c>
      <c r="X42" s="31" t="str">
        <f t="shared" si="2"/>
        <v>·</v>
      </c>
      <c r="Y42" s="32" t="str">
        <f t="shared" si="3"/>
        <v>·</v>
      </c>
      <c r="Z42" s="41"/>
      <c r="AA42" s="33"/>
      <c r="AB42" s="42"/>
      <c r="AC42" s="42"/>
      <c r="AD42" s="42"/>
      <c r="AE42" s="42"/>
      <c r="AF42" s="42"/>
      <c r="AG42" s="42"/>
      <c r="AH42" s="42"/>
      <c r="AI42" s="34"/>
      <c r="AJ42" s="34"/>
      <c r="AL42" s="35"/>
      <c r="AM42" s="35"/>
      <c r="AN42" s="35"/>
      <c r="AO42" s="35"/>
      <c r="AP42" s="35"/>
      <c r="AQ42" s="35"/>
      <c r="AR42" s="35"/>
    </row>
    <row r="43" spans="1:44" outlineLevel="1" x14ac:dyDescent="0.25">
      <c r="A43" s="12"/>
      <c r="B43" s="12" t="s">
        <v>77</v>
      </c>
      <c r="C43" s="14" t="s">
        <v>375</v>
      </c>
      <c r="D43" s="12">
        <v>9000000</v>
      </c>
      <c r="E43" s="13">
        <v>12</v>
      </c>
      <c r="F43" s="14">
        <v>32</v>
      </c>
      <c r="G43" s="14">
        <v>30</v>
      </c>
      <c r="H43" s="14">
        <v>8</v>
      </c>
      <c r="J43" s="15">
        <f t="shared" si="0"/>
        <v>7.1309475000000004</v>
      </c>
      <c r="K43" s="16">
        <f t="shared" si="1"/>
        <v>0.84514933333333331</v>
      </c>
      <c r="L43" s="39">
        <v>959624</v>
      </c>
      <c r="M43" s="17">
        <v>7606344</v>
      </c>
      <c r="N43" s="40">
        <v>479.66687100000001</v>
      </c>
      <c r="O43" s="40">
        <v>483.90806600000002</v>
      </c>
      <c r="P43" s="40">
        <v>33.763162399999999</v>
      </c>
      <c r="Q43" s="40">
        <v>42.705670900000001</v>
      </c>
      <c r="R43" s="40">
        <v>43.184992899999997</v>
      </c>
      <c r="S43" s="40">
        <v>480.41473100000002</v>
      </c>
      <c r="T43" s="40">
        <v>33.735296599999998</v>
      </c>
      <c r="U43" s="18">
        <v>3711.9005299999999</v>
      </c>
      <c r="V43" s="18">
        <v>38.331552299999998</v>
      </c>
      <c r="X43" s="15" t="str">
        <f t="shared" si="2"/>
        <v>·</v>
      </c>
      <c r="Y43" s="16" t="str">
        <f t="shared" si="3"/>
        <v>·</v>
      </c>
      <c r="Z43" s="39"/>
      <c r="AA43" s="17"/>
      <c r="AB43" s="40"/>
      <c r="AC43" s="40"/>
      <c r="AD43" s="40"/>
      <c r="AE43" s="40"/>
      <c r="AF43" s="40"/>
      <c r="AG43" s="40"/>
      <c r="AH43" s="40"/>
      <c r="AI43" s="18"/>
      <c r="AJ43" s="18"/>
      <c r="AL43" s="19"/>
      <c r="AM43" s="19"/>
      <c r="AN43" s="19"/>
      <c r="AO43" s="19"/>
      <c r="AP43" s="19"/>
      <c r="AQ43" s="19"/>
      <c r="AR43" s="19"/>
    </row>
    <row r="44" spans="1:44" ht="15.75" customHeight="1" outlineLevel="1" thickBot="1" x14ac:dyDescent="0.3">
      <c r="A44" s="20"/>
      <c r="B44" s="20" t="s">
        <v>77</v>
      </c>
      <c r="C44" s="22" t="s">
        <v>376</v>
      </c>
      <c r="D44" s="20">
        <v>9000000</v>
      </c>
      <c r="E44" s="21">
        <v>12</v>
      </c>
      <c r="F44" s="22">
        <v>32</v>
      </c>
      <c r="G44" s="22">
        <v>30</v>
      </c>
      <c r="H44" s="22">
        <v>12</v>
      </c>
      <c r="J44" s="23">
        <f t="shared" si="0"/>
        <v>10.160550000000001</v>
      </c>
      <c r="K44" s="24">
        <f t="shared" si="1"/>
        <v>1.2042133333333334</v>
      </c>
      <c r="L44" s="53">
        <v>959624</v>
      </c>
      <c r="M44" s="25">
        <v>10837920</v>
      </c>
      <c r="N44" s="54">
        <v>479.66687100000001</v>
      </c>
      <c r="O44" s="54">
        <v>483.90806600000002</v>
      </c>
      <c r="P44" s="54">
        <v>35.040269100000003</v>
      </c>
      <c r="Q44" s="54">
        <v>43.011029999999998</v>
      </c>
      <c r="R44" s="54">
        <v>43.675280700000002</v>
      </c>
      <c r="S44" s="54">
        <v>480.41473100000002</v>
      </c>
      <c r="T44" s="54">
        <v>35.009367900000001</v>
      </c>
      <c r="U44" s="26">
        <v>4083.1696999999999</v>
      </c>
      <c r="V44" s="26">
        <v>39.382557599999998</v>
      </c>
      <c r="X44" s="23" t="str">
        <f t="shared" si="2"/>
        <v>·</v>
      </c>
      <c r="Y44" s="24" t="str">
        <f t="shared" si="3"/>
        <v>·</v>
      </c>
      <c r="Z44" s="53"/>
      <c r="AA44" s="25"/>
      <c r="AB44" s="54"/>
      <c r="AC44" s="54"/>
      <c r="AD44" s="54"/>
      <c r="AE44" s="54"/>
      <c r="AF44" s="54"/>
      <c r="AG44" s="54"/>
      <c r="AH44" s="54"/>
      <c r="AI44" s="26"/>
      <c r="AJ44" s="26"/>
      <c r="AL44" s="27"/>
      <c r="AM44" s="27"/>
      <c r="AN44" s="27"/>
      <c r="AO44" s="27"/>
      <c r="AP44" s="27"/>
      <c r="AQ44" s="27"/>
      <c r="AR44" s="27"/>
    </row>
    <row r="45" spans="1:44" x14ac:dyDescent="0.25">
      <c r="B45" s="36" t="s">
        <v>7</v>
      </c>
      <c r="K45" s="37">
        <f>AVERAGE(K5:K14)</f>
        <v>1.0233079092096684</v>
      </c>
      <c r="Y45" s="37" t="e">
        <f>AVERAGE(Y5:Y14)</f>
        <v>#DIV/0!</v>
      </c>
      <c r="AL45" s="4" t="e">
        <f t="shared" ref="AL45:AR45" si="4">AVERAGE(AL5:AL14)</f>
        <v>#DIV/0!</v>
      </c>
      <c r="AM45" s="4" t="e">
        <f t="shared" si="4"/>
        <v>#DIV/0!</v>
      </c>
      <c r="AN45" s="4" t="e">
        <f t="shared" si="4"/>
        <v>#DIV/0!</v>
      </c>
      <c r="AO45" s="4" t="e">
        <f t="shared" si="4"/>
        <v>#DIV/0!</v>
      </c>
      <c r="AP45" s="4" t="e">
        <f t="shared" si="4"/>
        <v>#DIV/0!</v>
      </c>
      <c r="AQ45" s="4" t="e">
        <f t="shared" si="4"/>
        <v>#DIV/0!</v>
      </c>
      <c r="AR45" s="4" t="e">
        <f t="shared" si="4"/>
        <v>#DIV/0!</v>
      </c>
    </row>
    <row r="46" spans="1:44" x14ac:dyDescent="0.25">
      <c r="B46" s="36" t="s">
        <v>8</v>
      </c>
      <c r="K46" s="37">
        <f>AVERAGE(K15:K24)</f>
        <v>1.0027887639249848</v>
      </c>
      <c r="Y46" s="37" t="e">
        <f>AVERAGE(Y15:Y24)</f>
        <v>#DIV/0!</v>
      </c>
      <c r="AL46" s="4" t="e">
        <f t="shared" ref="AL46:AR46" si="5">AVERAGE(AL15:AL24)</f>
        <v>#DIV/0!</v>
      </c>
      <c r="AM46" s="4" t="e">
        <f t="shared" si="5"/>
        <v>#DIV/0!</v>
      </c>
      <c r="AN46" s="4" t="e">
        <f t="shared" si="5"/>
        <v>#DIV/0!</v>
      </c>
      <c r="AO46" s="4" t="e">
        <f t="shared" si="5"/>
        <v>#DIV/0!</v>
      </c>
      <c r="AP46" s="4" t="e">
        <f t="shared" si="5"/>
        <v>#DIV/0!</v>
      </c>
      <c r="AQ46" s="4" t="e">
        <f t="shared" si="5"/>
        <v>#DIV/0!</v>
      </c>
      <c r="AR46" s="4" t="e">
        <f t="shared" si="5"/>
        <v>#DIV/0!</v>
      </c>
    </row>
    <row r="47" spans="1:44" x14ac:dyDescent="0.25">
      <c r="B47" s="36" t="s">
        <v>9</v>
      </c>
      <c r="K47" s="37">
        <f>AVERAGE(K25:K44)</f>
        <v>1.1245571108992949</v>
      </c>
      <c r="Y47" s="37" t="e">
        <f>AVERAGE(Y25:Y44)</f>
        <v>#DIV/0!</v>
      </c>
      <c r="AL47" s="4" t="e">
        <f t="shared" ref="AL47:AR47" si="6">AVERAGE(AL25:AL44)</f>
        <v>#DIV/0!</v>
      </c>
      <c r="AM47" s="4" t="e">
        <f t="shared" si="6"/>
        <v>#DIV/0!</v>
      </c>
      <c r="AN47" s="4" t="e">
        <f t="shared" si="6"/>
        <v>#DIV/0!</v>
      </c>
      <c r="AO47" s="4" t="e">
        <f t="shared" si="6"/>
        <v>#DIV/0!</v>
      </c>
      <c r="AP47" s="4" t="e">
        <f t="shared" si="6"/>
        <v>#DIV/0!</v>
      </c>
      <c r="AQ47" s="4" t="e">
        <f t="shared" si="6"/>
        <v>#DIV/0!</v>
      </c>
      <c r="AR47" s="4" t="e">
        <f t="shared" si="6"/>
        <v>#DIV/0!</v>
      </c>
    </row>
    <row r="48" spans="1:44" x14ac:dyDescent="0.25">
      <c r="B48" s="36" t="s">
        <v>10</v>
      </c>
      <c r="K48" s="37">
        <f>AVERAGE(K5:K44)</f>
        <v>1.0688027237333106</v>
      </c>
      <c r="Y48" s="37" t="e">
        <f>AVERAGE(Y5:Y44)</f>
        <v>#DIV/0!</v>
      </c>
      <c r="AL48" s="4" t="e">
        <f t="shared" ref="AL48:AR48" si="7">AVERAGE(AL5:AL44)</f>
        <v>#DIV/0!</v>
      </c>
      <c r="AM48" s="4" t="e">
        <f t="shared" si="7"/>
        <v>#DIV/0!</v>
      </c>
      <c r="AN48" s="4" t="e">
        <f t="shared" si="7"/>
        <v>#DIV/0!</v>
      </c>
      <c r="AO48" s="4" t="e">
        <f t="shared" si="7"/>
        <v>#DIV/0!</v>
      </c>
      <c r="AP48" s="4" t="e">
        <f t="shared" si="7"/>
        <v>#DIV/0!</v>
      </c>
      <c r="AQ48" s="4" t="e">
        <f t="shared" si="7"/>
        <v>#DIV/0!</v>
      </c>
      <c r="AR48" s="4" t="e">
        <f t="shared" si="7"/>
        <v>#DIV/0!</v>
      </c>
    </row>
    <row r="49" spans="1:36" x14ac:dyDescent="0.25">
      <c r="A49" s="36" t="s">
        <v>178</v>
      </c>
      <c r="B49" s="36" t="s">
        <v>179</v>
      </c>
      <c r="U49" s="38">
        <f>SUM(U5:U14,U15:U24,U25:U44)</f>
        <v>122539.35854099999</v>
      </c>
      <c r="V49" s="38">
        <f>SUM(V5:V14,V15:V24,V25:V44)</f>
        <v>958.83718110000007</v>
      </c>
      <c r="AI49" s="38">
        <f>SUM(AI5:AI14,AI15:AI24,AI25:AI44)</f>
        <v>0</v>
      </c>
      <c r="AJ49" s="38">
        <f>SUM(AJ5:AJ14,AJ15:AJ24,AJ25:AJ44)</f>
        <v>0</v>
      </c>
    </row>
    <row r="50" spans="1:36" x14ac:dyDescent="0.25">
      <c r="B50" s="36" t="s">
        <v>180</v>
      </c>
      <c r="AI50" s="57">
        <f>AI49/U49</f>
        <v>0</v>
      </c>
      <c r="AJ50" s="57">
        <f>AJ49/V49</f>
        <v>0</v>
      </c>
    </row>
  </sheetData>
  <mergeCells count="29">
    <mergeCell ref="A2:A3"/>
    <mergeCell ref="B2:B3"/>
    <mergeCell ref="C2:C3"/>
    <mergeCell ref="D2:D3"/>
    <mergeCell ref="E2:E3"/>
    <mergeCell ref="N2:R2"/>
    <mergeCell ref="S2:T2"/>
    <mergeCell ref="U2:U3"/>
    <mergeCell ref="F2:F3"/>
    <mergeCell ref="G2:G3"/>
    <mergeCell ref="H2:H3"/>
    <mergeCell ref="J2:J3"/>
    <mergeCell ref="K2:K3"/>
    <mergeCell ref="AQ2:AR2"/>
    <mergeCell ref="A1:H1"/>
    <mergeCell ref="J1:V1"/>
    <mergeCell ref="X1:AJ1"/>
    <mergeCell ref="AB2:AF2"/>
    <mergeCell ref="AG2:AH2"/>
    <mergeCell ref="AI2:AI3"/>
    <mergeCell ref="AJ2:AJ3"/>
    <mergeCell ref="AL2:AP2"/>
    <mergeCell ref="V2:V3"/>
    <mergeCell ref="X2:X3"/>
    <mergeCell ref="Y2:Y3"/>
    <mergeCell ref="Z2:Z3"/>
    <mergeCell ref="AA2:AA3"/>
    <mergeCell ref="L2:L3"/>
    <mergeCell ref="M2:M3"/>
  </mergeCells>
  <conditionalFormatting sqref="AL5 AL6 AL7 AL8 AL9 AL10 AL11 AL12 AL13 AL14 AL15 AL16 AL17 AL18 AL19 AL20 AL21 AL22 AL23 AL24 AL25 AL26 AL27 AL28 AL29 AL30 AL31 AL32 AL33 AL34 AL35 AL36 AL37 AL38 AL39 AL40 AL41 AL42 AL43 AL44 AL45 AL46 AL47 AL48">
    <cfRule type="cellIs" dxfId="15" priority="7" operator="greaterThanOrEqual">
      <formula>0.03</formula>
    </cfRule>
    <cfRule type="cellIs" dxfId="14" priority="8" operator="lessThanOrEqual">
      <formula>-0.03</formula>
    </cfRule>
  </conditionalFormatting>
  <conditionalFormatting sqref="AM5 AM6 AM7 AM8 AM9 AM10 AM11 AM12 AM13 AM14 AM15 AM16 AM17 AM18 AM19 AM20 AM21 AM22 AM23 AM24 AM25 AM26 AM27 AM28 AM29 AM30 AM31 AM32 AM33 AM34 AM35 AM36 AM37 AM38 AM39 AM40 AM41 AM42 AM43 AM44 AM45 AM46 AM47 AM48">
    <cfRule type="cellIs" dxfId="13" priority="3" operator="greaterThanOrEqual">
      <formula>0.03</formula>
    </cfRule>
    <cfRule type="cellIs" dxfId="12" priority="4" operator="lessThanOrEqual">
      <formula>-0.03</formula>
    </cfRule>
  </conditionalFormatting>
  <conditionalFormatting sqref="AN5 AN6 AN7 AN8 AN9 AN10 AN11 AN12 AN13 AN14 AN15 AN16 AN17 AN18 AN19 AN20 AN21 AN22 AN23 AN24 AN25 AN26 AN27 AN28 AN29 AN30 AN31 AN32 AN33 AN34 AN35 AN36 AN37 AN38 AN39 AN40 AN41 AN42 AN43 AN44 AN45 AN46 AN47 AN48">
    <cfRule type="cellIs" dxfId="11" priority="11" operator="greaterThanOrEqual">
      <formula>0.03</formula>
    </cfRule>
    <cfRule type="cellIs" dxfId="10" priority="12" operator="lessThanOrEqual">
      <formula>-0.03</formula>
    </cfRule>
  </conditionalFormatting>
  <conditionalFormatting sqref="AO5 AO6 AO7 AO8 AO9 AO10 AO11 AO12 AO13 AO14 AO15 AO16 AO17 AO18 AO19 AO20 AO21 AO22 AO23 AO24 AO25 AO26 AO27 AO28 AO29 AO30 AO31 AO32 AO33 AO34 AO35 AO36 AO37 AO38 AO39 AO40 AO41 AO42 AO43 AO44 AO45 AO46 AO47 AO48">
    <cfRule type="cellIs" dxfId="9" priority="13" operator="greaterThanOrEqual">
      <formula>0.03</formula>
    </cfRule>
    <cfRule type="cellIs" dxfId="8" priority="14" operator="lessThanOrEqual">
      <formula>-0.03</formula>
    </cfRule>
  </conditionalFormatting>
  <conditionalFormatting sqref="AP5 AP6 AP7 AP8 AP9 AP10 AP11 AP12 AP13 AP14 AP15 AP16 AP17 AP18 AP19 AP20 AP21 AP22 AP23 AP24 AP25 AP26 AP27 AP28 AP29 AP30 AP31 AP32 AP33 AP34 AP35 AP36 AP37 AP38 AP39 AP40 AP41 AP42 AP43 AP44 AP45 AP46 AP47 AP48">
    <cfRule type="cellIs" dxfId="7" priority="5" operator="greaterThanOrEqual">
      <formula>0.03</formula>
    </cfRule>
    <cfRule type="cellIs" dxfId="6" priority="6" operator="lessThanOrEqual">
      <formula>-0.03</formula>
    </cfRule>
  </conditionalFormatting>
  <conditionalFormatting sqref="AQ5 AQ6 AQ7 AQ8 AQ9 AQ10 AQ11 AQ12 AQ13 AQ14 AQ15 AQ16 AQ17 AQ18 AQ19 AQ20 AQ21 AQ22 AQ23 AQ24 AQ25 AQ26 AQ27 AQ28 AQ29 AQ30 AQ31 AQ32 AQ33 AQ34 AQ35 AQ36 AQ37 AQ38 AQ39 AQ40 AQ41 AQ42 AQ43 AQ44 AQ45 AQ46 AQ47 AQ48">
    <cfRule type="cellIs" dxfId="5" priority="15" operator="greaterThanOrEqual">
      <formula>0.03</formula>
    </cfRule>
    <cfRule type="cellIs" dxfId="4" priority="16" operator="lessThanOrEqual">
      <formula>-0.03</formula>
    </cfRule>
  </conditionalFormatting>
  <conditionalFormatting sqref="AR5 AR6 AR7 AR8 AR9 AR10 AR11 AR12 AR13 AR14 AR15 AR16 AR17 AR18 AR19 AR20 AR21 AR22 AR23 AR24 AR25 AR26 AR27 AR28 AR29 AR30 AR31 AR32 AR33 AR34 AR35 AR36 AR37 AR38 AR39 AR40 AR41 AR42 AR43 AR44 AR45 AR46 AR47 AR48">
    <cfRule type="cellIs" dxfId="3" priority="9" operator="greaterThanOrEqual">
      <formula>0.03</formula>
    </cfRule>
    <cfRule type="cellIs" dxfId="2" priority="10" operator="lessThanOrEqual">
      <formula>-0.03</formula>
    </cfRule>
  </conditionalFormatting>
  <conditionalFormatting sqref="J5:J45">
    <cfRule type="expression" dxfId="1" priority="2">
      <formula>OR(J5 &lt; H5 * 0.9, J5 &gt; H5)</formula>
    </cfRule>
  </conditionalFormatting>
  <conditionalFormatting sqref="X5:X45">
    <cfRule type="expression" dxfId="0" priority="1">
      <formula>OR(X5 &lt; H5 * 0.9, X5 &gt; H5)</formula>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1</vt:i4>
      </vt:variant>
    </vt:vector>
  </HeadingPairs>
  <TitlesOfParts>
    <vt:vector size="7" baseType="lpstr">
      <vt:lpstr>Summary</vt:lpstr>
      <vt:lpstr>Graphs</vt:lpstr>
      <vt:lpstr>C0 lossless AI</vt:lpstr>
      <vt:lpstr>names</vt:lpstr>
      <vt:lpstr>C1 lossy AI</vt:lpstr>
      <vt:lpstr>C2 lossy RA</vt:lpstr>
      <vt:lpstr>Graphs!all_cols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MPEG dynamic mesh coding reporting template WG7/N231</dc:title>
  <dc:creator>Bracco Graziosi, Danillo</dc:creator>
  <cp:lastModifiedBy>Julien Ricard</cp:lastModifiedBy>
  <dcterms:created xsi:type="dcterms:W3CDTF">2021-10-29T10:34:58Z</dcterms:created>
  <dcterms:modified xsi:type="dcterms:W3CDTF">2022-12-08T10:02:47Z</dcterms:modified>
</cp:coreProperties>
</file>