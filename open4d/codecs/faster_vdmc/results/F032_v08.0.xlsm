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Jay\Desktop\"/>
    </mc:Choice>
  </mc:AlternateContent>
  <bookViews>
    <workbookView xWindow="-105" yWindow="-105" windowWidth="19425" windowHeight="10425" activeTab="5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functionGroups builtInGroupCount="18"/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 " (Graph g)")</definedName>
    <definedName name="graph_g_x_range_A" localSheetId="1">IF(ISREF(Graphs!graph_g_x_range_A_),Graphs!graph_g_x_range_A_,{0})</definedName>
    <definedName name="graph_g_x_range_A_" localSheetId="1">INDEX(INDIRECT(VLOOKUP("range." &amp; Graphs!$B$1 &amp;"."&amp; Graphs!$B$2, names!$A:$B,2,0)), 0, VLOOKUP("col."&amp; Graphs!$B$1 &amp;".A."&amp; Graphs!$B$10, names!$A:$B,2,0))</definedName>
    <definedName name="graph_g_x_range_B" localSheetId="1">IF(ISREF(Graphs!graph_g_x_range_B_),Graphs!graph_g_x_range_B_,{0})</definedName>
    <definedName name="graph_g_x_range_B_" localSheetId="1">INDEX(INDIRECT(VLOOKUP("range." &amp; Graphs!$B$1 &amp;"."&amp; Graphs!$B$2, names!$A:$B,2,0)), 0, VLOOKUP("col."&amp; Graphs!$B$1 &amp;".B."&amp; Graphs!$B$10, names!$A:$B,2,0))</definedName>
    <definedName name="graph_g_x_title" localSheetId="1">OFFSET(Graphs!all_cols, MATCH(Graphs!$B$10, Graphs!all_cols, 0)-1,1,1,1)</definedName>
    <definedName name="graph_g_y_range_A" localSheetId="1">IF(ISREF(Graphs!graph_g_y_range_A_),Graphs!graph_g_y_range_A_,{0})</definedName>
    <definedName name="graph_g_y_range_A_" localSheetId="1">INDEX(INDIRECT(VLOOKUP("range." &amp; Graphs!$B$1 &amp;"."&amp; Graphs!$B$2, names!$A:$B,2,0)), 0, VLOOKUP("col."&amp; Graphs!$B$1 &amp;".A."&amp; Graphs!$D$10, names!$A:$B,2,0))</definedName>
    <definedName name="graph_g_y_range_B" localSheetId="1">IF(ISREF(Graphs!graph_g_y_range_B_),Graphs!graph_g_y_range_B_,{0})</definedName>
    <definedName name="graph_g_y_range_B_" localSheetId="1">INDEX(INDIRECT(VLOOKUP("range." &amp; Graphs!$B$1 &amp;"."&amp; Graphs!$B$2, names!$A:$B,2,0)), 0, VLOOKUP("col."&amp; Graphs!$B$1 &amp;".B."&amp; Graphs!$D$10, names!$A:$B,2,0))</definedName>
    <definedName name="graph_g_y_title" localSheetId="1">OFFSET(Graphs!all_cols, MATCH(Graphs!$D$10, Graphs!all_cols, 0)-1,1,1,1)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X55" i="5" l="1"/>
  <c r="AF54" i="5"/>
  <c r="AB55" i="5"/>
  <c r="AC55" i="5"/>
  <c r="AX55" i="6"/>
  <c r="AW55" i="6"/>
  <c r="AF54" i="6"/>
  <c r="AC55" i="6"/>
  <c r="AB55" i="6"/>
  <c r="AW55" i="5"/>
  <c r="A16" i="7"/>
  <c r="A15" i="7"/>
  <c r="P13" i="3"/>
  <c r="X13" i="3"/>
  <c r="I13" i="3"/>
  <c r="I17" i="3" s="1"/>
  <c r="P18" i="3"/>
  <c r="P17" i="3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AV103" i="6"/>
  <c r="AU103" i="6"/>
  <c r="AT103" i="6"/>
  <c r="AS103" i="6"/>
  <c r="AR103" i="6"/>
  <c r="AQ103" i="6"/>
  <c r="AP103" i="6"/>
  <c r="AO103" i="6"/>
  <c r="AN103" i="6"/>
  <c r="AM103" i="6"/>
  <c r="AL103" i="6"/>
  <c r="AK103" i="6"/>
  <c r="AJ103" i="6"/>
  <c r="AI103" i="6"/>
  <c r="AV102" i="6"/>
  <c r="AU102" i="6"/>
  <c r="AT102" i="6"/>
  <c r="AS102" i="6"/>
  <c r="AR102" i="6"/>
  <c r="AQ102" i="6"/>
  <c r="AP102" i="6"/>
  <c r="AO102" i="6"/>
  <c r="AN102" i="6"/>
  <c r="AM102" i="6"/>
  <c r="AL102" i="6"/>
  <c r="AK102" i="6"/>
  <c r="AJ102" i="6"/>
  <c r="AI102" i="6"/>
  <c r="AV101" i="6"/>
  <c r="AU101" i="6"/>
  <c r="AT101" i="6"/>
  <c r="AS101" i="6"/>
  <c r="AR101" i="6"/>
  <c r="AQ101" i="6"/>
  <c r="AP101" i="6"/>
  <c r="AO101" i="6"/>
  <c r="AN101" i="6"/>
  <c r="AM101" i="6"/>
  <c r="AL101" i="6"/>
  <c r="AK101" i="6"/>
  <c r="AJ101" i="6"/>
  <c r="AI101" i="6"/>
  <c r="AV100" i="6"/>
  <c r="AU100" i="6"/>
  <c r="AT100" i="6"/>
  <c r="AS100" i="6"/>
  <c r="AR100" i="6"/>
  <c r="AQ100" i="6"/>
  <c r="AP100" i="6"/>
  <c r="AO100" i="6"/>
  <c r="AN100" i="6"/>
  <c r="AM100" i="6"/>
  <c r="AL100" i="6"/>
  <c r="AK100" i="6"/>
  <c r="AJ100" i="6"/>
  <c r="AI100" i="6"/>
  <c r="AF53" i="6"/>
  <c r="BT49" i="6"/>
  <c r="BS49" i="6"/>
  <c r="BR49" i="6"/>
  <c r="BQ49" i="6"/>
  <c r="BP49" i="6"/>
  <c r="BP53" i="6" s="1"/>
  <c r="AH49" i="6"/>
  <c r="AG49" i="6"/>
  <c r="AF49" i="6"/>
  <c r="AE49" i="6"/>
  <c r="M49" i="6"/>
  <c r="L49" i="6" s="1"/>
  <c r="AG104" i="6" s="1"/>
  <c r="K49" i="6"/>
  <c r="J49" i="6"/>
  <c r="BT48" i="6"/>
  <c r="BS48" i="6"/>
  <c r="BR48" i="6"/>
  <c r="BQ48" i="6"/>
  <c r="BP48" i="6"/>
  <c r="AH48" i="6"/>
  <c r="AG48" i="6" s="1"/>
  <c r="AF48" i="6"/>
  <c r="AE48" i="6"/>
  <c r="M48" i="6"/>
  <c r="L48" i="6" s="1"/>
  <c r="AG103" i="6" s="1"/>
  <c r="K48" i="6"/>
  <c r="J48" i="6"/>
  <c r="BT47" i="6"/>
  <c r="BS47" i="6"/>
  <c r="BR47" i="6"/>
  <c r="BQ47" i="6"/>
  <c r="BP47" i="6"/>
  <c r="AH47" i="6"/>
  <c r="AG47" i="6"/>
  <c r="AF47" i="6"/>
  <c r="AE47" i="6"/>
  <c r="M47" i="6"/>
  <c r="L47" i="6" s="1"/>
  <c r="AG102" i="6" s="1"/>
  <c r="K47" i="6"/>
  <c r="J47" i="6"/>
  <c r="BT46" i="6"/>
  <c r="BS46" i="6"/>
  <c r="BS53" i="6" s="1"/>
  <c r="BR46" i="6"/>
  <c r="BR53" i="6" s="1"/>
  <c r="BQ46" i="6"/>
  <c r="BQ53" i="6" s="1"/>
  <c r="BP46" i="6"/>
  <c r="AH46" i="6"/>
  <c r="AG46" i="6" s="1"/>
  <c r="AF46" i="6"/>
  <c r="AE46" i="6"/>
  <c r="M46" i="6"/>
  <c r="L46" i="6" s="1"/>
  <c r="AG101" i="6" s="1"/>
  <c r="K46" i="6"/>
  <c r="J46" i="6"/>
  <c r="BT45" i="6"/>
  <c r="BT53" i="6" s="1"/>
  <c r="BS45" i="6"/>
  <c r="BR45" i="6"/>
  <c r="BQ45" i="6"/>
  <c r="BP45" i="6"/>
  <c r="BN45" i="6" a="1"/>
  <c r="BN45" i="6" s="1"/>
  <c r="BN53" i="6" s="1"/>
  <c r="BL45" i="6" a="1"/>
  <c r="BL45" i="6" s="1"/>
  <c r="BL53" i="6" s="1"/>
  <c r="BK45" i="6" a="1"/>
  <c r="BK45" i="6" s="1"/>
  <c r="BK53" i="6" s="1"/>
  <c r="BJ45" i="6" a="1"/>
  <c r="BJ45" i="6" s="1"/>
  <c r="BJ53" i="6" s="1"/>
  <c r="AH45" i="6"/>
  <c r="AG45" i="6"/>
  <c r="AF45" i="6"/>
  <c r="AE45" i="6"/>
  <c r="M45" i="6"/>
  <c r="L45" i="6" s="1"/>
  <c r="AG100" i="6" s="1"/>
  <c r="K45" i="6"/>
  <c r="K53" i="6" s="1"/>
  <c r="J45" i="6"/>
  <c r="AV104" i="5"/>
  <c r="AU104" i="5"/>
  <c r="AT104" i="5"/>
  <c r="AS104" i="5"/>
  <c r="AR104" i="5"/>
  <c r="AQ104" i="5"/>
  <c r="AP104" i="5"/>
  <c r="AO104" i="5"/>
  <c r="AN104" i="5"/>
  <c r="AM104" i="5"/>
  <c r="AL104" i="5"/>
  <c r="AK104" i="5"/>
  <c r="AJ104" i="5"/>
  <c r="AI104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AV102" i="5"/>
  <c r="AU102" i="5"/>
  <c r="AT102" i="5"/>
  <c r="AS102" i="5"/>
  <c r="AR102" i="5"/>
  <c r="AQ102" i="5"/>
  <c r="AP102" i="5"/>
  <c r="AO102" i="5"/>
  <c r="AN102" i="5"/>
  <c r="AM102" i="5"/>
  <c r="AL102" i="5"/>
  <c r="AK102" i="5"/>
  <c r="AJ102" i="5"/>
  <c r="AI102" i="5"/>
  <c r="AV101" i="5"/>
  <c r="AU101" i="5"/>
  <c r="AT101" i="5"/>
  <c r="AS101" i="5"/>
  <c r="AR101" i="5"/>
  <c r="AQ101" i="5"/>
  <c r="AP101" i="5"/>
  <c r="AO101" i="5"/>
  <c r="AN101" i="5"/>
  <c r="AM101" i="5"/>
  <c r="AL101" i="5"/>
  <c r="AK101" i="5"/>
  <c r="AJ101" i="5"/>
  <c r="AI101" i="5"/>
  <c r="AV100" i="5"/>
  <c r="AU100" i="5"/>
  <c r="AT100" i="5"/>
  <c r="AS100" i="5"/>
  <c r="AR100" i="5"/>
  <c r="AQ100" i="5"/>
  <c r="AP100" i="5"/>
  <c r="AO100" i="5"/>
  <c r="AN100" i="5"/>
  <c r="AM100" i="5"/>
  <c r="AL100" i="5"/>
  <c r="AK100" i="5"/>
  <c r="AJ100" i="5"/>
  <c r="AI100" i="5"/>
  <c r="AF53" i="5"/>
  <c r="BT49" i="5"/>
  <c r="BS49" i="5"/>
  <c r="BR49" i="5"/>
  <c r="BQ49" i="5"/>
  <c r="BP49" i="5"/>
  <c r="AH49" i="5"/>
  <c r="AG49" i="5"/>
  <c r="AF49" i="5"/>
  <c r="AE49" i="5"/>
  <c r="M49" i="5"/>
  <c r="L49" i="5" s="1"/>
  <c r="AG104" i="5" s="1"/>
  <c r="K49" i="5"/>
  <c r="J49" i="5"/>
  <c r="BT48" i="5"/>
  <c r="BS48" i="5"/>
  <c r="BR48" i="5"/>
  <c r="BQ48" i="5"/>
  <c r="BP48" i="5"/>
  <c r="AH48" i="5"/>
  <c r="AG48" i="5" s="1"/>
  <c r="AF48" i="5"/>
  <c r="AE48" i="5"/>
  <c r="M48" i="5"/>
  <c r="AH103" i="5" s="1"/>
  <c r="K48" i="5"/>
  <c r="J48" i="5"/>
  <c r="BT47" i="5"/>
  <c r="BS47" i="5"/>
  <c r="BR47" i="5"/>
  <c r="BQ47" i="5"/>
  <c r="BP47" i="5"/>
  <c r="AH47" i="5"/>
  <c r="AG47" i="5"/>
  <c r="AF47" i="5"/>
  <c r="AE47" i="5"/>
  <c r="M47" i="5"/>
  <c r="L47" i="5" s="1"/>
  <c r="AG102" i="5" s="1"/>
  <c r="K47" i="5"/>
  <c r="J47" i="5"/>
  <c r="BT46" i="5"/>
  <c r="BS46" i="5"/>
  <c r="BR46" i="5"/>
  <c r="BQ46" i="5"/>
  <c r="BP46" i="5"/>
  <c r="AH46" i="5"/>
  <c r="AG46" i="5" s="1"/>
  <c r="AF46" i="5"/>
  <c r="AE46" i="5"/>
  <c r="M46" i="5"/>
  <c r="L46" i="5" s="1"/>
  <c r="AG101" i="5" s="1"/>
  <c r="K46" i="5"/>
  <c r="J46" i="5"/>
  <c r="BT45" i="5"/>
  <c r="BS45" i="5"/>
  <c r="BR45" i="5"/>
  <c r="BQ45" i="5"/>
  <c r="BP45" i="5"/>
  <c r="BN45" i="5" a="1"/>
  <c r="BN45" i="5" s="1"/>
  <c r="BN53" i="5" s="1"/>
  <c r="BL45" i="5" a="1"/>
  <c r="BL45" i="5" s="1"/>
  <c r="BL53" i="5" s="1"/>
  <c r="BK45" i="5" a="1"/>
  <c r="BK45" i="5" s="1"/>
  <c r="BK53" i="5" s="1"/>
  <c r="BJ45" i="5" a="1"/>
  <c r="BJ45" i="5" s="1"/>
  <c r="BJ53" i="5" s="1"/>
  <c r="AH45" i="5"/>
  <c r="AG45" i="5"/>
  <c r="AF45" i="5"/>
  <c r="AE45" i="5"/>
  <c r="M45" i="5"/>
  <c r="K45" i="5"/>
  <c r="K53" i="5" s="1"/>
  <c r="J45" i="5"/>
  <c r="V13" i="3"/>
  <c r="H13" i="3"/>
  <c r="O13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R22" i="3"/>
  <c r="Q22" i="3"/>
  <c r="O1" i="3"/>
  <c r="AE1" i="5"/>
  <c r="H1" i="3"/>
  <c r="J1" i="5"/>
  <c r="AI60" i="6"/>
  <c r="AJ60" i="6"/>
  <c r="AK60" i="6"/>
  <c r="AL60" i="6"/>
  <c r="AM60" i="6"/>
  <c r="AN60" i="6"/>
  <c r="AO60" i="6"/>
  <c r="AI61" i="6"/>
  <c r="AJ61" i="6"/>
  <c r="AK61" i="6"/>
  <c r="AL61" i="6"/>
  <c r="AM61" i="6"/>
  <c r="AN61" i="6"/>
  <c r="AO61" i="6"/>
  <c r="AI62" i="6"/>
  <c r="AJ62" i="6"/>
  <c r="AK62" i="6"/>
  <c r="AL62" i="6"/>
  <c r="AM62" i="6"/>
  <c r="AN62" i="6"/>
  <c r="AO62" i="6"/>
  <c r="AI63" i="6"/>
  <c r="AJ63" i="6"/>
  <c r="AK63" i="6"/>
  <c r="AL63" i="6"/>
  <c r="AM63" i="6"/>
  <c r="AN63" i="6"/>
  <c r="AO63" i="6"/>
  <c r="AI64" i="6"/>
  <c r="AJ64" i="6"/>
  <c r="AK64" i="6"/>
  <c r="AL64" i="6"/>
  <c r="AM64" i="6"/>
  <c r="AN64" i="6"/>
  <c r="AO64" i="6"/>
  <c r="AI65" i="6"/>
  <c r="AJ65" i="6"/>
  <c r="AK65" i="6"/>
  <c r="AL65" i="6"/>
  <c r="AM65" i="6"/>
  <c r="AN65" i="6"/>
  <c r="AO65" i="6"/>
  <c r="AI66" i="6"/>
  <c r="AJ66" i="6"/>
  <c r="AK66" i="6"/>
  <c r="AL66" i="6"/>
  <c r="AM66" i="6"/>
  <c r="AN66" i="6"/>
  <c r="AO66" i="6"/>
  <c r="AI67" i="6"/>
  <c r="AJ67" i="6"/>
  <c r="AK67" i="6"/>
  <c r="AL67" i="6"/>
  <c r="AM67" i="6"/>
  <c r="AN67" i="6"/>
  <c r="AO67" i="6"/>
  <c r="AI68" i="6"/>
  <c r="AJ68" i="6"/>
  <c r="AK68" i="6"/>
  <c r="AL68" i="6"/>
  <c r="AM68" i="6"/>
  <c r="AN68" i="6"/>
  <c r="AO68" i="6"/>
  <c r="AI69" i="6"/>
  <c r="AJ69" i="6"/>
  <c r="AK69" i="6"/>
  <c r="AL69" i="6"/>
  <c r="AM69" i="6"/>
  <c r="AN69" i="6"/>
  <c r="AO69" i="6"/>
  <c r="AI70" i="6"/>
  <c r="AJ70" i="6"/>
  <c r="AK70" i="6"/>
  <c r="AL70" i="6"/>
  <c r="AM70" i="6"/>
  <c r="AN70" i="6"/>
  <c r="AO70" i="6"/>
  <c r="AI71" i="6"/>
  <c r="AJ71" i="6"/>
  <c r="AK71" i="6"/>
  <c r="AL71" i="6"/>
  <c r="AM71" i="6"/>
  <c r="AN71" i="6"/>
  <c r="AO71" i="6"/>
  <c r="AI72" i="6"/>
  <c r="AJ72" i="6"/>
  <c r="AK72" i="6"/>
  <c r="AL72" i="6"/>
  <c r="AM72" i="6"/>
  <c r="AN72" i="6"/>
  <c r="AO72" i="6"/>
  <c r="AI73" i="6"/>
  <c r="AJ73" i="6"/>
  <c r="AK73" i="6"/>
  <c r="AL73" i="6"/>
  <c r="AM73" i="6"/>
  <c r="AN73" i="6"/>
  <c r="AO73" i="6"/>
  <c r="AI74" i="6"/>
  <c r="AJ74" i="6"/>
  <c r="AK74" i="6"/>
  <c r="AL74" i="6"/>
  <c r="AM74" i="6"/>
  <c r="AN74" i="6"/>
  <c r="AO74" i="6"/>
  <c r="AI75" i="6"/>
  <c r="AJ75" i="6"/>
  <c r="AK75" i="6"/>
  <c r="AL75" i="6"/>
  <c r="AM75" i="6"/>
  <c r="AN75" i="6"/>
  <c r="AO75" i="6"/>
  <c r="AI76" i="6"/>
  <c r="AJ76" i="6"/>
  <c r="AK76" i="6"/>
  <c r="AL76" i="6"/>
  <c r="AM76" i="6"/>
  <c r="AN76" i="6"/>
  <c r="AO76" i="6"/>
  <c r="AI77" i="6"/>
  <c r="AJ77" i="6"/>
  <c r="AK77" i="6"/>
  <c r="AL77" i="6"/>
  <c r="AM77" i="6"/>
  <c r="AN77" i="6"/>
  <c r="AO77" i="6"/>
  <c r="AI78" i="6"/>
  <c r="AJ78" i="6"/>
  <c r="AK78" i="6"/>
  <c r="AL78" i="6"/>
  <c r="AM78" i="6"/>
  <c r="AN78" i="6"/>
  <c r="AO78" i="6"/>
  <c r="AI79" i="6"/>
  <c r="AJ79" i="6"/>
  <c r="AK79" i="6"/>
  <c r="AL79" i="6"/>
  <c r="AM79" i="6"/>
  <c r="AN79" i="6"/>
  <c r="AO79" i="6"/>
  <c r="AI80" i="6"/>
  <c r="AJ80" i="6"/>
  <c r="AK80" i="6"/>
  <c r="AL80" i="6"/>
  <c r="AM80" i="6"/>
  <c r="AN80" i="6"/>
  <c r="AO80" i="6"/>
  <c r="AI81" i="6"/>
  <c r="AJ81" i="6"/>
  <c r="AK81" i="6"/>
  <c r="AL81" i="6"/>
  <c r="AM81" i="6"/>
  <c r="AN81" i="6"/>
  <c r="AO81" i="6"/>
  <c r="AI82" i="6"/>
  <c r="AJ82" i="6"/>
  <c r="AK82" i="6"/>
  <c r="AL82" i="6"/>
  <c r="AM82" i="6"/>
  <c r="AN82" i="6"/>
  <c r="AO82" i="6"/>
  <c r="AI83" i="6"/>
  <c r="AJ83" i="6"/>
  <c r="AK83" i="6"/>
  <c r="AL83" i="6"/>
  <c r="AM83" i="6"/>
  <c r="AN83" i="6"/>
  <c r="AO83" i="6"/>
  <c r="AI84" i="6"/>
  <c r="AJ84" i="6"/>
  <c r="AK84" i="6"/>
  <c r="AL84" i="6"/>
  <c r="AM84" i="6"/>
  <c r="AN84" i="6"/>
  <c r="AO84" i="6"/>
  <c r="AI85" i="6"/>
  <c r="AJ85" i="6"/>
  <c r="AK85" i="6"/>
  <c r="AL85" i="6"/>
  <c r="AM85" i="6"/>
  <c r="AN85" i="6"/>
  <c r="AO85" i="6"/>
  <c r="AI86" i="6"/>
  <c r="AJ86" i="6"/>
  <c r="AK86" i="6"/>
  <c r="AL86" i="6"/>
  <c r="AM86" i="6"/>
  <c r="AN86" i="6"/>
  <c r="AO86" i="6"/>
  <c r="AI87" i="6"/>
  <c r="AJ87" i="6"/>
  <c r="AK87" i="6"/>
  <c r="AL87" i="6"/>
  <c r="AM87" i="6"/>
  <c r="AN87" i="6"/>
  <c r="AO87" i="6"/>
  <c r="AI88" i="6"/>
  <c r="AJ88" i="6"/>
  <c r="AK88" i="6"/>
  <c r="AL88" i="6"/>
  <c r="AM88" i="6"/>
  <c r="AN88" i="6"/>
  <c r="AO88" i="6"/>
  <c r="AI89" i="6"/>
  <c r="AJ89" i="6"/>
  <c r="AK89" i="6"/>
  <c r="AL89" i="6"/>
  <c r="AM89" i="6"/>
  <c r="AN89" i="6"/>
  <c r="AO89" i="6"/>
  <c r="AI90" i="6"/>
  <c r="AJ90" i="6"/>
  <c r="AK90" i="6"/>
  <c r="AL90" i="6"/>
  <c r="AM90" i="6"/>
  <c r="AN90" i="6"/>
  <c r="AO90" i="6"/>
  <c r="AI91" i="6"/>
  <c r="AJ91" i="6"/>
  <c r="AK91" i="6"/>
  <c r="AL91" i="6"/>
  <c r="AM91" i="6"/>
  <c r="AN91" i="6"/>
  <c r="AO91" i="6"/>
  <c r="AI92" i="6"/>
  <c r="AJ92" i="6"/>
  <c r="AK92" i="6"/>
  <c r="AL92" i="6"/>
  <c r="AM92" i="6"/>
  <c r="AN92" i="6"/>
  <c r="AO92" i="6"/>
  <c r="AI93" i="6"/>
  <c r="AJ93" i="6"/>
  <c r="AK93" i="6"/>
  <c r="AL93" i="6"/>
  <c r="AM93" i="6"/>
  <c r="AN93" i="6"/>
  <c r="AO93" i="6"/>
  <c r="AI94" i="6"/>
  <c r="AJ94" i="6"/>
  <c r="AK94" i="6"/>
  <c r="AL94" i="6"/>
  <c r="AM94" i="6"/>
  <c r="AN94" i="6"/>
  <c r="AO94" i="6"/>
  <c r="AI95" i="6"/>
  <c r="AJ95" i="6"/>
  <c r="AK95" i="6"/>
  <c r="AL95" i="6"/>
  <c r="AM95" i="6"/>
  <c r="AN95" i="6"/>
  <c r="AO95" i="6"/>
  <c r="AI96" i="6"/>
  <c r="AJ96" i="6"/>
  <c r="AK96" i="6"/>
  <c r="AL96" i="6"/>
  <c r="AM96" i="6"/>
  <c r="AN96" i="6"/>
  <c r="AO96" i="6"/>
  <c r="AI97" i="6"/>
  <c r="AJ97" i="6"/>
  <c r="AK97" i="6"/>
  <c r="AL97" i="6"/>
  <c r="AM97" i="6"/>
  <c r="AN97" i="6"/>
  <c r="AO97" i="6"/>
  <c r="AI98" i="6"/>
  <c r="AJ98" i="6"/>
  <c r="AK98" i="6"/>
  <c r="AL98" i="6"/>
  <c r="AM98" i="6"/>
  <c r="AN98" i="6"/>
  <c r="AO98" i="6"/>
  <c r="AI99" i="6"/>
  <c r="AJ99" i="6"/>
  <c r="AK99" i="6"/>
  <c r="AL99" i="6"/>
  <c r="AM99" i="6"/>
  <c r="AN99" i="6"/>
  <c r="AO99" i="6"/>
  <c r="AI60" i="5"/>
  <c r="AJ60" i="5"/>
  <c r="AK60" i="5"/>
  <c r="AL60" i="5"/>
  <c r="AM60" i="5"/>
  <c r="AN60" i="5"/>
  <c r="AO60" i="5"/>
  <c r="AI61" i="5"/>
  <c r="AJ61" i="5"/>
  <c r="AK61" i="5"/>
  <c r="AL61" i="5"/>
  <c r="AM61" i="5"/>
  <c r="AN61" i="5"/>
  <c r="AO61" i="5"/>
  <c r="AI62" i="5"/>
  <c r="AJ62" i="5"/>
  <c r="AK62" i="5"/>
  <c r="AL62" i="5"/>
  <c r="AM62" i="5"/>
  <c r="AN62" i="5"/>
  <c r="AO62" i="5"/>
  <c r="AI63" i="5"/>
  <c r="AJ63" i="5"/>
  <c r="AK63" i="5"/>
  <c r="AL63" i="5"/>
  <c r="AM63" i="5"/>
  <c r="AN63" i="5"/>
  <c r="AO63" i="5"/>
  <c r="AI64" i="5"/>
  <c r="AJ64" i="5"/>
  <c r="AK64" i="5"/>
  <c r="AL64" i="5"/>
  <c r="AM64" i="5"/>
  <c r="AN64" i="5"/>
  <c r="AO64" i="5"/>
  <c r="AI65" i="5"/>
  <c r="AJ65" i="5"/>
  <c r="AK65" i="5"/>
  <c r="AL65" i="5"/>
  <c r="AM65" i="5"/>
  <c r="AN65" i="5"/>
  <c r="AO65" i="5"/>
  <c r="AI66" i="5"/>
  <c r="AJ66" i="5"/>
  <c r="AK66" i="5"/>
  <c r="AL66" i="5"/>
  <c r="AM66" i="5"/>
  <c r="AN66" i="5"/>
  <c r="AO66" i="5"/>
  <c r="AI67" i="5"/>
  <c r="AJ67" i="5"/>
  <c r="AK67" i="5"/>
  <c r="AL67" i="5"/>
  <c r="AM67" i="5"/>
  <c r="AN67" i="5"/>
  <c r="AO67" i="5"/>
  <c r="AI68" i="5"/>
  <c r="AJ68" i="5"/>
  <c r="AK68" i="5"/>
  <c r="AL68" i="5"/>
  <c r="AM68" i="5"/>
  <c r="AN68" i="5"/>
  <c r="AO68" i="5"/>
  <c r="AI69" i="5"/>
  <c r="AJ69" i="5"/>
  <c r="AK69" i="5"/>
  <c r="AL69" i="5"/>
  <c r="AM69" i="5"/>
  <c r="AN69" i="5"/>
  <c r="AO69" i="5"/>
  <c r="AI70" i="5"/>
  <c r="AJ70" i="5"/>
  <c r="AK70" i="5"/>
  <c r="AL70" i="5"/>
  <c r="AM70" i="5"/>
  <c r="AN70" i="5"/>
  <c r="AO70" i="5"/>
  <c r="AI71" i="5"/>
  <c r="AJ71" i="5"/>
  <c r="AK71" i="5"/>
  <c r="AL71" i="5"/>
  <c r="AM71" i="5"/>
  <c r="AN71" i="5"/>
  <c r="AO71" i="5"/>
  <c r="AI72" i="5"/>
  <c r="AJ72" i="5"/>
  <c r="AK72" i="5"/>
  <c r="AL72" i="5"/>
  <c r="AM72" i="5"/>
  <c r="AN72" i="5"/>
  <c r="AO72" i="5"/>
  <c r="AI73" i="5"/>
  <c r="AJ73" i="5"/>
  <c r="AK73" i="5"/>
  <c r="AL73" i="5"/>
  <c r="AM73" i="5"/>
  <c r="AN73" i="5"/>
  <c r="AO73" i="5"/>
  <c r="AI74" i="5"/>
  <c r="AJ74" i="5"/>
  <c r="AK74" i="5"/>
  <c r="AL74" i="5"/>
  <c r="AM74" i="5"/>
  <c r="AN74" i="5"/>
  <c r="AO74" i="5"/>
  <c r="AI75" i="5"/>
  <c r="AJ75" i="5"/>
  <c r="AK75" i="5"/>
  <c r="AL75" i="5"/>
  <c r="AM75" i="5"/>
  <c r="AN75" i="5"/>
  <c r="AO75" i="5"/>
  <c r="AI76" i="5"/>
  <c r="AJ76" i="5"/>
  <c r="AK76" i="5"/>
  <c r="AL76" i="5"/>
  <c r="AM76" i="5"/>
  <c r="AN76" i="5"/>
  <c r="AO76" i="5"/>
  <c r="AI77" i="5"/>
  <c r="AJ77" i="5"/>
  <c r="AK77" i="5"/>
  <c r="AL77" i="5"/>
  <c r="AM77" i="5"/>
  <c r="AN77" i="5"/>
  <c r="AO77" i="5"/>
  <c r="AI78" i="5"/>
  <c r="AJ78" i="5"/>
  <c r="AK78" i="5"/>
  <c r="AL78" i="5"/>
  <c r="AM78" i="5"/>
  <c r="AN78" i="5"/>
  <c r="AO78" i="5"/>
  <c r="AI79" i="5"/>
  <c r="AJ79" i="5"/>
  <c r="AK79" i="5"/>
  <c r="AL79" i="5"/>
  <c r="AM79" i="5"/>
  <c r="AN79" i="5"/>
  <c r="AO79" i="5"/>
  <c r="AI80" i="5"/>
  <c r="AJ80" i="5"/>
  <c r="AK80" i="5"/>
  <c r="AL80" i="5"/>
  <c r="AM80" i="5"/>
  <c r="AN80" i="5"/>
  <c r="AO80" i="5"/>
  <c r="AI81" i="5"/>
  <c r="AJ81" i="5"/>
  <c r="AK81" i="5"/>
  <c r="AL81" i="5"/>
  <c r="AM81" i="5"/>
  <c r="AN81" i="5"/>
  <c r="AO81" i="5"/>
  <c r="AI82" i="5"/>
  <c r="AJ82" i="5"/>
  <c r="AK82" i="5"/>
  <c r="AL82" i="5"/>
  <c r="AM82" i="5"/>
  <c r="AN82" i="5"/>
  <c r="AO82" i="5"/>
  <c r="AI83" i="5"/>
  <c r="AJ83" i="5"/>
  <c r="AK83" i="5"/>
  <c r="AL83" i="5"/>
  <c r="AM83" i="5"/>
  <c r="AN83" i="5"/>
  <c r="AO83" i="5"/>
  <c r="AI84" i="5"/>
  <c r="AJ84" i="5"/>
  <c r="AK84" i="5"/>
  <c r="AL84" i="5"/>
  <c r="AM84" i="5"/>
  <c r="AN84" i="5"/>
  <c r="AO84" i="5"/>
  <c r="AI85" i="5"/>
  <c r="AJ85" i="5"/>
  <c r="AK85" i="5"/>
  <c r="AL85" i="5"/>
  <c r="AM85" i="5"/>
  <c r="AN85" i="5"/>
  <c r="AO85" i="5"/>
  <c r="AI86" i="5"/>
  <c r="AJ86" i="5"/>
  <c r="AK86" i="5"/>
  <c r="AL86" i="5"/>
  <c r="AM86" i="5"/>
  <c r="AN86" i="5"/>
  <c r="AO86" i="5"/>
  <c r="AI87" i="5"/>
  <c r="AJ87" i="5"/>
  <c r="AK87" i="5"/>
  <c r="AL87" i="5"/>
  <c r="AM87" i="5"/>
  <c r="AN87" i="5"/>
  <c r="AO87" i="5"/>
  <c r="AI88" i="5"/>
  <c r="AJ88" i="5"/>
  <c r="AK88" i="5"/>
  <c r="AL88" i="5"/>
  <c r="AM88" i="5"/>
  <c r="AN88" i="5"/>
  <c r="AO88" i="5"/>
  <c r="AI89" i="5"/>
  <c r="AJ89" i="5"/>
  <c r="AK89" i="5"/>
  <c r="AL89" i="5"/>
  <c r="AM89" i="5"/>
  <c r="AN89" i="5"/>
  <c r="AO89" i="5"/>
  <c r="AI90" i="5"/>
  <c r="AJ90" i="5"/>
  <c r="AK90" i="5"/>
  <c r="AL90" i="5"/>
  <c r="AM90" i="5"/>
  <c r="AN90" i="5"/>
  <c r="AO90" i="5"/>
  <c r="AI91" i="5"/>
  <c r="AJ91" i="5"/>
  <c r="AK91" i="5"/>
  <c r="AL91" i="5"/>
  <c r="AM91" i="5"/>
  <c r="AN91" i="5"/>
  <c r="AO91" i="5"/>
  <c r="AI92" i="5"/>
  <c r="AJ92" i="5"/>
  <c r="AK92" i="5"/>
  <c r="AL92" i="5"/>
  <c r="AM92" i="5"/>
  <c r="AN92" i="5"/>
  <c r="AO92" i="5"/>
  <c r="AI93" i="5"/>
  <c r="AJ93" i="5"/>
  <c r="AK93" i="5"/>
  <c r="AL93" i="5"/>
  <c r="AM93" i="5"/>
  <c r="AN93" i="5"/>
  <c r="AO93" i="5"/>
  <c r="AI94" i="5"/>
  <c r="AJ94" i="5"/>
  <c r="AK94" i="5"/>
  <c r="AL94" i="5"/>
  <c r="AM94" i="5"/>
  <c r="AN94" i="5"/>
  <c r="AO94" i="5"/>
  <c r="AI95" i="5"/>
  <c r="AJ95" i="5"/>
  <c r="AK95" i="5"/>
  <c r="AL95" i="5"/>
  <c r="AM95" i="5"/>
  <c r="AN95" i="5"/>
  <c r="AO95" i="5"/>
  <c r="AI96" i="5"/>
  <c r="AJ96" i="5"/>
  <c r="AK96" i="5"/>
  <c r="AL96" i="5"/>
  <c r="AM96" i="5"/>
  <c r="AN96" i="5"/>
  <c r="AO96" i="5"/>
  <c r="AI97" i="5"/>
  <c r="AJ97" i="5"/>
  <c r="AK97" i="5"/>
  <c r="AL97" i="5"/>
  <c r="AM97" i="5"/>
  <c r="AN97" i="5"/>
  <c r="AO97" i="5"/>
  <c r="AI98" i="5"/>
  <c r="AJ98" i="5"/>
  <c r="AK98" i="5"/>
  <c r="AL98" i="5"/>
  <c r="AM98" i="5"/>
  <c r="AN98" i="5"/>
  <c r="AO98" i="5"/>
  <c r="AI99" i="5"/>
  <c r="AJ99" i="5"/>
  <c r="AK99" i="5"/>
  <c r="AL99" i="5"/>
  <c r="AM99" i="5"/>
  <c r="AN99" i="5"/>
  <c r="AO99" i="5"/>
  <c r="AH100" i="6" l="1"/>
  <c r="AH101" i="6"/>
  <c r="AH102" i="6"/>
  <c r="AH103" i="6"/>
  <c r="AH104" i="6"/>
  <c r="BH45" i="5" a="1"/>
  <c r="BH45" i="5" s="1"/>
  <c r="BH53" i="5" s="1"/>
  <c r="BQ53" i="5"/>
  <c r="V17" i="3"/>
  <c r="L45" i="5"/>
  <c r="AG100" i="5" s="1"/>
  <c r="BS53" i="5"/>
  <c r="BP53" i="5"/>
  <c r="BT53" i="5"/>
  <c r="BR53" i="5"/>
  <c r="AH100" i="5"/>
  <c r="AH101" i="5"/>
  <c r="AH102" i="5"/>
  <c r="AH104" i="5"/>
  <c r="BF45" i="6" a="1"/>
  <c r="BF45" i="6" s="1"/>
  <c r="BH45" i="6" a="1"/>
  <c r="BH45" i="6" s="1"/>
  <c r="BH53" i="6" s="1"/>
  <c r="AZ45" i="6" a="1"/>
  <c r="AZ45" i="6" s="1"/>
  <c r="BD45" i="6" a="1"/>
  <c r="BD45" i="6" s="1"/>
  <c r="BI45" i="6" a="1"/>
  <c r="BI45" i="6" s="1"/>
  <c r="BI53" i="6" s="1"/>
  <c r="BM45" i="6" a="1"/>
  <c r="BM45" i="6" s="1"/>
  <c r="BM53" i="6" s="1"/>
  <c r="BB45" i="6" a="1"/>
  <c r="BB45" i="6" s="1"/>
  <c r="BC45" i="6" a="1"/>
  <c r="BC45" i="6" s="1"/>
  <c r="BA45" i="6" a="1"/>
  <c r="BA45" i="6" s="1"/>
  <c r="BE45" i="6" a="1"/>
  <c r="BE45" i="6" s="1"/>
  <c r="BM45" i="5" a="1"/>
  <c r="BM45" i="5" s="1"/>
  <c r="BM53" i="5" s="1"/>
  <c r="L48" i="5"/>
  <c r="BE45" i="5" s="1" a="1"/>
  <c r="BE45" i="5" s="1"/>
  <c r="BI45" i="5" a="1"/>
  <c r="BI45" i="5" s="1"/>
  <c r="BI53" i="5" s="1"/>
  <c r="BN40" i="6" a="1"/>
  <c r="BN40" i="6" s="1"/>
  <c r="BL40" i="6" a="1"/>
  <c r="BL40" i="6" s="1"/>
  <c r="BK40" i="6" a="1"/>
  <c r="BK40" i="6" s="1"/>
  <c r="BJ40" i="6" a="1"/>
  <c r="BJ40" i="6" s="1"/>
  <c r="BN35" i="6" a="1"/>
  <c r="BN35" i="6" s="1"/>
  <c r="BL35" i="6" a="1"/>
  <c r="BL35" i="6" s="1"/>
  <c r="BK35" i="6" a="1"/>
  <c r="BK35" i="6" s="1"/>
  <c r="BJ35" i="6" a="1"/>
  <c r="BJ35" i="6" s="1"/>
  <c r="BN30" i="6" a="1"/>
  <c r="BN30" i="6" s="1"/>
  <c r="BL30" i="6" a="1"/>
  <c r="BL30" i="6" s="1"/>
  <c r="BK30" i="6" a="1"/>
  <c r="BK30" i="6" s="1"/>
  <c r="BJ30" i="6" a="1"/>
  <c r="BJ30" i="6" s="1"/>
  <c r="BN25" i="6" a="1"/>
  <c r="BN25" i="6" s="1"/>
  <c r="BL25" i="6" a="1"/>
  <c r="BL25" i="6" s="1"/>
  <c r="BK25" i="6" a="1"/>
  <c r="BK25" i="6" s="1"/>
  <c r="BJ25" i="6" a="1"/>
  <c r="BJ25" i="6" s="1"/>
  <c r="BN20" i="6" a="1"/>
  <c r="BN20" i="6" s="1"/>
  <c r="BL20" i="6" a="1"/>
  <c r="BL20" i="6" s="1"/>
  <c r="BK20" i="6" a="1"/>
  <c r="BK20" i="6" s="1"/>
  <c r="BJ20" i="6" a="1"/>
  <c r="BJ20" i="6" s="1"/>
  <c r="BN15" i="6" a="1"/>
  <c r="BN15" i="6" s="1"/>
  <c r="BL15" i="6" a="1"/>
  <c r="BL15" i="6" s="1"/>
  <c r="BK15" i="6" a="1"/>
  <c r="BK15" i="6" s="1"/>
  <c r="BJ15" i="6" a="1"/>
  <c r="BJ15" i="6" s="1"/>
  <c r="BN10" i="6" a="1"/>
  <c r="BN10" i="6" s="1"/>
  <c r="BL10" i="6" a="1"/>
  <c r="BL10" i="6" s="1"/>
  <c r="BK10" i="6" a="1"/>
  <c r="BK10" i="6" s="1"/>
  <c r="BJ10" i="6" a="1"/>
  <c r="BJ10" i="6" s="1"/>
  <c r="BN5" i="6" a="1"/>
  <c r="BN5" i="6" s="1"/>
  <c r="BN54" i="6" s="1"/>
  <c r="BL5" i="6" a="1"/>
  <c r="BL5" i="6" s="1"/>
  <c r="BL54" i="6" s="1"/>
  <c r="BK5" i="6" a="1"/>
  <c r="BK5" i="6" s="1"/>
  <c r="BK54" i="6" s="1"/>
  <c r="BJ5" i="6" a="1"/>
  <c r="BJ5" i="6" s="1"/>
  <c r="BJ54" i="6" l="1"/>
  <c r="AZ53" i="6"/>
  <c r="C36" i="1" s="1"/>
  <c r="J16" i="7" s="1"/>
  <c r="J12" i="7"/>
  <c r="P12" i="7"/>
  <c r="BF53" i="6"/>
  <c r="I36" i="1" s="1"/>
  <c r="P16" i="7" s="1"/>
  <c r="O12" i="7"/>
  <c r="BE53" i="6"/>
  <c r="H36" i="1" s="1"/>
  <c r="O16" i="7" s="1"/>
  <c r="BE53" i="5"/>
  <c r="H23" i="1" s="1"/>
  <c r="H16" i="7" s="1"/>
  <c r="H12" i="7"/>
  <c r="BA53" i="6"/>
  <c r="D36" i="1" s="1"/>
  <c r="K16" i="7" s="1"/>
  <c r="K12" i="7"/>
  <c r="M12" i="7"/>
  <c r="BC53" i="6"/>
  <c r="F36" i="1" s="1"/>
  <c r="M16" i="7" s="1"/>
  <c r="BB53" i="6"/>
  <c r="E36" i="1" s="1"/>
  <c r="L16" i="7" s="1"/>
  <c r="L12" i="7"/>
  <c r="N12" i="7"/>
  <c r="BD53" i="6"/>
  <c r="G36" i="1" s="1"/>
  <c r="N16" i="7" s="1"/>
  <c r="BB45" i="5" a="1"/>
  <c r="BB45" i="5" s="1"/>
  <c r="AG103" i="5"/>
  <c r="BA45" i="5" a="1"/>
  <c r="BA45" i="5" s="1"/>
  <c r="BD45" i="5" a="1"/>
  <c r="BD45" i="5" s="1"/>
  <c r="AZ45" i="5" a="1"/>
  <c r="AZ45" i="5" s="1"/>
  <c r="BC45" i="5" a="1"/>
  <c r="BC45" i="5" s="1"/>
  <c r="BF45" i="5" a="1"/>
  <c r="BF45" i="5" s="1"/>
  <c r="BT44" i="5"/>
  <c r="BT43" i="5"/>
  <c r="BT42" i="5"/>
  <c r="BT41" i="5"/>
  <c r="BT40" i="5"/>
  <c r="BT39" i="5"/>
  <c r="BT38" i="5"/>
  <c r="BT37" i="5"/>
  <c r="BT36" i="5"/>
  <c r="BT35" i="5"/>
  <c r="BT34" i="5"/>
  <c r="BT33" i="5"/>
  <c r="BT32" i="5"/>
  <c r="BT31" i="5"/>
  <c r="BT30" i="5"/>
  <c r="BT29" i="5"/>
  <c r="BT28" i="5"/>
  <c r="BT27" i="5"/>
  <c r="BT26" i="5"/>
  <c r="BT25" i="5"/>
  <c r="BT24" i="5"/>
  <c r="BT23" i="5"/>
  <c r="BT22" i="5"/>
  <c r="BT21" i="5"/>
  <c r="BT20" i="5"/>
  <c r="BT19" i="5"/>
  <c r="BT18" i="5"/>
  <c r="BT17" i="5"/>
  <c r="BT16" i="5"/>
  <c r="BT15" i="5"/>
  <c r="BT14" i="5"/>
  <c r="BT13" i="5"/>
  <c r="BT12" i="5"/>
  <c r="BT11" i="5"/>
  <c r="BT10" i="5"/>
  <c r="BT9" i="5"/>
  <c r="BT8" i="5"/>
  <c r="BT7" i="5"/>
  <c r="BT6" i="5"/>
  <c r="BT5" i="5"/>
  <c r="BT44" i="6"/>
  <c r="BT43" i="6"/>
  <c r="BT42" i="6"/>
  <c r="BT41" i="6"/>
  <c r="BT40" i="6"/>
  <c r="BT39" i="6"/>
  <c r="BT38" i="6"/>
  <c r="BT37" i="6"/>
  <c r="BT36" i="6"/>
  <c r="BT35" i="6"/>
  <c r="BT34" i="6"/>
  <c r="BT33" i="6"/>
  <c r="BT32" i="6"/>
  <c r="BT31" i="6"/>
  <c r="BT30" i="6"/>
  <c r="BT29" i="6"/>
  <c r="BT28" i="6"/>
  <c r="BT27" i="6"/>
  <c r="BT26" i="6"/>
  <c r="BT25" i="6"/>
  <c r="BT24" i="6"/>
  <c r="BT23" i="6"/>
  <c r="BT22" i="6"/>
  <c r="BT21" i="6"/>
  <c r="BT20" i="6"/>
  <c r="BT19" i="6"/>
  <c r="BT18" i="6"/>
  <c r="BT17" i="6"/>
  <c r="BT16" i="6"/>
  <c r="BT15" i="6"/>
  <c r="BT14" i="6"/>
  <c r="BT13" i="6"/>
  <c r="BT12" i="6"/>
  <c r="BT11" i="6"/>
  <c r="BT10" i="6"/>
  <c r="BT9" i="6"/>
  <c r="BT8" i="6"/>
  <c r="BT7" i="6"/>
  <c r="BT6" i="6"/>
  <c r="BT5" i="6"/>
  <c r="BT54" i="6" s="1"/>
  <c r="BN40" i="5" a="1"/>
  <c r="BN40" i="5" s="1"/>
  <c r="BL40" i="5" a="1"/>
  <c r="BL40" i="5" s="1"/>
  <c r="BK40" i="5" a="1"/>
  <c r="BK40" i="5" s="1"/>
  <c r="BJ40" i="5" a="1"/>
  <c r="BJ40" i="5" s="1"/>
  <c r="BN35" i="5" a="1"/>
  <c r="BN35" i="5" s="1"/>
  <c r="BL35" i="5" a="1"/>
  <c r="BL35" i="5" s="1"/>
  <c r="BK35" i="5" a="1"/>
  <c r="BK35" i="5" s="1"/>
  <c r="BJ35" i="5" a="1"/>
  <c r="BJ35" i="5" s="1"/>
  <c r="BN30" i="5" a="1"/>
  <c r="BN30" i="5" s="1"/>
  <c r="BL30" i="5" a="1"/>
  <c r="BL30" i="5" s="1"/>
  <c r="BK30" i="5" a="1"/>
  <c r="BK30" i="5" s="1"/>
  <c r="BJ30" i="5" a="1"/>
  <c r="BJ30" i="5" s="1"/>
  <c r="BN25" i="5" a="1"/>
  <c r="BN25" i="5" s="1"/>
  <c r="BL25" i="5" a="1"/>
  <c r="BL25" i="5" s="1"/>
  <c r="BK25" i="5" a="1"/>
  <c r="BK25" i="5" s="1"/>
  <c r="BJ25" i="5" a="1"/>
  <c r="BJ25" i="5" s="1"/>
  <c r="BN20" i="5" a="1"/>
  <c r="BN20" i="5" s="1"/>
  <c r="BL20" i="5" a="1"/>
  <c r="BL20" i="5" s="1"/>
  <c r="BK20" i="5" a="1"/>
  <c r="BK20" i="5" s="1"/>
  <c r="BJ20" i="5" a="1"/>
  <c r="BJ20" i="5" s="1"/>
  <c r="BN15" i="5" a="1"/>
  <c r="BN15" i="5" s="1"/>
  <c r="BL15" i="5" a="1"/>
  <c r="BL15" i="5" s="1"/>
  <c r="BK15" i="5" a="1"/>
  <c r="BK15" i="5" s="1"/>
  <c r="BJ15" i="5" a="1"/>
  <c r="BJ15" i="5" s="1"/>
  <c r="BN10" i="5" a="1"/>
  <c r="BN10" i="5" s="1"/>
  <c r="BL10" i="5" a="1"/>
  <c r="BL10" i="5" s="1"/>
  <c r="BK10" i="5" a="1"/>
  <c r="BK10" i="5" s="1"/>
  <c r="BJ10" i="5" a="1"/>
  <c r="BJ10" i="5" s="1"/>
  <c r="BN5" i="5" a="1"/>
  <c r="BN5" i="5" s="1"/>
  <c r="BN54" i="5" s="1"/>
  <c r="BL5" i="5" a="1"/>
  <c r="BL5" i="5" s="1"/>
  <c r="BK5" i="5" a="1"/>
  <c r="BK5" i="5" s="1"/>
  <c r="BJ5" i="5" a="1"/>
  <c r="BJ5" i="5" s="1"/>
  <c r="BN52" i="6"/>
  <c r="BL51" i="6"/>
  <c r="BK51" i="6"/>
  <c r="BJ51" i="6"/>
  <c r="BJ54" i="5" l="1"/>
  <c r="BK54" i="5"/>
  <c r="BT54" i="5"/>
  <c r="BL54" i="5"/>
  <c r="AZ53" i="5"/>
  <c r="C23" i="1" s="1"/>
  <c r="C16" i="7" s="1"/>
  <c r="C12" i="7"/>
  <c r="BF53" i="5"/>
  <c r="I23" i="1" s="1"/>
  <c r="I16" i="7" s="1"/>
  <c r="I12" i="7"/>
  <c r="BC53" i="5"/>
  <c r="F23" i="1" s="1"/>
  <c r="F16" i="7" s="1"/>
  <c r="F12" i="7"/>
  <c r="BD53" i="5"/>
  <c r="G23" i="1" s="1"/>
  <c r="G16" i="7" s="1"/>
  <c r="G12" i="7"/>
  <c r="BA53" i="5"/>
  <c r="D23" i="1" s="1"/>
  <c r="D16" i="7" s="1"/>
  <c r="D12" i="7"/>
  <c r="BB53" i="5"/>
  <c r="E23" i="1" s="1"/>
  <c r="E16" i="7" s="1"/>
  <c r="E12" i="7"/>
  <c r="BT51" i="5"/>
  <c r="BT51" i="6"/>
  <c r="BT52" i="6"/>
  <c r="BT52" i="5"/>
  <c r="BN51" i="5"/>
  <c r="BJ52" i="5"/>
  <c r="BK52" i="5"/>
  <c r="BT50" i="5"/>
  <c r="BT50" i="6"/>
  <c r="BN51" i="6"/>
  <c r="BL52" i="5"/>
  <c r="BN50" i="5"/>
  <c r="BJ51" i="5"/>
  <c r="BN52" i="5"/>
  <c r="BJ50" i="5"/>
  <c r="BK50" i="5"/>
  <c r="BL50" i="5"/>
  <c r="BK51" i="5"/>
  <c r="BL51" i="5"/>
  <c r="BN50" i="6"/>
  <c r="BJ50" i="6"/>
  <c r="BL50" i="6"/>
  <c r="BK52" i="6"/>
  <c r="BK50" i="6"/>
  <c r="BJ52" i="6"/>
  <c r="BL52" i="6"/>
  <c r="AH44" i="5"/>
  <c r="AH43" i="5"/>
  <c r="AH42" i="5"/>
  <c r="AH41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H10" i="5"/>
  <c r="AH9" i="5"/>
  <c r="AH8" i="5"/>
  <c r="AH7" i="5"/>
  <c r="AH6" i="5"/>
  <c r="AH5" i="5"/>
  <c r="M44" i="5"/>
  <c r="L44" i="5" s="1"/>
  <c r="M43" i="5"/>
  <c r="L43" i="5" s="1"/>
  <c r="M42" i="5"/>
  <c r="L42" i="5" s="1"/>
  <c r="M41" i="5"/>
  <c r="L41" i="5" s="1"/>
  <c r="AG96" i="5" s="1"/>
  <c r="M40" i="5"/>
  <c r="L40" i="5" s="1"/>
  <c r="M39" i="5"/>
  <c r="L39" i="5" s="1"/>
  <c r="M38" i="5"/>
  <c r="L38" i="5" s="1"/>
  <c r="M37" i="5"/>
  <c r="L37" i="5" s="1"/>
  <c r="M36" i="5"/>
  <c r="L36" i="5" s="1"/>
  <c r="M35" i="5"/>
  <c r="L35" i="5" s="1"/>
  <c r="M34" i="5"/>
  <c r="L34" i="5" s="1"/>
  <c r="M33" i="5"/>
  <c r="L33" i="5" s="1"/>
  <c r="M32" i="5"/>
  <c r="L32" i="5" s="1"/>
  <c r="M31" i="5"/>
  <c r="L31" i="5" s="1"/>
  <c r="M30" i="5"/>
  <c r="L30" i="5" s="1"/>
  <c r="M29" i="5"/>
  <c r="L29" i="5" s="1"/>
  <c r="M28" i="5"/>
  <c r="L28" i="5" s="1"/>
  <c r="M27" i="5"/>
  <c r="L27" i="5" s="1"/>
  <c r="M26" i="5"/>
  <c r="L26" i="5" s="1"/>
  <c r="M25" i="5"/>
  <c r="L25" i="5" s="1"/>
  <c r="M24" i="5"/>
  <c r="L24" i="5" s="1"/>
  <c r="M23" i="5"/>
  <c r="L23" i="5" s="1"/>
  <c r="M22" i="5"/>
  <c r="L22" i="5" s="1"/>
  <c r="M21" i="5"/>
  <c r="L21" i="5" s="1"/>
  <c r="M20" i="5"/>
  <c r="L20" i="5" s="1"/>
  <c r="M19" i="5"/>
  <c r="L19" i="5" s="1"/>
  <c r="M18" i="5"/>
  <c r="L18" i="5" s="1"/>
  <c r="M17" i="5"/>
  <c r="L17" i="5" s="1"/>
  <c r="M16" i="5"/>
  <c r="L16" i="5" s="1"/>
  <c r="M15" i="5"/>
  <c r="L15" i="5" s="1"/>
  <c r="M14" i="5"/>
  <c r="L14" i="5" s="1"/>
  <c r="M13" i="5"/>
  <c r="L13" i="5" s="1"/>
  <c r="M12" i="5"/>
  <c r="L12" i="5" s="1"/>
  <c r="M11" i="5"/>
  <c r="L11" i="5" s="1"/>
  <c r="M10" i="5"/>
  <c r="L10" i="5" s="1"/>
  <c r="M9" i="5"/>
  <c r="L9" i="5" s="1"/>
  <c r="M8" i="5"/>
  <c r="L8" i="5" s="1"/>
  <c r="M7" i="5"/>
  <c r="L7" i="5" s="1"/>
  <c r="M6" i="5"/>
  <c r="L6" i="5" s="1"/>
  <c r="M5" i="5"/>
  <c r="L5" i="5" s="1"/>
  <c r="AH44" i="6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AH8" i="6"/>
  <c r="AH7" i="6"/>
  <c r="AH6" i="6"/>
  <c r="AH5" i="6"/>
  <c r="M44" i="6"/>
  <c r="L44" i="6" s="1"/>
  <c r="M43" i="6"/>
  <c r="L43" i="6" s="1"/>
  <c r="M42" i="6"/>
  <c r="L42" i="6" s="1"/>
  <c r="M41" i="6"/>
  <c r="L41" i="6" s="1"/>
  <c r="M40" i="6"/>
  <c r="M39" i="6"/>
  <c r="L39" i="6" s="1"/>
  <c r="M38" i="6"/>
  <c r="L38" i="6" s="1"/>
  <c r="M37" i="6"/>
  <c r="L37" i="6" s="1"/>
  <c r="M36" i="6"/>
  <c r="L36" i="6" s="1"/>
  <c r="M35" i="6"/>
  <c r="M34" i="6"/>
  <c r="L34" i="6" s="1"/>
  <c r="M33" i="6"/>
  <c r="L33" i="6" s="1"/>
  <c r="M32" i="6"/>
  <c r="L32" i="6" s="1"/>
  <c r="M31" i="6"/>
  <c r="L31" i="6" s="1"/>
  <c r="M30" i="6"/>
  <c r="M29" i="6"/>
  <c r="L29" i="6" s="1"/>
  <c r="M28" i="6"/>
  <c r="L28" i="6" s="1"/>
  <c r="M27" i="6"/>
  <c r="L27" i="6" s="1"/>
  <c r="M26" i="6"/>
  <c r="L26" i="6" s="1"/>
  <c r="M25" i="6"/>
  <c r="M24" i="6"/>
  <c r="L24" i="6" s="1"/>
  <c r="M23" i="6"/>
  <c r="L23" i="6" s="1"/>
  <c r="M22" i="6"/>
  <c r="L22" i="6" s="1"/>
  <c r="M21" i="6"/>
  <c r="L21" i="6" s="1"/>
  <c r="M20" i="6"/>
  <c r="M19" i="6"/>
  <c r="L19" i="6" s="1"/>
  <c r="M18" i="6"/>
  <c r="L18" i="6" s="1"/>
  <c r="M17" i="6"/>
  <c r="L17" i="6" s="1"/>
  <c r="M16" i="6"/>
  <c r="L16" i="6" s="1"/>
  <c r="M15" i="6"/>
  <c r="M14" i="6"/>
  <c r="L14" i="6" s="1"/>
  <c r="M13" i="6"/>
  <c r="L13" i="6" s="1"/>
  <c r="M12" i="6"/>
  <c r="L12" i="6" s="1"/>
  <c r="M11" i="6"/>
  <c r="L11" i="6" s="1"/>
  <c r="M10" i="6"/>
  <c r="M9" i="6"/>
  <c r="L9" i="6" s="1"/>
  <c r="M8" i="6"/>
  <c r="L8" i="6" s="1"/>
  <c r="M7" i="6"/>
  <c r="L7" i="6" s="1"/>
  <c r="M6" i="6"/>
  <c r="L6" i="6" s="1"/>
  <c r="M5" i="6"/>
  <c r="L25" i="6" l="1"/>
  <c r="BH25" i="6" a="1"/>
  <c r="BH25" i="6" s="1"/>
  <c r="BM25" i="6" a="1"/>
  <c r="BM25" i="6" s="1"/>
  <c r="BI25" i="6" a="1"/>
  <c r="BI25" i="6" s="1"/>
  <c r="AH64" i="6"/>
  <c r="AG9" i="6"/>
  <c r="AG64" i="6" s="1"/>
  <c r="AH88" i="6"/>
  <c r="AG33" i="6"/>
  <c r="AG88" i="6" s="1"/>
  <c r="AH96" i="5"/>
  <c r="AG41" i="5"/>
  <c r="AH89" i="6"/>
  <c r="AG34" i="6"/>
  <c r="AG89" i="6" s="1"/>
  <c r="L5" i="6"/>
  <c r="BH5" i="6" a="1"/>
  <c r="BH5" i="6" s="1"/>
  <c r="BH54" i="6" s="1"/>
  <c r="BM5" i="6" a="1"/>
  <c r="BM5" i="6" s="1"/>
  <c r="BI5" i="6" a="1"/>
  <c r="BI5" i="6" s="1"/>
  <c r="AG5" i="6"/>
  <c r="AH60" i="6"/>
  <c r="AG29" i="6"/>
  <c r="AG84" i="6" s="1"/>
  <c r="AH84" i="6"/>
  <c r="AG21" i="5"/>
  <c r="AG76" i="5" s="1"/>
  <c r="AH76" i="5"/>
  <c r="L40" i="6"/>
  <c r="BM40" i="6" a="1"/>
  <c r="BM40" i="6" s="1"/>
  <c r="BI40" i="6" a="1"/>
  <c r="BI40" i="6" s="1"/>
  <c r="BH40" i="6" a="1"/>
  <c r="BH40" i="6" s="1"/>
  <c r="AH63" i="6"/>
  <c r="AG8" i="6"/>
  <c r="AG63" i="6" s="1"/>
  <c r="AH71" i="6"/>
  <c r="AG16" i="6"/>
  <c r="AG71" i="6" s="1"/>
  <c r="AH79" i="6"/>
  <c r="AG24" i="6"/>
  <c r="AG79" i="6" s="1"/>
  <c r="AH87" i="6"/>
  <c r="AG32" i="6"/>
  <c r="AG87" i="6" s="1"/>
  <c r="AH95" i="6"/>
  <c r="AG40" i="6"/>
  <c r="AH63" i="5"/>
  <c r="AG8" i="5"/>
  <c r="AG63" i="5" s="1"/>
  <c r="AH71" i="5"/>
  <c r="AG16" i="5"/>
  <c r="AG71" i="5" s="1"/>
  <c r="AH79" i="5"/>
  <c r="AG24" i="5"/>
  <c r="AG79" i="5" s="1"/>
  <c r="AH87" i="5"/>
  <c r="AG32" i="5"/>
  <c r="AG87" i="5" s="1"/>
  <c r="AH95" i="5"/>
  <c r="AG40" i="5"/>
  <c r="AG95" i="5" s="1"/>
  <c r="AH64" i="5"/>
  <c r="AG9" i="5"/>
  <c r="AG64" i="5" s="1"/>
  <c r="AH80" i="5"/>
  <c r="AG25" i="5"/>
  <c r="AG80" i="5" s="1"/>
  <c r="AH65" i="6"/>
  <c r="AG10" i="6"/>
  <c r="AH65" i="5"/>
  <c r="AG10" i="5"/>
  <c r="AG65" i="5" s="1"/>
  <c r="AH81" i="5"/>
  <c r="AG26" i="5"/>
  <c r="AG81" i="5" s="1"/>
  <c r="AH97" i="5"/>
  <c r="AG42" i="5"/>
  <c r="AG97" i="5" s="1"/>
  <c r="L35" i="6"/>
  <c r="BI35" i="6" a="1"/>
  <c r="BI35" i="6" s="1"/>
  <c r="BH35" i="6" a="1"/>
  <c r="BH35" i="6" s="1"/>
  <c r="BM35" i="6" a="1"/>
  <c r="BM35" i="6" s="1"/>
  <c r="AH66" i="6"/>
  <c r="AG11" i="6"/>
  <c r="AG66" i="6" s="1"/>
  <c r="AH74" i="6"/>
  <c r="AG19" i="6"/>
  <c r="AG74" i="6" s="1"/>
  <c r="AH82" i="6"/>
  <c r="AG27" i="6"/>
  <c r="AG82" i="6" s="1"/>
  <c r="AH90" i="6"/>
  <c r="AG35" i="6"/>
  <c r="AG90" i="6" s="1"/>
  <c r="AH98" i="6"/>
  <c r="AG43" i="6"/>
  <c r="AG98" i="6" s="1"/>
  <c r="AH66" i="5"/>
  <c r="AG11" i="5"/>
  <c r="AG66" i="5" s="1"/>
  <c r="AH74" i="5"/>
  <c r="AG19" i="5"/>
  <c r="AG74" i="5" s="1"/>
  <c r="AH82" i="5"/>
  <c r="AG27" i="5"/>
  <c r="AG82" i="5" s="1"/>
  <c r="AH90" i="5"/>
  <c r="AG35" i="5"/>
  <c r="AG90" i="5" s="1"/>
  <c r="AH98" i="5"/>
  <c r="AG43" i="5"/>
  <c r="AG98" i="5" s="1"/>
  <c r="AH72" i="6"/>
  <c r="AG17" i="6"/>
  <c r="AG72" i="6" s="1"/>
  <c r="AH72" i="5"/>
  <c r="AG17" i="5"/>
  <c r="AG72" i="5" s="1"/>
  <c r="AH88" i="5"/>
  <c r="AG33" i="5"/>
  <c r="AG88" i="5" s="1"/>
  <c r="AH81" i="6"/>
  <c r="AG26" i="6"/>
  <c r="AG81" i="6" s="1"/>
  <c r="AH73" i="5"/>
  <c r="AG18" i="5"/>
  <c r="AG73" i="5" s="1"/>
  <c r="AH89" i="5"/>
  <c r="AG34" i="5"/>
  <c r="AG89" i="5" s="1"/>
  <c r="L20" i="6"/>
  <c r="BI20" i="6" a="1"/>
  <c r="BI20" i="6" s="1"/>
  <c r="BH20" i="6" a="1"/>
  <c r="BH20" i="6" s="1"/>
  <c r="BM20" i="6" a="1"/>
  <c r="BM20" i="6" s="1"/>
  <c r="AH67" i="6"/>
  <c r="AG12" i="6"/>
  <c r="AG67" i="6" s="1"/>
  <c r="AH75" i="6"/>
  <c r="AG20" i="6"/>
  <c r="AH83" i="6"/>
  <c r="AG28" i="6"/>
  <c r="AG83" i="6" s="1"/>
  <c r="AH91" i="6"/>
  <c r="AG36" i="6"/>
  <c r="AG91" i="6" s="1"/>
  <c r="AH99" i="6"/>
  <c r="AG44" i="6"/>
  <c r="AG99" i="6" s="1"/>
  <c r="AH67" i="5"/>
  <c r="AG12" i="5"/>
  <c r="AG67" i="5" s="1"/>
  <c r="AH75" i="5"/>
  <c r="AG20" i="5"/>
  <c r="AG75" i="5" s="1"/>
  <c r="AH83" i="5"/>
  <c r="AG28" i="5"/>
  <c r="AG83" i="5" s="1"/>
  <c r="AH91" i="5"/>
  <c r="AG36" i="5"/>
  <c r="AG91" i="5" s="1"/>
  <c r="AH99" i="5"/>
  <c r="AG44" i="5"/>
  <c r="AG99" i="5" s="1"/>
  <c r="AH80" i="6"/>
  <c r="AG25" i="6"/>
  <c r="AG80" i="6" s="1"/>
  <c r="L10" i="6"/>
  <c r="BH10" i="6" a="1"/>
  <c r="BH10" i="6" s="1"/>
  <c r="BM10" i="6" a="1"/>
  <c r="BM10" i="6" s="1"/>
  <c r="BI10" i="6" a="1"/>
  <c r="BI10" i="6" s="1"/>
  <c r="AG37" i="6"/>
  <c r="AG92" i="6" s="1"/>
  <c r="AH92" i="6"/>
  <c r="AG13" i="5"/>
  <c r="AG68" i="5" s="1"/>
  <c r="AH68" i="5"/>
  <c r="AG37" i="5"/>
  <c r="AG92" i="5" s="1"/>
  <c r="AH92" i="5"/>
  <c r="L30" i="6"/>
  <c r="BH30" i="6" a="1"/>
  <c r="BH30" i="6" s="1"/>
  <c r="BM30" i="6" a="1"/>
  <c r="BM30" i="6" s="1"/>
  <c r="BI30" i="6" a="1"/>
  <c r="BI30" i="6" s="1"/>
  <c r="AG6" i="6"/>
  <c r="AG61" i="6" s="1"/>
  <c r="AH61" i="6"/>
  <c r="AG14" i="6"/>
  <c r="AG69" i="6" s="1"/>
  <c r="AH69" i="6"/>
  <c r="AG22" i="6"/>
  <c r="AG77" i="6" s="1"/>
  <c r="AH77" i="6"/>
  <c r="AG30" i="6"/>
  <c r="AH85" i="6"/>
  <c r="AG38" i="6"/>
  <c r="AG93" i="6" s="1"/>
  <c r="AH93" i="6"/>
  <c r="AG6" i="5"/>
  <c r="AG61" i="5" s="1"/>
  <c r="AH61" i="5"/>
  <c r="AG14" i="5"/>
  <c r="AG69" i="5" s="1"/>
  <c r="AH69" i="5"/>
  <c r="AG22" i="5"/>
  <c r="AG77" i="5" s="1"/>
  <c r="AH77" i="5"/>
  <c r="AG30" i="5"/>
  <c r="AG85" i="5" s="1"/>
  <c r="AH85" i="5"/>
  <c r="AG38" i="5"/>
  <c r="AG93" i="5" s="1"/>
  <c r="AH93" i="5"/>
  <c r="AH96" i="6"/>
  <c r="AG41" i="6"/>
  <c r="AG96" i="6" s="1"/>
  <c r="AH73" i="6"/>
  <c r="AG18" i="6"/>
  <c r="AG73" i="6" s="1"/>
  <c r="AH97" i="6"/>
  <c r="AG42" i="6"/>
  <c r="AG97" i="6" s="1"/>
  <c r="AG13" i="6"/>
  <c r="AG68" i="6" s="1"/>
  <c r="AH68" i="6"/>
  <c r="AH76" i="6"/>
  <c r="AG21" i="6"/>
  <c r="AG76" i="6" s="1"/>
  <c r="AG5" i="5"/>
  <c r="AG60" i="5" s="1"/>
  <c r="AH60" i="5"/>
  <c r="AG29" i="5"/>
  <c r="AG84" i="5" s="1"/>
  <c r="AH84" i="5"/>
  <c r="L15" i="6"/>
  <c r="BI15" i="6" a="1"/>
  <c r="BI15" i="6" s="1"/>
  <c r="BH15" i="6" a="1"/>
  <c r="BH15" i="6" s="1"/>
  <c r="BM15" i="6" a="1"/>
  <c r="BM15" i="6" s="1"/>
  <c r="AG7" i="6"/>
  <c r="AG62" i="6" s="1"/>
  <c r="AH62" i="6"/>
  <c r="AG15" i="6"/>
  <c r="AH70" i="6"/>
  <c r="AG23" i="6"/>
  <c r="AG78" i="6" s="1"/>
  <c r="AH78" i="6"/>
  <c r="AG31" i="6"/>
  <c r="AG86" i="6" s="1"/>
  <c r="AH86" i="6"/>
  <c r="AG39" i="6"/>
  <c r="AG94" i="6" s="1"/>
  <c r="AH94" i="6"/>
  <c r="AG7" i="5"/>
  <c r="AG62" i="5" s="1"/>
  <c r="AH62" i="5"/>
  <c r="AG15" i="5"/>
  <c r="AG70" i="5" s="1"/>
  <c r="AH70" i="5"/>
  <c r="AG23" i="5"/>
  <c r="AG78" i="5" s="1"/>
  <c r="AH78" i="5"/>
  <c r="AG31" i="5"/>
  <c r="AG86" i="5" s="1"/>
  <c r="AH86" i="5"/>
  <c r="AG39" i="5"/>
  <c r="AG94" i="5" s="1"/>
  <c r="AH94" i="5"/>
  <c r="BI5" i="5" a="1"/>
  <c r="BI5" i="5" s="1"/>
  <c r="BH5" i="5" a="1"/>
  <c r="BH5" i="5" s="1"/>
  <c r="BM5" i="5" a="1"/>
  <c r="BM5" i="5" s="1"/>
  <c r="BI15" i="5" a="1"/>
  <c r="BI15" i="5" s="1"/>
  <c r="BH15" i="5" a="1"/>
  <c r="BH15" i="5" s="1"/>
  <c r="BM15" i="5" a="1"/>
  <c r="BM15" i="5" s="1"/>
  <c r="BM25" i="5" a="1"/>
  <c r="BM25" i="5" s="1"/>
  <c r="BI25" i="5" a="1"/>
  <c r="BI25" i="5" s="1"/>
  <c r="BH25" i="5" a="1"/>
  <c r="BH25" i="5" s="1"/>
  <c r="BI35" i="5" a="1"/>
  <c r="BI35" i="5" s="1"/>
  <c r="BH35" i="5" a="1"/>
  <c r="BH35" i="5" s="1"/>
  <c r="BM35" i="5" a="1"/>
  <c r="BM35" i="5" s="1"/>
  <c r="BI10" i="5" a="1"/>
  <c r="BI10" i="5" s="1"/>
  <c r="BH10" i="5" a="1"/>
  <c r="BH10" i="5" s="1"/>
  <c r="BM10" i="5" a="1"/>
  <c r="BM10" i="5" s="1"/>
  <c r="BH20" i="5" a="1"/>
  <c r="BH20" i="5" s="1"/>
  <c r="BM20" i="5" a="1"/>
  <c r="BM20" i="5" s="1"/>
  <c r="BI20" i="5" a="1"/>
  <c r="BI20" i="5" s="1"/>
  <c r="BI30" i="5" a="1"/>
  <c r="BI30" i="5" s="1"/>
  <c r="BH30" i="5" a="1"/>
  <c r="BH30" i="5" s="1"/>
  <c r="BM30" i="5" a="1"/>
  <c r="BM30" i="5" s="1"/>
  <c r="BI40" i="5" a="1"/>
  <c r="BI40" i="5" s="1"/>
  <c r="BH40" i="5" a="1"/>
  <c r="BH40" i="5" s="1"/>
  <c r="BM40" i="5" a="1"/>
  <c r="BM40" i="5" s="1"/>
  <c r="A19" i="7"/>
  <c r="A18" i="7"/>
  <c r="A17" i="7"/>
  <c r="A14" i="7"/>
  <c r="A13" i="7"/>
  <c r="AV99" i="6"/>
  <c r="AU99" i="6"/>
  <c r="AT99" i="6"/>
  <c r="AS99" i="6"/>
  <c r="AR99" i="6"/>
  <c r="AQ99" i="6"/>
  <c r="AP99" i="6"/>
  <c r="AV98" i="6"/>
  <c r="AU98" i="6"/>
  <c r="AT98" i="6"/>
  <c r="AS98" i="6"/>
  <c r="AR98" i="6"/>
  <c r="AQ98" i="6"/>
  <c r="AP98" i="6"/>
  <c r="AV97" i="6"/>
  <c r="AU97" i="6"/>
  <c r="AT97" i="6"/>
  <c r="AS97" i="6"/>
  <c r="AR97" i="6"/>
  <c r="AQ97" i="6"/>
  <c r="AP97" i="6"/>
  <c r="AV96" i="6"/>
  <c r="AU96" i="6"/>
  <c r="AT96" i="6"/>
  <c r="AS96" i="6"/>
  <c r="AR96" i="6"/>
  <c r="AQ96" i="6"/>
  <c r="AP96" i="6"/>
  <c r="AV95" i="6"/>
  <c r="AU95" i="6"/>
  <c r="AT95" i="6"/>
  <c r="AS95" i="6"/>
  <c r="AR95" i="6"/>
  <c r="AQ95" i="6"/>
  <c r="AP95" i="6"/>
  <c r="AV94" i="6"/>
  <c r="AU94" i="6"/>
  <c r="AT94" i="6"/>
  <c r="AS94" i="6"/>
  <c r="AR94" i="6"/>
  <c r="AQ94" i="6"/>
  <c r="AP94" i="6"/>
  <c r="AV93" i="6"/>
  <c r="AU93" i="6"/>
  <c r="AT93" i="6"/>
  <c r="AS93" i="6"/>
  <c r="AR93" i="6"/>
  <c r="AQ93" i="6"/>
  <c r="AP93" i="6"/>
  <c r="AV92" i="6"/>
  <c r="AU92" i="6"/>
  <c r="AT92" i="6"/>
  <c r="AS92" i="6"/>
  <c r="AR92" i="6"/>
  <c r="AQ92" i="6"/>
  <c r="AP92" i="6"/>
  <c r="AV91" i="6"/>
  <c r="AU91" i="6"/>
  <c r="AT91" i="6"/>
  <c r="AS91" i="6"/>
  <c r="AR91" i="6"/>
  <c r="AQ91" i="6"/>
  <c r="AP91" i="6"/>
  <c r="AV90" i="6"/>
  <c r="AU90" i="6"/>
  <c r="AT90" i="6"/>
  <c r="AS90" i="6"/>
  <c r="AR90" i="6"/>
  <c r="AQ90" i="6"/>
  <c r="AP90" i="6"/>
  <c r="AV89" i="6"/>
  <c r="AU89" i="6"/>
  <c r="AT89" i="6"/>
  <c r="AS89" i="6"/>
  <c r="AR89" i="6"/>
  <c r="AQ89" i="6"/>
  <c r="AP89" i="6"/>
  <c r="AV88" i="6"/>
  <c r="AU88" i="6"/>
  <c r="AT88" i="6"/>
  <c r="AS88" i="6"/>
  <c r="AR88" i="6"/>
  <c r="AQ88" i="6"/>
  <c r="AP88" i="6"/>
  <c r="AV87" i="6"/>
  <c r="AU87" i="6"/>
  <c r="AT87" i="6"/>
  <c r="AS87" i="6"/>
  <c r="AR87" i="6"/>
  <c r="AQ87" i="6"/>
  <c r="AP87" i="6"/>
  <c r="AV86" i="6"/>
  <c r="AU86" i="6"/>
  <c r="AT86" i="6"/>
  <c r="AS86" i="6"/>
  <c r="AR86" i="6"/>
  <c r="AQ86" i="6"/>
  <c r="AP86" i="6"/>
  <c r="AV85" i="6"/>
  <c r="AU85" i="6"/>
  <c r="AT85" i="6"/>
  <c r="AS85" i="6"/>
  <c r="AR85" i="6"/>
  <c r="AQ85" i="6"/>
  <c r="AP85" i="6"/>
  <c r="AV84" i="6"/>
  <c r="AU84" i="6"/>
  <c r="AT84" i="6"/>
  <c r="AS84" i="6"/>
  <c r="AR84" i="6"/>
  <c r="AQ84" i="6"/>
  <c r="AP84" i="6"/>
  <c r="AV83" i="6"/>
  <c r="AU83" i="6"/>
  <c r="AT83" i="6"/>
  <c r="AS83" i="6"/>
  <c r="AR83" i="6"/>
  <c r="AQ83" i="6"/>
  <c r="AP83" i="6"/>
  <c r="AV82" i="6"/>
  <c r="AU82" i="6"/>
  <c r="AT82" i="6"/>
  <c r="AS82" i="6"/>
  <c r="AR82" i="6"/>
  <c r="AQ82" i="6"/>
  <c r="AP82" i="6"/>
  <c r="AV81" i="6"/>
  <c r="AU81" i="6"/>
  <c r="AT81" i="6"/>
  <c r="AS81" i="6"/>
  <c r="AR81" i="6"/>
  <c r="AQ81" i="6"/>
  <c r="AP81" i="6"/>
  <c r="AV80" i="6"/>
  <c r="AU80" i="6"/>
  <c r="AT80" i="6"/>
  <c r="AS80" i="6"/>
  <c r="AR80" i="6"/>
  <c r="AQ80" i="6"/>
  <c r="AP80" i="6"/>
  <c r="AV79" i="6"/>
  <c r="AU79" i="6"/>
  <c r="AT79" i="6"/>
  <c r="AS79" i="6"/>
  <c r="AR79" i="6"/>
  <c r="AQ79" i="6"/>
  <c r="AP79" i="6"/>
  <c r="AV78" i="6"/>
  <c r="AU78" i="6"/>
  <c r="AT78" i="6"/>
  <c r="AS78" i="6"/>
  <c r="AR78" i="6"/>
  <c r="AQ78" i="6"/>
  <c r="AP78" i="6"/>
  <c r="AV77" i="6"/>
  <c r="AU77" i="6"/>
  <c r="AT77" i="6"/>
  <c r="AS77" i="6"/>
  <c r="AR77" i="6"/>
  <c r="AQ77" i="6"/>
  <c r="AP77" i="6"/>
  <c r="AV76" i="6"/>
  <c r="AU76" i="6"/>
  <c r="AT76" i="6"/>
  <c r="AS76" i="6"/>
  <c r="AR76" i="6"/>
  <c r="AQ76" i="6"/>
  <c r="AP76" i="6"/>
  <c r="AV75" i="6"/>
  <c r="AU75" i="6"/>
  <c r="AT75" i="6"/>
  <c r="AS75" i="6"/>
  <c r="AR75" i="6"/>
  <c r="AQ75" i="6"/>
  <c r="AP75" i="6"/>
  <c r="AV74" i="6"/>
  <c r="AU74" i="6"/>
  <c r="AT74" i="6"/>
  <c r="AS74" i="6"/>
  <c r="AR74" i="6"/>
  <c r="AQ74" i="6"/>
  <c r="AP74" i="6"/>
  <c r="AV73" i="6"/>
  <c r="AU73" i="6"/>
  <c r="AT73" i="6"/>
  <c r="AS73" i="6"/>
  <c r="AR73" i="6"/>
  <c r="AQ73" i="6"/>
  <c r="AP73" i="6"/>
  <c r="AV72" i="6"/>
  <c r="AU72" i="6"/>
  <c r="AT72" i="6"/>
  <c r="AS72" i="6"/>
  <c r="AR72" i="6"/>
  <c r="AQ72" i="6"/>
  <c r="AP72" i="6"/>
  <c r="AV71" i="6"/>
  <c r="AU71" i="6"/>
  <c r="AT71" i="6"/>
  <c r="AS71" i="6"/>
  <c r="AR71" i="6"/>
  <c r="AQ71" i="6"/>
  <c r="AP71" i="6"/>
  <c r="AV70" i="6"/>
  <c r="AU70" i="6"/>
  <c r="AT70" i="6"/>
  <c r="AS70" i="6"/>
  <c r="AR70" i="6"/>
  <c r="AQ70" i="6"/>
  <c r="AP70" i="6"/>
  <c r="AV69" i="6"/>
  <c r="AU69" i="6"/>
  <c r="AT69" i="6"/>
  <c r="AS69" i="6"/>
  <c r="AR69" i="6"/>
  <c r="AQ69" i="6"/>
  <c r="AP69" i="6"/>
  <c r="AV68" i="6"/>
  <c r="AU68" i="6"/>
  <c r="AT68" i="6"/>
  <c r="AS68" i="6"/>
  <c r="AR68" i="6"/>
  <c r="AQ68" i="6"/>
  <c r="AP68" i="6"/>
  <c r="AV67" i="6"/>
  <c r="AU67" i="6"/>
  <c r="AT67" i="6"/>
  <c r="AS67" i="6"/>
  <c r="AR67" i="6"/>
  <c r="AQ67" i="6"/>
  <c r="AP67" i="6"/>
  <c r="AV66" i="6"/>
  <c r="AU66" i="6"/>
  <c r="AT66" i="6"/>
  <c r="AS66" i="6"/>
  <c r="AR66" i="6"/>
  <c r="AQ66" i="6"/>
  <c r="AP66" i="6"/>
  <c r="AV65" i="6"/>
  <c r="AU65" i="6"/>
  <c r="AT65" i="6"/>
  <c r="AS65" i="6"/>
  <c r="AR65" i="6"/>
  <c r="AQ65" i="6"/>
  <c r="AP65" i="6"/>
  <c r="AV64" i="6"/>
  <c r="AU64" i="6"/>
  <c r="AT64" i="6"/>
  <c r="AS64" i="6"/>
  <c r="AR64" i="6"/>
  <c r="AQ64" i="6"/>
  <c r="AP64" i="6"/>
  <c r="AV63" i="6"/>
  <c r="AU63" i="6"/>
  <c r="AT63" i="6"/>
  <c r="AS63" i="6"/>
  <c r="AR63" i="6"/>
  <c r="AQ63" i="6"/>
  <c r="AP63" i="6"/>
  <c r="AV62" i="6"/>
  <c r="AU62" i="6"/>
  <c r="AT62" i="6"/>
  <c r="AS62" i="6"/>
  <c r="AR62" i="6"/>
  <c r="AQ62" i="6"/>
  <c r="AP62" i="6"/>
  <c r="AV61" i="6"/>
  <c r="AU61" i="6"/>
  <c r="AT61" i="6"/>
  <c r="AS61" i="6"/>
  <c r="AR61" i="6"/>
  <c r="AQ61" i="6"/>
  <c r="AP61" i="6"/>
  <c r="AV60" i="6"/>
  <c r="AU60" i="6"/>
  <c r="AT60" i="6"/>
  <c r="AS60" i="6"/>
  <c r="AR60" i="6"/>
  <c r="AQ60" i="6"/>
  <c r="AP60" i="6"/>
  <c r="BS44" i="6"/>
  <c r="BR44" i="6"/>
  <c r="BQ44" i="6"/>
  <c r="BP44" i="6"/>
  <c r="AF44" i="6"/>
  <c r="AE44" i="6"/>
  <c r="K44" i="6"/>
  <c r="J44" i="6"/>
  <c r="BS43" i="6"/>
  <c r="BR43" i="6"/>
  <c r="BQ43" i="6"/>
  <c r="BP43" i="6"/>
  <c r="AF43" i="6"/>
  <c r="AE43" i="6"/>
  <c r="K43" i="6"/>
  <c r="J43" i="6"/>
  <c r="BS42" i="6"/>
  <c r="BR42" i="6"/>
  <c r="BQ42" i="6"/>
  <c r="BP42" i="6"/>
  <c r="AF42" i="6"/>
  <c r="AE42" i="6"/>
  <c r="K42" i="6"/>
  <c r="J42" i="6"/>
  <c r="BS41" i="6"/>
  <c r="BR41" i="6"/>
  <c r="BQ41" i="6"/>
  <c r="BP41" i="6"/>
  <c r="AF41" i="6"/>
  <c r="AE41" i="6"/>
  <c r="K41" i="6"/>
  <c r="J41" i="6"/>
  <c r="BS40" i="6"/>
  <c r="BR40" i="6"/>
  <c r="BQ40" i="6"/>
  <c r="BP40" i="6"/>
  <c r="AF40" i="6"/>
  <c r="AE40" i="6"/>
  <c r="K40" i="6"/>
  <c r="J40" i="6"/>
  <c r="BS39" i="6"/>
  <c r="BR39" i="6"/>
  <c r="BQ39" i="6"/>
  <c r="BP39" i="6"/>
  <c r="AF39" i="6"/>
  <c r="AE39" i="6"/>
  <c r="K39" i="6"/>
  <c r="J39" i="6"/>
  <c r="BS38" i="6"/>
  <c r="BR38" i="6"/>
  <c r="BQ38" i="6"/>
  <c r="BP38" i="6"/>
  <c r="AF38" i="6"/>
  <c r="AE38" i="6"/>
  <c r="K38" i="6"/>
  <c r="J38" i="6"/>
  <c r="BS37" i="6"/>
  <c r="BR37" i="6"/>
  <c r="BQ37" i="6"/>
  <c r="BP37" i="6"/>
  <c r="AF37" i="6"/>
  <c r="AE37" i="6"/>
  <c r="K37" i="6"/>
  <c r="J37" i="6"/>
  <c r="BS36" i="6"/>
  <c r="BR36" i="6"/>
  <c r="BQ36" i="6"/>
  <c r="BP36" i="6"/>
  <c r="AF36" i="6"/>
  <c r="AE36" i="6"/>
  <c r="K36" i="6"/>
  <c r="J36" i="6"/>
  <c r="BS35" i="6"/>
  <c r="BR35" i="6"/>
  <c r="BQ35" i="6"/>
  <c r="BP35" i="6"/>
  <c r="AF35" i="6"/>
  <c r="AE35" i="6"/>
  <c r="K35" i="6"/>
  <c r="J35" i="6"/>
  <c r="BS34" i="6"/>
  <c r="BR34" i="6"/>
  <c r="BQ34" i="6"/>
  <c r="BP34" i="6"/>
  <c r="AF34" i="6"/>
  <c r="AE34" i="6"/>
  <c r="K34" i="6"/>
  <c r="J34" i="6"/>
  <c r="BS33" i="6"/>
  <c r="BR33" i="6"/>
  <c r="BQ33" i="6"/>
  <c r="BP33" i="6"/>
  <c r="AF33" i="6"/>
  <c r="AE33" i="6"/>
  <c r="K33" i="6"/>
  <c r="J33" i="6"/>
  <c r="BS32" i="6"/>
  <c r="BR32" i="6"/>
  <c r="BQ32" i="6"/>
  <c r="BP32" i="6"/>
  <c r="AF32" i="6"/>
  <c r="AE32" i="6"/>
  <c r="K32" i="6"/>
  <c r="J32" i="6"/>
  <c r="BS31" i="6"/>
  <c r="BR31" i="6"/>
  <c r="BQ31" i="6"/>
  <c r="BP31" i="6"/>
  <c r="AF31" i="6"/>
  <c r="AE31" i="6"/>
  <c r="K31" i="6"/>
  <c r="J31" i="6"/>
  <c r="BS30" i="6"/>
  <c r="BR30" i="6"/>
  <c r="BQ30" i="6"/>
  <c r="BP30" i="6"/>
  <c r="AF30" i="6"/>
  <c r="AE30" i="6"/>
  <c r="K30" i="6"/>
  <c r="J30" i="6"/>
  <c r="BS29" i="6"/>
  <c r="BR29" i="6"/>
  <c r="BQ29" i="6"/>
  <c r="BP29" i="6"/>
  <c r="AF29" i="6"/>
  <c r="AE29" i="6"/>
  <c r="K29" i="6"/>
  <c r="J29" i="6"/>
  <c r="BS28" i="6"/>
  <c r="BR28" i="6"/>
  <c r="BQ28" i="6"/>
  <c r="BP28" i="6"/>
  <c r="AF28" i="6"/>
  <c r="AE28" i="6"/>
  <c r="K28" i="6"/>
  <c r="J28" i="6"/>
  <c r="BS27" i="6"/>
  <c r="BR27" i="6"/>
  <c r="BQ27" i="6"/>
  <c r="BP27" i="6"/>
  <c r="AF27" i="6"/>
  <c r="AE27" i="6"/>
  <c r="K27" i="6"/>
  <c r="J27" i="6"/>
  <c r="BS26" i="6"/>
  <c r="BR26" i="6"/>
  <c r="BQ26" i="6"/>
  <c r="BP26" i="6"/>
  <c r="AF26" i="6"/>
  <c r="AE26" i="6"/>
  <c r="K26" i="6"/>
  <c r="J26" i="6"/>
  <c r="BS25" i="6"/>
  <c r="BR25" i="6"/>
  <c r="BQ25" i="6"/>
  <c r="BP25" i="6"/>
  <c r="AF25" i="6"/>
  <c r="AE25" i="6"/>
  <c r="K25" i="6"/>
  <c r="J25" i="6"/>
  <c r="BS24" i="6"/>
  <c r="BR24" i="6"/>
  <c r="BQ24" i="6"/>
  <c r="BP24" i="6"/>
  <c r="AF24" i="6"/>
  <c r="AE24" i="6"/>
  <c r="K24" i="6"/>
  <c r="J24" i="6"/>
  <c r="BS23" i="6"/>
  <c r="BR23" i="6"/>
  <c r="BQ23" i="6"/>
  <c r="BP23" i="6"/>
  <c r="AF23" i="6"/>
  <c r="AE23" i="6"/>
  <c r="K23" i="6"/>
  <c r="J23" i="6"/>
  <c r="BS22" i="6"/>
  <c r="BR22" i="6"/>
  <c r="BQ22" i="6"/>
  <c r="BP22" i="6"/>
  <c r="AF22" i="6"/>
  <c r="AE22" i="6"/>
  <c r="K22" i="6"/>
  <c r="J22" i="6"/>
  <c r="BS21" i="6"/>
  <c r="BR21" i="6"/>
  <c r="BQ21" i="6"/>
  <c r="BP21" i="6"/>
  <c r="AF21" i="6"/>
  <c r="AE21" i="6"/>
  <c r="K21" i="6"/>
  <c r="J21" i="6"/>
  <c r="BS20" i="6"/>
  <c r="BR20" i="6"/>
  <c r="BQ20" i="6"/>
  <c r="BP20" i="6"/>
  <c r="AF20" i="6"/>
  <c r="AE20" i="6"/>
  <c r="K20" i="6"/>
  <c r="J20" i="6"/>
  <c r="BS19" i="6"/>
  <c r="BR19" i="6"/>
  <c r="BQ19" i="6"/>
  <c r="BP19" i="6"/>
  <c r="AF19" i="6"/>
  <c r="AE19" i="6"/>
  <c r="K19" i="6"/>
  <c r="J19" i="6"/>
  <c r="BS18" i="6"/>
  <c r="BR18" i="6"/>
  <c r="BQ18" i="6"/>
  <c r="BP18" i="6"/>
  <c r="AF18" i="6"/>
  <c r="AE18" i="6"/>
  <c r="K18" i="6"/>
  <c r="J18" i="6"/>
  <c r="BS17" i="6"/>
  <c r="BR17" i="6"/>
  <c r="BQ17" i="6"/>
  <c r="BP17" i="6"/>
  <c r="AF17" i="6"/>
  <c r="AE17" i="6"/>
  <c r="K17" i="6"/>
  <c r="J17" i="6"/>
  <c r="BS16" i="6"/>
  <c r="BR16" i="6"/>
  <c r="BQ16" i="6"/>
  <c r="BP16" i="6"/>
  <c r="AF16" i="6"/>
  <c r="AE16" i="6"/>
  <c r="K16" i="6"/>
  <c r="J16" i="6"/>
  <c r="BS15" i="6"/>
  <c r="BR15" i="6"/>
  <c r="BQ15" i="6"/>
  <c r="BP15" i="6"/>
  <c r="AF15" i="6"/>
  <c r="AE15" i="6"/>
  <c r="K15" i="6"/>
  <c r="J15" i="6"/>
  <c r="BS14" i="6"/>
  <c r="BR14" i="6"/>
  <c r="BQ14" i="6"/>
  <c r="BP14" i="6"/>
  <c r="AF14" i="6"/>
  <c r="AE14" i="6"/>
  <c r="K14" i="6"/>
  <c r="J14" i="6"/>
  <c r="BS13" i="6"/>
  <c r="BR13" i="6"/>
  <c r="BQ13" i="6"/>
  <c r="BP13" i="6"/>
  <c r="AF13" i="6"/>
  <c r="AE13" i="6"/>
  <c r="K13" i="6"/>
  <c r="J13" i="6"/>
  <c r="BS12" i="6"/>
  <c r="BR12" i="6"/>
  <c r="BQ12" i="6"/>
  <c r="BP12" i="6"/>
  <c r="AF12" i="6"/>
  <c r="AE12" i="6"/>
  <c r="K12" i="6"/>
  <c r="J12" i="6"/>
  <c r="BS11" i="6"/>
  <c r="BR11" i="6"/>
  <c r="BQ11" i="6"/>
  <c r="BP11" i="6"/>
  <c r="AF11" i="6"/>
  <c r="AE11" i="6"/>
  <c r="K11" i="6"/>
  <c r="J11" i="6"/>
  <c r="BS10" i="6"/>
  <c r="BR10" i="6"/>
  <c r="BQ10" i="6"/>
  <c r="BP10" i="6"/>
  <c r="AF10" i="6"/>
  <c r="AE10" i="6"/>
  <c r="K10" i="6"/>
  <c r="J10" i="6"/>
  <c r="BS9" i="6"/>
  <c r="BR9" i="6"/>
  <c r="BQ9" i="6"/>
  <c r="BP9" i="6"/>
  <c r="AF9" i="6"/>
  <c r="AE9" i="6"/>
  <c r="K9" i="6"/>
  <c r="J9" i="6"/>
  <c r="BS8" i="6"/>
  <c r="BR8" i="6"/>
  <c r="BQ8" i="6"/>
  <c r="BP8" i="6"/>
  <c r="AF8" i="6"/>
  <c r="AE8" i="6"/>
  <c r="K8" i="6"/>
  <c r="J8" i="6"/>
  <c r="BS7" i="6"/>
  <c r="BR7" i="6"/>
  <c r="BQ7" i="6"/>
  <c r="BP7" i="6"/>
  <c r="AF7" i="6"/>
  <c r="AE7" i="6"/>
  <c r="K7" i="6"/>
  <c r="J7" i="6"/>
  <c r="BS6" i="6"/>
  <c r="BR6" i="6"/>
  <c r="BQ6" i="6"/>
  <c r="BP6" i="6"/>
  <c r="AF6" i="6"/>
  <c r="AE6" i="6"/>
  <c r="K6" i="6"/>
  <c r="J6" i="6"/>
  <c r="BS5" i="6"/>
  <c r="BR5" i="6"/>
  <c r="BR54" i="6" s="1"/>
  <c r="BQ5" i="6"/>
  <c r="BQ54" i="6" s="1"/>
  <c r="BP5" i="6"/>
  <c r="BP54" i="6" s="1"/>
  <c r="AF5" i="6"/>
  <c r="AE5" i="6"/>
  <c r="K5" i="6"/>
  <c r="J5" i="6"/>
  <c r="AE1" i="6"/>
  <c r="J1" i="6"/>
  <c r="AV99" i="5"/>
  <c r="AU99" i="5"/>
  <c r="AT99" i="5"/>
  <c r="AS99" i="5"/>
  <c r="AR99" i="5"/>
  <c r="AQ99" i="5"/>
  <c r="AP99" i="5"/>
  <c r="AV98" i="5"/>
  <c r="AU98" i="5"/>
  <c r="AT98" i="5"/>
  <c r="AS98" i="5"/>
  <c r="AR98" i="5"/>
  <c r="AQ98" i="5"/>
  <c r="AP98" i="5"/>
  <c r="AV97" i="5"/>
  <c r="AU97" i="5"/>
  <c r="AT97" i="5"/>
  <c r="AS97" i="5"/>
  <c r="AR97" i="5"/>
  <c r="AQ97" i="5"/>
  <c r="AP97" i="5"/>
  <c r="AV96" i="5"/>
  <c r="AU96" i="5"/>
  <c r="AT96" i="5"/>
  <c r="AS96" i="5"/>
  <c r="AR96" i="5"/>
  <c r="AQ96" i="5"/>
  <c r="AP96" i="5"/>
  <c r="AV95" i="5"/>
  <c r="AU95" i="5"/>
  <c r="AT95" i="5"/>
  <c r="AS95" i="5"/>
  <c r="AR95" i="5"/>
  <c r="AQ95" i="5"/>
  <c r="AP95" i="5"/>
  <c r="AV94" i="5"/>
  <c r="AU94" i="5"/>
  <c r="AT94" i="5"/>
  <c r="AS94" i="5"/>
  <c r="AR94" i="5"/>
  <c r="AQ94" i="5"/>
  <c r="AP94" i="5"/>
  <c r="AV93" i="5"/>
  <c r="AU93" i="5"/>
  <c r="AT93" i="5"/>
  <c r="AS93" i="5"/>
  <c r="AR93" i="5"/>
  <c r="AQ93" i="5"/>
  <c r="AP93" i="5"/>
  <c r="AV92" i="5"/>
  <c r="AU92" i="5"/>
  <c r="AT92" i="5"/>
  <c r="AS92" i="5"/>
  <c r="AR92" i="5"/>
  <c r="AQ92" i="5"/>
  <c r="AP92" i="5"/>
  <c r="AV91" i="5"/>
  <c r="AU91" i="5"/>
  <c r="AT91" i="5"/>
  <c r="AS91" i="5"/>
  <c r="AR91" i="5"/>
  <c r="AQ91" i="5"/>
  <c r="AP91" i="5"/>
  <c r="AV90" i="5"/>
  <c r="AU90" i="5"/>
  <c r="AT90" i="5"/>
  <c r="AS90" i="5"/>
  <c r="AR90" i="5"/>
  <c r="AQ90" i="5"/>
  <c r="AP90" i="5"/>
  <c r="AV89" i="5"/>
  <c r="AU89" i="5"/>
  <c r="AT89" i="5"/>
  <c r="AS89" i="5"/>
  <c r="AR89" i="5"/>
  <c r="AQ89" i="5"/>
  <c r="AP89" i="5"/>
  <c r="AV88" i="5"/>
  <c r="AU88" i="5"/>
  <c r="AT88" i="5"/>
  <c r="AS88" i="5"/>
  <c r="AR88" i="5"/>
  <c r="AQ88" i="5"/>
  <c r="AP88" i="5"/>
  <c r="AV87" i="5"/>
  <c r="AU87" i="5"/>
  <c r="AT87" i="5"/>
  <c r="AS87" i="5"/>
  <c r="AR87" i="5"/>
  <c r="AQ87" i="5"/>
  <c r="AP87" i="5"/>
  <c r="AV86" i="5"/>
  <c r="AU86" i="5"/>
  <c r="AT86" i="5"/>
  <c r="AS86" i="5"/>
  <c r="AR86" i="5"/>
  <c r="AQ86" i="5"/>
  <c r="AP86" i="5"/>
  <c r="AV85" i="5"/>
  <c r="AU85" i="5"/>
  <c r="AT85" i="5"/>
  <c r="AS85" i="5"/>
  <c r="AR85" i="5"/>
  <c r="AQ85" i="5"/>
  <c r="AP85" i="5"/>
  <c r="AV84" i="5"/>
  <c r="AU84" i="5"/>
  <c r="AT84" i="5"/>
  <c r="AS84" i="5"/>
  <c r="AR84" i="5"/>
  <c r="AQ84" i="5"/>
  <c r="AP84" i="5"/>
  <c r="AV83" i="5"/>
  <c r="AU83" i="5"/>
  <c r="AT83" i="5"/>
  <c r="AS83" i="5"/>
  <c r="AR83" i="5"/>
  <c r="AQ83" i="5"/>
  <c r="AP83" i="5"/>
  <c r="AV82" i="5"/>
  <c r="AU82" i="5"/>
  <c r="AT82" i="5"/>
  <c r="AS82" i="5"/>
  <c r="AR82" i="5"/>
  <c r="AQ82" i="5"/>
  <c r="AP82" i="5"/>
  <c r="AV81" i="5"/>
  <c r="AU81" i="5"/>
  <c r="AT81" i="5"/>
  <c r="AS81" i="5"/>
  <c r="AR81" i="5"/>
  <c r="AQ81" i="5"/>
  <c r="AP81" i="5"/>
  <c r="AV80" i="5"/>
  <c r="AU80" i="5"/>
  <c r="AT80" i="5"/>
  <c r="AS80" i="5"/>
  <c r="AR80" i="5"/>
  <c r="AQ80" i="5"/>
  <c r="AP80" i="5"/>
  <c r="AV79" i="5"/>
  <c r="AU79" i="5"/>
  <c r="AT79" i="5"/>
  <c r="AS79" i="5"/>
  <c r="AR79" i="5"/>
  <c r="AQ79" i="5"/>
  <c r="AP79" i="5"/>
  <c r="AV78" i="5"/>
  <c r="AU78" i="5"/>
  <c r="AT78" i="5"/>
  <c r="AS78" i="5"/>
  <c r="AR78" i="5"/>
  <c r="AQ78" i="5"/>
  <c r="AP78" i="5"/>
  <c r="AV77" i="5"/>
  <c r="AU77" i="5"/>
  <c r="AT77" i="5"/>
  <c r="AS77" i="5"/>
  <c r="AR77" i="5"/>
  <c r="AQ77" i="5"/>
  <c r="AP77" i="5"/>
  <c r="AV76" i="5"/>
  <c r="AU76" i="5"/>
  <c r="AT76" i="5"/>
  <c r="AS76" i="5"/>
  <c r="AR76" i="5"/>
  <c r="AQ76" i="5"/>
  <c r="AP76" i="5"/>
  <c r="AV75" i="5"/>
  <c r="AU75" i="5"/>
  <c r="AT75" i="5"/>
  <c r="AS75" i="5"/>
  <c r="AR75" i="5"/>
  <c r="AQ75" i="5"/>
  <c r="AP75" i="5"/>
  <c r="AV74" i="5"/>
  <c r="AU74" i="5"/>
  <c r="AT74" i="5"/>
  <c r="AS74" i="5"/>
  <c r="AR74" i="5"/>
  <c r="AQ74" i="5"/>
  <c r="AP74" i="5"/>
  <c r="AV73" i="5"/>
  <c r="AU73" i="5"/>
  <c r="AT73" i="5"/>
  <c r="AS73" i="5"/>
  <c r="AR73" i="5"/>
  <c r="AQ73" i="5"/>
  <c r="AP73" i="5"/>
  <c r="AV72" i="5"/>
  <c r="AU72" i="5"/>
  <c r="AT72" i="5"/>
  <c r="AS72" i="5"/>
  <c r="AR72" i="5"/>
  <c r="AQ72" i="5"/>
  <c r="AP72" i="5"/>
  <c r="AV71" i="5"/>
  <c r="AU71" i="5"/>
  <c r="AT71" i="5"/>
  <c r="AS71" i="5"/>
  <c r="AR71" i="5"/>
  <c r="AQ71" i="5"/>
  <c r="AP71" i="5"/>
  <c r="AV70" i="5"/>
  <c r="AU70" i="5"/>
  <c r="AT70" i="5"/>
  <c r="AS70" i="5"/>
  <c r="AR70" i="5"/>
  <c r="AQ70" i="5"/>
  <c r="AP70" i="5"/>
  <c r="AV69" i="5"/>
  <c r="AU69" i="5"/>
  <c r="AT69" i="5"/>
  <c r="AS69" i="5"/>
  <c r="AR69" i="5"/>
  <c r="AQ69" i="5"/>
  <c r="AP69" i="5"/>
  <c r="AV68" i="5"/>
  <c r="AU68" i="5"/>
  <c r="AT68" i="5"/>
  <c r="AS68" i="5"/>
  <c r="AR68" i="5"/>
  <c r="AQ68" i="5"/>
  <c r="AP68" i="5"/>
  <c r="AV67" i="5"/>
  <c r="AU67" i="5"/>
  <c r="AT67" i="5"/>
  <c r="AS67" i="5"/>
  <c r="AR67" i="5"/>
  <c r="AQ67" i="5"/>
  <c r="AP67" i="5"/>
  <c r="AV66" i="5"/>
  <c r="AU66" i="5"/>
  <c r="AT66" i="5"/>
  <c r="AS66" i="5"/>
  <c r="AR66" i="5"/>
  <c r="AQ66" i="5"/>
  <c r="AP66" i="5"/>
  <c r="AV65" i="5"/>
  <c r="AU65" i="5"/>
  <c r="AT65" i="5"/>
  <c r="AS65" i="5"/>
  <c r="AR65" i="5"/>
  <c r="AQ65" i="5"/>
  <c r="AP65" i="5"/>
  <c r="AV64" i="5"/>
  <c r="AU64" i="5"/>
  <c r="AT64" i="5"/>
  <c r="AS64" i="5"/>
  <c r="AR64" i="5"/>
  <c r="AQ64" i="5"/>
  <c r="AP64" i="5"/>
  <c r="AV63" i="5"/>
  <c r="AU63" i="5"/>
  <c r="AT63" i="5"/>
  <c r="AS63" i="5"/>
  <c r="AR63" i="5"/>
  <c r="AQ63" i="5"/>
  <c r="AP63" i="5"/>
  <c r="AV62" i="5"/>
  <c r="AU62" i="5"/>
  <c r="AT62" i="5"/>
  <c r="AS62" i="5"/>
  <c r="AR62" i="5"/>
  <c r="AQ62" i="5"/>
  <c r="AP62" i="5"/>
  <c r="AV61" i="5"/>
  <c r="AU61" i="5"/>
  <c r="AT61" i="5"/>
  <c r="AS61" i="5"/>
  <c r="AR61" i="5"/>
  <c r="AQ61" i="5"/>
  <c r="AP61" i="5"/>
  <c r="AV60" i="5"/>
  <c r="AU60" i="5"/>
  <c r="AT60" i="5"/>
  <c r="AS60" i="5"/>
  <c r="AR60" i="5"/>
  <c r="AQ60" i="5"/>
  <c r="AP60" i="5"/>
  <c r="BS44" i="5"/>
  <c r="BR44" i="5"/>
  <c r="BQ44" i="5"/>
  <c r="BP44" i="5"/>
  <c r="AF44" i="5"/>
  <c r="AE44" i="5"/>
  <c r="K44" i="5"/>
  <c r="J44" i="5"/>
  <c r="BS43" i="5"/>
  <c r="BR43" i="5"/>
  <c r="BQ43" i="5"/>
  <c r="BP43" i="5"/>
  <c r="AF43" i="5"/>
  <c r="AE43" i="5"/>
  <c r="K43" i="5"/>
  <c r="J43" i="5"/>
  <c r="BS42" i="5"/>
  <c r="BR42" i="5"/>
  <c r="BQ42" i="5"/>
  <c r="BP42" i="5"/>
  <c r="AF42" i="5"/>
  <c r="AE42" i="5"/>
  <c r="K42" i="5"/>
  <c r="J42" i="5"/>
  <c r="BS41" i="5"/>
  <c r="BR41" i="5"/>
  <c r="BQ41" i="5"/>
  <c r="BP41" i="5"/>
  <c r="AF41" i="5"/>
  <c r="AE41" i="5"/>
  <c r="K41" i="5"/>
  <c r="J41" i="5"/>
  <c r="BS40" i="5"/>
  <c r="BR40" i="5"/>
  <c r="BQ40" i="5"/>
  <c r="BP40" i="5"/>
  <c r="AF40" i="5"/>
  <c r="AE40" i="5"/>
  <c r="K40" i="5"/>
  <c r="J40" i="5"/>
  <c r="BS39" i="5"/>
  <c r="BR39" i="5"/>
  <c r="BQ39" i="5"/>
  <c r="BP39" i="5"/>
  <c r="AF39" i="5"/>
  <c r="AE39" i="5"/>
  <c r="K39" i="5"/>
  <c r="J39" i="5"/>
  <c r="BS38" i="5"/>
  <c r="BR38" i="5"/>
  <c r="BQ38" i="5"/>
  <c r="BP38" i="5"/>
  <c r="AF38" i="5"/>
  <c r="AE38" i="5"/>
  <c r="K38" i="5"/>
  <c r="J38" i="5"/>
  <c r="BS37" i="5"/>
  <c r="BR37" i="5"/>
  <c r="BQ37" i="5"/>
  <c r="BP37" i="5"/>
  <c r="AF37" i="5"/>
  <c r="AE37" i="5"/>
  <c r="K37" i="5"/>
  <c r="J37" i="5"/>
  <c r="BS36" i="5"/>
  <c r="BR36" i="5"/>
  <c r="BQ36" i="5"/>
  <c r="BP36" i="5"/>
  <c r="AF36" i="5"/>
  <c r="AE36" i="5"/>
  <c r="K36" i="5"/>
  <c r="J36" i="5"/>
  <c r="BS35" i="5"/>
  <c r="BR35" i="5"/>
  <c r="BQ35" i="5"/>
  <c r="BP35" i="5"/>
  <c r="AF35" i="5"/>
  <c r="AE35" i="5"/>
  <c r="K35" i="5"/>
  <c r="J35" i="5"/>
  <c r="BS34" i="5"/>
  <c r="BR34" i="5"/>
  <c r="BQ34" i="5"/>
  <c r="BP34" i="5"/>
  <c r="AF34" i="5"/>
  <c r="AE34" i="5"/>
  <c r="K34" i="5"/>
  <c r="J34" i="5"/>
  <c r="BS33" i="5"/>
  <c r="BR33" i="5"/>
  <c r="BQ33" i="5"/>
  <c r="BP33" i="5"/>
  <c r="AF33" i="5"/>
  <c r="AE33" i="5"/>
  <c r="K33" i="5"/>
  <c r="J33" i="5"/>
  <c r="BS32" i="5"/>
  <c r="BR32" i="5"/>
  <c r="BQ32" i="5"/>
  <c r="BP32" i="5"/>
  <c r="AF32" i="5"/>
  <c r="AE32" i="5"/>
  <c r="K32" i="5"/>
  <c r="J32" i="5"/>
  <c r="BS31" i="5"/>
  <c r="BR31" i="5"/>
  <c r="BQ31" i="5"/>
  <c r="BP31" i="5"/>
  <c r="AF31" i="5"/>
  <c r="AE31" i="5"/>
  <c r="K31" i="5"/>
  <c r="J31" i="5"/>
  <c r="BS30" i="5"/>
  <c r="BR30" i="5"/>
  <c r="BQ30" i="5"/>
  <c r="BP30" i="5"/>
  <c r="AF30" i="5"/>
  <c r="AE30" i="5"/>
  <c r="K30" i="5"/>
  <c r="J30" i="5"/>
  <c r="BS29" i="5"/>
  <c r="BR29" i="5"/>
  <c r="BQ29" i="5"/>
  <c r="BP29" i="5"/>
  <c r="AF29" i="5"/>
  <c r="AE29" i="5"/>
  <c r="K29" i="5"/>
  <c r="J29" i="5"/>
  <c r="BS28" i="5"/>
  <c r="BR28" i="5"/>
  <c r="BQ28" i="5"/>
  <c r="BP28" i="5"/>
  <c r="AF28" i="5"/>
  <c r="AE28" i="5"/>
  <c r="K28" i="5"/>
  <c r="J28" i="5"/>
  <c r="BS27" i="5"/>
  <c r="BR27" i="5"/>
  <c r="BQ27" i="5"/>
  <c r="BP27" i="5"/>
  <c r="AF27" i="5"/>
  <c r="AE27" i="5"/>
  <c r="K27" i="5"/>
  <c r="J27" i="5"/>
  <c r="BS26" i="5"/>
  <c r="BR26" i="5"/>
  <c r="BQ26" i="5"/>
  <c r="BP26" i="5"/>
  <c r="AF26" i="5"/>
  <c r="AE26" i="5"/>
  <c r="K26" i="5"/>
  <c r="J26" i="5"/>
  <c r="BS25" i="5"/>
  <c r="BR25" i="5"/>
  <c r="BQ25" i="5"/>
  <c r="BP25" i="5"/>
  <c r="AF25" i="5"/>
  <c r="AE25" i="5"/>
  <c r="K25" i="5"/>
  <c r="J25" i="5"/>
  <c r="BS24" i="5"/>
  <c r="BR24" i="5"/>
  <c r="BQ24" i="5"/>
  <c r="BP24" i="5"/>
  <c r="AF24" i="5"/>
  <c r="AE24" i="5"/>
  <c r="K24" i="5"/>
  <c r="J24" i="5"/>
  <c r="BS23" i="5"/>
  <c r="BR23" i="5"/>
  <c r="BQ23" i="5"/>
  <c r="BP23" i="5"/>
  <c r="AF23" i="5"/>
  <c r="AE23" i="5"/>
  <c r="K23" i="5"/>
  <c r="J23" i="5"/>
  <c r="BS22" i="5"/>
  <c r="BR22" i="5"/>
  <c r="BQ22" i="5"/>
  <c r="BP22" i="5"/>
  <c r="AF22" i="5"/>
  <c r="AE22" i="5"/>
  <c r="K22" i="5"/>
  <c r="J22" i="5"/>
  <c r="BS21" i="5"/>
  <c r="BR21" i="5"/>
  <c r="BQ21" i="5"/>
  <c r="BP21" i="5"/>
  <c r="AF21" i="5"/>
  <c r="AE21" i="5"/>
  <c r="K21" i="5"/>
  <c r="J21" i="5"/>
  <c r="BS20" i="5"/>
  <c r="BR20" i="5"/>
  <c r="BQ20" i="5"/>
  <c r="BP20" i="5"/>
  <c r="AF20" i="5"/>
  <c r="AE20" i="5"/>
  <c r="K20" i="5"/>
  <c r="J20" i="5"/>
  <c r="BS19" i="5"/>
  <c r="BR19" i="5"/>
  <c r="BQ19" i="5"/>
  <c r="BP19" i="5"/>
  <c r="AF19" i="5"/>
  <c r="AE19" i="5"/>
  <c r="K19" i="5"/>
  <c r="J19" i="5"/>
  <c r="BS18" i="5"/>
  <c r="BR18" i="5"/>
  <c r="BQ18" i="5"/>
  <c r="BP18" i="5"/>
  <c r="AF18" i="5"/>
  <c r="AE18" i="5"/>
  <c r="K18" i="5"/>
  <c r="J18" i="5"/>
  <c r="BS17" i="5"/>
  <c r="BR17" i="5"/>
  <c r="BQ17" i="5"/>
  <c r="BP17" i="5"/>
  <c r="AF17" i="5"/>
  <c r="AE17" i="5"/>
  <c r="K17" i="5"/>
  <c r="J17" i="5"/>
  <c r="BS16" i="5"/>
  <c r="BR16" i="5"/>
  <c r="BQ16" i="5"/>
  <c r="BP16" i="5"/>
  <c r="AF16" i="5"/>
  <c r="AE16" i="5"/>
  <c r="K16" i="5"/>
  <c r="J16" i="5"/>
  <c r="BS15" i="5"/>
  <c r="BR15" i="5"/>
  <c r="BQ15" i="5"/>
  <c r="BP15" i="5"/>
  <c r="AF15" i="5"/>
  <c r="AE15" i="5"/>
  <c r="K15" i="5"/>
  <c r="J15" i="5"/>
  <c r="BS14" i="5"/>
  <c r="BR14" i="5"/>
  <c r="BQ14" i="5"/>
  <c r="BP14" i="5"/>
  <c r="AF14" i="5"/>
  <c r="AE14" i="5"/>
  <c r="K14" i="5"/>
  <c r="J14" i="5"/>
  <c r="BS13" i="5"/>
  <c r="BR13" i="5"/>
  <c r="BQ13" i="5"/>
  <c r="BP13" i="5"/>
  <c r="AF13" i="5"/>
  <c r="AE13" i="5"/>
  <c r="K13" i="5"/>
  <c r="J13" i="5"/>
  <c r="BS12" i="5"/>
  <c r="BR12" i="5"/>
  <c r="BQ12" i="5"/>
  <c r="BP12" i="5"/>
  <c r="AF12" i="5"/>
  <c r="AE12" i="5"/>
  <c r="K12" i="5"/>
  <c r="J12" i="5"/>
  <c r="BS11" i="5"/>
  <c r="BR11" i="5"/>
  <c r="BQ11" i="5"/>
  <c r="BP11" i="5"/>
  <c r="AF11" i="5"/>
  <c r="AE11" i="5"/>
  <c r="K11" i="5"/>
  <c r="J11" i="5"/>
  <c r="BS10" i="5"/>
  <c r="BR10" i="5"/>
  <c r="BQ10" i="5"/>
  <c r="BP10" i="5"/>
  <c r="AF10" i="5"/>
  <c r="AE10" i="5"/>
  <c r="K10" i="5"/>
  <c r="J10" i="5"/>
  <c r="BS9" i="5"/>
  <c r="BR9" i="5"/>
  <c r="BQ9" i="5"/>
  <c r="BP9" i="5"/>
  <c r="AF9" i="5"/>
  <c r="AE9" i="5"/>
  <c r="K9" i="5"/>
  <c r="J9" i="5"/>
  <c r="BS8" i="5"/>
  <c r="BR8" i="5"/>
  <c r="BQ8" i="5"/>
  <c r="BP8" i="5"/>
  <c r="AF8" i="5"/>
  <c r="AE8" i="5"/>
  <c r="K8" i="5"/>
  <c r="J8" i="5"/>
  <c r="BS7" i="5"/>
  <c r="BR7" i="5"/>
  <c r="BQ7" i="5"/>
  <c r="BP7" i="5"/>
  <c r="AF7" i="5"/>
  <c r="AE7" i="5"/>
  <c r="K7" i="5"/>
  <c r="J7" i="5"/>
  <c r="BS6" i="5"/>
  <c r="BR6" i="5"/>
  <c r="BQ6" i="5"/>
  <c r="BP6" i="5"/>
  <c r="AF6" i="5"/>
  <c r="AE6" i="5"/>
  <c r="K6" i="5"/>
  <c r="J6" i="5"/>
  <c r="BS5" i="5"/>
  <c r="BS54" i="5" s="1"/>
  <c r="BR5" i="5"/>
  <c r="BR54" i="5" s="1"/>
  <c r="BQ5" i="5"/>
  <c r="BQ54" i="5" s="1"/>
  <c r="BP5" i="5"/>
  <c r="BP54" i="5" s="1"/>
  <c r="AF5" i="5"/>
  <c r="AE5" i="5"/>
  <c r="K5" i="5"/>
  <c r="K54" i="5" s="1"/>
  <c r="J5" i="5"/>
  <c r="T19" i="3"/>
  <c r="S19" i="3"/>
  <c r="M19" i="3"/>
  <c r="L19" i="3"/>
  <c r="X12" i="3"/>
  <c r="P12" i="3"/>
  <c r="O12" i="3"/>
  <c r="I12" i="3"/>
  <c r="H12" i="3"/>
  <c r="X11" i="3"/>
  <c r="P11" i="3"/>
  <c r="O11" i="3"/>
  <c r="I11" i="3"/>
  <c r="H11" i="3"/>
  <c r="X10" i="3"/>
  <c r="X17" i="3" s="1"/>
  <c r="P10" i="3"/>
  <c r="O10" i="3"/>
  <c r="I10" i="3"/>
  <c r="H10" i="3"/>
  <c r="X9" i="3"/>
  <c r="P9" i="3"/>
  <c r="O9" i="3"/>
  <c r="I9" i="3"/>
  <c r="H9" i="3"/>
  <c r="X8" i="3"/>
  <c r="P8" i="3"/>
  <c r="O8" i="3"/>
  <c r="I8" i="3"/>
  <c r="H8" i="3"/>
  <c r="X7" i="3"/>
  <c r="P7" i="3"/>
  <c r="O7" i="3"/>
  <c r="I7" i="3"/>
  <c r="I15" i="3" s="1"/>
  <c r="H7" i="3"/>
  <c r="X6" i="3"/>
  <c r="P6" i="3"/>
  <c r="V6" i="3" s="1"/>
  <c r="O6" i="3"/>
  <c r="I6" i="3"/>
  <c r="H6" i="3"/>
  <c r="X5" i="3"/>
  <c r="P5" i="3"/>
  <c r="O5" i="3"/>
  <c r="I5" i="3"/>
  <c r="H5" i="3"/>
  <c r="BS54" i="6" l="1"/>
  <c r="K54" i="6"/>
  <c r="BI54" i="6"/>
  <c r="BM54" i="6"/>
  <c r="BH54" i="5"/>
  <c r="BM54" i="5"/>
  <c r="BI54" i="5"/>
  <c r="I18" i="3"/>
  <c r="V18" i="3" s="1"/>
  <c r="BH51" i="6"/>
  <c r="V8" i="3"/>
  <c r="AG65" i="6"/>
  <c r="AG95" i="6"/>
  <c r="AG60" i="6"/>
  <c r="BB5" i="5" a="1"/>
  <c r="BB5" i="5" s="1"/>
  <c r="AZ10" i="5" a="1"/>
  <c r="AZ10" i="5" s="1"/>
  <c r="BA40" i="5" a="1"/>
  <c r="BA40" i="5" s="1"/>
  <c r="BD15" i="5" a="1"/>
  <c r="BD15" i="5" s="1"/>
  <c r="G6" i="7" s="1"/>
  <c r="BF15" i="5" a="1"/>
  <c r="BF15" i="5" s="1"/>
  <c r="BE30" i="5" a="1"/>
  <c r="BE30" i="5" s="1"/>
  <c r="H9" i="7" s="1"/>
  <c r="AZ35" i="5" a="1"/>
  <c r="AZ35" i="5" s="1"/>
  <c r="C10" i="7" s="1"/>
  <c r="BD5" i="5" a="1"/>
  <c r="BD5" i="5" s="1"/>
  <c r="AG75" i="6"/>
  <c r="V7" i="3"/>
  <c r="BA15" i="5" a="1"/>
  <c r="BA15" i="5" s="1"/>
  <c r="AG70" i="6"/>
  <c r="BF5" i="5" a="1"/>
  <c r="BF5" i="5" s="1"/>
  <c r="BA30" i="5" a="1"/>
  <c r="BA30" i="5" s="1"/>
  <c r="D9" i="7" s="1"/>
  <c r="AG85" i="6"/>
  <c r="BC35" i="5" a="1"/>
  <c r="BC35" i="5" s="1"/>
  <c r="F10" i="7" s="1"/>
  <c r="BC35" i="6" a="1"/>
  <c r="BC35" i="6" s="1"/>
  <c r="M10" i="7" s="1"/>
  <c r="BA35" i="6" a="1"/>
  <c r="BA35" i="6" s="1"/>
  <c r="K10" i="7" s="1"/>
  <c r="AZ35" i="6" a="1"/>
  <c r="AZ35" i="6" s="1"/>
  <c r="J10" i="7" s="1"/>
  <c r="BF35" i="6" a="1"/>
  <c r="BF35" i="6" s="1"/>
  <c r="P10" i="7" s="1"/>
  <c r="BE35" i="6" a="1"/>
  <c r="BE35" i="6" s="1"/>
  <c r="O10" i="7" s="1"/>
  <c r="BD35" i="6" a="1"/>
  <c r="BD35" i="6" s="1"/>
  <c r="N10" i="7" s="1"/>
  <c r="BB35" i="6" a="1"/>
  <c r="BB35" i="6" s="1"/>
  <c r="L10" i="7" s="1"/>
  <c r="BC10" i="5" a="1"/>
  <c r="BC10" i="5" s="1"/>
  <c r="F5" i="7" s="1"/>
  <c r="BC40" i="5" a="1"/>
  <c r="BC40" i="5" s="1"/>
  <c r="F11" i="7" s="1"/>
  <c r="BE20" i="6" a="1"/>
  <c r="BE20" i="6" s="1"/>
  <c r="O7" i="7" s="1"/>
  <c r="BC20" i="6" a="1"/>
  <c r="BC20" i="6" s="1"/>
  <c r="M7" i="7" s="1"/>
  <c r="BB20" i="6" a="1"/>
  <c r="BB20" i="6" s="1"/>
  <c r="L7" i="7" s="1"/>
  <c r="BA20" i="6" a="1"/>
  <c r="BA20" i="6" s="1"/>
  <c r="K7" i="7" s="1"/>
  <c r="AZ20" i="6" a="1"/>
  <c r="AZ20" i="6" s="1"/>
  <c r="J7" i="7" s="1"/>
  <c r="BD20" i="6" a="1"/>
  <c r="BD20" i="6" s="1"/>
  <c r="N7" i="7" s="1"/>
  <c r="BF20" i="6" a="1"/>
  <c r="BF20" i="6" s="1"/>
  <c r="P7" i="7" s="1"/>
  <c r="AZ15" i="5" a="1"/>
  <c r="AZ15" i="5" s="1"/>
  <c r="C6" i="7" s="1"/>
  <c r="V12" i="3"/>
  <c r="BA5" i="5" a="1"/>
  <c r="BA5" i="5" s="1"/>
  <c r="BB30" i="5" a="1"/>
  <c r="BB30" i="5" s="1"/>
  <c r="E9" i="7" s="1"/>
  <c r="BC20" i="5" a="1"/>
  <c r="BC20" i="5" s="1"/>
  <c r="F7" i="7" s="1"/>
  <c r="BD35" i="5" a="1"/>
  <c r="BD35" i="5" s="1"/>
  <c r="G10" i="7" s="1"/>
  <c r="BD10" i="5" a="1"/>
  <c r="BD10" i="5" s="1"/>
  <c r="G5" i="7" s="1"/>
  <c r="BD40" i="5" a="1"/>
  <c r="BD40" i="5" s="1"/>
  <c r="G11" i="7" s="1"/>
  <c r="BE25" i="5" a="1"/>
  <c r="BE25" i="5" s="1"/>
  <c r="H8" i="7" s="1"/>
  <c r="BB15" i="5" a="1"/>
  <c r="BB15" i="5" s="1"/>
  <c r="E6" i="7" s="1"/>
  <c r="BC30" i="5" a="1"/>
  <c r="BC30" i="5" s="1"/>
  <c r="F9" i="7" s="1"/>
  <c r="BA30" i="6" a="1"/>
  <c r="BA30" i="6" s="1"/>
  <c r="K9" i="7" s="1"/>
  <c r="BF30" i="6" a="1"/>
  <c r="BF30" i="6" s="1"/>
  <c r="P9" i="7" s="1"/>
  <c r="BE30" i="6" a="1"/>
  <c r="BE30" i="6" s="1"/>
  <c r="O9" i="7" s="1"/>
  <c r="BD30" i="6" a="1"/>
  <c r="BD30" i="6" s="1"/>
  <c r="N9" i="7" s="1"/>
  <c r="BC30" i="6" a="1"/>
  <c r="BC30" i="6" s="1"/>
  <c r="BB30" i="6" a="1"/>
  <c r="BB30" i="6" s="1"/>
  <c r="AZ30" i="6" a="1"/>
  <c r="AZ30" i="6" s="1"/>
  <c r="J9" i="7" s="1"/>
  <c r="BD20" i="5" a="1"/>
  <c r="BD20" i="5" s="1"/>
  <c r="BE35" i="5" a="1"/>
  <c r="BE35" i="5" s="1"/>
  <c r="H10" i="7" s="1"/>
  <c r="BE10" i="5" a="1"/>
  <c r="BE10" i="5" s="1"/>
  <c r="H5" i="7" s="1"/>
  <c r="AZ40" i="5" a="1"/>
  <c r="AZ40" i="5" s="1"/>
  <c r="C11" i="7" s="1"/>
  <c r="BE40" i="6" a="1"/>
  <c r="BE40" i="6" s="1"/>
  <c r="O11" i="7" s="1"/>
  <c r="BD40" i="6" a="1"/>
  <c r="BD40" i="6" s="1"/>
  <c r="N11" i="7" s="1"/>
  <c r="BC40" i="6" a="1"/>
  <c r="BC40" i="6" s="1"/>
  <c r="BB40" i="6" a="1"/>
  <c r="BB40" i="6" s="1"/>
  <c r="L11" i="7" s="1"/>
  <c r="BA40" i="6" a="1"/>
  <c r="BA40" i="6" s="1"/>
  <c r="K11" i="7" s="1"/>
  <c r="AZ40" i="6" a="1"/>
  <c r="AZ40" i="6" s="1"/>
  <c r="J11" i="7" s="1"/>
  <c r="BF40" i="6" a="1"/>
  <c r="BF40" i="6" s="1"/>
  <c r="P11" i="7" s="1"/>
  <c r="BD25" i="5" a="1"/>
  <c r="BD25" i="5" s="1"/>
  <c r="G8" i="7" s="1"/>
  <c r="BA15" i="6" a="1"/>
  <c r="BA15" i="6" s="1"/>
  <c r="K6" i="7" s="1"/>
  <c r="BB15" i="6" a="1"/>
  <c r="BB15" i="6" s="1"/>
  <c r="AZ15" i="6" a="1"/>
  <c r="AZ15" i="6" s="1"/>
  <c r="J6" i="7" s="1"/>
  <c r="BE15" i="6" a="1"/>
  <c r="BE15" i="6" s="1"/>
  <c r="O6" i="7" s="1"/>
  <c r="BF15" i="6" a="1"/>
  <c r="BF15" i="6" s="1"/>
  <c r="P6" i="7" s="1"/>
  <c r="BD15" i="6" a="1"/>
  <c r="BD15" i="6" s="1"/>
  <c r="N6" i="7" s="1"/>
  <c r="BC15" i="6" a="1"/>
  <c r="BC15" i="6" s="1"/>
  <c r="BE15" i="5" a="1"/>
  <c r="BE15" i="5" s="1"/>
  <c r="H6" i="7" s="1"/>
  <c r="AZ5" i="5" a="1"/>
  <c r="AZ5" i="5" s="1"/>
  <c r="AZ54" i="5" s="1"/>
  <c r="BE20" i="5" a="1"/>
  <c r="BE20" i="5" s="1"/>
  <c r="H7" i="7" s="1"/>
  <c r="BF10" i="5" a="1"/>
  <c r="BF10" i="5" s="1"/>
  <c r="I5" i="7" s="1"/>
  <c r="BE40" i="5" a="1"/>
  <c r="BE40" i="5" s="1"/>
  <c r="H11" i="7" s="1"/>
  <c r="BF25" i="5" a="1"/>
  <c r="BF25" i="5" s="1"/>
  <c r="BF30" i="5" a="1"/>
  <c r="BF30" i="5" s="1"/>
  <c r="I9" i="7" s="1"/>
  <c r="BC15" i="5" a="1"/>
  <c r="BC15" i="5" s="1"/>
  <c r="BC5" i="5" a="1"/>
  <c r="BC5" i="5" s="1"/>
  <c r="BD30" i="5" a="1"/>
  <c r="BD30" i="5" s="1"/>
  <c r="G9" i="7" s="1"/>
  <c r="BA10" i="6" a="1"/>
  <c r="BA10" i="6" s="1"/>
  <c r="K5" i="7" s="1"/>
  <c r="AZ10" i="6" a="1"/>
  <c r="AZ10" i="6" s="1"/>
  <c r="BF10" i="6" a="1"/>
  <c r="BF10" i="6" s="1"/>
  <c r="P5" i="7" s="1"/>
  <c r="BE10" i="6" a="1"/>
  <c r="BE10" i="6" s="1"/>
  <c r="O5" i="7" s="1"/>
  <c r="BD10" i="6" a="1"/>
  <c r="BD10" i="6" s="1"/>
  <c r="N5" i="7" s="1"/>
  <c r="BC10" i="6" a="1"/>
  <c r="BC10" i="6" s="1"/>
  <c r="M5" i="7" s="1"/>
  <c r="BB10" i="6" a="1"/>
  <c r="BB10" i="6" s="1"/>
  <c r="L5" i="7" s="1"/>
  <c r="BF20" i="5" a="1"/>
  <c r="BF20" i="5" s="1"/>
  <c r="I7" i="7" s="1"/>
  <c r="BF35" i="5" a="1"/>
  <c r="BF35" i="5" s="1"/>
  <c r="I10" i="7" s="1"/>
  <c r="BB10" i="5" a="1"/>
  <c r="BB10" i="5" s="1"/>
  <c r="E5" i="7" s="1"/>
  <c r="BF40" i="5" a="1"/>
  <c r="BF40" i="5" s="1"/>
  <c r="I11" i="7" s="1"/>
  <c r="BE5" i="6" a="1"/>
  <c r="BE5" i="6" s="1"/>
  <c r="BF5" i="6" a="1"/>
  <c r="BF5" i="6" s="1"/>
  <c r="BF54" i="6" s="1"/>
  <c r="BD5" i="6" a="1"/>
  <c r="BD5" i="6" s="1"/>
  <c r="BC5" i="6" a="1"/>
  <c r="BC5" i="6" s="1"/>
  <c r="BB5" i="6" a="1"/>
  <c r="BB5" i="6" s="1"/>
  <c r="BA5" i="6" a="1"/>
  <c r="BA5" i="6" s="1"/>
  <c r="AZ5" i="6" a="1"/>
  <c r="AZ5" i="6" s="1"/>
  <c r="AZ25" i="5" a="1"/>
  <c r="AZ25" i="5" s="1"/>
  <c r="C8" i="7" s="1"/>
  <c r="BA25" i="5" a="1"/>
  <c r="BA25" i="5" s="1"/>
  <c r="D8" i="7" s="1"/>
  <c r="BB25" i="5" a="1"/>
  <c r="BB25" i="5" s="1"/>
  <c r="E8" i="7" s="1"/>
  <c r="AZ20" i="5" a="1"/>
  <c r="AZ20" i="5" s="1"/>
  <c r="C7" i="7" s="1"/>
  <c r="BA20" i="5" a="1"/>
  <c r="BA20" i="5" s="1"/>
  <c r="D7" i="7" s="1"/>
  <c r="BA35" i="5" a="1"/>
  <c r="BA35" i="5" s="1"/>
  <c r="D10" i="7" s="1"/>
  <c r="BE5" i="5" a="1"/>
  <c r="BE5" i="5" s="1"/>
  <c r="AZ30" i="5" a="1"/>
  <c r="AZ30" i="5" s="1"/>
  <c r="BB20" i="5" a="1"/>
  <c r="BB20" i="5" s="1"/>
  <c r="E7" i="7" s="1"/>
  <c r="BB35" i="5" a="1"/>
  <c r="BB35" i="5" s="1"/>
  <c r="E10" i="7" s="1"/>
  <c r="BA10" i="5" a="1"/>
  <c r="BA10" i="5" s="1"/>
  <c r="D5" i="7" s="1"/>
  <c r="BB40" i="5" a="1"/>
  <c r="BB40" i="5" s="1"/>
  <c r="E11" i="7" s="1"/>
  <c r="BC25" i="5" a="1"/>
  <c r="BC25" i="5" s="1"/>
  <c r="F8" i="7" s="1"/>
  <c r="BE25" i="6" a="1"/>
  <c r="BE25" i="6" s="1"/>
  <c r="BD25" i="6" a="1"/>
  <c r="BD25" i="6" s="1"/>
  <c r="BC25" i="6" a="1"/>
  <c r="BC25" i="6" s="1"/>
  <c r="M8" i="7" s="1"/>
  <c r="BB25" i="6" a="1"/>
  <c r="BB25" i="6" s="1"/>
  <c r="L8" i="7" s="1"/>
  <c r="BA25" i="6" a="1"/>
  <c r="BA25" i="6" s="1"/>
  <c r="K8" i="7" s="1"/>
  <c r="AZ25" i="6" a="1"/>
  <c r="AZ25" i="6" s="1"/>
  <c r="J8" i="7" s="1"/>
  <c r="BF25" i="6" a="1"/>
  <c r="BF25" i="6" s="1"/>
  <c r="P8" i="7" s="1"/>
  <c r="BM51" i="5"/>
  <c r="BM52" i="5"/>
  <c r="BI51" i="5"/>
  <c r="BI52" i="5"/>
  <c r="BH51" i="5"/>
  <c r="C5" i="7"/>
  <c r="D6" i="7"/>
  <c r="BM50" i="5"/>
  <c r="BH50" i="5"/>
  <c r="BI50" i="5"/>
  <c r="BH52" i="5"/>
  <c r="BM51" i="6"/>
  <c r="BI51" i="6"/>
  <c r="BM50" i="6"/>
  <c r="BI52" i="6"/>
  <c r="BH50" i="6"/>
  <c r="BH52" i="6"/>
  <c r="BI50" i="6"/>
  <c r="BM52" i="6"/>
  <c r="P15" i="3"/>
  <c r="V15" i="3" s="1"/>
  <c r="C10" i="1" s="1"/>
  <c r="X15" i="3"/>
  <c r="T20" i="3"/>
  <c r="C15" i="1" s="1"/>
  <c r="P16" i="3"/>
  <c r="X16" i="3"/>
  <c r="X18" i="3"/>
  <c r="V10" i="3"/>
  <c r="S20" i="3"/>
  <c r="C14" i="1" s="1"/>
  <c r="I16" i="3"/>
  <c r="V11" i="3"/>
  <c r="BR51" i="5"/>
  <c r="K50" i="5"/>
  <c r="BS51" i="5"/>
  <c r="AF50" i="5"/>
  <c r="AX56" i="5"/>
  <c r="C26" i="1" s="1"/>
  <c r="C19" i="7" s="1"/>
  <c r="AW56" i="5"/>
  <c r="C25" i="1" s="1"/>
  <c r="C18" i="7" s="1"/>
  <c r="BP50" i="6"/>
  <c r="E4" i="7"/>
  <c r="D4" i="7"/>
  <c r="BP52" i="5"/>
  <c r="BQ51" i="5"/>
  <c r="BR50" i="5"/>
  <c r="BR52" i="5"/>
  <c r="AF52" i="5"/>
  <c r="BP50" i="5"/>
  <c r="K51" i="5"/>
  <c r="BQ52" i="5"/>
  <c r="AF51" i="5"/>
  <c r="BS52" i="5"/>
  <c r="BP51" i="5"/>
  <c r="K52" i="5"/>
  <c r="AW56" i="6"/>
  <c r="C38" i="1" s="1"/>
  <c r="J18" i="7" s="1"/>
  <c r="AX56" i="6"/>
  <c r="C39" i="1" s="1"/>
  <c r="J19" i="7" s="1"/>
  <c r="BR51" i="6"/>
  <c r="K52" i="6"/>
  <c r="K51" i="6"/>
  <c r="BQ52" i="6"/>
  <c r="BR52" i="6"/>
  <c r="BQ51" i="6"/>
  <c r="BQ50" i="6"/>
  <c r="BR50" i="6"/>
  <c r="BS51" i="6"/>
  <c r="AF52" i="6"/>
  <c r="BP52" i="6"/>
  <c r="AF50" i="6"/>
  <c r="AF51" i="6"/>
  <c r="BS52" i="6"/>
  <c r="BP51" i="6"/>
  <c r="G7" i="7"/>
  <c r="I8" i="7"/>
  <c r="M11" i="7"/>
  <c r="L9" i="7"/>
  <c r="M9" i="7"/>
  <c r="J5" i="7"/>
  <c r="D11" i="7"/>
  <c r="C9" i="7"/>
  <c r="X14" i="3"/>
  <c r="V5" i="3"/>
  <c r="V9" i="3"/>
  <c r="K50" i="6"/>
  <c r="BS50" i="6"/>
  <c r="BQ50" i="5"/>
  <c r="I14" i="3"/>
  <c r="BS50" i="5"/>
  <c r="P14" i="3"/>
  <c r="AZ54" i="6" l="1"/>
  <c r="O4" i="7"/>
  <c r="BE54" i="6"/>
  <c r="BA54" i="6"/>
  <c r="BB54" i="6"/>
  <c r="BC54" i="6"/>
  <c r="F37" i="1" s="1"/>
  <c r="M17" i="7" s="1"/>
  <c r="BD54" i="6"/>
  <c r="G37" i="1" s="1"/>
  <c r="N17" i="7" s="1"/>
  <c r="I4" i="7"/>
  <c r="BF54" i="5"/>
  <c r="I24" i="1" s="1"/>
  <c r="I17" i="7" s="1"/>
  <c r="F4" i="7"/>
  <c r="BC54" i="5"/>
  <c r="H4" i="7"/>
  <c r="BE54" i="5"/>
  <c r="BA54" i="5"/>
  <c r="BB54" i="5"/>
  <c r="E24" i="1" s="1"/>
  <c r="E17" i="7" s="1"/>
  <c r="BD54" i="5"/>
  <c r="G24" i="1" s="1"/>
  <c r="G17" i="7" s="1"/>
  <c r="C13" i="1"/>
  <c r="C12" i="1"/>
  <c r="BB51" i="6"/>
  <c r="E34" i="1" s="1"/>
  <c r="BF51" i="6"/>
  <c r="I34" i="1" s="1"/>
  <c r="V14" i="3"/>
  <c r="C9" i="1" s="1"/>
  <c r="V16" i="3"/>
  <c r="C11" i="1" s="1"/>
  <c r="BF51" i="5"/>
  <c r="I21" i="1" s="1"/>
  <c r="BC51" i="5"/>
  <c r="F21" i="1" s="1"/>
  <c r="F6" i="7"/>
  <c r="BD50" i="5"/>
  <c r="G20" i="1" s="1"/>
  <c r="G13" i="7" s="1"/>
  <c r="C24" i="1"/>
  <c r="C17" i="7" s="1"/>
  <c r="BD51" i="5"/>
  <c r="G21" i="1" s="1"/>
  <c r="BA50" i="5"/>
  <c r="D20" i="1" s="1"/>
  <c r="D13" i="7" s="1"/>
  <c r="H24" i="1"/>
  <c r="H17" i="7" s="1"/>
  <c r="G4" i="7"/>
  <c r="BD52" i="5"/>
  <c r="G22" i="1" s="1"/>
  <c r="G15" i="7" s="1"/>
  <c r="BE52" i="5"/>
  <c r="H22" i="1" s="1"/>
  <c r="H15" i="7" s="1"/>
  <c r="AZ51" i="5"/>
  <c r="C21" i="1" s="1"/>
  <c r="AZ50" i="5"/>
  <c r="C20" i="1" s="1"/>
  <c r="C13" i="7" s="1"/>
  <c r="I6" i="7"/>
  <c r="BF52" i="5"/>
  <c r="I22" i="1" s="1"/>
  <c r="I15" i="7" s="1"/>
  <c r="BB50" i="6"/>
  <c r="E33" i="1" s="1"/>
  <c r="L13" i="7" s="1"/>
  <c r="L4" i="7"/>
  <c r="BD50" i="6"/>
  <c r="G33" i="1" s="1"/>
  <c r="N13" i="7" s="1"/>
  <c r="N4" i="7"/>
  <c r="BE52" i="6"/>
  <c r="H35" i="1" s="1"/>
  <c r="O15" i="7" s="1"/>
  <c r="I37" i="1"/>
  <c r="P17" i="7" s="1"/>
  <c r="AZ51" i="6"/>
  <c r="C34" i="1" s="1"/>
  <c r="M4" i="7"/>
  <c r="BD51" i="6"/>
  <c r="G34" i="1" s="1"/>
  <c r="BF50" i="6"/>
  <c r="I33" i="1" s="1"/>
  <c r="P13" i="7" s="1"/>
  <c r="BE51" i="6"/>
  <c r="H34" i="1" s="1"/>
  <c r="O8" i="7"/>
  <c r="BC52" i="6"/>
  <c r="F35" i="1" s="1"/>
  <c r="M15" i="7" s="1"/>
  <c r="BA52" i="6"/>
  <c r="D35" i="1" s="1"/>
  <c r="K15" i="7" s="1"/>
  <c r="H37" i="1"/>
  <c r="O17" i="7" s="1"/>
  <c r="BB52" i="6"/>
  <c r="E35" i="1" s="1"/>
  <c r="L15" i="7" s="1"/>
  <c r="BE50" i="6"/>
  <c r="H33" i="1" s="1"/>
  <c r="O13" i="7" s="1"/>
  <c r="BD52" i="6"/>
  <c r="G35" i="1" s="1"/>
  <c r="N15" i="7" s="1"/>
  <c r="L6" i="7"/>
  <c r="BC51" i="6"/>
  <c r="F34" i="1" s="1"/>
  <c r="BA51" i="6"/>
  <c r="D34" i="1" s="1"/>
  <c r="P4" i="7"/>
  <c r="BB52" i="5"/>
  <c r="E22" i="1" s="1"/>
  <c r="E15" i="7" s="1"/>
  <c r="AZ52" i="5"/>
  <c r="C22" i="1" s="1"/>
  <c r="C15" i="7" s="1"/>
  <c r="M6" i="7"/>
  <c r="N8" i="7"/>
  <c r="D24" i="1"/>
  <c r="D17" i="7" s="1"/>
  <c r="BE50" i="5"/>
  <c r="H20" i="1" s="1"/>
  <c r="H13" i="7" s="1"/>
  <c r="BE51" i="5"/>
  <c r="H21" i="1" s="1"/>
  <c r="BC52" i="5"/>
  <c r="F22" i="1" s="1"/>
  <c r="F15" i="7" s="1"/>
  <c r="BB51" i="5"/>
  <c r="E21" i="1" s="1"/>
  <c r="BF52" i="6"/>
  <c r="I35" i="1" s="1"/>
  <c r="P15" i="7" s="1"/>
  <c r="BF50" i="5"/>
  <c r="I20" i="1" s="1"/>
  <c r="I13" i="7" s="1"/>
  <c r="F24" i="1"/>
  <c r="F17" i="7" s="1"/>
  <c r="BA51" i="5"/>
  <c r="D21" i="1" s="1"/>
  <c r="BC50" i="5"/>
  <c r="F20" i="1" s="1"/>
  <c r="F13" i="7" s="1"/>
  <c r="C4" i="7"/>
  <c r="BC50" i="6"/>
  <c r="F33" i="1" s="1"/>
  <c r="M13" i="7" s="1"/>
  <c r="BA52" i="5"/>
  <c r="D22" i="1" s="1"/>
  <c r="D15" i="7" s="1"/>
  <c r="AZ52" i="6"/>
  <c r="C35" i="1" s="1"/>
  <c r="J15" i="7" s="1"/>
  <c r="E37" i="1"/>
  <c r="L17" i="7" s="1"/>
  <c r="BB50" i="5"/>
  <c r="E20" i="1" s="1"/>
  <c r="E13" i="7" s="1"/>
  <c r="J14" i="7" l="1"/>
  <c r="I14" i="7"/>
  <c r="K14" i="7"/>
  <c r="N14" i="7"/>
  <c r="H14" i="7"/>
  <c r="M14" i="7"/>
  <c r="E14" i="7"/>
  <c r="F14" i="7"/>
  <c r="D14" i="7"/>
  <c r="O14" i="7"/>
  <c r="G14" i="7"/>
  <c r="P14" i="7"/>
  <c r="C14" i="7"/>
  <c r="L14" i="7"/>
  <c r="K4" i="7"/>
  <c r="D37" i="1"/>
  <c r="K17" i="7" s="1"/>
  <c r="BA50" i="6"/>
  <c r="D33" i="1" s="1"/>
  <c r="K13" i="7" s="1"/>
  <c r="J4" i="7"/>
  <c r="C37" i="1"/>
  <c r="J17" i="7" s="1"/>
  <c r="AZ50" i="6"/>
  <c r="C33" i="1" s="1"/>
  <c r="J13" i="7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<sst xmlns="http://schemas.openxmlformats.org/spreadsheetml/2006/main" count="997" uniqueCount="439">
  <si>
    <t>Reference: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</si>
  <si>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</si>
  <si>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</si>
  <si>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</si>
  <si>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</si>
  <si>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</si>
  <si>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</si>
  <si>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</si>
  <si>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</si>
  <si>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</si>
  <si>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</si>
  <si>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</si>
  <si>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</si>
  <si>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</si>
  <si>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</si>
  <si>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</si>
  <si>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</si>
  <si>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</si>
  <si>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</si>
  <si>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</si>
  <si>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</si>
  <si>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</si>
  <si>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</si>
  <si>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</si>
  <si>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</si>
  <si>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</si>
  <si>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</si>
  <si>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← Select this …</t>
  </si>
  <si>
    <t>Columns</t>
  </si>
  <si>
    <t>C1 lossy AI</t>
  </si>
  <si>
    <t>C2 lossy RA</t>
  </si>
  <si>
    <t>Sequence:</t>
  </si>
  <si>
    <t>mitch_voxelised</t>
  </si>
  <si>
    <t>← … then this</t>
  </si>
  <si>
    <t>dec.cb-hpsnr</t>
  </si>
  <si>
    <t>Chroma Cb EtE Hausdorff PSNR [dB]</t>
  </si>
  <si>
    <t>dec.cb-psnr</t>
  </si>
  <si>
    <t>Chroma Cb End-to-end PSNR [dB]</t>
  </si>
  <si>
    <t>longdress_voxelised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</si>
  <si>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</si>
  <si>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</si>
  <si>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</si>
  <si>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</si>
  <si>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</si>
  <si>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</si>
  <si>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</si>
  <si>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</si>
  <si>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</si>
  <si>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</si>
  <si>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</si>
  <si>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</si>
  <si>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</si>
  <si>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</si>
  <si>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</si>
  <si>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</si>
  <si>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</si>
  <si>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</si>
  <si>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</si>
  <si>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</si>
  <si>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</si>
  <si>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</si>
  <si>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</si>
  <si>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</si>
  <si>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</si>
  <si>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</si>
  <si>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</si>
  <si>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</si>
  <si>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</si>
  <si>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</si>
  <si>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</si>
  <si>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</si>
  <si>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</si>
  <si>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</si>
  <si>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</si>
  <si>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</si>
  <si>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</si>
  <si>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</si>
  <si>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</si>
  <si>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</si>
  <si>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</si>
  <si>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</si>
  <si>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</si>
  <si>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</si>
  <si>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</si>
  <si>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</si>
  <si>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</si>
  <si>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</si>
  <si>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</si>
  <si>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</si>
  <si>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</si>
  <si>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</si>
  <si>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</si>
  <si>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</si>
  <si>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</si>
  <si>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</si>
  <si>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</si>
  <si>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</si>
  <si>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</si>
  <si>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</si>
  <si>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</si>
  <si>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</si>
  <si>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</si>
  <si>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</si>
  <si>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</si>
  <si>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</si>
  <si>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</si>
  <si>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</si>
  <si>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</si>
  <si>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</si>
  <si>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</si>
  <si>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</si>
  <si>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</si>
  <si>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</si>
  <si>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</si>
  <si>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</si>
  <si>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</si>
  <si>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</si>
  <si>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</si>
  <si>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</si>
  <si>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</si>
  <si>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</si>
  <si>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</si>
  <si>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</si>
  <si>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</si>
  <si>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</si>
  <si>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</si>
  <si>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</si>
  <si>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</si>
  <si>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</si>
  <si>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</si>
  <si>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</si>
  <si>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</si>
  <si>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</si>
  <si>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</si>
  <si>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</si>
  <si>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</si>
  <si>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</si>
  <si>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</si>
  <si>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</si>
  <si>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</si>
  <si>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</si>
  <si>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</si>
  <si>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</si>
  <si>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</si>
  <si>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</si>
  <si>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</si>
  <si>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</si>
  <si>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</si>
  <si>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C0_ai — lossless geometry, lossless attributes [all intra]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</si>
  <si>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</si>
  <si>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</si>
  <si>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</si>
  <si>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</si>
  <si>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</si>
  <si>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</si>
  <si>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</si>
  <si>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</si>
  <si>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</si>
  <si>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</si>
  <si>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</si>
  <si>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</si>
  <si>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</si>
  <si>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</si>
  <si>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</si>
  <si>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</si>
  <si>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</si>
  <si>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</si>
  <si>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</si>
  <si>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</si>
  <si>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</si>
  <si>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</si>
  <si>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</si>
  <si>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</si>
  <si>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</si>
  <si>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</si>
  <si>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</si>
  <si>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</si>
  <si>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</si>
  <si>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</si>
  <si>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</si>
  <si>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</si>
  <si>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</si>
  <si>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</si>
  <si>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</si>
  <si>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</si>
  <si>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</si>
  <si>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</si>
  <si>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</si>
  <si>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</si>
  <si>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</si>
  <si>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</si>
  <si>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</si>
  <si>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</si>
  <si>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</si>
  <si>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</si>
  <si>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</si>
  <si>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</si>
  <si>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</si>
  <si>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</si>
  <si>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</si>
  <si>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</si>
  <si>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</si>
  <si>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</si>
  <si>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</si>
  <si>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</si>
  <si>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</si>
  <si>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</si>
  <si>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</si>
  <si>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</si>
  <si>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</si>
  <si>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</si>
  <si>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</si>
  <si>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</si>
  <si>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</si>
  <si>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</si>
  <si>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</si>
  <si>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</si>
  <si>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</si>
  <si>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</si>
  <si>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</si>
  <si>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</si>
  <si>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</si>
  <si>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</si>
  <si>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</si>
  <si>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</si>
  <si>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</si>
  <si>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</si>
  <si>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</si>
  <si>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AI.A.dec.numfaces</t>
  </si>
  <si>
    <t>col.C1 lossy AI.A.enc.ext.bits</t>
  </si>
  <si>
    <t>col.C1 lossy AI.A.enc.disp.bytes</t>
  </si>
  <si>
    <t>col.C1 lossy AI.A.enc.texture.bytes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</si>
  <si>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</si>
  <si>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</si>
  <si>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</si>
  <si>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</si>
  <si>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</si>
  <si>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</si>
  <si>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</si>
  <si>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</si>
  <si>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</si>
  <si>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</si>
  <si>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</si>
  <si>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AI.B.dec.numfaces</t>
  </si>
  <si>
    <t>col.C1 lossy AI.B.enc.ext.bits</t>
  </si>
  <si>
    <t>col.C1 lossy AI.B.enc.disp.bytes</t>
  </si>
  <si>
    <t>col.C1 lossy AI.B.enc.texture.bytes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</si>
  <si>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</si>
  <si>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</si>
  <si>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</si>
  <si>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</si>
  <si>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</si>
  <si>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</si>
  <si>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</si>
  <si>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</si>
  <si>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</si>
  <si>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</si>
  <si>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</si>
  <si>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</si>
  <si>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</si>
  <si>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</si>
  <si>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</si>
  <si>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</si>
  <si>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</si>
  <si>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</si>
  <si>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</si>
  <si>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range.C1 lossy AI.longdress_voxelised</t>
  </si>
  <si>
    <t>range.C1 lossy AI.soldier_voxelised</t>
  </si>
  <si>
    <t>range.C1 lossy AI.basketball_player_voxelised</t>
  </si>
  <si>
    <t>range.C1 lossy AI.dancer_voxelised</t>
  </si>
  <si>
    <t>range.C1 lossy AI.football_voxelised</t>
  </si>
  <si>
    <t>range.C1 lossy AI.levi_voxelised</t>
  </si>
  <si>
    <t>range.C1 lossy AI.mitch_voxelised</t>
  </si>
  <si>
    <t>range.C1 lossy AI.thomas_voxelised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</si>
  <si>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</si>
  <si>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</si>
  <si>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</si>
  <si>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</si>
  <si>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</si>
  <si>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</si>
  <si>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</si>
  <si>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</si>
  <si>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</si>
  <si>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</si>
  <si>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</si>
  <si>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RA.A.dec.numfaces</t>
  </si>
  <si>
    <t>col.C2 lossy RA.A.enc.ext.bits</t>
  </si>
  <si>
    <t>col.C2 lossy RA.A.enc.disp.bytes</t>
  </si>
  <si>
    <t>col.C2 lossy RA.A.enc.texture.bytes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</si>
  <si>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</si>
  <si>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</si>
  <si>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</si>
  <si>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</si>
  <si>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</si>
  <si>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</si>
  <si>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</si>
  <si>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</si>
  <si>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</si>
  <si>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</si>
  <si>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</si>
  <si>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RA.B.dec.numfaces</t>
  </si>
  <si>
    <t>col.C2 lossy RA.B.enc.ext.bits</t>
  </si>
  <si>
    <t>col.C2 lossy RA.B.enc.disp.bytes</t>
  </si>
  <si>
    <t>col.C2 lossy RA.B.enc.texture.bytes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</si>
  <si>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</si>
  <si>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</si>
  <si>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</si>
  <si>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</si>
  <si>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</si>
  <si>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</si>
  <si>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</si>
  <si>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</si>
  <si>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</si>
  <si>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</si>
  <si>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</si>
  <si>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</si>
  <si>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</si>
  <si>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</si>
  <si>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</si>
  <si>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</si>
  <si>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</si>
  <si>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</si>
  <si>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</si>
  <si>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range.C2 lossy RA.longdress_voxelised</t>
  </si>
  <si>
    <t>range.C2 lossy RA.soldier_voxelised</t>
  </si>
  <si>
    <t>range.C2 lossy RA.basketball_player_voxelised</t>
  </si>
  <si>
    <t>range.C2 lossy RA.dancer_voxelised</t>
  </si>
  <si>
    <t>range.C2 lossy RA.football_voxelised</t>
  </si>
  <si>
    <t>range.C2 lossy RA.levi_voxelised</t>
  </si>
  <si>
    <t>range.C2 lossy RA.mitch_voxelised</t>
  </si>
  <si>
    <t>range.C2 lossy RA.thomas_voxelised</t>
  </si>
  <si>
    <t>cols.C2 lossy RA</t>
  </si>
  <si>
    <t>C1_ai — lossy geometry, lossy attributes [all intra]</t>
  </si>
  <si>
    <t>Variant</t>
  </si>
  <si>
    <t>Target rate [Mbps]</t>
  </si>
  <si>
    <t>Pointcloud-based PSNR [dB]</t>
  </si>
  <si>
    <t>Image-based PSNR [dB]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</si>
  <si>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</si>
  <si>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</si>
  <si>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</si>
  <si>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</si>
  <si>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</si>
  <si>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</si>
  <si>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</si>
  <si>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</si>
  <si>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</si>
  <si>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</si>
  <si>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</si>
  <si>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</si>
  <si>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</si>
  <si>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</si>
  <si>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</si>
  <si>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</si>
  <si>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</si>
  <si>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</si>
  <si>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</si>
  <si>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</si>
  <si>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</si>
  <si>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</si>
  <si>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</si>
  <si>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</si>
  <si>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</si>
  <si>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</si>
  <si>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</si>
  <si>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</si>
  <si>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</si>
  <si>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</si>
  <si>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</si>
  <si>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Total Geo Bitstream [bits]</t>
  </si>
  <si>
    <t>col.C2 lossy RA.A.enc.meta.bits</t>
  </si>
  <si>
    <t>col.C2 lossy RA.B.enc.meta.bits</t>
  </si>
  <si>
    <t>enc.meta.bits</t>
  </si>
  <si>
    <t>'C1 lossy AI'!$A$30:$BD$34</t>
  </si>
  <si>
    <t>col.C2 lossy AI.A.enc.meta.bits</t>
  </si>
  <si>
    <t>'C2 lossy RA'!$A$5:$BD$9</t>
  </si>
  <si>
    <t>'C2 lossy RA'!$A$10:$BD$14</t>
  </si>
  <si>
    <t>'C2 lossy RA'!$A$15:$BD$19</t>
  </si>
  <si>
    <t>'C2 lossy RA'!$A$20:$BD$24</t>
  </si>
  <si>
    <t>'C2 lossy RA'!$A$25:$BD$29</t>
  </si>
  <si>
    <t>'C2 lossy RA'!$A$30:$BD$34</t>
  </si>
  <si>
    <t>'C2 lossy RA'!$A$35:$BD$39</t>
  </si>
  <si>
    <t>'C2 lossy RA'!$A$40:$BD$44</t>
  </si>
  <si>
    <t>'C1 lossy AI'!$A$5:$BD$9</t>
  </si>
  <si>
    <t>'C1 lossy AI'!$A$10:$BD$14</t>
  </si>
  <si>
    <t>'C1 lossy AI'!$A$15:$BD$19</t>
  </si>
  <si>
    <t>'C1 lossy AI'!$A$20:$BD$24</t>
  </si>
  <si>
    <t>'C1 lossy AI'!$A$25:$BD$29</t>
  </si>
  <si>
    <t>'C1 lossy AI'!$A$35:$BD$39</t>
  </si>
  <si>
    <t>'C1 lossy AI'!$A$40:$BD$44</t>
  </si>
  <si>
    <t>BaseMesh Static Bitstream [bytes]</t>
  </si>
  <si>
    <t>BaseMesh Motion Bitstream [bytes]</t>
  </si>
  <si>
    <t>Meta Bitstream [bytes]</t>
  </si>
  <si>
    <t>Total Geometry Bistream [bits]</t>
  </si>
  <si>
    <t>enc.bmesh.intra.bytes</t>
  </si>
  <si>
    <t>enc.bmesh.inter.bytes</t>
  </si>
  <si>
    <t>eqn.geo.bits</t>
  </si>
  <si>
    <t>col.C2 lossy RA.A.eqn.geo.bits</t>
  </si>
  <si>
    <t>col.C2 lossy RA.A.enc.bmesh.intra.bytes</t>
  </si>
  <si>
    <t>col.C2 lossy RA.A.enc.bmesh.inter.bytes</t>
  </si>
  <si>
    <t>col.C2 lossy RA.B.eqn.geo.bits</t>
  </si>
  <si>
    <t>col.C2 lossy RA.B.enc.bmesh.intra.bytes</t>
  </si>
  <si>
    <t>col.C2 lossy RA.B.enc.bmesh.inter.bytes</t>
  </si>
  <si>
    <t>col.C1 lossy AI.B.eqn.geo.bits</t>
  </si>
  <si>
    <t>col.C1 lossy AI.B.enc.bmesh.intra.bytes</t>
  </si>
  <si>
    <t>col.C1 lossy AI.B.enc.bmesh.inter.bytes</t>
  </si>
  <si>
    <t>col.C1 lossy AI.B.enc.meta.bits</t>
  </si>
  <si>
    <t>col.C1 lossy AI.A.enc.bmesh.inter.bytes</t>
  </si>
  <si>
    <t>col.C1 lossy AI.A.enc.bmesh.intra.bytes</t>
  </si>
  <si>
    <t>col.C1 lossy AI.A.eqn.geo.bits</t>
  </si>
  <si>
    <t>Pointcloud-based BD‑TotGeoRate [%]</t>
  </si>
  <si>
    <t>Pointcloud-based BD‑AttrRate [%]</t>
  </si>
  <si>
    <t>Geom Image-based BD‑TotGemRate [%]</t>
  </si>
  <si>
    <t>Luma Image-based BD‑AttrRate [%]</t>
  </si>
  <si>
    <t>Geom Image-based BD‑TotGeoRate [%]</t>
  </si>
  <si>
    <t>Bmesh intra ratio [%]</t>
  </si>
  <si>
    <t>Bmesh inter ratio [%]</t>
  </si>
  <si>
    <t>Texture ratio
[%]</t>
  </si>
  <si>
    <t>Disp ratio
[%]</t>
  </si>
  <si>
    <t>Meta ratio
[%]</t>
  </si>
  <si>
    <t>Bmesh
Intra
[bits]</t>
  </si>
  <si>
    <t>Bmesh
Inter
[bits]</t>
  </si>
  <si>
    <t>Disp
[bits]</t>
  </si>
  <si>
    <t>Texture
[bits]</t>
  </si>
  <si>
    <t>MetaData
[bits]</t>
  </si>
  <si>
    <t>[bits]</t>
  </si>
  <si>
    <t>'C1 lossy AI'!$AE$1</t>
  </si>
  <si>
    <t>'C2 lossy RA'!$AE$1</t>
  </si>
  <si>
    <t>cat1-D</t>
  </si>
  <si>
    <t>rwtt422_voxelised</t>
  </si>
  <si>
    <t>Cat1-D average</t>
  </si>
  <si>
    <t>range.C1 lossy AI.rwtt422_voxelised</t>
  </si>
  <si>
    <t>'C1 lossy AI'!$A$45:$BD$49</t>
  </si>
  <si>
    <t>range.C0 lossless AI.rwtt422_voxelised</t>
  </si>
  <si>
    <t>C0 lossless AI'!$A$13:$T$13</t>
  </si>
  <si>
    <t>range.C2 lossy RA.rwtt422_voxelised</t>
  </si>
  <si>
    <t>'C2 lossy RA'!$A$45:$BD$49</t>
  </si>
  <si>
    <t>names!$B$93:$S$93</t>
  </si>
  <si>
    <t>names!$B$158:$S$158</t>
  </si>
  <si>
    <t>F032_v8.0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</si>
</sst>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%"/>
    <numFmt numFmtId="177" formatCode="0.000"/>
    <numFmt numFmtId="178" formatCode="[&gt;1000]0;[&gt;100]0.0;0.00"/>
    <numFmt numFmtId="179" formatCode="0.000000"/>
    <numFmt numFmtId="180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151">
    <xf numFmtId="0" fontId="0" fillId="0" borderId="0" xfId="0"/>
    <xf numFmtId="0" fontId="1" fillId="4" borderId="0" xfId="0" applyFont="1" applyFill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1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177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1" fontId="0" fillId="9" borderId="0" xfId="0" applyNumberFormat="1" applyFill="1" applyAlignment="1">
      <alignment horizontal="center"/>
    </xf>
    <xf numFmtId="178" fontId="0" fillId="9" borderId="0" xfId="0" applyNumberFormat="1" applyFill="1" applyAlignment="1">
      <alignment horizontal="center"/>
    </xf>
    <xf numFmtId="176" fontId="0" fillId="8" borderId="0" xfId="0" applyNumberFormat="1" applyFill="1" applyAlignment="1">
      <alignment horizontal="center"/>
    </xf>
    <xf numFmtId="0" fontId="0" fillId="10" borderId="3" xfId="0" applyFill="1" applyBorder="1"/>
    <xf numFmtId="1" fontId="0" fillId="10" borderId="3" xfId="0" applyNumberForma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177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" fontId="0" fillId="11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0" fontId="0" fillId="10" borderId="0" xfId="0" applyFill="1"/>
    <xf numFmtId="1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77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0" xfId="0" applyFill="1"/>
    <xf numFmtId="2" fontId="0" fillId="9" borderId="0" xfId="0" applyNumberFormat="1" applyFill="1" applyAlignment="1">
      <alignment horizontal="center"/>
    </xf>
    <xf numFmtId="0" fontId="0" fillId="11" borderId="0" xfId="0" applyFill="1"/>
    <xf numFmtId="2" fontId="0" fillId="11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" fontId="0" fillId="8" borderId="3" xfId="0" applyNumberFormat="1" applyFill="1" applyBorder="1" applyAlignment="1">
      <alignment horizontal="center"/>
    </xf>
    <xf numFmtId="177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78" fontId="0" fillId="9" borderId="3" xfId="0" applyNumberFormat="1" applyFill="1" applyBorder="1" applyAlignment="1">
      <alignment horizontal="center"/>
    </xf>
    <xf numFmtId="176" fontId="0" fillId="8" borderId="3" xfId="0" applyNumberFormat="1" applyFill="1" applyBorder="1" applyAlignment="1">
      <alignment horizontal="center"/>
    </xf>
    <xf numFmtId="0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0" fontId="1" fillId="13" borderId="9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" fillId="13" borderId="10" xfId="0" applyFont="1" applyFill="1" applyBorder="1" applyAlignment="1">
      <alignment horizontal="center" wrapText="1"/>
    </xf>
    <xf numFmtId="0" fontId="0" fillId="8" borderId="11" xfId="0" applyFill="1" applyBorder="1"/>
    <xf numFmtId="0" fontId="0" fillId="8" borderId="12" xfId="0" applyFill="1" applyBorder="1"/>
    <xf numFmtId="176" fontId="0" fillId="8" borderId="11" xfId="0" applyNumberFormat="1" applyFill="1" applyBorder="1" applyAlignment="1">
      <alignment horizontal="center"/>
    </xf>
    <xf numFmtId="176" fontId="0" fillId="8" borderId="12" xfId="0" applyNumberFormat="1" applyFill="1" applyBorder="1" applyAlignment="1">
      <alignment horizontal="center"/>
    </xf>
    <xf numFmtId="0" fontId="0" fillId="10" borderId="11" xfId="0" applyFill="1" applyBorder="1"/>
    <xf numFmtId="0" fontId="0" fillId="10" borderId="12" xfId="0" applyFill="1" applyBorder="1"/>
    <xf numFmtId="176" fontId="0" fillId="10" borderId="11" xfId="0" applyNumberFormat="1" applyFill="1" applyBorder="1" applyAlignment="1">
      <alignment horizontal="center"/>
    </xf>
    <xf numFmtId="176" fontId="0" fillId="10" borderId="12" xfId="0" applyNumberFormat="1" applyFill="1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176" fontId="0" fillId="10" borderId="9" xfId="0" applyNumberFormat="1" applyFill="1" applyBorder="1" applyAlignment="1">
      <alignment horizontal="center"/>
    </xf>
    <xf numFmtId="176" fontId="0" fillId="10" borderId="10" xfId="0" applyNumberFormat="1" applyFill="1" applyBorder="1" applyAlignment="1">
      <alignment horizontal="center"/>
    </xf>
    <xf numFmtId="176" fontId="0" fillId="14" borderId="0" xfId="0" applyNumberFormat="1" applyFill="1" applyAlignment="1">
      <alignment horizontal="center"/>
    </xf>
    <xf numFmtId="176" fontId="0" fillId="14" borderId="7" xfId="0" applyNumberFormat="1" applyFill="1" applyBorder="1" applyAlignment="1">
      <alignment horizontal="center"/>
    </xf>
    <xf numFmtId="176" fontId="0" fillId="14" borderId="2" xfId="0" applyNumberFormat="1" applyFill="1" applyBorder="1" applyAlignment="1">
      <alignment horizontal="center"/>
    </xf>
    <xf numFmtId="176" fontId="0" fillId="14" borderId="8" xfId="0" applyNumberFormat="1" applyFill="1" applyBorder="1" applyAlignment="1">
      <alignment horizontal="center"/>
    </xf>
    <xf numFmtId="176" fontId="0" fillId="15" borderId="0" xfId="0" applyNumberFormat="1" applyFill="1" applyAlignment="1">
      <alignment horizontal="center"/>
    </xf>
    <xf numFmtId="176" fontId="0" fillId="15" borderId="11" xfId="0" applyNumberFormat="1" applyFill="1" applyBorder="1" applyAlignment="1">
      <alignment horizontal="center"/>
    </xf>
    <xf numFmtId="176" fontId="0" fillId="15" borderId="12" xfId="0" applyNumberFormat="1" applyFill="1" applyBorder="1" applyAlignment="1">
      <alignment horizontal="center"/>
    </xf>
    <xf numFmtId="176" fontId="0" fillId="14" borderId="11" xfId="0" applyNumberFormat="1" applyFill="1" applyBorder="1" applyAlignment="1">
      <alignment horizontal="center"/>
    </xf>
    <xf numFmtId="176" fontId="0" fillId="14" borderId="12" xfId="0" applyNumberFormat="1" applyFill="1" applyBorder="1" applyAlignment="1">
      <alignment horizontal="center"/>
    </xf>
    <xf numFmtId="176" fontId="0" fillId="15" borderId="1" xfId="0" applyNumberFormat="1" applyFill="1" applyBorder="1" applyAlignment="1">
      <alignment horizontal="center"/>
    </xf>
    <xf numFmtId="176" fontId="0" fillId="15" borderId="5" xfId="0" applyNumberFormat="1" applyFill="1" applyBorder="1" applyAlignment="1">
      <alignment horizontal="center"/>
    </xf>
    <xf numFmtId="176" fontId="0" fillId="15" borderId="6" xfId="0" applyNumberFormat="1" applyFill="1" applyBorder="1" applyAlignment="1">
      <alignment horizontal="center"/>
    </xf>
    <xf numFmtId="0" fontId="1" fillId="5" borderId="0" xfId="0" applyFont="1" applyFill="1" applyAlignment="1">
      <alignment horizontal="center" wrapText="1"/>
    </xf>
    <xf numFmtId="179" fontId="0" fillId="0" borderId="7" xfId="0" applyNumberFormat="1" applyBorder="1"/>
    <xf numFmtId="179" fontId="0" fillId="0" borderId="2" xfId="0" applyNumberFormat="1" applyBorder="1"/>
    <xf numFmtId="179" fontId="0" fillId="0" borderId="8" xfId="0" applyNumberFormat="1" applyBorder="1"/>
    <xf numFmtId="179" fontId="0" fillId="0" borderId="11" xfId="0" applyNumberFormat="1" applyBorder="1"/>
    <xf numFmtId="179" fontId="0" fillId="0" borderId="0" xfId="0" applyNumberFormat="1"/>
    <xf numFmtId="179" fontId="0" fillId="0" borderId="12" xfId="0" applyNumberFormat="1" applyBorder="1"/>
    <xf numFmtId="179" fontId="0" fillId="0" borderId="9" xfId="0" applyNumberFormat="1" applyBorder="1"/>
    <xf numFmtId="179" fontId="0" fillId="0" borderId="3" xfId="0" applyNumberFormat="1" applyBorder="1"/>
    <xf numFmtId="179" fontId="0" fillId="0" borderId="10" xfId="0" applyNumberFormat="1" applyBorder="1"/>
    <xf numFmtId="0" fontId="0" fillId="0" borderId="0" xfId="0" quotePrefix="1"/>
    <xf numFmtId="1" fontId="0" fillId="0" borderId="0" xfId="0" applyNumberFormat="1"/>
    <xf numFmtId="10" fontId="0" fillId="8" borderId="0" xfId="0" applyNumberFormat="1" applyFill="1" applyAlignment="1">
      <alignment horizontal="center"/>
    </xf>
    <xf numFmtId="180" fontId="0" fillId="8" borderId="0" xfId="0" applyNumberFormat="1" applyFill="1" applyAlignment="1">
      <alignment horizontal="center"/>
    </xf>
    <xf numFmtId="180" fontId="0" fillId="10" borderId="0" xfId="0" applyNumberFormat="1" applyFill="1" applyAlignment="1">
      <alignment horizontal="center"/>
    </xf>
    <xf numFmtId="180" fontId="0" fillId="8" borderId="3" xfId="0" applyNumberFormat="1" applyFill="1" applyBorder="1" applyAlignment="1">
      <alignment horizontal="center"/>
    </xf>
    <xf numFmtId="10" fontId="0" fillId="0" borderId="0" xfId="0" applyNumberFormat="1"/>
    <xf numFmtId="1" fontId="0" fillId="0" borderId="0" xfId="0" applyNumberFormat="1" applyAlignment="1">
      <alignment horizontal="center"/>
    </xf>
    <xf numFmtId="0" fontId="0" fillId="10" borderId="18" xfId="0" applyFill="1" applyBorder="1"/>
    <xf numFmtId="1" fontId="0" fillId="10" borderId="18" xfId="0" applyNumberFormat="1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177" fontId="0" fillId="10" borderId="18" xfId="0" applyNumberFormat="1" applyFill="1" applyBorder="1" applyAlignment="1">
      <alignment horizontal="center"/>
    </xf>
    <xf numFmtId="2" fontId="0" fillId="10" borderId="18" xfId="0" applyNumberFormat="1" applyFill="1" applyBorder="1" applyAlignment="1">
      <alignment horizontal="center"/>
    </xf>
    <xf numFmtId="1" fontId="0" fillId="11" borderId="18" xfId="0" applyNumberFormat="1" applyFill="1" applyBorder="1" applyAlignment="1">
      <alignment horizontal="center"/>
    </xf>
    <xf numFmtId="178" fontId="0" fillId="11" borderId="18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/>
    <xf numFmtId="9" fontId="0" fillId="0" borderId="3" xfId="0" applyNumberFormat="1" applyBorder="1" applyAlignment="1">
      <alignment horizontal="center"/>
    </xf>
    <xf numFmtId="0" fontId="0" fillId="0" borderId="3" xfId="0" applyBorder="1"/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13" borderId="0" xfId="0" applyFont="1" applyFill="1" applyAlignment="1">
      <alignment horizontal="center" wrapText="1"/>
    </xf>
    <xf numFmtId="0" fontId="1" fillId="12" borderId="3" xfId="0" applyFont="1" applyFill="1" applyBorder="1" applyAlignment="1">
      <alignment horizontal="center" wrapText="1"/>
    </xf>
    <xf numFmtId="0" fontId="0" fillId="12" borderId="3" xfId="0" applyFill="1" applyBorder="1"/>
    <xf numFmtId="0" fontId="1" fillId="12" borderId="17" xfId="0" applyFont="1" applyFill="1" applyBorder="1" applyAlignment="1">
      <alignment horizontal="center" vertical="top"/>
    </xf>
    <xf numFmtId="0" fontId="0" fillId="0" borderId="18" xfId="0" applyBorder="1"/>
    <xf numFmtId="0" fontId="0" fillId="0" borderId="6" xfId="0" applyBorder="1"/>
    <xf numFmtId="0" fontId="1" fillId="13" borderId="5" xfId="0" applyFont="1" applyFill="1" applyBorder="1" applyAlignment="1">
      <alignment horizontal="center" wrapText="1"/>
    </xf>
    <xf numFmtId="0" fontId="0" fillId="0" borderId="9" xfId="0" applyBorder="1"/>
    <xf numFmtId="0" fontId="1" fillId="13" borderId="6" xfId="0" applyFont="1" applyFill="1" applyBorder="1" applyAlignment="1">
      <alignment horizontal="center" wrapText="1"/>
    </xf>
    <xf numFmtId="0" fontId="0" fillId="0" borderId="10" xfId="0" applyBorder="1"/>
    <xf numFmtId="0" fontId="1" fillId="13" borderId="7" xfId="0" applyFont="1" applyFill="1" applyBorder="1" applyAlignment="1">
      <alignment horizontal="center" wrapText="1"/>
    </xf>
    <xf numFmtId="0" fontId="0" fillId="0" borderId="14" xfId="0" applyBorder="1"/>
    <xf numFmtId="0" fontId="1" fillId="13" borderId="19" xfId="0" applyFont="1" applyFill="1" applyBorder="1" applyAlignment="1">
      <alignment horizontal="center" wrapText="1"/>
    </xf>
    <xf numFmtId="0" fontId="0" fillId="0" borderId="19" xfId="0" applyBorder="1"/>
    <xf numFmtId="9" fontId="0" fillId="14" borderId="13" xfId="0" applyNumberFormat="1" applyFill="1" applyBorder="1" applyAlignment="1">
      <alignment horizontal="center"/>
    </xf>
    <xf numFmtId="0" fontId="0" fillId="0" borderId="8" xfId="0" applyBorder="1"/>
    <xf numFmtId="0" fontId="0" fillId="15" borderId="15" xfId="0" applyFill="1" applyBorder="1" applyAlignment="1">
      <alignment horizontal="left"/>
    </xf>
    <xf numFmtId="9" fontId="0" fillId="15" borderId="15" xfId="0" applyNumberFormat="1" applyFill="1" applyBorder="1" applyAlignment="1">
      <alignment horizontal="center"/>
    </xf>
    <xf numFmtId="0" fontId="0" fillId="14" borderId="13" xfId="0" applyFill="1" applyBorder="1" applyAlignment="1">
      <alignment horizontal="left"/>
    </xf>
    <xf numFmtId="0" fontId="0" fillId="15" borderId="16" xfId="0" applyFill="1" applyBorder="1" applyAlignment="1">
      <alignment horizontal="left"/>
    </xf>
    <xf numFmtId="0" fontId="0" fillId="0" borderId="12" xfId="0" applyBorder="1"/>
    <xf numFmtId="0" fontId="0" fillId="14" borderId="16" xfId="0" applyFill="1" applyBorder="1" applyAlignment="1">
      <alignment horizontal="left"/>
    </xf>
    <xf numFmtId="0" fontId="1" fillId="15" borderId="17" xfId="0" applyFont="1" applyFill="1" applyBorder="1" applyAlignment="1">
      <alignment horizontal="left"/>
    </xf>
  </cellXfs>
  <cellStyles count="1">
    <cellStyle name="常规" xfId="0" builtinId="0"/>
  </cellStyles>
  <dxfs count="198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Pointcloud-based PSNR [dB] (Graph a)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F032_v8.0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Graphs!graph_a_x_range_A</c:f>
              <c:numCache>
                <c:formatCode>0.000</c:formatCode>
                <c:ptCount val="5"/>
                <c:pt idx="0">
                  <c:v>5.71488</c:v>
                </c:pt>
                <c:pt idx="1">
                  <c:v>10.2888</c:v>
                </c:pt>
                <c:pt idx="2">
                  <c:v>27.548159999999999</c:v>
                </c:pt>
                <c:pt idx="3">
                  <c:v>50.752560000000003</c:v>
                </c:pt>
                <c:pt idx="4">
                  <c:v>90.078239999999994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76.493702900000002</c:v>
                </c:pt>
                <c:pt idx="1">
                  <c:v>78.244808599999999</c:v>
                </c:pt>
                <c:pt idx="2">
                  <c:v>81.334224199999994</c:v>
                </c:pt>
                <c:pt idx="3">
                  <c:v>82.120771199999993</c:v>
                </c:pt>
                <c:pt idx="4">
                  <c:v>82.296570799999998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4A4-4563-A6B1-00CE872CBA28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4A4-4563-A6B1-00CE872CB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939248"/>
        <c:axId val="221941424"/>
      </c:scatterChart>
      <c:valAx>
        <c:axId val="221939248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Graphs!graph_a_x_title</c:f>
              <c:strCache>
                <c:ptCount val="1"/>
                <c:pt idx="0">
                  <c:v>Rate [Mbps]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221941424"/>
        <c:crosses val="autoZero"/>
        <c:crossBetween val="midCat"/>
      </c:valAx>
      <c:valAx>
        <c:axId val="221941424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22193924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Pointcloud-based PSNR [dB] (Graph b)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F032_v8.0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Graphs!graph_b_x_range_A</c:f>
              <c:numCache>
                <c:formatCode>0.000</c:formatCode>
                <c:ptCount val="5"/>
                <c:pt idx="0">
                  <c:v>5.71488</c:v>
                </c:pt>
                <c:pt idx="1">
                  <c:v>10.2888</c:v>
                </c:pt>
                <c:pt idx="2">
                  <c:v>27.548159999999999</c:v>
                </c:pt>
                <c:pt idx="3">
                  <c:v>50.752560000000003</c:v>
                </c:pt>
                <c:pt idx="4">
                  <c:v>90.078239999999994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79.061057300000002</c:v>
                </c:pt>
                <c:pt idx="1">
                  <c:v>81.361836800000006</c:v>
                </c:pt>
                <c:pt idx="2">
                  <c:v>86.582821699999997</c:v>
                </c:pt>
                <c:pt idx="3">
                  <c:v>88.265081100000003</c:v>
                </c:pt>
                <c:pt idx="4">
                  <c:v>88.772984699999995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80-49CE-A418-6051E4ACB2D1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80-49CE-A418-6051E4ACB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935984"/>
        <c:axId val="221936528"/>
      </c:scatterChart>
      <c:valAx>
        <c:axId val="221935984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Graphs!graph_b_x_title</c:f>
              <c:strCache>
                <c:ptCount val="1"/>
                <c:pt idx="0">
                  <c:v>Rate [Mbps]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221936528"/>
        <c:crosses val="autoZero"/>
        <c:crossBetween val="midCat"/>
      </c:valAx>
      <c:valAx>
        <c:axId val="221936528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22193598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Geom Image-based PSNR [dB] (Graph c)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F032_v8.0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Graphs!graph_c_x_range_A</c:f>
              <c:numCache>
                <c:formatCode>0.000</c:formatCode>
                <c:ptCount val="5"/>
                <c:pt idx="0">
                  <c:v>5.71488</c:v>
                </c:pt>
                <c:pt idx="1">
                  <c:v>10.2888</c:v>
                </c:pt>
                <c:pt idx="2">
                  <c:v>27.548159999999999</c:v>
                </c:pt>
                <c:pt idx="3">
                  <c:v>50.752560000000003</c:v>
                </c:pt>
                <c:pt idx="4">
                  <c:v>90.078239999999994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55.044560400000002</c:v>
                </c:pt>
                <c:pt idx="1">
                  <c:v>56.170851599999999</c:v>
                </c:pt>
                <c:pt idx="2">
                  <c:v>58.616900700000002</c:v>
                </c:pt>
                <c:pt idx="3">
                  <c:v>59.151543500000002</c:v>
                </c:pt>
                <c:pt idx="4">
                  <c:v>59.486194699999999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202-47B9-B5D3-1F7AC2198085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202-47B9-B5D3-1F7AC2198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937616"/>
        <c:axId val="221937072"/>
      </c:scatterChart>
      <c:valAx>
        <c:axId val="221937616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Graphs!graph_c_x_title</c:f>
              <c:strCache>
                <c:ptCount val="1"/>
                <c:pt idx="0">
                  <c:v>Rate [Mbps]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221937072"/>
        <c:crosses val="autoZero"/>
        <c:crossBetween val="midCat"/>
      </c:valAx>
      <c:valAx>
        <c:axId val="22193707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22193761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Luma Pointcloud-based PSNR [dB] (Graph d)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F032_v8.0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Graphs!graph_d_x_range_A</c:f>
              <c:numCache>
                <c:formatCode>0.000</c:formatCode>
                <c:ptCount val="5"/>
                <c:pt idx="0">
                  <c:v>5.71488</c:v>
                </c:pt>
                <c:pt idx="1">
                  <c:v>10.2888</c:v>
                </c:pt>
                <c:pt idx="2">
                  <c:v>27.548159999999999</c:v>
                </c:pt>
                <c:pt idx="3">
                  <c:v>50.752560000000003</c:v>
                </c:pt>
                <c:pt idx="4">
                  <c:v>90.078239999999994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30.278041900000002</c:v>
                </c:pt>
                <c:pt idx="1">
                  <c:v>31.540469900000002</c:v>
                </c:pt>
                <c:pt idx="2">
                  <c:v>32.737954999999999</c:v>
                </c:pt>
                <c:pt idx="3">
                  <c:v>33.567344599999998</c:v>
                </c:pt>
                <c:pt idx="4">
                  <c:v>34.238238899999999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7E1-49B9-BA19-36B35F94A523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7E1-49B9-BA19-36B35F94A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941968"/>
        <c:axId val="221939792"/>
      </c:scatterChart>
      <c:valAx>
        <c:axId val="221941968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Graphs!graph_d_x_title</c:f>
              <c:strCache>
                <c:ptCount val="1"/>
                <c:pt idx="0">
                  <c:v>Rate [Mbps]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221939792"/>
        <c:crosses val="autoZero"/>
        <c:crossBetween val="midCat"/>
      </c:valAx>
      <c:valAx>
        <c:axId val="22193979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22194196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Cb Pointcloud-based PSNR [dB] (Graph e)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F032_v8.0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Graphs!graph_e_x_range_A</c:f>
              <c:numCache>
                <c:formatCode>0.000</c:formatCode>
                <c:ptCount val="5"/>
                <c:pt idx="0">
                  <c:v>5.71488</c:v>
                </c:pt>
                <c:pt idx="1">
                  <c:v>10.2888</c:v>
                </c:pt>
                <c:pt idx="2">
                  <c:v>27.548159999999999</c:v>
                </c:pt>
                <c:pt idx="3">
                  <c:v>50.752560000000003</c:v>
                </c:pt>
                <c:pt idx="4">
                  <c:v>90.078239999999994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42.494525299999999</c:v>
                </c:pt>
                <c:pt idx="1">
                  <c:v>43.652007599999997</c:v>
                </c:pt>
                <c:pt idx="2">
                  <c:v>44.933899199999999</c:v>
                </c:pt>
                <c:pt idx="3">
                  <c:v>46.3748389</c:v>
                </c:pt>
                <c:pt idx="4">
                  <c:v>48.012117199999999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3B4-4C5C-81CF-85702FD1D552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3B4-4C5C-81CF-85702FD1D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014816"/>
        <c:axId val="449014272"/>
      </c:scatterChart>
      <c:valAx>
        <c:axId val="449014816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Graphs!graph_e_x_title</c:f>
              <c:strCache>
                <c:ptCount val="1"/>
                <c:pt idx="0">
                  <c:v>Rate [Mbps]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449014272"/>
        <c:crosses val="autoZero"/>
        <c:crossBetween val="midCat"/>
      </c:valAx>
      <c:valAx>
        <c:axId val="44901427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44901481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Chroma Cr Pointcloud-based PSNR [dB] (Graph f)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F032_v8.0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Graphs!graph_f_x_range_A</c:f>
              <c:numCache>
                <c:formatCode>0.000</c:formatCode>
                <c:ptCount val="5"/>
                <c:pt idx="0">
                  <c:v>5.71488</c:v>
                </c:pt>
                <c:pt idx="1">
                  <c:v>10.2888</c:v>
                </c:pt>
                <c:pt idx="2">
                  <c:v>27.548159999999999</c:v>
                </c:pt>
                <c:pt idx="3">
                  <c:v>50.752560000000003</c:v>
                </c:pt>
                <c:pt idx="4">
                  <c:v>90.078239999999994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5"/>
                <c:pt idx="0">
                  <c:v>40.849274800000003</c:v>
                </c:pt>
                <c:pt idx="1">
                  <c:v>42.291822500000002</c:v>
                </c:pt>
                <c:pt idx="2">
                  <c:v>43.992284499999997</c:v>
                </c:pt>
                <c:pt idx="3">
                  <c:v>45.425838900000002</c:v>
                </c:pt>
                <c:pt idx="4">
                  <c:v>46.998905299999997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84-46A5-A8DA-93E3187DD3A7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84-46A5-A8DA-93E3187DD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013728"/>
        <c:axId val="449015360"/>
      </c:scatterChart>
      <c:valAx>
        <c:axId val="449013728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Graphs!graph_f_x_title</c:f>
              <c:strCache>
                <c:ptCount val="1"/>
                <c:pt idx="0">
                  <c:v>Rate [Mbps]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449015360"/>
        <c:crosses val="autoZero"/>
        <c:crossBetween val="midCat"/>
      </c:valAx>
      <c:valAx>
        <c:axId val="449015360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44901372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Graphs!graph_g_title</c:f>
          <c:strCache>
            <c:ptCount val="1"/>
            <c:pt idx="0">
              <c:v>Luma Image-based PSNR [dB] (Graph g)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F032_v8.0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Graphs!graph_g_x_range_A</c:f>
              <c:numCache>
                <c:formatCode>0.000</c:formatCode>
                <c:ptCount val="5"/>
                <c:pt idx="0">
                  <c:v>5.71488</c:v>
                </c:pt>
                <c:pt idx="1">
                  <c:v>10.2888</c:v>
                </c:pt>
                <c:pt idx="2">
                  <c:v>27.548159999999999</c:v>
                </c:pt>
                <c:pt idx="3">
                  <c:v>50.752560000000003</c:v>
                </c:pt>
                <c:pt idx="4">
                  <c:v>90.078239999999994</c:v>
                </c:pt>
              </c:numCache>
            </c:numRef>
          </c:xVal>
          <c:yVal>
            <c:numRef>
              <c:f>Graphs!graph_g_y_range_A</c:f>
              <c:numCache>
                <c:formatCode>0.00</c:formatCode>
                <c:ptCount val="5"/>
                <c:pt idx="0">
                  <c:v>29.878969999999999</c:v>
                </c:pt>
                <c:pt idx="1">
                  <c:v>31.075164699999998</c:v>
                </c:pt>
                <c:pt idx="2">
                  <c:v>32.434200199999999</c:v>
                </c:pt>
                <c:pt idx="3">
                  <c:v>33.257023400000001</c:v>
                </c:pt>
                <c:pt idx="4">
                  <c:v>33.879080799999997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75-4EF2-B4EB-C0C674BE98BD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75-4EF2-B4EB-C0C674BE9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008288"/>
        <c:axId val="449008832"/>
      </c:scatterChart>
      <c:valAx>
        <c:axId val="449008288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Graphs!graph_g_x_title</c:f>
              <c:strCache>
                <c:ptCount val="1"/>
                <c:pt idx="0">
                  <c:v>Rate [Mbps]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449008832"/>
        <c:crosses val="autoZero"/>
        <c:crossBetween val="midCat"/>
      </c:valAx>
      <c:valAx>
        <c:axId val="44900883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44900828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39"/>
  <sheetViews>
    <sheetView zoomScale="90" zoomScaleNormal="90" workbookViewId="0">
      <selection activeCell="E5" sqref="E5"/>
    </sheetView>
  </sheetViews>
  <sheetFormatPr defaultColWidth="9.125" defaultRowHeight="13.5" x14ac:dyDescent="0.15"/>
  <cols>
    <col min="2" max="2" width="16.75" customWidth="1"/>
    <col min="3" max="9" width="24.75" customWidth="1"/>
  </cols>
  <sheetData>
    <row r="1" spans="2:5" x14ac:dyDescent="0.15">
      <c r="B1" t="s">
        <v>0</v>
      </c>
      <c r="C1" s="121" t="s">
        <v>438</v>
      </c>
      <c r="D1" s="121"/>
      <c r="E1" s="121"/>
    </row>
    <row r="2" spans="2:5" x14ac:dyDescent="0.15">
      <c r="B2" t="s">
        <v>1</v>
      </c>
      <c r="C2" s="122"/>
      <c r="D2" s="122"/>
      <c r="E2" s="122"/>
    </row>
    <row r="4" spans="2:5" s="1" customFormat="1" x14ac:dyDescent="0.15">
      <c r="B4" s="1" t="s">
        <v>2</v>
      </c>
    </row>
    <row r="6" spans="2:5" ht="45" customHeight="1" x14ac:dyDescent="0.15">
      <c r="B6" s="116" t="s">
        <v>3</v>
      </c>
      <c r="C6" s="2" t="s">
        <v>4</v>
      </c>
    </row>
    <row r="7" spans="2:5" x14ac:dyDescent="0.15">
      <c r="B7" s="113"/>
      <c r="C7" s="3" t="s">
        <v>5</v>
      </c>
    </row>
    <row r="8" spans="2:5" x14ac:dyDescent="0.15">
      <c r="B8" s="115"/>
      <c r="C8" s="4" t="s">
        <v>6</v>
      </c>
    </row>
    <row r="9" spans="2:5" x14ac:dyDescent="0.15">
      <c r="B9" t="s">
        <v>7</v>
      </c>
      <c r="C9" s="5" t="e">
        <f>'C0 lossless AI'!V14</f>
        <v>#DIV/0!</v>
      </c>
    </row>
    <row r="10" spans="2:5" x14ac:dyDescent="0.15">
      <c r="B10" t="s">
        <v>8</v>
      </c>
      <c r="C10" s="5" t="e">
        <f>'C0 lossless AI'!V15</f>
        <v>#DIV/0!</v>
      </c>
    </row>
    <row r="11" spans="2:5" x14ac:dyDescent="0.15">
      <c r="B11" t="s">
        <v>9</v>
      </c>
      <c r="C11" s="5" t="e">
        <f>'C0 lossless AI'!V16</f>
        <v>#DIV/0!</v>
      </c>
    </row>
    <row r="12" spans="2:5" x14ac:dyDescent="0.15">
      <c r="B12" t="s">
        <v>429</v>
      </c>
      <c r="C12" s="5" t="e">
        <f>'C0 lossless AI'!V18</f>
        <v>#DIV/0!</v>
      </c>
    </row>
    <row r="13" spans="2:5" x14ac:dyDescent="0.15">
      <c r="B13" s="6" t="s">
        <v>10</v>
      </c>
      <c r="C13" s="7" t="e">
        <f>'C0 lossless AI'!V18</f>
        <v>#DIV/0!</v>
      </c>
    </row>
    <row r="14" spans="2:5" x14ac:dyDescent="0.15">
      <c r="B14" t="s">
        <v>11</v>
      </c>
      <c r="C14" s="8">
        <f>'C0 lossless AI'!S20</f>
        <v>0</v>
      </c>
    </row>
    <row r="15" spans="2:5" x14ac:dyDescent="0.15">
      <c r="B15" s="9" t="s">
        <v>12</v>
      </c>
      <c r="C15" s="10">
        <f>'C0 lossless AI'!T20</f>
        <v>0</v>
      </c>
    </row>
    <row r="17" spans="2:9" x14ac:dyDescent="0.15">
      <c r="B17" s="116" t="s">
        <v>13</v>
      </c>
      <c r="C17" s="117" t="s">
        <v>14</v>
      </c>
      <c r="D17" s="118"/>
      <c r="E17" s="118"/>
      <c r="F17" s="118"/>
      <c r="G17" s="118"/>
      <c r="H17" s="118"/>
      <c r="I17" s="118"/>
    </row>
    <row r="18" spans="2:9" x14ac:dyDescent="0.15">
      <c r="B18" s="113"/>
      <c r="C18" s="119" t="s">
        <v>15</v>
      </c>
      <c r="D18" s="113"/>
      <c r="E18" s="113"/>
      <c r="F18" s="113"/>
      <c r="G18" s="113"/>
      <c r="H18" s="120" t="s">
        <v>16</v>
      </c>
      <c r="I18" s="113"/>
    </row>
    <row r="19" spans="2:9" x14ac:dyDescent="0.15">
      <c r="B19" s="115"/>
      <c r="C19" s="4" t="s">
        <v>17</v>
      </c>
      <c r="D19" s="4" t="s">
        <v>18</v>
      </c>
      <c r="E19" s="4" t="s">
        <v>19</v>
      </c>
      <c r="F19" s="4" t="s">
        <v>20</v>
      </c>
      <c r="G19" s="4" t="s">
        <v>21</v>
      </c>
      <c r="H19" s="11" t="s">
        <v>22</v>
      </c>
      <c r="I19" s="11" t="s">
        <v>19</v>
      </c>
    </row>
    <row r="20" spans="2:9" x14ac:dyDescent="0.15">
      <c r="B20" t="s">
        <v>7</v>
      </c>
      <c r="C20" s="5" t="e">
        <f>'C1 lossy AI'!$AZ$50:$AZ$50</f>
        <v>#DIV/0!</v>
      </c>
      <c r="D20" s="5" t="e">
        <f>'C1 lossy AI'!$BA$50:$BA$50</f>
        <v>#DIV/0!</v>
      </c>
      <c r="E20" s="5" t="e">
        <f>'C1 lossy AI'!$BB$50:$BB$50</f>
        <v>#DIV/0!</v>
      </c>
      <c r="F20" s="5" t="e">
        <f>'C1 lossy AI'!$BC$50:$BC$50</f>
        <v>#DIV/0!</v>
      </c>
      <c r="G20" s="5" t="e">
        <f>'C1 lossy AI'!$BD$50:$BD$50</f>
        <v>#DIV/0!</v>
      </c>
      <c r="H20" s="5" t="e">
        <f>'C1 lossy AI'!$BE$50:$BE$50</f>
        <v>#DIV/0!</v>
      </c>
      <c r="I20" s="5" t="e">
        <f>'C1 lossy AI'!$BF$50:$BF$50</f>
        <v>#DIV/0!</v>
      </c>
    </row>
    <row r="21" spans="2:9" x14ac:dyDescent="0.15">
      <c r="B21" t="s">
        <v>8</v>
      </c>
      <c r="C21" s="5" t="e">
        <f>'C1 lossy AI'!$AZ$51:$AZ$51</f>
        <v>#DIV/0!</v>
      </c>
      <c r="D21" s="5" t="e">
        <f>'C1 lossy AI'!$BA$51:$BA$51</f>
        <v>#DIV/0!</v>
      </c>
      <c r="E21" s="5" t="e">
        <f>'C1 lossy AI'!$BB$51:$BB$51</f>
        <v>#DIV/0!</v>
      </c>
      <c r="F21" s="5" t="e">
        <f>'C1 lossy AI'!$BC$51:$BC$51</f>
        <v>#DIV/0!</v>
      </c>
      <c r="G21" s="5" t="e">
        <f>'C1 lossy AI'!$BD$51:$BD$51</f>
        <v>#DIV/0!</v>
      </c>
      <c r="H21" s="5" t="e">
        <f>'C1 lossy AI'!$BE$51:$BE$51</f>
        <v>#DIV/0!</v>
      </c>
      <c r="I21" s="5" t="e">
        <f>'C1 lossy AI'!$BF$51:$BF$51</f>
        <v>#DIV/0!</v>
      </c>
    </row>
    <row r="22" spans="2:9" x14ac:dyDescent="0.15">
      <c r="B22" t="s">
        <v>9</v>
      </c>
      <c r="C22" s="5" t="e">
        <f>'C1 lossy AI'!$AZ$52:$AZ$52</f>
        <v>#DIV/0!</v>
      </c>
      <c r="D22" s="5" t="e">
        <f>'C1 lossy AI'!$BA$52:$BA$52</f>
        <v>#DIV/0!</v>
      </c>
      <c r="E22" s="5" t="e">
        <f>'C1 lossy AI'!$BB$52:$BB$52</f>
        <v>#DIV/0!</v>
      </c>
      <c r="F22" s="5" t="e">
        <f>'C1 lossy AI'!$BC$52:$BC$52</f>
        <v>#DIV/0!</v>
      </c>
      <c r="G22" s="5" t="e">
        <f>'C1 lossy AI'!$BD$52:$BD$52</f>
        <v>#DIV/0!</v>
      </c>
      <c r="H22" s="5" t="e">
        <f>'C1 lossy AI'!$BE$52:$BE$52</f>
        <v>#DIV/0!</v>
      </c>
      <c r="I22" s="5" t="e">
        <f>'C1 lossy AI'!$BF$52:$BF$52</f>
        <v>#DIV/0!</v>
      </c>
    </row>
    <row r="23" spans="2:9" x14ac:dyDescent="0.15">
      <c r="B23" t="s">
        <v>429</v>
      </c>
      <c r="C23" s="5" t="e">
        <f>'C1 lossy AI'!$AZ$53:$AZ$53</f>
        <v>#DIV/0!</v>
      </c>
      <c r="D23" s="5" t="e">
        <f>'C1 lossy AI'!$BA$53:$BA$53</f>
        <v>#DIV/0!</v>
      </c>
      <c r="E23" s="5" t="e">
        <f>'C1 lossy AI'!$BB$53:$BB$53</f>
        <v>#DIV/0!</v>
      </c>
      <c r="F23" s="5" t="e">
        <f>'C1 lossy AI'!$BC$53:$BC$53</f>
        <v>#DIV/0!</v>
      </c>
      <c r="G23" s="5" t="e">
        <f>'C1 lossy AI'!$BD$53:$BD$53</f>
        <v>#DIV/0!</v>
      </c>
      <c r="H23" s="5" t="e">
        <f>'C1 lossy AI'!$BE$53:$BE$53</f>
        <v>#DIV/0!</v>
      </c>
      <c r="I23" s="5" t="e">
        <f>'C1 lossy AI'!$BF$53:$BF$53</f>
        <v>#DIV/0!</v>
      </c>
    </row>
    <row r="24" spans="2:9" x14ac:dyDescent="0.15">
      <c r="B24" s="6" t="s">
        <v>10</v>
      </c>
      <c r="C24" s="7" t="e">
        <f>'C1 lossy AI'!$AZ$54:$AZ$54</f>
        <v>#DIV/0!</v>
      </c>
      <c r="D24" s="7" t="e">
        <f>'C1 lossy AI'!$BA$54:$BA$54</f>
        <v>#DIV/0!</v>
      </c>
      <c r="E24" s="7" t="e">
        <f>'C1 lossy AI'!$BB$54:$BB$54</f>
        <v>#DIV/0!</v>
      </c>
      <c r="F24" s="7" t="e">
        <f>'C1 lossy AI'!$BC$54:$BC$54</f>
        <v>#DIV/0!</v>
      </c>
      <c r="G24" s="7" t="e">
        <f>'C1 lossy AI'!$BD$54:$BD$54</f>
        <v>#DIV/0!</v>
      </c>
      <c r="H24" s="7" t="e">
        <f>'C1 lossy AI'!$BE$54:$BE$54</f>
        <v>#DIV/0!</v>
      </c>
      <c r="I24" s="7" t="e">
        <f>'C1 lossy AI'!$BF$54:$BF$54</f>
        <v>#DIV/0!</v>
      </c>
    </row>
    <row r="25" spans="2:9" x14ac:dyDescent="0.15">
      <c r="B25" t="s">
        <v>11</v>
      </c>
      <c r="C25" s="112">
        <f>'C1 lossy AI'!AW56</f>
        <v>0</v>
      </c>
      <c r="D25" s="113"/>
      <c r="E25" s="113"/>
      <c r="F25" s="113"/>
      <c r="G25" s="113"/>
      <c r="H25" s="113"/>
      <c r="I25" s="113"/>
    </row>
    <row r="26" spans="2:9" x14ac:dyDescent="0.15">
      <c r="B26" s="9" t="s">
        <v>12</v>
      </c>
      <c r="C26" s="114">
        <f>'C1 lossy AI'!AX56</f>
        <v>0</v>
      </c>
      <c r="D26" s="115"/>
      <c r="E26" s="115"/>
      <c r="F26" s="115"/>
      <c r="G26" s="115"/>
      <c r="H26" s="115"/>
      <c r="I26" s="115"/>
    </row>
    <row r="28" spans="2:9" s="1" customFormat="1" x14ac:dyDescent="0.15">
      <c r="B28" s="1" t="s">
        <v>23</v>
      </c>
    </row>
    <row r="30" spans="2:9" x14ac:dyDescent="0.15">
      <c r="B30" s="116" t="s">
        <v>24</v>
      </c>
      <c r="C30" s="117" t="s">
        <v>25</v>
      </c>
      <c r="D30" s="118"/>
      <c r="E30" s="118"/>
      <c r="F30" s="118"/>
      <c r="G30" s="118"/>
      <c r="H30" s="118"/>
      <c r="I30" s="118"/>
    </row>
    <row r="31" spans="2:9" x14ac:dyDescent="0.15">
      <c r="B31" s="113"/>
      <c r="C31" s="119" t="s">
        <v>15</v>
      </c>
      <c r="D31" s="113"/>
      <c r="E31" s="113"/>
      <c r="F31" s="113"/>
      <c r="G31" s="113"/>
      <c r="H31" s="120" t="s">
        <v>16</v>
      </c>
      <c r="I31" s="113"/>
    </row>
    <row r="32" spans="2:9" x14ac:dyDescent="0.15">
      <c r="B32" s="115"/>
      <c r="C32" s="4" t="s">
        <v>17</v>
      </c>
      <c r="D32" s="4" t="s">
        <v>18</v>
      </c>
      <c r="E32" s="4" t="s">
        <v>19</v>
      </c>
      <c r="F32" s="4" t="s">
        <v>20</v>
      </c>
      <c r="G32" s="4" t="s">
        <v>21</v>
      </c>
      <c r="H32" s="11" t="s">
        <v>22</v>
      </c>
      <c r="I32" s="11" t="s">
        <v>19</v>
      </c>
    </row>
    <row r="33" spans="2:9" x14ac:dyDescent="0.15">
      <c r="B33" t="s">
        <v>7</v>
      </c>
      <c r="C33" s="5" t="e">
        <f>'C2 lossy RA'!$AZ$50:$AZ$50</f>
        <v>#DIV/0!</v>
      </c>
      <c r="D33" s="5" t="e">
        <f>'C2 lossy RA'!$BA$50:$BA$50</f>
        <v>#DIV/0!</v>
      </c>
      <c r="E33" s="5" t="e">
        <f>'C2 lossy RA'!$BB$50:$BB$50</f>
        <v>#DIV/0!</v>
      </c>
      <c r="F33" s="5" t="e">
        <f>'C2 lossy RA'!$BC$50:$BC$50</f>
        <v>#DIV/0!</v>
      </c>
      <c r="G33" s="5" t="e">
        <f>'C2 lossy RA'!$BD$50:$BD$50</f>
        <v>#DIV/0!</v>
      </c>
      <c r="H33" s="5" t="e">
        <f>'C2 lossy RA'!$BE$50:$BE$50</f>
        <v>#DIV/0!</v>
      </c>
      <c r="I33" s="5" t="e">
        <f>'C2 lossy RA'!$BF$50:$BF$50</f>
        <v>#DIV/0!</v>
      </c>
    </row>
    <row r="34" spans="2:9" x14ac:dyDescent="0.15">
      <c r="B34" t="s">
        <v>8</v>
      </c>
      <c r="C34" s="5" t="e">
        <f>'C2 lossy RA'!$AZ$51:$AZ$51</f>
        <v>#DIV/0!</v>
      </c>
      <c r="D34" s="5" t="e">
        <f>'C2 lossy RA'!$BA$51:$BA$51</f>
        <v>#DIV/0!</v>
      </c>
      <c r="E34" s="5" t="e">
        <f>'C2 lossy RA'!$BB$51:$BB$51</f>
        <v>#DIV/0!</v>
      </c>
      <c r="F34" s="5" t="e">
        <f>'C2 lossy RA'!$BC$51:$BC$51</f>
        <v>#DIV/0!</v>
      </c>
      <c r="G34" s="5" t="e">
        <f>'C2 lossy RA'!$BD$51:$BD$51</f>
        <v>#DIV/0!</v>
      </c>
      <c r="H34" s="5" t="e">
        <f>'C2 lossy RA'!$BE$51:$BE$51</f>
        <v>#DIV/0!</v>
      </c>
      <c r="I34" s="5" t="e">
        <f>'C2 lossy RA'!$BF$51:$BF$51</f>
        <v>#DIV/0!</v>
      </c>
    </row>
    <row r="35" spans="2:9" x14ac:dyDescent="0.15">
      <c r="B35" t="s">
        <v>9</v>
      </c>
      <c r="C35" s="5" t="e">
        <f>'C2 lossy RA'!$AZ$52:$AZ$52</f>
        <v>#DIV/0!</v>
      </c>
      <c r="D35" s="5" t="e">
        <f>'C2 lossy RA'!$BA$52:$BA$52</f>
        <v>#DIV/0!</v>
      </c>
      <c r="E35" s="5" t="e">
        <f>'C2 lossy RA'!$BB$52:$BB$52</f>
        <v>#DIV/0!</v>
      </c>
      <c r="F35" s="5" t="e">
        <f>'C2 lossy RA'!$BC$52:$BC$52</f>
        <v>#DIV/0!</v>
      </c>
      <c r="G35" s="5" t="e">
        <f>'C2 lossy RA'!$BD$52:$BD$52</f>
        <v>#DIV/0!</v>
      </c>
      <c r="H35" s="5" t="e">
        <f>'C2 lossy RA'!$BE$52:$BE$52</f>
        <v>#DIV/0!</v>
      </c>
      <c r="I35" s="5" t="e">
        <f>'C2 lossy RA'!$BF$52:$BF$52</f>
        <v>#DIV/0!</v>
      </c>
    </row>
    <row r="36" spans="2:9" x14ac:dyDescent="0.15">
      <c r="B36" t="s">
        <v>429</v>
      </c>
      <c r="C36" s="5" t="e">
        <f>'C2 lossy RA'!$AZ$53:$AZ$53</f>
        <v>#DIV/0!</v>
      </c>
      <c r="D36" s="5" t="e">
        <f>'C2 lossy RA'!$BA$53:$BA$53</f>
        <v>#DIV/0!</v>
      </c>
      <c r="E36" s="5" t="e">
        <f>'C2 lossy RA'!$BB$53:$BB$53</f>
        <v>#DIV/0!</v>
      </c>
      <c r="F36" s="5" t="e">
        <f>'C2 lossy RA'!$BC$53:$BC$53</f>
        <v>#DIV/0!</v>
      </c>
      <c r="G36" s="5" t="e">
        <f>'C2 lossy RA'!$BD$53:$BD$53</f>
        <v>#DIV/0!</v>
      </c>
      <c r="H36" s="5" t="e">
        <f>'C2 lossy RA'!$BE$53:$BE$53</f>
        <v>#DIV/0!</v>
      </c>
      <c r="I36" s="5" t="e">
        <f>'C2 lossy RA'!$BF$53:$BF$53</f>
        <v>#DIV/0!</v>
      </c>
    </row>
    <row r="37" spans="2:9" x14ac:dyDescent="0.15">
      <c r="B37" s="6" t="s">
        <v>10</v>
      </c>
      <c r="C37" s="7" t="e">
        <f>'C2 lossy RA'!$AZ$54:$AZ$54</f>
        <v>#DIV/0!</v>
      </c>
      <c r="D37" s="7" t="e">
        <f>'C2 lossy RA'!$BA$54:$BA$54</f>
        <v>#DIV/0!</v>
      </c>
      <c r="E37" s="7" t="e">
        <f>'C2 lossy RA'!$BB$54:$BB$54</f>
        <v>#DIV/0!</v>
      </c>
      <c r="F37" s="7" t="e">
        <f>'C2 lossy RA'!$BC$54:$BC$54</f>
        <v>#DIV/0!</v>
      </c>
      <c r="G37" s="7" t="e">
        <f>'C2 lossy RA'!$BD$54:$BD$54</f>
        <v>#DIV/0!</v>
      </c>
      <c r="H37" s="7" t="e">
        <f>'C2 lossy RA'!$BE$54:$BE$54</f>
        <v>#DIV/0!</v>
      </c>
      <c r="I37" s="7" t="e">
        <f>'C2 lossy RA'!$BF$54:$BF$54</f>
        <v>#DIV/0!</v>
      </c>
    </row>
    <row r="38" spans="2:9" x14ac:dyDescent="0.15">
      <c r="B38" t="s">
        <v>11</v>
      </c>
      <c r="C38" s="112">
        <f>'C2 lossy RA'!AW56</f>
        <v>0</v>
      </c>
      <c r="D38" s="113"/>
      <c r="E38" s="113"/>
      <c r="F38" s="113"/>
      <c r="G38" s="113"/>
      <c r="H38" s="113"/>
      <c r="I38" s="113"/>
    </row>
    <row r="39" spans="2:9" x14ac:dyDescent="0.15">
      <c r="B39" s="9" t="s">
        <v>12</v>
      </c>
      <c r="C39" s="114">
        <f>'C2 lossy RA'!AX56</f>
        <v>0</v>
      </c>
      <c r="D39" s="115"/>
      <c r="E39" s="115"/>
      <c r="F39" s="115"/>
      <c r="G39" s="115"/>
      <c r="H39" s="115"/>
      <c r="I39" s="115"/>
    </row>
  </sheetData>
  <mergeCells count="15">
    <mergeCell ref="C1:E1"/>
    <mergeCell ref="C2:E2"/>
    <mergeCell ref="B6:B8"/>
    <mergeCell ref="B17:B19"/>
    <mergeCell ref="C17:I17"/>
    <mergeCell ref="C18:G18"/>
    <mergeCell ref="H18:I18"/>
    <mergeCell ref="C38:I38"/>
    <mergeCell ref="C39:I39"/>
    <mergeCell ref="C25:I25"/>
    <mergeCell ref="C26:I26"/>
    <mergeCell ref="B30:B32"/>
    <mergeCell ref="C30:I30"/>
    <mergeCell ref="C31:G31"/>
    <mergeCell ref="H31:I31"/>
  </mergeCells>
  <phoneticPr fontId="2" type="noConversion"/>
  <conditionalFormatting sqref="C20:C24">
    <cfRule type="cellIs" dxfId="197" priority="15" operator="greaterThanOrEqual">
      <formula>0.03</formula>
    </cfRule>
    <cfRule type="cellIs" dxfId="196" priority="16" operator="lessThanOrEqual">
      <formula>-0.03</formula>
    </cfRule>
  </conditionalFormatting>
  <conditionalFormatting sqref="C33:C37">
    <cfRule type="cellIs" dxfId="195" priority="17" operator="greaterThanOrEqual">
      <formula>0.03</formula>
    </cfRule>
    <cfRule type="cellIs" dxfId="194" priority="18" operator="lessThanOrEqual">
      <formula>-0.03</formula>
    </cfRule>
  </conditionalFormatting>
  <conditionalFormatting sqref="C9:C13">
    <cfRule type="cellIs" dxfId="193" priority="1" operator="greaterThanOrEqual">
      <formula>1.03</formula>
    </cfRule>
    <cfRule type="cellIs" dxfId="192" priority="2" operator="lessThanOrEqual">
      <formula>0.97</formula>
    </cfRule>
  </conditionalFormatting>
  <conditionalFormatting sqref="D20:D24">
    <cfRule type="cellIs" dxfId="191" priority="11" operator="greaterThanOrEqual">
      <formula>0.03</formula>
    </cfRule>
    <cfRule type="cellIs" dxfId="190" priority="12" operator="lessThanOrEqual">
      <formula>-0.03</formula>
    </cfRule>
  </conditionalFormatting>
  <conditionalFormatting sqref="D33:D37">
    <cfRule type="cellIs" dxfId="189" priority="21" operator="greaterThanOrEqual">
      <formula>0.03</formula>
    </cfRule>
    <cfRule type="cellIs" dxfId="188" priority="22" operator="lessThanOrEqual">
      <formula>-0.03</formula>
    </cfRule>
  </conditionalFormatting>
  <conditionalFormatting sqref="E20:E24">
    <cfRule type="cellIs" dxfId="187" priority="5" operator="greaterThanOrEqual">
      <formula>0.03</formula>
    </cfRule>
    <cfRule type="cellIs" dxfId="186" priority="6" operator="lessThanOrEqual">
      <formula>-0.03</formula>
    </cfRule>
  </conditionalFormatting>
  <conditionalFormatting sqref="E33:E37">
    <cfRule type="cellIs" dxfId="185" priority="25" operator="greaterThanOrEqual">
      <formula>0.03</formula>
    </cfRule>
    <cfRule type="cellIs" dxfId="184" priority="26" operator="lessThanOrEqual">
      <formula>-0.03</formula>
    </cfRule>
  </conditionalFormatting>
  <conditionalFormatting sqref="F20:F24">
    <cfRule type="cellIs" dxfId="183" priority="3" operator="greaterThanOrEqual">
      <formula>0.03</formula>
    </cfRule>
    <cfRule type="cellIs" dxfId="182" priority="4" operator="lessThanOrEqual">
      <formula>-0.03</formula>
    </cfRule>
  </conditionalFormatting>
  <conditionalFormatting sqref="F33:F37">
    <cfRule type="cellIs" dxfId="181" priority="29" operator="greaterThanOrEqual">
      <formula>0.03</formula>
    </cfRule>
    <cfRule type="cellIs" dxfId="180" priority="30" operator="lessThanOrEqual">
      <formula>-0.03</formula>
    </cfRule>
  </conditionalFormatting>
  <conditionalFormatting sqref="G20:G24">
    <cfRule type="cellIs" dxfId="179" priority="13" operator="greaterThanOrEqual">
      <formula>0.03</formula>
    </cfRule>
    <cfRule type="cellIs" dxfId="178" priority="14" operator="lessThanOrEqual">
      <formula>-0.03</formula>
    </cfRule>
  </conditionalFormatting>
  <conditionalFormatting sqref="G33:G37">
    <cfRule type="cellIs" dxfId="177" priority="19" operator="greaterThanOrEqual">
      <formula>0.03</formula>
    </cfRule>
    <cfRule type="cellIs" dxfId="176" priority="20" operator="lessThanOrEqual">
      <formula>-0.03</formula>
    </cfRule>
  </conditionalFormatting>
  <conditionalFormatting sqref="H20:H24">
    <cfRule type="cellIs" dxfId="175" priority="9" operator="greaterThanOrEqual">
      <formula>0.03</formula>
    </cfRule>
    <cfRule type="cellIs" dxfId="174" priority="10" operator="lessThanOrEqual">
      <formula>-0.03</formula>
    </cfRule>
  </conditionalFormatting>
  <conditionalFormatting sqref="H33:H37">
    <cfRule type="cellIs" dxfId="173" priority="23" operator="greaterThanOrEqual">
      <formula>0.03</formula>
    </cfRule>
    <cfRule type="cellIs" dxfId="172" priority="24" operator="lessThanOrEqual">
      <formula>-0.03</formula>
    </cfRule>
  </conditionalFormatting>
  <conditionalFormatting sqref="I20:I24">
    <cfRule type="cellIs" dxfId="171" priority="7" operator="greaterThanOrEqual">
      <formula>0.03</formula>
    </cfRule>
    <cfRule type="cellIs" dxfId="170" priority="8" operator="lessThanOrEqual">
      <formula>-0.03</formula>
    </cfRule>
  </conditionalFormatting>
  <conditionalFormatting sqref="I33:I37">
    <cfRule type="cellIs" dxfId="169" priority="27" operator="greaterThanOrEqual">
      <formula>0.03</formula>
    </cfRule>
    <cfRule type="cellIs" dxfId="168" priority="2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4"/>
  <sheetViews>
    <sheetView zoomScale="70" zoomScaleNormal="70" workbookViewId="0">
      <selection activeCell="B2" sqref="B2"/>
    </sheetView>
  </sheetViews>
  <sheetFormatPr defaultColWidth="9.125" defaultRowHeight="13.5" x14ac:dyDescent="0.15"/>
  <cols>
    <col min="1" max="1" width="12.75" customWidth="1"/>
    <col min="2" max="2" width="24.75" customWidth="1"/>
    <col min="4" max="4" width="24.75" customWidth="1"/>
    <col min="9" max="9" width="16.75" customWidth="1"/>
  </cols>
  <sheetData>
    <row r="1" spans="1:14" x14ac:dyDescent="0.15">
      <c r="A1" t="s">
        <v>26</v>
      </c>
      <c r="B1" s="12" t="s">
        <v>29</v>
      </c>
      <c r="C1" t="s">
        <v>27</v>
      </c>
      <c r="I1" t="s">
        <v>28</v>
      </c>
      <c r="M1" t="s">
        <v>29</v>
      </c>
      <c r="N1" t="s">
        <v>30</v>
      </c>
    </row>
    <row r="2" spans="1:14" x14ac:dyDescent="0.15">
      <c r="A2" t="s">
        <v>31</v>
      </c>
      <c r="B2" s="12" t="s">
        <v>428</v>
      </c>
      <c r="C2" t="s">
        <v>33</v>
      </c>
      <c r="I2" t="s">
        <v>34</v>
      </c>
      <c r="J2" t="s">
        <v>35</v>
      </c>
      <c r="M2" t="s">
        <v>436</v>
      </c>
      <c r="N2" t="s">
        <v>437</v>
      </c>
    </row>
    <row r="3" spans="1:14" x14ac:dyDescent="0.15">
      <c r="I3" t="s">
        <v>36</v>
      </c>
      <c r="J3" t="s">
        <v>37</v>
      </c>
      <c r="M3" t="s">
        <v>38</v>
      </c>
      <c r="N3" t="s">
        <v>38</v>
      </c>
    </row>
    <row r="4" spans="1:14" x14ac:dyDescent="0.15">
      <c r="A4" t="s">
        <v>39</v>
      </c>
      <c r="B4" s="12" t="s">
        <v>40</v>
      </c>
      <c r="C4" t="s">
        <v>41</v>
      </c>
      <c r="D4" s="12" t="s">
        <v>42</v>
      </c>
      <c r="E4" t="s">
        <v>43</v>
      </c>
      <c r="I4" t="s">
        <v>44</v>
      </c>
      <c r="J4" t="s">
        <v>45</v>
      </c>
      <c r="M4" t="s">
        <v>46</v>
      </c>
      <c r="N4" t="s">
        <v>46</v>
      </c>
    </row>
    <row r="5" spans="1:14" x14ac:dyDescent="0.15">
      <c r="A5" t="s">
        <v>39</v>
      </c>
      <c r="B5" s="12" t="s">
        <v>40</v>
      </c>
      <c r="C5" t="s">
        <v>41</v>
      </c>
      <c r="D5" s="12" t="s">
        <v>47</v>
      </c>
      <c r="E5" t="s">
        <v>48</v>
      </c>
      <c r="I5" t="s">
        <v>49</v>
      </c>
      <c r="J5" t="s">
        <v>50</v>
      </c>
      <c r="M5" t="s">
        <v>51</v>
      </c>
      <c r="N5" t="s">
        <v>51</v>
      </c>
    </row>
    <row r="6" spans="1:14" x14ac:dyDescent="0.15">
      <c r="A6" t="s">
        <v>39</v>
      </c>
      <c r="B6" s="12" t="s">
        <v>40</v>
      </c>
      <c r="C6" t="s">
        <v>41</v>
      </c>
      <c r="D6" s="12" t="s">
        <v>52</v>
      </c>
      <c r="E6" t="s">
        <v>53</v>
      </c>
      <c r="I6" t="s">
        <v>54</v>
      </c>
      <c r="J6" t="s">
        <v>55</v>
      </c>
      <c r="M6" t="s">
        <v>56</v>
      </c>
      <c r="N6" t="s">
        <v>56</v>
      </c>
    </row>
    <row r="7" spans="1:14" x14ac:dyDescent="0.15">
      <c r="A7" t="s">
        <v>39</v>
      </c>
      <c r="B7" s="12" t="s">
        <v>40</v>
      </c>
      <c r="C7" t="s">
        <v>41</v>
      </c>
      <c r="D7" s="12" t="s">
        <v>57</v>
      </c>
      <c r="E7" t="s">
        <v>58</v>
      </c>
      <c r="I7" t="s">
        <v>59</v>
      </c>
      <c r="J7" t="s">
        <v>60</v>
      </c>
      <c r="M7" t="s">
        <v>61</v>
      </c>
      <c r="N7" t="s">
        <v>61</v>
      </c>
    </row>
    <row r="8" spans="1:14" x14ac:dyDescent="0.15">
      <c r="A8" t="s">
        <v>39</v>
      </c>
      <c r="B8" s="12" t="s">
        <v>40</v>
      </c>
      <c r="C8" t="s">
        <v>41</v>
      </c>
      <c r="D8" s="12" t="s">
        <v>62</v>
      </c>
      <c r="E8" t="s">
        <v>63</v>
      </c>
      <c r="I8" t="s">
        <v>64</v>
      </c>
      <c r="J8" t="s">
        <v>65</v>
      </c>
      <c r="M8" t="s">
        <v>66</v>
      </c>
      <c r="N8" t="s">
        <v>66</v>
      </c>
    </row>
    <row r="9" spans="1:14" x14ac:dyDescent="0.15">
      <c r="A9" t="s">
        <v>39</v>
      </c>
      <c r="B9" s="12" t="s">
        <v>40</v>
      </c>
      <c r="C9" t="s">
        <v>41</v>
      </c>
      <c r="D9" s="12" t="s">
        <v>67</v>
      </c>
      <c r="E9" t="s">
        <v>68</v>
      </c>
      <c r="I9" t="s">
        <v>69</v>
      </c>
      <c r="J9" t="s">
        <v>70</v>
      </c>
      <c r="M9" t="s">
        <v>32</v>
      </c>
      <c r="N9" t="s">
        <v>32</v>
      </c>
    </row>
    <row r="10" spans="1:14" x14ac:dyDescent="0.15">
      <c r="A10" t="s">
        <v>39</v>
      </c>
      <c r="B10" s="12" t="s">
        <v>40</v>
      </c>
      <c r="C10" t="s">
        <v>41</v>
      </c>
      <c r="D10" s="12" t="s">
        <v>71</v>
      </c>
      <c r="E10" t="s">
        <v>72</v>
      </c>
      <c r="I10" t="s">
        <v>73</v>
      </c>
      <c r="J10" t="s">
        <v>74</v>
      </c>
      <c r="M10" t="s">
        <v>75</v>
      </c>
      <c r="N10" t="s">
        <v>75</v>
      </c>
    </row>
    <row r="11" spans="1:14" x14ac:dyDescent="0.15">
      <c r="I11" t="s">
        <v>52</v>
      </c>
      <c r="J11" t="s">
        <v>76</v>
      </c>
      <c r="M11" t="s">
        <v>428</v>
      </c>
      <c r="N11" t="s">
        <v>428</v>
      </c>
    </row>
    <row r="12" spans="1:14" x14ac:dyDescent="0.15">
      <c r="I12" t="s">
        <v>71</v>
      </c>
      <c r="J12" t="s">
        <v>77</v>
      </c>
    </row>
    <row r="13" spans="1:14" x14ac:dyDescent="0.15">
      <c r="I13" t="s">
        <v>78</v>
      </c>
      <c r="J13" t="s">
        <v>79</v>
      </c>
    </row>
    <row r="14" spans="1:14" x14ac:dyDescent="0.15">
      <c r="I14" t="s">
        <v>80</v>
      </c>
      <c r="J14" t="s">
        <v>81</v>
      </c>
    </row>
    <row r="15" spans="1:14" x14ac:dyDescent="0.15">
      <c r="I15" t="s">
        <v>82</v>
      </c>
      <c r="J15" t="s">
        <v>83</v>
      </c>
    </row>
    <row r="16" spans="1:14" x14ac:dyDescent="0.15">
      <c r="I16" t="s">
        <v>84</v>
      </c>
      <c r="J16" t="s">
        <v>85</v>
      </c>
    </row>
    <row r="17" spans="9:10" x14ac:dyDescent="0.15">
      <c r="I17" t="s">
        <v>62</v>
      </c>
      <c r="J17" t="s">
        <v>86</v>
      </c>
    </row>
    <row r="18" spans="9:10" x14ac:dyDescent="0.15">
      <c r="I18" t="s">
        <v>67</v>
      </c>
      <c r="J18" t="s">
        <v>87</v>
      </c>
    </row>
    <row r="19" spans="9:10" x14ac:dyDescent="0.15">
      <c r="I19" t="s">
        <v>42</v>
      </c>
      <c r="J19" t="s">
        <v>88</v>
      </c>
    </row>
    <row r="20" spans="9:10" x14ac:dyDescent="0.15">
      <c r="I20" t="s">
        <v>47</v>
      </c>
      <c r="J20" t="s">
        <v>89</v>
      </c>
    </row>
    <row r="21" spans="9:10" x14ac:dyDescent="0.15">
      <c r="I21" t="s">
        <v>57</v>
      </c>
      <c r="J21" t="s">
        <v>90</v>
      </c>
    </row>
    <row r="22" spans="9:10" x14ac:dyDescent="0.15">
      <c r="I22" t="s">
        <v>91</v>
      </c>
      <c r="J22" t="s">
        <v>92</v>
      </c>
    </row>
    <row r="23" spans="9:10" x14ac:dyDescent="0.15">
      <c r="I23" t="s">
        <v>93</v>
      </c>
      <c r="J23" t="s">
        <v>94</v>
      </c>
    </row>
    <row r="24" spans="9:10" x14ac:dyDescent="0.15">
      <c r="I24" t="s">
        <v>95</v>
      </c>
      <c r="J24" t="s">
        <v>96</v>
      </c>
    </row>
    <row r="25" spans="9:10" x14ac:dyDescent="0.15">
      <c r="I25" t="s">
        <v>97</v>
      </c>
      <c r="J25" t="s">
        <v>98</v>
      </c>
    </row>
    <row r="26" spans="9:10" x14ac:dyDescent="0.15">
      <c r="I26" t="s">
        <v>99</v>
      </c>
      <c r="J26" t="s">
        <v>100</v>
      </c>
    </row>
    <row r="27" spans="9:10" x14ac:dyDescent="0.15">
      <c r="I27" t="s">
        <v>101</v>
      </c>
      <c r="J27" t="s">
        <v>102</v>
      </c>
    </row>
    <row r="28" spans="9:10" x14ac:dyDescent="0.15">
      <c r="I28" t="s">
        <v>103</v>
      </c>
      <c r="J28" t="s">
        <v>104</v>
      </c>
    </row>
    <row r="29" spans="9:10" x14ac:dyDescent="0.15">
      <c r="I29" t="s">
        <v>105</v>
      </c>
      <c r="J29" t="s">
        <v>106</v>
      </c>
    </row>
    <row r="30" spans="9:10" x14ac:dyDescent="0.15">
      <c r="I30" t="s">
        <v>107</v>
      </c>
      <c r="J30" t="s">
        <v>108</v>
      </c>
    </row>
    <row r="31" spans="9:10" x14ac:dyDescent="0.15">
      <c r="I31" t="s">
        <v>109</v>
      </c>
      <c r="J31" t="s">
        <v>110</v>
      </c>
    </row>
    <row r="32" spans="9:10" x14ac:dyDescent="0.15">
      <c r="I32" t="s">
        <v>111</v>
      </c>
      <c r="J32" t="s">
        <v>112</v>
      </c>
    </row>
    <row r="33" spans="9:10" x14ac:dyDescent="0.15">
      <c r="I33" t="s">
        <v>113</v>
      </c>
      <c r="J33" t="s">
        <v>114</v>
      </c>
    </row>
    <row r="34" spans="9:10" x14ac:dyDescent="0.15">
      <c r="I34" t="s">
        <v>115</v>
      </c>
      <c r="J34" t="s">
        <v>116</v>
      </c>
    </row>
    <row r="35" spans="9:10" x14ac:dyDescent="0.15">
      <c r="I35" t="s">
        <v>117</v>
      </c>
      <c r="J35" t="s">
        <v>118</v>
      </c>
    </row>
    <row r="36" spans="9:10" x14ac:dyDescent="0.15">
      <c r="I36" t="s">
        <v>119</v>
      </c>
      <c r="J36" t="s">
        <v>120</v>
      </c>
    </row>
    <row r="37" spans="9:10" x14ac:dyDescent="0.15">
      <c r="I37" t="s">
        <v>121</v>
      </c>
      <c r="J37" t="s">
        <v>122</v>
      </c>
    </row>
    <row r="38" spans="9:10" x14ac:dyDescent="0.15">
      <c r="I38" t="s">
        <v>123</v>
      </c>
      <c r="J38" t="s">
        <v>124</v>
      </c>
    </row>
    <row r="39" spans="9:10" x14ac:dyDescent="0.15">
      <c r="I39" t="s">
        <v>125</v>
      </c>
      <c r="J39" t="s">
        <v>126</v>
      </c>
    </row>
    <row r="40" spans="9:10" x14ac:dyDescent="0.15">
      <c r="I40" t="s">
        <v>40</v>
      </c>
      <c r="J40" t="s">
        <v>127</v>
      </c>
    </row>
    <row r="41" spans="9:10" x14ac:dyDescent="0.15">
      <c r="I41" t="s">
        <v>128</v>
      </c>
      <c r="J41" t="s">
        <v>129</v>
      </c>
    </row>
    <row r="42" spans="9:10" x14ac:dyDescent="0.15">
      <c r="I42" t="s">
        <v>130</v>
      </c>
      <c r="J42" t="s">
        <v>131</v>
      </c>
    </row>
    <row r="43" spans="9:10" x14ac:dyDescent="0.15">
      <c r="I43" t="s">
        <v>132</v>
      </c>
      <c r="J43" t="s">
        <v>133</v>
      </c>
    </row>
    <row r="44" spans="9:10" x14ac:dyDescent="0.15">
      <c r="I44" t="s">
        <v>134</v>
      </c>
      <c r="J44" t="s">
        <v>135</v>
      </c>
    </row>
    <row r="45" spans="9:10" x14ac:dyDescent="0.15">
      <c r="I45" t="s">
        <v>136</v>
      </c>
      <c r="J45" t="s">
        <v>137</v>
      </c>
    </row>
    <row r="46" spans="9:10" x14ac:dyDescent="0.15">
      <c r="I46" t="s">
        <v>138</v>
      </c>
      <c r="J46" t="s">
        <v>139</v>
      </c>
    </row>
    <row r="47" spans="9:10" x14ac:dyDescent="0.15">
      <c r="I47" t="s">
        <v>140</v>
      </c>
      <c r="J47" t="s">
        <v>141</v>
      </c>
    </row>
    <row r="48" spans="9:10" x14ac:dyDescent="0.15">
      <c r="I48" t="s">
        <v>142</v>
      </c>
      <c r="J48" t="s">
        <v>143</v>
      </c>
    </row>
    <row r="49" spans="9:10" x14ac:dyDescent="0.15">
      <c r="I49" t="s">
        <v>144</v>
      </c>
      <c r="J49" t="s">
        <v>145</v>
      </c>
    </row>
    <row r="50" spans="9:10" x14ac:dyDescent="0.15">
      <c r="I50" t="s">
        <v>146</v>
      </c>
      <c r="J50" t="s">
        <v>147</v>
      </c>
    </row>
    <row r="51" spans="9:10" x14ac:dyDescent="0.15">
      <c r="I51" t="s">
        <v>393</v>
      </c>
      <c r="J51" t="s">
        <v>389</v>
      </c>
    </row>
    <row r="52" spans="9:10" x14ac:dyDescent="0.15">
      <c r="I52" t="s">
        <v>394</v>
      </c>
      <c r="J52" t="s">
        <v>390</v>
      </c>
    </row>
    <row r="53" spans="9:10" x14ac:dyDescent="0.15">
      <c r="I53" t="s">
        <v>371</v>
      </c>
      <c r="J53" t="s">
        <v>391</v>
      </c>
    </row>
    <row r="54" spans="9:10" x14ac:dyDescent="0.15">
      <c r="I54" t="s">
        <v>395</v>
      </c>
      <c r="J54" t="s">
        <v>392</v>
      </c>
    </row>
  </sheetData>
  <phoneticPr fontId="2" type="noConversion"/>
  <conditionalFormatting sqref="B2">
    <cfRule type="expression" dxfId="167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166" priority="2">
      <formula>ISNA(MATCH(B4,filter_cols,0))</formula>
    </cfRule>
  </conditionalFormatting>
  <dataValidations count="3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:B10 D4:D10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X30"/>
  <sheetViews>
    <sheetView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L13" sqref="L13:M13"/>
    </sheetView>
  </sheetViews>
  <sheetFormatPr defaultColWidth="9.125" defaultRowHeight="13.5" x14ac:dyDescent="0.15"/>
  <cols>
    <col min="2" max="2" width="24.75" customWidth="1"/>
    <col min="3" max="4" width="10.75" customWidth="1"/>
    <col min="7" max="7" width="1.75" customWidth="1"/>
    <col min="9" max="9" width="10.75" customWidth="1"/>
    <col min="10" max="11" width="12.75" customWidth="1"/>
    <col min="14" max="14" width="1.75" customWidth="1"/>
    <col min="16" max="16" width="10.75" customWidth="1"/>
    <col min="17" max="18" width="12.75" customWidth="1"/>
    <col min="21" max="21" width="1.75" customWidth="1"/>
    <col min="23" max="23" width="1.75" customWidth="1"/>
  </cols>
  <sheetData>
    <row r="1" spans="1:24" x14ac:dyDescent="0.15">
      <c r="A1" s="125" t="s">
        <v>148</v>
      </c>
      <c r="B1" s="113"/>
      <c r="C1" s="113"/>
      <c r="D1" s="113"/>
      <c r="E1" s="113"/>
      <c r="F1" s="113"/>
      <c r="H1" s="121" t="str">
        <f>Summary!C1</f>
        <v>F032_v8.0</v>
      </c>
      <c r="I1" s="113"/>
      <c r="J1" s="113"/>
      <c r="K1" s="113"/>
      <c r="L1" s="113"/>
      <c r="M1" s="113"/>
      <c r="O1" s="122">
        <f>Summary!C2</f>
        <v>0</v>
      </c>
      <c r="P1" s="113"/>
      <c r="Q1" s="113"/>
      <c r="R1" s="113"/>
      <c r="S1" s="113"/>
      <c r="T1" s="113"/>
    </row>
    <row r="2" spans="1:24" ht="30" customHeight="1" thickBot="1" x14ac:dyDescent="0.2">
      <c r="A2" s="124" t="s">
        <v>149</v>
      </c>
      <c r="B2" s="123" t="s">
        <v>150</v>
      </c>
      <c r="C2" s="124" t="s">
        <v>151</v>
      </c>
      <c r="D2" s="123" t="s">
        <v>152</v>
      </c>
      <c r="E2" s="124" t="s">
        <v>153</v>
      </c>
      <c r="F2" s="123" t="s">
        <v>154</v>
      </c>
      <c r="H2" s="124" t="s">
        <v>127</v>
      </c>
      <c r="I2" s="123" t="s">
        <v>131</v>
      </c>
      <c r="J2" s="124" t="s">
        <v>120</v>
      </c>
      <c r="K2" s="87" t="s">
        <v>155</v>
      </c>
      <c r="L2" s="123" t="s">
        <v>122</v>
      </c>
      <c r="M2" s="124" t="s">
        <v>102</v>
      </c>
      <c r="O2" s="123" t="s">
        <v>127</v>
      </c>
      <c r="P2" s="124" t="s">
        <v>131</v>
      </c>
      <c r="Q2" s="123" t="s">
        <v>120</v>
      </c>
      <c r="R2" s="87" t="s">
        <v>155</v>
      </c>
      <c r="S2" s="124" t="s">
        <v>122</v>
      </c>
      <c r="T2" s="123" t="s">
        <v>102</v>
      </c>
      <c r="V2" s="124" t="s">
        <v>156</v>
      </c>
      <c r="X2" s="124" t="s">
        <v>157</v>
      </c>
    </row>
    <row r="3" spans="1:24" ht="15.75" customHeight="1" thickBot="1" x14ac:dyDescent="0.2">
      <c r="A3" s="115"/>
      <c r="B3" s="115"/>
      <c r="C3" s="115"/>
      <c r="D3" s="115"/>
      <c r="E3" s="115"/>
      <c r="F3" s="115"/>
      <c r="H3" s="115"/>
      <c r="I3" s="115"/>
      <c r="J3" s="115"/>
      <c r="K3" s="13" t="s">
        <v>424</v>
      </c>
      <c r="L3" s="115"/>
      <c r="M3" s="115"/>
      <c r="O3" s="115"/>
      <c r="P3" s="115"/>
      <c r="Q3" s="115"/>
      <c r="R3" s="13" t="s">
        <v>424</v>
      </c>
      <c r="S3" s="115"/>
      <c r="T3" s="115"/>
      <c r="V3" s="115"/>
      <c r="X3" s="115"/>
    </row>
    <row r="4" spans="1:24" ht="48.75" hidden="1" customHeight="1" thickBot="1" x14ac:dyDescent="0.2">
      <c r="A4" s="15" t="s">
        <v>158</v>
      </c>
      <c r="B4" s="16" t="s">
        <v>159</v>
      </c>
      <c r="C4" s="15" t="s">
        <v>160</v>
      </c>
      <c r="D4" s="16" t="s">
        <v>161</v>
      </c>
      <c r="E4" s="15" t="s">
        <v>162</v>
      </c>
      <c r="F4" s="16" t="s">
        <v>163</v>
      </c>
      <c r="H4" s="15" t="s">
        <v>164</v>
      </c>
      <c r="I4" s="16" t="s">
        <v>165</v>
      </c>
      <c r="J4" s="15" t="s">
        <v>166</v>
      </c>
      <c r="K4" s="15"/>
      <c r="L4" s="16" t="s">
        <v>167</v>
      </c>
      <c r="M4" s="15" t="s">
        <v>168</v>
      </c>
      <c r="O4" s="16" t="s">
        <v>169</v>
      </c>
      <c r="P4" s="15" t="s">
        <v>170</v>
      </c>
      <c r="Q4" s="16" t="s">
        <v>171</v>
      </c>
      <c r="R4" s="16"/>
      <c r="S4" s="15" t="s">
        <v>172</v>
      </c>
      <c r="T4" s="16" t="s">
        <v>173</v>
      </c>
      <c r="V4" s="15" t="s">
        <v>174</v>
      </c>
    </row>
    <row r="5" spans="1:24" collapsed="1" x14ac:dyDescent="0.15">
      <c r="A5" s="17" t="s">
        <v>175</v>
      </c>
      <c r="B5" s="17" t="s">
        <v>38</v>
      </c>
      <c r="C5" s="17">
        <v>11997440</v>
      </c>
      <c r="D5" s="18">
        <v>10</v>
      </c>
      <c r="E5" s="19">
        <v>32</v>
      </c>
      <c r="F5" s="19">
        <v>30</v>
      </c>
      <c r="H5" s="20">
        <f t="shared" ref="H5:H13" si="0">IF(OR(ISBLANK(J5),ISBLANK(F5)),"·",J5*F5/E5/1000000)</f>
        <v>852.76518750000002</v>
      </c>
      <c r="I5" s="21">
        <f t="shared" ref="I5:I13" si="1">IF(ISBLANK(J5),"·",J5/C5)</f>
        <v>75.817524405206441</v>
      </c>
      <c r="J5" s="22">
        <v>909616200</v>
      </c>
      <c r="K5" s="22">
        <v>13658552</v>
      </c>
      <c r="L5" s="23">
        <v>1150.1487340000001</v>
      </c>
      <c r="M5" s="23">
        <v>20.646644999999999</v>
      </c>
      <c r="O5" s="20" t="str">
        <f t="shared" ref="O5:O13" si="2">IF(OR(ISBLANK(Q5),ISBLANK(F5)),"·",Q5*F5/E5/1000000)</f>
        <v>·</v>
      </c>
      <c r="P5" s="21" t="str">
        <f t="shared" ref="P5:P13" si="3">IF(ISBLANK(Q5),"·",Q5/C5)</f>
        <v>·</v>
      </c>
      <c r="Q5" s="22"/>
      <c r="R5" s="22"/>
      <c r="S5" s="23"/>
      <c r="T5" s="23"/>
      <c r="V5" s="24" t="e">
        <f t="shared" ref="V5:V18" si="4">P5/I5</f>
        <v>#VALUE!</v>
      </c>
      <c r="X5" s="24" t="str">
        <f t="shared" ref="X5:X13" si="5">IF(OR(ISBLANK(R5),ISBLANK(K5)),".",R5/K5-1)</f>
        <v>.</v>
      </c>
    </row>
    <row r="6" spans="1:24" ht="15.75" customHeight="1" collapsed="1" thickBot="1" x14ac:dyDescent="0.2">
      <c r="A6" s="25"/>
      <c r="B6" s="25" t="s">
        <v>46</v>
      </c>
      <c r="C6" s="25">
        <v>9000000</v>
      </c>
      <c r="D6" s="26">
        <v>10</v>
      </c>
      <c r="E6" s="27">
        <v>32</v>
      </c>
      <c r="F6" s="27">
        <v>30</v>
      </c>
      <c r="H6" s="28">
        <f t="shared" si="0"/>
        <v>630.77844000000005</v>
      </c>
      <c r="I6" s="29">
        <f t="shared" si="1"/>
        <v>74.758926222222229</v>
      </c>
      <c r="J6" s="30">
        <v>672830336</v>
      </c>
      <c r="K6" s="30">
        <v>14462208</v>
      </c>
      <c r="L6" s="31">
        <v>870.74805500000002</v>
      </c>
      <c r="M6" s="31">
        <v>22.456032</v>
      </c>
      <c r="O6" s="28" t="str">
        <f t="shared" si="2"/>
        <v>·</v>
      </c>
      <c r="P6" s="29" t="str">
        <f t="shared" si="3"/>
        <v>·</v>
      </c>
      <c r="Q6" s="30"/>
      <c r="R6" s="30"/>
      <c r="S6" s="31"/>
      <c r="T6" s="31"/>
      <c r="V6" s="32" t="e">
        <f t="shared" si="4"/>
        <v>#VALUE!</v>
      </c>
      <c r="X6" s="32" t="str">
        <f t="shared" si="5"/>
        <v>.</v>
      </c>
    </row>
    <row r="7" spans="1:24" collapsed="1" x14ac:dyDescent="0.15">
      <c r="A7" s="17" t="s">
        <v>176</v>
      </c>
      <c r="B7" s="17" t="s">
        <v>51</v>
      </c>
      <c r="C7" s="17">
        <v>11842002</v>
      </c>
      <c r="D7" s="18">
        <v>12</v>
      </c>
      <c r="E7" s="19">
        <v>32</v>
      </c>
      <c r="F7" s="19">
        <v>30</v>
      </c>
      <c r="H7" s="20">
        <f t="shared" si="0"/>
        <v>597.40883250000002</v>
      </c>
      <c r="I7" s="21">
        <f t="shared" si="1"/>
        <v>53.811516667536452</v>
      </c>
      <c r="J7" s="22">
        <v>637236088</v>
      </c>
      <c r="K7" s="22">
        <v>16214464</v>
      </c>
      <c r="L7" s="23">
        <v>832.94126600000004</v>
      </c>
      <c r="M7" s="23">
        <v>21.261240000000001</v>
      </c>
      <c r="O7" s="20" t="str">
        <f t="shared" si="2"/>
        <v>·</v>
      </c>
      <c r="P7" s="21" t="str">
        <f t="shared" si="3"/>
        <v>·</v>
      </c>
      <c r="Q7" s="22"/>
      <c r="R7" s="22"/>
      <c r="S7" s="23"/>
      <c r="T7" s="23"/>
      <c r="V7" s="24" t="e">
        <f t="shared" si="4"/>
        <v>#VALUE!</v>
      </c>
      <c r="X7" s="24" t="str">
        <f t="shared" si="5"/>
        <v>.</v>
      </c>
    </row>
    <row r="8" spans="1:24" ht="15.75" customHeight="1" collapsed="1" thickBot="1" x14ac:dyDescent="0.2">
      <c r="A8" s="25"/>
      <c r="B8" s="25" t="s">
        <v>56</v>
      </c>
      <c r="C8" s="25">
        <v>11812090</v>
      </c>
      <c r="D8" s="26">
        <v>12</v>
      </c>
      <c r="E8" s="27">
        <v>32</v>
      </c>
      <c r="F8" s="27">
        <v>50</v>
      </c>
      <c r="H8" s="28">
        <f t="shared" si="0"/>
        <v>972.73522500000001</v>
      </c>
      <c r="I8" s="29">
        <f t="shared" si="1"/>
        <v>52.704520876491799</v>
      </c>
      <c r="J8" s="30">
        <v>622550544</v>
      </c>
      <c r="K8" s="30">
        <v>16022448</v>
      </c>
      <c r="L8" s="31">
        <v>1154.0464039999999</v>
      </c>
      <c r="M8" s="31">
        <v>21.449752</v>
      </c>
      <c r="O8" s="28" t="str">
        <f t="shared" si="2"/>
        <v>·</v>
      </c>
      <c r="P8" s="29" t="str">
        <f t="shared" si="3"/>
        <v>·</v>
      </c>
      <c r="Q8" s="30"/>
      <c r="R8" s="30"/>
      <c r="S8" s="31"/>
      <c r="T8" s="31"/>
      <c r="V8" s="32" t="e">
        <f t="shared" si="4"/>
        <v>#VALUE!</v>
      </c>
      <c r="X8" s="32" t="str">
        <f t="shared" si="5"/>
        <v>.</v>
      </c>
    </row>
    <row r="9" spans="1:24" collapsed="1" x14ac:dyDescent="0.15">
      <c r="A9" s="17" t="s">
        <v>177</v>
      </c>
      <c r="B9" s="17" t="s">
        <v>61</v>
      </c>
      <c r="C9" s="17">
        <v>12000000</v>
      </c>
      <c r="D9" s="18">
        <v>12</v>
      </c>
      <c r="E9" s="19">
        <v>32</v>
      </c>
      <c r="F9" s="19">
        <v>30</v>
      </c>
      <c r="H9" s="20">
        <f t="shared" si="0"/>
        <v>2868.3425625</v>
      </c>
      <c r="I9" s="21">
        <f t="shared" si="1"/>
        <v>254.96378333333334</v>
      </c>
      <c r="J9" s="22">
        <v>3059565400</v>
      </c>
      <c r="K9" s="22">
        <v>17861760</v>
      </c>
      <c r="L9" s="23">
        <v>3759.6704960000002</v>
      </c>
      <c r="M9" s="23">
        <v>67.533931999999993</v>
      </c>
      <c r="O9" s="20" t="str">
        <f t="shared" si="2"/>
        <v>·</v>
      </c>
      <c r="P9" s="21" t="str">
        <f t="shared" si="3"/>
        <v>·</v>
      </c>
      <c r="Q9" s="22"/>
      <c r="R9" s="22"/>
      <c r="S9" s="23"/>
      <c r="T9" s="23"/>
      <c r="V9" s="24" t="e">
        <f t="shared" si="4"/>
        <v>#VALUE!</v>
      </c>
      <c r="X9" s="24" t="str">
        <f t="shared" si="5"/>
        <v>.</v>
      </c>
    </row>
    <row r="10" spans="1:24" collapsed="1" x14ac:dyDescent="0.15">
      <c r="A10" s="33"/>
      <c r="B10" s="33" t="s">
        <v>66</v>
      </c>
      <c r="C10" s="33">
        <v>5997654</v>
      </c>
      <c r="D10" s="34">
        <v>12</v>
      </c>
      <c r="E10" s="35">
        <v>32</v>
      </c>
      <c r="F10" s="35">
        <v>30</v>
      </c>
      <c r="H10" s="36">
        <f t="shared" si="0"/>
        <v>2416.7685900000001</v>
      </c>
      <c r="I10" s="37">
        <f t="shared" si="1"/>
        <v>429.8158073139931</v>
      </c>
      <c r="J10" s="38">
        <v>2577886496</v>
      </c>
      <c r="K10" s="38">
        <v>25930072</v>
      </c>
      <c r="L10" s="39">
        <v>4748.478701</v>
      </c>
      <c r="M10" s="39">
        <v>78.907995</v>
      </c>
      <c r="O10" s="36" t="str">
        <f t="shared" si="2"/>
        <v>·</v>
      </c>
      <c r="P10" s="37" t="str">
        <f t="shared" si="3"/>
        <v>·</v>
      </c>
      <c r="Q10" s="38"/>
      <c r="R10" s="38"/>
      <c r="S10" s="39"/>
      <c r="T10" s="39"/>
      <c r="V10" s="40" t="e">
        <f t="shared" si="4"/>
        <v>#VALUE!</v>
      </c>
      <c r="X10" s="40" t="str">
        <f t="shared" si="5"/>
        <v>.</v>
      </c>
    </row>
    <row r="11" spans="1:24" collapsed="1" x14ac:dyDescent="0.15">
      <c r="A11" s="17"/>
      <c r="B11" s="17" t="s">
        <v>32</v>
      </c>
      <c r="C11" s="17">
        <v>9000000</v>
      </c>
      <c r="D11" s="18">
        <v>12</v>
      </c>
      <c r="E11" s="19">
        <v>32</v>
      </c>
      <c r="F11" s="19">
        <v>30</v>
      </c>
      <c r="H11" s="20">
        <f t="shared" si="0"/>
        <v>3549.9826724999998</v>
      </c>
      <c r="I11" s="21">
        <f t="shared" si="1"/>
        <v>420.73868711111112</v>
      </c>
      <c r="J11" s="22">
        <v>3786648184</v>
      </c>
      <c r="K11" s="22">
        <v>14563784</v>
      </c>
      <c r="L11" s="23">
        <v>3569.8419509999999</v>
      </c>
      <c r="M11" s="23">
        <v>69.080282999999994</v>
      </c>
      <c r="O11" s="20" t="str">
        <f t="shared" si="2"/>
        <v>·</v>
      </c>
      <c r="P11" s="21" t="str">
        <f t="shared" si="3"/>
        <v>·</v>
      </c>
      <c r="Q11" s="22"/>
      <c r="R11" s="22"/>
      <c r="S11" s="23"/>
      <c r="T11" s="23"/>
      <c r="V11" s="24" t="e">
        <f t="shared" si="4"/>
        <v>#VALUE!</v>
      </c>
      <c r="X11" s="24" t="str">
        <f t="shared" si="5"/>
        <v>.</v>
      </c>
    </row>
    <row r="12" spans="1:24" ht="15.75" customHeight="1" collapsed="1" thickBot="1" x14ac:dyDescent="0.2">
      <c r="A12" s="25"/>
      <c r="B12" s="25" t="s">
        <v>75</v>
      </c>
      <c r="C12" s="25">
        <v>9000000</v>
      </c>
      <c r="D12" s="26">
        <v>12</v>
      </c>
      <c r="E12" s="27">
        <v>32</v>
      </c>
      <c r="F12" s="27">
        <v>30</v>
      </c>
      <c r="H12" s="28">
        <f t="shared" si="0"/>
        <v>2569.448985</v>
      </c>
      <c r="I12" s="29">
        <f t="shared" si="1"/>
        <v>304.52728711111109</v>
      </c>
      <c r="J12" s="30">
        <v>2740745584</v>
      </c>
      <c r="K12" s="30">
        <v>13985464</v>
      </c>
      <c r="L12" s="31">
        <v>3252.7289409999998</v>
      </c>
      <c r="M12" s="31">
        <v>59.800998</v>
      </c>
      <c r="O12" s="28" t="str">
        <f t="shared" si="2"/>
        <v>·</v>
      </c>
      <c r="P12" s="29" t="str">
        <f t="shared" si="3"/>
        <v>·</v>
      </c>
      <c r="Q12" s="30"/>
      <c r="R12" s="30"/>
      <c r="S12" s="31"/>
      <c r="T12" s="31"/>
      <c r="V12" s="32" t="e">
        <f t="shared" si="4"/>
        <v>#VALUE!</v>
      </c>
      <c r="X12" s="32" t="str">
        <f t="shared" si="5"/>
        <v>.</v>
      </c>
    </row>
    <row r="13" spans="1:24" ht="15.75" customHeight="1" thickBot="1" x14ac:dyDescent="0.2">
      <c r="A13" s="105" t="s">
        <v>427</v>
      </c>
      <c r="B13" s="105" t="s">
        <v>428</v>
      </c>
      <c r="C13" s="105">
        <v>199984</v>
      </c>
      <c r="D13" s="106">
        <v>10</v>
      </c>
      <c r="E13" s="107">
        <v>1</v>
      </c>
      <c r="F13" s="107">
        <v>30</v>
      </c>
      <c r="H13" s="108">
        <f t="shared" si="0"/>
        <v>946.59551999999996</v>
      </c>
      <c r="I13" s="109">
        <f t="shared" si="1"/>
        <v>157.77854228338268</v>
      </c>
      <c r="J13" s="110">
        <v>31553184</v>
      </c>
      <c r="K13" s="110">
        <v>2166640</v>
      </c>
      <c r="L13" s="111">
        <v>49.457872000000002</v>
      </c>
      <c r="M13" s="111">
        <v>1.151589</v>
      </c>
      <c r="O13" s="108" t="str">
        <f t="shared" si="2"/>
        <v>·</v>
      </c>
      <c r="P13" s="29" t="str">
        <f t="shared" si="3"/>
        <v>·</v>
      </c>
      <c r="Q13" s="110"/>
      <c r="R13" s="110"/>
      <c r="S13" s="111"/>
      <c r="T13" s="111"/>
      <c r="V13" s="32" t="e">
        <f t="shared" si="4"/>
        <v>#VALUE!</v>
      </c>
      <c r="X13" s="32" t="str">
        <f t="shared" si="5"/>
        <v>.</v>
      </c>
    </row>
    <row r="14" spans="1:24" x14ac:dyDescent="0.15">
      <c r="B14" s="41" t="s">
        <v>7</v>
      </c>
      <c r="I14" s="42">
        <f>AVERAGE(I5:I6)</f>
        <v>75.288225313714335</v>
      </c>
      <c r="P14" s="42" t="e">
        <f>AVERAGE(P5:P6)</f>
        <v>#DIV/0!</v>
      </c>
      <c r="V14" s="5" t="e">
        <f t="shared" si="4"/>
        <v>#DIV/0!</v>
      </c>
      <c r="X14" s="42" t="e">
        <f>AVERAGE(X5:X6)</f>
        <v>#DIV/0!</v>
      </c>
    </row>
    <row r="15" spans="1:24" x14ac:dyDescent="0.15">
      <c r="B15" s="41" t="s">
        <v>8</v>
      </c>
      <c r="I15" s="42">
        <f>AVERAGE(I7:I8)</f>
        <v>53.258018772014125</v>
      </c>
      <c r="P15" s="42" t="e">
        <f>AVERAGE(P7:P8)</f>
        <v>#DIV/0!</v>
      </c>
      <c r="V15" s="5" t="e">
        <f t="shared" si="4"/>
        <v>#DIV/0!</v>
      </c>
      <c r="X15" s="42" t="e">
        <f>AVERAGE(X7:X8)</f>
        <v>#DIV/0!</v>
      </c>
    </row>
    <row r="16" spans="1:24" x14ac:dyDescent="0.15">
      <c r="B16" s="41" t="s">
        <v>9</v>
      </c>
      <c r="I16" s="42">
        <f>AVERAGE(I9:I12)</f>
        <v>352.51139121738714</v>
      </c>
      <c r="P16" s="42" t="e">
        <f>AVERAGE(P9:P12)</f>
        <v>#DIV/0!</v>
      </c>
      <c r="V16" s="5" t="e">
        <f t="shared" si="4"/>
        <v>#DIV/0!</v>
      </c>
      <c r="X16" s="42" t="e">
        <f>AVERAGE(X9:X12)</f>
        <v>#DIV/0!</v>
      </c>
    </row>
    <row r="17" spans="1:24" x14ac:dyDescent="0.15">
      <c r="B17" s="41" t="s">
        <v>429</v>
      </c>
      <c r="I17" s="42">
        <f>AVERAGE(I13)</f>
        <v>157.77854228338268</v>
      </c>
      <c r="P17" s="42" t="e">
        <f>AVERAGE(P13)</f>
        <v>#DIV/0!</v>
      </c>
      <c r="V17" s="5" t="e">
        <f>P17/I17</f>
        <v>#DIV/0!</v>
      </c>
      <c r="X17" s="42" t="e">
        <f>AVERAGE(X10:X13)</f>
        <v>#DIV/0!</v>
      </c>
    </row>
    <row r="18" spans="1:24" x14ac:dyDescent="0.15">
      <c r="B18" s="41" t="s">
        <v>10</v>
      </c>
      <c r="I18" s="42">
        <f>AVERAGE(I5:I13)</f>
        <v>202.7685105915987</v>
      </c>
      <c r="P18" s="42" t="e">
        <f>AVERAGE(P5:P13)</f>
        <v>#DIV/0!</v>
      </c>
      <c r="V18" s="5" t="e">
        <f t="shared" si="4"/>
        <v>#DIV/0!</v>
      </c>
      <c r="X18" s="42" t="e">
        <f>AVERAGE(X5:X12)</f>
        <v>#DIV/0!</v>
      </c>
    </row>
    <row r="19" spans="1:24" x14ac:dyDescent="0.15">
      <c r="A19" s="41" t="s">
        <v>178</v>
      </c>
      <c r="B19" s="41" t="s">
        <v>179</v>
      </c>
      <c r="L19" s="43">
        <f>SUM(L5:L6,L7:L8,L9:L12)</f>
        <v>19338.604547999999</v>
      </c>
      <c r="M19" s="43">
        <f>SUM(M5:M6,M7:M8,M9:M12)</f>
        <v>361.13687699999997</v>
      </c>
      <c r="S19" s="43">
        <f>SUM(S5:S6,S7:S8,S9:S12)</f>
        <v>0</v>
      </c>
      <c r="T19" s="43">
        <f>SUM(T5:T6,T7:T8,T9:T12)</f>
        <v>0</v>
      </c>
    </row>
    <row r="20" spans="1:24" x14ac:dyDescent="0.15">
      <c r="B20" s="41" t="s">
        <v>180</v>
      </c>
      <c r="S20" s="8">
        <f>S19/L19</f>
        <v>0</v>
      </c>
      <c r="T20" s="8">
        <f>T19/M19</f>
        <v>0</v>
      </c>
    </row>
    <row r="22" spans="1:24" x14ac:dyDescent="0.15">
      <c r="Q22" s="98">
        <f>Q5-J5</f>
        <v>-909616200</v>
      </c>
      <c r="R22" s="98">
        <f>R5-K5</f>
        <v>-13658552</v>
      </c>
    </row>
    <row r="23" spans="1:24" x14ac:dyDescent="0.15">
      <c r="Q23" s="98">
        <f t="shared" ref="Q23:R23" si="6">Q6-J6</f>
        <v>-672830336</v>
      </c>
      <c r="R23" s="98">
        <f t="shared" si="6"/>
        <v>-14462208</v>
      </c>
    </row>
    <row r="24" spans="1:24" x14ac:dyDescent="0.15">
      <c r="Q24" s="98">
        <f t="shared" ref="Q24:R24" si="7">Q7-J7</f>
        <v>-637236088</v>
      </c>
      <c r="R24" s="98">
        <f t="shared" si="7"/>
        <v>-16214464</v>
      </c>
    </row>
    <row r="25" spans="1:24" x14ac:dyDescent="0.15">
      <c r="Q25" s="98">
        <f t="shared" ref="Q25:R25" si="8">Q8-J8</f>
        <v>-622550544</v>
      </c>
      <c r="R25" s="98">
        <f t="shared" si="8"/>
        <v>-16022448</v>
      </c>
    </row>
    <row r="26" spans="1:24" x14ac:dyDescent="0.15">
      <c r="Q26" s="98">
        <f t="shared" ref="Q26:R26" si="9">Q9-J9</f>
        <v>-3059565400</v>
      </c>
      <c r="R26" s="98">
        <f t="shared" si="9"/>
        <v>-17861760</v>
      </c>
    </row>
    <row r="27" spans="1:24" x14ac:dyDescent="0.15">
      <c r="Q27" s="98">
        <f t="shared" ref="Q27:R27" si="10">Q10-J10</f>
        <v>-2577886496</v>
      </c>
      <c r="R27" s="98">
        <f t="shared" si="10"/>
        <v>-25930072</v>
      </c>
    </row>
    <row r="28" spans="1:24" x14ac:dyDescent="0.15">
      <c r="Q28" s="98">
        <f t="shared" ref="Q28:R28" si="11">Q11-J11</f>
        <v>-3786648184</v>
      </c>
      <c r="R28" s="98">
        <f t="shared" si="11"/>
        <v>-14563784</v>
      </c>
    </row>
    <row r="29" spans="1:24" x14ac:dyDescent="0.15">
      <c r="Q29" s="98">
        <f t="shared" ref="Q29:R29" si="12">Q12-J12</f>
        <v>-2740745584</v>
      </c>
      <c r="R29" s="98">
        <f t="shared" si="12"/>
        <v>-13985464</v>
      </c>
    </row>
    <row r="30" spans="1:24" x14ac:dyDescent="0.15">
      <c r="Q30" s="98"/>
      <c r="R30" s="98"/>
    </row>
  </sheetData>
  <mergeCells count="21">
    <mergeCell ref="A1:F1"/>
    <mergeCell ref="H1:M1"/>
    <mergeCell ref="O1:T1"/>
    <mergeCell ref="M2:M3"/>
    <mergeCell ref="O2:O3"/>
    <mergeCell ref="P2:P3"/>
    <mergeCell ref="Q2:Q3"/>
    <mergeCell ref="S2:S3"/>
    <mergeCell ref="F2:F3"/>
    <mergeCell ref="H2:H3"/>
    <mergeCell ref="I2:I3"/>
    <mergeCell ref="J2:J3"/>
    <mergeCell ref="L2:L3"/>
    <mergeCell ref="A2:A3"/>
    <mergeCell ref="B2:B3"/>
    <mergeCell ref="C2:C3"/>
    <mergeCell ref="D2:D3"/>
    <mergeCell ref="E2:E3"/>
    <mergeCell ref="T2:T3"/>
    <mergeCell ref="X2:X3"/>
    <mergeCell ref="V2:V3"/>
  </mergeCells>
  <phoneticPr fontId="2" type="noConversion"/>
  <conditionalFormatting sqref="V5:V18">
    <cfRule type="cellIs" dxfId="165" priority="5" operator="greaterThanOrEqual">
      <formula>1.03</formula>
    </cfRule>
    <cfRule type="cellIs" dxfId="164" priority="6" operator="lessThanOrEqual">
      <formula>0.97</formula>
    </cfRule>
  </conditionalFormatting>
  <conditionalFormatting sqref="X5:X13">
    <cfRule type="cellIs" dxfId="163" priority="3" operator="greaterThanOrEqual">
      <formula>0.1%</formula>
    </cfRule>
    <cfRule type="cellIs" dxfId="162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8"/>
  <sheetViews>
    <sheetView topLeftCell="A130" workbookViewId="0">
      <selection activeCell="A155" sqref="A155"/>
    </sheetView>
  </sheetViews>
  <sheetFormatPr defaultColWidth="9.125" defaultRowHeight="13.5" x14ac:dyDescent="0.15"/>
  <cols>
    <col min="1" max="1" width="41.75" bestFit="1" customWidth="1"/>
  </cols>
  <sheetData>
    <row r="1" spans="1:2" x14ac:dyDescent="0.15">
      <c r="A1" t="s">
        <v>181</v>
      </c>
      <c r="B1">
        <v>1</v>
      </c>
    </row>
    <row r="2" spans="1:2" x14ac:dyDescent="0.15">
      <c r="A2" t="s">
        <v>182</v>
      </c>
      <c r="B2">
        <v>2</v>
      </c>
    </row>
    <row r="3" spans="1:2" x14ac:dyDescent="0.15">
      <c r="A3" t="s">
        <v>183</v>
      </c>
      <c r="B3">
        <v>3</v>
      </c>
    </row>
    <row r="4" spans="1:2" x14ac:dyDescent="0.15">
      <c r="A4" t="s">
        <v>184</v>
      </c>
      <c r="B4">
        <v>4</v>
      </c>
    </row>
    <row r="5" spans="1:2" x14ac:dyDescent="0.15">
      <c r="A5" t="s">
        <v>185</v>
      </c>
      <c r="B5">
        <v>5</v>
      </c>
    </row>
    <row r="6" spans="1:2" x14ac:dyDescent="0.15">
      <c r="A6" t="s">
        <v>186</v>
      </c>
      <c r="B6">
        <v>6</v>
      </c>
    </row>
    <row r="7" spans="1:2" x14ac:dyDescent="0.15">
      <c r="A7" t="s">
        <v>187</v>
      </c>
      <c r="B7">
        <v>8</v>
      </c>
    </row>
    <row r="8" spans="1:2" x14ac:dyDescent="0.15">
      <c r="A8" t="s">
        <v>188</v>
      </c>
      <c r="B8">
        <v>9</v>
      </c>
    </row>
    <row r="9" spans="1:2" x14ac:dyDescent="0.15">
      <c r="A9" t="s">
        <v>189</v>
      </c>
      <c r="B9">
        <v>10</v>
      </c>
    </row>
    <row r="10" spans="1:2" x14ac:dyDescent="0.15">
      <c r="A10" t="s">
        <v>190</v>
      </c>
      <c r="B10">
        <v>11</v>
      </c>
    </row>
    <row r="11" spans="1:2" x14ac:dyDescent="0.15">
      <c r="A11" t="s">
        <v>191</v>
      </c>
      <c r="B11">
        <v>12</v>
      </c>
    </row>
    <row r="12" spans="1:2" x14ac:dyDescent="0.15">
      <c r="A12" t="s">
        <v>192</v>
      </c>
      <c r="B12">
        <v>14</v>
      </c>
    </row>
    <row r="13" spans="1:2" x14ac:dyDescent="0.15">
      <c r="A13" t="s">
        <v>193</v>
      </c>
      <c r="B13">
        <v>15</v>
      </c>
    </row>
    <row r="14" spans="1:2" x14ac:dyDescent="0.15">
      <c r="A14" t="s">
        <v>194</v>
      </c>
      <c r="B14">
        <v>16</v>
      </c>
    </row>
    <row r="15" spans="1:2" x14ac:dyDescent="0.15">
      <c r="A15" t="s">
        <v>195</v>
      </c>
      <c r="B15">
        <v>17</v>
      </c>
    </row>
    <row r="16" spans="1:2" x14ac:dyDescent="0.15">
      <c r="A16" t="s">
        <v>196</v>
      </c>
      <c r="B16">
        <v>18</v>
      </c>
    </row>
    <row r="17" spans="1:2" x14ac:dyDescent="0.15">
      <c r="A17" t="s">
        <v>197</v>
      </c>
      <c r="B17">
        <v>20</v>
      </c>
    </row>
    <row r="18" spans="1:2" x14ac:dyDescent="0.15">
      <c r="A18" t="s">
        <v>198</v>
      </c>
      <c r="B18" t="s">
        <v>199</v>
      </c>
    </row>
    <row r="19" spans="1:2" x14ac:dyDescent="0.15">
      <c r="A19" t="s">
        <v>200</v>
      </c>
      <c r="B19" t="s">
        <v>201</v>
      </c>
    </row>
    <row r="20" spans="1:2" x14ac:dyDescent="0.15">
      <c r="A20" t="s">
        <v>202</v>
      </c>
      <c r="B20" t="s">
        <v>203</v>
      </c>
    </row>
    <row r="21" spans="1:2" x14ac:dyDescent="0.15">
      <c r="A21" t="s">
        <v>204</v>
      </c>
      <c r="B21" t="s">
        <v>205</v>
      </c>
    </row>
    <row r="22" spans="1:2" x14ac:dyDescent="0.15">
      <c r="A22" t="s">
        <v>206</v>
      </c>
      <c r="B22" t="s">
        <v>207</v>
      </c>
    </row>
    <row r="23" spans="1:2" x14ac:dyDescent="0.15">
      <c r="A23" t="s">
        <v>208</v>
      </c>
      <c r="B23" t="s">
        <v>209</v>
      </c>
    </row>
    <row r="24" spans="1:2" x14ac:dyDescent="0.15">
      <c r="A24" t="s">
        <v>210</v>
      </c>
      <c r="B24" t="s">
        <v>211</v>
      </c>
    </row>
    <row r="25" spans="1:2" x14ac:dyDescent="0.15">
      <c r="A25" t="s">
        <v>212</v>
      </c>
      <c r="B25" t="s">
        <v>213</v>
      </c>
    </row>
    <row r="26" spans="1:2" x14ac:dyDescent="0.15">
      <c r="A26" t="s">
        <v>214</v>
      </c>
      <c r="B26" t="s">
        <v>215</v>
      </c>
    </row>
    <row r="27" spans="1:2" x14ac:dyDescent="0.15">
      <c r="A27" t="s">
        <v>216</v>
      </c>
      <c r="B27" t="s">
        <v>217</v>
      </c>
    </row>
    <row r="28" spans="1:2" x14ac:dyDescent="0.15">
      <c r="A28" t="s">
        <v>432</v>
      </c>
      <c r="B28" s="97" t="s">
        <v>433</v>
      </c>
    </row>
    <row r="29" spans="1:2" x14ac:dyDescent="0.15">
      <c r="A29" t="s">
        <v>218</v>
      </c>
      <c r="B29">
        <v>1</v>
      </c>
    </row>
    <row r="30" spans="1:2" x14ac:dyDescent="0.15">
      <c r="A30" t="s">
        <v>219</v>
      </c>
      <c r="B30">
        <v>2</v>
      </c>
    </row>
    <row r="31" spans="1:2" x14ac:dyDescent="0.15">
      <c r="A31" t="s">
        <v>220</v>
      </c>
      <c r="B31">
        <v>3</v>
      </c>
    </row>
    <row r="32" spans="1:2" x14ac:dyDescent="0.15">
      <c r="A32" t="s">
        <v>221</v>
      </c>
      <c r="B32">
        <v>4</v>
      </c>
    </row>
    <row r="33" spans="1:2" x14ac:dyDescent="0.15">
      <c r="A33" t="s">
        <v>222</v>
      </c>
      <c r="B33">
        <v>5</v>
      </c>
    </row>
    <row r="34" spans="1:2" x14ac:dyDescent="0.15">
      <c r="A34" t="s">
        <v>223</v>
      </c>
      <c r="B34">
        <v>6</v>
      </c>
    </row>
    <row r="35" spans="1:2" x14ac:dyDescent="0.15">
      <c r="A35" t="s">
        <v>224</v>
      </c>
      <c r="B35">
        <v>7</v>
      </c>
    </row>
    <row r="36" spans="1:2" x14ac:dyDescent="0.15">
      <c r="A36" t="s">
        <v>225</v>
      </c>
      <c r="B36">
        <v>8</v>
      </c>
    </row>
    <row r="37" spans="1:2" x14ac:dyDescent="0.15">
      <c r="A37" t="s">
        <v>226</v>
      </c>
      <c r="B37">
        <v>10</v>
      </c>
    </row>
    <row r="38" spans="1:2" x14ac:dyDescent="0.15">
      <c r="A38" t="s">
        <v>227</v>
      </c>
      <c r="B38">
        <v>11</v>
      </c>
    </row>
    <row r="39" spans="1:2" x14ac:dyDescent="0.15">
      <c r="A39" t="s">
        <v>408</v>
      </c>
      <c r="B39">
        <v>13</v>
      </c>
    </row>
    <row r="40" spans="1:2" x14ac:dyDescent="0.15">
      <c r="A40" t="s">
        <v>228</v>
      </c>
      <c r="B40">
        <v>14</v>
      </c>
    </row>
    <row r="41" spans="1:2" x14ac:dyDescent="0.15">
      <c r="A41" t="s">
        <v>229</v>
      </c>
      <c r="B41">
        <v>15</v>
      </c>
    </row>
    <row r="42" spans="1:2" x14ac:dyDescent="0.15">
      <c r="A42" t="s">
        <v>407</v>
      </c>
      <c r="B42">
        <v>16</v>
      </c>
    </row>
    <row r="43" spans="1:2" x14ac:dyDescent="0.15">
      <c r="A43" t="s">
        <v>406</v>
      </c>
      <c r="B43">
        <v>17</v>
      </c>
    </row>
    <row r="44" spans="1:2" x14ac:dyDescent="0.15">
      <c r="A44" t="s">
        <v>230</v>
      </c>
      <c r="B44">
        <v>18</v>
      </c>
    </row>
    <row r="45" spans="1:2" x14ac:dyDescent="0.15">
      <c r="A45" t="s">
        <v>231</v>
      </c>
      <c r="B45">
        <v>19</v>
      </c>
    </row>
    <row r="46" spans="1:2" x14ac:dyDescent="0.15">
      <c r="A46" t="s">
        <v>373</v>
      </c>
      <c r="B46">
        <v>20</v>
      </c>
    </row>
    <row r="47" spans="1:2" x14ac:dyDescent="0.15">
      <c r="A47" t="s">
        <v>232</v>
      </c>
      <c r="B47">
        <v>21</v>
      </c>
    </row>
    <row r="48" spans="1:2" x14ac:dyDescent="0.15">
      <c r="A48" t="s">
        <v>233</v>
      </c>
      <c r="B48">
        <v>22</v>
      </c>
    </row>
    <row r="49" spans="1:2" x14ac:dyDescent="0.15">
      <c r="A49" t="s">
        <v>234</v>
      </c>
      <c r="B49">
        <v>23</v>
      </c>
    </row>
    <row r="50" spans="1:2" x14ac:dyDescent="0.15">
      <c r="A50" t="s">
        <v>235</v>
      </c>
      <c r="B50">
        <v>24</v>
      </c>
    </row>
    <row r="51" spans="1:2" x14ac:dyDescent="0.15">
      <c r="A51" t="s">
        <v>236</v>
      </c>
      <c r="B51">
        <v>25</v>
      </c>
    </row>
    <row r="52" spans="1:2" x14ac:dyDescent="0.15">
      <c r="A52" t="s">
        <v>237</v>
      </c>
      <c r="B52">
        <v>26</v>
      </c>
    </row>
    <row r="53" spans="1:2" x14ac:dyDescent="0.15">
      <c r="A53" t="s">
        <v>238</v>
      </c>
      <c r="B53">
        <v>27</v>
      </c>
    </row>
    <row r="54" spans="1:2" x14ac:dyDescent="0.15">
      <c r="A54" t="s">
        <v>239</v>
      </c>
      <c r="B54">
        <v>28</v>
      </c>
    </row>
    <row r="55" spans="1:2" x14ac:dyDescent="0.15">
      <c r="A55" t="s">
        <v>240</v>
      </c>
      <c r="B55">
        <v>29</v>
      </c>
    </row>
    <row r="56" spans="1:2" x14ac:dyDescent="0.15">
      <c r="A56" t="s">
        <v>241</v>
      </c>
      <c r="B56">
        <v>31</v>
      </c>
    </row>
    <row r="57" spans="1:2" x14ac:dyDescent="0.15">
      <c r="A57" t="s">
        <v>242</v>
      </c>
      <c r="B57">
        <v>32</v>
      </c>
    </row>
    <row r="58" spans="1:2" x14ac:dyDescent="0.15">
      <c r="A58" t="s">
        <v>402</v>
      </c>
      <c r="B58">
        <v>34</v>
      </c>
    </row>
    <row r="59" spans="1:2" x14ac:dyDescent="0.15">
      <c r="A59" t="s">
        <v>243</v>
      </c>
      <c r="B59">
        <v>35</v>
      </c>
    </row>
    <row r="60" spans="1:2" x14ac:dyDescent="0.15">
      <c r="A60" t="s">
        <v>244</v>
      </c>
      <c r="B60">
        <v>36</v>
      </c>
    </row>
    <row r="61" spans="1:2" x14ac:dyDescent="0.15">
      <c r="A61" t="s">
        <v>403</v>
      </c>
      <c r="B61">
        <v>37</v>
      </c>
    </row>
    <row r="62" spans="1:2" x14ac:dyDescent="0.15">
      <c r="A62" t="s">
        <v>404</v>
      </c>
      <c r="B62">
        <v>38</v>
      </c>
    </row>
    <row r="63" spans="1:2" x14ac:dyDescent="0.15">
      <c r="A63" t="s">
        <v>245</v>
      </c>
      <c r="B63">
        <v>39</v>
      </c>
    </row>
    <row r="64" spans="1:2" x14ac:dyDescent="0.15">
      <c r="A64" t="s">
        <v>246</v>
      </c>
      <c r="B64">
        <v>40</v>
      </c>
    </row>
    <row r="65" spans="1:2" x14ac:dyDescent="0.15">
      <c r="A65" t="s">
        <v>405</v>
      </c>
      <c r="B65">
        <v>41</v>
      </c>
    </row>
    <row r="66" spans="1:2" x14ac:dyDescent="0.15">
      <c r="A66" t="s">
        <v>247</v>
      </c>
      <c r="B66">
        <v>42</v>
      </c>
    </row>
    <row r="67" spans="1:2" x14ac:dyDescent="0.15">
      <c r="A67" t="s">
        <v>248</v>
      </c>
      <c r="B67">
        <v>43</v>
      </c>
    </row>
    <row r="68" spans="1:2" x14ac:dyDescent="0.15">
      <c r="A68" t="s">
        <v>249</v>
      </c>
      <c r="B68">
        <v>44</v>
      </c>
    </row>
    <row r="69" spans="1:2" x14ac:dyDescent="0.15">
      <c r="A69" t="s">
        <v>250</v>
      </c>
      <c r="B69">
        <v>45</v>
      </c>
    </row>
    <row r="70" spans="1:2" x14ac:dyDescent="0.15">
      <c r="A70" t="s">
        <v>251</v>
      </c>
      <c r="B70">
        <v>46</v>
      </c>
    </row>
    <row r="71" spans="1:2" x14ac:dyDescent="0.15">
      <c r="A71" t="s">
        <v>252</v>
      </c>
      <c r="B71">
        <v>47</v>
      </c>
    </row>
    <row r="72" spans="1:2" x14ac:dyDescent="0.15">
      <c r="A72" t="s">
        <v>253</v>
      </c>
      <c r="B72">
        <v>48</v>
      </c>
    </row>
    <row r="73" spans="1:2" x14ac:dyDescent="0.15">
      <c r="A73" t="s">
        <v>254</v>
      </c>
      <c r="B73">
        <v>49</v>
      </c>
    </row>
    <row r="74" spans="1:2" x14ac:dyDescent="0.15">
      <c r="A74" t="s">
        <v>255</v>
      </c>
      <c r="B74">
        <v>50</v>
      </c>
    </row>
    <row r="75" spans="1:2" x14ac:dyDescent="0.15">
      <c r="A75" t="s">
        <v>256</v>
      </c>
      <c r="B75">
        <v>52</v>
      </c>
    </row>
    <row r="76" spans="1:2" x14ac:dyDescent="0.15">
      <c r="A76" t="s">
        <v>257</v>
      </c>
      <c r="B76">
        <v>53</v>
      </c>
    </row>
    <row r="77" spans="1:2" x14ac:dyDescent="0.15">
      <c r="A77" t="s">
        <v>258</v>
      </c>
      <c r="B77">
        <v>54</v>
      </c>
    </row>
    <row r="78" spans="1:2" x14ac:dyDescent="0.15">
      <c r="A78" t="s">
        <v>259</v>
      </c>
      <c r="B78">
        <v>55</v>
      </c>
    </row>
    <row r="79" spans="1:2" x14ac:dyDescent="0.15">
      <c r="A79" t="s">
        <v>260</v>
      </c>
      <c r="B79">
        <v>56</v>
      </c>
    </row>
    <row r="80" spans="1:2" x14ac:dyDescent="0.15">
      <c r="A80" t="s">
        <v>261</v>
      </c>
      <c r="B80">
        <v>57</v>
      </c>
    </row>
    <row r="81" spans="1:19" x14ac:dyDescent="0.15">
      <c r="A81" t="s">
        <v>262</v>
      </c>
      <c r="B81">
        <v>58</v>
      </c>
    </row>
    <row r="82" spans="1:19" x14ac:dyDescent="0.15">
      <c r="A82" t="s">
        <v>263</v>
      </c>
      <c r="B82" t="s">
        <v>264</v>
      </c>
    </row>
    <row r="83" spans="1:19" x14ac:dyDescent="0.15">
      <c r="A83" t="s">
        <v>265</v>
      </c>
      <c r="B83" s="97" t="s">
        <v>425</v>
      </c>
    </row>
    <row r="84" spans="1:19" x14ac:dyDescent="0.15">
      <c r="A84" t="s">
        <v>266</v>
      </c>
      <c r="B84" s="97" t="s">
        <v>382</v>
      </c>
    </row>
    <row r="85" spans="1:19" x14ac:dyDescent="0.15">
      <c r="A85" t="s">
        <v>267</v>
      </c>
      <c r="B85" s="97" t="s">
        <v>383</v>
      </c>
    </row>
    <row r="86" spans="1:19" x14ac:dyDescent="0.15">
      <c r="A86" t="s">
        <v>268</v>
      </c>
      <c r="B86" s="97" t="s">
        <v>384</v>
      </c>
    </row>
    <row r="87" spans="1:19" x14ac:dyDescent="0.15">
      <c r="A87" t="s">
        <v>269</v>
      </c>
      <c r="B87" s="97" t="s">
        <v>385</v>
      </c>
    </row>
    <row r="88" spans="1:19" x14ac:dyDescent="0.15">
      <c r="A88" t="s">
        <v>270</v>
      </c>
      <c r="B88" s="97" t="s">
        <v>386</v>
      </c>
    </row>
    <row r="89" spans="1:19" x14ac:dyDescent="0.15">
      <c r="A89" t="s">
        <v>271</v>
      </c>
      <c r="B89" s="97" t="s">
        <v>372</v>
      </c>
    </row>
    <row r="90" spans="1:19" x14ac:dyDescent="0.15">
      <c r="A90" t="s">
        <v>272</v>
      </c>
      <c r="B90" s="97" t="s">
        <v>387</v>
      </c>
    </row>
    <row r="91" spans="1:19" x14ac:dyDescent="0.15">
      <c r="A91" t="s">
        <v>273</v>
      </c>
      <c r="B91" s="97" t="s">
        <v>388</v>
      </c>
    </row>
    <row r="92" spans="1:19" x14ac:dyDescent="0.15">
      <c r="A92" t="s">
        <v>430</v>
      </c>
      <c r="B92" s="97" t="s">
        <v>431</v>
      </c>
    </row>
    <row r="93" spans="1:19" x14ac:dyDescent="0.15">
      <c r="A93" t="s">
        <v>274</v>
      </c>
      <c r="B93" t="s">
        <v>57</v>
      </c>
      <c r="C93" t="s">
        <v>101</v>
      </c>
      <c r="D93" t="s">
        <v>52</v>
      </c>
      <c r="E93" t="s">
        <v>130</v>
      </c>
      <c r="F93" t="s">
        <v>42</v>
      </c>
      <c r="G93" t="s">
        <v>47</v>
      </c>
      <c r="H93" t="s">
        <v>71</v>
      </c>
      <c r="I93" t="s">
        <v>40</v>
      </c>
      <c r="J93" t="s">
        <v>67</v>
      </c>
      <c r="K93" t="s">
        <v>119</v>
      </c>
      <c r="L93" t="s">
        <v>62</v>
      </c>
      <c r="M93" t="s">
        <v>80</v>
      </c>
      <c r="N93" t="s">
        <v>121</v>
      </c>
      <c r="O93" t="s">
        <v>146</v>
      </c>
      <c r="P93" t="s">
        <v>393</v>
      </c>
      <c r="Q93" t="s">
        <v>394</v>
      </c>
      <c r="R93" t="s">
        <v>371</v>
      </c>
      <c r="S93" t="s">
        <v>395</v>
      </c>
    </row>
    <row r="94" spans="1:19" x14ac:dyDescent="0.15">
      <c r="A94" t="s">
        <v>275</v>
      </c>
      <c r="B94">
        <v>1</v>
      </c>
    </row>
    <row r="95" spans="1:19" x14ac:dyDescent="0.15">
      <c r="A95" t="s">
        <v>276</v>
      </c>
      <c r="B95">
        <v>2</v>
      </c>
    </row>
    <row r="96" spans="1:19" x14ac:dyDescent="0.15">
      <c r="A96" t="s">
        <v>277</v>
      </c>
      <c r="B96">
        <v>3</v>
      </c>
    </row>
    <row r="97" spans="1:2" x14ac:dyDescent="0.15">
      <c r="A97" t="s">
        <v>278</v>
      </c>
      <c r="B97">
        <v>4</v>
      </c>
    </row>
    <row r="98" spans="1:2" x14ac:dyDescent="0.15">
      <c r="A98" t="s">
        <v>279</v>
      </c>
      <c r="B98">
        <v>5</v>
      </c>
    </row>
    <row r="99" spans="1:2" x14ac:dyDescent="0.15">
      <c r="A99" t="s">
        <v>280</v>
      </c>
      <c r="B99">
        <v>6</v>
      </c>
    </row>
    <row r="100" spans="1:2" x14ac:dyDescent="0.15">
      <c r="A100" t="s">
        <v>281</v>
      </c>
      <c r="B100">
        <v>7</v>
      </c>
    </row>
    <row r="101" spans="1:2" x14ac:dyDescent="0.15">
      <c r="A101" t="s">
        <v>282</v>
      </c>
      <c r="B101">
        <v>8</v>
      </c>
    </row>
    <row r="102" spans="1:2" x14ac:dyDescent="0.15">
      <c r="A102" t="s">
        <v>283</v>
      </c>
      <c r="B102">
        <v>10</v>
      </c>
    </row>
    <row r="103" spans="1:2" x14ac:dyDescent="0.15">
      <c r="A103" t="s">
        <v>284</v>
      </c>
      <c r="B103">
        <v>11</v>
      </c>
    </row>
    <row r="104" spans="1:2" x14ac:dyDescent="0.15">
      <c r="A104" t="s">
        <v>396</v>
      </c>
      <c r="B104">
        <v>13</v>
      </c>
    </row>
    <row r="105" spans="1:2" x14ac:dyDescent="0.15">
      <c r="A105" t="s">
        <v>285</v>
      </c>
      <c r="B105">
        <v>14</v>
      </c>
    </row>
    <row r="106" spans="1:2" x14ac:dyDescent="0.15">
      <c r="A106" t="s">
        <v>286</v>
      </c>
      <c r="B106">
        <v>15</v>
      </c>
    </row>
    <row r="107" spans="1:2" x14ac:dyDescent="0.15">
      <c r="A107" t="s">
        <v>397</v>
      </c>
      <c r="B107">
        <v>16</v>
      </c>
    </row>
    <row r="108" spans="1:2" x14ac:dyDescent="0.15">
      <c r="A108" t="s">
        <v>398</v>
      </c>
      <c r="B108">
        <v>17</v>
      </c>
    </row>
    <row r="109" spans="1:2" x14ac:dyDescent="0.15">
      <c r="A109" t="s">
        <v>287</v>
      </c>
      <c r="B109">
        <v>18</v>
      </c>
    </row>
    <row r="110" spans="1:2" x14ac:dyDescent="0.15">
      <c r="A110" t="s">
        <v>288</v>
      </c>
      <c r="B110">
        <v>19</v>
      </c>
    </row>
    <row r="111" spans="1:2" x14ac:dyDescent="0.15">
      <c r="A111" t="s">
        <v>369</v>
      </c>
      <c r="B111">
        <v>20</v>
      </c>
    </row>
    <row r="112" spans="1:2" x14ac:dyDescent="0.15">
      <c r="A112" t="s">
        <v>289</v>
      </c>
      <c r="B112">
        <v>21</v>
      </c>
    </row>
    <row r="113" spans="1:2" x14ac:dyDescent="0.15">
      <c r="A113" t="s">
        <v>290</v>
      </c>
      <c r="B113">
        <v>22</v>
      </c>
    </row>
    <row r="114" spans="1:2" x14ac:dyDescent="0.15">
      <c r="A114" t="s">
        <v>291</v>
      </c>
      <c r="B114">
        <v>23</v>
      </c>
    </row>
    <row r="115" spans="1:2" x14ac:dyDescent="0.15">
      <c r="A115" t="s">
        <v>292</v>
      </c>
      <c r="B115">
        <v>24</v>
      </c>
    </row>
    <row r="116" spans="1:2" x14ac:dyDescent="0.15">
      <c r="A116" t="s">
        <v>293</v>
      </c>
      <c r="B116">
        <v>25</v>
      </c>
    </row>
    <row r="117" spans="1:2" x14ac:dyDescent="0.15">
      <c r="A117" t="s">
        <v>294</v>
      </c>
      <c r="B117">
        <v>26</v>
      </c>
    </row>
    <row r="118" spans="1:2" x14ac:dyDescent="0.15">
      <c r="A118" t="s">
        <v>295</v>
      </c>
      <c r="B118">
        <v>27</v>
      </c>
    </row>
    <row r="119" spans="1:2" x14ac:dyDescent="0.15">
      <c r="A119" t="s">
        <v>296</v>
      </c>
      <c r="B119">
        <v>28</v>
      </c>
    </row>
    <row r="120" spans="1:2" x14ac:dyDescent="0.15">
      <c r="A120" t="s">
        <v>297</v>
      </c>
      <c r="B120">
        <v>29</v>
      </c>
    </row>
    <row r="121" spans="1:2" x14ac:dyDescent="0.15">
      <c r="A121" t="s">
        <v>298</v>
      </c>
      <c r="B121">
        <v>31</v>
      </c>
    </row>
    <row r="122" spans="1:2" x14ac:dyDescent="0.15">
      <c r="A122" t="s">
        <v>299</v>
      </c>
      <c r="B122">
        <v>32</v>
      </c>
    </row>
    <row r="123" spans="1:2" x14ac:dyDescent="0.15">
      <c r="A123" t="s">
        <v>399</v>
      </c>
      <c r="B123">
        <v>34</v>
      </c>
    </row>
    <row r="124" spans="1:2" x14ac:dyDescent="0.15">
      <c r="A124" t="s">
        <v>300</v>
      </c>
      <c r="B124">
        <v>35</v>
      </c>
    </row>
    <row r="125" spans="1:2" x14ac:dyDescent="0.15">
      <c r="A125" t="s">
        <v>301</v>
      </c>
      <c r="B125">
        <v>36</v>
      </c>
    </row>
    <row r="126" spans="1:2" x14ac:dyDescent="0.15">
      <c r="A126" t="s">
        <v>400</v>
      </c>
      <c r="B126">
        <v>37</v>
      </c>
    </row>
    <row r="127" spans="1:2" x14ac:dyDescent="0.15">
      <c r="A127" t="s">
        <v>401</v>
      </c>
      <c r="B127">
        <v>38</v>
      </c>
    </row>
    <row r="128" spans="1:2" x14ac:dyDescent="0.15">
      <c r="A128" t="s">
        <v>302</v>
      </c>
      <c r="B128">
        <v>39</v>
      </c>
    </row>
    <row r="129" spans="1:2" x14ac:dyDescent="0.15">
      <c r="A129" t="s">
        <v>303</v>
      </c>
      <c r="B129">
        <v>40</v>
      </c>
    </row>
    <row r="130" spans="1:2" x14ac:dyDescent="0.15">
      <c r="A130" t="s">
        <v>370</v>
      </c>
      <c r="B130">
        <v>41</v>
      </c>
    </row>
    <row r="131" spans="1:2" x14ac:dyDescent="0.15">
      <c r="A131" t="s">
        <v>304</v>
      </c>
      <c r="B131">
        <v>42</v>
      </c>
    </row>
    <row r="132" spans="1:2" x14ac:dyDescent="0.15">
      <c r="A132" t="s">
        <v>305</v>
      </c>
      <c r="B132">
        <v>43</v>
      </c>
    </row>
    <row r="133" spans="1:2" x14ac:dyDescent="0.15">
      <c r="A133" t="s">
        <v>306</v>
      </c>
      <c r="B133">
        <v>44</v>
      </c>
    </row>
    <row r="134" spans="1:2" x14ac:dyDescent="0.15">
      <c r="A134" t="s">
        <v>307</v>
      </c>
      <c r="B134">
        <v>45</v>
      </c>
    </row>
    <row r="135" spans="1:2" x14ac:dyDescent="0.15">
      <c r="A135" t="s">
        <v>308</v>
      </c>
      <c r="B135">
        <v>46</v>
      </c>
    </row>
    <row r="136" spans="1:2" x14ac:dyDescent="0.15">
      <c r="A136" t="s">
        <v>309</v>
      </c>
      <c r="B136">
        <v>47</v>
      </c>
    </row>
    <row r="137" spans="1:2" x14ac:dyDescent="0.15">
      <c r="A137" t="s">
        <v>310</v>
      </c>
      <c r="B137">
        <v>48</v>
      </c>
    </row>
    <row r="138" spans="1:2" x14ac:dyDescent="0.15">
      <c r="A138" t="s">
        <v>311</v>
      </c>
      <c r="B138">
        <v>49</v>
      </c>
    </row>
    <row r="139" spans="1:2" x14ac:dyDescent="0.15">
      <c r="A139" t="s">
        <v>312</v>
      </c>
      <c r="B139">
        <v>50</v>
      </c>
    </row>
    <row r="140" spans="1:2" x14ac:dyDescent="0.15">
      <c r="A140" t="s">
        <v>313</v>
      </c>
      <c r="B140">
        <v>52</v>
      </c>
    </row>
    <row r="141" spans="1:2" x14ac:dyDescent="0.15">
      <c r="A141" t="s">
        <v>314</v>
      </c>
      <c r="B141">
        <v>53</v>
      </c>
    </row>
    <row r="142" spans="1:2" x14ac:dyDescent="0.15">
      <c r="A142" t="s">
        <v>315</v>
      </c>
      <c r="B142">
        <v>54</v>
      </c>
    </row>
    <row r="143" spans="1:2" x14ac:dyDescent="0.15">
      <c r="A143" t="s">
        <v>316</v>
      </c>
      <c r="B143">
        <v>55</v>
      </c>
    </row>
    <row r="144" spans="1:2" x14ac:dyDescent="0.15">
      <c r="A144" t="s">
        <v>317</v>
      </c>
      <c r="B144">
        <v>56</v>
      </c>
    </row>
    <row r="145" spans="1:19" x14ac:dyDescent="0.15">
      <c r="A145" t="s">
        <v>318</v>
      </c>
      <c r="B145">
        <v>57</v>
      </c>
    </row>
    <row r="146" spans="1:19" x14ac:dyDescent="0.15">
      <c r="A146" t="s">
        <v>319</v>
      </c>
      <c r="B146">
        <v>58</v>
      </c>
    </row>
    <row r="147" spans="1:19" x14ac:dyDescent="0.15">
      <c r="A147" t="s">
        <v>320</v>
      </c>
      <c r="B147" t="s">
        <v>321</v>
      </c>
    </row>
    <row r="148" spans="1:19" x14ac:dyDescent="0.15">
      <c r="A148" t="s">
        <v>322</v>
      </c>
      <c r="B148" s="97" t="s">
        <v>426</v>
      </c>
    </row>
    <row r="149" spans="1:19" x14ac:dyDescent="0.15">
      <c r="A149" t="s">
        <v>323</v>
      </c>
      <c r="B149" s="97" t="s">
        <v>374</v>
      </c>
    </row>
    <row r="150" spans="1:19" x14ac:dyDescent="0.15">
      <c r="A150" t="s">
        <v>324</v>
      </c>
      <c r="B150" s="97" t="s">
        <v>375</v>
      </c>
    </row>
    <row r="151" spans="1:19" x14ac:dyDescent="0.15">
      <c r="A151" t="s">
        <v>325</v>
      </c>
      <c r="B151" s="97" t="s">
        <v>376</v>
      </c>
    </row>
    <row r="152" spans="1:19" x14ac:dyDescent="0.15">
      <c r="A152" t="s">
        <v>326</v>
      </c>
      <c r="B152" s="97" t="s">
        <v>377</v>
      </c>
    </row>
    <row r="153" spans="1:19" x14ac:dyDescent="0.15">
      <c r="A153" t="s">
        <v>327</v>
      </c>
      <c r="B153" s="97" t="s">
        <v>378</v>
      </c>
    </row>
    <row r="154" spans="1:19" x14ac:dyDescent="0.15">
      <c r="A154" t="s">
        <v>328</v>
      </c>
      <c r="B154" s="97" t="s">
        <v>379</v>
      </c>
    </row>
    <row r="155" spans="1:19" x14ac:dyDescent="0.15">
      <c r="A155" t="s">
        <v>329</v>
      </c>
      <c r="B155" s="97" t="s">
        <v>380</v>
      </c>
    </row>
    <row r="156" spans="1:19" x14ac:dyDescent="0.15">
      <c r="A156" t="s">
        <v>330</v>
      </c>
      <c r="B156" s="97" t="s">
        <v>381</v>
      </c>
    </row>
    <row r="157" spans="1:19" x14ac:dyDescent="0.15">
      <c r="A157" t="s">
        <v>434</v>
      </c>
      <c r="B157" s="97" t="s">
        <v>435</v>
      </c>
    </row>
    <row r="158" spans="1:19" x14ac:dyDescent="0.15">
      <c r="A158" t="s">
        <v>331</v>
      </c>
      <c r="B158" t="s">
        <v>57</v>
      </c>
      <c r="C158" t="s">
        <v>101</v>
      </c>
      <c r="D158" t="s">
        <v>52</v>
      </c>
      <c r="E158" t="s">
        <v>130</v>
      </c>
      <c r="F158" t="s">
        <v>42</v>
      </c>
      <c r="G158" t="s">
        <v>47</v>
      </c>
      <c r="H158" t="s">
        <v>71</v>
      </c>
      <c r="I158" t="s">
        <v>40</v>
      </c>
      <c r="J158" t="s">
        <v>67</v>
      </c>
      <c r="K158" t="s">
        <v>119</v>
      </c>
      <c r="L158" t="s">
        <v>62</v>
      </c>
      <c r="M158" t="s">
        <v>80</v>
      </c>
      <c r="N158" t="s">
        <v>121</v>
      </c>
      <c r="O158" t="s">
        <v>146</v>
      </c>
      <c r="P158" t="s">
        <v>393</v>
      </c>
      <c r="Q158" t="s">
        <v>394</v>
      </c>
      <c r="R158" t="s">
        <v>371</v>
      </c>
      <c r="S158" t="s">
        <v>395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T104"/>
  <sheetViews>
    <sheetView zoomScale="80" zoomScaleNormal="80" workbookViewId="0">
      <pane xSplit="2" ySplit="4" topLeftCell="C8" activePane="bottomRight" state="frozen"/>
      <selection pane="topRight" activeCell="C1" sqref="C1"/>
      <selection pane="bottomLeft" activeCell="A5" sqref="A5"/>
      <selection pane="bottomRight" activeCell="S52" sqref="S52"/>
    </sheetView>
  </sheetViews>
  <sheetFormatPr defaultColWidth="9.125" defaultRowHeight="13.5" outlineLevelRow="1" x14ac:dyDescent="0.15"/>
  <cols>
    <col min="2" max="2" width="24.75" customWidth="1"/>
    <col min="4" max="5" width="10.75" customWidth="1"/>
    <col min="9" max="9" width="1.75" customWidth="1"/>
    <col min="11" max="11" width="10.75" customWidth="1"/>
    <col min="12" max="13" width="12.5" customWidth="1"/>
    <col min="14" max="14" width="10.75" customWidth="1"/>
    <col min="15" max="20" width="12.75" customWidth="1"/>
    <col min="21" max="27" width="11.75" customWidth="1"/>
    <col min="30" max="30" width="1.75" customWidth="1"/>
    <col min="32" max="32" width="10.75" customWidth="1"/>
    <col min="33" max="34" width="12.5" customWidth="1"/>
    <col min="35" max="35" width="10.75" customWidth="1"/>
    <col min="36" max="41" width="12.75" customWidth="1"/>
    <col min="42" max="48" width="11.75" customWidth="1"/>
    <col min="51" max="51" width="1.75" customWidth="1"/>
    <col min="54" max="58" width="11.75" customWidth="1"/>
    <col min="59" max="59" width="1.75" customWidth="1"/>
    <col min="62" max="66" width="11.75" customWidth="1"/>
    <col min="67" max="67" width="1.75" customWidth="1"/>
  </cols>
  <sheetData>
    <row r="1" spans="1:72" x14ac:dyDescent="0.15">
      <c r="A1" s="125" t="s">
        <v>332</v>
      </c>
      <c r="B1" s="113"/>
      <c r="C1" s="113"/>
      <c r="D1" s="113"/>
      <c r="E1" s="113"/>
      <c r="F1" s="113"/>
      <c r="G1" s="113"/>
      <c r="H1" s="113"/>
      <c r="J1" s="121" t="str">
        <f>Summary!C1</f>
        <v>F032_v8.0</v>
      </c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E1" s="122">
        <f>Summary!C2</f>
        <v>0</v>
      </c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</row>
    <row r="2" spans="1:72" ht="33" customHeight="1" thickBot="1" x14ac:dyDescent="0.2">
      <c r="A2" s="124" t="s">
        <v>149</v>
      </c>
      <c r="B2" s="123" t="s">
        <v>150</v>
      </c>
      <c r="C2" s="124" t="s">
        <v>333</v>
      </c>
      <c r="D2" s="123" t="s">
        <v>151</v>
      </c>
      <c r="E2" s="124" t="s">
        <v>152</v>
      </c>
      <c r="F2" s="123" t="s">
        <v>153</v>
      </c>
      <c r="G2" s="124" t="s">
        <v>154</v>
      </c>
      <c r="H2" s="123" t="s">
        <v>334</v>
      </c>
      <c r="J2" s="124" t="s">
        <v>127</v>
      </c>
      <c r="K2" s="123" t="s">
        <v>131</v>
      </c>
      <c r="L2" s="129" t="s">
        <v>120</v>
      </c>
      <c r="M2" s="123" t="s">
        <v>368</v>
      </c>
      <c r="N2" s="124" t="s">
        <v>81</v>
      </c>
      <c r="O2" s="127" t="s">
        <v>120</v>
      </c>
      <c r="P2" s="127" t="s">
        <v>419</v>
      </c>
      <c r="Q2" s="127" t="s">
        <v>420</v>
      </c>
      <c r="R2" s="127" t="s">
        <v>421</v>
      </c>
      <c r="S2" s="127" t="s">
        <v>422</v>
      </c>
      <c r="T2" s="127" t="s">
        <v>423</v>
      </c>
      <c r="U2" s="126" t="s">
        <v>335</v>
      </c>
      <c r="V2" s="113"/>
      <c r="W2" s="113"/>
      <c r="X2" s="113"/>
      <c r="Y2" s="113"/>
      <c r="Z2" s="127" t="s">
        <v>336</v>
      </c>
      <c r="AA2" s="113"/>
      <c r="AB2" s="124" t="s">
        <v>122</v>
      </c>
      <c r="AC2" s="123" t="s">
        <v>102</v>
      </c>
      <c r="AE2" s="124" t="s">
        <v>127</v>
      </c>
      <c r="AF2" s="123" t="s">
        <v>131</v>
      </c>
      <c r="AG2" s="129" t="s">
        <v>120</v>
      </c>
      <c r="AH2" s="123" t="s">
        <v>368</v>
      </c>
      <c r="AI2" s="124" t="s">
        <v>81</v>
      </c>
      <c r="AJ2" s="123" t="s">
        <v>120</v>
      </c>
      <c r="AK2" s="127" t="s">
        <v>419</v>
      </c>
      <c r="AL2" s="127" t="s">
        <v>420</v>
      </c>
      <c r="AM2" s="127" t="s">
        <v>421</v>
      </c>
      <c r="AN2" s="127" t="s">
        <v>422</v>
      </c>
      <c r="AO2" s="127" t="s">
        <v>423</v>
      </c>
      <c r="AP2" s="126" t="s">
        <v>335</v>
      </c>
      <c r="AQ2" s="113"/>
      <c r="AR2" s="113"/>
      <c r="AS2" s="113"/>
      <c r="AT2" s="113"/>
      <c r="AU2" s="127" t="s">
        <v>336</v>
      </c>
      <c r="AV2" s="113"/>
      <c r="AW2" s="124" t="s">
        <v>122</v>
      </c>
      <c r="AX2" s="123" t="s">
        <v>102</v>
      </c>
      <c r="AZ2" s="126" t="s">
        <v>15</v>
      </c>
      <c r="BA2" s="113"/>
      <c r="BB2" s="113"/>
      <c r="BC2" s="113"/>
      <c r="BD2" s="113"/>
      <c r="BE2" s="127" t="s">
        <v>16</v>
      </c>
      <c r="BF2" s="113"/>
      <c r="BH2" s="126" t="s">
        <v>409</v>
      </c>
      <c r="BI2" s="126"/>
      <c r="BJ2" s="128" t="s">
        <v>410</v>
      </c>
      <c r="BK2" s="128"/>
      <c r="BL2" s="128"/>
      <c r="BM2" s="124" t="s">
        <v>413</v>
      </c>
      <c r="BN2" s="123" t="s">
        <v>412</v>
      </c>
      <c r="BP2" s="124" t="s">
        <v>414</v>
      </c>
      <c r="BQ2" s="124" t="s">
        <v>415</v>
      </c>
      <c r="BR2" s="124" t="s">
        <v>417</v>
      </c>
      <c r="BS2" s="124" t="s">
        <v>416</v>
      </c>
      <c r="BT2" s="124" t="s">
        <v>418</v>
      </c>
    </row>
    <row r="3" spans="1:72" ht="33" customHeight="1" thickBot="1" x14ac:dyDescent="0.2">
      <c r="A3" s="115"/>
      <c r="B3" s="115"/>
      <c r="C3" s="115"/>
      <c r="D3" s="115"/>
      <c r="E3" s="115"/>
      <c r="F3" s="115"/>
      <c r="G3" s="115"/>
      <c r="H3" s="115"/>
      <c r="J3" s="115"/>
      <c r="K3" s="115"/>
      <c r="L3" s="130"/>
      <c r="M3" s="115"/>
      <c r="N3" s="115"/>
      <c r="O3" s="123"/>
      <c r="P3" s="123"/>
      <c r="Q3" s="123"/>
      <c r="R3" s="123"/>
      <c r="S3" s="123"/>
      <c r="T3" s="123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15"/>
      <c r="AC3" s="115"/>
      <c r="AE3" s="115"/>
      <c r="AF3" s="115"/>
      <c r="AG3" s="130"/>
      <c r="AH3" s="115"/>
      <c r="AI3" s="115"/>
      <c r="AJ3" s="115"/>
      <c r="AK3" s="123"/>
      <c r="AL3" s="123"/>
      <c r="AM3" s="123"/>
      <c r="AN3" s="123"/>
      <c r="AO3" s="123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15"/>
      <c r="AX3" s="115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24"/>
      <c r="BN3" s="123"/>
      <c r="BP3" s="115"/>
      <c r="BQ3" s="115"/>
      <c r="BR3" s="115"/>
      <c r="BS3" s="115"/>
      <c r="BT3" s="115"/>
    </row>
    <row r="4" spans="1:72" ht="1.5" hidden="1" customHeight="1" thickBot="1" x14ac:dyDescent="0.2">
      <c r="A4" s="15" t="s">
        <v>158</v>
      </c>
      <c r="B4" s="16" t="s">
        <v>159</v>
      </c>
      <c r="C4" s="15" t="s">
        <v>337</v>
      </c>
      <c r="D4" s="16" t="s">
        <v>160</v>
      </c>
      <c r="E4" s="15" t="s">
        <v>161</v>
      </c>
      <c r="F4" s="16" t="s">
        <v>162</v>
      </c>
      <c r="G4" s="15" t="s">
        <v>163</v>
      </c>
      <c r="H4" s="16" t="s">
        <v>338</v>
      </c>
      <c r="J4" s="15" t="s">
        <v>164</v>
      </c>
      <c r="K4" s="16" t="s">
        <v>165</v>
      </c>
      <c r="L4" s="16"/>
      <c r="M4" s="16"/>
      <c r="N4" s="15" t="s">
        <v>339</v>
      </c>
      <c r="O4" s="16" t="s">
        <v>166</v>
      </c>
      <c r="P4" s="16"/>
      <c r="Q4" s="16"/>
      <c r="R4" s="16"/>
      <c r="S4" s="16"/>
      <c r="T4" s="16"/>
      <c r="U4" s="15" t="s">
        <v>340</v>
      </c>
      <c r="V4" s="15" t="s">
        <v>341</v>
      </c>
      <c r="W4" s="15" t="s">
        <v>342</v>
      </c>
      <c r="X4" s="15" t="s">
        <v>343</v>
      </c>
      <c r="Y4" s="15" t="s">
        <v>344</v>
      </c>
      <c r="Z4" s="16" t="s">
        <v>345</v>
      </c>
      <c r="AA4" s="16" t="s">
        <v>346</v>
      </c>
      <c r="AB4" s="15" t="s">
        <v>167</v>
      </c>
      <c r="AC4" s="16" t="s">
        <v>168</v>
      </c>
      <c r="AE4" s="15" t="s">
        <v>169</v>
      </c>
      <c r="AF4" s="16" t="s">
        <v>170</v>
      </c>
      <c r="AG4" s="16"/>
      <c r="AH4" s="16"/>
      <c r="AI4" s="15" t="s">
        <v>347</v>
      </c>
      <c r="AJ4" s="16" t="s">
        <v>171</v>
      </c>
      <c r="AK4" s="16"/>
      <c r="AL4" s="16"/>
      <c r="AM4" s="16"/>
      <c r="AN4" s="16"/>
      <c r="AO4" s="16"/>
      <c r="AP4" s="15" t="s">
        <v>348</v>
      </c>
      <c r="AQ4" s="15" t="s">
        <v>349</v>
      </c>
      <c r="AR4" s="15" t="s">
        <v>350</v>
      </c>
      <c r="AS4" s="15" t="s">
        <v>351</v>
      </c>
      <c r="AT4" s="15" t="s">
        <v>352</v>
      </c>
      <c r="AU4" s="16" t="s">
        <v>353</v>
      </c>
      <c r="AV4" s="16" t="s">
        <v>354</v>
      </c>
      <c r="AW4" s="15" t="s">
        <v>172</v>
      </c>
      <c r="AX4" s="16" t="s">
        <v>173</v>
      </c>
      <c r="AZ4" s="15" t="s">
        <v>355</v>
      </c>
      <c r="BA4" s="15" t="s">
        <v>356</v>
      </c>
      <c r="BB4" s="15" t="s">
        <v>357</v>
      </c>
      <c r="BC4" s="15" t="s">
        <v>358</v>
      </c>
      <c r="BD4" s="15" t="s">
        <v>359</v>
      </c>
      <c r="BE4" s="16" t="s">
        <v>360</v>
      </c>
      <c r="BF4" s="16" t="s">
        <v>361</v>
      </c>
      <c r="BH4" s="15" t="s">
        <v>355</v>
      </c>
      <c r="BI4" s="15" t="s">
        <v>356</v>
      </c>
      <c r="BJ4" s="15" t="s">
        <v>357</v>
      </c>
      <c r="BK4" s="15" t="s">
        <v>358</v>
      </c>
      <c r="BL4" s="15" t="s">
        <v>359</v>
      </c>
      <c r="BM4" s="16" t="s">
        <v>360</v>
      </c>
      <c r="BN4" s="16" t="s">
        <v>361</v>
      </c>
    </row>
    <row r="5" spans="1:72" ht="15" customHeight="1" x14ac:dyDescent="0.15">
      <c r="A5" s="17" t="s">
        <v>175</v>
      </c>
      <c r="B5" s="17" t="s">
        <v>38</v>
      </c>
      <c r="C5" s="19" t="s">
        <v>362</v>
      </c>
      <c r="D5" s="17">
        <v>11997440</v>
      </c>
      <c r="E5" s="18">
        <v>10</v>
      </c>
      <c r="F5" s="19">
        <v>32</v>
      </c>
      <c r="G5" s="19">
        <v>30</v>
      </c>
      <c r="H5" s="19">
        <v>4</v>
      </c>
      <c r="J5" s="20">
        <f t="shared" ref="J5:J44" si="0">IF(OR(ISBLANK(O5),ISBLANK(G5)),"·",O5*G5/F5/1000000)</f>
        <v>5.0819625000000004</v>
      </c>
      <c r="K5" s="21">
        <f t="shared" ref="K5:K44" si="1">IF(ISBLANK(O5),"·",O5/D5)</f>
        <v>0.45182638962978766</v>
      </c>
      <c r="L5" s="19">
        <f t="shared" ref="L5:L44" si="2">IF(OR(ISBLANK(M5),ISBLANK(S5),ISBLANK(T5)),".",M5+S5+T5)</f>
        <v>5420760</v>
      </c>
      <c r="M5" s="19">
        <f t="shared" ref="M5:M44" si="3">IF(OR(ISBLANK(Q5),ISBLANK(P5),ISBLANK(R5)),".",P5+Q5+R5)</f>
        <v>1696648</v>
      </c>
      <c r="N5" s="44">
        <v>2415872</v>
      </c>
      <c r="O5" s="22">
        <v>5420760</v>
      </c>
      <c r="P5" s="22">
        <v>812056</v>
      </c>
      <c r="Q5" s="22">
        <v>0</v>
      </c>
      <c r="R5" s="22">
        <v>884592</v>
      </c>
      <c r="S5" s="22">
        <v>3709368</v>
      </c>
      <c r="T5" s="22">
        <v>14744</v>
      </c>
      <c r="U5" s="45">
        <v>69.754844500000004</v>
      </c>
      <c r="V5" s="45">
        <v>70.927806399999994</v>
      </c>
      <c r="W5" s="45">
        <v>28.855100799999999</v>
      </c>
      <c r="X5" s="45">
        <v>33.974234699999997</v>
      </c>
      <c r="Y5" s="45">
        <v>33.426751899999999</v>
      </c>
      <c r="Z5" s="45">
        <v>49.629371999999996</v>
      </c>
      <c r="AA5" s="45">
        <v>27.5979688</v>
      </c>
      <c r="AB5" s="23">
        <v>153.69266099999999</v>
      </c>
      <c r="AC5" s="23">
        <v>3.5480710000000002</v>
      </c>
      <c r="AE5" s="20" t="str">
        <f t="shared" ref="AE5:AE44" si="4">IF(OR(ISBLANK(AJ5),ISBLANK(G5)),"·",AJ5*G5/F5/1000000)</f>
        <v>·</v>
      </c>
      <c r="AF5" s="21" t="str">
        <f t="shared" ref="AF5:AF44" si="5">IF(ISBLANK(AJ5),"·",AJ5/D5)</f>
        <v>·</v>
      </c>
      <c r="AG5" s="19" t="str">
        <f t="shared" ref="AG5:AG44" si="6">IF(OR(ISBLANK(AH5),ISBLANK(AN5),ISBLANK(AO5)),".",AH5+AN5+AO5)</f>
        <v>.</v>
      </c>
      <c r="AH5" s="19" t="str">
        <f t="shared" ref="AH5:AH44" si="7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8">IF(AND(AK5=0,AK5=0),0,AK5/P5-1)</f>
        <v>0</v>
      </c>
      <c r="BQ5" s="24">
        <f t="shared" ref="BQ5:BQ44" si="9">IF(AND(AL5=0,AL5=0),0,AL5/Q5-1)</f>
        <v>0</v>
      </c>
      <c r="BR5" s="24">
        <f t="shared" ref="BR5:BR44" si="10">IF(AND(AM5=0,AM5=0),0,AM5/R5-1)</f>
        <v>0</v>
      </c>
      <c r="BS5" s="24">
        <f t="shared" ref="BS5:BT44" si="11">IF(AND(AN5=0,AN5=0),0,AN5/S5-1)</f>
        <v>0</v>
      </c>
      <c r="BT5" s="24">
        <f t="shared" si="11"/>
        <v>0</v>
      </c>
    </row>
    <row r="6" spans="1:72" ht="15" customHeight="1" outlineLevel="1" x14ac:dyDescent="0.15">
      <c r="A6" s="33"/>
      <c r="B6" s="33" t="s">
        <v>38</v>
      </c>
      <c r="C6" s="35" t="s">
        <v>363</v>
      </c>
      <c r="D6" s="33">
        <v>11997440</v>
      </c>
      <c r="E6" s="34">
        <v>10</v>
      </c>
      <c r="F6" s="35">
        <v>32</v>
      </c>
      <c r="G6" s="35">
        <v>30</v>
      </c>
      <c r="H6" s="35">
        <v>9</v>
      </c>
      <c r="J6" s="36">
        <f t="shared" si="0"/>
        <v>9.3077850000000009</v>
      </c>
      <c r="K6" s="37">
        <f t="shared" si="1"/>
        <v>0.82753520751093568</v>
      </c>
      <c r="L6" s="35">
        <f t="shared" si="2"/>
        <v>9928304</v>
      </c>
      <c r="M6" s="35">
        <f t="shared" si="3"/>
        <v>1988728</v>
      </c>
      <c r="N6" s="46">
        <v>2415872</v>
      </c>
      <c r="O6" s="38">
        <v>9928304</v>
      </c>
      <c r="P6" s="38">
        <v>877640</v>
      </c>
      <c r="Q6" s="38">
        <v>0</v>
      </c>
      <c r="R6" s="38">
        <v>1111088</v>
      </c>
      <c r="S6" s="38">
        <v>7924984</v>
      </c>
      <c r="T6" s="38">
        <v>14592</v>
      </c>
      <c r="U6" s="47">
        <v>70.418563700000007</v>
      </c>
      <c r="V6" s="47">
        <v>71.671692399999998</v>
      </c>
      <c r="W6" s="47">
        <v>31.609381299999999</v>
      </c>
      <c r="X6" s="47">
        <v>35.185610599999997</v>
      </c>
      <c r="Y6" s="47">
        <v>34.743001300000003</v>
      </c>
      <c r="Z6" s="47">
        <v>50.019521300000001</v>
      </c>
      <c r="AA6" s="47">
        <v>29.220209799999999</v>
      </c>
      <c r="AB6" s="39">
        <v>159.24781899999999</v>
      </c>
      <c r="AC6" s="39">
        <v>2.9398260000000001</v>
      </c>
      <c r="AE6" s="36" t="str">
        <f t="shared" si="4"/>
        <v>·</v>
      </c>
      <c r="AF6" s="37" t="str">
        <f t="shared" si="5"/>
        <v>·</v>
      </c>
      <c r="AG6" s="35" t="str">
        <f t="shared" si="6"/>
        <v>.</v>
      </c>
      <c r="AH6" s="35" t="str">
        <f t="shared" si="7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8"/>
        <v>0</v>
      </c>
      <c r="BQ6" s="40">
        <f t="shared" si="9"/>
        <v>0</v>
      </c>
      <c r="BR6" s="40">
        <f t="shared" si="10"/>
        <v>0</v>
      </c>
      <c r="BS6" s="40">
        <f t="shared" si="11"/>
        <v>0</v>
      </c>
      <c r="BT6" s="40">
        <f t="shared" si="11"/>
        <v>0</v>
      </c>
    </row>
    <row r="7" spans="1:72" ht="15" customHeight="1" outlineLevel="1" x14ac:dyDescent="0.15">
      <c r="A7" s="17"/>
      <c r="B7" s="17" t="s">
        <v>38</v>
      </c>
      <c r="C7" s="19" t="s">
        <v>364</v>
      </c>
      <c r="D7" s="17">
        <v>11997440</v>
      </c>
      <c r="E7" s="18">
        <v>10</v>
      </c>
      <c r="F7" s="19">
        <v>32</v>
      </c>
      <c r="G7" s="19">
        <v>30</v>
      </c>
      <c r="H7" s="19">
        <v>12</v>
      </c>
      <c r="J7" s="20">
        <f t="shared" si="0"/>
        <v>12.3795</v>
      </c>
      <c r="K7" s="21">
        <f t="shared" si="1"/>
        <v>1.1006348020911128</v>
      </c>
      <c r="L7" s="19">
        <f t="shared" si="2"/>
        <v>13204800</v>
      </c>
      <c r="M7" s="19">
        <f t="shared" si="3"/>
        <v>2137088</v>
      </c>
      <c r="N7" s="44">
        <v>4871680</v>
      </c>
      <c r="O7" s="22">
        <v>13204800</v>
      </c>
      <c r="P7" s="22">
        <v>1283216</v>
      </c>
      <c r="Q7" s="22">
        <v>0</v>
      </c>
      <c r="R7" s="22">
        <v>853872</v>
      </c>
      <c r="S7" s="22">
        <v>11052848</v>
      </c>
      <c r="T7" s="22">
        <v>14864</v>
      </c>
      <c r="U7" s="45">
        <v>71.647263100000004</v>
      </c>
      <c r="V7" s="45">
        <v>73.108803899999998</v>
      </c>
      <c r="W7" s="45">
        <v>32.683632600000003</v>
      </c>
      <c r="X7" s="45">
        <v>36.920605899999998</v>
      </c>
      <c r="Y7" s="45">
        <v>36.649890399999997</v>
      </c>
      <c r="Z7" s="45">
        <v>50.7253635</v>
      </c>
      <c r="AA7" s="45">
        <v>30.373678699999999</v>
      </c>
      <c r="AB7" s="23">
        <v>582.79774499999996</v>
      </c>
      <c r="AC7" s="23">
        <v>9.4418190000000006</v>
      </c>
      <c r="AE7" s="20" t="str">
        <f t="shared" si="4"/>
        <v>·</v>
      </c>
      <c r="AF7" s="21" t="str">
        <f t="shared" si="5"/>
        <v>·</v>
      </c>
      <c r="AG7" s="19" t="str">
        <f t="shared" si="6"/>
        <v>.</v>
      </c>
      <c r="AH7" s="19" t="str">
        <f t="shared" si="7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8"/>
        <v>0</v>
      </c>
      <c r="BQ7" s="24">
        <f t="shared" si="9"/>
        <v>0</v>
      </c>
      <c r="BR7" s="24">
        <f t="shared" si="10"/>
        <v>0</v>
      </c>
      <c r="BS7" s="24">
        <f t="shared" si="11"/>
        <v>0</v>
      </c>
      <c r="BT7" s="24">
        <f t="shared" si="11"/>
        <v>0</v>
      </c>
    </row>
    <row r="8" spans="1:72" ht="15" customHeight="1" outlineLevel="1" x14ac:dyDescent="0.15">
      <c r="A8" s="33"/>
      <c r="B8" s="33" t="s">
        <v>38</v>
      </c>
      <c r="C8" s="35" t="s">
        <v>365</v>
      </c>
      <c r="D8" s="33">
        <v>11997440</v>
      </c>
      <c r="E8" s="34">
        <v>10</v>
      </c>
      <c r="F8" s="35">
        <v>32</v>
      </c>
      <c r="G8" s="35">
        <v>30</v>
      </c>
      <c r="H8" s="35">
        <v>15</v>
      </c>
      <c r="J8" s="36">
        <f t="shared" si="0"/>
        <v>15.535575</v>
      </c>
      <c r="K8" s="37">
        <f t="shared" si="1"/>
        <v>1.3812346633948576</v>
      </c>
      <c r="L8" s="35">
        <f t="shared" si="2"/>
        <v>16571280</v>
      </c>
      <c r="M8" s="35">
        <f t="shared" si="3"/>
        <v>2910880</v>
      </c>
      <c r="N8" s="46">
        <v>4871680</v>
      </c>
      <c r="O8" s="38">
        <v>16571280</v>
      </c>
      <c r="P8" s="38">
        <v>1406008</v>
      </c>
      <c r="Q8" s="38">
        <v>0</v>
      </c>
      <c r="R8" s="38">
        <v>1504872</v>
      </c>
      <c r="S8" s="38">
        <v>13645208</v>
      </c>
      <c r="T8" s="38">
        <v>15192</v>
      </c>
      <c r="U8" s="47">
        <v>73.608050599999999</v>
      </c>
      <c r="V8" s="47">
        <v>75.338506499999994</v>
      </c>
      <c r="W8" s="47">
        <v>33.661734299999999</v>
      </c>
      <c r="X8" s="47">
        <v>37.434432700000002</v>
      </c>
      <c r="Y8" s="47">
        <v>37.172205499999997</v>
      </c>
      <c r="Z8" s="47">
        <v>51.820407299999999</v>
      </c>
      <c r="AA8" s="47">
        <v>31.4982513</v>
      </c>
      <c r="AB8" s="39">
        <v>581.55006600000002</v>
      </c>
      <c r="AC8" s="39">
        <v>8.7190180000000002</v>
      </c>
      <c r="AE8" s="36" t="str">
        <f t="shared" si="4"/>
        <v>·</v>
      </c>
      <c r="AF8" s="37" t="str">
        <f t="shared" si="5"/>
        <v>·</v>
      </c>
      <c r="AG8" s="35" t="str">
        <f t="shared" si="6"/>
        <v>.</v>
      </c>
      <c r="AH8" s="35" t="str">
        <f t="shared" si="7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8"/>
        <v>0</v>
      </c>
      <c r="BQ8" s="40">
        <f t="shared" si="9"/>
        <v>0</v>
      </c>
      <c r="BR8" s="40">
        <f t="shared" si="10"/>
        <v>0</v>
      </c>
      <c r="BS8" s="40">
        <f t="shared" si="11"/>
        <v>0</v>
      </c>
      <c r="BT8" s="40">
        <f t="shared" si="11"/>
        <v>0</v>
      </c>
    </row>
    <row r="9" spans="1:72" ht="15.75" customHeight="1" outlineLevel="1" thickBot="1" x14ac:dyDescent="0.2">
      <c r="A9" s="17"/>
      <c r="B9" s="48" t="s">
        <v>38</v>
      </c>
      <c r="C9" s="49" t="s">
        <v>366</v>
      </c>
      <c r="D9" s="48">
        <v>11997440</v>
      </c>
      <c r="E9" s="50">
        <v>10</v>
      </c>
      <c r="F9" s="49">
        <v>32</v>
      </c>
      <c r="G9" s="49">
        <v>30</v>
      </c>
      <c r="H9" s="49">
        <v>22</v>
      </c>
      <c r="J9" s="51">
        <f t="shared" si="0"/>
        <v>22.817055</v>
      </c>
      <c r="K9" s="52">
        <f t="shared" si="1"/>
        <v>2.0286154379600982</v>
      </c>
      <c r="L9" s="49">
        <f t="shared" si="2"/>
        <v>24338192</v>
      </c>
      <c r="M9" s="49">
        <f t="shared" si="3"/>
        <v>4835992</v>
      </c>
      <c r="N9" s="53">
        <v>9785664</v>
      </c>
      <c r="O9" s="54">
        <v>24338192</v>
      </c>
      <c r="P9" s="54">
        <v>2116376</v>
      </c>
      <c r="Q9" s="54">
        <v>0</v>
      </c>
      <c r="R9" s="54">
        <v>2719616</v>
      </c>
      <c r="S9" s="54">
        <v>19486864</v>
      </c>
      <c r="T9" s="54">
        <v>15336</v>
      </c>
      <c r="U9" s="55">
        <v>76.473462999999995</v>
      </c>
      <c r="V9" s="55">
        <v>78.821734199999995</v>
      </c>
      <c r="W9" s="55">
        <v>35.055458700000003</v>
      </c>
      <c r="X9" s="55">
        <v>38.5909026</v>
      </c>
      <c r="Y9" s="55">
        <v>38.313666499999997</v>
      </c>
      <c r="Z9" s="55">
        <v>53.575864299999999</v>
      </c>
      <c r="AA9" s="55">
        <v>33.173015800000002</v>
      </c>
      <c r="AB9" s="56">
        <v>617.15530000000001</v>
      </c>
      <c r="AC9" s="56">
        <v>10.805082000000001</v>
      </c>
      <c r="AE9" s="51" t="str">
        <f t="shared" si="4"/>
        <v>·</v>
      </c>
      <c r="AF9" s="52" t="str">
        <f t="shared" si="5"/>
        <v>·</v>
      </c>
      <c r="AG9" s="49" t="str">
        <f t="shared" si="6"/>
        <v>.</v>
      </c>
      <c r="AH9" s="49" t="str">
        <f t="shared" si="7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8"/>
        <v>0</v>
      </c>
      <c r="BQ9" s="57">
        <f t="shared" si="9"/>
        <v>0</v>
      </c>
      <c r="BR9" s="57">
        <f t="shared" si="10"/>
        <v>0</v>
      </c>
      <c r="BS9" s="57">
        <f t="shared" si="11"/>
        <v>0</v>
      </c>
      <c r="BT9" s="57">
        <f t="shared" si="11"/>
        <v>0</v>
      </c>
    </row>
    <row r="10" spans="1:72" ht="15" customHeight="1" x14ac:dyDescent="0.15">
      <c r="A10" s="33"/>
      <c r="B10" s="33" t="s">
        <v>46</v>
      </c>
      <c r="C10" s="35" t="s">
        <v>362</v>
      </c>
      <c r="D10" s="33">
        <v>9000000</v>
      </c>
      <c r="E10" s="34">
        <v>10</v>
      </c>
      <c r="F10" s="35">
        <v>32</v>
      </c>
      <c r="G10" s="35">
        <v>30</v>
      </c>
      <c r="H10" s="35">
        <v>5</v>
      </c>
      <c r="J10" s="36">
        <f t="shared" si="0"/>
        <v>5.1247125000000002</v>
      </c>
      <c r="K10" s="37">
        <f t="shared" si="1"/>
        <v>0.60737333333333332</v>
      </c>
      <c r="L10" s="35">
        <f t="shared" si="2"/>
        <v>5466360</v>
      </c>
      <c r="M10" s="35">
        <f t="shared" si="3"/>
        <v>1579176</v>
      </c>
      <c r="N10" s="46">
        <v>2393664</v>
      </c>
      <c r="O10" s="38">
        <v>5466360</v>
      </c>
      <c r="P10" s="38">
        <v>876904</v>
      </c>
      <c r="Q10" s="38">
        <v>0</v>
      </c>
      <c r="R10" s="38">
        <v>702272</v>
      </c>
      <c r="S10" s="38">
        <v>3871888</v>
      </c>
      <c r="T10" s="38">
        <v>15296</v>
      </c>
      <c r="U10" s="47">
        <v>65.783846600000004</v>
      </c>
      <c r="V10" s="47">
        <v>66.513237899999993</v>
      </c>
      <c r="W10" s="47">
        <v>32.103553499999997</v>
      </c>
      <c r="X10" s="47">
        <v>44.794141799999998</v>
      </c>
      <c r="Y10" s="47">
        <v>45.118124600000002</v>
      </c>
      <c r="Z10" s="47">
        <v>44.446917499999998</v>
      </c>
      <c r="AA10" s="47">
        <v>29.6049164</v>
      </c>
      <c r="AB10" s="39">
        <v>822.33103200000005</v>
      </c>
      <c r="AC10" s="39">
        <v>7.6935140000000004</v>
      </c>
      <c r="AE10" s="36" t="str">
        <f t="shared" si="4"/>
        <v>·</v>
      </c>
      <c r="AF10" s="37" t="str">
        <f t="shared" si="5"/>
        <v>·</v>
      </c>
      <c r="AG10" s="35" t="str">
        <f t="shared" si="6"/>
        <v>.</v>
      </c>
      <c r="AH10" s="35" t="str">
        <f t="shared" si="7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8"/>
        <v>0</v>
      </c>
      <c r="BQ10" s="40">
        <f t="shared" si="9"/>
        <v>0</v>
      </c>
      <c r="BR10" s="40">
        <f t="shared" si="10"/>
        <v>0</v>
      </c>
      <c r="BS10" s="40">
        <f t="shared" si="11"/>
        <v>0</v>
      </c>
      <c r="BT10" s="40">
        <f t="shared" si="11"/>
        <v>0</v>
      </c>
    </row>
    <row r="11" spans="1:72" ht="15" customHeight="1" outlineLevel="1" x14ac:dyDescent="0.15">
      <c r="A11" s="17"/>
      <c r="B11" s="17" t="s">
        <v>46</v>
      </c>
      <c r="C11" s="19" t="s">
        <v>363</v>
      </c>
      <c r="D11" s="17">
        <v>9000000</v>
      </c>
      <c r="E11" s="18">
        <v>10</v>
      </c>
      <c r="F11" s="19">
        <v>32</v>
      </c>
      <c r="G11" s="19">
        <v>30</v>
      </c>
      <c r="H11" s="19">
        <v>9</v>
      </c>
      <c r="J11" s="20">
        <f t="shared" si="0"/>
        <v>9.2570475000000005</v>
      </c>
      <c r="K11" s="21">
        <f t="shared" si="1"/>
        <v>1.0971315555555556</v>
      </c>
      <c r="L11" s="19">
        <f t="shared" si="2"/>
        <v>9874184</v>
      </c>
      <c r="M11" s="19">
        <f t="shared" si="3"/>
        <v>2548280</v>
      </c>
      <c r="N11" s="44">
        <v>4847680</v>
      </c>
      <c r="O11" s="22">
        <v>9874184</v>
      </c>
      <c r="P11" s="22">
        <v>1391312</v>
      </c>
      <c r="Q11" s="22">
        <v>0</v>
      </c>
      <c r="R11" s="22">
        <v>1156968</v>
      </c>
      <c r="S11" s="22">
        <v>7309944</v>
      </c>
      <c r="T11" s="22">
        <v>15960</v>
      </c>
      <c r="U11" s="45">
        <v>70.253500200000005</v>
      </c>
      <c r="V11" s="45">
        <v>71.592475699999994</v>
      </c>
      <c r="W11" s="45">
        <v>34.815476500000003</v>
      </c>
      <c r="X11" s="45">
        <v>45.450841699999998</v>
      </c>
      <c r="Y11" s="45">
        <v>45.850892199999997</v>
      </c>
      <c r="Z11" s="45">
        <v>46.997547599999997</v>
      </c>
      <c r="AA11" s="45">
        <v>32.312636500000004</v>
      </c>
      <c r="AB11" s="23">
        <v>771.99984099999995</v>
      </c>
      <c r="AC11" s="23">
        <v>10.978319000000001</v>
      </c>
      <c r="AE11" s="20" t="str">
        <f t="shared" si="4"/>
        <v>·</v>
      </c>
      <c r="AF11" s="21" t="str">
        <f t="shared" si="5"/>
        <v>·</v>
      </c>
      <c r="AG11" s="19" t="str">
        <f t="shared" si="6"/>
        <v>.</v>
      </c>
      <c r="AH11" s="19" t="str">
        <f t="shared" si="7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8"/>
        <v>0</v>
      </c>
      <c r="BQ11" s="24">
        <f t="shared" si="9"/>
        <v>0</v>
      </c>
      <c r="BR11" s="24">
        <f t="shared" si="10"/>
        <v>0</v>
      </c>
      <c r="BS11" s="24">
        <f t="shared" si="11"/>
        <v>0</v>
      </c>
      <c r="BT11" s="24">
        <f t="shared" si="11"/>
        <v>0</v>
      </c>
    </row>
    <row r="12" spans="1:72" ht="15" customHeight="1" outlineLevel="1" x14ac:dyDescent="0.15">
      <c r="A12" s="33"/>
      <c r="B12" s="33" t="s">
        <v>46</v>
      </c>
      <c r="C12" s="35" t="s">
        <v>364</v>
      </c>
      <c r="D12" s="33">
        <v>9000000</v>
      </c>
      <c r="E12" s="34">
        <v>10</v>
      </c>
      <c r="F12" s="35">
        <v>32</v>
      </c>
      <c r="G12" s="35">
        <v>30</v>
      </c>
      <c r="H12" s="35">
        <v>12</v>
      </c>
      <c r="J12" s="36">
        <f t="shared" si="0"/>
        <v>12.399134999999999</v>
      </c>
      <c r="K12" s="37">
        <f t="shared" si="1"/>
        <v>1.469527111111111</v>
      </c>
      <c r="L12" s="35">
        <f t="shared" si="2"/>
        <v>13225744</v>
      </c>
      <c r="M12" s="35">
        <f t="shared" si="3"/>
        <v>3977656</v>
      </c>
      <c r="N12" s="46">
        <v>4847680</v>
      </c>
      <c r="O12" s="38">
        <v>13225744</v>
      </c>
      <c r="P12" s="38">
        <v>1391312</v>
      </c>
      <c r="Q12" s="38">
        <v>0</v>
      </c>
      <c r="R12" s="38">
        <v>2586344</v>
      </c>
      <c r="S12" s="38">
        <v>9233280</v>
      </c>
      <c r="T12" s="38">
        <v>14808</v>
      </c>
      <c r="U12" s="47">
        <v>72.589151000000001</v>
      </c>
      <c r="V12" s="47">
        <v>74.248606699999996</v>
      </c>
      <c r="W12" s="47">
        <v>35.880331200000001</v>
      </c>
      <c r="X12" s="47">
        <v>45.765915100000001</v>
      </c>
      <c r="Y12" s="47">
        <v>46.215980999999999</v>
      </c>
      <c r="Z12" s="47">
        <v>48.2623332</v>
      </c>
      <c r="AA12" s="47">
        <v>33.599946899999999</v>
      </c>
      <c r="AB12" s="39">
        <v>933.18860099999995</v>
      </c>
      <c r="AC12" s="39">
        <v>14.840536999999999</v>
      </c>
      <c r="AE12" s="36" t="str">
        <f t="shared" si="4"/>
        <v>·</v>
      </c>
      <c r="AF12" s="37" t="str">
        <f t="shared" si="5"/>
        <v>·</v>
      </c>
      <c r="AG12" s="35" t="str">
        <f t="shared" si="6"/>
        <v>.</v>
      </c>
      <c r="AH12" s="35" t="str">
        <f t="shared" si="7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8"/>
        <v>0</v>
      </c>
      <c r="BQ12" s="40">
        <f t="shared" si="9"/>
        <v>0</v>
      </c>
      <c r="BR12" s="40">
        <f t="shared" si="10"/>
        <v>0</v>
      </c>
      <c r="BS12" s="40">
        <f t="shared" si="11"/>
        <v>0</v>
      </c>
      <c r="BT12" s="40">
        <f t="shared" si="11"/>
        <v>0</v>
      </c>
    </row>
    <row r="13" spans="1:72" ht="15" customHeight="1" outlineLevel="1" x14ac:dyDescent="0.15">
      <c r="A13" s="17"/>
      <c r="B13" s="17" t="s">
        <v>46</v>
      </c>
      <c r="C13" s="19" t="s">
        <v>365</v>
      </c>
      <c r="D13" s="17">
        <v>9000000</v>
      </c>
      <c r="E13" s="18">
        <v>10</v>
      </c>
      <c r="F13" s="19">
        <v>32</v>
      </c>
      <c r="G13" s="19">
        <v>30</v>
      </c>
      <c r="H13" s="19">
        <v>15</v>
      </c>
      <c r="J13" s="20">
        <f t="shared" si="0"/>
        <v>15.438487500000001</v>
      </c>
      <c r="K13" s="21">
        <f t="shared" si="1"/>
        <v>1.8297466666666666</v>
      </c>
      <c r="L13" s="19">
        <f t="shared" si="2"/>
        <v>16467720</v>
      </c>
      <c r="M13" s="19">
        <f t="shared" si="3"/>
        <v>4756688</v>
      </c>
      <c r="N13" s="44">
        <v>9761152</v>
      </c>
      <c r="O13" s="22">
        <v>16467720</v>
      </c>
      <c r="P13" s="22">
        <v>2288368</v>
      </c>
      <c r="Q13" s="22">
        <v>0</v>
      </c>
      <c r="R13" s="22">
        <v>2468320</v>
      </c>
      <c r="S13" s="22">
        <v>11695328</v>
      </c>
      <c r="T13" s="22">
        <v>15704</v>
      </c>
      <c r="U13" s="45">
        <v>74.445802599999993</v>
      </c>
      <c r="V13" s="45">
        <v>76.451442599999993</v>
      </c>
      <c r="W13" s="45">
        <v>36.977600099999997</v>
      </c>
      <c r="X13" s="45">
        <v>46.534670900000002</v>
      </c>
      <c r="Y13" s="45">
        <v>47.095108199999999</v>
      </c>
      <c r="Z13" s="45">
        <v>49.406626500000002</v>
      </c>
      <c r="AA13" s="45">
        <v>34.797132499999996</v>
      </c>
      <c r="AB13" s="23">
        <v>722.95426199999997</v>
      </c>
      <c r="AC13" s="23">
        <v>16.178518</v>
      </c>
      <c r="AE13" s="20" t="str">
        <f t="shared" si="4"/>
        <v>·</v>
      </c>
      <c r="AF13" s="21" t="str">
        <f t="shared" si="5"/>
        <v>·</v>
      </c>
      <c r="AG13" s="19" t="str">
        <f t="shared" si="6"/>
        <v>.</v>
      </c>
      <c r="AH13" s="19" t="str">
        <f t="shared" si="7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8"/>
        <v>0</v>
      </c>
      <c r="BQ13" s="24">
        <f t="shared" si="9"/>
        <v>0</v>
      </c>
      <c r="BR13" s="24">
        <f t="shared" si="10"/>
        <v>0</v>
      </c>
      <c r="BS13" s="24">
        <f t="shared" si="11"/>
        <v>0</v>
      </c>
      <c r="BT13" s="24">
        <f t="shared" si="11"/>
        <v>0</v>
      </c>
    </row>
    <row r="14" spans="1:72" ht="15.75" customHeight="1" outlineLevel="1" thickBot="1" x14ac:dyDescent="0.2">
      <c r="A14" s="25"/>
      <c r="B14" s="25" t="s">
        <v>46</v>
      </c>
      <c r="C14" s="27" t="s">
        <v>366</v>
      </c>
      <c r="D14" s="25">
        <v>9000000</v>
      </c>
      <c r="E14" s="26">
        <v>10</v>
      </c>
      <c r="F14" s="27">
        <v>32</v>
      </c>
      <c r="G14" s="27">
        <v>30</v>
      </c>
      <c r="H14" s="27">
        <v>22</v>
      </c>
      <c r="J14" s="28">
        <f t="shared" si="0"/>
        <v>22.772745</v>
      </c>
      <c r="K14" s="29">
        <f t="shared" si="1"/>
        <v>2.6989920000000001</v>
      </c>
      <c r="L14" s="27">
        <f t="shared" si="2"/>
        <v>24290928</v>
      </c>
      <c r="M14" s="27">
        <f t="shared" si="3"/>
        <v>5966128</v>
      </c>
      <c r="N14" s="58">
        <v>9761152</v>
      </c>
      <c r="O14" s="30">
        <v>24290928</v>
      </c>
      <c r="P14" s="30">
        <v>2526368</v>
      </c>
      <c r="Q14" s="30">
        <v>0</v>
      </c>
      <c r="R14" s="30">
        <v>3439760</v>
      </c>
      <c r="S14" s="30">
        <v>18309664</v>
      </c>
      <c r="T14" s="30">
        <v>15136</v>
      </c>
      <c r="U14" s="59">
        <v>75.537888800000005</v>
      </c>
      <c r="V14" s="59">
        <v>77.796266099999997</v>
      </c>
      <c r="W14" s="59">
        <v>38.675234500000002</v>
      </c>
      <c r="X14" s="59">
        <v>47.556652</v>
      </c>
      <c r="Y14" s="59">
        <v>48.223664499999998</v>
      </c>
      <c r="Z14" s="59">
        <v>50.046093999999997</v>
      </c>
      <c r="AA14" s="59">
        <v>36.093982799999999</v>
      </c>
      <c r="AB14" s="31">
        <v>891.40675499999998</v>
      </c>
      <c r="AC14" s="31">
        <v>12.011789</v>
      </c>
      <c r="AE14" s="28" t="str">
        <f t="shared" si="4"/>
        <v>·</v>
      </c>
      <c r="AF14" s="29" t="str">
        <f t="shared" si="5"/>
        <v>·</v>
      </c>
      <c r="AG14" s="27" t="str">
        <f t="shared" si="6"/>
        <v>.</v>
      </c>
      <c r="AH14" s="27" t="str">
        <f t="shared" si="7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8"/>
        <v>0</v>
      </c>
      <c r="BQ14" s="32">
        <f t="shared" si="9"/>
        <v>0</v>
      </c>
      <c r="BR14" s="32">
        <f t="shared" si="10"/>
        <v>0</v>
      </c>
      <c r="BS14" s="32">
        <f t="shared" si="11"/>
        <v>0</v>
      </c>
      <c r="BT14" s="32">
        <f t="shared" si="11"/>
        <v>0</v>
      </c>
    </row>
    <row r="15" spans="1:72" ht="15" customHeight="1" x14ac:dyDescent="0.15">
      <c r="A15" s="17" t="s">
        <v>176</v>
      </c>
      <c r="B15" s="17" t="s">
        <v>51</v>
      </c>
      <c r="C15" s="19" t="s">
        <v>362</v>
      </c>
      <c r="D15" s="17">
        <v>11842002</v>
      </c>
      <c r="E15" s="18">
        <v>12</v>
      </c>
      <c r="F15" s="19">
        <v>32</v>
      </c>
      <c r="G15" s="19">
        <v>30</v>
      </c>
      <c r="H15" s="19">
        <v>3</v>
      </c>
      <c r="J15" s="20">
        <f t="shared" si="0"/>
        <v>3.0231525000000001</v>
      </c>
      <c r="K15" s="21">
        <f t="shared" si="1"/>
        <v>0.27231003676574284</v>
      </c>
      <c r="L15" s="19">
        <f t="shared" si="2"/>
        <v>3224696</v>
      </c>
      <c r="M15" s="19">
        <f t="shared" si="3"/>
        <v>1212088</v>
      </c>
      <c r="N15" s="44">
        <v>2419456</v>
      </c>
      <c r="O15" s="22">
        <v>3224696</v>
      </c>
      <c r="P15" s="22">
        <v>694568</v>
      </c>
      <c r="Q15" s="22">
        <v>0</v>
      </c>
      <c r="R15" s="22">
        <v>517520</v>
      </c>
      <c r="S15" s="22">
        <v>1996904</v>
      </c>
      <c r="T15" s="22">
        <v>15704</v>
      </c>
      <c r="U15" s="45">
        <v>71.326258199999998</v>
      </c>
      <c r="V15" s="45">
        <v>72.581992499999998</v>
      </c>
      <c r="W15" s="45">
        <v>35.580561600000003</v>
      </c>
      <c r="X15" s="45">
        <v>43.402456000000001</v>
      </c>
      <c r="Y15" s="45">
        <v>45.032065099999997</v>
      </c>
      <c r="Z15" s="45">
        <v>45.264113199999997</v>
      </c>
      <c r="AA15" s="45">
        <v>32.314426599999997</v>
      </c>
      <c r="AB15" s="23">
        <v>596.93160599999999</v>
      </c>
      <c r="AC15" s="23">
        <v>7.9435250000000002</v>
      </c>
      <c r="AE15" s="20" t="str">
        <f t="shared" si="4"/>
        <v>·</v>
      </c>
      <c r="AF15" s="21" t="str">
        <f t="shared" si="5"/>
        <v>·</v>
      </c>
      <c r="AG15" s="19" t="str">
        <f t="shared" si="6"/>
        <v>.</v>
      </c>
      <c r="AH15" s="19" t="str">
        <f t="shared" si="7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8"/>
        <v>0</v>
      </c>
      <c r="BQ15" s="24">
        <f t="shared" si="9"/>
        <v>0</v>
      </c>
      <c r="BR15" s="24">
        <f t="shared" si="10"/>
        <v>0</v>
      </c>
      <c r="BS15" s="24">
        <f t="shared" si="11"/>
        <v>0</v>
      </c>
      <c r="BT15" s="24">
        <f t="shared" si="11"/>
        <v>0</v>
      </c>
    </row>
    <row r="16" spans="1:72" ht="15" customHeight="1" outlineLevel="1" x14ac:dyDescent="0.15">
      <c r="A16" s="33"/>
      <c r="B16" s="33" t="s">
        <v>51</v>
      </c>
      <c r="C16" s="35" t="s">
        <v>363</v>
      </c>
      <c r="D16" s="33">
        <v>11842002</v>
      </c>
      <c r="E16" s="34">
        <v>12</v>
      </c>
      <c r="F16" s="35">
        <v>32</v>
      </c>
      <c r="G16" s="35">
        <v>30</v>
      </c>
      <c r="H16" s="35">
        <v>5</v>
      </c>
      <c r="J16" s="36">
        <f t="shared" si="0"/>
        <v>5.0713125000000003</v>
      </c>
      <c r="K16" s="37">
        <f t="shared" si="1"/>
        <v>0.45679776105425418</v>
      </c>
      <c r="L16" s="35">
        <f t="shared" si="2"/>
        <v>5409400</v>
      </c>
      <c r="M16" s="35">
        <f t="shared" si="3"/>
        <v>1540760</v>
      </c>
      <c r="N16" s="46">
        <v>2419456</v>
      </c>
      <c r="O16" s="38">
        <v>5409400</v>
      </c>
      <c r="P16" s="38">
        <v>756080</v>
      </c>
      <c r="Q16" s="38">
        <v>0</v>
      </c>
      <c r="R16" s="38">
        <v>784680</v>
      </c>
      <c r="S16" s="38">
        <v>3853072</v>
      </c>
      <c r="T16" s="38">
        <v>15568</v>
      </c>
      <c r="U16" s="47">
        <v>73.023513500000007</v>
      </c>
      <c r="V16" s="47">
        <v>74.443340199999994</v>
      </c>
      <c r="W16" s="47">
        <v>38.3376527</v>
      </c>
      <c r="X16" s="47">
        <v>44.013587600000001</v>
      </c>
      <c r="Y16" s="47">
        <v>46.249987300000001</v>
      </c>
      <c r="Z16" s="47">
        <v>46.1027433</v>
      </c>
      <c r="AA16" s="47">
        <v>33.932357799999998</v>
      </c>
      <c r="AB16" s="39">
        <v>647.04173500000002</v>
      </c>
      <c r="AC16" s="39">
        <v>13.374801</v>
      </c>
      <c r="AE16" s="36" t="str">
        <f t="shared" si="4"/>
        <v>·</v>
      </c>
      <c r="AF16" s="37" t="str">
        <f t="shared" si="5"/>
        <v>·</v>
      </c>
      <c r="AG16" s="35" t="str">
        <f t="shared" si="6"/>
        <v>.</v>
      </c>
      <c r="AH16" s="35" t="str">
        <f t="shared" si="7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8"/>
        <v>0</v>
      </c>
      <c r="BQ16" s="40">
        <f t="shared" si="9"/>
        <v>0</v>
      </c>
      <c r="BR16" s="40">
        <f t="shared" si="10"/>
        <v>0</v>
      </c>
      <c r="BS16" s="40">
        <f t="shared" si="11"/>
        <v>0</v>
      </c>
      <c r="BT16" s="40">
        <f t="shared" si="11"/>
        <v>0</v>
      </c>
    </row>
    <row r="17" spans="1:72" ht="15" customHeight="1" outlineLevel="1" x14ac:dyDescent="0.15">
      <c r="A17" s="17"/>
      <c r="B17" s="17" t="s">
        <v>51</v>
      </c>
      <c r="C17" s="19" t="s">
        <v>364</v>
      </c>
      <c r="D17" s="17">
        <v>11842002</v>
      </c>
      <c r="E17" s="18">
        <v>12</v>
      </c>
      <c r="F17" s="19">
        <v>32</v>
      </c>
      <c r="G17" s="19">
        <v>30</v>
      </c>
      <c r="H17" s="19">
        <v>10</v>
      </c>
      <c r="J17" s="20">
        <f t="shared" si="0"/>
        <v>10.153815</v>
      </c>
      <c r="K17" s="21">
        <f t="shared" si="1"/>
        <v>0.91460345978661384</v>
      </c>
      <c r="L17" s="19">
        <f t="shared" si="2"/>
        <v>10830736</v>
      </c>
      <c r="M17" s="19">
        <f t="shared" si="3"/>
        <v>3045632</v>
      </c>
      <c r="N17" s="44">
        <v>4841472</v>
      </c>
      <c r="O17" s="22">
        <v>10830736</v>
      </c>
      <c r="P17" s="22">
        <v>1261600</v>
      </c>
      <c r="Q17" s="22">
        <v>0</v>
      </c>
      <c r="R17" s="22">
        <v>1784032</v>
      </c>
      <c r="S17" s="22">
        <v>7769680</v>
      </c>
      <c r="T17" s="22">
        <v>15424</v>
      </c>
      <c r="U17" s="45">
        <v>77.964435699999996</v>
      </c>
      <c r="V17" s="45">
        <v>80.144497999999999</v>
      </c>
      <c r="W17" s="45">
        <v>40.972319900000002</v>
      </c>
      <c r="X17" s="45">
        <v>44.954806300000001</v>
      </c>
      <c r="Y17" s="45">
        <v>48.009229400000002</v>
      </c>
      <c r="Z17" s="45">
        <v>48.785388099999999</v>
      </c>
      <c r="AA17" s="45">
        <v>37.153125500000002</v>
      </c>
      <c r="AB17" s="23">
        <v>689.12170900000001</v>
      </c>
      <c r="AC17" s="23">
        <v>9.8595679999999994</v>
      </c>
      <c r="AE17" s="20" t="str">
        <f t="shared" si="4"/>
        <v>·</v>
      </c>
      <c r="AF17" s="21" t="str">
        <f t="shared" si="5"/>
        <v>·</v>
      </c>
      <c r="AG17" s="19" t="str">
        <f t="shared" si="6"/>
        <v>.</v>
      </c>
      <c r="AH17" s="19" t="str">
        <f t="shared" si="7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8"/>
        <v>0</v>
      </c>
      <c r="BQ17" s="24">
        <f t="shared" si="9"/>
        <v>0</v>
      </c>
      <c r="BR17" s="24">
        <f t="shared" si="10"/>
        <v>0</v>
      </c>
      <c r="BS17" s="24">
        <f t="shared" si="11"/>
        <v>0</v>
      </c>
      <c r="BT17" s="24">
        <f t="shared" si="11"/>
        <v>0</v>
      </c>
    </row>
    <row r="18" spans="1:72" ht="15" customHeight="1" outlineLevel="1" x14ac:dyDescent="0.15">
      <c r="A18" s="33"/>
      <c r="B18" s="33" t="s">
        <v>51</v>
      </c>
      <c r="C18" s="35" t="s">
        <v>365</v>
      </c>
      <c r="D18" s="33">
        <v>11842002</v>
      </c>
      <c r="E18" s="34">
        <v>12</v>
      </c>
      <c r="F18" s="35">
        <v>32</v>
      </c>
      <c r="G18" s="35">
        <v>30</v>
      </c>
      <c r="H18" s="35">
        <v>14</v>
      </c>
      <c r="J18" s="36">
        <f t="shared" si="0"/>
        <v>14.4090975</v>
      </c>
      <c r="K18" s="37">
        <f t="shared" si="1"/>
        <v>1.2978974332211732</v>
      </c>
      <c r="L18" s="35">
        <f t="shared" si="2"/>
        <v>15369704</v>
      </c>
      <c r="M18" s="35">
        <f t="shared" si="3"/>
        <v>4084448</v>
      </c>
      <c r="N18" s="46">
        <v>9684544</v>
      </c>
      <c r="O18" s="38">
        <v>15369704</v>
      </c>
      <c r="P18" s="38">
        <v>2177288</v>
      </c>
      <c r="Q18" s="38">
        <v>0</v>
      </c>
      <c r="R18" s="38">
        <v>1907160</v>
      </c>
      <c r="S18" s="38">
        <v>11269528</v>
      </c>
      <c r="T18" s="38">
        <v>15728</v>
      </c>
      <c r="U18" s="47">
        <v>79.369476599999999</v>
      </c>
      <c r="V18" s="47">
        <v>82.001391499999997</v>
      </c>
      <c r="W18" s="47">
        <v>41.930512499999999</v>
      </c>
      <c r="X18" s="47">
        <v>45.649424400000001</v>
      </c>
      <c r="Y18" s="47">
        <v>49.182352299999998</v>
      </c>
      <c r="Z18" s="47">
        <v>49.753107900000003</v>
      </c>
      <c r="AA18" s="47">
        <v>38.278638299999997</v>
      </c>
      <c r="AB18" s="39">
        <v>793.83128599999998</v>
      </c>
      <c r="AC18" s="39">
        <v>10.466457999999999</v>
      </c>
      <c r="AE18" s="36" t="str">
        <f t="shared" si="4"/>
        <v>·</v>
      </c>
      <c r="AF18" s="37" t="str">
        <f t="shared" si="5"/>
        <v>·</v>
      </c>
      <c r="AG18" s="35" t="str">
        <f t="shared" si="6"/>
        <v>.</v>
      </c>
      <c r="AH18" s="35" t="str">
        <f t="shared" si="7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8"/>
        <v>0</v>
      </c>
      <c r="BQ18" s="40">
        <f t="shared" si="9"/>
        <v>0</v>
      </c>
      <c r="BR18" s="40">
        <f t="shared" si="10"/>
        <v>0</v>
      </c>
      <c r="BS18" s="40">
        <f t="shared" si="11"/>
        <v>0</v>
      </c>
      <c r="BT18" s="40">
        <f t="shared" si="11"/>
        <v>0</v>
      </c>
    </row>
    <row r="19" spans="1:72" ht="15.75" customHeight="1" outlineLevel="1" thickBot="1" x14ac:dyDescent="0.2">
      <c r="A19" s="17"/>
      <c r="B19" s="48" t="s">
        <v>51</v>
      </c>
      <c r="C19" s="49" t="s">
        <v>366</v>
      </c>
      <c r="D19" s="48">
        <v>11842002</v>
      </c>
      <c r="E19" s="50">
        <v>12</v>
      </c>
      <c r="F19" s="49">
        <v>32</v>
      </c>
      <c r="G19" s="49">
        <v>30</v>
      </c>
      <c r="H19" s="49">
        <v>21</v>
      </c>
      <c r="J19" s="51">
        <f t="shared" si="0"/>
        <v>21.630457499999999</v>
      </c>
      <c r="K19" s="52">
        <f t="shared" si="1"/>
        <v>1.9483604208139806</v>
      </c>
      <c r="L19" s="49">
        <f t="shared" si="2"/>
        <v>23072488</v>
      </c>
      <c r="M19" s="49">
        <f t="shared" si="3"/>
        <v>4321400</v>
      </c>
      <c r="N19" s="53">
        <v>9684544</v>
      </c>
      <c r="O19" s="54">
        <v>23072488</v>
      </c>
      <c r="P19" s="54">
        <v>2177288</v>
      </c>
      <c r="Q19" s="54">
        <v>0</v>
      </c>
      <c r="R19" s="54">
        <v>2144112</v>
      </c>
      <c r="S19" s="54">
        <v>18735048</v>
      </c>
      <c r="T19" s="54">
        <v>16040</v>
      </c>
      <c r="U19" s="55">
        <v>79.739226700000003</v>
      </c>
      <c r="V19" s="55">
        <v>82.522904299999993</v>
      </c>
      <c r="W19" s="55">
        <v>42.919779599999998</v>
      </c>
      <c r="X19" s="55">
        <v>46.580887300000001</v>
      </c>
      <c r="Y19" s="55">
        <v>50.529253799999999</v>
      </c>
      <c r="Z19" s="55">
        <v>49.956420000000001</v>
      </c>
      <c r="AA19" s="55">
        <v>38.8386408</v>
      </c>
      <c r="AB19" s="56">
        <v>797.97055899999998</v>
      </c>
      <c r="AC19" s="56">
        <v>17.248642</v>
      </c>
      <c r="AE19" s="51" t="str">
        <f t="shared" si="4"/>
        <v>·</v>
      </c>
      <c r="AF19" s="52" t="str">
        <f t="shared" si="5"/>
        <v>·</v>
      </c>
      <c r="AG19" s="49" t="str">
        <f t="shared" si="6"/>
        <v>.</v>
      </c>
      <c r="AH19" s="49" t="str">
        <f t="shared" si="7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8"/>
        <v>0</v>
      </c>
      <c r="BQ19" s="57">
        <f t="shared" si="9"/>
        <v>0</v>
      </c>
      <c r="BR19" s="57">
        <f t="shared" si="10"/>
        <v>0</v>
      </c>
      <c r="BS19" s="57">
        <f t="shared" si="11"/>
        <v>0</v>
      </c>
      <c r="BT19" s="57">
        <f t="shared" si="11"/>
        <v>0</v>
      </c>
    </row>
    <row r="20" spans="1:72" ht="15" customHeight="1" x14ac:dyDescent="0.15">
      <c r="A20" s="33"/>
      <c r="B20" s="33" t="s">
        <v>56</v>
      </c>
      <c r="C20" s="35" t="s">
        <v>362</v>
      </c>
      <c r="D20" s="33">
        <v>11812090</v>
      </c>
      <c r="E20" s="34">
        <v>12</v>
      </c>
      <c r="F20" s="35">
        <v>32</v>
      </c>
      <c r="G20" s="35">
        <v>30</v>
      </c>
      <c r="H20" s="35">
        <v>3</v>
      </c>
      <c r="J20" s="36">
        <f t="shared" si="0"/>
        <v>2.9930325</v>
      </c>
      <c r="K20" s="37">
        <f t="shared" si="1"/>
        <v>0.27027968801456814</v>
      </c>
      <c r="L20" s="35">
        <f t="shared" si="2"/>
        <v>3192568</v>
      </c>
      <c r="M20" s="35">
        <f t="shared" si="3"/>
        <v>1177856</v>
      </c>
      <c r="N20" s="46">
        <v>2417984</v>
      </c>
      <c r="O20" s="38">
        <v>3192568</v>
      </c>
      <c r="P20" s="38">
        <v>670496</v>
      </c>
      <c r="Q20" s="38">
        <v>0</v>
      </c>
      <c r="R20" s="38">
        <v>507360</v>
      </c>
      <c r="S20" s="38">
        <v>1998952</v>
      </c>
      <c r="T20" s="38">
        <v>15760</v>
      </c>
      <c r="U20" s="47">
        <v>71.328216299999994</v>
      </c>
      <c r="V20" s="47">
        <v>72.652432399999995</v>
      </c>
      <c r="W20" s="47">
        <v>34.506764799999999</v>
      </c>
      <c r="X20" s="47">
        <v>42.799653200000002</v>
      </c>
      <c r="Y20" s="47">
        <v>44.005317300000002</v>
      </c>
      <c r="Z20" s="47">
        <v>48.234563899999998</v>
      </c>
      <c r="AA20" s="47">
        <v>31.368073500000001</v>
      </c>
      <c r="AB20" s="39">
        <v>133.67422099999999</v>
      </c>
      <c r="AC20" s="39">
        <v>2.7333270000000001</v>
      </c>
      <c r="AE20" s="36" t="str">
        <f t="shared" si="4"/>
        <v>·</v>
      </c>
      <c r="AF20" s="37" t="str">
        <f t="shared" si="5"/>
        <v>·</v>
      </c>
      <c r="AG20" s="35" t="str">
        <f t="shared" si="6"/>
        <v>.</v>
      </c>
      <c r="AH20" s="35" t="str">
        <f t="shared" si="7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8"/>
        <v>0</v>
      </c>
      <c r="BQ20" s="40">
        <f t="shared" si="9"/>
        <v>0</v>
      </c>
      <c r="BR20" s="40">
        <f t="shared" si="10"/>
        <v>0</v>
      </c>
      <c r="BS20" s="40">
        <f t="shared" si="11"/>
        <v>0</v>
      </c>
      <c r="BT20" s="40">
        <f t="shared" si="11"/>
        <v>0</v>
      </c>
    </row>
    <row r="21" spans="1:72" ht="15" customHeight="1" outlineLevel="1" x14ac:dyDescent="0.15">
      <c r="A21" s="17"/>
      <c r="B21" s="17" t="s">
        <v>56</v>
      </c>
      <c r="C21" s="19" t="s">
        <v>363</v>
      </c>
      <c r="D21" s="17">
        <v>11812090</v>
      </c>
      <c r="E21" s="18">
        <v>12</v>
      </c>
      <c r="F21" s="19">
        <v>32</v>
      </c>
      <c r="G21" s="19">
        <v>30</v>
      </c>
      <c r="H21" s="19">
        <v>5</v>
      </c>
      <c r="J21" s="20">
        <f t="shared" si="0"/>
        <v>5.0589075000000001</v>
      </c>
      <c r="K21" s="21">
        <f t="shared" si="1"/>
        <v>0.45683431128614832</v>
      </c>
      <c r="L21" s="19">
        <f t="shared" si="2"/>
        <v>5396168</v>
      </c>
      <c r="M21" s="19">
        <f t="shared" si="3"/>
        <v>1235120</v>
      </c>
      <c r="N21" s="44">
        <v>2417984</v>
      </c>
      <c r="O21" s="22">
        <v>5396168</v>
      </c>
      <c r="P21" s="22">
        <v>670496</v>
      </c>
      <c r="Q21" s="22">
        <v>0</v>
      </c>
      <c r="R21" s="22">
        <v>564624</v>
      </c>
      <c r="S21" s="22">
        <v>4145136</v>
      </c>
      <c r="T21" s="22">
        <v>15912</v>
      </c>
      <c r="U21" s="45">
        <v>71.749774400000007</v>
      </c>
      <c r="V21" s="45">
        <v>73.117669699999993</v>
      </c>
      <c r="W21" s="45">
        <v>37.366991400000003</v>
      </c>
      <c r="X21" s="45">
        <v>44.013502899999999</v>
      </c>
      <c r="Y21" s="45">
        <v>45.979660500000001</v>
      </c>
      <c r="Z21" s="45">
        <v>48.434655999999997</v>
      </c>
      <c r="AA21" s="45">
        <v>32.561694199999998</v>
      </c>
      <c r="AB21" s="23">
        <v>626.13548900000001</v>
      </c>
      <c r="AC21" s="23">
        <v>8.1030789999999993</v>
      </c>
      <c r="AE21" s="20" t="str">
        <f t="shared" si="4"/>
        <v>·</v>
      </c>
      <c r="AF21" s="21" t="str">
        <f t="shared" si="5"/>
        <v>·</v>
      </c>
      <c r="AG21" s="19" t="str">
        <f t="shared" si="6"/>
        <v>.</v>
      </c>
      <c r="AH21" s="19" t="str">
        <f t="shared" si="7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8"/>
        <v>0</v>
      </c>
      <c r="BQ21" s="24">
        <f t="shared" si="9"/>
        <v>0</v>
      </c>
      <c r="BR21" s="24">
        <f t="shared" si="10"/>
        <v>0</v>
      </c>
      <c r="BS21" s="24">
        <f t="shared" si="11"/>
        <v>0</v>
      </c>
      <c r="BT21" s="24">
        <f t="shared" si="11"/>
        <v>0</v>
      </c>
    </row>
    <row r="22" spans="1:72" ht="15" customHeight="1" outlineLevel="1" x14ac:dyDescent="0.15">
      <c r="A22" s="33"/>
      <c r="B22" s="33" t="s">
        <v>56</v>
      </c>
      <c r="C22" s="35" t="s">
        <v>364</v>
      </c>
      <c r="D22" s="33">
        <v>11812090</v>
      </c>
      <c r="E22" s="34">
        <v>12</v>
      </c>
      <c r="F22" s="35">
        <v>32</v>
      </c>
      <c r="G22" s="35">
        <v>30</v>
      </c>
      <c r="H22" s="35">
        <v>10</v>
      </c>
      <c r="J22" s="36">
        <f t="shared" si="0"/>
        <v>10.251749999999999</v>
      </c>
      <c r="K22" s="37">
        <f t="shared" si="1"/>
        <v>0.92576334924640769</v>
      </c>
      <c r="L22" s="35">
        <f t="shared" si="2"/>
        <v>10935200</v>
      </c>
      <c r="M22" s="35">
        <f t="shared" si="3"/>
        <v>2904112</v>
      </c>
      <c r="N22" s="46">
        <v>4836096</v>
      </c>
      <c r="O22" s="38">
        <v>10935200</v>
      </c>
      <c r="P22" s="38">
        <v>1115864</v>
      </c>
      <c r="Q22" s="38">
        <v>0</v>
      </c>
      <c r="R22" s="38">
        <v>1788248</v>
      </c>
      <c r="S22" s="38">
        <v>8015656</v>
      </c>
      <c r="T22" s="38">
        <v>15432</v>
      </c>
      <c r="U22" s="47">
        <v>77.635289200000003</v>
      </c>
      <c r="V22" s="47">
        <v>79.960420499999998</v>
      </c>
      <c r="W22" s="47">
        <v>40.391550500000001</v>
      </c>
      <c r="X22" s="47">
        <v>45.293594499999998</v>
      </c>
      <c r="Y22" s="47">
        <v>47.987385799999998</v>
      </c>
      <c r="Z22" s="47">
        <v>51.616392400000002</v>
      </c>
      <c r="AA22" s="47">
        <v>36.485908500000001</v>
      </c>
      <c r="AB22" s="39">
        <v>611.37272800000005</v>
      </c>
      <c r="AC22" s="39">
        <v>9.8001470000000008</v>
      </c>
      <c r="AE22" s="36" t="str">
        <f t="shared" si="4"/>
        <v>·</v>
      </c>
      <c r="AF22" s="37" t="str">
        <f t="shared" si="5"/>
        <v>·</v>
      </c>
      <c r="AG22" s="35" t="str">
        <f t="shared" si="6"/>
        <v>.</v>
      </c>
      <c r="AH22" s="35" t="str">
        <f t="shared" si="7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8"/>
        <v>0</v>
      </c>
      <c r="BQ22" s="40">
        <f t="shared" si="9"/>
        <v>0</v>
      </c>
      <c r="BR22" s="40">
        <f t="shared" si="10"/>
        <v>0</v>
      </c>
      <c r="BS22" s="40">
        <f t="shared" si="11"/>
        <v>0</v>
      </c>
      <c r="BT22" s="40">
        <f t="shared" si="11"/>
        <v>0</v>
      </c>
    </row>
    <row r="23" spans="1:72" ht="15" customHeight="1" outlineLevel="1" x14ac:dyDescent="0.15">
      <c r="A23" s="17"/>
      <c r="B23" s="17" t="s">
        <v>56</v>
      </c>
      <c r="C23" s="19" t="s">
        <v>365</v>
      </c>
      <c r="D23" s="17">
        <v>11812090</v>
      </c>
      <c r="E23" s="18">
        <v>12</v>
      </c>
      <c r="F23" s="19">
        <v>32</v>
      </c>
      <c r="G23" s="19">
        <v>30</v>
      </c>
      <c r="H23" s="19">
        <v>14</v>
      </c>
      <c r="J23" s="20">
        <f t="shared" si="0"/>
        <v>14.233650000000001</v>
      </c>
      <c r="K23" s="21">
        <f t="shared" si="1"/>
        <v>1.2853406975395547</v>
      </c>
      <c r="L23" s="19">
        <f t="shared" si="2"/>
        <v>15182560</v>
      </c>
      <c r="M23" s="19">
        <f t="shared" si="3"/>
        <v>3990296</v>
      </c>
      <c r="N23" s="44">
        <v>9673280</v>
      </c>
      <c r="O23" s="22">
        <v>15182560</v>
      </c>
      <c r="P23" s="22">
        <v>2360840</v>
      </c>
      <c r="Q23" s="22">
        <v>0</v>
      </c>
      <c r="R23" s="22">
        <v>1629456</v>
      </c>
      <c r="S23" s="22">
        <v>11176504</v>
      </c>
      <c r="T23" s="22">
        <v>15760</v>
      </c>
      <c r="U23" s="45">
        <v>78.794451600000002</v>
      </c>
      <c r="V23" s="45">
        <v>81.541468399999999</v>
      </c>
      <c r="W23" s="45">
        <v>41.4517448</v>
      </c>
      <c r="X23" s="45">
        <v>45.800494100000002</v>
      </c>
      <c r="Y23" s="45">
        <v>48.731685599999999</v>
      </c>
      <c r="Z23" s="45">
        <v>52.565861400000003</v>
      </c>
      <c r="AA23" s="45">
        <v>37.532231099999997</v>
      </c>
      <c r="AB23" s="23">
        <v>615.81270900000004</v>
      </c>
      <c r="AC23" s="23">
        <v>16.930121</v>
      </c>
      <c r="AE23" s="20" t="str">
        <f t="shared" si="4"/>
        <v>·</v>
      </c>
      <c r="AF23" s="21" t="str">
        <f t="shared" si="5"/>
        <v>·</v>
      </c>
      <c r="AG23" s="19" t="str">
        <f t="shared" si="6"/>
        <v>.</v>
      </c>
      <c r="AH23" s="19" t="str">
        <f t="shared" si="7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8"/>
        <v>0</v>
      </c>
      <c r="BQ23" s="24">
        <f t="shared" si="9"/>
        <v>0</v>
      </c>
      <c r="BR23" s="24">
        <f t="shared" si="10"/>
        <v>0</v>
      </c>
      <c r="BS23" s="24">
        <f t="shared" si="11"/>
        <v>0</v>
      </c>
      <c r="BT23" s="24">
        <f t="shared" si="11"/>
        <v>0</v>
      </c>
    </row>
    <row r="24" spans="1:72" ht="15.75" customHeight="1" outlineLevel="1" thickBot="1" x14ac:dyDescent="0.2">
      <c r="A24" s="25"/>
      <c r="B24" s="25" t="s">
        <v>56</v>
      </c>
      <c r="C24" s="27" t="s">
        <v>366</v>
      </c>
      <c r="D24" s="25">
        <v>11812090</v>
      </c>
      <c r="E24" s="26">
        <v>12</v>
      </c>
      <c r="F24" s="27">
        <v>32</v>
      </c>
      <c r="G24" s="27">
        <v>30</v>
      </c>
      <c r="H24" s="27">
        <v>21</v>
      </c>
      <c r="J24" s="28">
        <f t="shared" si="0"/>
        <v>21.181380000000001</v>
      </c>
      <c r="K24" s="29">
        <f t="shared" si="1"/>
        <v>1.9127412676334163</v>
      </c>
      <c r="L24" s="27">
        <f t="shared" si="2"/>
        <v>22593472</v>
      </c>
      <c r="M24" s="27">
        <f t="shared" si="3"/>
        <v>4246496</v>
      </c>
      <c r="N24" s="58">
        <v>9673280</v>
      </c>
      <c r="O24" s="30">
        <v>22593472</v>
      </c>
      <c r="P24" s="30">
        <v>2126896</v>
      </c>
      <c r="Q24" s="30">
        <v>0</v>
      </c>
      <c r="R24" s="30">
        <v>2119600</v>
      </c>
      <c r="S24" s="30">
        <v>18331080</v>
      </c>
      <c r="T24" s="30">
        <v>15896</v>
      </c>
      <c r="U24" s="59">
        <v>79.475194299999998</v>
      </c>
      <c r="V24" s="59">
        <v>82.535292799999993</v>
      </c>
      <c r="W24" s="59">
        <v>42.440087400000003</v>
      </c>
      <c r="X24" s="59">
        <v>46.891860999999999</v>
      </c>
      <c r="Y24" s="59">
        <v>50.0812776</v>
      </c>
      <c r="Z24" s="59">
        <v>52.980305999999999</v>
      </c>
      <c r="AA24" s="59">
        <v>38.274788399999998</v>
      </c>
      <c r="AB24" s="31">
        <v>674.252475</v>
      </c>
      <c r="AC24" s="31">
        <v>17.881733000000001</v>
      </c>
      <c r="AE24" s="28" t="str">
        <f t="shared" si="4"/>
        <v>·</v>
      </c>
      <c r="AF24" s="29" t="str">
        <f t="shared" si="5"/>
        <v>·</v>
      </c>
      <c r="AG24" s="27" t="str">
        <f t="shared" si="6"/>
        <v>.</v>
      </c>
      <c r="AH24" s="27" t="str">
        <f t="shared" si="7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8"/>
        <v>0</v>
      </c>
      <c r="BQ24" s="32">
        <f t="shared" si="9"/>
        <v>0</v>
      </c>
      <c r="BR24" s="32">
        <f t="shared" si="10"/>
        <v>0</v>
      </c>
      <c r="BS24" s="32">
        <f t="shared" si="11"/>
        <v>0</v>
      </c>
      <c r="BT24" s="32">
        <f t="shared" si="11"/>
        <v>0</v>
      </c>
    </row>
    <row r="25" spans="1:72" ht="15" customHeight="1" x14ac:dyDescent="0.15">
      <c r="A25" s="17" t="s">
        <v>177</v>
      </c>
      <c r="B25" s="17" t="s">
        <v>61</v>
      </c>
      <c r="C25" s="19" t="s">
        <v>362</v>
      </c>
      <c r="D25" s="17">
        <v>12000000</v>
      </c>
      <c r="E25" s="18">
        <v>12</v>
      </c>
      <c r="F25" s="19">
        <v>32</v>
      </c>
      <c r="G25" s="19">
        <v>30</v>
      </c>
      <c r="H25" s="19">
        <v>4</v>
      </c>
      <c r="J25" s="20">
        <f t="shared" si="0"/>
        <v>4.1349375000000004</v>
      </c>
      <c r="K25" s="21">
        <f t="shared" si="1"/>
        <v>0.36754999999999999</v>
      </c>
      <c r="L25" s="19">
        <f t="shared" si="2"/>
        <v>4410600</v>
      </c>
      <c r="M25" s="19">
        <f t="shared" si="3"/>
        <v>1277776</v>
      </c>
      <c r="N25" s="44">
        <v>2455232</v>
      </c>
      <c r="O25" s="22">
        <v>4410600</v>
      </c>
      <c r="P25" s="22">
        <v>688176</v>
      </c>
      <c r="Q25" s="22">
        <v>0</v>
      </c>
      <c r="R25" s="22">
        <v>589600</v>
      </c>
      <c r="S25" s="22">
        <v>3117504</v>
      </c>
      <c r="T25" s="22">
        <v>15320</v>
      </c>
      <c r="U25" s="45">
        <v>73.583425700000006</v>
      </c>
      <c r="V25" s="45">
        <v>75.418033199999996</v>
      </c>
      <c r="W25" s="45">
        <v>31.4885345</v>
      </c>
      <c r="X25" s="45">
        <v>40.598035799999998</v>
      </c>
      <c r="Y25" s="45">
        <v>36.905793699999997</v>
      </c>
      <c r="Z25" s="45">
        <v>44.502682999999998</v>
      </c>
      <c r="AA25" s="45">
        <v>28.649329900000001</v>
      </c>
      <c r="AB25" s="23">
        <v>204.35171</v>
      </c>
      <c r="AC25" s="23">
        <v>4.4180869999999999</v>
      </c>
      <c r="AE25" s="20" t="str">
        <f t="shared" si="4"/>
        <v>·</v>
      </c>
      <c r="AF25" s="21" t="str">
        <f t="shared" si="5"/>
        <v>·</v>
      </c>
      <c r="AG25" s="19" t="str">
        <f t="shared" si="6"/>
        <v>.</v>
      </c>
      <c r="AH25" s="19" t="str">
        <f t="shared" si="7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8"/>
        <v>0</v>
      </c>
      <c r="BQ25" s="24">
        <f t="shared" si="9"/>
        <v>0</v>
      </c>
      <c r="BR25" s="24">
        <f t="shared" si="10"/>
        <v>0</v>
      </c>
      <c r="BS25" s="24">
        <f t="shared" si="11"/>
        <v>0</v>
      </c>
      <c r="BT25" s="24">
        <f t="shared" si="11"/>
        <v>0</v>
      </c>
    </row>
    <row r="26" spans="1:72" ht="15" customHeight="1" outlineLevel="1" x14ac:dyDescent="0.15">
      <c r="A26" s="33"/>
      <c r="B26" s="33" t="s">
        <v>61</v>
      </c>
      <c r="C26" s="35" t="s">
        <v>363</v>
      </c>
      <c r="D26" s="33">
        <v>12000000</v>
      </c>
      <c r="E26" s="34">
        <v>12</v>
      </c>
      <c r="F26" s="35">
        <v>32</v>
      </c>
      <c r="G26" s="35">
        <v>30</v>
      </c>
      <c r="H26" s="35">
        <v>8</v>
      </c>
      <c r="J26" s="36">
        <f t="shared" si="0"/>
        <v>8.2467524999999995</v>
      </c>
      <c r="K26" s="37">
        <f t="shared" si="1"/>
        <v>0.73304466666666668</v>
      </c>
      <c r="L26" s="35">
        <f t="shared" si="2"/>
        <v>8796536</v>
      </c>
      <c r="M26" s="35">
        <f t="shared" si="3"/>
        <v>2099176</v>
      </c>
      <c r="N26" s="46">
        <v>4912768</v>
      </c>
      <c r="O26" s="38">
        <v>8796536</v>
      </c>
      <c r="P26" s="38">
        <v>1154312</v>
      </c>
      <c r="Q26" s="38">
        <v>0</v>
      </c>
      <c r="R26" s="38">
        <v>944864</v>
      </c>
      <c r="S26" s="38">
        <v>6681504</v>
      </c>
      <c r="T26" s="38">
        <v>15856</v>
      </c>
      <c r="U26" s="47">
        <v>76.792003199999996</v>
      </c>
      <c r="V26" s="47">
        <v>79.254902200000004</v>
      </c>
      <c r="W26" s="47">
        <v>33.968449499999998</v>
      </c>
      <c r="X26" s="47">
        <v>42.441844400000001</v>
      </c>
      <c r="Y26" s="47">
        <v>39.813805199999997</v>
      </c>
      <c r="Z26" s="47">
        <v>46.105673099999997</v>
      </c>
      <c r="AA26" s="47">
        <v>31.3661554</v>
      </c>
      <c r="AB26" s="39">
        <v>549.01646100000005</v>
      </c>
      <c r="AC26" s="39">
        <v>9.817475</v>
      </c>
      <c r="AE26" s="36" t="str">
        <f t="shared" si="4"/>
        <v>·</v>
      </c>
      <c r="AF26" s="37" t="str">
        <f t="shared" si="5"/>
        <v>·</v>
      </c>
      <c r="AG26" s="35" t="str">
        <f t="shared" si="6"/>
        <v>.</v>
      </c>
      <c r="AH26" s="35" t="str">
        <f t="shared" si="7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8"/>
        <v>0</v>
      </c>
      <c r="BQ26" s="40">
        <f t="shared" si="9"/>
        <v>0</v>
      </c>
      <c r="BR26" s="40">
        <f t="shared" si="10"/>
        <v>0</v>
      </c>
      <c r="BS26" s="40">
        <f t="shared" si="11"/>
        <v>0</v>
      </c>
      <c r="BT26" s="40">
        <f t="shared" si="11"/>
        <v>0</v>
      </c>
    </row>
    <row r="27" spans="1:72" ht="15" customHeight="1" outlineLevel="1" x14ac:dyDescent="0.15">
      <c r="A27" s="17"/>
      <c r="B27" s="17" t="s">
        <v>61</v>
      </c>
      <c r="C27" s="19" t="s">
        <v>364</v>
      </c>
      <c r="D27" s="17">
        <v>12000000</v>
      </c>
      <c r="E27" s="18">
        <v>12</v>
      </c>
      <c r="F27" s="19">
        <v>32</v>
      </c>
      <c r="G27" s="19">
        <v>30</v>
      </c>
      <c r="H27" s="19">
        <v>12</v>
      </c>
      <c r="J27" s="20">
        <f t="shared" si="0"/>
        <v>12.2279325</v>
      </c>
      <c r="K27" s="21">
        <f t="shared" si="1"/>
        <v>1.0869273333333334</v>
      </c>
      <c r="L27" s="19">
        <f t="shared" si="2"/>
        <v>13043128</v>
      </c>
      <c r="M27" s="19">
        <f t="shared" si="3"/>
        <v>2906920</v>
      </c>
      <c r="N27" s="44">
        <v>9827968</v>
      </c>
      <c r="O27" s="22">
        <v>13043128</v>
      </c>
      <c r="P27" s="22">
        <v>2180704</v>
      </c>
      <c r="Q27" s="22">
        <v>0</v>
      </c>
      <c r="R27" s="22">
        <v>726216</v>
      </c>
      <c r="S27" s="22">
        <v>10120304</v>
      </c>
      <c r="T27" s="22">
        <v>15904</v>
      </c>
      <c r="U27" s="45">
        <v>78.313500500000004</v>
      </c>
      <c r="V27" s="45">
        <v>81.136895999999993</v>
      </c>
      <c r="W27" s="45">
        <v>34.843931599999998</v>
      </c>
      <c r="X27" s="45">
        <v>43.679111800000001</v>
      </c>
      <c r="Y27" s="45">
        <v>41.590375899999998</v>
      </c>
      <c r="Z27" s="45">
        <v>47.401659899999999</v>
      </c>
      <c r="AA27" s="45">
        <v>32.444154500000003</v>
      </c>
      <c r="AB27" s="23">
        <v>2656.139279</v>
      </c>
      <c r="AC27" s="23">
        <v>53.159601000000002</v>
      </c>
      <c r="AE27" s="20" t="str">
        <f t="shared" si="4"/>
        <v>·</v>
      </c>
      <c r="AF27" s="21" t="str">
        <f t="shared" si="5"/>
        <v>·</v>
      </c>
      <c r="AG27" s="19" t="str">
        <f t="shared" si="6"/>
        <v>.</v>
      </c>
      <c r="AH27" s="19" t="str">
        <f t="shared" si="7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8"/>
        <v>0</v>
      </c>
      <c r="BQ27" s="24">
        <f t="shared" si="9"/>
        <v>0</v>
      </c>
      <c r="BR27" s="24">
        <f t="shared" si="10"/>
        <v>0</v>
      </c>
      <c r="BS27" s="24">
        <f t="shared" si="11"/>
        <v>0</v>
      </c>
      <c r="BT27" s="24">
        <f t="shared" si="11"/>
        <v>0</v>
      </c>
    </row>
    <row r="28" spans="1:72" ht="15" customHeight="1" outlineLevel="1" x14ac:dyDescent="0.15">
      <c r="A28" s="33"/>
      <c r="B28" s="33" t="s">
        <v>61</v>
      </c>
      <c r="C28" s="35" t="s">
        <v>365</v>
      </c>
      <c r="D28" s="33">
        <v>12000000</v>
      </c>
      <c r="E28" s="34">
        <v>12</v>
      </c>
      <c r="F28" s="35">
        <v>32</v>
      </c>
      <c r="G28" s="35">
        <v>30</v>
      </c>
      <c r="H28" s="35">
        <v>17</v>
      </c>
      <c r="J28" s="36">
        <f t="shared" si="0"/>
        <v>17.253254999999999</v>
      </c>
      <c r="K28" s="37">
        <f t="shared" si="1"/>
        <v>1.5336226666666666</v>
      </c>
      <c r="L28" s="35">
        <f t="shared" si="2"/>
        <v>18403472</v>
      </c>
      <c r="M28" s="35">
        <f t="shared" si="3"/>
        <v>4891544</v>
      </c>
      <c r="N28" s="46">
        <v>19659392</v>
      </c>
      <c r="O28" s="38">
        <v>18403472</v>
      </c>
      <c r="P28" s="38">
        <v>4254840</v>
      </c>
      <c r="Q28" s="38">
        <v>0</v>
      </c>
      <c r="R28" s="38">
        <v>636704</v>
      </c>
      <c r="S28" s="38">
        <v>13496064</v>
      </c>
      <c r="T28" s="38">
        <v>15864</v>
      </c>
      <c r="U28" s="47">
        <v>80.206411900000006</v>
      </c>
      <c r="V28" s="47">
        <v>83.753045200000003</v>
      </c>
      <c r="W28" s="47">
        <v>35.651440999999998</v>
      </c>
      <c r="X28" s="47">
        <v>43.9833596</v>
      </c>
      <c r="Y28" s="47">
        <v>42.074005999999997</v>
      </c>
      <c r="Z28" s="47">
        <v>49.284021099999997</v>
      </c>
      <c r="AA28" s="47">
        <v>33.744001500000003</v>
      </c>
      <c r="AB28" s="39">
        <v>2375.4370920000001</v>
      </c>
      <c r="AC28" s="39">
        <v>38.754705000000001</v>
      </c>
      <c r="AE28" s="36" t="str">
        <f t="shared" si="4"/>
        <v>·</v>
      </c>
      <c r="AF28" s="37" t="str">
        <f t="shared" si="5"/>
        <v>·</v>
      </c>
      <c r="AG28" s="35" t="str">
        <f t="shared" si="6"/>
        <v>.</v>
      </c>
      <c r="AH28" s="35" t="str">
        <f t="shared" si="7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8"/>
        <v>0</v>
      </c>
      <c r="BQ28" s="40">
        <f t="shared" si="9"/>
        <v>0</v>
      </c>
      <c r="BR28" s="40">
        <f t="shared" si="10"/>
        <v>0</v>
      </c>
      <c r="BS28" s="40">
        <f t="shared" si="11"/>
        <v>0</v>
      </c>
      <c r="BT28" s="40">
        <f t="shared" si="11"/>
        <v>0</v>
      </c>
    </row>
    <row r="29" spans="1:72" ht="15.75" customHeight="1" outlineLevel="1" thickBot="1" x14ac:dyDescent="0.2">
      <c r="A29" s="17"/>
      <c r="B29" s="48" t="s">
        <v>61</v>
      </c>
      <c r="C29" s="49" t="s">
        <v>366</v>
      </c>
      <c r="D29" s="48">
        <v>12000000</v>
      </c>
      <c r="E29" s="50">
        <v>12</v>
      </c>
      <c r="F29" s="49">
        <v>32</v>
      </c>
      <c r="G29" s="49">
        <v>30</v>
      </c>
      <c r="H29" s="49">
        <v>25</v>
      </c>
      <c r="J29" s="51">
        <f t="shared" si="0"/>
        <v>25.279335</v>
      </c>
      <c r="K29" s="52">
        <f t="shared" si="1"/>
        <v>2.247052</v>
      </c>
      <c r="L29" s="49">
        <f t="shared" si="2"/>
        <v>26964624</v>
      </c>
      <c r="M29" s="49">
        <f t="shared" si="3"/>
        <v>7680800</v>
      </c>
      <c r="N29" s="53">
        <v>39320512</v>
      </c>
      <c r="O29" s="54">
        <v>26964624</v>
      </c>
      <c r="P29" s="54">
        <v>7531528</v>
      </c>
      <c r="Q29" s="54">
        <v>0</v>
      </c>
      <c r="R29" s="54">
        <v>149272</v>
      </c>
      <c r="S29" s="54">
        <v>19267952</v>
      </c>
      <c r="T29" s="54">
        <v>15872</v>
      </c>
      <c r="U29" s="55">
        <v>82.101193699999996</v>
      </c>
      <c r="V29" s="55">
        <v>86.423039900000006</v>
      </c>
      <c r="W29" s="55">
        <v>36.368503699999998</v>
      </c>
      <c r="X29" s="55">
        <v>44.602807599999998</v>
      </c>
      <c r="Y29" s="55">
        <v>42.913147500000001</v>
      </c>
      <c r="Z29" s="55">
        <v>51.297320399999997</v>
      </c>
      <c r="AA29" s="55">
        <v>34.831642700000003</v>
      </c>
      <c r="AB29" s="56">
        <v>2687.2903460000002</v>
      </c>
      <c r="AC29" s="56">
        <v>44.843249999999998</v>
      </c>
      <c r="AE29" s="51" t="str">
        <f t="shared" si="4"/>
        <v>·</v>
      </c>
      <c r="AF29" s="52" t="str">
        <f t="shared" si="5"/>
        <v>·</v>
      </c>
      <c r="AG29" s="49" t="str">
        <f t="shared" si="6"/>
        <v>.</v>
      </c>
      <c r="AH29" s="49" t="str">
        <f t="shared" si="7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8"/>
        <v>0</v>
      </c>
      <c r="BQ29" s="57">
        <f t="shared" si="9"/>
        <v>0</v>
      </c>
      <c r="BR29" s="57">
        <f t="shared" si="10"/>
        <v>0</v>
      </c>
      <c r="BS29" s="57">
        <f t="shared" si="11"/>
        <v>0</v>
      </c>
      <c r="BT29" s="57">
        <f t="shared" si="11"/>
        <v>0</v>
      </c>
    </row>
    <row r="30" spans="1:72" ht="15" customHeight="1" x14ac:dyDescent="0.15">
      <c r="A30" s="33"/>
      <c r="B30" s="33" t="s">
        <v>66</v>
      </c>
      <c r="C30" s="35" t="s">
        <v>362</v>
      </c>
      <c r="D30" s="33">
        <v>5997654</v>
      </c>
      <c r="E30" s="34">
        <v>12</v>
      </c>
      <c r="F30" s="35">
        <v>32</v>
      </c>
      <c r="G30" s="35">
        <v>30</v>
      </c>
      <c r="H30" s="35">
        <v>4</v>
      </c>
      <c r="J30" s="36">
        <f t="shared" si="0"/>
        <v>4.0412175000000001</v>
      </c>
      <c r="K30" s="37">
        <f t="shared" si="1"/>
        <v>0.71871968606391767</v>
      </c>
      <c r="L30" s="35">
        <f t="shared" si="2"/>
        <v>4310632</v>
      </c>
      <c r="M30" s="35">
        <f t="shared" si="3"/>
        <v>1416184</v>
      </c>
      <c r="N30" s="46">
        <v>2427520</v>
      </c>
      <c r="O30" s="38">
        <v>4310632</v>
      </c>
      <c r="P30" s="38">
        <v>722888</v>
      </c>
      <c r="Q30" s="38">
        <v>0</v>
      </c>
      <c r="R30" s="38">
        <v>693296</v>
      </c>
      <c r="S30" s="38">
        <v>2878792</v>
      </c>
      <c r="T30" s="38">
        <v>15656</v>
      </c>
      <c r="U30" s="47">
        <v>74.395287300000007</v>
      </c>
      <c r="V30" s="47">
        <v>76.119729100000001</v>
      </c>
      <c r="W30" s="47">
        <v>38.0860719</v>
      </c>
      <c r="X30" s="47">
        <v>44.212583100000003</v>
      </c>
      <c r="Y30" s="47">
        <v>42.796712900000003</v>
      </c>
      <c r="Z30" s="47">
        <v>47.230553499999999</v>
      </c>
      <c r="AA30" s="47">
        <v>34.982120899999998</v>
      </c>
      <c r="AB30" s="39">
        <v>567.00962000000004</v>
      </c>
      <c r="AC30" s="39">
        <v>12.934702</v>
      </c>
      <c r="AE30" s="36" t="str">
        <f t="shared" si="4"/>
        <v>·</v>
      </c>
      <c r="AF30" s="37" t="str">
        <f t="shared" si="5"/>
        <v>·</v>
      </c>
      <c r="AG30" s="35" t="str">
        <f t="shared" si="6"/>
        <v>.</v>
      </c>
      <c r="AH30" s="35" t="str">
        <f t="shared" si="7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8"/>
        <v>0</v>
      </c>
      <c r="BQ30" s="40">
        <f t="shared" si="9"/>
        <v>0</v>
      </c>
      <c r="BR30" s="40">
        <f t="shared" si="10"/>
        <v>0</v>
      </c>
      <c r="BS30" s="40">
        <f t="shared" si="11"/>
        <v>0</v>
      </c>
      <c r="BT30" s="40">
        <f t="shared" si="11"/>
        <v>0</v>
      </c>
    </row>
    <row r="31" spans="1:72" ht="15" customHeight="1" outlineLevel="1" x14ac:dyDescent="0.15">
      <c r="A31" s="17"/>
      <c r="B31" s="17" t="s">
        <v>66</v>
      </c>
      <c r="C31" s="19" t="s">
        <v>363</v>
      </c>
      <c r="D31" s="17">
        <v>5997654</v>
      </c>
      <c r="E31" s="18">
        <v>12</v>
      </c>
      <c r="F31" s="19">
        <v>32</v>
      </c>
      <c r="G31" s="19">
        <v>30</v>
      </c>
      <c r="H31" s="19">
        <v>8</v>
      </c>
      <c r="J31" s="20">
        <f t="shared" si="0"/>
        <v>8.0712375000000005</v>
      </c>
      <c r="K31" s="21">
        <f t="shared" si="1"/>
        <v>1.4354479268060478</v>
      </c>
      <c r="L31" s="19">
        <f t="shared" si="2"/>
        <v>8609320</v>
      </c>
      <c r="M31" s="19">
        <f t="shared" si="3"/>
        <v>1872984</v>
      </c>
      <c r="N31" s="44">
        <v>2427520</v>
      </c>
      <c r="O31" s="22">
        <v>8609320</v>
      </c>
      <c r="P31" s="22">
        <v>722888</v>
      </c>
      <c r="Q31" s="22">
        <v>0</v>
      </c>
      <c r="R31" s="22">
        <v>1150096</v>
      </c>
      <c r="S31" s="22">
        <v>6720528</v>
      </c>
      <c r="T31" s="22">
        <v>15808</v>
      </c>
      <c r="U31" s="45">
        <v>75.896614700000001</v>
      </c>
      <c r="V31" s="45">
        <v>77.830956499999999</v>
      </c>
      <c r="W31" s="45">
        <v>40.577221600000001</v>
      </c>
      <c r="X31" s="45">
        <v>45.868804699999998</v>
      </c>
      <c r="Y31" s="45">
        <v>44.719101100000003</v>
      </c>
      <c r="Z31" s="45">
        <v>48.130075499999997</v>
      </c>
      <c r="AA31" s="45">
        <v>36.481619700000003</v>
      </c>
      <c r="AB31" s="23">
        <v>666.01038200000005</v>
      </c>
      <c r="AC31" s="23">
        <v>8.6279280000000007</v>
      </c>
      <c r="AE31" s="20" t="str">
        <f t="shared" si="4"/>
        <v>·</v>
      </c>
      <c r="AF31" s="21" t="str">
        <f t="shared" si="5"/>
        <v>·</v>
      </c>
      <c r="AG31" s="19" t="str">
        <f t="shared" si="6"/>
        <v>.</v>
      </c>
      <c r="AH31" s="19" t="str">
        <f t="shared" si="7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8"/>
        <v>0</v>
      </c>
      <c r="BQ31" s="24">
        <f t="shared" si="9"/>
        <v>0</v>
      </c>
      <c r="BR31" s="24">
        <f t="shared" si="10"/>
        <v>0</v>
      </c>
      <c r="BS31" s="24">
        <f t="shared" si="11"/>
        <v>0</v>
      </c>
      <c r="BT31" s="24">
        <f t="shared" si="11"/>
        <v>0</v>
      </c>
    </row>
    <row r="32" spans="1:72" ht="15" customHeight="1" outlineLevel="1" x14ac:dyDescent="0.15">
      <c r="A32" s="33"/>
      <c r="B32" s="33" t="s">
        <v>66</v>
      </c>
      <c r="C32" s="35" t="s">
        <v>364</v>
      </c>
      <c r="D32" s="33">
        <v>5997654</v>
      </c>
      <c r="E32" s="34">
        <v>12</v>
      </c>
      <c r="F32" s="35">
        <v>32</v>
      </c>
      <c r="G32" s="35">
        <v>30</v>
      </c>
      <c r="H32" s="35">
        <v>12</v>
      </c>
      <c r="J32" s="36">
        <f t="shared" si="0"/>
        <v>12.08811</v>
      </c>
      <c r="K32" s="37">
        <f t="shared" si="1"/>
        <v>2.1498379199600377</v>
      </c>
      <c r="L32" s="35">
        <f t="shared" si="2"/>
        <v>12893984</v>
      </c>
      <c r="M32" s="35">
        <f t="shared" si="3"/>
        <v>3078944</v>
      </c>
      <c r="N32" s="46">
        <v>2450608</v>
      </c>
      <c r="O32" s="38">
        <v>12893984</v>
      </c>
      <c r="P32" s="38">
        <v>1983800</v>
      </c>
      <c r="Q32" s="38">
        <v>0</v>
      </c>
      <c r="R32" s="38">
        <v>1095144</v>
      </c>
      <c r="S32" s="38">
        <v>9801832</v>
      </c>
      <c r="T32" s="38">
        <v>13208</v>
      </c>
      <c r="U32" s="47">
        <v>78.511144599999994</v>
      </c>
      <c r="V32" s="47">
        <v>81.091917800000004</v>
      </c>
      <c r="W32" s="47">
        <v>41.943041800000003</v>
      </c>
      <c r="X32" s="47">
        <v>46.571649200000003</v>
      </c>
      <c r="Y32" s="47">
        <v>45.547232200000003</v>
      </c>
      <c r="Z32" s="47">
        <v>49.733085699999997</v>
      </c>
      <c r="AA32" s="47">
        <v>38.099356899999997</v>
      </c>
      <c r="AB32" s="39">
        <v>600.00039600000002</v>
      </c>
      <c r="AC32" s="39">
        <v>9.1382770000000004</v>
      </c>
      <c r="AE32" s="36" t="str">
        <f t="shared" si="4"/>
        <v>·</v>
      </c>
      <c r="AF32" s="37" t="str">
        <f t="shared" si="5"/>
        <v>·</v>
      </c>
      <c r="AG32" s="35" t="str">
        <f t="shared" si="6"/>
        <v>.</v>
      </c>
      <c r="AH32" s="35" t="str">
        <f t="shared" si="7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8"/>
        <v>0</v>
      </c>
      <c r="BQ32" s="40">
        <f t="shared" si="9"/>
        <v>0</v>
      </c>
      <c r="BR32" s="40">
        <f t="shared" si="10"/>
        <v>0</v>
      </c>
      <c r="BS32" s="40">
        <f t="shared" si="11"/>
        <v>0</v>
      </c>
      <c r="BT32" s="40">
        <f t="shared" si="11"/>
        <v>0</v>
      </c>
    </row>
    <row r="33" spans="1:72" ht="15" customHeight="1" outlineLevel="1" x14ac:dyDescent="0.15">
      <c r="A33" s="17"/>
      <c r="B33" s="17" t="s">
        <v>66</v>
      </c>
      <c r="C33" s="19" t="s">
        <v>365</v>
      </c>
      <c r="D33" s="17">
        <v>5997654</v>
      </c>
      <c r="E33" s="18">
        <v>12</v>
      </c>
      <c r="F33" s="19">
        <v>32</v>
      </c>
      <c r="G33" s="19">
        <v>30</v>
      </c>
      <c r="H33" s="19">
        <v>17</v>
      </c>
      <c r="J33" s="20">
        <f t="shared" si="0"/>
        <v>17.451517500000001</v>
      </c>
      <c r="K33" s="21">
        <f t="shared" si="1"/>
        <v>3.1037055488696081</v>
      </c>
      <c r="L33" s="19">
        <f t="shared" si="2"/>
        <v>18614952</v>
      </c>
      <c r="M33" s="19">
        <f t="shared" si="3"/>
        <v>3838120</v>
      </c>
      <c r="N33" s="44">
        <v>2450608</v>
      </c>
      <c r="O33" s="22">
        <v>18614952</v>
      </c>
      <c r="P33" s="22">
        <v>1983800</v>
      </c>
      <c r="Q33" s="22">
        <v>0</v>
      </c>
      <c r="R33" s="22">
        <v>1854320</v>
      </c>
      <c r="S33" s="22">
        <v>14763728</v>
      </c>
      <c r="T33" s="22">
        <v>13104</v>
      </c>
      <c r="U33" s="45">
        <v>79.763178600000003</v>
      </c>
      <c r="V33" s="45">
        <v>82.8424519</v>
      </c>
      <c r="W33" s="45">
        <v>43.059173600000001</v>
      </c>
      <c r="X33" s="45">
        <v>47.683151799999997</v>
      </c>
      <c r="Y33" s="45">
        <v>46.881749599999999</v>
      </c>
      <c r="Z33" s="45">
        <v>50.380644099999998</v>
      </c>
      <c r="AA33" s="45">
        <v>39.269424899999997</v>
      </c>
      <c r="AB33" s="23">
        <v>2176.8173489999999</v>
      </c>
      <c r="AC33" s="23">
        <v>28.954587</v>
      </c>
      <c r="AE33" s="20" t="str">
        <f t="shared" si="4"/>
        <v>·</v>
      </c>
      <c r="AF33" s="21" t="str">
        <f t="shared" si="5"/>
        <v>·</v>
      </c>
      <c r="AG33" s="19" t="str">
        <f t="shared" si="6"/>
        <v>.</v>
      </c>
      <c r="AH33" s="19" t="str">
        <f t="shared" si="7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8"/>
        <v>0</v>
      </c>
      <c r="BQ33" s="24">
        <f t="shared" si="9"/>
        <v>0</v>
      </c>
      <c r="BR33" s="24">
        <f t="shared" si="10"/>
        <v>0</v>
      </c>
      <c r="BS33" s="24">
        <f t="shared" si="11"/>
        <v>0</v>
      </c>
      <c r="BT33" s="24">
        <f t="shared" si="11"/>
        <v>0</v>
      </c>
    </row>
    <row r="34" spans="1:72" ht="15.75" customHeight="1" outlineLevel="1" thickBot="1" x14ac:dyDescent="0.2">
      <c r="A34" s="33"/>
      <c r="B34" s="25" t="s">
        <v>66</v>
      </c>
      <c r="C34" s="27" t="s">
        <v>366</v>
      </c>
      <c r="D34" s="25">
        <v>5997654</v>
      </c>
      <c r="E34" s="26">
        <v>12</v>
      </c>
      <c r="F34" s="27">
        <v>32</v>
      </c>
      <c r="G34" s="27">
        <v>30</v>
      </c>
      <c r="H34" s="27">
        <v>25</v>
      </c>
      <c r="J34" s="28">
        <f t="shared" si="0"/>
        <v>25.5459225</v>
      </c>
      <c r="K34" s="29">
        <f t="shared" si="1"/>
        <v>4.5432737533709018</v>
      </c>
      <c r="L34" s="27">
        <f t="shared" si="2"/>
        <v>27248984</v>
      </c>
      <c r="M34" s="27">
        <f t="shared" si="3"/>
        <v>6313200</v>
      </c>
      <c r="N34" s="58">
        <v>7367488</v>
      </c>
      <c r="O34" s="30">
        <v>27248984</v>
      </c>
      <c r="P34" s="30">
        <v>4577688</v>
      </c>
      <c r="Q34" s="30">
        <v>0</v>
      </c>
      <c r="R34" s="30">
        <v>1735512</v>
      </c>
      <c r="S34" s="30">
        <v>20922784</v>
      </c>
      <c r="T34" s="30">
        <v>13000</v>
      </c>
      <c r="U34" s="59">
        <v>82.599301100000005</v>
      </c>
      <c r="V34" s="59">
        <v>87.058657199999999</v>
      </c>
      <c r="W34" s="59">
        <v>44.136085899999998</v>
      </c>
      <c r="X34" s="59">
        <v>48.394357399999997</v>
      </c>
      <c r="Y34" s="59">
        <v>47.710453899999997</v>
      </c>
      <c r="Z34" s="59">
        <v>52.746016099999999</v>
      </c>
      <c r="AA34" s="59">
        <v>41.401912699999997</v>
      </c>
      <c r="AB34" s="31">
        <v>2635.3771350000002</v>
      </c>
      <c r="AC34" s="31">
        <v>46.836342000000002</v>
      </c>
      <c r="AE34" s="28" t="str">
        <f t="shared" si="4"/>
        <v>·</v>
      </c>
      <c r="AF34" s="29" t="str">
        <f t="shared" si="5"/>
        <v>·</v>
      </c>
      <c r="AG34" s="27" t="str">
        <f t="shared" si="6"/>
        <v>.</v>
      </c>
      <c r="AH34" s="27" t="str">
        <f t="shared" si="7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8"/>
        <v>0</v>
      </c>
      <c r="BQ34" s="32">
        <f t="shared" si="9"/>
        <v>0</v>
      </c>
      <c r="BR34" s="32">
        <f t="shared" si="10"/>
        <v>0</v>
      </c>
      <c r="BS34" s="32">
        <f t="shared" si="11"/>
        <v>0</v>
      </c>
      <c r="BT34" s="32">
        <f t="shared" si="11"/>
        <v>0</v>
      </c>
    </row>
    <row r="35" spans="1:72" ht="15" customHeight="1" x14ac:dyDescent="0.15">
      <c r="A35" s="17"/>
      <c r="B35" s="17" t="s">
        <v>32</v>
      </c>
      <c r="C35" s="19" t="s">
        <v>362</v>
      </c>
      <c r="D35" s="17">
        <v>9000000</v>
      </c>
      <c r="E35" s="18">
        <v>12</v>
      </c>
      <c r="F35" s="19">
        <v>32</v>
      </c>
      <c r="G35" s="19">
        <v>30</v>
      </c>
      <c r="H35" s="19">
        <v>4</v>
      </c>
      <c r="J35" s="20">
        <f t="shared" si="0"/>
        <v>3.9779925</v>
      </c>
      <c r="K35" s="21">
        <f t="shared" si="1"/>
        <v>0.47146577777777776</v>
      </c>
      <c r="L35" s="19">
        <f t="shared" si="2"/>
        <v>4243192</v>
      </c>
      <c r="M35" s="19">
        <f t="shared" si="3"/>
        <v>1473424</v>
      </c>
      <c r="N35" s="44">
        <v>1840960</v>
      </c>
      <c r="O35" s="22">
        <v>4243192</v>
      </c>
      <c r="P35" s="22">
        <v>624320</v>
      </c>
      <c r="Q35" s="22">
        <v>0</v>
      </c>
      <c r="R35" s="22">
        <v>849104</v>
      </c>
      <c r="S35" s="22">
        <v>2753840</v>
      </c>
      <c r="T35" s="22">
        <v>15928</v>
      </c>
      <c r="U35" s="45">
        <v>71.507387699999995</v>
      </c>
      <c r="V35" s="45">
        <v>72.838111299999994</v>
      </c>
      <c r="W35" s="45">
        <v>29.565302599999999</v>
      </c>
      <c r="X35" s="45">
        <v>38.621556599999998</v>
      </c>
      <c r="Y35" s="45">
        <v>38.3714127</v>
      </c>
      <c r="Z35" s="45">
        <v>47.4964242</v>
      </c>
      <c r="AA35" s="45">
        <v>28.313112100000001</v>
      </c>
      <c r="AB35" s="23">
        <v>177.657701</v>
      </c>
      <c r="AC35" s="23">
        <v>3.2216529999999999</v>
      </c>
      <c r="AE35" s="20" t="str">
        <f t="shared" si="4"/>
        <v>·</v>
      </c>
      <c r="AF35" s="21" t="str">
        <f t="shared" si="5"/>
        <v>·</v>
      </c>
      <c r="AG35" s="19" t="str">
        <f t="shared" si="6"/>
        <v>.</v>
      </c>
      <c r="AH35" s="19" t="str">
        <f t="shared" si="7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8"/>
        <v>0</v>
      </c>
      <c r="BQ35" s="24">
        <f t="shared" si="9"/>
        <v>0</v>
      </c>
      <c r="BR35" s="24">
        <f t="shared" si="10"/>
        <v>0</v>
      </c>
      <c r="BS35" s="24">
        <f t="shared" si="11"/>
        <v>0</v>
      </c>
      <c r="BT35" s="24">
        <f t="shared" si="11"/>
        <v>0</v>
      </c>
    </row>
    <row r="36" spans="1:72" ht="15" customHeight="1" outlineLevel="1" x14ac:dyDescent="0.15">
      <c r="A36" s="33"/>
      <c r="B36" s="33" t="s">
        <v>32</v>
      </c>
      <c r="C36" s="35" t="s">
        <v>363</v>
      </c>
      <c r="D36" s="33">
        <v>9000000</v>
      </c>
      <c r="E36" s="34">
        <v>12</v>
      </c>
      <c r="F36" s="35">
        <v>32</v>
      </c>
      <c r="G36" s="35">
        <v>30</v>
      </c>
      <c r="H36" s="35">
        <v>6</v>
      </c>
      <c r="J36" s="36">
        <f t="shared" si="0"/>
        <v>6.1822650000000001</v>
      </c>
      <c r="K36" s="37">
        <f t="shared" si="1"/>
        <v>0.73271288888888886</v>
      </c>
      <c r="L36" s="35">
        <f t="shared" si="2"/>
        <v>6594416</v>
      </c>
      <c r="M36" s="35">
        <f t="shared" si="3"/>
        <v>1878672</v>
      </c>
      <c r="N36" s="46">
        <v>3680768</v>
      </c>
      <c r="O36" s="38">
        <v>6594416</v>
      </c>
      <c r="P36" s="38">
        <v>952744</v>
      </c>
      <c r="Q36" s="38">
        <v>0</v>
      </c>
      <c r="R36" s="38">
        <v>925928</v>
      </c>
      <c r="S36" s="38">
        <v>4700264</v>
      </c>
      <c r="T36" s="38">
        <v>15480</v>
      </c>
      <c r="U36" s="47">
        <v>74.535887000000002</v>
      </c>
      <c r="V36" s="47">
        <v>76.292006999999998</v>
      </c>
      <c r="W36" s="47">
        <v>30.220738000000001</v>
      </c>
      <c r="X36" s="47">
        <v>38.804549899999998</v>
      </c>
      <c r="Y36" s="47">
        <v>38.643391100000002</v>
      </c>
      <c r="Z36" s="47">
        <v>48.893453100000002</v>
      </c>
      <c r="AA36" s="47">
        <v>28.832435100000001</v>
      </c>
      <c r="AB36" s="39">
        <v>204.76642200000001</v>
      </c>
      <c r="AC36" s="39">
        <v>4.939616</v>
      </c>
      <c r="AE36" s="36" t="str">
        <f t="shared" si="4"/>
        <v>·</v>
      </c>
      <c r="AF36" s="37" t="str">
        <f t="shared" si="5"/>
        <v>·</v>
      </c>
      <c r="AG36" s="35" t="str">
        <f t="shared" si="6"/>
        <v>.</v>
      </c>
      <c r="AH36" s="35" t="str">
        <f t="shared" si="7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8"/>
        <v>0</v>
      </c>
      <c r="BQ36" s="40">
        <f t="shared" si="9"/>
        <v>0</v>
      </c>
      <c r="BR36" s="40">
        <f t="shared" si="10"/>
        <v>0</v>
      </c>
      <c r="BS36" s="40">
        <f t="shared" si="11"/>
        <v>0</v>
      </c>
      <c r="BT36" s="40">
        <f t="shared" si="11"/>
        <v>0</v>
      </c>
    </row>
    <row r="37" spans="1:72" ht="15" customHeight="1" outlineLevel="1" x14ac:dyDescent="0.15">
      <c r="A37" s="17"/>
      <c r="B37" s="17" t="s">
        <v>32</v>
      </c>
      <c r="C37" s="19" t="s">
        <v>364</v>
      </c>
      <c r="D37" s="17">
        <v>9000000</v>
      </c>
      <c r="E37" s="18">
        <v>12</v>
      </c>
      <c r="F37" s="19">
        <v>32</v>
      </c>
      <c r="G37" s="19">
        <v>30</v>
      </c>
      <c r="H37" s="19">
        <v>11</v>
      </c>
      <c r="J37" s="20">
        <f t="shared" si="0"/>
        <v>11.219497499999999</v>
      </c>
      <c r="K37" s="21">
        <f t="shared" si="1"/>
        <v>1.3297182222222221</v>
      </c>
      <c r="L37" s="19">
        <f t="shared" si="2"/>
        <v>11967464</v>
      </c>
      <c r="M37" s="19">
        <f t="shared" si="3"/>
        <v>2204024</v>
      </c>
      <c r="N37" s="44">
        <v>7365760</v>
      </c>
      <c r="O37" s="22">
        <v>11967464</v>
      </c>
      <c r="P37" s="22">
        <v>1614776</v>
      </c>
      <c r="Q37" s="22">
        <v>0</v>
      </c>
      <c r="R37" s="22">
        <v>589248</v>
      </c>
      <c r="S37" s="22">
        <v>9747400</v>
      </c>
      <c r="T37" s="22">
        <v>16040</v>
      </c>
      <c r="U37" s="45">
        <v>75.060700299999993</v>
      </c>
      <c r="V37" s="45">
        <v>76.907955599999994</v>
      </c>
      <c r="W37" s="45">
        <v>31.1866889</v>
      </c>
      <c r="X37" s="45">
        <v>39.017053799999999</v>
      </c>
      <c r="Y37" s="45">
        <v>39.193392699999997</v>
      </c>
      <c r="Z37" s="45">
        <v>49.374477900000002</v>
      </c>
      <c r="AA37" s="45">
        <v>30.129323800000002</v>
      </c>
      <c r="AB37" s="23">
        <v>2724.1488909999998</v>
      </c>
      <c r="AC37" s="23">
        <v>33.099589000000002</v>
      </c>
      <c r="AE37" s="20" t="str">
        <f t="shared" si="4"/>
        <v>·</v>
      </c>
      <c r="AF37" s="21" t="str">
        <f t="shared" si="5"/>
        <v>·</v>
      </c>
      <c r="AG37" s="19" t="str">
        <f t="shared" si="6"/>
        <v>.</v>
      </c>
      <c r="AH37" s="19" t="str">
        <f t="shared" si="7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8"/>
        <v>0</v>
      </c>
      <c r="BQ37" s="24">
        <f t="shared" si="9"/>
        <v>0</v>
      </c>
      <c r="BR37" s="24">
        <f t="shared" si="10"/>
        <v>0</v>
      </c>
      <c r="BS37" s="24">
        <f t="shared" si="11"/>
        <v>0</v>
      </c>
      <c r="BT37" s="24">
        <f t="shared" si="11"/>
        <v>0</v>
      </c>
    </row>
    <row r="38" spans="1:72" ht="15" customHeight="1" outlineLevel="1" x14ac:dyDescent="0.15">
      <c r="A38" s="33"/>
      <c r="B38" s="33" t="s">
        <v>32</v>
      </c>
      <c r="C38" s="35" t="s">
        <v>365</v>
      </c>
      <c r="D38" s="33">
        <v>9000000</v>
      </c>
      <c r="E38" s="34">
        <v>12</v>
      </c>
      <c r="F38" s="35">
        <v>32</v>
      </c>
      <c r="G38" s="35">
        <v>30</v>
      </c>
      <c r="H38" s="35">
        <v>16</v>
      </c>
      <c r="J38" s="36">
        <f t="shared" si="0"/>
        <v>16.590150000000001</v>
      </c>
      <c r="K38" s="37">
        <f t="shared" si="1"/>
        <v>1.96624</v>
      </c>
      <c r="L38" s="35">
        <f t="shared" si="2"/>
        <v>17696160</v>
      </c>
      <c r="M38" s="35">
        <f t="shared" si="3"/>
        <v>3003968</v>
      </c>
      <c r="N38" s="46">
        <v>7365760</v>
      </c>
      <c r="O38" s="38">
        <v>17696160</v>
      </c>
      <c r="P38" s="38">
        <v>1788760</v>
      </c>
      <c r="Q38" s="38">
        <v>0</v>
      </c>
      <c r="R38" s="38">
        <v>1215208</v>
      </c>
      <c r="S38" s="38">
        <v>14676104</v>
      </c>
      <c r="T38" s="38">
        <v>16088</v>
      </c>
      <c r="U38" s="47">
        <v>77.179070199999998</v>
      </c>
      <c r="V38" s="47">
        <v>79.411035499999997</v>
      </c>
      <c r="W38" s="47">
        <v>31.903575</v>
      </c>
      <c r="X38" s="47">
        <v>39.087858500000003</v>
      </c>
      <c r="Y38" s="47">
        <v>39.323712800000003</v>
      </c>
      <c r="Z38" s="47">
        <v>50.613806199999999</v>
      </c>
      <c r="AA38" s="47">
        <v>30.9139321</v>
      </c>
      <c r="AB38" s="39">
        <v>2709.9527330000001</v>
      </c>
      <c r="AC38" s="39">
        <v>31.243085000000001</v>
      </c>
      <c r="AE38" s="36" t="str">
        <f t="shared" si="4"/>
        <v>·</v>
      </c>
      <c r="AF38" s="37" t="str">
        <f t="shared" si="5"/>
        <v>·</v>
      </c>
      <c r="AG38" s="35" t="str">
        <f t="shared" si="6"/>
        <v>.</v>
      </c>
      <c r="AH38" s="35" t="str">
        <f t="shared" si="7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8"/>
        <v>0</v>
      </c>
      <c r="BQ38" s="40">
        <f t="shared" si="9"/>
        <v>0</v>
      </c>
      <c r="BR38" s="40">
        <f t="shared" si="10"/>
        <v>0</v>
      </c>
      <c r="BS38" s="40">
        <f t="shared" si="11"/>
        <v>0</v>
      </c>
      <c r="BT38" s="40">
        <f t="shared" si="11"/>
        <v>0</v>
      </c>
    </row>
    <row r="39" spans="1:72" ht="15.75" customHeight="1" outlineLevel="1" thickBot="1" x14ac:dyDescent="0.2">
      <c r="A39" s="17"/>
      <c r="B39" s="48" t="s">
        <v>32</v>
      </c>
      <c r="C39" s="49" t="s">
        <v>366</v>
      </c>
      <c r="D39" s="48">
        <v>9000000</v>
      </c>
      <c r="E39" s="50">
        <v>12</v>
      </c>
      <c r="F39" s="49">
        <v>32</v>
      </c>
      <c r="G39" s="49">
        <v>30</v>
      </c>
      <c r="H39" s="49">
        <v>24</v>
      </c>
      <c r="J39" s="51">
        <f t="shared" si="0"/>
        <v>24.709222499999999</v>
      </c>
      <c r="K39" s="52">
        <f t="shared" si="1"/>
        <v>2.9285004444444445</v>
      </c>
      <c r="L39" s="49">
        <f t="shared" si="2"/>
        <v>26356504</v>
      </c>
      <c r="M39" s="49">
        <f t="shared" si="3"/>
        <v>4051256</v>
      </c>
      <c r="N39" s="53">
        <v>14733824</v>
      </c>
      <c r="O39" s="54">
        <v>26356504</v>
      </c>
      <c r="P39" s="54">
        <v>3133016</v>
      </c>
      <c r="Q39" s="54">
        <v>0</v>
      </c>
      <c r="R39" s="54">
        <v>918240</v>
      </c>
      <c r="S39" s="54">
        <v>22289744</v>
      </c>
      <c r="T39" s="54">
        <v>15504</v>
      </c>
      <c r="U39" s="55">
        <v>79.052642300000002</v>
      </c>
      <c r="V39" s="55">
        <v>81.697413600000004</v>
      </c>
      <c r="W39" s="55">
        <v>32.699809100000003</v>
      </c>
      <c r="X39" s="55">
        <v>39.173113800000003</v>
      </c>
      <c r="Y39" s="55">
        <v>39.472436299999998</v>
      </c>
      <c r="Z39" s="55">
        <v>51.750458700000003</v>
      </c>
      <c r="AA39" s="55">
        <v>31.7275724</v>
      </c>
      <c r="AB39" s="56">
        <v>3030.1085200000002</v>
      </c>
      <c r="AC39" s="56">
        <v>35.118098000000003</v>
      </c>
      <c r="AE39" s="51" t="str">
        <f t="shared" si="4"/>
        <v>·</v>
      </c>
      <c r="AF39" s="52" t="str">
        <f t="shared" si="5"/>
        <v>·</v>
      </c>
      <c r="AG39" s="49" t="str">
        <f t="shared" si="6"/>
        <v>.</v>
      </c>
      <c r="AH39" s="49" t="str">
        <f t="shared" si="7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8"/>
        <v>0</v>
      </c>
      <c r="BQ39" s="57">
        <f t="shared" si="9"/>
        <v>0</v>
      </c>
      <c r="BR39" s="57">
        <f t="shared" si="10"/>
        <v>0</v>
      </c>
      <c r="BS39" s="57">
        <f t="shared" si="11"/>
        <v>0</v>
      </c>
      <c r="BT39" s="57">
        <f t="shared" si="11"/>
        <v>0</v>
      </c>
    </row>
    <row r="40" spans="1:72" ht="15" customHeight="1" x14ac:dyDescent="0.15">
      <c r="A40" s="33"/>
      <c r="B40" s="33" t="s">
        <v>75</v>
      </c>
      <c r="C40" s="35" t="s">
        <v>362</v>
      </c>
      <c r="D40" s="33">
        <v>9000000</v>
      </c>
      <c r="E40" s="34">
        <v>12</v>
      </c>
      <c r="F40" s="35">
        <v>32</v>
      </c>
      <c r="G40" s="35">
        <v>30</v>
      </c>
      <c r="H40" s="35">
        <v>4</v>
      </c>
      <c r="J40" s="36">
        <f t="shared" si="0"/>
        <v>4.0502324999999999</v>
      </c>
      <c r="K40" s="37">
        <f t="shared" si="1"/>
        <v>0.48002755555555554</v>
      </c>
      <c r="L40" s="35">
        <f t="shared" si="2"/>
        <v>4320248</v>
      </c>
      <c r="M40" s="35">
        <f t="shared" si="3"/>
        <v>1270552</v>
      </c>
      <c r="N40" s="46">
        <v>1839040</v>
      </c>
      <c r="O40" s="38">
        <v>4320248</v>
      </c>
      <c r="P40" s="38">
        <v>541752</v>
      </c>
      <c r="Q40" s="38">
        <v>0</v>
      </c>
      <c r="R40" s="38">
        <v>728800</v>
      </c>
      <c r="S40" s="38">
        <v>3033944</v>
      </c>
      <c r="T40" s="38">
        <v>15752</v>
      </c>
      <c r="U40" s="47">
        <v>72.073312200000004</v>
      </c>
      <c r="V40" s="47">
        <v>73.313668300000003</v>
      </c>
      <c r="W40" s="47">
        <v>32.487589</v>
      </c>
      <c r="X40" s="47">
        <v>42.226790000000001</v>
      </c>
      <c r="Y40" s="47">
        <v>42.575123099999999</v>
      </c>
      <c r="Z40" s="47">
        <v>47.837510700000003</v>
      </c>
      <c r="AA40" s="47">
        <v>31.5151085</v>
      </c>
      <c r="AB40" s="39">
        <v>603.85749399999997</v>
      </c>
      <c r="AC40" s="39">
        <v>13.3096</v>
      </c>
      <c r="AE40" s="36" t="str">
        <f t="shared" si="4"/>
        <v>·</v>
      </c>
      <c r="AF40" s="37" t="str">
        <f t="shared" si="5"/>
        <v>·</v>
      </c>
      <c r="AG40" s="35" t="str">
        <f t="shared" si="6"/>
        <v>.</v>
      </c>
      <c r="AH40" s="35" t="str">
        <f t="shared" si="7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8"/>
        <v>0</v>
      </c>
      <c r="BQ40" s="40">
        <f t="shared" si="9"/>
        <v>0</v>
      </c>
      <c r="BR40" s="40">
        <f t="shared" si="10"/>
        <v>0</v>
      </c>
      <c r="BS40" s="40">
        <f t="shared" si="11"/>
        <v>0</v>
      </c>
      <c r="BT40" s="40">
        <f t="shared" si="11"/>
        <v>0</v>
      </c>
    </row>
    <row r="41" spans="1:72" ht="15" customHeight="1" outlineLevel="1" x14ac:dyDescent="0.15">
      <c r="A41" s="17"/>
      <c r="B41" s="17" t="s">
        <v>75</v>
      </c>
      <c r="C41" s="19" t="s">
        <v>363</v>
      </c>
      <c r="D41" s="17">
        <v>9000000</v>
      </c>
      <c r="E41" s="18">
        <v>12</v>
      </c>
      <c r="F41" s="19">
        <v>32</v>
      </c>
      <c r="G41" s="19">
        <v>30</v>
      </c>
      <c r="H41" s="19">
        <v>6</v>
      </c>
      <c r="J41" s="20">
        <f t="shared" si="0"/>
        <v>6.1590299999999996</v>
      </c>
      <c r="K41" s="21">
        <f t="shared" si="1"/>
        <v>0.72995911111111111</v>
      </c>
      <c r="L41" s="19">
        <f t="shared" si="2"/>
        <v>6569632</v>
      </c>
      <c r="M41" s="19">
        <f t="shared" si="3"/>
        <v>1385648</v>
      </c>
      <c r="N41" s="44">
        <v>1839040</v>
      </c>
      <c r="O41" s="22">
        <v>6569632</v>
      </c>
      <c r="P41" s="22">
        <v>587352</v>
      </c>
      <c r="Q41" s="22">
        <v>0</v>
      </c>
      <c r="R41" s="22">
        <v>798296</v>
      </c>
      <c r="S41" s="22">
        <v>5168304</v>
      </c>
      <c r="T41" s="22">
        <v>15680</v>
      </c>
      <c r="U41" s="45">
        <v>72.368364700000001</v>
      </c>
      <c r="V41" s="45">
        <v>73.645732800000005</v>
      </c>
      <c r="W41" s="45">
        <v>33.140527499999997</v>
      </c>
      <c r="X41" s="45">
        <v>42.489907000000002</v>
      </c>
      <c r="Y41" s="45">
        <v>42.826784500000002</v>
      </c>
      <c r="Z41" s="45">
        <v>47.9009012</v>
      </c>
      <c r="AA41" s="45">
        <v>31.9371112</v>
      </c>
      <c r="AB41" s="23">
        <v>2666.783113</v>
      </c>
      <c r="AC41" s="23">
        <v>32.863801000000002</v>
      </c>
      <c r="AE41" s="20" t="str">
        <f t="shared" si="4"/>
        <v>·</v>
      </c>
      <c r="AF41" s="21" t="str">
        <f t="shared" si="5"/>
        <v>·</v>
      </c>
      <c r="AG41" s="19" t="str">
        <f t="shared" si="6"/>
        <v>.</v>
      </c>
      <c r="AH41" s="19" t="str">
        <f t="shared" si="7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8"/>
        <v>0</v>
      </c>
      <c r="BQ41" s="24">
        <f t="shared" si="9"/>
        <v>0</v>
      </c>
      <c r="BR41" s="24">
        <f t="shared" si="10"/>
        <v>0</v>
      </c>
      <c r="BS41" s="24">
        <f t="shared" si="11"/>
        <v>0</v>
      </c>
      <c r="BT41" s="24">
        <f t="shared" si="11"/>
        <v>0</v>
      </c>
    </row>
    <row r="42" spans="1:72" ht="15" customHeight="1" outlineLevel="1" x14ac:dyDescent="0.15">
      <c r="A42" s="33"/>
      <c r="B42" s="33" t="s">
        <v>75</v>
      </c>
      <c r="C42" s="35" t="s">
        <v>364</v>
      </c>
      <c r="D42" s="33">
        <v>9000000</v>
      </c>
      <c r="E42" s="34">
        <v>12</v>
      </c>
      <c r="F42" s="35">
        <v>32</v>
      </c>
      <c r="G42" s="35">
        <v>30</v>
      </c>
      <c r="H42" s="35">
        <v>11</v>
      </c>
      <c r="J42" s="36">
        <f t="shared" si="0"/>
        <v>11.3179725</v>
      </c>
      <c r="K42" s="37">
        <f t="shared" si="1"/>
        <v>1.3413893333333333</v>
      </c>
      <c r="L42" s="35">
        <f t="shared" si="2"/>
        <v>12072504</v>
      </c>
      <c r="M42" s="35">
        <f t="shared" si="3"/>
        <v>2415904</v>
      </c>
      <c r="N42" s="46">
        <v>7368320</v>
      </c>
      <c r="O42" s="38">
        <v>12072504</v>
      </c>
      <c r="P42" s="38">
        <v>1570336</v>
      </c>
      <c r="Q42" s="38">
        <v>0</v>
      </c>
      <c r="R42" s="38">
        <v>845568</v>
      </c>
      <c r="S42" s="38">
        <v>9640560</v>
      </c>
      <c r="T42" s="38">
        <v>16040</v>
      </c>
      <c r="U42" s="47">
        <v>76.334910600000001</v>
      </c>
      <c r="V42" s="47">
        <v>78.173767699999999</v>
      </c>
      <c r="W42" s="47">
        <v>34.188262299999998</v>
      </c>
      <c r="X42" s="47">
        <v>42.833855700000001</v>
      </c>
      <c r="Y42" s="47">
        <v>43.355657999999998</v>
      </c>
      <c r="Z42" s="47">
        <v>50.319832900000002</v>
      </c>
      <c r="AA42" s="47">
        <v>33.292130999999998</v>
      </c>
      <c r="AB42" s="39">
        <v>2276.2139339999999</v>
      </c>
      <c r="AC42" s="39">
        <v>31.704364999999999</v>
      </c>
      <c r="AE42" s="36" t="str">
        <f t="shared" si="4"/>
        <v>·</v>
      </c>
      <c r="AF42" s="37" t="str">
        <f t="shared" si="5"/>
        <v>·</v>
      </c>
      <c r="AG42" s="35" t="str">
        <f t="shared" si="6"/>
        <v>.</v>
      </c>
      <c r="AH42" s="35" t="str">
        <f t="shared" si="7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8"/>
        <v>0</v>
      </c>
      <c r="BQ42" s="40">
        <f t="shared" si="9"/>
        <v>0</v>
      </c>
      <c r="BR42" s="40">
        <f t="shared" si="10"/>
        <v>0</v>
      </c>
      <c r="BS42" s="40">
        <f t="shared" si="11"/>
        <v>0</v>
      </c>
      <c r="BT42" s="40">
        <f t="shared" si="11"/>
        <v>0</v>
      </c>
    </row>
    <row r="43" spans="1:72" ht="15" customHeight="1" outlineLevel="1" x14ac:dyDescent="0.15">
      <c r="A43" s="17"/>
      <c r="B43" s="17" t="s">
        <v>75</v>
      </c>
      <c r="C43" s="19" t="s">
        <v>365</v>
      </c>
      <c r="D43" s="17">
        <v>9000000</v>
      </c>
      <c r="E43" s="18">
        <v>12</v>
      </c>
      <c r="F43" s="19">
        <v>32</v>
      </c>
      <c r="G43" s="19">
        <v>30</v>
      </c>
      <c r="H43" s="19">
        <v>16</v>
      </c>
      <c r="J43" s="20">
        <f t="shared" si="0"/>
        <v>16.634519999999998</v>
      </c>
      <c r="K43" s="21">
        <f t="shared" si="1"/>
        <v>1.9714986666666667</v>
      </c>
      <c r="L43" s="19">
        <f t="shared" si="2"/>
        <v>17743488</v>
      </c>
      <c r="M43" s="19">
        <f t="shared" si="3"/>
        <v>2909832</v>
      </c>
      <c r="N43" s="44">
        <v>7368320</v>
      </c>
      <c r="O43" s="22">
        <v>17743488</v>
      </c>
      <c r="P43" s="22">
        <v>1743376</v>
      </c>
      <c r="Q43" s="22">
        <v>0</v>
      </c>
      <c r="R43" s="22">
        <v>1166456</v>
      </c>
      <c r="S43" s="22">
        <v>14817608</v>
      </c>
      <c r="T43" s="22">
        <v>16048</v>
      </c>
      <c r="U43" s="45">
        <v>77.524888500000003</v>
      </c>
      <c r="V43" s="45">
        <v>79.588636500000007</v>
      </c>
      <c r="W43" s="45">
        <v>34.894791699999999</v>
      </c>
      <c r="X43" s="45">
        <v>42.9567379</v>
      </c>
      <c r="Y43" s="45">
        <v>43.548097900000002</v>
      </c>
      <c r="Z43" s="45">
        <v>50.975414800000003</v>
      </c>
      <c r="AA43" s="45">
        <v>33.948259499999999</v>
      </c>
      <c r="AB43" s="23">
        <v>2685.2972439999999</v>
      </c>
      <c r="AC43" s="23">
        <v>32.228535000000001</v>
      </c>
      <c r="AE43" s="20" t="str">
        <f t="shared" si="4"/>
        <v>·</v>
      </c>
      <c r="AF43" s="21" t="str">
        <f t="shared" si="5"/>
        <v>·</v>
      </c>
      <c r="AG43" s="19" t="str">
        <f t="shared" si="6"/>
        <v>.</v>
      </c>
      <c r="AH43" s="19" t="str">
        <f t="shared" si="7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8"/>
        <v>0</v>
      </c>
      <c r="BQ43" s="24">
        <f t="shared" si="9"/>
        <v>0</v>
      </c>
      <c r="BR43" s="24">
        <f t="shared" si="10"/>
        <v>0</v>
      </c>
      <c r="BS43" s="24">
        <f t="shared" si="11"/>
        <v>0</v>
      </c>
      <c r="BT43" s="24">
        <f t="shared" si="11"/>
        <v>0</v>
      </c>
    </row>
    <row r="44" spans="1:72" ht="15.75" customHeight="1" outlineLevel="1" thickBot="1" x14ac:dyDescent="0.2">
      <c r="A44" s="25"/>
      <c r="B44" s="25" t="s">
        <v>75</v>
      </c>
      <c r="C44" s="27" t="s">
        <v>366</v>
      </c>
      <c r="D44" s="25">
        <v>9000000</v>
      </c>
      <c r="E44" s="26">
        <v>12</v>
      </c>
      <c r="F44" s="27">
        <v>32</v>
      </c>
      <c r="G44" s="27">
        <v>30</v>
      </c>
      <c r="H44" s="27">
        <v>24</v>
      </c>
      <c r="J44" s="28">
        <f t="shared" si="0"/>
        <v>24.868995000000002</v>
      </c>
      <c r="K44" s="29">
        <f t="shared" si="1"/>
        <v>2.9474364444444445</v>
      </c>
      <c r="L44" s="27">
        <f t="shared" si="2"/>
        <v>26526928</v>
      </c>
      <c r="M44" s="27">
        <f t="shared" si="3"/>
        <v>3904096</v>
      </c>
      <c r="N44" s="58">
        <v>14739328</v>
      </c>
      <c r="O44" s="30">
        <v>26526928</v>
      </c>
      <c r="P44" s="30">
        <v>2710072</v>
      </c>
      <c r="Q44" s="30">
        <v>0</v>
      </c>
      <c r="R44" s="30">
        <v>1194024</v>
      </c>
      <c r="S44" s="30">
        <v>22607136</v>
      </c>
      <c r="T44" s="30">
        <v>15696</v>
      </c>
      <c r="U44" s="59">
        <v>79.513917500000005</v>
      </c>
      <c r="V44" s="59">
        <v>82.104544500000003</v>
      </c>
      <c r="W44" s="59">
        <v>35.740401400000003</v>
      </c>
      <c r="X44" s="59">
        <v>43.105198000000001</v>
      </c>
      <c r="Y44" s="59">
        <v>43.757987</v>
      </c>
      <c r="Z44" s="59">
        <v>52.287342000000002</v>
      </c>
      <c r="AA44" s="59">
        <v>34.888601199999997</v>
      </c>
      <c r="AB44" s="31">
        <v>2648.720644</v>
      </c>
      <c r="AC44" s="31">
        <v>38.436604000000003</v>
      </c>
      <c r="AE44" s="28" t="str">
        <f t="shared" si="4"/>
        <v>·</v>
      </c>
      <c r="AF44" s="29" t="str">
        <f t="shared" si="5"/>
        <v>·</v>
      </c>
      <c r="AG44" s="27" t="str">
        <f t="shared" si="6"/>
        <v>.</v>
      </c>
      <c r="AH44" s="27" t="str">
        <f t="shared" si="7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8"/>
        <v>0</v>
      </c>
      <c r="BQ44" s="32">
        <f t="shared" si="9"/>
        <v>0</v>
      </c>
      <c r="BR44" s="32">
        <f t="shared" si="10"/>
        <v>0</v>
      </c>
      <c r="BS44" s="32">
        <f t="shared" si="11"/>
        <v>0</v>
      </c>
      <c r="BT44" s="32">
        <f t="shared" si="11"/>
        <v>0</v>
      </c>
    </row>
    <row r="45" spans="1:72" ht="15" customHeight="1" x14ac:dyDescent="0.15">
      <c r="A45" s="17" t="s">
        <v>427</v>
      </c>
      <c r="B45" s="17" t="s">
        <v>428</v>
      </c>
      <c r="C45" s="19" t="s">
        <v>362</v>
      </c>
      <c r="D45" s="17">
        <v>199984</v>
      </c>
      <c r="E45" s="18">
        <v>10</v>
      </c>
      <c r="F45" s="19">
        <v>1</v>
      </c>
      <c r="G45" s="19">
        <v>30</v>
      </c>
      <c r="H45" s="19">
        <v>4</v>
      </c>
      <c r="J45" s="20">
        <f t="shared" ref="J45:J49" si="12">IF(OR(ISBLANK(O45),ISBLANK(G45)),"·",O45*G45/F45/1000000)</f>
        <v>5.71488</v>
      </c>
      <c r="K45" s="21">
        <f t="shared" ref="K45:K49" si="13">IF(ISBLANK(O45),"·",O45/D45)</f>
        <v>0.95255620449635969</v>
      </c>
      <c r="L45" s="19">
        <f t="shared" ref="L45:L49" si="14">IF(OR(ISBLANK(M45),ISBLANK(S45),ISBLANK(T45)),".",M45+S45+T45)</f>
        <v>190496</v>
      </c>
      <c r="M45" s="19">
        <f t="shared" ref="M45:M49" si="15">IF(OR(ISBLANK(Q45),ISBLANK(P45),ISBLANK(R45)),".",P45+Q45+R45)</f>
        <v>87984</v>
      </c>
      <c r="N45" s="44">
        <v>383872</v>
      </c>
      <c r="O45" s="22">
        <v>190496</v>
      </c>
      <c r="P45" s="22">
        <v>72440</v>
      </c>
      <c r="Q45" s="22">
        <v>0</v>
      </c>
      <c r="R45" s="22">
        <v>15544</v>
      </c>
      <c r="S45" s="22">
        <v>100864</v>
      </c>
      <c r="T45" s="22">
        <v>1648</v>
      </c>
      <c r="U45" s="45">
        <v>76.493702900000002</v>
      </c>
      <c r="V45" s="45">
        <v>79.061057300000002</v>
      </c>
      <c r="W45" s="45">
        <v>30.278041900000002</v>
      </c>
      <c r="X45" s="45">
        <v>42.494525299999999</v>
      </c>
      <c r="Y45" s="45">
        <v>40.849274800000003</v>
      </c>
      <c r="Z45" s="45">
        <v>55.044560400000002</v>
      </c>
      <c r="AA45" s="45">
        <v>29.878969999999999</v>
      </c>
      <c r="AB45" s="23">
        <v>16.974394</v>
      </c>
      <c r="AC45" s="23">
        <v>0.52484799999999998</v>
      </c>
      <c r="AE45" s="20" t="str">
        <f t="shared" ref="AE45:AE49" si="16">IF(OR(ISBLANK(AJ45),ISBLANK(G45)),"·",AJ45*G45/F45/1000000)</f>
        <v>·</v>
      </c>
      <c r="AF45" s="21" t="str">
        <f t="shared" ref="AF45:AF49" si="17">IF(ISBLANK(AJ45),"·",AJ45/D45)</f>
        <v>·</v>
      </c>
      <c r="AG45" s="19" t="str">
        <f t="shared" ref="AG45:AG49" si="18">IF(OR(ISBLANK(AH45),ISBLANK(AN45),ISBLANK(AO45)),".",AH45+AN45+AO45)</f>
        <v>.</v>
      </c>
      <c r="AH45" s="19" t="str">
        <f t="shared" ref="AH45:AH49" si="19">IF(OR(ISBLANK(AL45),ISBLANK(AK45),ISBLANK(AM45)),".",AK45+AL45+AM45)</f>
        <v>.</v>
      </c>
      <c r="AI45" s="44"/>
      <c r="AJ45" s="22"/>
      <c r="AK45" s="22"/>
      <c r="AL45" s="22"/>
      <c r="AM45" s="22"/>
      <c r="AN45" s="22"/>
      <c r="AO45" s="22"/>
      <c r="AP45" s="45"/>
      <c r="AQ45" s="45"/>
      <c r="AR45" s="45"/>
      <c r="AS45" s="45"/>
      <c r="AT45" s="45"/>
      <c r="AU45" s="45"/>
      <c r="AV45" s="45"/>
      <c r="AW45" s="23"/>
      <c r="AX45" s="23"/>
      <c r="AZ45" s="24" t="str">
        <f t="array" ref="AZ45">IF( OR(AND(ISBLANK(L45:L49)),AND(ISBLANK(AG45:AG49)), AND(ISBLANK(U45:U49)),AND(ISBLANK(AP45:AP49))), "·", bdRateExtend( L45:L49,U45:U49, AG45:AG49,AP45:AP49))</f>
        <v>·</v>
      </c>
      <c r="BA45" s="24" t="str">
        <f t="array" ref="BA45">IF( OR(AND(ISBLANK(L45:L49)),AND(ISBLANK(AG45:AG49)), AND(ISBLANK(V45:V49)),AND(ISBLANK(AQ45:AQ49))), "·", bdRateExtend( L45:L49,V45:V49, AG45:AG49,AQ45:AQ49))</f>
        <v>·</v>
      </c>
      <c r="BB45" s="24" t="str" cm="1">
        <f t="array" ref="BB45">IF( OR(AND(ISBLANK(L45:L49)),AND(ISBLANK(AG45:AG49)), AND(ISBLANK(W45:W49)),AND(ISBLANK(AR45:AR49))), "·", bdRateExtend( L45:L49,W45:W49, AG45:AG49,AR45:AR49))</f>
        <v>·</v>
      </c>
      <c r="BC45" s="24" t="str" cm="1">
        <f t="array" ref="BC45">IF( OR(AND(ISBLANK(L45:L49)),AND(ISBLANK(AG45:AG49)), AND(ISBLANK(X45:X49)),AND(ISBLANK(AS45:AS49))), "·", bdRateExtend( L45:L49,X45:X49, AG45:AG49,AS45:AS49))</f>
        <v>·</v>
      </c>
      <c r="BD45" s="24" t="str" cm="1">
        <f t="array" ref="BD45">IF( OR(AND(ISBLANK(L45:L49)),AND(ISBLANK(AG45:AG49)), AND(ISBLANK(Y45:Y49)),AND(ISBLANK(AT45:AT49))), "·", bdRateExtend( L45:L49,Y45:Y49, AG45:AG49,AT45:AT49))</f>
        <v>·</v>
      </c>
      <c r="BE45" s="24" t="str" cm="1">
        <f t="array" ref="BE45">IF( OR(AND(ISBLANK(L45:L49)),AND(ISBLANK(AG45:AG49)), AND(ISBLANK(Z45:Z49)),AND(ISBLANK(AU45:AU49))), "·", bdRateExtend( L45:L49,Z45:Z49, AG45:AG49,AU45:AU49))</f>
        <v>·</v>
      </c>
      <c r="BF45" s="24" t="str" cm="1">
        <f t="array" ref="BF45">IF( OR(AND(ISBLANK(L45:L49)),AND(ISBLANK(AG45:AG49)), AND(ISBLANK(AA45:AA49)),AND(ISBLANK(AV45:AV49))), "·", bdRateExtend( L45:L49,AA45:AA49, AG45:AG49,AV45:AV49))</f>
        <v>·</v>
      </c>
      <c r="BH45" s="24" t="str" cm="1">
        <f t="array" ref="BH45">IF( OR(AND(ISBLANK(M45:M49)),AND(ISBLANK(AH45:AH49)), AND(ISBLANK(U45:U49)),AND(ISBLANK(AP45:AP49))), "·", bdRateExtend( M45:M49,U45:U49, AH45:AH49,AP45:AP49))</f>
        <v>·</v>
      </c>
      <c r="BI45" s="24" t="str" cm="1">
        <f t="array" ref="BI45">IF( OR(AND(ISBLANK(M45:M49)),AND(ISBLANK(AH45:AH49)), AND(ISBLANK(V45:V49)),AND(ISBLANK(AQ45:AQ49))), "·", bdRateExtend( M45:M49,V45:V49, AH45:AH49,AQ45:AQ49))</f>
        <v>·</v>
      </c>
      <c r="BJ45" s="24" t="str" cm="1">
        <f t="array" ref="BJ45">IF( OR(AND(ISBLANK(S45:S49)),AND(ISBLANK(AN45:AN49)), AND(ISBLANK(W45:W49)),AND(ISBLANK(AR45:AR49))), "·", bdRateExtend( S45:S49,W45:W49, AN45:AN49,AR45:AR49))</f>
        <v>·</v>
      </c>
      <c r="BK45" s="24" t="str" cm="1">
        <f t="array" ref="BK45">IF( OR(AND(ISBLANK(S45:S49)),AND(ISBLANK(AN45:AN49)), AND(ISBLANK(X45:X49)),AND(ISBLANK(AS45:AS49))), "·", bdRateExtend( S45:S49,X45:X49, AN45:AN49,AS45:AS49))</f>
        <v>·</v>
      </c>
      <c r="BL45" s="24" t="str" cm="1">
        <f t="array" ref="BL45">IF( OR(AND(ISBLANK(S45:S49)),AND(ISBLANK(AN45:AN49)), AND(ISBLANK(Y45:Y49)),AND(ISBLANK(AT45:AT49))), "·", bdRateExtend( S45:S49,Y45:Y49, AN45:AN49,AT45:AT49))</f>
        <v>·</v>
      </c>
      <c r="BM45" s="24" t="str" cm="1">
        <f t="array" ref="BM45">IF( OR(AND(ISBLANK(M45:M49)),AND(ISBLANK(AH45:AH49)), AND(ISBLANK(Z45:Z49)),AND(ISBLANK(AU45:AU49))), "·", bdRateExtend( M45:M49,Z45:Z49, AH45:AH49,AU45:AU49))</f>
        <v>·</v>
      </c>
      <c r="BN45" s="24" t="str" cm="1">
        <f t="array" ref="BN45">IF( OR(AND(ISBLANK(S45:S49)),AND(ISBLANK(AN45:AN49)), AND(ISBLANK(AA45:AA49)),AND(ISBLANK(AV45:AV49))), "·", bdRateExtend( S45:S49,AA45:AA49, AN45:AN49,AV45:AV49))</f>
        <v>·</v>
      </c>
      <c r="BP45" s="24">
        <f t="shared" ref="BP45:BP49" si="20">IF(AND(AK45=0,AK45=0),0,AK45/P45-1)</f>
        <v>0</v>
      </c>
      <c r="BQ45" s="24">
        <f t="shared" ref="BQ45:BQ49" si="21">IF(AND(AL45=0,AL45=0),0,AL45/Q45-1)</f>
        <v>0</v>
      </c>
      <c r="BR45" s="24">
        <f t="shared" ref="BR45:BR49" si="22">IF(AND(AM45=0,AM45=0),0,AM45/R45-1)</f>
        <v>0</v>
      </c>
      <c r="BS45" s="24">
        <f t="shared" ref="BS45:BS49" si="23">IF(AND(AN45=0,AN45=0),0,AN45/S45-1)</f>
        <v>0</v>
      </c>
      <c r="BT45" s="24">
        <f t="shared" ref="BT45:BT49" si="24">IF(AND(AO45=0,AO45=0),0,AO45/T45-1)</f>
        <v>0</v>
      </c>
    </row>
    <row r="46" spans="1:72" ht="15" customHeight="1" outlineLevel="1" x14ac:dyDescent="0.15">
      <c r="A46" s="33"/>
      <c r="B46" s="33" t="s">
        <v>428</v>
      </c>
      <c r="C46" s="35" t="s">
        <v>363</v>
      </c>
      <c r="D46" s="33">
        <v>199984</v>
      </c>
      <c r="E46" s="34">
        <v>10</v>
      </c>
      <c r="F46" s="35">
        <v>1</v>
      </c>
      <c r="G46" s="35">
        <v>30</v>
      </c>
      <c r="H46" s="35">
        <v>9</v>
      </c>
      <c r="J46" s="36">
        <f t="shared" si="12"/>
        <v>10.2888</v>
      </c>
      <c r="K46" s="37">
        <f t="shared" si="13"/>
        <v>1.714937194975598</v>
      </c>
      <c r="L46" s="35">
        <f t="shared" si="14"/>
        <v>342960</v>
      </c>
      <c r="M46" s="35">
        <f t="shared" si="15"/>
        <v>105808</v>
      </c>
      <c r="N46" s="46">
        <v>383872</v>
      </c>
      <c r="O46" s="38">
        <v>342960</v>
      </c>
      <c r="P46" s="38">
        <v>81088</v>
      </c>
      <c r="Q46" s="38">
        <v>0</v>
      </c>
      <c r="R46" s="38">
        <v>24720</v>
      </c>
      <c r="S46" s="38">
        <v>235496</v>
      </c>
      <c r="T46" s="38">
        <v>1656</v>
      </c>
      <c r="U46" s="47">
        <v>78.244808599999999</v>
      </c>
      <c r="V46" s="47">
        <v>81.361836800000006</v>
      </c>
      <c r="W46" s="47">
        <v>31.540469900000002</v>
      </c>
      <c r="X46" s="47">
        <v>43.652007599999997</v>
      </c>
      <c r="Y46" s="47">
        <v>42.291822500000002</v>
      </c>
      <c r="Z46" s="47">
        <v>56.170851599999999</v>
      </c>
      <c r="AA46" s="47">
        <v>31.075164699999998</v>
      </c>
      <c r="AB46" s="39">
        <v>29.735468999999998</v>
      </c>
      <c r="AC46" s="39">
        <v>0.56813400000000003</v>
      </c>
      <c r="AE46" s="36" t="str">
        <f t="shared" si="16"/>
        <v>·</v>
      </c>
      <c r="AF46" s="37" t="str">
        <f t="shared" si="17"/>
        <v>·</v>
      </c>
      <c r="AG46" s="35" t="str">
        <f t="shared" si="18"/>
        <v>.</v>
      </c>
      <c r="AH46" s="35" t="str">
        <f t="shared" si="19"/>
        <v>.</v>
      </c>
      <c r="AI46" s="46"/>
      <c r="AJ46" s="38"/>
      <c r="AK46" s="38"/>
      <c r="AL46" s="38"/>
      <c r="AM46" s="38"/>
      <c r="AN46" s="38"/>
      <c r="AO46" s="38"/>
      <c r="AP46" s="47"/>
      <c r="AQ46" s="47"/>
      <c r="AR46" s="47"/>
      <c r="AS46" s="47"/>
      <c r="AT46" s="47"/>
      <c r="AU46" s="47"/>
      <c r="AV46" s="47"/>
      <c r="AW46" s="39"/>
      <c r="AX46" s="39"/>
      <c r="AZ46" s="40"/>
      <c r="BA46" s="40"/>
      <c r="BB46" s="40"/>
      <c r="BC46" s="40"/>
      <c r="BD46" s="40"/>
      <c r="BE46" s="40"/>
      <c r="BF46" s="40"/>
      <c r="BH46" s="101"/>
      <c r="BI46" s="101"/>
      <c r="BJ46" s="101"/>
      <c r="BK46" s="101"/>
      <c r="BL46" s="101"/>
      <c r="BM46" s="101"/>
      <c r="BN46" s="101"/>
      <c r="BP46" s="40">
        <f t="shared" si="20"/>
        <v>0</v>
      </c>
      <c r="BQ46" s="40">
        <f t="shared" si="21"/>
        <v>0</v>
      </c>
      <c r="BR46" s="40">
        <f t="shared" si="22"/>
        <v>0</v>
      </c>
      <c r="BS46" s="40">
        <f t="shared" si="23"/>
        <v>0</v>
      </c>
      <c r="BT46" s="40">
        <f t="shared" si="24"/>
        <v>0</v>
      </c>
    </row>
    <row r="47" spans="1:72" ht="15" customHeight="1" outlineLevel="1" x14ac:dyDescent="0.15">
      <c r="A47" s="17"/>
      <c r="B47" s="17" t="s">
        <v>428</v>
      </c>
      <c r="C47" s="19" t="s">
        <v>364</v>
      </c>
      <c r="D47" s="17">
        <v>199984</v>
      </c>
      <c r="E47" s="18">
        <v>10</v>
      </c>
      <c r="F47" s="19">
        <v>1</v>
      </c>
      <c r="G47" s="19">
        <v>30</v>
      </c>
      <c r="H47" s="19">
        <v>12</v>
      </c>
      <c r="J47" s="20">
        <f t="shared" si="12"/>
        <v>27.548159999999999</v>
      </c>
      <c r="K47" s="21">
        <f t="shared" si="13"/>
        <v>4.5917273381870549</v>
      </c>
      <c r="L47" s="19">
        <f t="shared" si="14"/>
        <v>918272</v>
      </c>
      <c r="M47" s="19">
        <f t="shared" si="15"/>
        <v>201688</v>
      </c>
      <c r="N47" s="44">
        <v>767872</v>
      </c>
      <c r="O47" s="22">
        <v>918272</v>
      </c>
      <c r="P47" s="22">
        <v>141704</v>
      </c>
      <c r="Q47" s="22">
        <v>0</v>
      </c>
      <c r="R47" s="22">
        <v>59984</v>
      </c>
      <c r="S47" s="22">
        <v>714904</v>
      </c>
      <c r="T47" s="22">
        <v>1680</v>
      </c>
      <c r="U47" s="45">
        <v>81.334224199999994</v>
      </c>
      <c r="V47" s="45">
        <v>86.582821699999997</v>
      </c>
      <c r="W47" s="45">
        <v>32.737954999999999</v>
      </c>
      <c r="X47" s="45">
        <v>44.933899199999999</v>
      </c>
      <c r="Y47" s="45">
        <v>43.992284499999997</v>
      </c>
      <c r="Z47" s="45">
        <v>58.616900700000002</v>
      </c>
      <c r="AA47" s="45">
        <v>32.434200199999999</v>
      </c>
      <c r="AB47" s="23">
        <v>21.493454</v>
      </c>
      <c r="AC47" s="23">
        <v>0.55492900000000001</v>
      </c>
      <c r="AE47" s="20" t="str">
        <f t="shared" si="16"/>
        <v>·</v>
      </c>
      <c r="AF47" s="21" t="str">
        <f t="shared" si="17"/>
        <v>·</v>
      </c>
      <c r="AG47" s="19" t="str">
        <f t="shared" si="18"/>
        <v>.</v>
      </c>
      <c r="AH47" s="19" t="str">
        <f t="shared" si="19"/>
        <v>.</v>
      </c>
      <c r="AI47" s="44"/>
      <c r="AJ47" s="22"/>
      <c r="AK47" s="22"/>
      <c r="AL47" s="22"/>
      <c r="AM47" s="22"/>
      <c r="AN47" s="22"/>
      <c r="AO47" s="22"/>
      <c r="AP47" s="45"/>
      <c r="AQ47" s="45"/>
      <c r="AR47" s="45"/>
      <c r="AS47" s="45"/>
      <c r="AT47" s="45"/>
      <c r="AU47" s="45"/>
      <c r="AV47" s="45"/>
      <c r="AW47" s="23"/>
      <c r="AX47" s="23"/>
      <c r="AZ47" s="24"/>
      <c r="BA47" s="24"/>
      <c r="BB47" s="24"/>
      <c r="BC47" s="24"/>
      <c r="BD47" s="24"/>
      <c r="BE47" s="24"/>
      <c r="BF47" s="24"/>
      <c r="BH47" s="100"/>
      <c r="BI47" s="100"/>
      <c r="BJ47" s="100"/>
      <c r="BK47" s="100"/>
      <c r="BL47" s="100"/>
      <c r="BM47" s="100"/>
      <c r="BN47" s="100"/>
      <c r="BP47" s="24">
        <f t="shared" si="20"/>
        <v>0</v>
      </c>
      <c r="BQ47" s="24">
        <f t="shared" si="21"/>
        <v>0</v>
      </c>
      <c r="BR47" s="24">
        <f t="shared" si="22"/>
        <v>0</v>
      </c>
      <c r="BS47" s="24">
        <f t="shared" si="23"/>
        <v>0</v>
      </c>
      <c r="BT47" s="24">
        <f t="shared" si="24"/>
        <v>0</v>
      </c>
    </row>
    <row r="48" spans="1:72" ht="15" customHeight="1" outlineLevel="1" x14ac:dyDescent="0.15">
      <c r="A48" s="33"/>
      <c r="B48" s="33" t="s">
        <v>428</v>
      </c>
      <c r="C48" s="35" t="s">
        <v>365</v>
      </c>
      <c r="D48" s="33">
        <v>199984</v>
      </c>
      <c r="E48" s="34">
        <v>10</v>
      </c>
      <c r="F48" s="35">
        <v>1</v>
      </c>
      <c r="G48" s="35">
        <v>30</v>
      </c>
      <c r="H48" s="35">
        <v>15</v>
      </c>
      <c r="J48" s="36">
        <f t="shared" si="12"/>
        <v>50.752560000000003</v>
      </c>
      <c r="K48" s="37">
        <f t="shared" si="13"/>
        <v>8.4594367549403948</v>
      </c>
      <c r="L48" s="35">
        <f t="shared" si="14"/>
        <v>1691752</v>
      </c>
      <c r="M48" s="35">
        <f t="shared" si="15"/>
        <v>303544</v>
      </c>
      <c r="N48" s="46">
        <v>1535744</v>
      </c>
      <c r="O48" s="38">
        <v>1691752</v>
      </c>
      <c r="P48" s="38">
        <v>248112</v>
      </c>
      <c r="Q48" s="38">
        <v>0</v>
      </c>
      <c r="R48" s="38">
        <v>55432</v>
      </c>
      <c r="S48" s="38">
        <v>1386528</v>
      </c>
      <c r="T48" s="38">
        <v>1680</v>
      </c>
      <c r="U48" s="47">
        <v>82.120771199999993</v>
      </c>
      <c r="V48" s="47">
        <v>88.265081100000003</v>
      </c>
      <c r="W48" s="47">
        <v>33.567344599999998</v>
      </c>
      <c r="X48" s="47">
        <v>46.3748389</v>
      </c>
      <c r="Y48" s="47">
        <v>45.425838900000002</v>
      </c>
      <c r="Z48" s="47">
        <v>59.151543500000002</v>
      </c>
      <c r="AA48" s="47">
        <v>33.257023400000001</v>
      </c>
      <c r="AB48" s="39">
        <v>27.517938999999998</v>
      </c>
      <c r="AC48" s="39">
        <v>1.093059</v>
      </c>
      <c r="AE48" s="36" t="str">
        <f t="shared" si="16"/>
        <v>·</v>
      </c>
      <c r="AF48" s="37" t="str">
        <f t="shared" si="17"/>
        <v>·</v>
      </c>
      <c r="AG48" s="35" t="str">
        <f t="shared" si="18"/>
        <v>.</v>
      </c>
      <c r="AH48" s="35" t="str">
        <f t="shared" si="19"/>
        <v>.</v>
      </c>
      <c r="AI48" s="46"/>
      <c r="AJ48" s="38"/>
      <c r="AK48" s="38"/>
      <c r="AL48" s="38"/>
      <c r="AM48" s="38"/>
      <c r="AN48" s="38"/>
      <c r="AO48" s="38"/>
      <c r="AP48" s="47"/>
      <c r="AQ48" s="47"/>
      <c r="AR48" s="47"/>
      <c r="AS48" s="47"/>
      <c r="AT48" s="47"/>
      <c r="AU48" s="47"/>
      <c r="AV48" s="47"/>
      <c r="AW48" s="39"/>
      <c r="AX48" s="39"/>
      <c r="AZ48" s="40"/>
      <c r="BA48" s="40"/>
      <c r="BB48" s="40"/>
      <c r="BC48" s="40"/>
      <c r="BD48" s="40"/>
      <c r="BE48" s="40"/>
      <c r="BF48" s="40"/>
      <c r="BH48" s="101"/>
      <c r="BI48" s="101"/>
      <c r="BJ48" s="101"/>
      <c r="BK48" s="101"/>
      <c r="BL48" s="101"/>
      <c r="BM48" s="101"/>
      <c r="BN48" s="101"/>
      <c r="BP48" s="40">
        <f t="shared" si="20"/>
        <v>0</v>
      </c>
      <c r="BQ48" s="40">
        <f t="shared" si="21"/>
        <v>0</v>
      </c>
      <c r="BR48" s="40">
        <f t="shared" si="22"/>
        <v>0</v>
      </c>
      <c r="BS48" s="40">
        <f t="shared" si="23"/>
        <v>0</v>
      </c>
      <c r="BT48" s="40">
        <f t="shared" si="24"/>
        <v>0</v>
      </c>
    </row>
    <row r="49" spans="1:72" ht="15.75" customHeight="1" outlineLevel="1" thickBot="1" x14ac:dyDescent="0.2">
      <c r="A49" s="48"/>
      <c r="B49" s="48" t="s">
        <v>428</v>
      </c>
      <c r="C49" s="49" t="s">
        <v>366</v>
      </c>
      <c r="D49" s="48">
        <v>199984</v>
      </c>
      <c r="E49" s="50">
        <v>10</v>
      </c>
      <c r="F49" s="49">
        <v>1</v>
      </c>
      <c r="G49" s="49">
        <v>30</v>
      </c>
      <c r="H49" s="49">
        <v>22</v>
      </c>
      <c r="J49" s="51">
        <f t="shared" si="12"/>
        <v>90.078239999999994</v>
      </c>
      <c r="K49" s="52">
        <f t="shared" si="13"/>
        <v>15.014241139291144</v>
      </c>
      <c r="L49" s="49">
        <f t="shared" si="14"/>
        <v>3002608</v>
      </c>
      <c r="M49" s="49">
        <f t="shared" si="15"/>
        <v>312936</v>
      </c>
      <c r="N49" s="53">
        <v>1535744</v>
      </c>
      <c r="O49" s="54">
        <v>3002608</v>
      </c>
      <c r="P49" s="54">
        <v>248112</v>
      </c>
      <c r="Q49" s="54">
        <v>0</v>
      </c>
      <c r="R49" s="54">
        <v>64824</v>
      </c>
      <c r="S49" s="54">
        <v>2687984</v>
      </c>
      <c r="T49" s="54">
        <v>1688</v>
      </c>
      <c r="U49" s="55">
        <v>82.296570799999998</v>
      </c>
      <c r="V49" s="55">
        <v>88.772984699999995</v>
      </c>
      <c r="W49" s="55">
        <v>34.238238899999999</v>
      </c>
      <c r="X49" s="55">
        <v>48.012117199999999</v>
      </c>
      <c r="Y49" s="55">
        <v>46.998905299999997</v>
      </c>
      <c r="Z49" s="55">
        <v>59.486194699999999</v>
      </c>
      <c r="AA49" s="55">
        <v>33.879080799999997</v>
      </c>
      <c r="AB49" s="56">
        <v>45.685108999999997</v>
      </c>
      <c r="AC49" s="56">
        <v>1.091064</v>
      </c>
      <c r="AE49" s="51" t="str">
        <f t="shared" si="16"/>
        <v>·</v>
      </c>
      <c r="AF49" s="52" t="str">
        <f t="shared" si="17"/>
        <v>·</v>
      </c>
      <c r="AG49" s="49" t="str">
        <f t="shared" si="18"/>
        <v>.</v>
      </c>
      <c r="AH49" s="49" t="str">
        <f t="shared" si="19"/>
        <v>.</v>
      </c>
      <c r="AI49" s="53"/>
      <c r="AJ49" s="54"/>
      <c r="AK49" s="54"/>
      <c r="AL49" s="54"/>
      <c r="AM49" s="54"/>
      <c r="AN49" s="54"/>
      <c r="AO49" s="54"/>
      <c r="AP49" s="55"/>
      <c r="AQ49" s="55"/>
      <c r="AR49" s="55"/>
      <c r="AS49" s="55"/>
      <c r="AT49" s="55"/>
      <c r="AU49" s="55"/>
      <c r="AV49" s="55"/>
      <c r="AW49" s="56"/>
      <c r="AX49" s="56"/>
      <c r="AZ49" s="57"/>
      <c r="BA49" s="57"/>
      <c r="BB49" s="57"/>
      <c r="BC49" s="57"/>
      <c r="BD49" s="57"/>
      <c r="BE49" s="57"/>
      <c r="BF49" s="57"/>
      <c r="BH49" s="102"/>
      <c r="BI49" s="102"/>
      <c r="BJ49" s="102"/>
      <c r="BK49" s="102"/>
      <c r="BL49" s="102"/>
      <c r="BM49" s="102"/>
      <c r="BN49" s="102"/>
      <c r="BP49" s="57">
        <f t="shared" si="20"/>
        <v>0</v>
      </c>
      <c r="BQ49" s="57">
        <f t="shared" si="21"/>
        <v>0</v>
      </c>
      <c r="BR49" s="57">
        <f t="shared" si="22"/>
        <v>0</v>
      </c>
      <c r="BS49" s="57">
        <f t="shared" si="23"/>
        <v>0</v>
      </c>
      <c r="BT49" s="57">
        <f t="shared" si="24"/>
        <v>0</v>
      </c>
    </row>
    <row r="50" spans="1:72" x14ac:dyDescent="0.15">
      <c r="B50" s="41" t="s">
        <v>7</v>
      </c>
      <c r="K50" s="42">
        <f>AVERAGE(K5:K14)</f>
        <v>1.349261716725346</v>
      </c>
      <c r="L50" s="42"/>
      <c r="M50" s="42"/>
      <c r="AF50" s="42" t="e">
        <f>AVERAGE(AF5:AF14)</f>
        <v>#DIV/0!</v>
      </c>
      <c r="AG50" s="42"/>
      <c r="AH50" s="42"/>
      <c r="AZ50" s="5" t="e">
        <f t="shared" ref="AZ50:BF50" si="25">AVERAGE(AZ5:AZ14)</f>
        <v>#DIV/0!</v>
      </c>
      <c r="BA50" s="5" t="e">
        <f t="shared" si="25"/>
        <v>#DIV/0!</v>
      </c>
      <c r="BB50" s="5" t="e">
        <f t="shared" si="25"/>
        <v>#DIV/0!</v>
      </c>
      <c r="BC50" s="5" t="e">
        <f t="shared" si="25"/>
        <v>#DIV/0!</v>
      </c>
      <c r="BD50" s="5" t="e">
        <f t="shared" si="25"/>
        <v>#DIV/0!</v>
      </c>
      <c r="BE50" s="5" t="e">
        <f t="shared" si="25"/>
        <v>#DIV/0!</v>
      </c>
      <c r="BF50" s="5" t="e">
        <f t="shared" si="25"/>
        <v>#DIV/0!</v>
      </c>
      <c r="BH50" s="5" t="e">
        <f t="shared" ref="BH50:BN50" si="26">AVERAGE(BH5:BH14)</f>
        <v>#DIV/0!</v>
      </c>
      <c r="BI50" s="5" t="e">
        <f t="shared" si="26"/>
        <v>#DIV/0!</v>
      </c>
      <c r="BJ50" s="5" t="e">
        <f t="shared" si="26"/>
        <v>#DIV/0!</v>
      </c>
      <c r="BK50" s="5" t="e">
        <f t="shared" si="26"/>
        <v>#DIV/0!</v>
      </c>
      <c r="BL50" s="5" t="e">
        <f t="shared" si="26"/>
        <v>#DIV/0!</v>
      </c>
      <c r="BM50" s="5" t="e">
        <f t="shared" si="26"/>
        <v>#DIV/0!</v>
      </c>
      <c r="BN50" s="5" t="e">
        <f t="shared" si="26"/>
        <v>#DIV/0!</v>
      </c>
      <c r="BP50" s="5">
        <f>AVERAGE(BP5:BP14)</f>
        <v>0</v>
      </c>
      <c r="BQ50" s="5">
        <f>AVERAGE(BQ5:BQ14)</f>
        <v>0</v>
      </c>
      <c r="BR50" s="5">
        <f>AVERAGE(BR5:BR14)</f>
        <v>0</v>
      </c>
      <c r="BS50" s="5">
        <f>AVERAGE(BS5:BS14)</f>
        <v>0</v>
      </c>
      <c r="BT50" s="5">
        <f>AVERAGE(BT5:BT14)</f>
        <v>0</v>
      </c>
    </row>
    <row r="51" spans="1:72" x14ac:dyDescent="0.15">
      <c r="B51" s="41" t="s">
        <v>8</v>
      </c>
      <c r="K51" s="42">
        <f>AVERAGE(K15:K24)</f>
        <v>0.97409284253618611</v>
      </c>
      <c r="L51" s="42"/>
      <c r="M51" s="42"/>
      <c r="AF51" s="42" t="e">
        <f>AVERAGE(AF15:AF24)</f>
        <v>#DIV/0!</v>
      </c>
      <c r="AG51" s="42"/>
      <c r="AH51" s="42"/>
      <c r="AZ51" s="5" t="e">
        <f t="shared" ref="AZ51:BF51" si="27">AVERAGE(AZ15:AZ24)</f>
        <v>#DIV/0!</v>
      </c>
      <c r="BA51" s="5" t="e">
        <f t="shared" si="27"/>
        <v>#DIV/0!</v>
      </c>
      <c r="BB51" s="5" t="e">
        <f t="shared" si="27"/>
        <v>#DIV/0!</v>
      </c>
      <c r="BC51" s="5" t="e">
        <f t="shared" si="27"/>
        <v>#DIV/0!</v>
      </c>
      <c r="BD51" s="5" t="e">
        <f t="shared" si="27"/>
        <v>#DIV/0!</v>
      </c>
      <c r="BE51" s="5" t="e">
        <f t="shared" si="27"/>
        <v>#DIV/0!</v>
      </c>
      <c r="BF51" s="5" t="e">
        <f t="shared" si="27"/>
        <v>#DIV/0!</v>
      </c>
      <c r="BH51" s="5" t="e">
        <f t="shared" ref="BH51:BN51" si="28">AVERAGE(BH15:BH24)</f>
        <v>#DIV/0!</v>
      </c>
      <c r="BI51" s="5" t="e">
        <f t="shared" si="28"/>
        <v>#DIV/0!</v>
      </c>
      <c r="BJ51" s="5" t="e">
        <f t="shared" si="28"/>
        <v>#DIV/0!</v>
      </c>
      <c r="BK51" s="5" t="e">
        <f t="shared" si="28"/>
        <v>#DIV/0!</v>
      </c>
      <c r="BL51" s="5" t="e">
        <f t="shared" si="28"/>
        <v>#DIV/0!</v>
      </c>
      <c r="BM51" s="5" t="e">
        <f t="shared" si="28"/>
        <v>#DIV/0!</v>
      </c>
      <c r="BN51" s="5" t="e">
        <f t="shared" si="28"/>
        <v>#DIV/0!</v>
      </c>
      <c r="BP51" s="5">
        <f>AVERAGE(BP15:BP24)</f>
        <v>0</v>
      </c>
      <c r="BQ51" s="5">
        <f>AVERAGE(BQ15:BQ24)</f>
        <v>0</v>
      </c>
      <c r="BR51" s="5">
        <f>AVERAGE(BR15:BR24)</f>
        <v>0</v>
      </c>
      <c r="BS51" s="5">
        <f>AVERAGE(BS15:BS24)</f>
        <v>0</v>
      </c>
      <c r="BT51" s="5">
        <f>AVERAGE(BT15:BT24)</f>
        <v>0</v>
      </c>
    </row>
    <row r="52" spans="1:72" x14ac:dyDescent="0.15">
      <c r="B52" s="41" t="s">
        <v>9</v>
      </c>
      <c r="K52" s="42">
        <f>AVERAGE(K25:K44)</f>
        <v>1.640906497309081</v>
      </c>
      <c r="L52" s="42"/>
      <c r="M52" s="42"/>
      <c r="AF52" s="42" t="e">
        <f>AVERAGE(AF25:AF44)</f>
        <v>#DIV/0!</v>
      </c>
      <c r="AG52" s="42"/>
      <c r="AH52" s="42"/>
      <c r="AZ52" s="5" t="e">
        <f t="shared" ref="AZ52:BF52" si="29">AVERAGE(AZ25:AZ44)</f>
        <v>#DIV/0!</v>
      </c>
      <c r="BA52" s="5" t="e">
        <f t="shared" si="29"/>
        <v>#DIV/0!</v>
      </c>
      <c r="BB52" s="5" t="e">
        <f t="shared" si="29"/>
        <v>#DIV/0!</v>
      </c>
      <c r="BC52" s="5" t="e">
        <f t="shared" si="29"/>
        <v>#DIV/0!</v>
      </c>
      <c r="BD52" s="5" t="e">
        <f t="shared" si="29"/>
        <v>#DIV/0!</v>
      </c>
      <c r="BE52" s="5" t="e">
        <f t="shared" si="29"/>
        <v>#DIV/0!</v>
      </c>
      <c r="BF52" s="5" t="e">
        <f t="shared" si="29"/>
        <v>#DIV/0!</v>
      </c>
      <c r="BH52" s="5" t="e">
        <f t="shared" ref="BH52:BN52" si="30">AVERAGE(BH25:BH44)</f>
        <v>#DIV/0!</v>
      </c>
      <c r="BI52" s="5" t="e">
        <f t="shared" si="30"/>
        <v>#DIV/0!</v>
      </c>
      <c r="BJ52" s="5" t="e">
        <f t="shared" si="30"/>
        <v>#DIV/0!</v>
      </c>
      <c r="BK52" s="5" t="e">
        <f t="shared" si="30"/>
        <v>#DIV/0!</v>
      </c>
      <c r="BL52" s="5" t="e">
        <f t="shared" si="30"/>
        <v>#DIV/0!</v>
      </c>
      <c r="BM52" s="5" t="e">
        <f t="shared" si="30"/>
        <v>#DIV/0!</v>
      </c>
      <c r="BN52" s="5" t="e">
        <f t="shared" si="30"/>
        <v>#DIV/0!</v>
      </c>
      <c r="BP52" s="5">
        <f>AVERAGE(BP25:BP44)</f>
        <v>0</v>
      </c>
      <c r="BQ52" s="5">
        <f>AVERAGE(BQ25:BQ44)</f>
        <v>0</v>
      </c>
      <c r="BR52" s="5">
        <f>AVERAGE(BR25:BR44)</f>
        <v>0</v>
      </c>
      <c r="BS52" s="5">
        <f>AVERAGE(BS25:BS44)</f>
        <v>0</v>
      </c>
      <c r="BT52" s="5">
        <f>AVERAGE(BT25:BT44)</f>
        <v>0</v>
      </c>
    </row>
    <row r="53" spans="1:72" x14ac:dyDescent="0.15">
      <c r="B53" s="41" t="s">
        <v>429</v>
      </c>
      <c r="K53" s="42">
        <f>AVERAGE(K45:K49)</f>
        <v>6.1465797263781097</v>
      </c>
      <c r="L53" s="42"/>
      <c r="M53" s="42"/>
      <c r="AF53" s="42" t="e">
        <f>AVERAGE(AF45:AF49)</f>
        <v>#DIV/0!</v>
      </c>
      <c r="AG53" s="42"/>
      <c r="AH53" s="42"/>
      <c r="AZ53" s="5" t="e">
        <f>AVERAGE(AZ45:AZ49)</f>
        <v>#DIV/0!</v>
      </c>
      <c r="BA53" s="5" t="e">
        <f t="shared" ref="BA53:BN53" si="31">AVERAGE(BA45:BA49)</f>
        <v>#DIV/0!</v>
      </c>
      <c r="BB53" s="5" t="e">
        <f t="shared" si="31"/>
        <v>#DIV/0!</v>
      </c>
      <c r="BC53" s="5" t="e">
        <f t="shared" si="31"/>
        <v>#DIV/0!</v>
      </c>
      <c r="BD53" s="5" t="e">
        <f t="shared" si="31"/>
        <v>#DIV/0!</v>
      </c>
      <c r="BE53" s="5" t="e">
        <f t="shared" si="31"/>
        <v>#DIV/0!</v>
      </c>
      <c r="BF53" s="5" t="e">
        <f t="shared" si="31"/>
        <v>#DIV/0!</v>
      </c>
      <c r="BG53" s="5"/>
      <c r="BH53" s="5" t="e">
        <f t="shared" si="31"/>
        <v>#DIV/0!</v>
      </c>
      <c r="BI53" s="5" t="e">
        <f t="shared" si="31"/>
        <v>#DIV/0!</v>
      </c>
      <c r="BJ53" s="5" t="e">
        <f t="shared" si="31"/>
        <v>#DIV/0!</v>
      </c>
      <c r="BK53" s="5" t="e">
        <f t="shared" si="31"/>
        <v>#DIV/0!</v>
      </c>
      <c r="BL53" s="5" t="e">
        <f t="shared" si="31"/>
        <v>#DIV/0!</v>
      </c>
      <c r="BM53" s="5" t="e">
        <f t="shared" si="31"/>
        <v>#DIV/0!</v>
      </c>
      <c r="BN53" s="5" t="e">
        <f t="shared" si="31"/>
        <v>#DIV/0!</v>
      </c>
      <c r="BP53" s="5">
        <f>AVERAGE(BP45:BP49)</f>
        <v>0</v>
      </c>
      <c r="BQ53" s="5">
        <f t="shared" ref="BQ53:BT53" si="32">AVERAGE(BQ45:BQ49)</f>
        <v>0</v>
      </c>
      <c r="BR53" s="5">
        <f t="shared" si="32"/>
        <v>0</v>
      </c>
      <c r="BS53" s="5">
        <f t="shared" si="32"/>
        <v>0</v>
      </c>
      <c r="BT53" s="5">
        <f t="shared" si="32"/>
        <v>0</v>
      </c>
    </row>
    <row r="54" spans="1:72" x14ac:dyDescent="0.15">
      <c r="B54" s="41" t="s">
        <v>10</v>
      </c>
      <c r="K54" s="42">
        <f>AVERAGE(K5:K49)</f>
        <v>1.9285460926819442</v>
      </c>
      <c r="L54" s="42"/>
      <c r="M54" s="42"/>
      <c r="AF54" s="42" t="e">
        <f>AVERAGE(AF5:AF49)</f>
        <v>#DIV/0!</v>
      </c>
      <c r="AG54" s="42"/>
      <c r="AH54" s="42"/>
      <c r="AJ54" s="98"/>
      <c r="AK54" s="98"/>
      <c r="AZ54" s="5" t="e">
        <f t="shared" ref="AZ54:BF54" si="33">AVERAGE(AZ5:AZ49)</f>
        <v>#DIV/0!</v>
      </c>
      <c r="BA54" s="5" t="e">
        <f t="shared" si="33"/>
        <v>#DIV/0!</v>
      </c>
      <c r="BB54" s="5" t="e">
        <f t="shared" si="33"/>
        <v>#DIV/0!</v>
      </c>
      <c r="BC54" s="5" t="e">
        <f t="shared" si="33"/>
        <v>#DIV/0!</v>
      </c>
      <c r="BD54" s="5" t="e">
        <f t="shared" si="33"/>
        <v>#DIV/0!</v>
      </c>
      <c r="BE54" s="5" t="e">
        <f t="shared" si="33"/>
        <v>#DIV/0!</v>
      </c>
      <c r="BF54" s="5" t="e">
        <f t="shared" si="33"/>
        <v>#DIV/0!</v>
      </c>
      <c r="BH54" s="5" t="e">
        <f t="shared" ref="BH54:BN54" si="34">AVERAGE(BH5:BH49)</f>
        <v>#DIV/0!</v>
      </c>
      <c r="BI54" s="5" t="e">
        <f t="shared" si="34"/>
        <v>#DIV/0!</v>
      </c>
      <c r="BJ54" s="5" t="e">
        <f t="shared" si="34"/>
        <v>#DIV/0!</v>
      </c>
      <c r="BK54" s="5" t="e">
        <f t="shared" si="34"/>
        <v>#DIV/0!</v>
      </c>
      <c r="BL54" s="5" t="e">
        <f t="shared" si="34"/>
        <v>#DIV/0!</v>
      </c>
      <c r="BM54" s="5" t="e">
        <f t="shared" si="34"/>
        <v>#DIV/0!</v>
      </c>
      <c r="BN54" s="5" t="e">
        <f t="shared" si="34"/>
        <v>#DIV/0!</v>
      </c>
      <c r="BP54" s="5">
        <f>AVERAGE(BP5:BP49)</f>
        <v>0</v>
      </c>
      <c r="BQ54" s="5">
        <f t="shared" ref="BQ54:BT54" si="35">AVERAGE(BQ5:BQ49)</f>
        <v>0</v>
      </c>
      <c r="BR54" s="5">
        <f t="shared" si="35"/>
        <v>0</v>
      </c>
      <c r="BS54" s="5">
        <f t="shared" si="35"/>
        <v>0</v>
      </c>
      <c r="BT54" s="5">
        <f t="shared" si="35"/>
        <v>0</v>
      </c>
    </row>
    <row r="55" spans="1:72" x14ac:dyDescent="0.15">
      <c r="A55" s="41" t="s">
        <v>178</v>
      </c>
      <c r="B55" s="41" t="s">
        <v>179</v>
      </c>
      <c r="AB55" s="43">
        <f>SUM(AB5:AB14,AB15:AB24,AB25:AB44,AB45:AB49)</f>
        <v>47408.831429999998</v>
      </c>
      <c r="AC55" s="43">
        <f>SUM(AC5:AC14,AC15:AC24,AC25:AC44,AC45:AC49)</f>
        <v>728.97982800000011</v>
      </c>
      <c r="AW55" s="43">
        <f>SUM(AW5:AW14,AW15:AW24,AW25:AW44,AW45:AW49)</f>
        <v>0</v>
      </c>
      <c r="AX55" s="43">
        <f>SUM(AX5:AX14,AX15:AX24,AX25:AX44,AX45:AX49)</f>
        <v>0</v>
      </c>
    </row>
    <row r="56" spans="1:72" x14ac:dyDescent="0.15">
      <c r="B56" s="41" t="s">
        <v>180</v>
      </c>
      <c r="AW56" s="8">
        <f>AW55/AB55</f>
        <v>0</v>
      </c>
      <c r="AX56" s="8">
        <f>AX55/AC55</f>
        <v>0</v>
      </c>
    </row>
    <row r="59" spans="1:72" ht="15.75" customHeight="1" thickBot="1" x14ac:dyDescent="0.2"/>
    <row r="60" spans="1:72" x14ac:dyDescent="0.15">
      <c r="AG60" s="88" t="e">
        <f t="shared" ref="AG60:AG98" si="36">AG5-L5</f>
        <v>#VALUE!</v>
      </c>
      <c r="AH60" s="88" t="e">
        <f t="shared" ref="AH60:AH98" si="37">AH5-M5</f>
        <v>#VALUE!</v>
      </c>
      <c r="AI60" s="88">
        <f t="shared" ref="AI60:AI98" si="38">AI5-N5</f>
        <v>-2415872</v>
      </c>
      <c r="AJ60" s="88">
        <f t="shared" ref="AJ60:AJ98" si="39">AJ5-O5</f>
        <v>-5420760</v>
      </c>
      <c r="AK60" s="88">
        <f t="shared" ref="AK60:AK98" si="40">AK5-P5</f>
        <v>-812056</v>
      </c>
      <c r="AL60" s="88">
        <f t="shared" ref="AL60:AL98" si="41">AL5-Q5</f>
        <v>0</v>
      </c>
      <c r="AM60" s="88">
        <f t="shared" ref="AM60:AM98" si="42">AM5-R5</f>
        <v>-884592</v>
      </c>
      <c r="AN60" s="88">
        <f t="shared" ref="AN60:AN98" si="43">AN5-S5</f>
        <v>-3709368</v>
      </c>
      <c r="AO60" s="88">
        <f t="shared" ref="AO60:AO98" si="44">AO5-T5</f>
        <v>-14744</v>
      </c>
      <c r="AP60" s="88">
        <f t="shared" ref="AP60:AP98" si="45">AP5-U5</f>
        <v>-69.754844500000004</v>
      </c>
      <c r="AQ60" s="89">
        <f t="shared" ref="AQ60:AQ98" si="46">AQ5-V5</f>
        <v>-70.927806399999994</v>
      </c>
      <c r="AR60" s="89">
        <f t="shared" ref="AR60:AR98" si="47">AR5-W5</f>
        <v>-28.855100799999999</v>
      </c>
      <c r="AS60" s="89">
        <f t="shared" ref="AS60:AS98" si="48">AS5-X5</f>
        <v>-33.974234699999997</v>
      </c>
      <c r="AT60" s="89">
        <f t="shared" ref="AT60:AT98" si="49">AT5-Y5</f>
        <v>-33.426751899999999</v>
      </c>
      <c r="AU60" s="89">
        <f t="shared" ref="AU60:AU98" si="50">AU5-Z5</f>
        <v>-49.629371999999996</v>
      </c>
      <c r="AV60" s="90">
        <f t="shared" ref="AV60:AV98" si="51">AV5-AA5</f>
        <v>-27.5979688</v>
      </c>
    </row>
    <row r="61" spans="1:72" x14ac:dyDescent="0.15">
      <c r="AG61" s="91" t="e">
        <f t="shared" si="36"/>
        <v>#VALUE!</v>
      </c>
      <c r="AH61" s="91" t="e">
        <f t="shared" si="37"/>
        <v>#VALUE!</v>
      </c>
      <c r="AI61" s="91">
        <f t="shared" si="38"/>
        <v>-2415872</v>
      </c>
      <c r="AJ61" s="91">
        <f t="shared" si="39"/>
        <v>-9928304</v>
      </c>
      <c r="AK61" s="91">
        <f t="shared" si="40"/>
        <v>-877640</v>
      </c>
      <c r="AL61" s="91">
        <f t="shared" si="41"/>
        <v>0</v>
      </c>
      <c r="AM61" s="91">
        <f t="shared" si="42"/>
        <v>-1111088</v>
      </c>
      <c r="AN61" s="91">
        <f t="shared" si="43"/>
        <v>-7924984</v>
      </c>
      <c r="AO61" s="91">
        <f t="shared" si="44"/>
        <v>-14592</v>
      </c>
      <c r="AP61" s="91">
        <f t="shared" si="45"/>
        <v>-70.418563700000007</v>
      </c>
      <c r="AQ61" s="92">
        <f t="shared" si="46"/>
        <v>-71.671692399999998</v>
      </c>
      <c r="AR61" s="92">
        <f t="shared" si="47"/>
        <v>-31.609381299999999</v>
      </c>
      <c r="AS61" s="92">
        <f t="shared" si="48"/>
        <v>-35.185610599999997</v>
      </c>
      <c r="AT61" s="92">
        <f t="shared" si="49"/>
        <v>-34.743001300000003</v>
      </c>
      <c r="AU61" s="92">
        <f t="shared" si="50"/>
        <v>-50.019521300000001</v>
      </c>
      <c r="AV61" s="93">
        <f t="shared" si="51"/>
        <v>-29.220209799999999</v>
      </c>
    </row>
    <row r="62" spans="1:72" x14ac:dyDescent="0.15">
      <c r="AG62" s="91" t="e">
        <f t="shared" si="36"/>
        <v>#VALUE!</v>
      </c>
      <c r="AH62" s="91" t="e">
        <f t="shared" si="37"/>
        <v>#VALUE!</v>
      </c>
      <c r="AI62" s="91">
        <f t="shared" si="38"/>
        <v>-4871680</v>
      </c>
      <c r="AJ62" s="91">
        <f t="shared" si="39"/>
        <v>-13204800</v>
      </c>
      <c r="AK62" s="91">
        <f t="shared" si="40"/>
        <v>-1283216</v>
      </c>
      <c r="AL62" s="91">
        <f t="shared" si="41"/>
        <v>0</v>
      </c>
      <c r="AM62" s="91">
        <f t="shared" si="42"/>
        <v>-853872</v>
      </c>
      <c r="AN62" s="91">
        <f t="shared" si="43"/>
        <v>-11052848</v>
      </c>
      <c r="AO62" s="91">
        <f t="shared" si="44"/>
        <v>-14864</v>
      </c>
      <c r="AP62" s="91">
        <f t="shared" si="45"/>
        <v>-71.647263100000004</v>
      </c>
      <c r="AQ62" s="92">
        <f t="shared" si="46"/>
        <v>-73.108803899999998</v>
      </c>
      <c r="AR62" s="92">
        <f t="shared" si="47"/>
        <v>-32.683632600000003</v>
      </c>
      <c r="AS62" s="92">
        <f t="shared" si="48"/>
        <v>-36.920605899999998</v>
      </c>
      <c r="AT62" s="92">
        <f t="shared" si="49"/>
        <v>-36.649890399999997</v>
      </c>
      <c r="AU62" s="92">
        <f t="shared" si="50"/>
        <v>-50.7253635</v>
      </c>
      <c r="AV62" s="93">
        <f t="shared" si="51"/>
        <v>-30.373678699999999</v>
      </c>
    </row>
    <row r="63" spans="1:72" x14ac:dyDescent="0.15">
      <c r="AG63" s="91" t="e">
        <f t="shared" si="36"/>
        <v>#VALUE!</v>
      </c>
      <c r="AH63" s="91" t="e">
        <f t="shared" si="37"/>
        <v>#VALUE!</v>
      </c>
      <c r="AI63" s="91">
        <f t="shared" si="38"/>
        <v>-4871680</v>
      </c>
      <c r="AJ63" s="91">
        <f t="shared" si="39"/>
        <v>-16571280</v>
      </c>
      <c r="AK63" s="91">
        <f t="shared" si="40"/>
        <v>-1406008</v>
      </c>
      <c r="AL63" s="91">
        <f t="shared" si="41"/>
        <v>0</v>
      </c>
      <c r="AM63" s="91">
        <f t="shared" si="42"/>
        <v>-1504872</v>
      </c>
      <c r="AN63" s="91">
        <f t="shared" si="43"/>
        <v>-13645208</v>
      </c>
      <c r="AO63" s="91">
        <f t="shared" si="44"/>
        <v>-15192</v>
      </c>
      <c r="AP63" s="91">
        <f t="shared" si="45"/>
        <v>-73.608050599999999</v>
      </c>
      <c r="AQ63" s="92">
        <f t="shared" si="46"/>
        <v>-75.338506499999994</v>
      </c>
      <c r="AR63" s="92">
        <f t="shared" si="47"/>
        <v>-33.661734299999999</v>
      </c>
      <c r="AS63" s="92">
        <f t="shared" si="48"/>
        <v>-37.434432700000002</v>
      </c>
      <c r="AT63" s="92">
        <f t="shared" si="49"/>
        <v>-37.172205499999997</v>
      </c>
      <c r="AU63" s="92">
        <f t="shared" si="50"/>
        <v>-51.820407299999999</v>
      </c>
      <c r="AV63" s="93">
        <f t="shared" si="51"/>
        <v>-31.4982513</v>
      </c>
    </row>
    <row r="64" spans="1:72" x14ac:dyDescent="0.15">
      <c r="AG64" s="91" t="e">
        <f t="shared" si="36"/>
        <v>#VALUE!</v>
      </c>
      <c r="AH64" s="91" t="e">
        <f t="shared" si="37"/>
        <v>#VALUE!</v>
      </c>
      <c r="AI64" s="91">
        <f t="shared" si="38"/>
        <v>-9785664</v>
      </c>
      <c r="AJ64" s="91">
        <f t="shared" si="39"/>
        <v>-24338192</v>
      </c>
      <c r="AK64" s="91">
        <f t="shared" si="40"/>
        <v>-2116376</v>
      </c>
      <c r="AL64" s="91">
        <f t="shared" si="41"/>
        <v>0</v>
      </c>
      <c r="AM64" s="91">
        <f t="shared" si="42"/>
        <v>-2719616</v>
      </c>
      <c r="AN64" s="91">
        <f t="shared" si="43"/>
        <v>-19486864</v>
      </c>
      <c r="AO64" s="91">
        <f t="shared" si="44"/>
        <v>-15336</v>
      </c>
      <c r="AP64" s="91">
        <f t="shared" si="45"/>
        <v>-76.473462999999995</v>
      </c>
      <c r="AQ64" s="92">
        <f t="shared" si="46"/>
        <v>-78.821734199999995</v>
      </c>
      <c r="AR64" s="92">
        <f t="shared" si="47"/>
        <v>-35.055458700000003</v>
      </c>
      <c r="AS64" s="92">
        <f t="shared" si="48"/>
        <v>-38.5909026</v>
      </c>
      <c r="AT64" s="92">
        <f t="shared" si="49"/>
        <v>-38.313666499999997</v>
      </c>
      <c r="AU64" s="92">
        <f t="shared" si="50"/>
        <v>-53.575864299999999</v>
      </c>
      <c r="AV64" s="93">
        <f t="shared" si="51"/>
        <v>-33.173015800000002</v>
      </c>
    </row>
    <row r="65" spans="33:48" x14ac:dyDescent="0.15">
      <c r="AG65" s="91" t="e">
        <f t="shared" si="36"/>
        <v>#VALUE!</v>
      </c>
      <c r="AH65" s="91" t="e">
        <f t="shared" si="37"/>
        <v>#VALUE!</v>
      </c>
      <c r="AI65" s="91">
        <f t="shared" si="38"/>
        <v>-2393664</v>
      </c>
      <c r="AJ65" s="91">
        <f t="shared" si="39"/>
        <v>-5466360</v>
      </c>
      <c r="AK65" s="91">
        <f t="shared" si="40"/>
        <v>-876904</v>
      </c>
      <c r="AL65" s="91">
        <f t="shared" si="41"/>
        <v>0</v>
      </c>
      <c r="AM65" s="91">
        <f t="shared" si="42"/>
        <v>-702272</v>
      </c>
      <c r="AN65" s="91">
        <f t="shared" si="43"/>
        <v>-3871888</v>
      </c>
      <c r="AO65" s="91">
        <f t="shared" si="44"/>
        <v>-15296</v>
      </c>
      <c r="AP65" s="91">
        <f t="shared" si="45"/>
        <v>-65.783846600000004</v>
      </c>
      <c r="AQ65" s="92">
        <f t="shared" si="46"/>
        <v>-66.513237899999993</v>
      </c>
      <c r="AR65" s="92">
        <f t="shared" si="47"/>
        <v>-32.103553499999997</v>
      </c>
      <c r="AS65" s="92">
        <f t="shared" si="48"/>
        <v>-44.794141799999998</v>
      </c>
      <c r="AT65" s="92">
        <f t="shared" si="49"/>
        <v>-45.118124600000002</v>
      </c>
      <c r="AU65" s="92">
        <f t="shared" si="50"/>
        <v>-44.446917499999998</v>
      </c>
      <c r="AV65" s="93">
        <f t="shared" si="51"/>
        <v>-29.6049164</v>
      </c>
    </row>
    <row r="66" spans="33:48" x14ac:dyDescent="0.15">
      <c r="AG66" s="91" t="e">
        <f t="shared" si="36"/>
        <v>#VALUE!</v>
      </c>
      <c r="AH66" s="91" t="e">
        <f t="shared" si="37"/>
        <v>#VALUE!</v>
      </c>
      <c r="AI66" s="91">
        <f t="shared" si="38"/>
        <v>-4847680</v>
      </c>
      <c r="AJ66" s="91">
        <f t="shared" si="39"/>
        <v>-9874184</v>
      </c>
      <c r="AK66" s="91">
        <f t="shared" si="40"/>
        <v>-1391312</v>
      </c>
      <c r="AL66" s="91">
        <f t="shared" si="41"/>
        <v>0</v>
      </c>
      <c r="AM66" s="91">
        <f t="shared" si="42"/>
        <v>-1156968</v>
      </c>
      <c r="AN66" s="91">
        <f t="shared" si="43"/>
        <v>-7309944</v>
      </c>
      <c r="AO66" s="91">
        <f t="shared" si="44"/>
        <v>-15960</v>
      </c>
      <c r="AP66" s="91">
        <f t="shared" si="45"/>
        <v>-70.253500200000005</v>
      </c>
      <c r="AQ66" s="92">
        <f t="shared" si="46"/>
        <v>-71.592475699999994</v>
      </c>
      <c r="AR66" s="92">
        <f t="shared" si="47"/>
        <v>-34.815476500000003</v>
      </c>
      <c r="AS66" s="92">
        <f t="shared" si="48"/>
        <v>-45.450841699999998</v>
      </c>
      <c r="AT66" s="92">
        <f t="shared" si="49"/>
        <v>-45.850892199999997</v>
      </c>
      <c r="AU66" s="92">
        <f t="shared" si="50"/>
        <v>-46.997547599999997</v>
      </c>
      <c r="AV66" s="93">
        <f t="shared" si="51"/>
        <v>-32.312636500000004</v>
      </c>
    </row>
    <row r="67" spans="33:48" x14ac:dyDescent="0.15">
      <c r="AG67" s="91" t="e">
        <f t="shared" si="36"/>
        <v>#VALUE!</v>
      </c>
      <c r="AH67" s="91" t="e">
        <f t="shared" si="37"/>
        <v>#VALUE!</v>
      </c>
      <c r="AI67" s="91">
        <f t="shared" si="38"/>
        <v>-4847680</v>
      </c>
      <c r="AJ67" s="91">
        <f t="shared" si="39"/>
        <v>-13225744</v>
      </c>
      <c r="AK67" s="91">
        <f t="shared" si="40"/>
        <v>-1391312</v>
      </c>
      <c r="AL67" s="91">
        <f t="shared" si="41"/>
        <v>0</v>
      </c>
      <c r="AM67" s="91">
        <f t="shared" si="42"/>
        <v>-2586344</v>
      </c>
      <c r="AN67" s="91">
        <f t="shared" si="43"/>
        <v>-9233280</v>
      </c>
      <c r="AO67" s="91">
        <f t="shared" si="44"/>
        <v>-14808</v>
      </c>
      <c r="AP67" s="91">
        <f t="shared" si="45"/>
        <v>-72.589151000000001</v>
      </c>
      <c r="AQ67" s="92">
        <f t="shared" si="46"/>
        <v>-74.248606699999996</v>
      </c>
      <c r="AR67" s="92">
        <f t="shared" si="47"/>
        <v>-35.880331200000001</v>
      </c>
      <c r="AS67" s="92">
        <f t="shared" si="48"/>
        <v>-45.765915100000001</v>
      </c>
      <c r="AT67" s="92">
        <f t="shared" si="49"/>
        <v>-46.215980999999999</v>
      </c>
      <c r="AU67" s="92">
        <f t="shared" si="50"/>
        <v>-48.2623332</v>
      </c>
      <c r="AV67" s="93">
        <f t="shared" si="51"/>
        <v>-33.599946899999999</v>
      </c>
    </row>
    <row r="68" spans="33:48" x14ac:dyDescent="0.15">
      <c r="AG68" s="91" t="e">
        <f t="shared" si="36"/>
        <v>#VALUE!</v>
      </c>
      <c r="AH68" s="91" t="e">
        <f t="shared" si="37"/>
        <v>#VALUE!</v>
      </c>
      <c r="AI68" s="91">
        <f t="shared" si="38"/>
        <v>-9761152</v>
      </c>
      <c r="AJ68" s="91">
        <f t="shared" si="39"/>
        <v>-16467720</v>
      </c>
      <c r="AK68" s="91">
        <f t="shared" si="40"/>
        <v>-2288368</v>
      </c>
      <c r="AL68" s="91">
        <f t="shared" si="41"/>
        <v>0</v>
      </c>
      <c r="AM68" s="91">
        <f t="shared" si="42"/>
        <v>-2468320</v>
      </c>
      <c r="AN68" s="91">
        <f t="shared" si="43"/>
        <v>-11695328</v>
      </c>
      <c r="AO68" s="91">
        <f t="shared" si="44"/>
        <v>-15704</v>
      </c>
      <c r="AP68" s="91">
        <f t="shared" si="45"/>
        <v>-74.445802599999993</v>
      </c>
      <c r="AQ68" s="92">
        <f t="shared" si="46"/>
        <v>-76.451442599999993</v>
      </c>
      <c r="AR68" s="92">
        <f t="shared" si="47"/>
        <v>-36.977600099999997</v>
      </c>
      <c r="AS68" s="92">
        <f t="shared" si="48"/>
        <v>-46.534670900000002</v>
      </c>
      <c r="AT68" s="92">
        <f t="shared" si="49"/>
        <v>-47.095108199999999</v>
      </c>
      <c r="AU68" s="92">
        <f t="shared" si="50"/>
        <v>-49.406626500000002</v>
      </c>
      <c r="AV68" s="93">
        <f t="shared" si="51"/>
        <v>-34.797132499999996</v>
      </c>
    </row>
    <row r="69" spans="33:48" x14ac:dyDescent="0.15">
      <c r="AG69" s="91" t="e">
        <f t="shared" si="36"/>
        <v>#VALUE!</v>
      </c>
      <c r="AH69" s="91" t="e">
        <f t="shared" si="37"/>
        <v>#VALUE!</v>
      </c>
      <c r="AI69" s="91">
        <f t="shared" si="38"/>
        <v>-9761152</v>
      </c>
      <c r="AJ69" s="91">
        <f t="shared" si="39"/>
        <v>-24290928</v>
      </c>
      <c r="AK69" s="91">
        <f t="shared" si="40"/>
        <v>-2526368</v>
      </c>
      <c r="AL69" s="91">
        <f t="shared" si="41"/>
        <v>0</v>
      </c>
      <c r="AM69" s="91">
        <f t="shared" si="42"/>
        <v>-3439760</v>
      </c>
      <c r="AN69" s="91">
        <f t="shared" si="43"/>
        <v>-18309664</v>
      </c>
      <c r="AO69" s="91">
        <f t="shared" si="44"/>
        <v>-15136</v>
      </c>
      <c r="AP69" s="91">
        <f t="shared" si="45"/>
        <v>-75.537888800000005</v>
      </c>
      <c r="AQ69" s="92">
        <f t="shared" si="46"/>
        <v>-77.796266099999997</v>
      </c>
      <c r="AR69" s="92">
        <f t="shared" si="47"/>
        <v>-38.675234500000002</v>
      </c>
      <c r="AS69" s="92">
        <f t="shared" si="48"/>
        <v>-47.556652</v>
      </c>
      <c r="AT69" s="92">
        <f t="shared" si="49"/>
        <v>-48.223664499999998</v>
      </c>
      <c r="AU69" s="92">
        <f t="shared" si="50"/>
        <v>-50.046093999999997</v>
      </c>
      <c r="AV69" s="93">
        <f t="shared" si="51"/>
        <v>-36.093982799999999</v>
      </c>
    </row>
    <row r="70" spans="33:48" x14ac:dyDescent="0.15">
      <c r="AG70" s="91" t="e">
        <f t="shared" si="36"/>
        <v>#VALUE!</v>
      </c>
      <c r="AH70" s="91" t="e">
        <f t="shared" si="37"/>
        <v>#VALUE!</v>
      </c>
      <c r="AI70" s="91">
        <f t="shared" si="38"/>
        <v>-2419456</v>
      </c>
      <c r="AJ70" s="91">
        <f t="shared" si="39"/>
        <v>-3224696</v>
      </c>
      <c r="AK70" s="91">
        <f t="shared" si="40"/>
        <v>-694568</v>
      </c>
      <c r="AL70" s="91">
        <f t="shared" si="41"/>
        <v>0</v>
      </c>
      <c r="AM70" s="91">
        <f t="shared" si="42"/>
        <v>-517520</v>
      </c>
      <c r="AN70" s="91">
        <f t="shared" si="43"/>
        <v>-1996904</v>
      </c>
      <c r="AO70" s="91">
        <f t="shared" si="44"/>
        <v>-15704</v>
      </c>
      <c r="AP70" s="91">
        <f t="shared" si="45"/>
        <v>-71.326258199999998</v>
      </c>
      <c r="AQ70" s="92">
        <f t="shared" si="46"/>
        <v>-72.581992499999998</v>
      </c>
      <c r="AR70" s="92">
        <f t="shared" si="47"/>
        <v>-35.580561600000003</v>
      </c>
      <c r="AS70" s="92">
        <f t="shared" si="48"/>
        <v>-43.402456000000001</v>
      </c>
      <c r="AT70" s="92">
        <f t="shared" si="49"/>
        <v>-45.032065099999997</v>
      </c>
      <c r="AU70" s="92">
        <f t="shared" si="50"/>
        <v>-45.264113199999997</v>
      </c>
      <c r="AV70" s="93">
        <f t="shared" si="51"/>
        <v>-32.314426599999997</v>
      </c>
    </row>
    <row r="71" spans="33:48" x14ac:dyDescent="0.15">
      <c r="AG71" s="91" t="e">
        <f t="shared" si="36"/>
        <v>#VALUE!</v>
      </c>
      <c r="AH71" s="91" t="e">
        <f t="shared" si="37"/>
        <v>#VALUE!</v>
      </c>
      <c r="AI71" s="91">
        <f t="shared" si="38"/>
        <v>-2419456</v>
      </c>
      <c r="AJ71" s="91">
        <f t="shared" si="39"/>
        <v>-5409400</v>
      </c>
      <c r="AK71" s="91">
        <f t="shared" si="40"/>
        <v>-756080</v>
      </c>
      <c r="AL71" s="91">
        <f t="shared" si="41"/>
        <v>0</v>
      </c>
      <c r="AM71" s="91">
        <f t="shared" si="42"/>
        <v>-784680</v>
      </c>
      <c r="AN71" s="91">
        <f t="shared" si="43"/>
        <v>-3853072</v>
      </c>
      <c r="AO71" s="91">
        <f t="shared" si="44"/>
        <v>-15568</v>
      </c>
      <c r="AP71" s="91">
        <f t="shared" si="45"/>
        <v>-73.023513500000007</v>
      </c>
      <c r="AQ71" s="92">
        <f t="shared" si="46"/>
        <v>-74.443340199999994</v>
      </c>
      <c r="AR71" s="92">
        <f t="shared" si="47"/>
        <v>-38.3376527</v>
      </c>
      <c r="AS71" s="92">
        <f t="shared" si="48"/>
        <v>-44.013587600000001</v>
      </c>
      <c r="AT71" s="92">
        <f t="shared" si="49"/>
        <v>-46.249987300000001</v>
      </c>
      <c r="AU71" s="92">
        <f t="shared" si="50"/>
        <v>-46.1027433</v>
      </c>
      <c r="AV71" s="93">
        <f t="shared" si="51"/>
        <v>-33.932357799999998</v>
      </c>
    </row>
    <row r="72" spans="33:48" x14ac:dyDescent="0.15">
      <c r="AG72" s="91" t="e">
        <f t="shared" si="36"/>
        <v>#VALUE!</v>
      </c>
      <c r="AH72" s="91" t="e">
        <f t="shared" si="37"/>
        <v>#VALUE!</v>
      </c>
      <c r="AI72" s="91">
        <f t="shared" si="38"/>
        <v>-4841472</v>
      </c>
      <c r="AJ72" s="91">
        <f t="shared" si="39"/>
        <v>-10830736</v>
      </c>
      <c r="AK72" s="91">
        <f t="shared" si="40"/>
        <v>-1261600</v>
      </c>
      <c r="AL72" s="91">
        <f t="shared" si="41"/>
        <v>0</v>
      </c>
      <c r="AM72" s="91">
        <f t="shared" si="42"/>
        <v>-1784032</v>
      </c>
      <c r="AN72" s="91">
        <f t="shared" si="43"/>
        <v>-7769680</v>
      </c>
      <c r="AO72" s="91">
        <f t="shared" si="44"/>
        <v>-15424</v>
      </c>
      <c r="AP72" s="91">
        <f t="shared" si="45"/>
        <v>-77.964435699999996</v>
      </c>
      <c r="AQ72" s="92">
        <f t="shared" si="46"/>
        <v>-80.144497999999999</v>
      </c>
      <c r="AR72" s="92">
        <f t="shared" si="47"/>
        <v>-40.972319900000002</v>
      </c>
      <c r="AS72" s="92">
        <f t="shared" si="48"/>
        <v>-44.954806300000001</v>
      </c>
      <c r="AT72" s="92">
        <f t="shared" si="49"/>
        <v>-48.009229400000002</v>
      </c>
      <c r="AU72" s="92">
        <f t="shared" si="50"/>
        <v>-48.785388099999999</v>
      </c>
      <c r="AV72" s="93">
        <f t="shared" si="51"/>
        <v>-37.153125500000002</v>
      </c>
    </row>
    <row r="73" spans="33:48" x14ac:dyDescent="0.15">
      <c r="AG73" s="91" t="e">
        <f t="shared" si="36"/>
        <v>#VALUE!</v>
      </c>
      <c r="AH73" s="91" t="e">
        <f t="shared" si="37"/>
        <v>#VALUE!</v>
      </c>
      <c r="AI73" s="91">
        <f t="shared" si="38"/>
        <v>-9684544</v>
      </c>
      <c r="AJ73" s="91">
        <f t="shared" si="39"/>
        <v>-15369704</v>
      </c>
      <c r="AK73" s="91">
        <f t="shared" si="40"/>
        <v>-2177288</v>
      </c>
      <c r="AL73" s="91">
        <f t="shared" si="41"/>
        <v>0</v>
      </c>
      <c r="AM73" s="91">
        <f t="shared" si="42"/>
        <v>-1907160</v>
      </c>
      <c r="AN73" s="91">
        <f t="shared" si="43"/>
        <v>-11269528</v>
      </c>
      <c r="AO73" s="91">
        <f t="shared" si="44"/>
        <v>-15728</v>
      </c>
      <c r="AP73" s="91">
        <f t="shared" si="45"/>
        <v>-79.369476599999999</v>
      </c>
      <c r="AQ73" s="92">
        <f t="shared" si="46"/>
        <v>-82.001391499999997</v>
      </c>
      <c r="AR73" s="92">
        <f t="shared" si="47"/>
        <v>-41.930512499999999</v>
      </c>
      <c r="AS73" s="92">
        <f t="shared" si="48"/>
        <v>-45.649424400000001</v>
      </c>
      <c r="AT73" s="92">
        <f t="shared" si="49"/>
        <v>-49.182352299999998</v>
      </c>
      <c r="AU73" s="92">
        <f t="shared" si="50"/>
        <v>-49.753107900000003</v>
      </c>
      <c r="AV73" s="93">
        <f t="shared" si="51"/>
        <v>-38.278638299999997</v>
      </c>
    </row>
    <row r="74" spans="33:48" x14ac:dyDescent="0.15">
      <c r="AG74" s="91" t="e">
        <f t="shared" si="36"/>
        <v>#VALUE!</v>
      </c>
      <c r="AH74" s="91" t="e">
        <f t="shared" si="37"/>
        <v>#VALUE!</v>
      </c>
      <c r="AI74" s="91">
        <f t="shared" si="38"/>
        <v>-9684544</v>
      </c>
      <c r="AJ74" s="91">
        <f t="shared" si="39"/>
        <v>-23072488</v>
      </c>
      <c r="AK74" s="91">
        <f t="shared" si="40"/>
        <v>-2177288</v>
      </c>
      <c r="AL74" s="91">
        <f t="shared" si="41"/>
        <v>0</v>
      </c>
      <c r="AM74" s="91">
        <f t="shared" si="42"/>
        <v>-2144112</v>
      </c>
      <c r="AN74" s="91">
        <f t="shared" si="43"/>
        <v>-18735048</v>
      </c>
      <c r="AO74" s="91">
        <f t="shared" si="44"/>
        <v>-16040</v>
      </c>
      <c r="AP74" s="91">
        <f t="shared" si="45"/>
        <v>-79.739226700000003</v>
      </c>
      <c r="AQ74" s="92">
        <f t="shared" si="46"/>
        <v>-82.522904299999993</v>
      </c>
      <c r="AR74" s="92">
        <f t="shared" si="47"/>
        <v>-42.919779599999998</v>
      </c>
      <c r="AS74" s="92">
        <f t="shared" si="48"/>
        <v>-46.580887300000001</v>
      </c>
      <c r="AT74" s="92">
        <f t="shared" si="49"/>
        <v>-50.529253799999999</v>
      </c>
      <c r="AU74" s="92">
        <f t="shared" si="50"/>
        <v>-49.956420000000001</v>
      </c>
      <c r="AV74" s="93">
        <f t="shared" si="51"/>
        <v>-38.8386408</v>
      </c>
    </row>
    <row r="75" spans="33:48" x14ac:dyDescent="0.15">
      <c r="AG75" s="91" t="e">
        <f t="shared" si="36"/>
        <v>#VALUE!</v>
      </c>
      <c r="AH75" s="91" t="e">
        <f t="shared" si="37"/>
        <v>#VALUE!</v>
      </c>
      <c r="AI75" s="91">
        <f t="shared" si="38"/>
        <v>-2417984</v>
      </c>
      <c r="AJ75" s="91">
        <f t="shared" si="39"/>
        <v>-3192568</v>
      </c>
      <c r="AK75" s="91">
        <f t="shared" si="40"/>
        <v>-670496</v>
      </c>
      <c r="AL75" s="91">
        <f t="shared" si="41"/>
        <v>0</v>
      </c>
      <c r="AM75" s="91">
        <f t="shared" si="42"/>
        <v>-507360</v>
      </c>
      <c r="AN75" s="91">
        <f t="shared" si="43"/>
        <v>-1998952</v>
      </c>
      <c r="AO75" s="91">
        <f t="shared" si="44"/>
        <v>-15760</v>
      </c>
      <c r="AP75" s="91">
        <f t="shared" si="45"/>
        <v>-71.328216299999994</v>
      </c>
      <c r="AQ75" s="92">
        <f t="shared" si="46"/>
        <v>-72.652432399999995</v>
      </c>
      <c r="AR75" s="92">
        <f t="shared" si="47"/>
        <v>-34.506764799999999</v>
      </c>
      <c r="AS75" s="92">
        <f t="shared" si="48"/>
        <v>-42.799653200000002</v>
      </c>
      <c r="AT75" s="92">
        <f t="shared" si="49"/>
        <v>-44.005317300000002</v>
      </c>
      <c r="AU75" s="92">
        <f t="shared" si="50"/>
        <v>-48.234563899999998</v>
      </c>
      <c r="AV75" s="93">
        <f t="shared" si="51"/>
        <v>-31.368073500000001</v>
      </c>
    </row>
    <row r="76" spans="33:48" x14ac:dyDescent="0.15">
      <c r="AG76" s="91" t="e">
        <f t="shared" si="36"/>
        <v>#VALUE!</v>
      </c>
      <c r="AH76" s="91" t="e">
        <f t="shared" si="37"/>
        <v>#VALUE!</v>
      </c>
      <c r="AI76" s="91">
        <f t="shared" si="38"/>
        <v>-2417984</v>
      </c>
      <c r="AJ76" s="91">
        <f t="shared" si="39"/>
        <v>-5396168</v>
      </c>
      <c r="AK76" s="91">
        <f t="shared" si="40"/>
        <v>-670496</v>
      </c>
      <c r="AL76" s="91">
        <f t="shared" si="41"/>
        <v>0</v>
      </c>
      <c r="AM76" s="91">
        <f t="shared" si="42"/>
        <v>-564624</v>
      </c>
      <c r="AN76" s="91">
        <f t="shared" si="43"/>
        <v>-4145136</v>
      </c>
      <c r="AO76" s="91">
        <f t="shared" si="44"/>
        <v>-15912</v>
      </c>
      <c r="AP76" s="91">
        <f t="shared" si="45"/>
        <v>-71.749774400000007</v>
      </c>
      <c r="AQ76" s="92">
        <f t="shared" si="46"/>
        <v>-73.117669699999993</v>
      </c>
      <c r="AR76" s="92">
        <f t="shared" si="47"/>
        <v>-37.366991400000003</v>
      </c>
      <c r="AS76" s="92">
        <f t="shared" si="48"/>
        <v>-44.013502899999999</v>
      </c>
      <c r="AT76" s="92">
        <f t="shared" si="49"/>
        <v>-45.979660500000001</v>
      </c>
      <c r="AU76" s="92">
        <f t="shared" si="50"/>
        <v>-48.434655999999997</v>
      </c>
      <c r="AV76" s="93">
        <f t="shared" si="51"/>
        <v>-32.561694199999998</v>
      </c>
    </row>
    <row r="77" spans="33:48" x14ac:dyDescent="0.15">
      <c r="AG77" s="91" t="e">
        <f t="shared" si="36"/>
        <v>#VALUE!</v>
      </c>
      <c r="AH77" s="91" t="e">
        <f t="shared" si="37"/>
        <v>#VALUE!</v>
      </c>
      <c r="AI77" s="91">
        <f t="shared" si="38"/>
        <v>-4836096</v>
      </c>
      <c r="AJ77" s="91">
        <f t="shared" si="39"/>
        <v>-10935200</v>
      </c>
      <c r="AK77" s="91">
        <f t="shared" si="40"/>
        <v>-1115864</v>
      </c>
      <c r="AL77" s="91">
        <f t="shared" si="41"/>
        <v>0</v>
      </c>
      <c r="AM77" s="91">
        <f t="shared" si="42"/>
        <v>-1788248</v>
      </c>
      <c r="AN77" s="91">
        <f t="shared" si="43"/>
        <v>-8015656</v>
      </c>
      <c r="AO77" s="91">
        <f t="shared" si="44"/>
        <v>-15432</v>
      </c>
      <c r="AP77" s="91">
        <f t="shared" si="45"/>
        <v>-77.635289200000003</v>
      </c>
      <c r="AQ77" s="92">
        <f t="shared" si="46"/>
        <v>-79.960420499999998</v>
      </c>
      <c r="AR77" s="92">
        <f t="shared" si="47"/>
        <v>-40.391550500000001</v>
      </c>
      <c r="AS77" s="92">
        <f t="shared" si="48"/>
        <v>-45.293594499999998</v>
      </c>
      <c r="AT77" s="92">
        <f t="shared" si="49"/>
        <v>-47.987385799999998</v>
      </c>
      <c r="AU77" s="92">
        <f t="shared" si="50"/>
        <v>-51.616392400000002</v>
      </c>
      <c r="AV77" s="93">
        <f t="shared" si="51"/>
        <v>-36.485908500000001</v>
      </c>
    </row>
    <row r="78" spans="33:48" x14ac:dyDescent="0.15">
      <c r="AG78" s="91" t="e">
        <f t="shared" si="36"/>
        <v>#VALUE!</v>
      </c>
      <c r="AH78" s="91" t="e">
        <f t="shared" si="37"/>
        <v>#VALUE!</v>
      </c>
      <c r="AI78" s="91">
        <f t="shared" si="38"/>
        <v>-9673280</v>
      </c>
      <c r="AJ78" s="91">
        <f t="shared" si="39"/>
        <v>-15182560</v>
      </c>
      <c r="AK78" s="91">
        <f t="shared" si="40"/>
        <v>-2360840</v>
      </c>
      <c r="AL78" s="91">
        <f t="shared" si="41"/>
        <v>0</v>
      </c>
      <c r="AM78" s="91">
        <f t="shared" si="42"/>
        <v>-1629456</v>
      </c>
      <c r="AN78" s="91">
        <f t="shared" si="43"/>
        <v>-11176504</v>
      </c>
      <c r="AO78" s="91">
        <f t="shared" si="44"/>
        <v>-15760</v>
      </c>
      <c r="AP78" s="91">
        <f t="shared" si="45"/>
        <v>-78.794451600000002</v>
      </c>
      <c r="AQ78" s="92">
        <f t="shared" si="46"/>
        <v>-81.541468399999999</v>
      </c>
      <c r="AR78" s="92">
        <f t="shared" si="47"/>
        <v>-41.4517448</v>
      </c>
      <c r="AS78" s="92">
        <f t="shared" si="48"/>
        <v>-45.800494100000002</v>
      </c>
      <c r="AT78" s="92">
        <f t="shared" si="49"/>
        <v>-48.731685599999999</v>
      </c>
      <c r="AU78" s="92">
        <f t="shared" si="50"/>
        <v>-52.565861400000003</v>
      </c>
      <c r="AV78" s="93">
        <f t="shared" si="51"/>
        <v>-37.532231099999997</v>
      </c>
    </row>
    <row r="79" spans="33:48" x14ac:dyDescent="0.15">
      <c r="AG79" s="91" t="e">
        <f t="shared" si="36"/>
        <v>#VALUE!</v>
      </c>
      <c r="AH79" s="91" t="e">
        <f t="shared" si="37"/>
        <v>#VALUE!</v>
      </c>
      <c r="AI79" s="91">
        <f t="shared" si="38"/>
        <v>-9673280</v>
      </c>
      <c r="AJ79" s="91">
        <f t="shared" si="39"/>
        <v>-22593472</v>
      </c>
      <c r="AK79" s="91">
        <f t="shared" si="40"/>
        <v>-2126896</v>
      </c>
      <c r="AL79" s="91">
        <f t="shared" si="41"/>
        <v>0</v>
      </c>
      <c r="AM79" s="91">
        <f t="shared" si="42"/>
        <v>-2119600</v>
      </c>
      <c r="AN79" s="91">
        <f t="shared" si="43"/>
        <v>-18331080</v>
      </c>
      <c r="AO79" s="91">
        <f t="shared" si="44"/>
        <v>-15896</v>
      </c>
      <c r="AP79" s="91">
        <f t="shared" si="45"/>
        <v>-79.475194299999998</v>
      </c>
      <c r="AQ79" s="92">
        <f t="shared" si="46"/>
        <v>-82.535292799999993</v>
      </c>
      <c r="AR79" s="92">
        <f t="shared" si="47"/>
        <v>-42.440087400000003</v>
      </c>
      <c r="AS79" s="92">
        <f t="shared" si="48"/>
        <v>-46.891860999999999</v>
      </c>
      <c r="AT79" s="92">
        <f t="shared" si="49"/>
        <v>-50.0812776</v>
      </c>
      <c r="AU79" s="92">
        <f t="shared" si="50"/>
        <v>-52.980305999999999</v>
      </c>
      <c r="AV79" s="93">
        <f t="shared" si="51"/>
        <v>-38.274788399999998</v>
      </c>
    </row>
    <row r="80" spans="33:48" x14ac:dyDescent="0.15">
      <c r="AG80" s="91" t="e">
        <f t="shared" si="36"/>
        <v>#VALUE!</v>
      </c>
      <c r="AH80" s="91" t="e">
        <f t="shared" si="37"/>
        <v>#VALUE!</v>
      </c>
      <c r="AI80" s="91">
        <f t="shared" si="38"/>
        <v>-2455232</v>
      </c>
      <c r="AJ80" s="91">
        <f t="shared" si="39"/>
        <v>-4410600</v>
      </c>
      <c r="AK80" s="91">
        <f t="shared" si="40"/>
        <v>-688176</v>
      </c>
      <c r="AL80" s="91">
        <f t="shared" si="41"/>
        <v>0</v>
      </c>
      <c r="AM80" s="91">
        <f t="shared" si="42"/>
        <v>-589600</v>
      </c>
      <c r="AN80" s="91">
        <f t="shared" si="43"/>
        <v>-3117504</v>
      </c>
      <c r="AO80" s="91">
        <f t="shared" si="44"/>
        <v>-15320</v>
      </c>
      <c r="AP80" s="91">
        <f t="shared" si="45"/>
        <v>-73.583425700000006</v>
      </c>
      <c r="AQ80" s="92">
        <f t="shared" si="46"/>
        <v>-75.418033199999996</v>
      </c>
      <c r="AR80" s="92">
        <f t="shared" si="47"/>
        <v>-31.4885345</v>
      </c>
      <c r="AS80" s="92">
        <f t="shared" si="48"/>
        <v>-40.598035799999998</v>
      </c>
      <c r="AT80" s="92">
        <f t="shared" si="49"/>
        <v>-36.905793699999997</v>
      </c>
      <c r="AU80" s="92">
        <f t="shared" si="50"/>
        <v>-44.502682999999998</v>
      </c>
      <c r="AV80" s="93">
        <f t="shared" si="51"/>
        <v>-28.649329900000001</v>
      </c>
    </row>
    <row r="81" spans="33:48" x14ac:dyDescent="0.15">
      <c r="AG81" s="91" t="e">
        <f t="shared" si="36"/>
        <v>#VALUE!</v>
      </c>
      <c r="AH81" s="91" t="e">
        <f t="shared" si="37"/>
        <v>#VALUE!</v>
      </c>
      <c r="AI81" s="91">
        <f t="shared" si="38"/>
        <v>-4912768</v>
      </c>
      <c r="AJ81" s="91">
        <f t="shared" si="39"/>
        <v>-8796536</v>
      </c>
      <c r="AK81" s="91">
        <f t="shared" si="40"/>
        <v>-1154312</v>
      </c>
      <c r="AL81" s="91">
        <f t="shared" si="41"/>
        <v>0</v>
      </c>
      <c r="AM81" s="91">
        <f t="shared" si="42"/>
        <v>-944864</v>
      </c>
      <c r="AN81" s="91">
        <f t="shared" si="43"/>
        <v>-6681504</v>
      </c>
      <c r="AO81" s="91">
        <f t="shared" si="44"/>
        <v>-15856</v>
      </c>
      <c r="AP81" s="91">
        <f t="shared" si="45"/>
        <v>-76.792003199999996</v>
      </c>
      <c r="AQ81" s="92">
        <f t="shared" si="46"/>
        <v>-79.254902200000004</v>
      </c>
      <c r="AR81" s="92">
        <f t="shared" si="47"/>
        <v>-33.968449499999998</v>
      </c>
      <c r="AS81" s="92">
        <f t="shared" si="48"/>
        <v>-42.441844400000001</v>
      </c>
      <c r="AT81" s="92">
        <f t="shared" si="49"/>
        <v>-39.813805199999997</v>
      </c>
      <c r="AU81" s="92">
        <f t="shared" si="50"/>
        <v>-46.105673099999997</v>
      </c>
      <c r="AV81" s="93">
        <f t="shared" si="51"/>
        <v>-31.3661554</v>
      </c>
    </row>
    <row r="82" spans="33:48" x14ac:dyDescent="0.15">
      <c r="AG82" s="91" t="e">
        <f t="shared" si="36"/>
        <v>#VALUE!</v>
      </c>
      <c r="AH82" s="91" t="e">
        <f t="shared" si="37"/>
        <v>#VALUE!</v>
      </c>
      <c r="AI82" s="91">
        <f t="shared" si="38"/>
        <v>-9827968</v>
      </c>
      <c r="AJ82" s="91">
        <f t="shared" si="39"/>
        <v>-13043128</v>
      </c>
      <c r="AK82" s="91">
        <f t="shared" si="40"/>
        <v>-2180704</v>
      </c>
      <c r="AL82" s="91">
        <f t="shared" si="41"/>
        <v>0</v>
      </c>
      <c r="AM82" s="91">
        <f t="shared" si="42"/>
        <v>-726216</v>
      </c>
      <c r="AN82" s="91">
        <f t="shared" si="43"/>
        <v>-10120304</v>
      </c>
      <c r="AO82" s="91">
        <f t="shared" si="44"/>
        <v>-15904</v>
      </c>
      <c r="AP82" s="91">
        <f t="shared" si="45"/>
        <v>-78.313500500000004</v>
      </c>
      <c r="AQ82" s="92">
        <f t="shared" si="46"/>
        <v>-81.136895999999993</v>
      </c>
      <c r="AR82" s="92">
        <f t="shared" si="47"/>
        <v>-34.843931599999998</v>
      </c>
      <c r="AS82" s="92">
        <f t="shared" si="48"/>
        <v>-43.679111800000001</v>
      </c>
      <c r="AT82" s="92">
        <f t="shared" si="49"/>
        <v>-41.590375899999998</v>
      </c>
      <c r="AU82" s="92">
        <f t="shared" si="50"/>
        <v>-47.401659899999999</v>
      </c>
      <c r="AV82" s="93">
        <f t="shared" si="51"/>
        <v>-32.444154500000003</v>
      </c>
    </row>
    <row r="83" spans="33:48" x14ac:dyDescent="0.15">
      <c r="AG83" s="91" t="e">
        <f t="shared" si="36"/>
        <v>#VALUE!</v>
      </c>
      <c r="AH83" s="91" t="e">
        <f t="shared" si="37"/>
        <v>#VALUE!</v>
      </c>
      <c r="AI83" s="91">
        <f t="shared" si="38"/>
        <v>-19659392</v>
      </c>
      <c r="AJ83" s="91">
        <f t="shared" si="39"/>
        <v>-18403472</v>
      </c>
      <c r="AK83" s="91">
        <f t="shared" si="40"/>
        <v>-4254840</v>
      </c>
      <c r="AL83" s="91">
        <f t="shared" si="41"/>
        <v>0</v>
      </c>
      <c r="AM83" s="91">
        <f t="shared" si="42"/>
        <v>-636704</v>
      </c>
      <c r="AN83" s="91">
        <f t="shared" si="43"/>
        <v>-13496064</v>
      </c>
      <c r="AO83" s="91">
        <f t="shared" si="44"/>
        <v>-15864</v>
      </c>
      <c r="AP83" s="91">
        <f t="shared" si="45"/>
        <v>-80.206411900000006</v>
      </c>
      <c r="AQ83" s="92">
        <f t="shared" si="46"/>
        <v>-83.753045200000003</v>
      </c>
      <c r="AR83" s="92">
        <f t="shared" si="47"/>
        <v>-35.651440999999998</v>
      </c>
      <c r="AS83" s="92">
        <f t="shared" si="48"/>
        <v>-43.9833596</v>
      </c>
      <c r="AT83" s="92">
        <f t="shared" si="49"/>
        <v>-42.074005999999997</v>
      </c>
      <c r="AU83" s="92">
        <f t="shared" si="50"/>
        <v>-49.284021099999997</v>
      </c>
      <c r="AV83" s="93">
        <f t="shared" si="51"/>
        <v>-33.744001500000003</v>
      </c>
    </row>
    <row r="84" spans="33:48" x14ac:dyDescent="0.15">
      <c r="AG84" s="91" t="e">
        <f t="shared" si="36"/>
        <v>#VALUE!</v>
      </c>
      <c r="AH84" s="91" t="e">
        <f t="shared" si="37"/>
        <v>#VALUE!</v>
      </c>
      <c r="AI84" s="91">
        <f t="shared" si="38"/>
        <v>-39320512</v>
      </c>
      <c r="AJ84" s="91">
        <f t="shared" si="39"/>
        <v>-26964624</v>
      </c>
      <c r="AK84" s="91">
        <f t="shared" si="40"/>
        <v>-7531528</v>
      </c>
      <c r="AL84" s="91">
        <f t="shared" si="41"/>
        <v>0</v>
      </c>
      <c r="AM84" s="91">
        <f t="shared" si="42"/>
        <v>-149272</v>
      </c>
      <c r="AN84" s="91">
        <f t="shared" si="43"/>
        <v>-19267952</v>
      </c>
      <c r="AO84" s="91">
        <f t="shared" si="44"/>
        <v>-15872</v>
      </c>
      <c r="AP84" s="91">
        <f t="shared" si="45"/>
        <v>-82.101193699999996</v>
      </c>
      <c r="AQ84" s="92">
        <f t="shared" si="46"/>
        <v>-86.423039900000006</v>
      </c>
      <c r="AR84" s="92">
        <f t="shared" si="47"/>
        <v>-36.368503699999998</v>
      </c>
      <c r="AS84" s="92">
        <f t="shared" si="48"/>
        <v>-44.602807599999998</v>
      </c>
      <c r="AT84" s="92">
        <f t="shared" si="49"/>
        <v>-42.913147500000001</v>
      </c>
      <c r="AU84" s="92">
        <f t="shared" si="50"/>
        <v>-51.297320399999997</v>
      </c>
      <c r="AV84" s="93">
        <f t="shared" si="51"/>
        <v>-34.831642700000003</v>
      </c>
    </row>
    <row r="85" spans="33:48" x14ac:dyDescent="0.15">
      <c r="AG85" s="91" t="e">
        <f t="shared" si="36"/>
        <v>#VALUE!</v>
      </c>
      <c r="AH85" s="91" t="e">
        <f t="shared" si="37"/>
        <v>#VALUE!</v>
      </c>
      <c r="AI85" s="91">
        <f t="shared" si="38"/>
        <v>-2427520</v>
      </c>
      <c r="AJ85" s="91">
        <f t="shared" si="39"/>
        <v>-4310632</v>
      </c>
      <c r="AK85" s="91">
        <f t="shared" si="40"/>
        <v>-722888</v>
      </c>
      <c r="AL85" s="91">
        <f t="shared" si="41"/>
        <v>0</v>
      </c>
      <c r="AM85" s="91">
        <f t="shared" si="42"/>
        <v>-693296</v>
      </c>
      <c r="AN85" s="91">
        <f t="shared" si="43"/>
        <v>-2878792</v>
      </c>
      <c r="AO85" s="91">
        <f t="shared" si="44"/>
        <v>-15656</v>
      </c>
      <c r="AP85" s="91">
        <f t="shared" si="45"/>
        <v>-74.395287300000007</v>
      </c>
      <c r="AQ85" s="92">
        <f t="shared" si="46"/>
        <v>-76.119729100000001</v>
      </c>
      <c r="AR85" s="92">
        <f t="shared" si="47"/>
        <v>-38.0860719</v>
      </c>
      <c r="AS85" s="92">
        <f t="shared" si="48"/>
        <v>-44.212583100000003</v>
      </c>
      <c r="AT85" s="92">
        <f t="shared" si="49"/>
        <v>-42.796712900000003</v>
      </c>
      <c r="AU85" s="92">
        <f t="shared" si="50"/>
        <v>-47.230553499999999</v>
      </c>
      <c r="AV85" s="93">
        <f t="shared" si="51"/>
        <v>-34.982120899999998</v>
      </c>
    </row>
    <row r="86" spans="33:48" x14ac:dyDescent="0.15">
      <c r="AG86" s="91" t="e">
        <f t="shared" si="36"/>
        <v>#VALUE!</v>
      </c>
      <c r="AH86" s="91" t="e">
        <f t="shared" si="37"/>
        <v>#VALUE!</v>
      </c>
      <c r="AI86" s="91">
        <f t="shared" si="38"/>
        <v>-2427520</v>
      </c>
      <c r="AJ86" s="91">
        <f t="shared" si="39"/>
        <v>-8609320</v>
      </c>
      <c r="AK86" s="91">
        <f t="shared" si="40"/>
        <v>-722888</v>
      </c>
      <c r="AL86" s="91">
        <f t="shared" si="41"/>
        <v>0</v>
      </c>
      <c r="AM86" s="91">
        <f t="shared" si="42"/>
        <v>-1150096</v>
      </c>
      <c r="AN86" s="91">
        <f t="shared" si="43"/>
        <v>-6720528</v>
      </c>
      <c r="AO86" s="91">
        <f t="shared" si="44"/>
        <v>-15808</v>
      </c>
      <c r="AP86" s="91">
        <f t="shared" si="45"/>
        <v>-75.896614700000001</v>
      </c>
      <c r="AQ86" s="92">
        <f t="shared" si="46"/>
        <v>-77.830956499999999</v>
      </c>
      <c r="AR86" s="92">
        <f t="shared" si="47"/>
        <v>-40.577221600000001</v>
      </c>
      <c r="AS86" s="92">
        <f t="shared" si="48"/>
        <v>-45.868804699999998</v>
      </c>
      <c r="AT86" s="92">
        <f t="shared" si="49"/>
        <v>-44.719101100000003</v>
      </c>
      <c r="AU86" s="92">
        <f t="shared" si="50"/>
        <v>-48.130075499999997</v>
      </c>
      <c r="AV86" s="93">
        <f t="shared" si="51"/>
        <v>-36.481619700000003</v>
      </c>
    </row>
    <row r="87" spans="33:48" x14ac:dyDescent="0.15">
      <c r="AG87" s="91" t="e">
        <f t="shared" si="36"/>
        <v>#VALUE!</v>
      </c>
      <c r="AH87" s="91" t="e">
        <f t="shared" si="37"/>
        <v>#VALUE!</v>
      </c>
      <c r="AI87" s="91">
        <f t="shared" si="38"/>
        <v>-2450608</v>
      </c>
      <c r="AJ87" s="91">
        <f t="shared" si="39"/>
        <v>-12893984</v>
      </c>
      <c r="AK87" s="91">
        <f t="shared" si="40"/>
        <v>-1983800</v>
      </c>
      <c r="AL87" s="91">
        <f t="shared" si="41"/>
        <v>0</v>
      </c>
      <c r="AM87" s="91">
        <f t="shared" si="42"/>
        <v>-1095144</v>
      </c>
      <c r="AN87" s="91">
        <f t="shared" si="43"/>
        <v>-9801832</v>
      </c>
      <c r="AO87" s="91">
        <f t="shared" si="44"/>
        <v>-13208</v>
      </c>
      <c r="AP87" s="91">
        <f t="shared" si="45"/>
        <v>-78.511144599999994</v>
      </c>
      <c r="AQ87" s="92">
        <f t="shared" si="46"/>
        <v>-81.091917800000004</v>
      </c>
      <c r="AR87" s="92">
        <f t="shared" si="47"/>
        <v>-41.943041800000003</v>
      </c>
      <c r="AS87" s="92">
        <f t="shared" si="48"/>
        <v>-46.571649200000003</v>
      </c>
      <c r="AT87" s="92">
        <f t="shared" si="49"/>
        <v>-45.547232200000003</v>
      </c>
      <c r="AU87" s="92">
        <f t="shared" si="50"/>
        <v>-49.733085699999997</v>
      </c>
      <c r="AV87" s="93">
        <f t="shared" si="51"/>
        <v>-38.099356899999997</v>
      </c>
    </row>
    <row r="88" spans="33:48" x14ac:dyDescent="0.15">
      <c r="AG88" s="91" t="e">
        <f t="shared" si="36"/>
        <v>#VALUE!</v>
      </c>
      <c r="AH88" s="91" t="e">
        <f t="shared" si="37"/>
        <v>#VALUE!</v>
      </c>
      <c r="AI88" s="91">
        <f t="shared" si="38"/>
        <v>-2450608</v>
      </c>
      <c r="AJ88" s="91">
        <f t="shared" si="39"/>
        <v>-18614952</v>
      </c>
      <c r="AK88" s="91">
        <f t="shared" si="40"/>
        <v>-1983800</v>
      </c>
      <c r="AL88" s="91">
        <f t="shared" si="41"/>
        <v>0</v>
      </c>
      <c r="AM88" s="91">
        <f t="shared" si="42"/>
        <v>-1854320</v>
      </c>
      <c r="AN88" s="91">
        <f t="shared" si="43"/>
        <v>-14763728</v>
      </c>
      <c r="AO88" s="91">
        <f t="shared" si="44"/>
        <v>-13104</v>
      </c>
      <c r="AP88" s="91">
        <f t="shared" si="45"/>
        <v>-79.763178600000003</v>
      </c>
      <c r="AQ88" s="92">
        <f t="shared" si="46"/>
        <v>-82.8424519</v>
      </c>
      <c r="AR88" s="92">
        <f t="shared" si="47"/>
        <v>-43.059173600000001</v>
      </c>
      <c r="AS88" s="92">
        <f t="shared" si="48"/>
        <v>-47.683151799999997</v>
      </c>
      <c r="AT88" s="92">
        <f t="shared" si="49"/>
        <v>-46.881749599999999</v>
      </c>
      <c r="AU88" s="92">
        <f t="shared" si="50"/>
        <v>-50.380644099999998</v>
      </c>
      <c r="AV88" s="93">
        <f t="shared" si="51"/>
        <v>-39.269424899999997</v>
      </c>
    </row>
    <row r="89" spans="33:48" x14ac:dyDescent="0.15">
      <c r="AG89" s="91" t="e">
        <f t="shared" si="36"/>
        <v>#VALUE!</v>
      </c>
      <c r="AH89" s="91" t="e">
        <f t="shared" si="37"/>
        <v>#VALUE!</v>
      </c>
      <c r="AI89" s="91">
        <f t="shared" si="38"/>
        <v>-7367488</v>
      </c>
      <c r="AJ89" s="91">
        <f t="shared" si="39"/>
        <v>-27248984</v>
      </c>
      <c r="AK89" s="91">
        <f t="shared" si="40"/>
        <v>-4577688</v>
      </c>
      <c r="AL89" s="91">
        <f t="shared" si="41"/>
        <v>0</v>
      </c>
      <c r="AM89" s="91">
        <f t="shared" si="42"/>
        <v>-1735512</v>
      </c>
      <c r="AN89" s="91">
        <f t="shared" si="43"/>
        <v>-20922784</v>
      </c>
      <c r="AO89" s="91">
        <f t="shared" si="44"/>
        <v>-13000</v>
      </c>
      <c r="AP89" s="91">
        <f t="shared" si="45"/>
        <v>-82.599301100000005</v>
      </c>
      <c r="AQ89" s="92">
        <f t="shared" si="46"/>
        <v>-87.058657199999999</v>
      </c>
      <c r="AR89" s="92">
        <f t="shared" si="47"/>
        <v>-44.136085899999998</v>
      </c>
      <c r="AS89" s="92">
        <f t="shared" si="48"/>
        <v>-48.394357399999997</v>
      </c>
      <c r="AT89" s="92">
        <f t="shared" si="49"/>
        <v>-47.710453899999997</v>
      </c>
      <c r="AU89" s="92">
        <f t="shared" si="50"/>
        <v>-52.746016099999999</v>
      </c>
      <c r="AV89" s="93">
        <f t="shared" si="51"/>
        <v>-41.401912699999997</v>
      </c>
    </row>
    <row r="90" spans="33:48" x14ac:dyDescent="0.15">
      <c r="AG90" s="91" t="e">
        <f t="shared" si="36"/>
        <v>#VALUE!</v>
      </c>
      <c r="AH90" s="91" t="e">
        <f t="shared" si="37"/>
        <v>#VALUE!</v>
      </c>
      <c r="AI90" s="91">
        <f t="shared" si="38"/>
        <v>-1840960</v>
      </c>
      <c r="AJ90" s="91">
        <f t="shared" si="39"/>
        <v>-4243192</v>
      </c>
      <c r="AK90" s="91">
        <f t="shared" si="40"/>
        <v>-624320</v>
      </c>
      <c r="AL90" s="91">
        <f t="shared" si="41"/>
        <v>0</v>
      </c>
      <c r="AM90" s="91">
        <f t="shared" si="42"/>
        <v>-849104</v>
      </c>
      <c r="AN90" s="91">
        <f t="shared" si="43"/>
        <v>-2753840</v>
      </c>
      <c r="AO90" s="91">
        <f t="shared" si="44"/>
        <v>-15928</v>
      </c>
      <c r="AP90" s="91">
        <f t="shared" si="45"/>
        <v>-71.507387699999995</v>
      </c>
      <c r="AQ90" s="92">
        <f t="shared" si="46"/>
        <v>-72.838111299999994</v>
      </c>
      <c r="AR90" s="92">
        <f t="shared" si="47"/>
        <v>-29.565302599999999</v>
      </c>
      <c r="AS90" s="92">
        <f t="shared" si="48"/>
        <v>-38.621556599999998</v>
      </c>
      <c r="AT90" s="92">
        <f t="shared" si="49"/>
        <v>-38.3714127</v>
      </c>
      <c r="AU90" s="92">
        <f t="shared" si="50"/>
        <v>-47.4964242</v>
      </c>
      <c r="AV90" s="93">
        <f t="shared" si="51"/>
        <v>-28.313112100000001</v>
      </c>
    </row>
    <row r="91" spans="33:48" x14ac:dyDescent="0.15">
      <c r="AG91" s="91" t="e">
        <f t="shared" si="36"/>
        <v>#VALUE!</v>
      </c>
      <c r="AH91" s="91" t="e">
        <f t="shared" si="37"/>
        <v>#VALUE!</v>
      </c>
      <c r="AI91" s="91">
        <f t="shared" si="38"/>
        <v>-3680768</v>
      </c>
      <c r="AJ91" s="91">
        <f t="shared" si="39"/>
        <v>-6594416</v>
      </c>
      <c r="AK91" s="91">
        <f t="shared" si="40"/>
        <v>-952744</v>
      </c>
      <c r="AL91" s="91">
        <f t="shared" si="41"/>
        <v>0</v>
      </c>
      <c r="AM91" s="91">
        <f t="shared" si="42"/>
        <v>-925928</v>
      </c>
      <c r="AN91" s="91">
        <f t="shared" si="43"/>
        <v>-4700264</v>
      </c>
      <c r="AO91" s="91">
        <f t="shared" si="44"/>
        <v>-15480</v>
      </c>
      <c r="AP91" s="91">
        <f t="shared" si="45"/>
        <v>-74.535887000000002</v>
      </c>
      <c r="AQ91" s="92">
        <f t="shared" si="46"/>
        <v>-76.292006999999998</v>
      </c>
      <c r="AR91" s="92">
        <f t="shared" si="47"/>
        <v>-30.220738000000001</v>
      </c>
      <c r="AS91" s="92">
        <f t="shared" si="48"/>
        <v>-38.804549899999998</v>
      </c>
      <c r="AT91" s="92">
        <f t="shared" si="49"/>
        <v>-38.643391100000002</v>
      </c>
      <c r="AU91" s="92">
        <f t="shared" si="50"/>
        <v>-48.893453100000002</v>
      </c>
      <c r="AV91" s="93">
        <f t="shared" si="51"/>
        <v>-28.832435100000001</v>
      </c>
    </row>
    <row r="92" spans="33:48" x14ac:dyDescent="0.15">
      <c r="AG92" s="91" t="e">
        <f t="shared" si="36"/>
        <v>#VALUE!</v>
      </c>
      <c r="AH92" s="91" t="e">
        <f t="shared" si="37"/>
        <v>#VALUE!</v>
      </c>
      <c r="AI92" s="91">
        <f t="shared" si="38"/>
        <v>-7365760</v>
      </c>
      <c r="AJ92" s="91">
        <f t="shared" si="39"/>
        <v>-11967464</v>
      </c>
      <c r="AK92" s="91">
        <f t="shared" si="40"/>
        <v>-1614776</v>
      </c>
      <c r="AL92" s="91">
        <f t="shared" si="41"/>
        <v>0</v>
      </c>
      <c r="AM92" s="91">
        <f t="shared" si="42"/>
        <v>-589248</v>
      </c>
      <c r="AN92" s="91">
        <f t="shared" si="43"/>
        <v>-9747400</v>
      </c>
      <c r="AO92" s="91">
        <f t="shared" si="44"/>
        <v>-16040</v>
      </c>
      <c r="AP92" s="91">
        <f t="shared" si="45"/>
        <v>-75.060700299999993</v>
      </c>
      <c r="AQ92" s="92">
        <f t="shared" si="46"/>
        <v>-76.907955599999994</v>
      </c>
      <c r="AR92" s="92">
        <f t="shared" si="47"/>
        <v>-31.1866889</v>
      </c>
      <c r="AS92" s="92">
        <f t="shared" si="48"/>
        <v>-39.017053799999999</v>
      </c>
      <c r="AT92" s="92">
        <f t="shared" si="49"/>
        <v>-39.193392699999997</v>
      </c>
      <c r="AU92" s="92">
        <f t="shared" si="50"/>
        <v>-49.374477900000002</v>
      </c>
      <c r="AV92" s="93">
        <f t="shared" si="51"/>
        <v>-30.129323800000002</v>
      </c>
    </row>
    <row r="93" spans="33:48" x14ac:dyDescent="0.15">
      <c r="AG93" s="91" t="e">
        <f t="shared" si="36"/>
        <v>#VALUE!</v>
      </c>
      <c r="AH93" s="91" t="e">
        <f t="shared" si="37"/>
        <v>#VALUE!</v>
      </c>
      <c r="AI93" s="91">
        <f t="shared" si="38"/>
        <v>-7365760</v>
      </c>
      <c r="AJ93" s="91">
        <f t="shared" si="39"/>
        <v>-17696160</v>
      </c>
      <c r="AK93" s="91">
        <f t="shared" si="40"/>
        <v>-1788760</v>
      </c>
      <c r="AL93" s="91">
        <f t="shared" si="41"/>
        <v>0</v>
      </c>
      <c r="AM93" s="91">
        <f t="shared" si="42"/>
        <v>-1215208</v>
      </c>
      <c r="AN93" s="91">
        <f t="shared" si="43"/>
        <v>-14676104</v>
      </c>
      <c r="AO93" s="91">
        <f t="shared" si="44"/>
        <v>-16088</v>
      </c>
      <c r="AP93" s="91">
        <f t="shared" si="45"/>
        <v>-77.179070199999998</v>
      </c>
      <c r="AQ93" s="92">
        <f t="shared" si="46"/>
        <v>-79.411035499999997</v>
      </c>
      <c r="AR93" s="92">
        <f t="shared" si="47"/>
        <v>-31.903575</v>
      </c>
      <c r="AS93" s="92">
        <f t="shared" si="48"/>
        <v>-39.087858500000003</v>
      </c>
      <c r="AT93" s="92">
        <f t="shared" si="49"/>
        <v>-39.323712800000003</v>
      </c>
      <c r="AU93" s="92">
        <f t="shared" si="50"/>
        <v>-50.613806199999999</v>
      </c>
      <c r="AV93" s="93">
        <f t="shared" si="51"/>
        <v>-30.9139321</v>
      </c>
    </row>
    <row r="94" spans="33:48" x14ac:dyDescent="0.15">
      <c r="AG94" s="91" t="e">
        <f t="shared" si="36"/>
        <v>#VALUE!</v>
      </c>
      <c r="AH94" s="91" t="e">
        <f t="shared" si="37"/>
        <v>#VALUE!</v>
      </c>
      <c r="AI94" s="91">
        <f t="shared" si="38"/>
        <v>-14733824</v>
      </c>
      <c r="AJ94" s="91">
        <f t="shared" si="39"/>
        <v>-26356504</v>
      </c>
      <c r="AK94" s="91">
        <f t="shared" si="40"/>
        <v>-3133016</v>
      </c>
      <c r="AL94" s="91">
        <f t="shared" si="41"/>
        <v>0</v>
      </c>
      <c r="AM94" s="91">
        <f t="shared" si="42"/>
        <v>-918240</v>
      </c>
      <c r="AN94" s="91">
        <f t="shared" si="43"/>
        <v>-22289744</v>
      </c>
      <c r="AO94" s="91">
        <f t="shared" si="44"/>
        <v>-15504</v>
      </c>
      <c r="AP94" s="91">
        <f t="shared" si="45"/>
        <v>-79.052642300000002</v>
      </c>
      <c r="AQ94" s="92">
        <f t="shared" si="46"/>
        <v>-81.697413600000004</v>
      </c>
      <c r="AR94" s="92">
        <f t="shared" si="47"/>
        <v>-32.699809100000003</v>
      </c>
      <c r="AS94" s="92">
        <f t="shared" si="48"/>
        <v>-39.173113800000003</v>
      </c>
      <c r="AT94" s="92">
        <f t="shared" si="49"/>
        <v>-39.472436299999998</v>
      </c>
      <c r="AU94" s="92">
        <f t="shared" si="50"/>
        <v>-51.750458700000003</v>
      </c>
      <c r="AV94" s="93">
        <f t="shared" si="51"/>
        <v>-31.7275724</v>
      </c>
    </row>
    <row r="95" spans="33:48" x14ac:dyDescent="0.15">
      <c r="AG95" s="91" t="e">
        <f t="shared" si="36"/>
        <v>#VALUE!</v>
      </c>
      <c r="AH95" s="91" t="e">
        <f t="shared" si="37"/>
        <v>#VALUE!</v>
      </c>
      <c r="AI95" s="91">
        <f t="shared" si="38"/>
        <v>-1839040</v>
      </c>
      <c r="AJ95" s="91">
        <f t="shared" si="39"/>
        <v>-4320248</v>
      </c>
      <c r="AK95" s="91">
        <f t="shared" si="40"/>
        <v>-541752</v>
      </c>
      <c r="AL95" s="91">
        <f t="shared" si="41"/>
        <v>0</v>
      </c>
      <c r="AM95" s="91">
        <f t="shared" si="42"/>
        <v>-728800</v>
      </c>
      <c r="AN95" s="91">
        <f t="shared" si="43"/>
        <v>-3033944</v>
      </c>
      <c r="AO95" s="91">
        <f t="shared" si="44"/>
        <v>-15752</v>
      </c>
      <c r="AP95" s="91">
        <f t="shared" si="45"/>
        <v>-72.073312200000004</v>
      </c>
      <c r="AQ95" s="92">
        <f t="shared" si="46"/>
        <v>-73.313668300000003</v>
      </c>
      <c r="AR95" s="92">
        <f t="shared" si="47"/>
        <v>-32.487589</v>
      </c>
      <c r="AS95" s="92">
        <f t="shared" si="48"/>
        <v>-42.226790000000001</v>
      </c>
      <c r="AT95" s="92">
        <f t="shared" si="49"/>
        <v>-42.575123099999999</v>
      </c>
      <c r="AU95" s="92">
        <f t="shared" si="50"/>
        <v>-47.837510700000003</v>
      </c>
      <c r="AV95" s="93">
        <f t="shared" si="51"/>
        <v>-31.5151085</v>
      </c>
    </row>
    <row r="96" spans="33:48" x14ac:dyDescent="0.15">
      <c r="AG96" s="91" t="e">
        <f t="shared" si="36"/>
        <v>#VALUE!</v>
      </c>
      <c r="AH96" s="91" t="e">
        <f t="shared" si="37"/>
        <v>#VALUE!</v>
      </c>
      <c r="AI96" s="91">
        <f t="shared" si="38"/>
        <v>-1839040</v>
      </c>
      <c r="AJ96" s="91">
        <f t="shared" si="39"/>
        <v>-6569632</v>
      </c>
      <c r="AK96" s="91">
        <f t="shared" si="40"/>
        <v>-587352</v>
      </c>
      <c r="AL96" s="91">
        <f t="shared" si="41"/>
        <v>0</v>
      </c>
      <c r="AM96" s="91">
        <f t="shared" si="42"/>
        <v>-798296</v>
      </c>
      <c r="AN96" s="91">
        <f t="shared" si="43"/>
        <v>-5168304</v>
      </c>
      <c r="AO96" s="91">
        <f t="shared" si="44"/>
        <v>-15680</v>
      </c>
      <c r="AP96" s="91">
        <f t="shared" si="45"/>
        <v>-72.368364700000001</v>
      </c>
      <c r="AQ96" s="92">
        <f t="shared" si="46"/>
        <v>-73.645732800000005</v>
      </c>
      <c r="AR96" s="92">
        <f t="shared" si="47"/>
        <v>-33.140527499999997</v>
      </c>
      <c r="AS96" s="92">
        <f t="shared" si="48"/>
        <v>-42.489907000000002</v>
      </c>
      <c r="AT96" s="92">
        <f t="shared" si="49"/>
        <v>-42.826784500000002</v>
      </c>
      <c r="AU96" s="92">
        <f t="shared" si="50"/>
        <v>-47.9009012</v>
      </c>
      <c r="AV96" s="93">
        <f t="shared" si="51"/>
        <v>-31.9371112</v>
      </c>
    </row>
    <row r="97" spans="33:48" x14ac:dyDescent="0.15">
      <c r="AG97" s="91" t="e">
        <f t="shared" si="36"/>
        <v>#VALUE!</v>
      </c>
      <c r="AH97" s="91" t="e">
        <f t="shared" si="37"/>
        <v>#VALUE!</v>
      </c>
      <c r="AI97" s="91">
        <f t="shared" si="38"/>
        <v>-7368320</v>
      </c>
      <c r="AJ97" s="91">
        <f t="shared" si="39"/>
        <v>-12072504</v>
      </c>
      <c r="AK97" s="91">
        <f t="shared" si="40"/>
        <v>-1570336</v>
      </c>
      <c r="AL97" s="91">
        <f t="shared" si="41"/>
        <v>0</v>
      </c>
      <c r="AM97" s="91">
        <f t="shared" si="42"/>
        <v>-845568</v>
      </c>
      <c r="AN97" s="91">
        <f t="shared" si="43"/>
        <v>-9640560</v>
      </c>
      <c r="AO97" s="91">
        <f t="shared" si="44"/>
        <v>-16040</v>
      </c>
      <c r="AP97" s="91">
        <f t="shared" si="45"/>
        <v>-76.334910600000001</v>
      </c>
      <c r="AQ97" s="92">
        <f t="shared" si="46"/>
        <v>-78.173767699999999</v>
      </c>
      <c r="AR97" s="92">
        <f t="shared" si="47"/>
        <v>-34.188262299999998</v>
      </c>
      <c r="AS97" s="92">
        <f t="shared" si="48"/>
        <v>-42.833855700000001</v>
      </c>
      <c r="AT97" s="92">
        <f t="shared" si="49"/>
        <v>-43.355657999999998</v>
      </c>
      <c r="AU97" s="92">
        <f t="shared" si="50"/>
        <v>-50.319832900000002</v>
      </c>
      <c r="AV97" s="93">
        <f t="shared" si="51"/>
        <v>-33.292130999999998</v>
      </c>
    </row>
    <row r="98" spans="33:48" x14ac:dyDescent="0.15">
      <c r="AG98" s="91" t="e">
        <f t="shared" si="36"/>
        <v>#VALUE!</v>
      </c>
      <c r="AH98" s="91" t="e">
        <f t="shared" si="37"/>
        <v>#VALUE!</v>
      </c>
      <c r="AI98" s="91">
        <f t="shared" si="38"/>
        <v>-7368320</v>
      </c>
      <c r="AJ98" s="91">
        <f t="shared" si="39"/>
        <v>-17743488</v>
      </c>
      <c r="AK98" s="91">
        <f t="shared" si="40"/>
        <v>-1743376</v>
      </c>
      <c r="AL98" s="91">
        <f t="shared" si="41"/>
        <v>0</v>
      </c>
      <c r="AM98" s="91">
        <f t="shared" si="42"/>
        <v>-1166456</v>
      </c>
      <c r="AN98" s="91">
        <f t="shared" si="43"/>
        <v>-14817608</v>
      </c>
      <c r="AO98" s="91">
        <f t="shared" si="44"/>
        <v>-16048</v>
      </c>
      <c r="AP98" s="91">
        <f t="shared" si="45"/>
        <v>-77.524888500000003</v>
      </c>
      <c r="AQ98" s="92">
        <f t="shared" si="46"/>
        <v>-79.588636500000007</v>
      </c>
      <c r="AR98" s="92">
        <f t="shared" si="47"/>
        <v>-34.894791699999999</v>
      </c>
      <c r="AS98" s="92">
        <f t="shared" si="48"/>
        <v>-42.9567379</v>
      </c>
      <c r="AT98" s="92">
        <f t="shared" si="49"/>
        <v>-43.548097900000002</v>
      </c>
      <c r="AU98" s="92">
        <f t="shared" si="50"/>
        <v>-50.975414800000003</v>
      </c>
      <c r="AV98" s="93">
        <f t="shared" si="51"/>
        <v>-33.948259499999999</v>
      </c>
    </row>
    <row r="99" spans="33:48" ht="15.75" customHeight="1" thickBot="1" x14ac:dyDescent="0.2">
      <c r="AG99" s="94" t="e">
        <f t="shared" ref="AG99" si="52">AG44-L44</f>
        <v>#VALUE!</v>
      </c>
      <c r="AH99" s="94" t="e">
        <f t="shared" ref="AH99" si="53">AH44-M44</f>
        <v>#VALUE!</v>
      </c>
      <c r="AI99" s="94">
        <f t="shared" ref="AI99" si="54">AI44-N44</f>
        <v>-14739328</v>
      </c>
      <c r="AJ99" s="94">
        <f t="shared" ref="AJ99" si="55">AJ44-O44</f>
        <v>-26526928</v>
      </c>
      <c r="AK99" s="94">
        <f t="shared" ref="AK99" si="56">AK44-P44</f>
        <v>-2710072</v>
      </c>
      <c r="AL99" s="94">
        <f t="shared" ref="AL99" si="57">AL44-Q44</f>
        <v>0</v>
      </c>
      <c r="AM99" s="94">
        <f t="shared" ref="AM99" si="58">AM44-R44</f>
        <v>-1194024</v>
      </c>
      <c r="AN99" s="94">
        <f t="shared" ref="AN99" si="59">AN44-S44</f>
        <v>-22607136</v>
      </c>
      <c r="AO99" s="94">
        <f t="shared" ref="AO99" si="60">AO44-T44</f>
        <v>-15696</v>
      </c>
      <c r="AP99" s="94">
        <f t="shared" ref="AP99" si="61">AP44-U44</f>
        <v>-79.513917500000005</v>
      </c>
      <c r="AQ99" s="95">
        <f t="shared" ref="AQ99" si="62">AQ44-V44</f>
        <v>-82.104544500000003</v>
      </c>
      <c r="AR99" s="95">
        <f t="shared" ref="AR99" si="63">AR44-W44</f>
        <v>-35.740401400000003</v>
      </c>
      <c r="AS99" s="95">
        <f t="shared" ref="AS99" si="64">AS44-X44</f>
        <v>-43.105198000000001</v>
      </c>
      <c r="AT99" s="95">
        <f t="shared" ref="AT99" si="65">AT44-Y44</f>
        <v>-43.757987</v>
      </c>
      <c r="AU99" s="95">
        <f t="shared" ref="AU99" si="66">AU44-Z44</f>
        <v>-52.287342000000002</v>
      </c>
      <c r="AV99" s="96">
        <f t="shared" ref="AV99" si="67">AV44-AA44</f>
        <v>-34.888601199999997</v>
      </c>
    </row>
    <row r="100" spans="33:48" x14ac:dyDescent="0.15">
      <c r="AG100" s="91" t="e">
        <f t="shared" ref="AG100:AV103" si="68">AG45-L45</f>
        <v>#VALUE!</v>
      </c>
      <c r="AH100" s="91" t="e">
        <f t="shared" si="68"/>
        <v>#VALUE!</v>
      </c>
      <c r="AI100" s="91">
        <f t="shared" si="68"/>
        <v>-383872</v>
      </c>
      <c r="AJ100" s="91">
        <f t="shared" si="68"/>
        <v>-190496</v>
      </c>
      <c r="AK100" s="91">
        <f t="shared" si="68"/>
        <v>-72440</v>
      </c>
      <c r="AL100" s="91">
        <f t="shared" si="68"/>
        <v>0</v>
      </c>
      <c r="AM100" s="91">
        <f t="shared" si="68"/>
        <v>-15544</v>
      </c>
      <c r="AN100" s="91">
        <f t="shared" si="68"/>
        <v>-100864</v>
      </c>
      <c r="AO100" s="91">
        <f t="shared" si="68"/>
        <v>-1648</v>
      </c>
      <c r="AP100" s="91">
        <f t="shared" si="68"/>
        <v>-76.493702900000002</v>
      </c>
      <c r="AQ100" s="92">
        <f t="shared" si="68"/>
        <v>-79.061057300000002</v>
      </c>
      <c r="AR100" s="92">
        <f t="shared" si="68"/>
        <v>-30.278041900000002</v>
      </c>
      <c r="AS100" s="92">
        <f t="shared" si="68"/>
        <v>-42.494525299999999</v>
      </c>
      <c r="AT100" s="92">
        <f t="shared" si="68"/>
        <v>-40.849274800000003</v>
      </c>
      <c r="AU100" s="92">
        <f t="shared" si="68"/>
        <v>-55.044560400000002</v>
      </c>
      <c r="AV100" s="93">
        <f t="shared" si="68"/>
        <v>-29.878969999999999</v>
      </c>
    </row>
    <row r="101" spans="33:48" x14ac:dyDescent="0.15">
      <c r="AG101" s="91" t="e">
        <f t="shared" si="68"/>
        <v>#VALUE!</v>
      </c>
      <c r="AH101" s="91" t="e">
        <f t="shared" si="68"/>
        <v>#VALUE!</v>
      </c>
      <c r="AI101" s="91">
        <f t="shared" si="68"/>
        <v>-383872</v>
      </c>
      <c r="AJ101" s="91">
        <f t="shared" si="68"/>
        <v>-342960</v>
      </c>
      <c r="AK101" s="91">
        <f t="shared" si="68"/>
        <v>-81088</v>
      </c>
      <c r="AL101" s="91">
        <f t="shared" si="68"/>
        <v>0</v>
      </c>
      <c r="AM101" s="91">
        <f t="shared" si="68"/>
        <v>-24720</v>
      </c>
      <c r="AN101" s="91">
        <f t="shared" si="68"/>
        <v>-235496</v>
      </c>
      <c r="AO101" s="91">
        <f t="shared" si="68"/>
        <v>-1656</v>
      </c>
      <c r="AP101" s="91">
        <f t="shared" si="68"/>
        <v>-78.244808599999999</v>
      </c>
      <c r="AQ101" s="92">
        <f t="shared" si="68"/>
        <v>-81.361836800000006</v>
      </c>
      <c r="AR101" s="92">
        <f t="shared" si="68"/>
        <v>-31.540469900000002</v>
      </c>
      <c r="AS101" s="92">
        <f t="shared" si="68"/>
        <v>-43.652007599999997</v>
      </c>
      <c r="AT101" s="92">
        <f t="shared" si="68"/>
        <v>-42.291822500000002</v>
      </c>
      <c r="AU101" s="92">
        <f t="shared" si="68"/>
        <v>-56.170851599999999</v>
      </c>
      <c r="AV101" s="93">
        <f t="shared" si="68"/>
        <v>-31.075164699999998</v>
      </c>
    </row>
    <row r="102" spans="33:48" x14ac:dyDescent="0.15">
      <c r="AG102" s="91" t="e">
        <f t="shared" si="68"/>
        <v>#VALUE!</v>
      </c>
      <c r="AH102" s="91" t="e">
        <f t="shared" si="68"/>
        <v>#VALUE!</v>
      </c>
      <c r="AI102" s="91">
        <f t="shared" si="68"/>
        <v>-767872</v>
      </c>
      <c r="AJ102" s="91">
        <f t="shared" si="68"/>
        <v>-918272</v>
      </c>
      <c r="AK102" s="91">
        <f t="shared" si="68"/>
        <v>-141704</v>
      </c>
      <c r="AL102" s="91">
        <f t="shared" si="68"/>
        <v>0</v>
      </c>
      <c r="AM102" s="91">
        <f t="shared" si="68"/>
        <v>-59984</v>
      </c>
      <c r="AN102" s="91">
        <f t="shared" si="68"/>
        <v>-714904</v>
      </c>
      <c r="AO102" s="91">
        <f t="shared" si="68"/>
        <v>-1680</v>
      </c>
      <c r="AP102" s="91">
        <f t="shared" si="68"/>
        <v>-81.334224199999994</v>
      </c>
      <c r="AQ102" s="92">
        <f t="shared" si="68"/>
        <v>-86.582821699999997</v>
      </c>
      <c r="AR102" s="92">
        <f t="shared" si="68"/>
        <v>-32.737954999999999</v>
      </c>
      <c r="AS102" s="92">
        <f t="shared" si="68"/>
        <v>-44.933899199999999</v>
      </c>
      <c r="AT102" s="92">
        <f t="shared" si="68"/>
        <v>-43.992284499999997</v>
      </c>
      <c r="AU102" s="92">
        <f t="shared" si="68"/>
        <v>-58.616900700000002</v>
      </c>
      <c r="AV102" s="93">
        <f t="shared" si="68"/>
        <v>-32.434200199999999</v>
      </c>
    </row>
    <row r="103" spans="33:48" x14ac:dyDescent="0.15">
      <c r="AG103" s="91" t="e">
        <f t="shared" si="68"/>
        <v>#VALUE!</v>
      </c>
      <c r="AH103" s="91" t="e">
        <f t="shared" si="68"/>
        <v>#VALUE!</v>
      </c>
      <c r="AI103" s="91">
        <f t="shared" si="68"/>
        <v>-1535744</v>
      </c>
      <c r="AJ103" s="91">
        <f t="shared" si="68"/>
        <v>-1691752</v>
      </c>
      <c r="AK103" s="91">
        <f t="shared" si="68"/>
        <v>-248112</v>
      </c>
      <c r="AL103" s="91">
        <f t="shared" si="68"/>
        <v>0</v>
      </c>
      <c r="AM103" s="91">
        <f t="shared" si="68"/>
        <v>-55432</v>
      </c>
      <c r="AN103" s="91">
        <f t="shared" si="68"/>
        <v>-1386528</v>
      </c>
      <c r="AO103" s="91">
        <f t="shared" si="68"/>
        <v>-1680</v>
      </c>
      <c r="AP103" s="91">
        <f t="shared" si="68"/>
        <v>-82.120771199999993</v>
      </c>
      <c r="AQ103" s="92">
        <f t="shared" si="68"/>
        <v>-88.265081100000003</v>
      </c>
      <c r="AR103" s="92">
        <f t="shared" si="68"/>
        <v>-33.567344599999998</v>
      </c>
      <c r="AS103" s="92">
        <f t="shared" si="68"/>
        <v>-46.3748389</v>
      </c>
      <c r="AT103" s="92">
        <f t="shared" si="68"/>
        <v>-45.425838900000002</v>
      </c>
      <c r="AU103" s="92">
        <f t="shared" si="68"/>
        <v>-59.151543500000002</v>
      </c>
      <c r="AV103" s="93">
        <f t="shared" si="68"/>
        <v>-33.257023400000001</v>
      </c>
    </row>
    <row r="104" spans="33:48" ht="14.25" thickBot="1" x14ac:dyDescent="0.2">
      <c r="AG104" s="94" t="e">
        <f t="shared" ref="AG104" si="69">AG49-L49</f>
        <v>#VALUE!</v>
      </c>
      <c r="AH104" s="94" t="e">
        <f t="shared" ref="AH104" si="70">AH49-M49</f>
        <v>#VALUE!</v>
      </c>
      <c r="AI104" s="94">
        <f t="shared" ref="AI104" si="71">AI49-N49</f>
        <v>-1535744</v>
      </c>
      <c r="AJ104" s="94">
        <f t="shared" ref="AJ104" si="72">AJ49-O49</f>
        <v>-3002608</v>
      </c>
      <c r="AK104" s="94">
        <f t="shared" ref="AK104" si="73">AK49-P49</f>
        <v>-248112</v>
      </c>
      <c r="AL104" s="94">
        <f t="shared" ref="AL104" si="74">AL49-Q49</f>
        <v>0</v>
      </c>
      <c r="AM104" s="94">
        <f t="shared" ref="AM104" si="75">AM49-R49</f>
        <v>-64824</v>
      </c>
      <c r="AN104" s="94">
        <f t="shared" ref="AN104" si="76">AN49-S49</f>
        <v>-2687984</v>
      </c>
      <c r="AO104" s="94">
        <f t="shared" ref="AO104" si="77">AO49-T49</f>
        <v>-1688</v>
      </c>
      <c r="AP104" s="94">
        <f t="shared" ref="AP104" si="78">AP49-U49</f>
        <v>-82.296570799999998</v>
      </c>
      <c r="AQ104" s="95">
        <f t="shared" ref="AQ104" si="79">AQ49-V49</f>
        <v>-88.772984699999995</v>
      </c>
      <c r="AR104" s="95">
        <f t="shared" ref="AR104" si="80">AR49-W49</f>
        <v>-34.238238899999999</v>
      </c>
      <c r="AS104" s="95">
        <f t="shared" ref="AS104" si="81">AS49-X49</f>
        <v>-48.012117199999999</v>
      </c>
      <c r="AT104" s="95">
        <f t="shared" ref="AT104" si="82">AT49-Y49</f>
        <v>-46.998905299999997</v>
      </c>
      <c r="AU104" s="95">
        <f t="shared" ref="AU104" si="83">AU49-Z49</f>
        <v>-59.486194699999999</v>
      </c>
      <c r="AV104" s="96">
        <f t="shared" ref="AV104" si="84">AV49-AA49</f>
        <v>-33.879080799999997</v>
      </c>
    </row>
  </sheetData>
  <mergeCells count="52"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A2:A3"/>
    <mergeCell ref="B2:B3"/>
    <mergeCell ref="C2:C3"/>
    <mergeCell ref="D2:D3"/>
    <mergeCell ref="E2:E3"/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</mergeCells>
  <phoneticPr fontId="2" type="noConversion"/>
  <conditionalFormatting sqref="AZ5:AZ54 BA53:BN53">
    <cfRule type="cellIs" dxfId="161" priority="37" operator="greaterThanOrEqual">
      <formula>0.03</formula>
    </cfRule>
    <cfRule type="cellIs" dxfId="160" priority="38" operator="lessThanOrEqual">
      <formula>-0.03</formula>
    </cfRule>
  </conditionalFormatting>
  <conditionalFormatting sqref="BA5:BA52 BA54">
    <cfRule type="cellIs" dxfId="159" priority="39" operator="greaterThanOrEqual">
      <formula>0.03</formula>
    </cfRule>
    <cfRule type="cellIs" dxfId="158" priority="40" operator="lessThanOrEqual">
      <formula>-0.03</formula>
    </cfRule>
  </conditionalFormatting>
  <conditionalFormatting sqref="BB5:BB52 BB54">
    <cfRule type="cellIs" dxfId="157" priority="47" operator="greaterThanOrEqual">
      <formula>0.03</formula>
    </cfRule>
    <cfRule type="cellIs" dxfId="156" priority="48" operator="lessThanOrEqual">
      <formula>-0.03</formula>
    </cfRule>
  </conditionalFormatting>
  <conditionalFormatting sqref="BC5:BC52 BC54">
    <cfRule type="cellIs" dxfId="155" priority="49" operator="greaterThanOrEqual">
      <formula>0.03</formula>
    </cfRule>
    <cfRule type="cellIs" dxfId="154" priority="50" operator="lessThanOrEqual">
      <formula>-0.03</formula>
    </cfRule>
  </conditionalFormatting>
  <conditionalFormatting sqref="BD5:BD52 BD54">
    <cfRule type="cellIs" dxfId="153" priority="41" operator="greaterThanOrEqual">
      <formula>0.03</formula>
    </cfRule>
    <cfRule type="cellIs" dxfId="152" priority="42" operator="lessThanOrEqual">
      <formula>-0.03</formula>
    </cfRule>
  </conditionalFormatting>
  <conditionalFormatting sqref="BE5:BE52 BE54">
    <cfRule type="cellIs" dxfId="151" priority="43" operator="greaterThanOrEqual">
      <formula>0.03</formula>
    </cfRule>
    <cfRule type="cellIs" dxfId="150" priority="44" operator="lessThanOrEqual">
      <formula>-0.03</formula>
    </cfRule>
  </conditionalFormatting>
  <conditionalFormatting sqref="BF5:BF52 BF54">
    <cfRule type="cellIs" dxfId="149" priority="45" operator="greaterThanOrEqual">
      <formula>0.03</formula>
    </cfRule>
    <cfRule type="cellIs" dxfId="148" priority="46" operator="lessThanOrEqual">
      <formula>-0.03</formula>
    </cfRule>
  </conditionalFormatting>
  <conditionalFormatting sqref="J5:J50">
    <cfRule type="expression" dxfId="147" priority="36">
      <formula>OR(J5 &lt; H5 * 0.9, J5 &gt; H5)</formula>
    </cfRule>
  </conditionalFormatting>
  <conditionalFormatting sqref="AE5:AE50">
    <cfRule type="expression" dxfId="146" priority="35">
      <formula>OR(AE5 &lt; H5 * 0.9, AE5 &gt; H5)</formula>
    </cfRule>
  </conditionalFormatting>
  <conditionalFormatting sqref="BP5:BP54 BQ53:BT54">
    <cfRule type="cellIs" dxfId="145" priority="33" operator="greaterThanOrEqual">
      <formula>0.001</formula>
    </cfRule>
    <cfRule type="cellIs" dxfId="144" priority="34" operator="lessThanOrEqual">
      <formula>-0.001</formula>
    </cfRule>
  </conditionalFormatting>
  <conditionalFormatting sqref="BQ5:BQ52">
    <cfRule type="cellIs" dxfId="143" priority="31" operator="greaterThanOrEqual">
      <formula>0.001</formula>
    </cfRule>
    <cfRule type="cellIs" dxfId="142" priority="32" operator="lessThanOrEqual">
      <formula>-0.001</formula>
    </cfRule>
  </conditionalFormatting>
  <conditionalFormatting sqref="BR5:BR52">
    <cfRule type="cellIs" dxfId="141" priority="29" operator="greaterThanOrEqual">
      <formula>0.001</formula>
    </cfRule>
    <cfRule type="cellIs" dxfId="140" priority="30" operator="lessThanOrEqual">
      <formula>-0.001</formula>
    </cfRule>
  </conditionalFormatting>
  <conditionalFormatting sqref="BS5:BS52">
    <cfRule type="cellIs" dxfId="139" priority="27" operator="greaterThanOrEqual">
      <formula>0.001</formula>
    </cfRule>
    <cfRule type="cellIs" dxfId="138" priority="28" operator="lessThanOrEqual">
      <formula>-0.001</formula>
    </cfRule>
  </conditionalFormatting>
  <conditionalFormatting sqref="AG60:AQ99">
    <cfRule type="cellIs" dxfId="137" priority="25" operator="lessThan">
      <formula>0</formula>
    </cfRule>
    <cfRule type="cellIs" dxfId="136" priority="26" operator="greaterThan">
      <formula>0</formula>
    </cfRule>
  </conditionalFormatting>
  <conditionalFormatting sqref="AR60:AV99">
    <cfRule type="cellIs" dxfId="135" priority="23" operator="lessThan">
      <formula>0</formula>
    </cfRule>
    <cfRule type="cellIs" dxfId="134" priority="24" operator="greaterThan">
      <formula>0</formula>
    </cfRule>
  </conditionalFormatting>
  <conditionalFormatting sqref="L5:L49">
    <cfRule type="expression" dxfId="133" priority="22">
      <formula>NOT(L5=O5)</formula>
    </cfRule>
  </conditionalFormatting>
  <conditionalFormatting sqref="AG5:AG49">
    <cfRule type="expression" dxfId="132" priority="21">
      <formula>NOT(AG5=AJ5)</formula>
    </cfRule>
  </conditionalFormatting>
  <conditionalFormatting sqref="BH5:BH52 BH54">
    <cfRule type="cellIs" dxfId="131" priority="11" operator="greaterThanOrEqual">
      <formula>0.03</formula>
    </cfRule>
    <cfRule type="cellIs" dxfId="130" priority="12" operator="lessThanOrEqual">
      <formula>-0.03</formula>
    </cfRule>
  </conditionalFormatting>
  <conditionalFormatting sqref="BI5:BI52 BI54">
    <cfRule type="cellIs" dxfId="129" priority="7" operator="greaterThanOrEqual">
      <formula>0.03</formula>
    </cfRule>
    <cfRule type="cellIs" dxfId="128" priority="8" operator="lessThanOrEqual">
      <formula>-0.03</formula>
    </cfRule>
  </conditionalFormatting>
  <conditionalFormatting sqref="BJ5:BJ52 BJ54">
    <cfRule type="cellIs" dxfId="127" priority="15" operator="greaterThanOrEqual">
      <formula>0.03</formula>
    </cfRule>
    <cfRule type="cellIs" dxfId="126" priority="16" operator="lessThanOrEqual">
      <formula>-0.03</formula>
    </cfRule>
  </conditionalFormatting>
  <conditionalFormatting sqref="BK5:BK52 BK54">
    <cfRule type="cellIs" dxfId="125" priority="17" operator="greaterThanOrEqual">
      <formula>0.03</formula>
    </cfRule>
    <cfRule type="cellIs" dxfId="124" priority="18" operator="lessThanOrEqual">
      <formula>-0.03</formula>
    </cfRule>
  </conditionalFormatting>
  <conditionalFormatting sqref="BL5:BL52 BL54">
    <cfRule type="cellIs" dxfId="123" priority="9" operator="greaterThanOrEqual">
      <formula>0.03</formula>
    </cfRule>
    <cfRule type="cellIs" dxfId="122" priority="10" operator="lessThanOrEqual">
      <formula>-0.03</formula>
    </cfRule>
  </conditionalFormatting>
  <conditionalFormatting sqref="BM5:BM52 BM54">
    <cfRule type="cellIs" dxfId="121" priority="19" operator="greaterThanOrEqual">
      <formula>0.03</formula>
    </cfRule>
    <cfRule type="cellIs" dxfId="120" priority="20" operator="lessThanOrEqual">
      <formula>-0.03</formula>
    </cfRule>
  </conditionalFormatting>
  <conditionalFormatting sqref="BN5:BN52 BN54">
    <cfRule type="cellIs" dxfId="119" priority="13" operator="greaterThanOrEqual">
      <formula>0.03</formula>
    </cfRule>
    <cfRule type="cellIs" dxfId="118" priority="14" operator="lessThanOrEqual">
      <formula>-0.03</formula>
    </cfRule>
  </conditionalFormatting>
  <conditionalFormatting sqref="BT5:BT52">
    <cfRule type="cellIs" dxfId="117" priority="5" operator="greaterThanOrEqual">
      <formula>0.001</formula>
    </cfRule>
    <cfRule type="cellIs" dxfId="116" priority="6" operator="lessThanOrEqual">
      <formula>-0.001</formula>
    </cfRule>
  </conditionalFormatting>
  <conditionalFormatting sqref="AG100:AQ104">
    <cfRule type="cellIs" dxfId="115" priority="3" operator="lessThan">
      <formula>0</formula>
    </cfRule>
    <cfRule type="cellIs" dxfId="114" priority="4" operator="greaterThan">
      <formula>0</formula>
    </cfRule>
  </conditionalFormatting>
  <conditionalFormatting sqref="AR100:AV104">
    <cfRule type="cellIs" dxfId="113" priority="1" operator="lessThan">
      <formula>0</formula>
    </cfRule>
    <cfRule type="cellIs" dxfId="112" priority="2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T104"/>
  <sheetViews>
    <sheetView tabSelected="1" zoomScale="80" zoomScaleNormal="80" workbookViewId="0">
      <pane xSplit="2" ySplit="4" topLeftCell="I5" activePane="bottomRight" state="frozen"/>
      <selection pane="topRight" activeCell="C1" sqref="C1"/>
      <selection pane="bottomLeft" activeCell="A5" sqref="A5"/>
      <selection pane="bottomRight" activeCell="N45" sqref="N45:AC49"/>
    </sheetView>
  </sheetViews>
  <sheetFormatPr defaultColWidth="9.125" defaultRowHeight="13.5" outlineLevelRow="1" x14ac:dyDescent="0.15"/>
  <cols>
    <col min="2" max="2" width="24.75" customWidth="1"/>
    <col min="4" max="5" width="10.75" customWidth="1"/>
    <col min="9" max="9" width="1.75" customWidth="1"/>
    <col min="11" max="11" width="10.75" customWidth="1"/>
    <col min="12" max="13" width="12.5" customWidth="1"/>
    <col min="14" max="14" width="10.75" customWidth="1"/>
    <col min="15" max="20" width="12.75" customWidth="1"/>
    <col min="21" max="27" width="11.75" customWidth="1"/>
    <col min="30" max="30" width="1.75" customWidth="1"/>
    <col min="32" max="32" width="10.75" customWidth="1"/>
    <col min="33" max="34" width="12.5" customWidth="1"/>
    <col min="35" max="35" width="10.75" customWidth="1"/>
    <col min="36" max="41" width="12.75" customWidth="1"/>
    <col min="42" max="48" width="11.75" customWidth="1"/>
    <col min="51" max="51" width="1.75" customWidth="1"/>
    <col min="54" max="58" width="11.75" customWidth="1"/>
    <col min="59" max="59" width="1.75" customWidth="1"/>
    <col min="62" max="66" width="11.75" customWidth="1"/>
    <col min="67" max="67" width="1.75" customWidth="1"/>
  </cols>
  <sheetData>
    <row r="1" spans="1:72" x14ac:dyDescent="0.15">
      <c r="A1" s="125" t="s">
        <v>367</v>
      </c>
      <c r="B1" s="113"/>
      <c r="C1" s="113"/>
      <c r="D1" s="113"/>
      <c r="E1" s="113"/>
      <c r="F1" s="113"/>
      <c r="G1" s="113"/>
      <c r="H1" s="113"/>
      <c r="J1" s="121" t="str">
        <f>Summary!C1</f>
        <v>F032_v8.0</v>
      </c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E1" s="122">
        <f>Summary!C2</f>
        <v>0</v>
      </c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</row>
    <row r="2" spans="1:72" ht="33" customHeight="1" thickBot="1" x14ac:dyDescent="0.2">
      <c r="A2" s="124" t="s">
        <v>149</v>
      </c>
      <c r="B2" s="123" t="s">
        <v>150</v>
      </c>
      <c r="C2" s="124" t="s">
        <v>333</v>
      </c>
      <c r="D2" s="123" t="s">
        <v>151</v>
      </c>
      <c r="E2" s="124" t="s">
        <v>152</v>
      </c>
      <c r="F2" s="123" t="s">
        <v>153</v>
      </c>
      <c r="G2" s="124" t="s">
        <v>154</v>
      </c>
      <c r="H2" s="123" t="s">
        <v>334</v>
      </c>
      <c r="J2" s="124" t="s">
        <v>127</v>
      </c>
      <c r="K2" s="123" t="s">
        <v>131</v>
      </c>
      <c r="L2" s="129" t="s">
        <v>120</v>
      </c>
      <c r="M2" s="123" t="s">
        <v>368</v>
      </c>
      <c r="N2" s="124" t="s">
        <v>81</v>
      </c>
      <c r="O2" s="123" t="s">
        <v>120</v>
      </c>
      <c r="P2" s="127" t="s">
        <v>419</v>
      </c>
      <c r="Q2" s="127" t="s">
        <v>420</v>
      </c>
      <c r="R2" s="127" t="s">
        <v>421</v>
      </c>
      <c r="S2" s="127" t="s">
        <v>422</v>
      </c>
      <c r="T2" s="127" t="s">
        <v>423</v>
      </c>
      <c r="U2" s="126" t="s">
        <v>335</v>
      </c>
      <c r="V2" s="113"/>
      <c r="W2" s="113"/>
      <c r="X2" s="113"/>
      <c r="Y2" s="113"/>
      <c r="Z2" s="127" t="s">
        <v>336</v>
      </c>
      <c r="AA2" s="113"/>
      <c r="AB2" s="124" t="s">
        <v>122</v>
      </c>
      <c r="AC2" s="123" t="s">
        <v>102</v>
      </c>
      <c r="AE2" s="124" t="s">
        <v>127</v>
      </c>
      <c r="AF2" s="123" t="s">
        <v>131</v>
      </c>
      <c r="AG2" s="129" t="s">
        <v>120</v>
      </c>
      <c r="AH2" s="123" t="s">
        <v>368</v>
      </c>
      <c r="AI2" s="124" t="s">
        <v>81</v>
      </c>
      <c r="AJ2" s="123" t="s">
        <v>120</v>
      </c>
      <c r="AK2" s="127" t="s">
        <v>419</v>
      </c>
      <c r="AL2" s="127" t="s">
        <v>420</v>
      </c>
      <c r="AM2" s="127" t="s">
        <v>421</v>
      </c>
      <c r="AN2" s="127" t="s">
        <v>422</v>
      </c>
      <c r="AO2" s="127" t="s">
        <v>423</v>
      </c>
      <c r="AP2" s="126" t="s">
        <v>335</v>
      </c>
      <c r="AQ2" s="113"/>
      <c r="AR2" s="113"/>
      <c r="AS2" s="113"/>
      <c r="AT2" s="113"/>
      <c r="AU2" s="127" t="s">
        <v>336</v>
      </c>
      <c r="AV2" s="113"/>
      <c r="AW2" s="124" t="s">
        <v>122</v>
      </c>
      <c r="AX2" s="123" t="s">
        <v>102</v>
      </c>
      <c r="AZ2" s="126" t="s">
        <v>15</v>
      </c>
      <c r="BA2" s="113"/>
      <c r="BB2" s="113"/>
      <c r="BC2" s="113"/>
      <c r="BD2" s="113"/>
      <c r="BE2" s="127" t="s">
        <v>16</v>
      </c>
      <c r="BF2" s="113"/>
      <c r="BH2" s="126" t="s">
        <v>409</v>
      </c>
      <c r="BI2" s="126"/>
      <c r="BJ2" s="128" t="s">
        <v>410</v>
      </c>
      <c r="BK2" s="128"/>
      <c r="BL2" s="128"/>
      <c r="BM2" s="124" t="s">
        <v>411</v>
      </c>
      <c r="BN2" s="123" t="s">
        <v>412</v>
      </c>
      <c r="BP2" s="124" t="s">
        <v>414</v>
      </c>
      <c r="BQ2" s="124" t="s">
        <v>415</v>
      </c>
      <c r="BR2" s="124" t="s">
        <v>417</v>
      </c>
      <c r="BS2" s="124" t="s">
        <v>416</v>
      </c>
      <c r="BT2" s="124" t="s">
        <v>418</v>
      </c>
    </row>
    <row r="3" spans="1:72" ht="33" customHeight="1" thickBot="1" x14ac:dyDescent="0.2">
      <c r="A3" s="115"/>
      <c r="B3" s="115"/>
      <c r="C3" s="115"/>
      <c r="D3" s="115"/>
      <c r="E3" s="115"/>
      <c r="F3" s="115"/>
      <c r="G3" s="115"/>
      <c r="H3" s="115"/>
      <c r="J3" s="115"/>
      <c r="K3" s="115"/>
      <c r="L3" s="130"/>
      <c r="M3" s="115"/>
      <c r="N3" s="115"/>
      <c r="O3" s="115"/>
      <c r="P3" s="123"/>
      <c r="Q3" s="123"/>
      <c r="R3" s="123"/>
      <c r="S3" s="123"/>
      <c r="T3" s="123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15"/>
      <c r="AC3" s="115"/>
      <c r="AE3" s="115"/>
      <c r="AF3" s="115"/>
      <c r="AG3" s="130"/>
      <c r="AH3" s="115"/>
      <c r="AI3" s="115"/>
      <c r="AJ3" s="115"/>
      <c r="AK3" s="123"/>
      <c r="AL3" s="123"/>
      <c r="AM3" s="123"/>
      <c r="AN3" s="123"/>
      <c r="AO3" s="123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15"/>
      <c r="AX3" s="115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24"/>
      <c r="BN3" s="123"/>
      <c r="BP3" s="115"/>
      <c r="BQ3" s="115"/>
      <c r="BR3" s="115"/>
      <c r="BS3" s="115"/>
      <c r="BT3" s="115"/>
    </row>
    <row r="4" spans="1:72" ht="54" hidden="1" customHeight="1" thickBot="1" x14ac:dyDescent="0.2">
      <c r="A4" s="15" t="s">
        <v>158</v>
      </c>
      <c r="B4" s="16" t="s">
        <v>159</v>
      </c>
      <c r="C4" s="15" t="s">
        <v>337</v>
      </c>
      <c r="D4" s="16" t="s">
        <v>160</v>
      </c>
      <c r="E4" s="15" t="s">
        <v>161</v>
      </c>
      <c r="F4" s="16" t="s">
        <v>162</v>
      </c>
      <c r="G4" s="15" t="s">
        <v>163</v>
      </c>
      <c r="H4" s="16" t="s">
        <v>338</v>
      </c>
      <c r="J4" s="15" t="s">
        <v>164</v>
      </c>
      <c r="K4" s="16" t="s">
        <v>165</v>
      </c>
      <c r="L4" s="16"/>
      <c r="M4" s="16"/>
      <c r="N4" s="15" t="s">
        <v>339</v>
      </c>
      <c r="O4" s="16" t="s">
        <v>166</v>
      </c>
      <c r="P4" s="16"/>
      <c r="Q4" s="16"/>
      <c r="R4" s="16"/>
      <c r="S4" s="16"/>
      <c r="T4" s="16"/>
      <c r="U4" s="15" t="s">
        <v>340</v>
      </c>
      <c r="V4" s="15" t="s">
        <v>341</v>
      </c>
      <c r="W4" s="15" t="s">
        <v>342</v>
      </c>
      <c r="X4" s="15" t="s">
        <v>343</v>
      </c>
      <c r="Y4" s="15" t="s">
        <v>344</v>
      </c>
      <c r="Z4" s="16" t="s">
        <v>345</v>
      </c>
      <c r="AA4" s="16" t="s">
        <v>346</v>
      </c>
      <c r="AB4" s="15" t="s">
        <v>167</v>
      </c>
      <c r="AC4" s="16" t="s">
        <v>168</v>
      </c>
      <c r="AE4" s="15" t="s">
        <v>169</v>
      </c>
      <c r="AF4" s="16" t="s">
        <v>170</v>
      </c>
      <c r="AG4" s="16"/>
      <c r="AH4" s="16"/>
      <c r="AI4" s="15" t="s">
        <v>347</v>
      </c>
      <c r="AJ4" s="16" t="s">
        <v>171</v>
      </c>
      <c r="AK4" s="16"/>
      <c r="AL4" s="16"/>
      <c r="AM4" s="16"/>
      <c r="AN4" s="16"/>
      <c r="AO4" s="16"/>
      <c r="AP4" s="15" t="s">
        <v>348</v>
      </c>
      <c r="AQ4" s="15" t="s">
        <v>349</v>
      </c>
      <c r="AR4" s="15" t="s">
        <v>350</v>
      </c>
      <c r="AS4" s="15" t="s">
        <v>351</v>
      </c>
      <c r="AT4" s="15" t="s">
        <v>352</v>
      </c>
      <c r="AU4" s="16" t="s">
        <v>353</v>
      </c>
      <c r="AV4" s="16" t="s">
        <v>354</v>
      </c>
      <c r="AW4" s="15" t="s">
        <v>172</v>
      </c>
      <c r="AX4" s="16" t="s">
        <v>173</v>
      </c>
      <c r="AZ4" s="15" t="s">
        <v>355</v>
      </c>
      <c r="BA4" s="15" t="s">
        <v>356</v>
      </c>
      <c r="BB4" s="15" t="s">
        <v>357</v>
      </c>
      <c r="BC4" s="15" t="s">
        <v>358</v>
      </c>
      <c r="BD4" s="15" t="s">
        <v>359</v>
      </c>
      <c r="BE4" s="16" t="s">
        <v>360</v>
      </c>
      <c r="BF4" s="16" t="s">
        <v>361</v>
      </c>
      <c r="BH4" s="15" t="s">
        <v>355</v>
      </c>
      <c r="BI4" s="15" t="s">
        <v>356</v>
      </c>
      <c r="BJ4" s="15" t="s">
        <v>357</v>
      </c>
      <c r="BK4" s="15" t="s">
        <v>358</v>
      </c>
      <c r="BL4" s="15" t="s">
        <v>359</v>
      </c>
      <c r="BM4" s="16" t="s">
        <v>360</v>
      </c>
      <c r="BN4" s="16" t="s">
        <v>361</v>
      </c>
    </row>
    <row r="5" spans="1:72" ht="15" customHeight="1" x14ac:dyDescent="0.15">
      <c r="A5" s="17" t="s">
        <v>175</v>
      </c>
      <c r="B5" s="17" t="s">
        <v>38</v>
      </c>
      <c r="C5" s="19" t="s">
        <v>362</v>
      </c>
      <c r="D5" s="17">
        <v>11997440</v>
      </c>
      <c r="E5" s="18">
        <v>10</v>
      </c>
      <c r="F5" s="19">
        <v>32</v>
      </c>
      <c r="G5" s="19">
        <v>30</v>
      </c>
      <c r="H5" s="19">
        <v>4</v>
      </c>
      <c r="J5" s="20">
        <f t="shared" ref="J5:J44" si="0">IF(OR(ISBLANK(O5),ISBLANK(G5)),"·",O5*G5/F5/1000000)</f>
        <v>4.0186425000000003</v>
      </c>
      <c r="K5" s="21">
        <f t="shared" ref="K5:K44" si="1">IF(ISBLANK(O5),"·",O5/D5)</f>
        <v>0.35728888829616984</v>
      </c>
      <c r="L5" s="19">
        <f t="shared" ref="L5:L44" si="2">IF(OR(ISBLANK(M5),ISBLANK(S5),ISBLANK(T5)),".",M5+S5+T5)</f>
        <v>4286552</v>
      </c>
      <c r="M5" s="19">
        <f t="shared" ref="M5:M44" si="3">IF(OR(ISBLANK(Q5),ISBLANK(P5),ISBLANK(R5)),".",P5+Q5+R5)</f>
        <v>1436584</v>
      </c>
      <c r="N5" s="44">
        <v>2415872</v>
      </c>
      <c r="O5" s="22">
        <v>4286552</v>
      </c>
      <c r="P5" s="22">
        <v>812056</v>
      </c>
      <c r="Q5" s="22">
        <v>0</v>
      </c>
      <c r="R5" s="22">
        <v>624528</v>
      </c>
      <c r="S5" s="22">
        <v>2834648</v>
      </c>
      <c r="T5" s="22">
        <v>15320</v>
      </c>
      <c r="U5" s="45">
        <v>68.757466399999998</v>
      </c>
      <c r="V5" s="45">
        <v>69.815127899999993</v>
      </c>
      <c r="W5" s="45">
        <v>27.905221900000001</v>
      </c>
      <c r="X5" s="45">
        <v>33.578688200000002</v>
      </c>
      <c r="Y5" s="45">
        <v>32.972934199999997</v>
      </c>
      <c r="Z5" s="45">
        <v>49.097363100000003</v>
      </c>
      <c r="AA5" s="45">
        <v>26.809715499999999</v>
      </c>
      <c r="AB5" s="23">
        <v>360.31790799999999</v>
      </c>
      <c r="AC5" s="23">
        <v>3.001233</v>
      </c>
      <c r="AE5" s="20" t="str">
        <f t="shared" ref="AE5:AE44" si="4">IF(OR(ISBLANK(AJ5),ISBLANK(G5)),"·",AJ5*G5/F5/1000000)</f>
        <v>·</v>
      </c>
      <c r="AF5" s="21" t="str">
        <f t="shared" ref="AF5:AF44" si="5">IF(ISBLANK(AJ5),"·",AJ5/D5)</f>
        <v>·</v>
      </c>
      <c r="AG5" s="19" t="str">
        <f t="shared" ref="AG5:AG44" si="6">IF(OR(ISBLANK(AH5),ISBLANK(AN5),ISBLANK(AO5)),".",AH5+AN5+AO5)</f>
        <v>.</v>
      </c>
      <c r="AH5" s="19" t="str">
        <f t="shared" ref="AH5:AH44" si="7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8">IF(AND(AK5=0,AK5=0),0,AK5/P5-1)</f>
        <v>0</v>
      </c>
      <c r="BQ5" s="24">
        <f t="shared" ref="BQ5:BQ44" si="9">IF(AND(AL5=0,AL5=0),0,AL5/Q5-1)</f>
        <v>0</v>
      </c>
      <c r="BR5" s="24">
        <f t="shared" ref="BR5:BR44" si="10">IF(AND(AM5=0,AM5=0),0,AM5/R5-1)</f>
        <v>0</v>
      </c>
      <c r="BS5" s="24">
        <f t="shared" ref="BS5:BT44" si="11">IF(AND(AN5=0,AN5=0),0,AN5/S5-1)</f>
        <v>0</v>
      </c>
      <c r="BT5" s="24">
        <f t="shared" si="11"/>
        <v>0</v>
      </c>
    </row>
    <row r="6" spans="1:72" ht="15" customHeight="1" outlineLevel="1" x14ac:dyDescent="0.15">
      <c r="A6" s="33"/>
      <c r="B6" s="33" t="s">
        <v>38</v>
      </c>
      <c r="C6" s="35" t="s">
        <v>363</v>
      </c>
      <c r="D6" s="33">
        <v>11997440</v>
      </c>
      <c r="E6" s="34">
        <v>10</v>
      </c>
      <c r="F6" s="35">
        <v>32</v>
      </c>
      <c r="G6" s="35">
        <v>30</v>
      </c>
      <c r="H6" s="35">
        <v>8</v>
      </c>
      <c r="J6" s="36">
        <f t="shared" si="0"/>
        <v>8.1939899999999994</v>
      </c>
      <c r="K6" s="37">
        <f t="shared" si="1"/>
        <v>0.72851008215085888</v>
      </c>
      <c r="L6" s="35">
        <f t="shared" si="2"/>
        <v>8740256</v>
      </c>
      <c r="M6" s="35">
        <f t="shared" si="3"/>
        <v>1924896</v>
      </c>
      <c r="N6" s="46">
        <v>2415872</v>
      </c>
      <c r="O6" s="38">
        <v>8740256</v>
      </c>
      <c r="P6" s="38">
        <v>812056</v>
      </c>
      <c r="Q6" s="38">
        <v>0</v>
      </c>
      <c r="R6" s="38">
        <v>1112840</v>
      </c>
      <c r="S6" s="38">
        <v>6800752</v>
      </c>
      <c r="T6" s="38">
        <v>14608</v>
      </c>
      <c r="U6" s="47">
        <v>70.379693399999994</v>
      </c>
      <c r="V6" s="47">
        <v>71.626465499999995</v>
      </c>
      <c r="W6" s="47">
        <v>31.162913400000001</v>
      </c>
      <c r="X6" s="47">
        <v>34.780375300000003</v>
      </c>
      <c r="Y6" s="47">
        <v>34.3021995</v>
      </c>
      <c r="Z6" s="47">
        <v>49.983022099999999</v>
      </c>
      <c r="AA6" s="47">
        <v>29.008596300000001</v>
      </c>
      <c r="AB6" s="39">
        <v>455.54265099999998</v>
      </c>
      <c r="AC6" s="39">
        <v>3.4374500000000001</v>
      </c>
      <c r="AE6" s="36" t="str">
        <f t="shared" si="4"/>
        <v>·</v>
      </c>
      <c r="AF6" s="37" t="str">
        <f t="shared" si="5"/>
        <v>·</v>
      </c>
      <c r="AG6" s="35" t="str">
        <f t="shared" si="6"/>
        <v>.</v>
      </c>
      <c r="AH6" s="35" t="str">
        <f t="shared" si="7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8"/>
        <v>0</v>
      </c>
      <c r="BQ6" s="40">
        <f t="shared" si="9"/>
        <v>0</v>
      </c>
      <c r="BR6" s="40">
        <f t="shared" si="10"/>
        <v>0</v>
      </c>
      <c r="BS6" s="40">
        <f t="shared" si="11"/>
        <v>0</v>
      </c>
      <c r="BT6" s="40">
        <f t="shared" si="11"/>
        <v>0</v>
      </c>
    </row>
    <row r="7" spans="1:72" ht="15" customHeight="1" outlineLevel="1" x14ac:dyDescent="0.15">
      <c r="A7" s="17"/>
      <c r="B7" s="17" t="s">
        <v>38</v>
      </c>
      <c r="C7" s="19" t="s">
        <v>364</v>
      </c>
      <c r="D7" s="17">
        <v>11997440</v>
      </c>
      <c r="E7" s="18">
        <v>10</v>
      </c>
      <c r="F7" s="19">
        <v>32</v>
      </c>
      <c r="G7" s="19">
        <v>30</v>
      </c>
      <c r="H7" s="19">
        <v>11</v>
      </c>
      <c r="J7" s="20">
        <f t="shared" si="0"/>
        <v>11.163615</v>
      </c>
      <c r="K7" s="21">
        <f t="shared" si="1"/>
        <v>0.99253307372239408</v>
      </c>
      <c r="L7" s="19">
        <f t="shared" si="2"/>
        <v>11907856</v>
      </c>
      <c r="M7" s="19">
        <f t="shared" si="3"/>
        <v>2360232</v>
      </c>
      <c r="N7" s="44">
        <v>4871680</v>
      </c>
      <c r="O7" s="22">
        <v>11907856</v>
      </c>
      <c r="P7" s="22">
        <v>1283216</v>
      </c>
      <c r="Q7" s="22">
        <v>0</v>
      </c>
      <c r="R7" s="22">
        <v>1077016</v>
      </c>
      <c r="S7" s="22">
        <v>9532256</v>
      </c>
      <c r="T7" s="22">
        <v>15368</v>
      </c>
      <c r="U7" s="45">
        <v>72.464860200000004</v>
      </c>
      <c r="V7" s="45">
        <v>74.030376500000003</v>
      </c>
      <c r="W7" s="45">
        <v>32.311214399999997</v>
      </c>
      <c r="X7" s="45">
        <v>36.438897300000001</v>
      </c>
      <c r="Y7" s="45">
        <v>36.174156199999999</v>
      </c>
      <c r="Z7" s="45">
        <v>51.153655700000002</v>
      </c>
      <c r="AA7" s="45">
        <v>30.414665100000001</v>
      </c>
      <c r="AB7" s="23">
        <v>1602.749397</v>
      </c>
      <c r="AC7" s="23">
        <v>10.665248</v>
      </c>
      <c r="AE7" s="20" t="str">
        <f t="shared" si="4"/>
        <v>·</v>
      </c>
      <c r="AF7" s="21" t="str">
        <f t="shared" si="5"/>
        <v>·</v>
      </c>
      <c r="AG7" s="19" t="str">
        <f t="shared" si="6"/>
        <v>.</v>
      </c>
      <c r="AH7" s="19" t="str">
        <f t="shared" si="7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8"/>
        <v>0</v>
      </c>
      <c r="BQ7" s="24">
        <f t="shared" si="9"/>
        <v>0</v>
      </c>
      <c r="BR7" s="24">
        <f t="shared" si="10"/>
        <v>0</v>
      </c>
      <c r="BS7" s="24">
        <f t="shared" si="11"/>
        <v>0</v>
      </c>
      <c r="BT7" s="24">
        <f t="shared" si="11"/>
        <v>0</v>
      </c>
    </row>
    <row r="8" spans="1:72" ht="15" customHeight="1" outlineLevel="1" x14ac:dyDescent="0.15">
      <c r="A8" s="33"/>
      <c r="B8" s="33" t="s">
        <v>38</v>
      </c>
      <c r="C8" s="35" t="s">
        <v>365</v>
      </c>
      <c r="D8" s="33">
        <v>11997440</v>
      </c>
      <c r="E8" s="34">
        <v>10</v>
      </c>
      <c r="F8" s="35">
        <v>32</v>
      </c>
      <c r="G8" s="35">
        <v>30</v>
      </c>
      <c r="H8" s="35">
        <v>14</v>
      </c>
      <c r="J8" s="36">
        <f t="shared" si="0"/>
        <v>14.256105</v>
      </c>
      <c r="K8" s="37">
        <f t="shared" si="1"/>
        <v>1.2674797290088553</v>
      </c>
      <c r="L8" s="35">
        <f t="shared" si="2"/>
        <v>15206512</v>
      </c>
      <c r="M8" s="35">
        <f t="shared" si="3"/>
        <v>3039080</v>
      </c>
      <c r="N8" s="46">
        <v>9785664</v>
      </c>
      <c r="O8" s="38">
        <v>15206512</v>
      </c>
      <c r="P8" s="38">
        <v>2116376</v>
      </c>
      <c r="Q8" s="38">
        <v>0</v>
      </c>
      <c r="R8" s="38">
        <v>922704</v>
      </c>
      <c r="S8" s="38">
        <v>12152120</v>
      </c>
      <c r="T8" s="38">
        <v>15312</v>
      </c>
      <c r="U8" s="47">
        <v>73.326823399999995</v>
      </c>
      <c r="V8" s="47">
        <v>75.023339699999994</v>
      </c>
      <c r="W8" s="47">
        <v>33.330082900000001</v>
      </c>
      <c r="X8" s="47">
        <v>37.040237300000001</v>
      </c>
      <c r="Y8" s="47">
        <v>36.783898100000002</v>
      </c>
      <c r="Z8" s="47">
        <v>51.779532000000003</v>
      </c>
      <c r="AA8" s="47">
        <v>31.194994900000001</v>
      </c>
      <c r="AB8" s="39">
        <v>1752.6044199999999</v>
      </c>
      <c r="AC8" s="39">
        <v>10.918120999999999</v>
      </c>
      <c r="AE8" s="36" t="str">
        <f t="shared" si="4"/>
        <v>·</v>
      </c>
      <c r="AF8" s="37" t="str">
        <f t="shared" si="5"/>
        <v>·</v>
      </c>
      <c r="AG8" s="35" t="str">
        <f t="shared" si="6"/>
        <v>.</v>
      </c>
      <c r="AH8" s="35" t="str">
        <f t="shared" si="7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8"/>
        <v>0</v>
      </c>
      <c r="BQ8" s="40">
        <f t="shared" si="9"/>
        <v>0</v>
      </c>
      <c r="BR8" s="40">
        <f t="shared" si="10"/>
        <v>0</v>
      </c>
      <c r="BS8" s="40">
        <f t="shared" si="11"/>
        <v>0</v>
      </c>
      <c r="BT8" s="40">
        <f t="shared" si="11"/>
        <v>0</v>
      </c>
    </row>
    <row r="9" spans="1:72" ht="15.75" customHeight="1" outlineLevel="1" thickBot="1" x14ac:dyDescent="0.2">
      <c r="A9" s="17"/>
      <c r="B9" s="48" t="s">
        <v>38</v>
      </c>
      <c r="C9" s="49" t="s">
        <v>366</v>
      </c>
      <c r="D9" s="48">
        <v>11997440</v>
      </c>
      <c r="E9" s="50">
        <v>10</v>
      </c>
      <c r="F9" s="49">
        <v>32</v>
      </c>
      <c r="G9" s="49">
        <v>30</v>
      </c>
      <c r="H9" s="49">
        <v>21</v>
      </c>
      <c r="J9" s="51">
        <f t="shared" si="0"/>
        <v>21.491062500000002</v>
      </c>
      <c r="K9" s="52">
        <f t="shared" si="1"/>
        <v>1.9107242878480744</v>
      </c>
      <c r="L9" s="49">
        <f t="shared" si="2"/>
        <v>22923800</v>
      </c>
      <c r="M9" s="49">
        <f t="shared" si="3"/>
        <v>3803608</v>
      </c>
      <c r="N9" s="53">
        <v>9785664</v>
      </c>
      <c r="O9" s="54">
        <v>22923800</v>
      </c>
      <c r="P9" s="54">
        <v>2116376</v>
      </c>
      <c r="Q9" s="54">
        <v>0</v>
      </c>
      <c r="R9" s="54">
        <v>1687232</v>
      </c>
      <c r="S9" s="54">
        <v>19105568</v>
      </c>
      <c r="T9" s="54">
        <v>14624</v>
      </c>
      <c r="U9" s="55">
        <v>75.008816899999999</v>
      </c>
      <c r="V9" s="55">
        <v>76.994118200000003</v>
      </c>
      <c r="W9" s="55">
        <v>34.970319500000002</v>
      </c>
      <c r="X9" s="55">
        <v>38.581664500000002</v>
      </c>
      <c r="Y9" s="55">
        <v>38.294071600000002</v>
      </c>
      <c r="Z9" s="55">
        <v>52.770030900000002</v>
      </c>
      <c r="AA9" s="55">
        <v>32.588524100000001</v>
      </c>
      <c r="AB9" s="56">
        <v>1900.431337</v>
      </c>
      <c r="AC9" s="56">
        <v>16.642113999999999</v>
      </c>
      <c r="AE9" s="51" t="str">
        <f t="shared" si="4"/>
        <v>·</v>
      </c>
      <c r="AF9" s="52" t="str">
        <f t="shared" si="5"/>
        <v>·</v>
      </c>
      <c r="AG9" s="49" t="str">
        <f t="shared" si="6"/>
        <v>.</v>
      </c>
      <c r="AH9" s="49" t="str">
        <f t="shared" si="7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8"/>
        <v>0</v>
      </c>
      <c r="BQ9" s="57">
        <f t="shared" si="9"/>
        <v>0</v>
      </c>
      <c r="BR9" s="57">
        <f t="shared" si="10"/>
        <v>0</v>
      </c>
      <c r="BS9" s="57">
        <f t="shared" si="11"/>
        <v>0</v>
      </c>
      <c r="BT9" s="57">
        <f t="shared" si="11"/>
        <v>0</v>
      </c>
    </row>
    <row r="10" spans="1:72" ht="15" customHeight="1" x14ac:dyDescent="0.15">
      <c r="A10" s="33"/>
      <c r="B10" s="33" t="s">
        <v>46</v>
      </c>
      <c r="C10" s="35" t="s">
        <v>362</v>
      </c>
      <c r="D10" s="33">
        <v>9000000</v>
      </c>
      <c r="E10" s="34">
        <v>10</v>
      </c>
      <c r="F10" s="35">
        <v>32</v>
      </c>
      <c r="G10" s="35">
        <v>30</v>
      </c>
      <c r="H10" s="35">
        <v>4</v>
      </c>
      <c r="J10" s="36">
        <f t="shared" si="0"/>
        <v>3.1761824999999999</v>
      </c>
      <c r="K10" s="37">
        <f t="shared" si="1"/>
        <v>0.37643644444444446</v>
      </c>
      <c r="L10" s="35">
        <f t="shared" si="2"/>
        <v>3387928</v>
      </c>
      <c r="M10" s="35">
        <f t="shared" si="3"/>
        <v>1323184</v>
      </c>
      <c r="N10" s="46">
        <v>1032192</v>
      </c>
      <c r="O10" s="38">
        <v>3387928</v>
      </c>
      <c r="P10" s="38">
        <v>45368</v>
      </c>
      <c r="Q10" s="38">
        <v>125528</v>
      </c>
      <c r="R10" s="38">
        <v>1152288</v>
      </c>
      <c r="S10" s="38">
        <v>2052552</v>
      </c>
      <c r="T10" s="38">
        <v>12192</v>
      </c>
      <c r="U10" s="47">
        <v>68.768822299999997</v>
      </c>
      <c r="V10" s="47">
        <v>69.897562600000001</v>
      </c>
      <c r="W10" s="47">
        <v>36.026457800000003</v>
      </c>
      <c r="X10" s="47">
        <v>46.388283299999998</v>
      </c>
      <c r="Y10" s="47">
        <v>46.841340700000003</v>
      </c>
      <c r="Z10" s="47">
        <v>46.267997000000001</v>
      </c>
      <c r="AA10" s="47">
        <v>32.446181899999999</v>
      </c>
      <c r="AB10" s="39">
        <v>1163.7023240000001</v>
      </c>
      <c r="AC10" s="39">
        <v>7.579097</v>
      </c>
      <c r="AE10" s="36" t="str">
        <f t="shared" si="4"/>
        <v>·</v>
      </c>
      <c r="AF10" s="37" t="str">
        <f t="shared" si="5"/>
        <v>·</v>
      </c>
      <c r="AG10" s="35" t="str">
        <f t="shared" si="6"/>
        <v>.</v>
      </c>
      <c r="AH10" s="35" t="str">
        <f t="shared" si="7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8"/>
        <v>0</v>
      </c>
      <c r="BQ10" s="40">
        <f t="shared" si="9"/>
        <v>0</v>
      </c>
      <c r="BR10" s="40">
        <f t="shared" si="10"/>
        <v>0</v>
      </c>
      <c r="BS10" s="40">
        <f t="shared" si="11"/>
        <v>0</v>
      </c>
      <c r="BT10" s="40">
        <f t="shared" si="11"/>
        <v>0</v>
      </c>
    </row>
    <row r="11" spans="1:72" ht="15" customHeight="1" outlineLevel="1" x14ac:dyDescent="0.15">
      <c r="A11" s="17"/>
      <c r="B11" s="17" t="s">
        <v>46</v>
      </c>
      <c r="C11" s="19" t="s">
        <v>363</v>
      </c>
      <c r="D11" s="17">
        <v>9000000</v>
      </c>
      <c r="E11" s="18">
        <v>10</v>
      </c>
      <c r="F11" s="19">
        <v>32</v>
      </c>
      <c r="G11" s="19">
        <v>30</v>
      </c>
      <c r="H11" s="19">
        <v>8</v>
      </c>
      <c r="J11" s="20">
        <f t="shared" si="0"/>
        <v>6.58005</v>
      </c>
      <c r="K11" s="21">
        <f t="shared" si="1"/>
        <v>0.77985777777777776</v>
      </c>
      <c r="L11" s="19">
        <f t="shared" si="2"/>
        <v>7018720</v>
      </c>
      <c r="M11" s="19">
        <f t="shared" si="3"/>
        <v>2743864</v>
      </c>
      <c r="N11" s="44">
        <v>2030368</v>
      </c>
      <c r="O11" s="22">
        <v>7018720</v>
      </c>
      <c r="P11" s="22">
        <v>301200</v>
      </c>
      <c r="Q11" s="22">
        <v>183320</v>
      </c>
      <c r="R11" s="22">
        <v>2259344</v>
      </c>
      <c r="S11" s="22">
        <v>4262568</v>
      </c>
      <c r="T11" s="22">
        <v>12288</v>
      </c>
      <c r="U11" s="45">
        <v>72.353679999999997</v>
      </c>
      <c r="V11" s="45">
        <v>73.976484999999997</v>
      </c>
      <c r="W11" s="45">
        <v>37.265430700000003</v>
      </c>
      <c r="X11" s="45">
        <v>47.038851700000002</v>
      </c>
      <c r="Y11" s="45">
        <v>47.679422500000001</v>
      </c>
      <c r="Z11" s="45">
        <v>48.3373566</v>
      </c>
      <c r="AA11" s="45">
        <v>34.552435099999997</v>
      </c>
      <c r="AB11" s="23">
        <v>1203.1726289999999</v>
      </c>
      <c r="AC11" s="23">
        <v>12.553653000000001</v>
      </c>
      <c r="AE11" s="20" t="str">
        <f t="shared" si="4"/>
        <v>·</v>
      </c>
      <c r="AF11" s="21" t="str">
        <f t="shared" si="5"/>
        <v>·</v>
      </c>
      <c r="AG11" s="19" t="str">
        <f t="shared" si="6"/>
        <v>.</v>
      </c>
      <c r="AH11" s="19" t="str">
        <f t="shared" si="7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8"/>
        <v>0</v>
      </c>
      <c r="BQ11" s="24">
        <f t="shared" si="9"/>
        <v>0</v>
      </c>
      <c r="BR11" s="24">
        <f t="shared" si="10"/>
        <v>0</v>
      </c>
      <c r="BS11" s="24">
        <f t="shared" si="11"/>
        <v>0</v>
      </c>
      <c r="BT11" s="24">
        <f t="shared" si="11"/>
        <v>0</v>
      </c>
    </row>
    <row r="12" spans="1:72" ht="15" customHeight="1" outlineLevel="1" x14ac:dyDescent="0.15">
      <c r="A12" s="33"/>
      <c r="B12" s="33" t="s">
        <v>46</v>
      </c>
      <c r="C12" s="35" t="s">
        <v>364</v>
      </c>
      <c r="D12" s="33">
        <v>9000000</v>
      </c>
      <c r="E12" s="34">
        <v>10</v>
      </c>
      <c r="F12" s="35">
        <v>32</v>
      </c>
      <c r="G12" s="35">
        <v>30</v>
      </c>
      <c r="H12" s="35">
        <v>11</v>
      </c>
      <c r="J12" s="36">
        <f t="shared" si="0"/>
        <v>9.0601575000000008</v>
      </c>
      <c r="K12" s="37">
        <f t="shared" si="1"/>
        <v>1.0737964444444446</v>
      </c>
      <c r="L12" s="35">
        <f t="shared" si="2"/>
        <v>9664168</v>
      </c>
      <c r="M12" s="35">
        <f t="shared" si="3"/>
        <v>3237312</v>
      </c>
      <c r="N12" s="46">
        <v>2236080</v>
      </c>
      <c r="O12" s="38">
        <v>9664168</v>
      </c>
      <c r="P12" s="38">
        <v>402496</v>
      </c>
      <c r="Q12" s="38">
        <v>191512</v>
      </c>
      <c r="R12" s="38">
        <v>2643304</v>
      </c>
      <c r="S12" s="38">
        <v>6414504</v>
      </c>
      <c r="T12" s="38">
        <v>12352</v>
      </c>
      <c r="U12" s="47">
        <v>72.9207945</v>
      </c>
      <c r="V12" s="47">
        <v>74.650410100000002</v>
      </c>
      <c r="W12" s="47">
        <v>38.067152299999997</v>
      </c>
      <c r="X12" s="47">
        <v>47.351777400000003</v>
      </c>
      <c r="Y12" s="47">
        <v>47.964388100000001</v>
      </c>
      <c r="Z12" s="47">
        <v>48.731416799999998</v>
      </c>
      <c r="AA12" s="47">
        <v>35.163148700000001</v>
      </c>
      <c r="AB12" s="39">
        <v>1219.1561569999999</v>
      </c>
      <c r="AC12" s="39">
        <v>7.7285849999999998</v>
      </c>
      <c r="AE12" s="36" t="str">
        <f t="shared" si="4"/>
        <v>·</v>
      </c>
      <c r="AF12" s="37" t="str">
        <f t="shared" si="5"/>
        <v>·</v>
      </c>
      <c r="AG12" s="35" t="str">
        <f t="shared" si="6"/>
        <v>.</v>
      </c>
      <c r="AH12" s="35" t="str">
        <f t="shared" si="7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8"/>
        <v>0</v>
      </c>
      <c r="BQ12" s="40">
        <f t="shared" si="9"/>
        <v>0</v>
      </c>
      <c r="BR12" s="40">
        <f t="shared" si="10"/>
        <v>0</v>
      </c>
      <c r="BS12" s="40">
        <f t="shared" si="11"/>
        <v>0</v>
      </c>
      <c r="BT12" s="40">
        <f t="shared" si="11"/>
        <v>0</v>
      </c>
    </row>
    <row r="13" spans="1:72" ht="15" customHeight="1" outlineLevel="1" x14ac:dyDescent="0.15">
      <c r="A13" s="17"/>
      <c r="B13" s="17" t="s">
        <v>46</v>
      </c>
      <c r="C13" s="19" t="s">
        <v>365</v>
      </c>
      <c r="D13" s="17">
        <v>9000000</v>
      </c>
      <c r="E13" s="18">
        <v>10</v>
      </c>
      <c r="F13" s="19">
        <v>32</v>
      </c>
      <c r="G13" s="19">
        <v>30</v>
      </c>
      <c r="H13" s="19">
        <v>14</v>
      </c>
      <c r="J13" s="20">
        <f t="shared" si="0"/>
        <v>11.672017500000001</v>
      </c>
      <c r="K13" s="21">
        <f t="shared" si="1"/>
        <v>1.3833502222222223</v>
      </c>
      <c r="L13" s="19">
        <f t="shared" si="2"/>
        <v>12450152</v>
      </c>
      <c r="M13" s="19">
        <f t="shared" si="3"/>
        <v>3388672</v>
      </c>
      <c r="N13" s="44">
        <v>2440496</v>
      </c>
      <c r="O13" s="22">
        <v>12450152</v>
      </c>
      <c r="P13" s="22">
        <v>349496</v>
      </c>
      <c r="Q13" s="22">
        <v>221488</v>
      </c>
      <c r="R13" s="22">
        <v>2817688</v>
      </c>
      <c r="S13" s="22">
        <v>9049120</v>
      </c>
      <c r="T13" s="22">
        <v>12360</v>
      </c>
      <c r="U13" s="45">
        <v>73.248622400000002</v>
      </c>
      <c r="V13" s="45">
        <v>75.023977500000001</v>
      </c>
      <c r="W13" s="45">
        <v>38.867487500000003</v>
      </c>
      <c r="X13" s="45">
        <v>48.081091200000003</v>
      </c>
      <c r="Y13" s="45">
        <v>48.7855481</v>
      </c>
      <c r="Z13" s="45">
        <v>48.9646799</v>
      </c>
      <c r="AA13" s="45">
        <v>35.686675399999999</v>
      </c>
      <c r="AB13" s="23">
        <v>1439.424074</v>
      </c>
      <c r="AC13" s="23">
        <v>8.1294710000000006</v>
      </c>
      <c r="AE13" s="20" t="str">
        <f t="shared" si="4"/>
        <v>·</v>
      </c>
      <c r="AF13" s="21" t="str">
        <f t="shared" si="5"/>
        <v>·</v>
      </c>
      <c r="AG13" s="19" t="str">
        <f t="shared" si="6"/>
        <v>.</v>
      </c>
      <c r="AH13" s="19" t="str">
        <f t="shared" si="7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8"/>
        <v>0</v>
      </c>
      <c r="BQ13" s="24">
        <f t="shared" si="9"/>
        <v>0</v>
      </c>
      <c r="BR13" s="24">
        <f t="shared" si="10"/>
        <v>0</v>
      </c>
      <c r="BS13" s="24">
        <f t="shared" si="11"/>
        <v>0</v>
      </c>
      <c r="BT13" s="24">
        <f t="shared" si="11"/>
        <v>0</v>
      </c>
    </row>
    <row r="14" spans="1:72" ht="15.75" customHeight="1" outlineLevel="1" thickBot="1" x14ac:dyDescent="0.2">
      <c r="A14" s="25"/>
      <c r="B14" s="25" t="s">
        <v>46</v>
      </c>
      <c r="C14" s="27" t="s">
        <v>366</v>
      </c>
      <c r="D14" s="25">
        <v>9000000</v>
      </c>
      <c r="E14" s="26">
        <v>10</v>
      </c>
      <c r="F14" s="27">
        <v>32</v>
      </c>
      <c r="G14" s="27">
        <v>30</v>
      </c>
      <c r="H14" s="27">
        <v>21</v>
      </c>
      <c r="J14" s="28">
        <f t="shared" si="0"/>
        <v>19.902885000000001</v>
      </c>
      <c r="K14" s="29">
        <f t="shared" si="1"/>
        <v>2.3588604444444443</v>
      </c>
      <c r="L14" s="27">
        <f t="shared" si="2"/>
        <v>21229744</v>
      </c>
      <c r="M14" s="27">
        <f t="shared" si="3"/>
        <v>5901080</v>
      </c>
      <c r="N14" s="58">
        <v>3769536</v>
      </c>
      <c r="O14" s="30">
        <v>21229744</v>
      </c>
      <c r="P14" s="30">
        <v>1711016</v>
      </c>
      <c r="Q14" s="30">
        <v>190256</v>
      </c>
      <c r="R14" s="30">
        <v>3999808</v>
      </c>
      <c r="S14" s="30">
        <v>15316080</v>
      </c>
      <c r="T14" s="30">
        <v>12584</v>
      </c>
      <c r="U14" s="59">
        <v>75.404773700000007</v>
      </c>
      <c r="V14" s="59">
        <v>77.669309699999999</v>
      </c>
      <c r="W14" s="59">
        <v>39.396900500000001</v>
      </c>
      <c r="X14" s="59">
        <v>48.394923800000001</v>
      </c>
      <c r="Y14" s="59">
        <v>49.0776781</v>
      </c>
      <c r="Z14" s="59">
        <v>50.243473399999999</v>
      </c>
      <c r="AA14" s="59">
        <v>36.717395699999997</v>
      </c>
      <c r="AB14" s="31">
        <v>1685.3965430000001</v>
      </c>
      <c r="AC14" s="31">
        <v>14.849716000000001</v>
      </c>
      <c r="AE14" s="28" t="str">
        <f t="shared" si="4"/>
        <v>·</v>
      </c>
      <c r="AF14" s="29" t="str">
        <f t="shared" si="5"/>
        <v>·</v>
      </c>
      <c r="AG14" s="27" t="str">
        <f t="shared" si="6"/>
        <v>.</v>
      </c>
      <c r="AH14" s="27" t="str">
        <f t="shared" si="7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8"/>
        <v>0</v>
      </c>
      <c r="BQ14" s="32">
        <f t="shared" si="9"/>
        <v>0</v>
      </c>
      <c r="BR14" s="32">
        <f t="shared" si="10"/>
        <v>0</v>
      </c>
      <c r="BS14" s="32">
        <f t="shared" si="11"/>
        <v>0</v>
      </c>
      <c r="BT14" s="32">
        <f t="shared" si="11"/>
        <v>0</v>
      </c>
    </row>
    <row r="15" spans="1:72" ht="15" customHeight="1" x14ac:dyDescent="0.15">
      <c r="A15" s="17" t="s">
        <v>176</v>
      </c>
      <c r="B15" s="17" t="s">
        <v>51</v>
      </c>
      <c r="C15" s="19" t="s">
        <v>362</v>
      </c>
      <c r="D15" s="17">
        <v>11842002</v>
      </c>
      <c r="E15" s="18">
        <v>12</v>
      </c>
      <c r="F15" s="19">
        <v>32</v>
      </c>
      <c r="G15" s="19">
        <v>30</v>
      </c>
      <c r="H15" s="19">
        <v>3</v>
      </c>
      <c r="J15" s="20">
        <f t="shared" si="0"/>
        <v>2.9609999999999999</v>
      </c>
      <c r="K15" s="21">
        <f t="shared" si="1"/>
        <v>0.26671165905900035</v>
      </c>
      <c r="L15" s="19">
        <f t="shared" si="2"/>
        <v>3158400</v>
      </c>
      <c r="M15" s="19">
        <f t="shared" si="3"/>
        <v>1207504</v>
      </c>
      <c r="N15" s="44">
        <v>2419456</v>
      </c>
      <c r="O15" s="22">
        <v>3158400</v>
      </c>
      <c r="P15" s="22">
        <v>694568</v>
      </c>
      <c r="Q15" s="22">
        <v>0</v>
      </c>
      <c r="R15" s="22">
        <v>512936</v>
      </c>
      <c r="S15" s="22">
        <v>1935192</v>
      </c>
      <c r="T15" s="22">
        <v>15704</v>
      </c>
      <c r="U15" s="45">
        <v>71.326258199999998</v>
      </c>
      <c r="V15" s="45">
        <v>72.581992499999998</v>
      </c>
      <c r="W15" s="45">
        <v>35.557656999999999</v>
      </c>
      <c r="X15" s="45">
        <v>43.398405400000001</v>
      </c>
      <c r="Y15" s="45">
        <v>45.006364599999998</v>
      </c>
      <c r="Z15" s="45">
        <v>45.264113199999997</v>
      </c>
      <c r="AA15" s="45">
        <v>32.3030258</v>
      </c>
      <c r="AB15" s="23">
        <v>1351.0222960000001</v>
      </c>
      <c r="AC15" s="23">
        <v>8.4035910000000005</v>
      </c>
      <c r="AE15" s="20" t="str">
        <f t="shared" si="4"/>
        <v>·</v>
      </c>
      <c r="AF15" s="21" t="str">
        <f t="shared" si="5"/>
        <v>·</v>
      </c>
      <c r="AG15" s="19" t="str">
        <f t="shared" si="6"/>
        <v>.</v>
      </c>
      <c r="AH15" s="19" t="str">
        <f t="shared" si="7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8"/>
        <v>0</v>
      </c>
      <c r="BQ15" s="24">
        <f t="shared" si="9"/>
        <v>0</v>
      </c>
      <c r="BR15" s="24">
        <f t="shared" si="10"/>
        <v>0</v>
      </c>
      <c r="BS15" s="24">
        <f t="shared" si="11"/>
        <v>0</v>
      </c>
      <c r="BT15" s="24">
        <f t="shared" si="11"/>
        <v>0</v>
      </c>
    </row>
    <row r="16" spans="1:72" ht="15" customHeight="1" outlineLevel="1" x14ac:dyDescent="0.15">
      <c r="A16" s="33"/>
      <c r="B16" s="33" t="s">
        <v>51</v>
      </c>
      <c r="C16" s="35" t="s">
        <v>363</v>
      </c>
      <c r="D16" s="33">
        <v>11842002</v>
      </c>
      <c r="E16" s="34">
        <v>12</v>
      </c>
      <c r="F16" s="35">
        <v>32</v>
      </c>
      <c r="G16" s="35">
        <v>30</v>
      </c>
      <c r="H16" s="35">
        <v>5</v>
      </c>
      <c r="J16" s="36">
        <f t="shared" si="0"/>
        <v>4.9278149999999998</v>
      </c>
      <c r="K16" s="37">
        <f t="shared" si="1"/>
        <v>0.44387224389930013</v>
      </c>
      <c r="L16" s="35">
        <f t="shared" si="2"/>
        <v>5256336</v>
      </c>
      <c r="M16" s="35">
        <f t="shared" si="3"/>
        <v>1536072</v>
      </c>
      <c r="N16" s="46">
        <v>2419456</v>
      </c>
      <c r="O16" s="38">
        <v>5256336</v>
      </c>
      <c r="P16" s="38">
        <v>756080</v>
      </c>
      <c r="Q16" s="38">
        <v>0</v>
      </c>
      <c r="R16" s="38">
        <v>779992</v>
      </c>
      <c r="S16" s="38">
        <v>3704696</v>
      </c>
      <c r="T16" s="38">
        <v>15568</v>
      </c>
      <c r="U16" s="47">
        <v>73.023513500000007</v>
      </c>
      <c r="V16" s="47">
        <v>74.443340199999994</v>
      </c>
      <c r="W16" s="47">
        <v>38.326016000000003</v>
      </c>
      <c r="X16" s="47">
        <v>44.034865500000002</v>
      </c>
      <c r="Y16" s="47">
        <v>46.237530700000001</v>
      </c>
      <c r="Z16" s="47">
        <v>46.1027433</v>
      </c>
      <c r="AA16" s="47">
        <v>33.928937400000002</v>
      </c>
      <c r="AB16" s="39">
        <v>1388.8974109999999</v>
      </c>
      <c r="AC16" s="39">
        <v>13.029984000000001</v>
      </c>
      <c r="AE16" s="36" t="str">
        <f t="shared" si="4"/>
        <v>·</v>
      </c>
      <c r="AF16" s="37" t="str">
        <f t="shared" si="5"/>
        <v>·</v>
      </c>
      <c r="AG16" s="35" t="str">
        <f t="shared" si="6"/>
        <v>.</v>
      </c>
      <c r="AH16" s="35" t="str">
        <f t="shared" si="7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8"/>
        <v>0</v>
      </c>
      <c r="BQ16" s="40">
        <f t="shared" si="9"/>
        <v>0</v>
      </c>
      <c r="BR16" s="40">
        <f t="shared" si="10"/>
        <v>0</v>
      </c>
      <c r="BS16" s="40">
        <f t="shared" si="11"/>
        <v>0</v>
      </c>
      <c r="BT16" s="40">
        <f t="shared" si="11"/>
        <v>0</v>
      </c>
    </row>
    <row r="17" spans="1:72" ht="15" customHeight="1" outlineLevel="1" x14ac:dyDescent="0.15">
      <c r="A17" s="17"/>
      <c r="B17" s="17" t="s">
        <v>51</v>
      </c>
      <c r="C17" s="19" t="s">
        <v>364</v>
      </c>
      <c r="D17" s="17">
        <v>11842002</v>
      </c>
      <c r="E17" s="18">
        <v>12</v>
      </c>
      <c r="F17" s="19">
        <v>32</v>
      </c>
      <c r="G17" s="19">
        <v>30</v>
      </c>
      <c r="H17" s="19">
        <v>10</v>
      </c>
      <c r="J17" s="20">
        <f t="shared" si="0"/>
        <v>9.8346075000000006</v>
      </c>
      <c r="K17" s="21">
        <f t="shared" si="1"/>
        <v>0.88585088906419707</v>
      </c>
      <c r="L17" s="19">
        <f t="shared" si="2"/>
        <v>10490248</v>
      </c>
      <c r="M17" s="19">
        <f t="shared" si="3"/>
        <v>3039224</v>
      </c>
      <c r="N17" s="44">
        <v>4841472</v>
      </c>
      <c r="O17" s="22">
        <v>10490248</v>
      </c>
      <c r="P17" s="22">
        <v>1261600</v>
      </c>
      <c r="Q17" s="22">
        <v>0</v>
      </c>
      <c r="R17" s="22">
        <v>1777624</v>
      </c>
      <c r="S17" s="22">
        <v>7435600</v>
      </c>
      <c r="T17" s="22">
        <v>15424</v>
      </c>
      <c r="U17" s="45">
        <v>77.964435699999996</v>
      </c>
      <c r="V17" s="45">
        <v>80.144497999999999</v>
      </c>
      <c r="W17" s="45">
        <v>40.970000200000001</v>
      </c>
      <c r="X17" s="45">
        <v>44.951079499999999</v>
      </c>
      <c r="Y17" s="45">
        <v>47.994070700000002</v>
      </c>
      <c r="Z17" s="45">
        <v>48.785388099999999</v>
      </c>
      <c r="AA17" s="45">
        <v>37.152245100000002</v>
      </c>
      <c r="AB17" s="23">
        <v>1645.6518550000001</v>
      </c>
      <c r="AC17" s="23">
        <v>11.37191</v>
      </c>
      <c r="AE17" s="20" t="str">
        <f t="shared" si="4"/>
        <v>·</v>
      </c>
      <c r="AF17" s="21" t="str">
        <f t="shared" si="5"/>
        <v>·</v>
      </c>
      <c r="AG17" s="19" t="str">
        <f t="shared" si="6"/>
        <v>.</v>
      </c>
      <c r="AH17" s="19" t="str">
        <f t="shared" si="7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8"/>
        <v>0</v>
      </c>
      <c r="BQ17" s="24">
        <f t="shared" si="9"/>
        <v>0</v>
      </c>
      <c r="BR17" s="24">
        <f t="shared" si="10"/>
        <v>0</v>
      </c>
      <c r="BS17" s="24">
        <f t="shared" si="11"/>
        <v>0</v>
      </c>
      <c r="BT17" s="24">
        <f t="shared" si="11"/>
        <v>0</v>
      </c>
    </row>
    <row r="18" spans="1:72" ht="15" customHeight="1" outlineLevel="1" x14ac:dyDescent="0.15">
      <c r="A18" s="33"/>
      <c r="B18" s="33" t="s">
        <v>51</v>
      </c>
      <c r="C18" s="35" t="s">
        <v>365</v>
      </c>
      <c r="D18" s="33">
        <v>11842002</v>
      </c>
      <c r="E18" s="34">
        <v>12</v>
      </c>
      <c r="F18" s="35">
        <v>32</v>
      </c>
      <c r="G18" s="35">
        <v>30</v>
      </c>
      <c r="H18" s="35">
        <v>14</v>
      </c>
      <c r="J18" s="36">
        <f t="shared" si="0"/>
        <v>13.9503</v>
      </c>
      <c r="K18" s="37">
        <f t="shared" si="1"/>
        <v>1.2565713128574036</v>
      </c>
      <c r="L18" s="35">
        <f t="shared" si="2"/>
        <v>14880320</v>
      </c>
      <c r="M18" s="35">
        <f t="shared" si="3"/>
        <v>4076336</v>
      </c>
      <c r="N18" s="46">
        <v>9684544</v>
      </c>
      <c r="O18" s="38">
        <v>14880320</v>
      </c>
      <c r="P18" s="38">
        <v>2177288</v>
      </c>
      <c r="Q18" s="38">
        <v>0</v>
      </c>
      <c r="R18" s="38">
        <v>1899048</v>
      </c>
      <c r="S18" s="38">
        <v>10788256</v>
      </c>
      <c r="T18" s="38">
        <v>15728</v>
      </c>
      <c r="U18" s="47">
        <v>79.369476599999999</v>
      </c>
      <c r="V18" s="47">
        <v>82.001391499999997</v>
      </c>
      <c r="W18" s="47">
        <v>41.928444599999999</v>
      </c>
      <c r="X18" s="47">
        <v>45.650299799999999</v>
      </c>
      <c r="Y18" s="47">
        <v>49.199542700000002</v>
      </c>
      <c r="Z18" s="47">
        <v>49.753107900000003</v>
      </c>
      <c r="AA18" s="47">
        <v>38.2779302</v>
      </c>
      <c r="AB18" s="39">
        <v>1910.114356</v>
      </c>
      <c r="AC18" s="39">
        <v>13.908621</v>
      </c>
      <c r="AE18" s="36" t="str">
        <f t="shared" si="4"/>
        <v>·</v>
      </c>
      <c r="AF18" s="37" t="str">
        <f t="shared" si="5"/>
        <v>·</v>
      </c>
      <c r="AG18" s="35" t="str">
        <f t="shared" si="6"/>
        <v>.</v>
      </c>
      <c r="AH18" s="35" t="str">
        <f t="shared" si="7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8"/>
        <v>0</v>
      </c>
      <c r="BQ18" s="40">
        <f t="shared" si="9"/>
        <v>0</v>
      </c>
      <c r="BR18" s="40">
        <f t="shared" si="10"/>
        <v>0</v>
      </c>
      <c r="BS18" s="40">
        <f t="shared" si="11"/>
        <v>0</v>
      </c>
      <c r="BT18" s="40">
        <f t="shared" si="11"/>
        <v>0</v>
      </c>
    </row>
    <row r="19" spans="1:72" ht="15.75" customHeight="1" outlineLevel="1" thickBot="1" x14ac:dyDescent="0.2">
      <c r="A19" s="17"/>
      <c r="B19" s="48" t="s">
        <v>51</v>
      </c>
      <c r="C19" s="49" t="s">
        <v>366</v>
      </c>
      <c r="D19" s="48">
        <v>11842002</v>
      </c>
      <c r="E19" s="50">
        <v>12</v>
      </c>
      <c r="F19" s="49">
        <v>32</v>
      </c>
      <c r="G19" s="49">
        <v>30</v>
      </c>
      <c r="H19" s="49">
        <v>21</v>
      </c>
      <c r="J19" s="51">
        <f t="shared" si="0"/>
        <v>20.8661925</v>
      </c>
      <c r="K19" s="52">
        <f t="shared" si="1"/>
        <v>1.8795193582976932</v>
      </c>
      <c r="L19" s="49">
        <f t="shared" si="2"/>
        <v>22257272</v>
      </c>
      <c r="M19" s="49">
        <f t="shared" si="3"/>
        <v>4313280</v>
      </c>
      <c r="N19" s="53">
        <v>9684544</v>
      </c>
      <c r="O19" s="54">
        <v>22257272</v>
      </c>
      <c r="P19" s="54">
        <v>2177288</v>
      </c>
      <c r="Q19" s="54">
        <v>0</v>
      </c>
      <c r="R19" s="54">
        <v>2135992</v>
      </c>
      <c r="S19" s="54">
        <v>17927952</v>
      </c>
      <c r="T19" s="54">
        <v>16040</v>
      </c>
      <c r="U19" s="55">
        <v>79.739226700000003</v>
      </c>
      <c r="V19" s="55">
        <v>82.522904299999993</v>
      </c>
      <c r="W19" s="55">
        <v>42.923093199999997</v>
      </c>
      <c r="X19" s="55">
        <v>46.578219099999998</v>
      </c>
      <c r="Y19" s="55">
        <v>50.529586100000003</v>
      </c>
      <c r="Z19" s="55">
        <v>49.956420000000001</v>
      </c>
      <c r="AA19" s="55">
        <v>38.8397632</v>
      </c>
      <c r="AB19" s="56">
        <v>1723.6061010000001</v>
      </c>
      <c r="AC19" s="56">
        <v>11.725277</v>
      </c>
      <c r="AE19" s="51" t="str">
        <f t="shared" si="4"/>
        <v>·</v>
      </c>
      <c r="AF19" s="52" t="str">
        <f t="shared" si="5"/>
        <v>·</v>
      </c>
      <c r="AG19" s="49" t="str">
        <f t="shared" si="6"/>
        <v>.</v>
      </c>
      <c r="AH19" s="49" t="str">
        <f t="shared" si="7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8"/>
        <v>0</v>
      </c>
      <c r="BQ19" s="57">
        <f t="shared" si="9"/>
        <v>0</v>
      </c>
      <c r="BR19" s="57">
        <f t="shared" si="10"/>
        <v>0</v>
      </c>
      <c r="BS19" s="57">
        <f t="shared" si="11"/>
        <v>0</v>
      </c>
      <c r="BT19" s="57">
        <f t="shared" si="11"/>
        <v>0</v>
      </c>
    </row>
    <row r="20" spans="1:72" ht="15" customHeight="1" x14ac:dyDescent="0.15">
      <c r="A20" s="33"/>
      <c r="B20" s="33" t="s">
        <v>56</v>
      </c>
      <c r="C20" s="35" t="s">
        <v>362</v>
      </c>
      <c r="D20" s="33">
        <v>11812090</v>
      </c>
      <c r="E20" s="34">
        <v>12</v>
      </c>
      <c r="F20" s="35">
        <v>32</v>
      </c>
      <c r="G20" s="35">
        <v>30</v>
      </c>
      <c r="H20" s="35">
        <v>3</v>
      </c>
      <c r="J20" s="36">
        <f t="shared" si="0"/>
        <v>2.9547224999999999</v>
      </c>
      <c r="K20" s="37">
        <f t="shared" si="1"/>
        <v>0.26682018169519534</v>
      </c>
      <c r="L20" s="35">
        <f t="shared" si="2"/>
        <v>3151704</v>
      </c>
      <c r="M20" s="35">
        <f t="shared" si="3"/>
        <v>1173456</v>
      </c>
      <c r="N20" s="46">
        <v>2417984</v>
      </c>
      <c r="O20" s="38">
        <v>3151704</v>
      </c>
      <c r="P20" s="38">
        <v>670496</v>
      </c>
      <c r="Q20" s="38">
        <v>0</v>
      </c>
      <c r="R20" s="38">
        <v>502960</v>
      </c>
      <c r="S20" s="38">
        <v>1962488</v>
      </c>
      <c r="T20" s="38">
        <v>15760</v>
      </c>
      <c r="U20" s="47">
        <v>71.328216299999994</v>
      </c>
      <c r="V20" s="47">
        <v>72.652432399999995</v>
      </c>
      <c r="W20" s="47">
        <v>34.468015100000002</v>
      </c>
      <c r="X20" s="47">
        <v>42.830331399999999</v>
      </c>
      <c r="Y20" s="47">
        <v>44.083220900000001</v>
      </c>
      <c r="Z20" s="47">
        <v>48.234563899999998</v>
      </c>
      <c r="AA20" s="47">
        <v>31.351216600000001</v>
      </c>
      <c r="AB20" s="39">
        <v>383.56932699999999</v>
      </c>
      <c r="AC20" s="39">
        <v>4.1988640000000004</v>
      </c>
      <c r="AE20" s="36" t="str">
        <f t="shared" si="4"/>
        <v>·</v>
      </c>
      <c r="AF20" s="37" t="str">
        <f t="shared" si="5"/>
        <v>·</v>
      </c>
      <c r="AG20" s="35" t="str">
        <f t="shared" si="6"/>
        <v>.</v>
      </c>
      <c r="AH20" s="35" t="str">
        <f t="shared" si="7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8"/>
        <v>0</v>
      </c>
      <c r="BQ20" s="40">
        <f t="shared" si="9"/>
        <v>0</v>
      </c>
      <c r="BR20" s="40">
        <f t="shared" si="10"/>
        <v>0</v>
      </c>
      <c r="BS20" s="40">
        <f t="shared" si="11"/>
        <v>0</v>
      </c>
      <c r="BT20" s="40">
        <f t="shared" si="11"/>
        <v>0</v>
      </c>
    </row>
    <row r="21" spans="1:72" ht="15" customHeight="1" outlineLevel="1" x14ac:dyDescent="0.15">
      <c r="A21" s="17"/>
      <c r="B21" s="17" t="s">
        <v>56</v>
      </c>
      <c r="C21" s="19" t="s">
        <v>363</v>
      </c>
      <c r="D21" s="17">
        <v>11812090</v>
      </c>
      <c r="E21" s="18">
        <v>12</v>
      </c>
      <c r="F21" s="19">
        <v>32</v>
      </c>
      <c r="G21" s="19">
        <v>30</v>
      </c>
      <c r="H21" s="19">
        <v>5</v>
      </c>
      <c r="J21" s="20">
        <f t="shared" si="0"/>
        <v>4.9907775000000001</v>
      </c>
      <c r="K21" s="21">
        <f t="shared" si="1"/>
        <v>0.45068197076046662</v>
      </c>
      <c r="L21" s="19">
        <f t="shared" si="2"/>
        <v>5323496</v>
      </c>
      <c r="M21" s="19">
        <f t="shared" si="3"/>
        <v>1286888</v>
      </c>
      <c r="N21" s="44">
        <v>2417984</v>
      </c>
      <c r="O21" s="22">
        <v>5323496</v>
      </c>
      <c r="P21" s="22">
        <v>731608</v>
      </c>
      <c r="Q21" s="22">
        <v>0</v>
      </c>
      <c r="R21" s="22">
        <v>555280</v>
      </c>
      <c r="S21" s="22">
        <v>4020504</v>
      </c>
      <c r="T21" s="22">
        <v>16104</v>
      </c>
      <c r="U21" s="45">
        <v>71.801277799999994</v>
      </c>
      <c r="V21" s="45">
        <v>73.172701399999994</v>
      </c>
      <c r="W21" s="45">
        <v>37.366839499999998</v>
      </c>
      <c r="X21" s="45">
        <v>44.015212900000002</v>
      </c>
      <c r="Y21" s="45">
        <v>45.969679900000003</v>
      </c>
      <c r="Z21" s="45">
        <v>48.490112400000001</v>
      </c>
      <c r="AA21" s="45">
        <v>32.587217600000002</v>
      </c>
      <c r="AB21" s="23">
        <v>1336.21228</v>
      </c>
      <c r="AC21" s="23">
        <v>7.8422710000000002</v>
      </c>
      <c r="AE21" s="20" t="str">
        <f t="shared" si="4"/>
        <v>·</v>
      </c>
      <c r="AF21" s="21" t="str">
        <f t="shared" si="5"/>
        <v>·</v>
      </c>
      <c r="AG21" s="19" t="str">
        <f t="shared" si="6"/>
        <v>.</v>
      </c>
      <c r="AH21" s="19" t="str">
        <f t="shared" si="7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8"/>
        <v>0</v>
      </c>
      <c r="BQ21" s="24">
        <f t="shared" si="9"/>
        <v>0</v>
      </c>
      <c r="BR21" s="24">
        <f t="shared" si="10"/>
        <v>0</v>
      </c>
      <c r="BS21" s="24">
        <f t="shared" si="11"/>
        <v>0</v>
      </c>
      <c r="BT21" s="24">
        <f t="shared" si="11"/>
        <v>0</v>
      </c>
    </row>
    <row r="22" spans="1:72" ht="15" customHeight="1" outlineLevel="1" x14ac:dyDescent="0.15">
      <c r="A22" s="33"/>
      <c r="B22" s="33" t="s">
        <v>56</v>
      </c>
      <c r="C22" s="35" t="s">
        <v>364</v>
      </c>
      <c r="D22" s="33">
        <v>11812090</v>
      </c>
      <c r="E22" s="34">
        <v>12</v>
      </c>
      <c r="F22" s="35">
        <v>32</v>
      </c>
      <c r="G22" s="35">
        <v>30</v>
      </c>
      <c r="H22" s="35">
        <v>10</v>
      </c>
      <c r="J22" s="36">
        <f t="shared" si="0"/>
        <v>9.9513525000000005</v>
      </c>
      <c r="K22" s="37">
        <f t="shared" si="1"/>
        <v>0.89863656643320533</v>
      </c>
      <c r="L22" s="35">
        <f t="shared" si="2"/>
        <v>10614776</v>
      </c>
      <c r="M22" s="35">
        <f t="shared" si="3"/>
        <v>2898160</v>
      </c>
      <c r="N22" s="46">
        <v>4836096</v>
      </c>
      <c r="O22" s="38">
        <v>10614776</v>
      </c>
      <c r="P22" s="38">
        <v>1115864</v>
      </c>
      <c r="Q22" s="38">
        <v>0</v>
      </c>
      <c r="R22" s="38">
        <v>1782296</v>
      </c>
      <c r="S22" s="38">
        <v>7701184</v>
      </c>
      <c r="T22" s="38">
        <v>15432</v>
      </c>
      <c r="U22" s="47">
        <v>77.635289200000003</v>
      </c>
      <c r="V22" s="47">
        <v>79.960420499999998</v>
      </c>
      <c r="W22" s="47">
        <v>40.391013200000003</v>
      </c>
      <c r="X22" s="47">
        <v>45.295407699999998</v>
      </c>
      <c r="Y22" s="47">
        <v>48.028618700000003</v>
      </c>
      <c r="Z22" s="47">
        <v>51.616392400000002</v>
      </c>
      <c r="AA22" s="47">
        <v>36.484609599999999</v>
      </c>
      <c r="AB22" s="39">
        <v>1486.1486319999999</v>
      </c>
      <c r="AC22" s="39">
        <v>9.1024560000000001</v>
      </c>
      <c r="AE22" s="36" t="str">
        <f t="shared" si="4"/>
        <v>·</v>
      </c>
      <c r="AF22" s="37" t="str">
        <f t="shared" si="5"/>
        <v>·</v>
      </c>
      <c r="AG22" s="35" t="str">
        <f t="shared" si="6"/>
        <v>.</v>
      </c>
      <c r="AH22" s="35" t="str">
        <f t="shared" si="7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8"/>
        <v>0</v>
      </c>
      <c r="BQ22" s="40">
        <f t="shared" si="9"/>
        <v>0</v>
      </c>
      <c r="BR22" s="40">
        <f t="shared" si="10"/>
        <v>0</v>
      </c>
      <c r="BS22" s="40">
        <f t="shared" si="11"/>
        <v>0</v>
      </c>
      <c r="BT22" s="40">
        <f t="shared" si="11"/>
        <v>0</v>
      </c>
    </row>
    <row r="23" spans="1:72" ht="15" customHeight="1" outlineLevel="1" x14ac:dyDescent="0.15">
      <c r="A23" s="17"/>
      <c r="B23" s="17" t="s">
        <v>56</v>
      </c>
      <c r="C23" s="19" t="s">
        <v>365</v>
      </c>
      <c r="D23" s="17">
        <v>11812090</v>
      </c>
      <c r="E23" s="18">
        <v>12</v>
      </c>
      <c r="F23" s="19">
        <v>32</v>
      </c>
      <c r="G23" s="19">
        <v>30</v>
      </c>
      <c r="H23" s="19">
        <v>14</v>
      </c>
      <c r="J23" s="20">
        <f t="shared" si="0"/>
        <v>13.8244875</v>
      </c>
      <c r="K23" s="21">
        <f t="shared" si="1"/>
        <v>1.2483921135040454</v>
      </c>
      <c r="L23" s="19">
        <f t="shared" si="2"/>
        <v>14746120</v>
      </c>
      <c r="M23" s="19">
        <f t="shared" si="3"/>
        <v>3982528</v>
      </c>
      <c r="N23" s="44">
        <v>9673280</v>
      </c>
      <c r="O23" s="22">
        <v>14746120</v>
      </c>
      <c r="P23" s="22">
        <v>2360840</v>
      </c>
      <c r="Q23" s="22">
        <v>0</v>
      </c>
      <c r="R23" s="22">
        <v>1621688</v>
      </c>
      <c r="S23" s="22">
        <v>10747832</v>
      </c>
      <c r="T23" s="22">
        <v>15760</v>
      </c>
      <c r="U23" s="45">
        <v>78.794451600000002</v>
      </c>
      <c r="V23" s="45">
        <v>81.541468399999999</v>
      </c>
      <c r="W23" s="45">
        <v>41.4498447</v>
      </c>
      <c r="X23" s="45">
        <v>45.804929799999996</v>
      </c>
      <c r="Y23" s="45">
        <v>48.735763300000002</v>
      </c>
      <c r="Z23" s="45">
        <v>52.565861400000003</v>
      </c>
      <c r="AA23" s="45">
        <v>37.531763300000001</v>
      </c>
      <c r="AB23" s="23">
        <v>1686.8269110000001</v>
      </c>
      <c r="AC23" s="23">
        <v>12.09449</v>
      </c>
      <c r="AE23" s="20" t="str">
        <f t="shared" si="4"/>
        <v>·</v>
      </c>
      <c r="AF23" s="21" t="str">
        <f t="shared" si="5"/>
        <v>·</v>
      </c>
      <c r="AG23" s="19" t="str">
        <f t="shared" si="6"/>
        <v>.</v>
      </c>
      <c r="AH23" s="19" t="str">
        <f t="shared" si="7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8"/>
        <v>0</v>
      </c>
      <c r="BQ23" s="24">
        <f t="shared" si="9"/>
        <v>0</v>
      </c>
      <c r="BR23" s="24">
        <f t="shared" si="10"/>
        <v>0</v>
      </c>
      <c r="BS23" s="24">
        <f t="shared" si="11"/>
        <v>0</v>
      </c>
      <c r="BT23" s="24">
        <f t="shared" si="11"/>
        <v>0</v>
      </c>
    </row>
    <row r="24" spans="1:72" ht="15.75" customHeight="1" outlineLevel="1" thickBot="1" x14ac:dyDescent="0.2">
      <c r="A24" s="25"/>
      <c r="B24" s="25" t="s">
        <v>56</v>
      </c>
      <c r="C24" s="27" t="s">
        <v>366</v>
      </c>
      <c r="D24" s="25">
        <v>11812090</v>
      </c>
      <c r="E24" s="26">
        <v>12</v>
      </c>
      <c r="F24" s="27">
        <v>32</v>
      </c>
      <c r="G24" s="27">
        <v>30</v>
      </c>
      <c r="H24" s="27">
        <v>21</v>
      </c>
      <c r="J24" s="28">
        <f t="shared" si="0"/>
        <v>20.503702499999999</v>
      </c>
      <c r="K24" s="29">
        <f t="shared" si="1"/>
        <v>1.851544984841802</v>
      </c>
      <c r="L24" s="27">
        <f t="shared" si="2"/>
        <v>21870616</v>
      </c>
      <c r="M24" s="27">
        <f t="shared" si="3"/>
        <v>4239192</v>
      </c>
      <c r="N24" s="58">
        <v>9673280</v>
      </c>
      <c r="O24" s="30">
        <v>21870616</v>
      </c>
      <c r="P24" s="30">
        <v>2126896</v>
      </c>
      <c r="Q24" s="30">
        <v>0</v>
      </c>
      <c r="R24" s="30">
        <v>2112296</v>
      </c>
      <c r="S24" s="30">
        <v>17615528</v>
      </c>
      <c r="T24" s="30">
        <v>15896</v>
      </c>
      <c r="U24" s="59">
        <v>79.475194299999998</v>
      </c>
      <c r="V24" s="59">
        <v>82.535292799999993</v>
      </c>
      <c r="W24" s="59">
        <v>42.446109999999997</v>
      </c>
      <c r="X24" s="59">
        <v>46.893190500000003</v>
      </c>
      <c r="Y24" s="59">
        <v>50.080529499999997</v>
      </c>
      <c r="Z24" s="59">
        <v>52.980305999999999</v>
      </c>
      <c r="AA24" s="59">
        <v>38.276248299999999</v>
      </c>
      <c r="AB24" s="31">
        <v>1750.7839260000001</v>
      </c>
      <c r="AC24" s="31">
        <v>17.121469000000001</v>
      </c>
      <c r="AE24" s="28" t="str">
        <f t="shared" si="4"/>
        <v>·</v>
      </c>
      <c r="AF24" s="29" t="str">
        <f t="shared" si="5"/>
        <v>·</v>
      </c>
      <c r="AG24" s="27" t="str">
        <f t="shared" si="6"/>
        <v>.</v>
      </c>
      <c r="AH24" s="27" t="str">
        <f t="shared" si="7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8"/>
        <v>0</v>
      </c>
      <c r="BQ24" s="32">
        <f t="shared" si="9"/>
        <v>0</v>
      </c>
      <c r="BR24" s="32">
        <f t="shared" si="10"/>
        <v>0</v>
      </c>
      <c r="BS24" s="32">
        <f t="shared" si="11"/>
        <v>0</v>
      </c>
      <c r="BT24" s="32">
        <f t="shared" si="11"/>
        <v>0</v>
      </c>
    </row>
    <row r="25" spans="1:72" ht="15" customHeight="1" x14ac:dyDescent="0.15">
      <c r="A25" s="17" t="s">
        <v>177</v>
      </c>
      <c r="B25" s="17" t="s">
        <v>61</v>
      </c>
      <c r="C25" s="19" t="s">
        <v>362</v>
      </c>
      <c r="D25" s="17">
        <v>12000000</v>
      </c>
      <c r="E25" s="18">
        <v>12</v>
      </c>
      <c r="F25" s="19">
        <v>32</v>
      </c>
      <c r="G25" s="19">
        <v>30</v>
      </c>
      <c r="H25" s="19">
        <v>4</v>
      </c>
      <c r="J25" s="20">
        <f t="shared" si="0"/>
        <v>4.1184675000000004</v>
      </c>
      <c r="K25" s="21">
        <f t="shared" si="1"/>
        <v>0.36608600000000002</v>
      </c>
      <c r="L25" s="19">
        <f t="shared" si="2"/>
        <v>4393032</v>
      </c>
      <c r="M25" s="19">
        <f t="shared" si="3"/>
        <v>1305104</v>
      </c>
      <c r="N25" s="44">
        <v>2455232</v>
      </c>
      <c r="O25" s="22">
        <v>4393032</v>
      </c>
      <c r="P25" s="22">
        <v>688176</v>
      </c>
      <c r="Q25" s="22">
        <v>0</v>
      </c>
      <c r="R25" s="22">
        <v>616928</v>
      </c>
      <c r="S25" s="22">
        <v>3072584</v>
      </c>
      <c r="T25" s="22">
        <v>15344</v>
      </c>
      <c r="U25" s="45">
        <v>73.798544000000007</v>
      </c>
      <c r="V25" s="45">
        <v>75.671620000000004</v>
      </c>
      <c r="W25" s="45">
        <v>31.469800599999999</v>
      </c>
      <c r="X25" s="45">
        <v>40.592736199999997</v>
      </c>
      <c r="Y25" s="45">
        <v>36.912295899999997</v>
      </c>
      <c r="Z25" s="45">
        <v>44.572665100000002</v>
      </c>
      <c r="AA25" s="45">
        <v>28.692366199999999</v>
      </c>
      <c r="AB25" s="23">
        <v>482.94547</v>
      </c>
      <c r="AC25" s="23">
        <v>4.5121900000000004</v>
      </c>
      <c r="AE25" s="20" t="str">
        <f t="shared" si="4"/>
        <v>·</v>
      </c>
      <c r="AF25" s="21" t="str">
        <f t="shared" si="5"/>
        <v>·</v>
      </c>
      <c r="AG25" s="19" t="str">
        <f t="shared" si="6"/>
        <v>.</v>
      </c>
      <c r="AH25" s="19" t="str">
        <f t="shared" si="7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8"/>
        <v>0</v>
      </c>
      <c r="BQ25" s="24">
        <f t="shared" si="9"/>
        <v>0</v>
      </c>
      <c r="BR25" s="24">
        <f t="shared" si="10"/>
        <v>0</v>
      </c>
      <c r="BS25" s="24">
        <f t="shared" si="11"/>
        <v>0</v>
      </c>
      <c r="BT25" s="24">
        <f t="shared" si="11"/>
        <v>0</v>
      </c>
    </row>
    <row r="26" spans="1:72" ht="15" customHeight="1" outlineLevel="1" x14ac:dyDescent="0.15">
      <c r="A26" s="33"/>
      <c r="B26" s="33" t="s">
        <v>61</v>
      </c>
      <c r="C26" s="35" t="s">
        <v>363</v>
      </c>
      <c r="D26" s="33">
        <v>12000000</v>
      </c>
      <c r="E26" s="34">
        <v>12</v>
      </c>
      <c r="F26" s="35">
        <v>32</v>
      </c>
      <c r="G26" s="35">
        <v>30</v>
      </c>
      <c r="H26" s="35">
        <v>8</v>
      </c>
      <c r="J26" s="36">
        <f t="shared" si="0"/>
        <v>8.1393074999999993</v>
      </c>
      <c r="K26" s="37">
        <f t="shared" si="1"/>
        <v>0.72349399999999997</v>
      </c>
      <c r="L26" s="35">
        <f t="shared" si="2"/>
        <v>8681928</v>
      </c>
      <c r="M26" s="35">
        <f t="shared" si="3"/>
        <v>2163104</v>
      </c>
      <c r="N26" s="46">
        <v>4912768</v>
      </c>
      <c r="O26" s="38">
        <v>8681928</v>
      </c>
      <c r="P26" s="38">
        <v>1154312</v>
      </c>
      <c r="Q26" s="38">
        <v>0</v>
      </c>
      <c r="R26" s="38">
        <v>1008792</v>
      </c>
      <c r="S26" s="38">
        <v>6503232</v>
      </c>
      <c r="T26" s="38">
        <v>15592</v>
      </c>
      <c r="U26" s="47">
        <v>77.101264200000003</v>
      </c>
      <c r="V26" s="47">
        <v>79.651988399999993</v>
      </c>
      <c r="W26" s="47">
        <v>33.979042300000003</v>
      </c>
      <c r="X26" s="47">
        <v>42.451695700000002</v>
      </c>
      <c r="Y26" s="47">
        <v>39.812803899999999</v>
      </c>
      <c r="Z26" s="47">
        <v>46.233609700000002</v>
      </c>
      <c r="AA26" s="47">
        <v>31.465004</v>
      </c>
      <c r="AB26" s="39">
        <v>1650.5798259999999</v>
      </c>
      <c r="AC26" s="39">
        <v>9.6507319999999996</v>
      </c>
      <c r="AE26" s="36" t="str">
        <f t="shared" si="4"/>
        <v>·</v>
      </c>
      <c r="AF26" s="37" t="str">
        <f t="shared" si="5"/>
        <v>·</v>
      </c>
      <c r="AG26" s="35" t="str">
        <f t="shared" si="6"/>
        <v>.</v>
      </c>
      <c r="AH26" s="35" t="str">
        <f t="shared" si="7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8"/>
        <v>0</v>
      </c>
      <c r="BQ26" s="40">
        <f t="shared" si="9"/>
        <v>0</v>
      </c>
      <c r="BR26" s="40">
        <f t="shared" si="10"/>
        <v>0</v>
      </c>
      <c r="BS26" s="40">
        <f t="shared" si="11"/>
        <v>0</v>
      </c>
      <c r="BT26" s="40">
        <f t="shared" si="11"/>
        <v>0</v>
      </c>
    </row>
    <row r="27" spans="1:72" ht="15" customHeight="1" outlineLevel="1" x14ac:dyDescent="0.15">
      <c r="A27" s="17"/>
      <c r="B27" s="17" t="s">
        <v>61</v>
      </c>
      <c r="C27" s="19" t="s">
        <v>364</v>
      </c>
      <c r="D27" s="17">
        <v>12000000</v>
      </c>
      <c r="E27" s="18">
        <v>12</v>
      </c>
      <c r="F27" s="19">
        <v>32</v>
      </c>
      <c r="G27" s="19">
        <v>30</v>
      </c>
      <c r="H27" s="19">
        <v>12</v>
      </c>
      <c r="J27" s="20">
        <f t="shared" si="0"/>
        <v>11.841457500000001</v>
      </c>
      <c r="K27" s="21">
        <f t="shared" si="1"/>
        <v>1.0525739999999999</v>
      </c>
      <c r="L27" s="19">
        <f t="shared" si="2"/>
        <v>12630888</v>
      </c>
      <c r="M27" s="19">
        <f t="shared" si="3"/>
        <v>2984680</v>
      </c>
      <c r="N27" s="44">
        <v>9827968</v>
      </c>
      <c r="O27" s="22">
        <v>12630888</v>
      </c>
      <c r="P27" s="22">
        <v>2180704</v>
      </c>
      <c r="Q27" s="22">
        <v>0</v>
      </c>
      <c r="R27" s="22">
        <v>803976</v>
      </c>
      <c r="S27" s="22">
        <v>9630152</v>
      </c>
      <c r="T27" s="22">
        <v>16056</v>
      </c>
      <c r="U27" s="45">
        <v>78.453706499999996</v>
      </c>
      <c r="V27" s="45">
        <v>81.358260099999995</v>
      </c>
      <c r="W27" s="45">
        <v>34.863677600000003</v>
      </c>
      <c r="X27" s="45">
        <v>43.664394600000001</v>
      </c>
      <c r="Y27" s="45">
        <v>41.593992299999996</v>
      </c>
      <c r="Z27" s="45">
        <v>47.5665494</v>
      </c>
      <c r="AA27" s="45">
        <v>32.548197799999997</v>
      </c>
      <c r="AB27" s="23">
        <v>5491.1404190000003</v>
      </c>
      <c r="AC27" s="23">
        <v>31.249987999999998</v>
      </c>
      <c r="AE27" s="20" t="str">
        <f t="shared" si="4"/>
        <v>·</v>
      </c>
      <c r="AF27" s="21" t="str">
        <f t="shared" si="5"/>
        <v>·</v>
      </c>
      <c r="AG27" s="19" t="str">
        <f t="shared" si="6"/>
        <v>.</v>
      </c>
      <c r="AH27" s="19" t="str">
        <f t="shared" si="7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8"/>
        <v>0</v>
      </c>
      <c r="BQ27" s="24">
        <f t="shared" si="9"/>
        <v>0</v>
      </c>
      <c r="BR27" s="24">
        <f t="shared" si="10"/>
        <v>0</v>
      </c>
      <c r="BS27" s="24">
        <f t="shared" si="11"/>
        <v>0</v>
      </c>
      <c r="BT27" s="24">
        <f t="shared" si="11"/>
        <v>0</v>
      </c>
    </row>
    <row r="28" spans="1:72" ht="15" customHeight="1" outlineLevel="1" x14ac:dyDescent="0.15">
      <c r="A28" s="33"/>
      <c r="B28" s="33" t="s">
        <v>61</v>
      </c>
      <c r="C28" s="35" t="s">
        <v>365</v>
      </c>
      <c r="D28" s="33">
        <v>12000000</v>
      </c>
      <c r="E28" s="34">
        <v>12</v>
      </c>
      <c r="F28" s="35">
        <v>32</v>
      </c>
      <c r="G28" s="35">
        <v>30</v>
      </c>
      <c r="H28" s="35">
        <v>17</v>
      </c>
      <c r="J28" s="36">
        <f t="shared" si="0"/>
        <v>16.710345</v>
      </c>
      <c r="K28" s="37">
        <f t="shared" si="1"/>
        <v>1.4853639999999999</v>
      </c>
      <c r="L28" s="35">
        <f t="shared" si="2"/>
        <v>17824368</v>
      </c>
      <c r="M28" s="35">
        <f t="shared" si="3"/>
        <v>4959352</v>
      </c>
      <c r="N28" s="46">
        <v>19659392</v>
      </c>
      <c r="O28" s="38">
        <v>17824368</v>
      </c>
      <c r="P28" s="38">
        <v>4254840</v>
      </c>
      <c r="Q28" s="38">
        <v>0</v>
      </c>
      <c r="R28" s="38">
        <v>704512</v>
      </c>
      <c r="S28" s="38">
        <v>12849120</v>
      </c>
      <c r="T28" s="38">
        <v>15896</v>
      </c>
      <c r="U28" s="47">
        <v>80.386216300000001</v>
      </c>
      <c r="V28" s="47">
        <v>84.091020299999997</v>
      </c>
      <c r="W28" s="47">
        <v>35.6741417</v>
      </c>
      <c r="X28" s="47">
        <v>43.976576999999999</v>
      </c>
      <c r="Y28" s="47">
        <v>42.069283499999997</v>
      </c>
      <c r="Z28" s="47">
        <v>49.4378995</v>
      </c>
      <c r="AA28" s="47">
        <v>33.8129615</v>
      </c>
      <c r="AB28" s="39">
        <v>5816.4203770000004</v>
      </c>
      <c r="AC28" s="39">
        <v>30.688323</v>
      </c>
      <c r="AE28" s="36" t="str">
        <f t="shared" si="4"/>
        <v>·</v>
      </c>
      <c r="AF28" s="37" t="str">
        <f t="shared" si="5"/>
        <v>·</v>
      </c>
      <c r="AG28" s="35" t="str">
        <f t="shared" si="6"/>
        <v>.</v>
      </c>
      <c r="AH28" s="35" t="str">
        <f t="shared" si="7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8"/>
        <v>0</v>
      </c>
      <c r="BQ28" s="40">
        <f t="shared" si="9"/>
        <v>0</v>
      </c>
      <c r="BR28" s="40">
        <f t="shared" si="10"/>
        <v>0</v>
      </c>
      <c r="BS28" s="40">
        <f t="shared" si="11"/>
        <v>0</v>
      </c>
      <c r="BT28" s="40">
        <f t="shared" si="11"/>
        <v>0</v>
      </c>
    </row>
    <row r="29" spans="1:72" ht="15.75" customHeight="1" outlineLevel="1" thickBot="1" x14ac:dyDescent="0.2">
      <c r="A29" s="17"/>
      <c r="B29" s="48" t="s">
        <v>61</v>
      </c>
      <c r="C29" s="49" t="s">
        <v>366</v>
      </c>
      <c r="D29" s="48">
        <v>12000000</v>
      </c>
      <c r="E29" s="50">
        <v>12</v>
      </c>
      <c r="F29" s="49">
        <v>32</v>
      </c>
      <c r="G29" s="49">
        <v>30</v>
      </c>
      <c r="H29" s="49">
        <v>25</v>
      </c>
      <c r="J29" s="51">
        <f t="shared" si="0"/>
        <v>24.629639999999998</v>
      </c>
      <c r="K29" s="52">
        <f t="shared" si="1"/>
        <v>2.1893013333333333</v>
      </c>
      <c r="L29" s="49">
        <f t="shared" si="2"/>
        <v>26271616</v>
      </c>
      <c r="M29" s="49">
        <f t="shared" si="3"/>
        <v>10074488</v>
      </c>
      <c r="N29" s="53">
        <v>14745456</v>
      </c>
      <c r="O29" s="54">
        <v>26271616</v>
      </c>
      <c r="P29" s="54">
        <v>9194888</v>
      </c>
      <c r="Q29" s="54">
        <v>0</v>
      </c>
      <c r="R29" s="54">
        <v>879600</v>
      </c>
      <c r="S29" s="54">
        <v>16184360</v>
      </c>
      <c r="T29" s="54">
        <v>12768</v>
      </c>
      <c r="U29" s="55">
        <v>85.020747</v>
      </c>
      <c r="V29" s="55">
        <v>90.873552700000005</v>
      </c>
      <c r="W29" s="55">
        <v>36.4046752</v>
      </c>
      <c r="X29" s="55">
        <v>44.287499599999997</v>
      </c>
      <c r="Y29" s="55">
        <v>42.531494899999998</v>
      </c>
      <c r="Z29" s="55">
        <v>53.258740199999998</v>
      </c>
      <c r="AA29" s="55">
        <v>35.566614100000002</v>
      </c>
      <c r="AB29" s="56">
        <v>5432.6556659999997</v>
      </c>
      <c r="AC29" s="56">
        <v>28.838629999999998</v>
      </c>
      <c r="AE29" s="51" t="str">
        <f t="shared" si="4"/>
        <v>·</v>
      </c>
      <c r="AF29" s="52" t="str">
        <f t="shared" si="5"/>
        <v>·</v>
      </c>
      <c r="AG29" s="49" t="str">
        <f t="shared" si="6"/>
        <v>.</v>
      </c>
      <c r="AH29" s="49" t="str">
        <f t="shared" si="7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8"/>
        <v>0</v>
      </c>
      <c r="BQ29" s="57">
        <f t="shared" si="9"/>
        <v>0</v>
      </c>
      <c r="BR29" s="57">
        <f t="shared" si="10"/>
        <v>0</v>
      </c>
      <c r="BS29" s="57">
        <f t="shared" si="11"/>
        <v>0</v>
      </c>
      <c r="BT29" s="57">
        <f t="shared" si="11"/>
        <v>0</v>
      </c>
    </row>
    <row r="30" spans="1:72" ht="15" customHeight="1" x14ac:dyDescent="0.15">
      <c r="A30" s="33"/>
      <c r="B30" s="33" t="s">
        <v>66</v>
      </c>
      <c r="C30" s="35" t="s">
        <v>362</v>
      </c>
      <c r="D30" s="33">
        <v>5997654</v>
      </c>
      <c r="E30" s="34">
        <v>12</v>
      </c>
      <c r="F30" s="35">
        <v>32</v>
      </c>
      <c r="G30" s="35">
        <v>30</v>
      </c>
      <c r="H30" s="35">
        <v>4</v>
      </c>
      <c r="J30" s="36">
        <f t="shared" si="0"/>
        <v>3.5115224999999999</v>
      </c>
      <c r="K30" s="37">
        <f t="shared" si="1"/>
        <v>0.62451485197378842</v>
      </c>
      <c r="L30" s="35">
        <f t="shared" si="2"/>
        <v>3745624</v>
      </c>
      <c r="M30" s="35">
        <f t="shared" si="3"/>
        <v>1007024</v>
      </c>
      <c r="N30" s="46">
        <v>2423936</v>
      </c>
      <c r="O30" s="38">
        <v>3745624</v>
      </c>
      <c r="P30" s="38">
        <v>383960</v>
      </c>
      <c r="Q30" s="38">
        <v>62792</v>
      </c>
      <c r="R30" s="38">
        <v>560272</v>
      </c>
      <c r="S30" s="38">
        <v>2722840</v>
      </c>
      <c r="T30" s="38">
        <v>15760</v>
      </c>
      <c r="U30" s="47">
        <v>74.090063400000005</v>
      </c>
      <c r="V30" s="47">
        <v>75.741861599999993</v>
      </c>
      <c r="W30" s="47">
        <v>38.708687099999999</v>
      </c>
      <c r="X30" s="47">
        <v>44.540171399999998</v>
      </c>
      <c r="Y30" s="47">
        <v>43.1523167</v>
      </c>
      <c r="Z30" s="47">
        <v>47.064246599999997</v>
      </c>
      <c r="AA30" s="47">
        <v>35.1494748</v>
      </c>
      <c r="AB30" s="39">
        <v>1101.89733</v>
      </c>
      <c r="AC30" s="39">
        <v>7.418463</v>
      </c>
      <c r="AE30" s="36" t="str">
        <f t="shared" si="4"/>
        <v>·</v>
      </c>
      <c r="AF30" s="37" t="str">
        <f t="shared" si="5"/>
        <v>·</v>
      </c>
      <c r="AG30" s="35" t="str">
        <f t="shared" si="6"/>
        <v>.</v>
      </c>
      <c r="AH30" s="35" t="str">
        <f t="shared" si="7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8"/>
        <v>0</v>
      </c>
      <c r="BQ30" s="40">
        <f t="shared" si="9"/>
        <v>0</v>
      </c>
      <c r="BR30" s="40">
        <f t="shared" si="10"/>
        <v>0</v>
      </c>
      <c r="BS30" s="40">
        <f t="shared" si="11"/>
        <v>0</v>
      </c>
      <c r="BT30" s="40">
        <f t="shared" si="11"/>
        <v>0</v>
      </c>
    </row>
    <row r="31" spans="1:72" ht="15" customHeight="1" outlineLevel="1" x14ac:dyDescent="0.15">
      <c r="A31" s="17"/>
      <c r="B31" s="17" t="s">
        <v>66</v>
      </c>
      <c r="C31" s="19" t="s">
        <v>363</v>
      </c>
      <c r="D31" s="17">
        <v>5997654</v>
      </c>
      <c r="E31" s="18">
        <v>12</v>
      </c>
      <c r="F31" s="19">
        <v>32</v>
      </c>
      <c r="G31" s="19">
        <v>30</v>
      </c>
      <c r="H31" s="19">
        <v>8</v>
      </c>
      <c r="J31" s="20">
        <f t="shared" si="0"/>
        <v>7.1951925000000001</v>
      </c>
      <c r="K31" s="21">
        <f t="shared" si="1"/>
        <v>1.2796456747921772</v>
      </c>
      <c r="L31" s="19">
        <f t="shared" si="2"/>
        <v>7674872</v>
      </c>
      <c r="M31" s="19">
        <f t="shared" si="3"/>
        <v>1648344</v>
      </c>
      <c r="N31" s="44">
        <v>1220960</v>
      </c>
      <c r="O31" s="22">
        <v>7674872</v>
      </c>
      <c r="P31" s="22">
        <v>699504</v>
      </c>
      <c r="Q31" s="22">
        <v>87416</v>
      </c>
      <c r="R31" s="22">
        <v>861424</v>
      </c>
      <c r="S31" s="22">
        <v>6013400</v>
      </c>
      <c r="T31" s="22">
        <v>13128</v>
      </c>
      <c r="U31" s="45">
        <v>76.487099900000004</v>
      </c>
      <c r="V31" s="45">
        <v>78.559612999999999</v>
      </c>
      <c r="W31" s="45">
        <v>41.062518300000001</v>
      </c>
      <c r="X31" s="45">
        <v>45.878783599999998</v>
      </c>
      <c r="Y31" s="45">
        <v>44.721227900000002</v>
      </c>
      <c r="Z31" s="45">
        <v>48.3597076</v>
      </c>
      <c r="AA31" s="45">
        <v>36.813919599999998</v>
      </c>
      <c r="AB31" s="23">
        <v>1698.8162709999999</v>
      </c>
      <c r="AC31" s="23">
        <v>7.7729720000000002</v>
      </c>
      <c r="AE31" s="20" t="str">
        <f t="shared" si="4"/>
        <v>·</v>
      </c>
      <c r="AF31" s="21" t="str">
        <f t="shared" si="5"/>
        <v>·</v>
      </c>
      <c r="AG31" s="19" t="str">
        <f t="shared" si="6"/>
        <v>.</v>
      </c>
      <c r="AH31" s="19" t="str">
        <f t="shared" si="7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8"/>
        <v>0</v>
      </c>
      <c r="BQ31" s="24">
        <f t="shared" si="9"/>
        <v>0</v>
      </c>
      <c r="BR31" s="24">
        <f t="shared" si="10"/>
        <v>0</v>
      </c>
      <c r="BS31" s="24">
        <f t="shared" si="11"/>
        <v>0</v>
      </c>
      <c r="BT31" s="24">
        <f t="shared" si="11"/>
        <v>0</v>
      </c>
    </row>
    <row r="32" spans="1:72" ht="15" customHeight="1" outlineLevel="1" x14ac:dyDescent="0.15">
      <c r="A32" s="33"/>
      <c r="B32" s="33" t="s">
        <v>66</v>
      </c>
      <c r="C32" s="35" t="s">
        <v>364</v>
      </c>
      <c r="D32" s="33">
        <v>5997654</v>
      </c>
      <c r="E32" s="34">
        <v>12</v>
      </c>
      <c r="F32" s="35">
        <v>32</v>
      </c>
      <c r="G32" s="35">
        <v>30</v>
      </c>
      <c r="H32" s="35">
        <v>12</v>
      </c>
      <c r="J32" s="36">
        <f t="shared" si="0"/>
        <v>11.127292499999999</v>
      </c>
      <c r="K32" s="37">
        <f t="shared" si="1"/>
        <v>1.9789591063439138</v>
      </c>
      <c r="L32" s="35">
        <f t="shared" si="2"/>
        <v>11869112</v>
      </c>
      <c r="M32" s="35">
        <f t="shared" si="3"/>
        <v>3322416</v>
      </c>
      <c r="N32" s="46">
        <v>4908848</v>
      </c>
      <c r="O32" s="38">
        <v>11869112</v>
      </c>
      <c r="P32" s="38">
        <v>2203424</v>
      </c>
      <c r="Q32" s="38">
        <v>222896</v>
      </c>
      <c r="R32" s="38">
        <v>896096</v>
      </c>
      <c r="S32" s="38">
        <v>8533816</v>
      </c>
      <c r="T32" s="38">
        <v>12880</v>
      </c>
      <c r="U32" s="47">
        <v>79.996101899999999</v>
      </c>
      <c r="V32" s="47">
        <v>83.003164699999999</v>
      </c>
      <c r="W32" s="47">
        <v>42.250596799999997</v>
      </c>
      <c r="X32" s="47">
        <v>46.655808899999997</v>
      </c>
      <c r="Y32" s="47">
        <v>45.719240499999998</v>
      </c>
      <c r="Z32" s="47">
        <v>50.723481499999998</v>
      </c>
      <c r="AA32" s="47">
        <v>39.125093900000003</v>
      </c>
      <c r="AB32" s="39">
        <v>5046.3091759999998</v>
      </c>
      <c r="AC32" s="39">
        <v>28.324121999999999</v>
      </c>
      <c r="AE32" s="36" t="str">
        <f t="shared" si="4"/>
        <v>·</v>
      </c>
      <c r="AF32" s="37" t="str">
        <f t="shared" si="5"/>
        <v>·</v>
      </c>
      <c r="AG32" s="35" t="str">
        <f t="shared" si="6"/>
        <v>.</v>
      </c>
      <c r="AH32" s="35" t="str">
        <f t="shared" si="7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8"/>
        <v>0</v>
      </c>
      <c r="BQ32" s="40">
        <f t="shared" si="9"/>
        <v>0</v>
      </c>
      <c r="BR32" s="40">
        <f t="shared" si="10"/>
        <v>0</v>
      </c>
      <c r="BS32" s="40">
        <f t="shared" si="11"/>
        <v>0</v>
      </c>
      <c r="BT32" s="40">
        <f t="shared" si="11"/>
        <v>0</v>
      </c>
    </row>
    <row r="33" spans="1:72" ht="15" customHeight="1" outlineLevel="1" x14ac:dyDescent="0.15">
      <c r="A33" s="17"/>
      <c r="B33" s="17" t="s">
        <v>66</v>
      </c>
      <c r="C33" s="19" t="s">
        <v>365</v>
      </c>
      <c r="D33" s="17">
        <v>5997654</v>
      </c>
      <c r="E33" s="18">
        <v>12</v>
      </c>
      <c r="F33" s="19">
        <v>32</v>
      </c>
      <c r="G33" s="19">
        <v>30</v>
      </c>
      <c r="H33" s="19">
        <v>17</v>
      </c>
      <c r="J33" s="20">
        <f t="shared" si="0"/>
        <v>15.6410775</v>
      </c>
      <c r="K33" s="21">
        <f t="shared" si="1"/>
        <v>2.7817236539486938</v>
      </c>
      <c r="L33" s="19">
        <f t="shared" si="2"/>
        <v>16683816</v>
      </c>
      <c r="M33" s="19">
        <f t="shared" si="3"/>
        <v>4270680</v>
      </c>
      <c r="N33" s="44">
        <v>4908848</v>
      </c>
      <c r="O33" s="22">
        <v>16683816</v>
      </c>
      <c r="P33" s="22">
        <v>2203424</v>
      </c>
      <c r="Q33" s="22">
        <v>222896</v>
      </c>
      <c r="R33" s="22">
        <v>1844360</v>
      </c>
      <c r="S33" s="22">
        <v>12399944</v>
      </c>
      <c r="T33" s="22">
        <v>13192</v>
      </c>
      <c r="U33" s="45">
        <v>81.367359800000003</v>
      </c>
      <c r="V33" s="45">
        <v>85.184606900000006</v>
      </c>
      <c r="W33" s="45">
        <v>43.2484599</v>
      </c>
      <c r="X33" s="45">
        <v>47.722363399999999</v>
      </c>
      <c r="Y33" s="45">
        <v>46.925965599999998</v>
      </c>
      <c r="Z33" s="45">
        <v>51.724435900000003</v>
      </c>
      <c r="AA33" s="45">
        <v>40.300434600000003</v>
      </c>
      <c r="AB33" s="23">
        <v>4964.2100700000001</v>
      </c>
      <c r="AC33" s="23">
        <v>27.108817999999999</v>
      </c>
      <c r="AE33" s="20" t="str">
        <f t="shared" si="4"/>
        <v>·</v>
      </c>
      <c r="AF33" s="21" t="str">
        <f t="shared" si="5"/>
        <v>·</v>
      </c>
      <c r="AG33" s="19" t="str">
        <f t="shared" si="6"/>
        <v>.</v>
      </c>
      <c r="AH33" s="19" t="str">
        <f t="shared" si="7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8"/>
        <v>0</v>
      </c>
      <c r="BQ33" s="24">
        <f t="shared" si="9"/>
        <v>0</v>
      </c>
      <c r="BR33" s="24">
        <f t="shared" si="10"/>
        <v>0</v>
      </c>
      <c r="BS33" s="24">
        <f t="shared" si="11"/>
        <v>0</v>
      </c>
      <c r="BT33" s="24">
        <f t="shared" si="11"/>
        <v>0</v>
      </c>
    </row>
    <row r="34" spans="1:72" ht="15.75" customHeight="1" outlineLevel="1" thickBot="1" x14ac:dyDescent="0.2">
      <c r="A34" s="33"/>
      <c r="B34" s="25" t="s">
        <v>66</v>
      </c>
      <c r="C34" s="27" t="s">
        <v>366</v>
      </c>
      <c r="D34" s="25">
        <v>5997654</v>
      </c>
      <c r="E34" s="26">
        <v>12</v>
      </c>
      <c r="F34" s="27">
        <v>32</v>
      </c>
      <c r="G34" s="27">
        <v>30</v>
      </c>
      <c r="H34" s="27">
        <v>25</v>
      </c>
      <c r="J34" s="28">
        <f t="shared" si="0"/>
        <v>21.362715000000001</v>
      </c>
      <c r="K34" s="29">
        <f t="shared" si="1"/>
        <v>3.7993015268970169</v>
      </c>
      <c r="L34" s="27">
        <f t="shared" si="2"/>
        <v>22786896</v>
      </c>
      <c r="M34" s="27">
        <f t="shared" si="3"/>
        <v>6213088</v>
      </c>
      <c r="N34" s="58">
        <v>12284608</v>
      </c>
      <c r="O34" s="30">
        <v>22786896</v>
      </c>
      <c r="P34" s="30">
        <v>4739128</v>
      </c>
      <c r="Q34" s="30">
        <v>1107256</v>
      </c>
      <c r="R34" s="30">
        <v>366704</v>
      </c>
      <c r="S34" s="30">
        <v>16561008</v>
      </c>
      <c r="T34" s="30">
        <v>12800</v>
      </c>
      <c r="U34" s="59">
        <v>84.140229899999994</v>
      </c>
      <c r="V34" s="59">
        <v>88.417342500000004</v>
      </c>
      <c r="W34" s="59">
        <v>44.230796599999998</v>
      </c>
      <c r="X34" s="59">
        <v>48.388792700000003</v>
      </c>
      <c r="Y34" s="59">
        <v>47.699637799999998</v>
      </c>
      <c r="Z34" s="59">
        <v>54.191076000000002</v>
      </c>
      <c r="AA34" s="59">
        <v>42.205015600000003</v>
      </c>
      <c r="AB34" s="31">
        <v>4613.4943469999998</v>
      </c>
      <c r="AC34" s="31">
        <v>27.690850999999999</v>
      </c>
      <c r="AE34" s="28" t="str">
        <f t="shared" si="4"/>
        <v>·</v>
      </c>
      <c r="AF34" s="29" t="str">
        <f t="shared" si="5"/>
        <v>·</v>
      </c>
      <c r="AG34" s="27" t="str">
        <f t="shared" si="6"/>
        <v>.</v>
      </c>
      <c r="AH34" s="27" t="str">
        <f t="shared" si="7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8"/>
        <v>0</v>
      </c>
      <c r="BQ34" s="32">
        <f t="shared" si="9"/>
        <v>0</v>
      </c>
      <c r="BR34" s="32">
        <f t="shared" si="10"/>
        <v>0</v>
      </c>
      <c r="BS34" s="32">
        <f t="shared" si="11"/>
        <v>0</v>
      </c>
      <c r="BT34" s="32">
        <f t="shared" si="11"/>
        <v>0</v>
      </c>
    </row>
    <row r="35" spans="1:72" ht="15" customHeight="1" x14ac:dyDescent="0.15">
      <c r="A35" s="17"/>
      <c r="B35" s="17" t="s">
        <v>32</v>
      </c>
      <c r="C35" s="19" t="s">
        <v>362</v>
      </c>
      <c r="D35" s="17">
        <v>9000000</v>
      </c>
      <c r="E35" s="18">
        <v>12</v>
      </c>
      <c r="F35" s="19">
        <v>32</v>
      </c>
      <c r="G35" s="19">
        <v>30</v>
      </c>
      <c r="H35" s="19">
        <v>3</v>
      </c>
      <c r="J35" s="20">
        <f t="shared" si="0"/>
        <v>2.91675</v>
      </c>
      <c r="K35" s="21">
        <f t="shared" si="1"/>
        <v>0.34568888888888888</v>
      </c>
      <c r="L35" s="19">
        <f t="shared" si="2"/>
        <v>3111200</v>
      </c>
      <c r="M35" s="19">
        <f t="shared" si="3"/>
        <v>841248</v>
      </c>
      <c r="N35" s="44">
        <v>3680512</v>
      </c>
      <c r="O35" s="22">
        <v>3111200</v>
      </c>
      <c r="P35" s="22">
        <v>423824</v>
      </c>
      <c r="Q35" s="22">
        <v>69192</v>
      </c>
      <c r="R35" s="22">
        <v>348232</v>
      </c>
      <c r="S35" s="22">
        <v>2254552</v>
      </c>
      <c r="T35" s="22">
        <v>15400</v>
      </c>
      <c r="U35" s="45">
        <v>73.614196199999995</v>
      </c>
      <c r="V35" s="45">
        <v>75.2719345</v>
      </c>
      <c r="W35" s="45">
        <v>30.128627300000002</v>
      </c>
      <c r="X35" s="45">
        <v>38.8059802</v>
      </c>
      <c r="Y35" s="45">
        <v>38.922579800000001</v>
      </c>
      <c r="Z35" s="45">
        <v>48.491679099999999</v>
      </c>
      <c r="AA35" s="45">
        <v>29.250353</v>
      </c>
      <c r="AB35" s="23">
        <v>4163.0006290000001</v>
      </c>
      <c r="AC35" s="23">
        <v>36.819805000000002</v>
      </c>
      <c r="AE35" s="20" t="str">
        <f t="shared" si="4"/>
        <v>·</v>
      </c>
      <c r="AF35" s="21" t="str">
        <f t="shared" si="5"/>
        <v>·</v>
      </c>
      <c r="AG35" s="19" t="str">
        <f t="shared" si="6"/>
        <v>.</v>
      </c>
      <c r="AH35" s="19" t="str">
        <f t="shared" si="7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8"/>
        <v>0</v>
      </c>
      <c r="BQ35" s="24">
        <f t="shared" si="9"/>
        <v>0</v>
      </c>
      <c r="BR35" s="24">
        <f t="shared" si="10"/>
        <v>0</v>
      </c>
      <c r="BS35" s="24">
        <f t="shared" si="11"/>
        <v>0</v>
      </c>
      <c r="BT35" s="24">
        <f t="shared" si="11"/>
        <v>0</v>
      </c>
    </row>
    <row r="36" spans="1:72" ht="15" customHeight="1" outlineLevel="1" x14ac:dyDescent="0.15">
      <c r="A36" s="33"/>
      <c r="B36" s="33" t="s">
        <v>32</v>
      </c>
      <c r="C36" s="35" t="s">
        <v>363</v>
      </c>
      <c r="D36" s="33">
        <v>9000000</v>
      </c>
      <c r="E36" s="34">
        <v>12</v>
      </c>
      <c r="F36" s="35">
        <v>32</v>
      </c>
      <c r="G36" s="35">
        <v>30</v>
      </c>
      <c r="H36" s="35">
        <v>4</v>
      </c>
      <c r="J36" s="36">
        <f t="shared" si="0"/>
        <v>3.8855175000000002</v>
      </c>
      <c r="K36" s="37">
        <f t="shared" si="1"/>
        <v>0.46050577777777779</v>
      </c>
      <c r="L36" s="35">
        <f t="shared" si="2"/>
        <v>4144552</v>
      </c>
      <c r="M36" s="35">
        <f t="shared" si="3"/>
        <v>936632</v>
      </c>
      <c r="N36" s="46">
        <v>7364992</v>
      </c>
      <c r="O36" s="38">
        <v>4144552</v>
      </c>
      <c r="P36" s="38">
        <v>671304</v>
      </c>
      <c r="Q36" s="38">
        <v>132464</v>
      </c>
      <c r="R36" s="38">
        <v>132864</v>
      </c>
      <c r="S36" s="38">
        <v>3192312</v>
      </c>
      <c r="T36" s="38">
        <v>15608</v>
      </c>
      <c r="U36" s="47">
        <v>73.604850799999994</v>
      </c>
      <c r="V36" s="47">
        <v>75.285528600000006</v>
      </c>
      <c r="W36" s="47">
        <v>30.586003600000002</v>
      </c>
      <c r="X36" s="47">
        <v>38.922292400000003</v>
      </c>
      <c r="Y36" s="47">
        <v>39.0756941</v>
      </c>
      <c r="Z36" s="47">
        <v>48.4987675</v>
      </c>
      <c r="AA36" s="47">
        <v>29.567714800000001</v>
      </c>
      <c r="AB36" s="39">
        <v>4045.400956</v>
      </c>
      <c r="AC36" s="39">
        <v>36.614938000000002</v>
      </c>
      <c r="AE36" s="36" t="str">
        <f t="shared" si="4"/>
        <v>·</v>
      </c>
      <c r="AF36" s="37" t="str">
        <f t="shared" si="5"/>
        <v>·</v>
      </c>
      <c r="AG36" s="35" t="str">
        <f t="shared" si="6"/>
        <v>.</v>
      </c>
      <c r="AH36" s="35" t="str">
        <f t="shared" si="7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8"/>
        <v>0</v>
      </c>
      <c r="BQ36" s="40">
        <f t="shared" si="9"/>
        <v>0</v>
      </c>
      <c r="BR36" s="40">
        <f t="shared" si="10"/>
        <v>0</v>
      </c>
      <c r="BS36" s="40">
        <f t="shared" si="11"/>
        <v>0</v>
      </c>
      <c r="BT36" s="40">
        <f t="shared" si="11"/>
        <v>0</v>
      </c>
    </row>
    <row r="37" spans="1:72" ht="15" customHeight="1" outlineLevel="1" x14ac:dyDescent="0.15">
      <c r="A37" s="17"/>
      <c r="B37" s="17" t="s">
        <v>32</v>
      </c>
      <c r="C37" s="19" t="s">
        <v>364</v>
      </c>
      <c r="D37" s="17">
        <v>9000000</v>
      </c>
      <c r="E37" s="18">
        <v>12</v>
      </c>
      <c r="F37" s="19">
        <v>32</v>
      </c>
      <c r="G37" s="19">
        <v>30</v>
      </c>
      <c r="H37" s="19">
        <v>6</v>
      </c>
      <c r="J37" s="20">
        <f t="shared" si="0"/>
        <v>5.8319549999999998</v>
      </c>
      <c r="K37" s="21">
        <f t="shared" si="1"/>
        <v>0.69119466666666662</v>
      </c>
      <c r="L37" s="19">
        <f t="shared" si="2"/>
        <v>6220752</v>
      </c>
      <c r="M37" s="19">
        <f t="shared" si="3"/>
        <v>1332664</v>
      </c>
      <c r="N37" s="44">
        <v>7364992</v>
      </c>
      <c r="O37" s="22">
        <v>6220752</v>
      </c>
      <c r="P37" s="22">
        <v>671304</v>
      </c>
      <c r="Q37" s="22">
        <v>132464</v>
      </c>
      <c r="R37" s="22">
        <v>528896</v>
      </c>
      <c r="S37" s="22">
        <v>4872088</v>
      </c>
      <c r="T37" s="22">
        <v>16000</v>
      </c>
      <c r="U37" s="45">
        <v>76.743125800000001</v>
      </c>
      <c r="V37" s="45">
        <v>78.888742199999996</v>
      </c>
      <c r="W37" s="45">
        <v>31.2534694</v>
      </c>
      <c r="X37" s="45">
        <v>39.033519099999999</v>
      </c>
      <c r="Y37" s="45">
        <v>39.2136262</v>
      </c>
      <c r="Z37" s="45">
        <v>50.402538</v>
      </c>
      <c r="AA37" s="45">
        <v>30.4051163</v>
      </c>
      <c r="AB37" s="23">
        <v>4190.1936519999999</v>
      </c>
      <c r="AC37" s="23">
        <v>28.695800999999999</v>
      </c>
      <c r="AE37" s="20" t="str">
        <f t="shared" si="4"/>
        <v>·</v>
      </c>
      <c r="AF37" s="21" t="str">
        <f t="shared" si="5"/>
        <v>·</v>
      </c>
      <c r="AG37" s="19" t="str">
        <f t="shared" si="6"/>
        <v>.</v>
      </c>
      <c r="AH37" s="19" t="str">
        <f t="shared" si="7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8"/>
        <v>0</v>
      </c>
      <c r="BQ37" s="24">
        <f t="shared" si="9"/>
        <v>0</v>
      </c>
      <c r="BR37" s="24">
        <f t="shared" si="10"/>
        <v>0</v>
      </c>
      <c r="BS37" s="24">
        <f t="shared" si="11"/>
        <v>0</v>
      </c>
      <c r="BT37" s="24">
        <f t="shared" si="11"/>
        <v>0</v>
      </c>
    </row>
    <row r="38" spans="1:72" ht="15" customHeight="1" outlineLevel="1" x14ac:dyDescent="0.15">
      <c r="A38" s="33"/>
      <c r="B38" s="33" t="s">
        <v>32</v>
      </c>
      <c r="C38" s="35" t="s">
        <v>365</v>
      </c>
      <c r="D38" s="33">
        <v>9000000</v>
      </c>
      <c r="E38" s="34">
        <v>12</v>
      </c>
      <c r="F38" s="35">
        <v>32</v>
      </c>
      <c r="G38" s="35">
        <v>30</v>
      </c>
      <c r="H38" s="35">
        <v>8</v>
      </c>
      <c r="J38" s="36">
        <f t="shared" si="0"/>
        <v>7.7412749999999999</v>
      </c>
      <c r="K38" s="37">
        <f t="shared" si="1"/>
        <v>0.91748444444444444</v>
      </c>
      <c r="L38" s="35">
        <f t="shared" si="2"/>
        <v>8257360</v>
      </c>
      <c r="M38" s="35">
        <f t="shared" si="3"/>
        <v>2091136</v>
      </c>
      <c r="N38" s="46">
        <v>14733568</v>
      </c>
      <c r="O38" s="38">
        <v>8257360</v>
      </c>
      <c r="P38" s="38">
        <v>1306200</v>
      </c>
      <c r="Q38" s="38">
        <v>316736</v>
      </c>
      <c r="R38" s="38">
        <v>468200</v>
      </c>
      <c r="S38" s="38">
        <v>6150528</v>
      </c>
      <c r="T38" s="38">
        <v>15696</v>
      </c>
      <c r="U38" s="47">
        <v>78.994159100000005</v>
      </c>
      <c r="V38" s="47">
        <v>81.662367000000003</v>
      </c>
      <c r="W38" s="47">
        <v>31.668568499999999</v>
      </c>
      <c r="X38" s="47">
        <v>39.1052374</v>
      </c>
      <c r="Y38" s="47">
        <v>39.383435900000002</v>
      </c>
      <c r="Z38" s="47">
        <v>51.811750400000001</v>
      </c>
      <c r="AA38" s="47">
        <v>30.979764200000002</v>
      </c>
      <c r="AB38" s="39">
        <v>4163.1145909999996</v>
      </c>
      <c r="AC38" s="39">
        <v>26.747021</v>
      </c>
      <c r="AE38" s="36" t="str">
        <f t="shared" si="4"/>
        <v>·</v>
      </c>
      <c r="AF38" s="37" t="str">
        <f t="shared" si="5"/>
        <v>·</v>
      </c>
      <c r="AG38" s="35" t="str">
        <f t="shared" si="6"/>
        <v>.</v>
      </c>
      <c r="AH38" s="35" t="str">
        <f t="shared" si="7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8"/>
        <v>0</v>
      </c>
      <c r="BQ38" s="40">
        <f t="shared" si="9"/>
        <v>0</v>
      </c>
      <c r="BR38" s="40">
        <f t="shared" si="10"/>
        <v>0</v>
      </c>
      <c r="BS38" s="40">
        <f t="shared" si="11"/>
        <v>0</v>
      </c>
      <c r="BT38" s="40">
        <f t="shared" si="11"/>
        <v>0</v>
      </c>
    </row>
    <row r="39" spans="1:72" ht="15.75" customHeight="1" outlineLevel="1" thickBot="1" x14ac:dyDescent="0.2">
      <c r="A39" s="17"/>
      <c r="B39" s="48" t="s">
        <v>32</v>
      </c>
      <c r="C39" s="49" t="s">
        <v>366</v>
      </c>
      <c r="D39" s="48">
        <v>9000000</v>
      </c>
      <c r="E39" s="50">
        <v>12</v>
      </c>
      <c r="F39" s="49">
        <v>32</v>
      </c>
      <c r="G39" s="49">
        <v>30</v>
      </c>
      <c r="H39" s="49">
        <v>12</v>
      </c>
      <c r="J39" s="51">
        <f t="shared" si="0"/>
        <v>11.612002499999999</v>
      </c>
      <c r="K39" s="52">
        <f t="shared" si="1"/>
        <v>1.3762373333333333</v>
      </c>
      <c r="L39" s="49">
        <f t="shared" si="2"/>
        <v>12386136</v>
      </c>
      <c r="M39" s="49">
        <f t="shared" si="3"/>
        <v>2683256</v>
      </c>
      <c r="N39" s="53">
        <v>22099520</v>
      </c>
      <c r="O39" s="54">
        <v>12386136</v>
      </c>
      <c r="P39" s="54">
        <v>1837824</v>
      </c>
      <c r="Q39" s="54">
        <v>455384</v>
      </c>
      <c r="R39" s="54">
        <v>390048</v>
      </c>
      <c r="S39" s="54">
        <v>9687344</v>
      </c>
      <c r="T39" s="54">
        <v>15536</v>
      </c>
      <c r="U39" s="55">
        <v>80.446982300000002</v>
      </c>
      <c r="V39" s="55">
        <v>83.610168299999998</v>
      </c>
      <c r="W39" s="55">
        <v>32.447689400000002</v>
      </c>
      <c r="X39" s="55">
        <v>39.193263399999999</v>
      </c>
      <c r="Y39" s="55">
        <v>39.519388499999998</v>
      </c>
      <c r="Z39" s="55">
        <v>52.690302799999998</v>
      </c>
      <c r="AA39" s="55">
        <v>31.741684500000002</v>
      </c>
      <c r="AB39" s="56">
        <v>4193.2408219999998</v>
      </c>
      <c r="AC39" s="56">
        <v>30.84768</v>
      </c>
      <c r="AE39" s="51" t="str">
        <f t="shared" si="4"/>
        <v>·</v>
      </c>
      <c r="AF39" s="52" t="str">
        <f t="shared" si="5"/>
        <v>·</v>
      </c>
      <c r="AG39" s="49" t="str">
        <f t="shared" si="6"/>
        <v>.</v>
      </c>
      <c r="AH39" s="49" t="str">
        <f t="shared" si="7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8"/>
        <v>0</v>
      </c>
      <c r="BQ39" s="57">
        <f t="shared" si="9"/>
        <v>0</v>
      </c>
      <c r="BR39" s="57">
        <f t="shared" si="10"/>
        <v>0</v>
      </c>
      <c r="BS39" s="57">
        <f t="shared" si="11"/>
        <v>0</v>
      </c>
      <c r="BT39" s="57">
        <f t="shared" si="11"/>
        <v>0</v>
      </c>
    </row>
    <row r="40" spans="1:72" ht="15" customHeight="1" x14ac:dyDescent="0.15">
      <c r="A40" s="33"/>
      <c r="B40" s="33" t="s">
        <v>75</v>
      </c>
      <c r="C40" s="35" t="s">
        <v>362</v>
      </c>
      <c r="D40" s="33">
        <v>9000000</v>
      </c>
      <c r="E40" s="34">
        <v>12</v>
      </c>
      <c r="F40" s="35">
        <v>32</v>
      </c>
      <c r="G40" s="35">
        <v>30</v>
      </c>
      <c r="H40" s="35">
        <v>3</v>
      </c>
      <c r="J40" s="36">
        <f t="shared" si="0"/>
        <v>2.8659075000000001</v>
      </c>
      <c r="K40" s="37">
        <f t="shared" si="1"/>
        <v>0.33966311111111114</v>
      </c>
      <c r="L40" s="35">
        <f t="shared" si="2"/>
        <v>3056968</v>
      </c>
      <c r="M40" s="35">
        <f t="shared" si="3"/>
        <v>672200</v>
      </c>
      <c r="N40" s="46">
        <v>3682048</v>
      </c>
      <c r="O40" s="38">
        <v>3056968</v>
      </c>
      <c r="P40" s="38">
        <v>345024</v>
      </c>
      <c r="Q40" s="38">
        <v>7440</v>
      </c>
      <c r="R40" s="38">
        <v>319736</v>
      </c>
      <c r="S40" s="38">
        <v>2368936</v>
      </c>
      <c r="T40" s="38">
        <v>15832</v>
      </c>
      <c r="U40" s="47">
        <v>74.630456300000006</v>
      </c>
      <c r="V40" s="47">
        <v>76.217400100000006</v>
      </c>
      <c r="W40" s="47">
        <v>33.324114700000003</v>
      </c>
      <c r="X40" s="47">
        <v>42.533331400000002</v>
      </c>
      <c r="Y40" s="47">
        <v>42.928639400000002</v>
      </c>
      <c r="Z40" s="47">
        <v>49.175759300000003</v>
      </c>
      <c r="AA40" s="47">
        <v>32.422205699999999</v>
      </c>
      <c r="AB40" s="39">
        <v>3471.7754850000001</v>
      </c>
      <c r="AC40" s="39">
        <v>28.684097999999999</v>
      </c>
      <c r="AE40" s="36" t="str">
        <f t="shared" si="4"/>
        <v>·</v>
      </c>
      <c r="AF40" s="37" t="str">
        <f t="shared" si="5"/>
        <v>·</v>
      </c>
      <c r="AG40" s="35" t="str">
        <f t="shared" si="6"/>
        <v>.</v>
      </c>
      <c r="AH40" s="35" t="str">
        <f t="shared" si="7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8"/>
        <v>0</v>
      </c>
      <c r="BQ40" s="40">
        <f t="shared" si="9"/>
        <v>0</v>
      </c>
      <c r="BR40" s="40">
        <f t="shared" si="10"/>
        <v>0</v>
      </c>
      <c r="BS40" s="40">
        <f t="shared" si="11"/>
        <v>0</v>
      </c>
      <c r="BT40" s="40">
        <f t="shared" si="11"/>
        <v>0</v>
      </c>
    </row>
    <row r="41" spans="1:72" ht="15" customHeight="1" outlineLevel="1" x14ac:dyDescent="0.15">
      <c r="A41" s="17"/>
      <c r="B41" s="17" t="s">
        <v>75</v>
      </c>
      <c r="C41" s="19" t="s">
        <v>363</v>
      </c>
      <c r="D41" s="17">
        <v>9000000</v>
      </c>
      <c r="E41" s="18">
        <v>12</v>
      </c>
      <c r="F41" s="19">
        <v>32</v>
      </c>
      <c r="G41" s="19">
        <v>30</v>
      </c>
      <c r="H41" s="19">
        <v>4</v>
      </c>
      <c r="J41" s="20">
        <f t="shared" si="0"/>
        <v>3.7539750000000001</v>
      </c>
      <c r="K41" s="21">
        <f t="shared" si="1"/>
        <v>0.44491555555555556</v>
      </c>
      <c r="L41" s="19">
        <f t="shared" si="2"/>
        <v>4004240</v>
      </c>
      <c r="M41" s="19">
        <f t="shared" si="3"/>
        <v>1081248</v>
      </c>
      <c r="N41" s="44">
        <v>7369024</v>
      </c>
      <c r="O41" s="22">
        <v>4004240</v>
      </c>
      <c r="P41" s="22">
        <v>657912</v>
      </c>
      <c r="Q41" s="22">
        <v>68600</v>
      </c>
      <c r="R41" s="22">
        <v>354736</v>
      </c>
      <c r="S41" s="22">
        <v>2906984</v>
      </c>
      <c r="T41" s="22">
        <v>16008</v>
      </c>
      <c r="U41" s="45">
        <v>76.616621600000002</v>
      </c>
      <c r="V41" s="45">
        <v>78.514998500000004</v>
      </c>
      <c r="W41" s="45">
        <v>33.658215200000001</v>
      </c>
      <c r="X41" s="45">
        <v>42.728545500000003</v>
      </c>
      <c r="Y41" s="45">
        <v>43.195784199999999</v>
      </c>
      <c r="Z41" s="45">
        <v>50.446319199999998</v>
      </c>
      <c r="AA41" s="45">
        <v>32.965757000000004</v>
      </c>
      <c r="AB41" s="23">
        <v>3802.735788</v>
      </c>
      <c r="AC41" s="23">
        <v>28.000599999999999</v>
      </c>
      <c r="AE41" s="20" t="str">
        <f t="shared" si="4"/>
        <v>·</v>
      </c>
      <c r="AF41" s="21" t="str">
        <f t="shared" si="5"/>
        <v>·</v>
      </c>
      <c r="AG41" s="19" t="str">
        <f t="shared" si="6"/>
        <v>.</v>
      </c>
      <c r="AH41" s="19" t="str">
        <f t="shared" si="7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8"/>
        <v>0</v>
      </c>
      <c r="BQ41" s="24">
        <f t="shared" si="9"/>
        <v>0</v>
      </c>
      <c r="BR41" s="24">
        <f t="shared" si="10"/>
        <v>0</v>
      </c>
      <c r="BS41" s="24">
        <f t="shared" si="11"/>
        <v>0</v>
      </c>
      <c r="BT41" s="24">
        <f t="shared" si="11"/>
        <v>0</v>
      </c>
    </row>
    <row r="42" spans="1:72" ht="15" customHeight="1" outlineLevel="1" x14ac:dyDescent="0.15">
      <c r="A42" s="33"/>
      <c r="B42" s="33" t="s">
        <v>75</v>
      </c>
      <c r="C42" s="35" t="s">
        <v>364</v>
      </c>
      <c r="D42" s="33">
        <v>9000000</v>
      </c>
      <c r="E42" s="34">
        <v>12</v>
      </c>
      <c r="F42" s="35">
        <v>32</v>
      </c>
      <c r="G42" s="35">
        <v>30</v>
      </c>
      <c r="H42" s="35">
        <v>6</v>
      </c>
      <c r="J42" s="36">
        <f t="shared" si="0"/>
        <v>5.7511274999999999</v>
      </c>
      <c r="K42" s="37">
        <f t="shared" si="1"/>
        <v>0.68161511111111106</v>
      </c>
      <c r="L42" s="35">
        <f t="shared" si="2"/>
        <v>6134536</v>
      </c>
      <c r="M42" s="35">
        <f t="shared" si="3"/>
        <v>1529216</v>
      </c>
      <c r="N42" s="46">
        <v>14739584</v>
      </c>
      <c r="O42" s="38">
        <v>6134536</v>
      </c>
      <c r="P42" s="38">
        <v>1168032</v>
      </c>
      <c r="Q42" s="38">
        <v>129024</v>
      </c>
      <c r="R42" s="38">
        <v>232160</v>
      </c>
      <c r="S42" s="38">
        <v>4590056</v>
      </c>
      <c r="T42" s="38">
        <v>15264</v>
      </c>
      <c r="U42" s="47">
        <v>78.352143999999996</v>
      </c>
      <c r="V42" s="47">
        <v>80.531353100000004</v>
      </c>
      <c r="W42" s="47">
        <v>34.270266200000002</v>
      </c>
      <c r="X42" s="47">
        <v>42.856143500000002</v>
      </c>
      <c r="Y42" s="47">
        <v>43.425036200000001</v>
      </c>
      <c r="Z42" s="47">
        <v>51.608009199999998</v>
      </c>
      <c r="AA42" s="47">
        <v>33.616540899999997</v>
      </c>
      <c r="AB42" s="39">
        <v>3603.453571</v>
      </c>
      <c r="AC42" s="39">
        <v>27.278853000000002</v>
      </c>
      <c r="AE42" s="36" t="str">
        <f t="shared" si="4"/>
        <v>·</v>
      </c>
      <c r="AF42" s="37" t="str">
        <f t="shared" si="5"/>
        <v>·</v>
      </c>
      <c r="AG42" s="35" t="str">
        <f t="shared" si="6"/>
        <v>.</v>
      </c>
      <c r="AH42" s="35" t="str">
        <f t="shared" si="7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8"/>
        <v>0</v>
      </c>
      <c r="BQ42" s="40">
        <f t="shared" si="9"/>
        <v>0</v>
      </c>
      <c r="BR42" s="40">
        <f t="shared" si="10"/>
        <v>0</v>
      </c>
      <c r="BS42" s="40">
        <f t="shared" si="11"/>
        <v>0</v>
      </c>
      <c r="BT42" s="40">
        <f t="shared" si="11"/>
        <v>0</v>
      </c>
    </row>
    <row r="43" spans="1:72" ht="15" customHeight="1" outlineLevel="1" x14ac:dyDescent="0.15">
      <c r="A43" s="17"/>
      <c r="B43" s="17" t="s">
        <v>75</v>
      </c>
      <c r="C43" s="19" t="s">
        <v>365</v>
      </c>
      <c r="D43" s="17">
        <v>9000000</v>
      </c>
      <c r="E43" s="18">
        <v>12</v>
      </c>
      <c r="F43" s="19">
        <v>32</v>
      </c>
      <c r="G43" s="19">
        <v>30</v>
      </c>
      <c r="H43" s="19">
        <v>8</v>
      </c>
      <c r="J43" s="20">
        <f t="shared" si="0"/>
        <v>7.6636499999999996</v>
      </c>
      <c r="K43" s="21">
        <f t="shared" si="1"/>
        <v>0.90828444444444445</v>
      </c>
      <c r="L43" s="19">
        <f t="shared" si="2"/>
        <v>8174560</v>
      </c>
      <c r="M43" s="19">
        <f t="shared" si="3"/>
        <v>1865264</v>
      </c>
      <c r="N43" s="44">
        <v>14739584</v>
      </c>
      <c r="O43" s="22">
        <v>8174560</v>
      </c>
      <c r="P43" s="22">
        <v>1168032</v>
      </c>
      <c r="Q43" s="22">
        <v>129024</v>
      </c>
      <c r="R43" s="22">
        <v>568208</v>
      </c>
      <c r="S43" s="22">
        <v>6293560</v>
      </c>
      <c r="T43" s="22">
        <v>15736</v>
      </c>
      <c r="U43" s="45">
        <v>79.689147000000006</v>
      </c>
      <c r="V43" s="45">
        <v>82.337199699999999</v>
      </c>
      <c r="W43" s="45">
        <v>34.3468448</v>
      </c>
      <c r="X43" s="45">
        <v>42.995586400000001</v>
      </c>
      <c r="Y43" s="45">
        <v>43.629921600000003</v>
      </c>
      <c r="Z43" s="45">
        <v>52.412751499999999</v>
      </c>
      <c r="AA43" s="45">
        <v>33.741399100000002</v>
      </c>
      <c r="AB43" s="23">
        <v>1278.081946</v>
      </c>
      <c r="AC43" s="23">
        <v>11.480578</v>
      </c>
      <c r="AE43" s="20" t="str">
        <f t="shared" si="4"/>
        <v>·</v>
      </c>
      <c r="AF43" s="21" t="str">
        <f t="shared" si="5"/>
        <v>·</v>
      </c>
      <c r="AG43" s="19" t="str">
        <f t="shared" si="6"/>
        <v>.</v>
      </c>
      <c r="AH43" s="19" t="str">
        <f t="shared" si="7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8"/>
        <v>0</v>
      </c>
      <c r="BQ43" s="24">
        <f t="shared" si="9"/>
        <v>0</v>
      </c>
      <c r="BR43" s="24">
        <f t="shared" si="10"/>
        <v>0</v>
      </c>
      <c r="BS43" s="24">
        <f t="shared" si="11"/>
        <v>0</v>
      </c>
      <c r="BT43" s="24">
        <f t="shared" si="11"/>
        <v>0</v>
      </c>
    </row>
    <row r="44" spans="1:72" ht="15.75" customHeight="1" outlineLevel="1" thickBot="1" x14ac:dyDescent="0.2">
      <c r="A44" s="25"/>
      <c r="B44" s="25" t="s">
        <v>75</v>
      </c>
      <c r="C44" s="27" t="s">
        <v>366</v>
      </c>
      <c r="D44" s="25">
        <v>9000000</v>
      </c>
      <c r="E44" s="26">
        <v>12</v>
      </c>
      <c r="F44" s="27">
        <v>32</v>
      </c>
      <c r="G44" s="27">
        <v>30</v>
      </c>
      <c r="H44" s="27">
        <v>12</v>
      </c>
      <c r="J44" s="28">
        <f t="shared" si="0"/>
        <v>11.66925</v>
      </c>
      <c r="K44" s="29">
        <f t="shared" si="1"/>
        <v>1.3830222222222222</v>
      </c>
      <c r="L44" s="27">
        <f t="shared" si="2"/>
        <v>12447200</v>
      </c>
      <c r="M44" s="27">
        <f t="shared" si="3"/>
        <v>2347680</v>
      </c>
      <c r="N44" s="58">
        <v>22110080</v>
      </c>
      <c r="O44" s="30">
        <v>12447200</v>
      </c>
      <c r="P44" s="30">
        <v>1644024</v>
      </c>
      <c r="Q44" s="30">
        <v>189792</v>
      </c>
      <c r="R44" s="30">
        <v>513864</v>
      </c>
      <c r="S44" s="30">
        <v>10084072</v>
      </c>
      <c r="T44" s="30">
        <v>15448</v>
      </c>
      <c r="U44" s="59">
        <v>81.163160399999995</v>
      </c>
      <c r="V44" s="59">
        <v>84.247127899999995</v>
      </c>
      <c r="W44" s="59">
        <v>34.913000500000003</v>
      </c>
      <c r="X44" s="59">
        <v>43.1001397</v>
      </c>
      <c r="Y44" s="59">
        <v>43.751811500000002</v>
      </c>
      <c r="Z44" s="59">
        <v>53.3719465</v>
      </c>
      <c r="AA44" s="59">
        <v>34.331509599999997</v>
      </c>
      <c r="AB44" s="31">
        <v>1327.5575160000001</v>
      </c>
      <c r="AC44" s="31">
        <v>12.762157</v>
      </c>
      <c r="AE44" s="28" t="str">
        <f t="shared" si="4"/>
        <v>·</v>
      </c>
      <c r="AF44" s="29" t="str">
        <f t="shared" si="5"/>
        <v>·</v>
      </c>
      <c r="AG44" s="27" t="str">
        <f t="shared" si="6"/>
        <v>.</v>
      </c>
      <c r="AH44" s="27" t="str">
        <f t="shared" si="7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8"/>
        <v>0</v>
      </c>
      <c r="BQ44" s="32">
        <f t="shared" si="9"/>
        <v>0</v>
      </c>
      <c r="BR44" s="32">
        <f t="shared" si="10"/>
        <v>0</v>
      </c>
      <c r="BS44" s="32">
        <f t="shared" si="11"/>
        <v>0</v>
      </c>
      <c r="BT44" s="32">
        <f t="shared" si="11"/>
        <v>0</v>
      </c>
    </row>
    <row r="45" spans="1:72" ht="15" customHeight="1" x14ac:dyDescent="0.15">
      <c r="A45" s="17" t="s">
        <v>427</v>
      </c>
      <c r="B45" s="17" t="s">
        <v>428</v>
      </c>
      <c r="C45" s="19" t="s">
        <v>362</v>
      </c>
      <c r="D45" s="17">
        <v>199984</v>
      </c>
      <c r="E45" s="18">
        <v>10</v>
      </c>
      <c r="F45" s="19">
        <v>1</v>
      </c>
      <c r="G45" s="19">
        <v>30</v>
      </c>
      <c r="H45" s="19">
        <v>4</v>
      </c>
      <c r="J45" s="20">
        <f t="shared" ref="J45:J49" si="12">IF(OR(ISBLANK(O45),ISBLANK(G45)),"·",O45*G45/F45/1000000)</f>
        <v>5.71488</v>
      </c>
      <c r="K45" s="21">
        <f t="shared" ref="K45:K49" si="13">IF(ISBLANK(O45),"·",O45/D45)</f>
        <v>0.95255620449635969</v>
      </c>
      <c r="L45" s="19">
        <f t="shared" ref="L45:L49" si="14">IF(OR(ISBLANK(M45),ISBLANK(S45),ISBLANK(T45)),".",M45+S45+T45)</f>
        <v>190496</v>
      </c>
      <c r="M45" s="19">
        <f t="shared" ref="M45:M49" si="15">IF(OR(ISBLANK(Q45),ISBLANK(P45),ISBLANK(R45)),".",P45+Q45+R45)</f>
        <v>87984</v>
      </c>
      <c r="N45" s="44">
        <v>383872</v>
      </c>
      <c r="O45" s="22">
        <v>190496</v>
      </c>
      <c r="P45" s="22">
        <v>72440</v>
      </c>
      <c r="Q45" s="22">
        <v>0</v>
      </c>
      <c r="R45" s="22">
        <v>15544</v>
      </c>
      <c r="S45" s="22">
        <v>100864</v>
      </c>
      <c r="T45" s="22">
        <v>1648</v>
      </c>
      <c r="U45" s="45">
        <v>76.493702900000002</v>
      </c>
      <c r="V45" s="45">
        <v>79.061057300000002</v>
      </c>
      <c r="W45" s="45">
        <v>30.278041900000002</v>
      </c>
      <c r="X45" s="45">
        <v>42.494525299999999</v>
      </c>
      <c r="Y45" s="45">
        <v>40.849274800000003</v>
      </c>
      <c r="Z45" s="45">
        <v>55.044560400000002</v>
      </c>
      <c r="AA45" s="45">
        <v>29.878969999999999</v>
      </c>
      <c r="AB45" s="23">
        <v>28.723637</v>
      </c>
      <c r="AC45" s="23">
        <v>0.57303199999999999</v>
      </c>
      <c r="AE45" s="20" t="str">
        <f t="shared" ref="AE45:AE49" si="16">IF(OR(ISBLANK(AJ45),ISBLANK(G45)),"·",AJ45*G45/F45/1000000)</f>
        <v>·</v>
      </c>
      <c r="AF45" s="21" t="str">
        <f t="shared" ref="AF45:AF49" si="17">IF(ISBLANK(AJ45),"·",AJ45/D45)</f>
        <v>·</v>
      </c>
      <c r="AG45" s="19" t="str">
        <f t="shared" ref="AG45:AG49" si="18">IF(OR(ISBLANK(AH45),ISBLANK(AN45),ISBLANK(AO45)),".",AH45+AN45+AO45)</f>
        <v>.</v>
      </c>
      <c r="AH45" s="19" t="str">
        <f t="shared" ref="AH45:AH49" si="19">IF(OR(ISBLANK(AL45),ISBLANK(AK45),ISBLANK(AM45)),".",AK45+AL45+AM45)</f>
        <v>.</v>
      </c>
      <c r="AI45" s="44"/>
      <c r="AJ45" s="22"/>
      <c r="AK45" s="22"/>
      <c r="AL45" s="22"/>
      <c r="AM45" s="22"/>
      <c r="AN45" s="22"/>
      <c r="AO45" s="22"/>
      <c r="AP45" s="45"/>
      <c r="AQ45" s="45"/>
      <c r="AR45" s="45"/>
      <c r="AS45" s="45"/>
      <c r="AT45" s="45"/>
      <c r="AU45" s="45"/>
      <c r="AV45" s="45"/>
      <c r="AW45" s="23"/>
      <c r="AX45" s="23"/>
      <c r="AZ45" s="24" t="str">
        <f t="array" ref="AZ45">IF( OR(AND(ISBLANK(L45:L49)),AND(ISBLANK(AG45:AG49)), AND(ISBLANK(U45:U49)),AND(ISBLANK(AP45:AP49))), "·", bdRateExtend( L45:L49,U45:U49, AG45:AG49,AP45:AP49))</f>
        <v>·</v>
      </c>
      <c r="BA45" s="24" t="str">
        <f t="array" ref="BA45">IF( OR(AND(ISBLANK(L45:L49)),AND(ISBLANK(AG45:AG49)), AND(ISBLANK(V45:V49)),AND(ISBLANK(AQ45:AQ49))), "·", bdRateExtend( L45:L49,V45:V49, AG45:AG49,AQ45:AQ49))</f>
        <v>·</v>
      </c>
      <c r="BB45" s="24" t="str" cm="1">
        <f t="array" ref="BB45">IF( OR(AND(ISBLANK(L45:L49)),AND(ISBLANK(AG45:AG49)), AND(ISBLANK(W45:W49)),AND(ISBLANK(AR45:AR49))), "·", bdRateExtend( L45:L49,W45:W49, AG45:AG49,AR45:AR49))</f>
        <v>·</v>
      </c>
      <c r="BC45" s="24" t="str" cm="1">
        <f t="array" ref="BC45">IF( OR(AND(ISBLANK(L45:L49)),AND(ISBLANK(AG45:AG49)), AND(ISBLANK(X45:X49)),AND(ISBLANK(AS45:AS49))), "·", bdRateExtend( L45:L49,X45:X49, AG45:AG49,AS45:AS49))</f>
        <v>·</v>
      </c>
      <c r="BD45" s="24" t="str" cm="1">
        <f t="array" ref="BD45">IF( OR(AND(ISBLANK(L45:L49)),AND(ISBLANK(AG45:AG49)), AND(ISBLANK(Y45:Y49)),AND(ISBLANK(AT45:AT49))), "·", bdRateExtend( L45:L49,Y45:Y49, AG45:AG49,AT45:AT49))</f>
        <v>·</v>
      </c>
      <c r="BE45" s="24" t="str" cm="1">
        <f t="array" ref="BE45">IF( OR(AND(ISBLANK(L45:L49)),AND(ISBLANK(AG45:AG49)), AND(ISBLANK(Z45:Z49)),AND(ISBLANK(AU45:AU49))), "·", bdRateExtend( L45:L49,Z45:Z49, AG45:AG49,AU45:AU49))</f>
        <v>·</v>
      </c>
      <c r="BF45" s="24" t="str" cm="1">
        <f t="array" ref="BF45">IF( OR(AND(ISBLANK(L45:L49)),AND(ISBLANK(AG45:AG49)), AND(ISBLANK(AA45:AA49)),AND(ISBLANK(AV45:AV49))), "·", bdRateExtend( L45:L49,AA45:AA49, AG45:AG49,AV45:AV49))</f>
        <v>·</v>
      </c>
      <c r="BH45" s="24" t="str" cm="1">
        <f t="array" ref="BH45">IF( OR(AND(ISBLANK(M45:M49)),AND(ISBLANK(AH45:AH49)), AND(ISBLANK(U45:U49)),AND(ISBLANK(AP45:AP49))), "·", bdRateExtend( M45:M49,U45:U49, AH45:AH49,AP45:AP49))</f>
        <v>·</v>
      </c>
      <c r="BI45" s="24" t="str" cm="1">
        <f t="array" ref="BI45">IF( OR(AND(ISBLANK(M45:M49)),AND(ISBLANK(AH45:AH49)), AND(ISBLANK(V45:V49)),AND(ISBLANK(AQ45:AQ49))), "·", bdRateExtend( M45:M49,V45:V49, AH45:AH49,AQ45:AQ49))</f>
        <v>·</v>
      </c>
      <c r="BJ45" s="24" t="str" cm="1">
        <f t="array" ref="BJ45">IF( OR(AND(ISBLANK(S45:S49)),AND(ISBLANK(AN45:AN49)), AND(ISBLANK(W45:W49)),AND(ISBLANK(AR45:AR49))), "·", bdRateExtend( S45:S49,W45:W49, AN45:AN49,AR45:AR49))</f>
        <v>·</v>
      </c>
      <c r="BK45" s="24" t="str" cm="1">
        <f t="array" ref="BK45">IF( OR(AND(ISBLANK(S45:S49)),AND(ISBLANK(AN45:AN49)), AND(ISBLANK(X45:X49)),AND(ISBLANK(AS45:AS49))), "·", bdRateExtend( S45:S49,X45:X49, AN45:AN49,AS45:AS49))</f>
        <v>·</v>
      </c>
      <c r="BL45" s="24" t="str" cm="1">
        <f t="array" ref="BL45">IF( OR(AND(ISBLANK(S45:S49)),AND(ISBLANK(AN45:AN49)), AND(ISBLANK(Y45:Y49)),AND(ISBLANK(AT45:AT49))), "·", bdRateExtend( S45:S49,Y45:Y49, AN45:AN49,AT45:AT49))</f>
        <v>·</v>
      </c>
      <c r="BM45" s="24" t="str" cm="1">
        <f t="array" ref="BM45">IF( OR(AND(ISBLANK(M45:M49)),AND(ISBLANK(AH45:AH49)), AND(ISBLANK(Z45:Z49)),AND(ISBLANK(AU45:AU49))), "·", bdRateExtend( M45:M49,Z45:Z49, AH45:AH49,AU45:AU49))</f>
        <v>·</v>
      </c>
      <c r="BN45" s="24" t="str" cm="1">
        <f t="array" ref="BN45">IF( OR(AND(ISBLANK(S45:S49)),AND(ISBLANK(AN45:AN49)), AND(ISBLANK(AA45:AA49)),AND(ISBLANK(AV45:AV49))), "·", bdRateExtend( S45:S49,AA45:AA49, AN45:AN49,AV45:AV49))</f>
        <v>·</v>
      </c>
      <c r="BP45" s="24">
        <f t="shared" ref="BP45:BP49" si="20">IF(AND(AK45=0,AK45=0),0,AK45/P45-1)</f>
        <v>0</v>
      </c>
      <c r="BQ45" s="24">
        <f t="shared" ref="BQ45:BQ49" si="21">IF(AND(AL45=0,AL45=0),0,AL45/Q45-1)</f>
        <v>0</v>
      </c>
      <c r="BR45" s="24">
        <f t="shared" ref="BR45:BR49" si="22">IF(AND(AM45=0,AM45=0),0,AM45/R45-1)</f>
        <v>0</v>
      </c>
      <c r="BS45" s="24">
        <f t="shared" ref="BS45:BS49" si="23">IF(AND(AN45=0,AN45=0),0,AN45/S45-1)</f>
        <v>0</v>
      </c>
      <c r="BT45" s="24">
        <f t="shared" ref="BT45:BT49" si="24">IF(AND(AO45=0,AO45=0),0,AO45/T45-1)</f>
        <v>0</v>
      </c>
    </row>
    <row r="46" spans="1:72" ht="15" customHeight="1" outlineLevel="1" x14ac:dyDescent="0.15">
      <c r="A46" s="33"/>
      <c r="B46" s="33" t="s">
        <v>428</v>
      </c>
      <c r="C46" s="35" t="s">
        <v>363</v>
      </c>
      <c r="D46" s="33">
        <v>199984</v>
      </c>
      <c r="E46" s="34">
        <v>10</v>
      </c>
      <c r="F46" s="35">
        <v>1</v>
      </c>
      <c r="G46" s="35">
        <v>30</v>
      </c>
      <c r="H46" s="35">
        <v>8</v>
      </c>
      <c r="J46" s="36">
        <f t="shared" si="12"/>
        <v>10.2888</v>
      </c>
      <c r="K46" s="37">
        <f t="shared" si="13"/>
        <v>1.714937194975598</v>
      </c>
      <c r="L46" s="35">
        <f t="shared" si="14"/>
        <v>342960</v>
      </c>
      <c r="M46" s="35">
        <f t="shared" si="15"/>
        <v>105808</v>
      </c>
      <c r="N46" s="46">
        <v>383872</v>
      </c>
      <c r="O46" s="38">
        <v>342960</v>
      </c>
      <c r="P46" s="38">
        <v>81088</v>
      </c>
      <c r="Q46" s="38">
        <v>0</v>
      </c>
      <c r="R46" s="38">
        <v>24720</v>
      </c>
      <c r="S46" s="38">
        <v>235496</v>
      </c>
      <c r="T46" s="38">
        <v>1656</v>
      </c>
      <c r="U46" s="47">
        <v>78.244808599999999</v>
      </c>
      <c r="V46" s="47">
        <v>81.361836800000006</v>
      </c>
      <c r="W46" s="47">
        <v>31.540469900000002</v>
      </c>
      <c r="X46" s="47">
        <v>43.652007599999997</v>
      </c>
      <c r="Y46" s="47">
        <v>42.291822500000002</v>
      </c>
      <c r="Z46" s="47">
        <v>56.170851599999999</v>
      </c>
      <c r="AA46" s="47">
        <v>31.075164699999998</v>
      </c>
      <c r="AB46" s="39">
        <v>17.542135999999999</v>
      </c>
      <c r="AC46" s="39">
        <v>0.55386000000000002</v>
      </c>
      <c r="AE46" s="36" t="str">
        <f t="shared" si="16"/>
        <v>·</v>
      </c>
      <c r="AF46" s="37" t="str">
        <f t="shared" si="17"/>
        <v>·</v>
      </c>
      <c r="AG46" s="35" t="str">
        <f t="shared" si="18"/>
        <v>.</v>
      </c>
      <c r="AH46" s="35" t="str">
        <f t="shared" si="19"/>
        <v>.</v>
      </c>
      <c r="AI46" s="46"/>
      <c r="AJ46" s="38"/>
      <c r="AK46" s="38"/>
      <c r="AL46" s="38"/>
      <c r="AM46" s="38"/>
      <c r="AN46" s="38"/>
      <c r="AO46" s="38"/>
      <c r="AP46" s="47"/>
      <c r="AQ46" s="47"/>
      <c r="AR46" s="47"/>
      <c r="AS46" s="47"/>
      <c r="AT46" s="47"/>
      <c r="AU46" s="47"/>
      <c r="AV46" s="47"/>
      <c r="AW46" s="39"/>
      <c r="AX46" s="39"/>
      <c r="AZ46" s="40"/>
      <c r="BA46" s="40"/>
      <c r="BB46" s="40"/>
      <c r="BC46" s="40"/>
      <c r="BD46" s="40"/>
      <c r="BE46" s="40"/>
      <c r="BF46" s="40"/>
      <c r="BH46" s="101"/>
      <c r="BI46" s="101"/>
      <c r="BJ46" s="101"/>
      <c r="BK46" s="101"/>
      <c r="BL46" s="101"/>
      <c r="BM46" s="101"/>
      <c r="BN46" s="101"/>
      <c r="BP46" s="40">
        <f t="shared" si="20"/>
        <v>0</v>
      </c>
      <c r="BQ46" s="40">
        <f t="shared" si="21"/>
        <v>0</v>
      </c>
      <c r="BR46" s="40">
        <f t="shared" si="22"/>
        <v>0</v>
      </c>
      <c r="BS46" s="40">
        <f t="shared" si="23"/>
        <v>0</v>
      </c>
      <c r="BT46" s="40">
        <f t="shared" si="24"/>
        <v>0</v>
      </c>
    </row>
    <row r="47" spans="1:72" ht="15" customHeight="1" outlineLevel="1" x14ac:dyDescent="0.15">
      <c r="A47" s="17"/>
      <c r="B47" s="17" t="s">
        <v>428</v>
      </c>
      <c r="C47" s="19" t="s">
        <v>364</v>
      </c>
      <c r="D47" s="17">
        <v>199984</v>
      </c>
      <c r="E47" s="18">
        <v>10</v>
      </c>
      <c r="F47" s="19">
        <v>1</v>
      </c>
      <c r="G47" s="19">
        <v>30</v>
      </c>
      <c r="H47" s="19">
        <v>11</v>
      </c>
      <c r="J47" s="20">
        <f t="shared" si="12"/>
        <v>27.548159999999999</v>
      </c>
      <c r="K47" s="21">
        <f t="shared" si="13"/>
        <v>4.5917273381870549</v>
      </c>
      <c r="L47" s="19">
        <f t="shared" si="14"/>
        <v>918272</v>
      </c>
      <c r="M47" s="19">
        <f t="shared" si="15"/>
        <v>201688</v>
      </c>
      <c r="N47" s="44">
        <v>767872</v>
      </c>
      <c r="O47" s="22">
        <v>918272</v>
      </c>
      <c r="P47" s="22">
        <v>141704</v>
      </c>
      <c r="Q47" s="22">
        <v>0</v>
      </c>
      <c r="R47" s="22">
        <v>59984</v>
      </c>
      <c r="S47" s="22">
        <v>714904</v>
      </c>
      <c r="T47" s="22">
        <v>1680</v>
      </c>
      <c r="U47" s="45">
        <v>81.334224199999994</v>
      </c>
      <c r="V47" s="45">
        <v>86.582821699999997</v>
      </c>
      <c r="W47" s="45">
        <v>32.737954999999999</v>
      </c>
      <c r="X47" s="45">
        <v>44.933899199999999</v>
      </c>
      <c r="Y47" s="45">
        <v>43.992284499999997</v>
      </c>
      <c r="Z47" s="45">
        <v>58.616900700000002</v>
      </c>
      <c r="AA47" s="45">
        <v>32.434200199999999</v>
      </c>
      <c r="AB47" s="23">
        <v>21.312861999999999</v>
      </c>
      <c r="AC47" s="23">
        <v>0.72946999999999995</v>
      </c>
      <c r="AE47" s="20" t="str">
        <f t="shared" si="16"/>
        <v>·</v>
      </c>
      <c r="AF47" s="21" t="str">
        <f t="shared" si="17"/>
        <v>·</v>
      </c>
      <c r="AG47" s="19" t="str">
        <f t="shared" si="18"/>
        <v>.</v>
      </c>
      <c r="AH47" s="19" t="str">
        <f t="shared" si="19"/>
        <v>.</v>
      </c>
      <c r="AI47" s="44"/>
      <c r="AJ47" s="22"/>
      <c r="AK47" s="22"/>
      <c r="AL47" s="22"/>
      <c r="AM47" s="22"/>
      <c r="AN47" s="22"/>
      <c r="AO47" s="22"/>
      <c r="AP47" s="45"/>
      <c r="AQ47" s="45"/>
      <c r="AR47" s="45"/>
      <c r="AS47" s="45"/>
      <c r="AT47" s="45"/>
      <c r="AU47" s="45"/>
      <c r="AV47" s="45"/>
      <c r="AW47" s="23"/>
      <c r="AX47" s="23"/>
      <c r="AZ47" s="24"/>
      <c r="BA47" s="24"/>
      <c r="BB47" s="24"/>
      <c r="BC47" s="24"/>
      <c r="BD47" s="24"/>
      <c r="BE47" s="24"/>
      <c r="BF47" s="24"/>
      <c r="BH47" s="100"/>
      <c r="BI47" s="100"/>
      <c r="BJ47" s="100"/>
      <c r="BK47" s="100"/>
      <c r="BL47" s="100"/>
      <c r="BM47" s="100"/>
      <c r="BN47" s="100"/>
      <c r="BP47" s="24">
        <f t="shared" si="20"/>
        <v>0</v>
      </c>
      <c r="BQ47" s="24">
        <f t="shared" si="21"/>
        <v>0</v>
      </c>
      <c r="BR47" s="24">
        <f t="shared" si="22"/>
        <v>0</v>
      </c>
      <c r="BS47" s="24">
        <f t="shared" si="23"/>
        <v>0</v>
      </c>
      <c r="BT47" s="24">
        <f t="shared" si="24"/>
        <v>0</v>
      </c>
    </row>
    <row r="48" spans="1:72" ht="15" customHeight="1" outlineLevel="1" x14ac:dyDescent="0.15">
      <c r="A48" s="33"/>
      <c r="B48" s="33" t="s">
        <v>428</v>
      </c>
      <c r="C48" s="35" t="s">
        <v>365</v>
      </c>
      <c r="D48" s="33">
        <v>199984</v>
      </c>
      <c r="E48" s="34">
        <v>10</v>
      </c>
      <c r="F48" s="35">
        <v>1</v>
      </c>
      <c r="G48" s="35">
        <v>30</v>
      </c>
      <c r="H48" s="35">
        <v>14</v>
      </c>
      <c r="J48" s="36">
        <f t="shared" si="12"/>
        <v>50.752560000000003</v>
      </c>
      <c r="K48" s="37">
        <f t="shared" si="13"/>
        <v>8.4594367549403948</v>
      </c>
      <c r="L48" s="35">
        <f t="shared" si="14"/>
        <v>1691752</v>
      </c>
      <c r="M48" s="35">
        <f t="shared" si="15"/>
        <v>303544</v>
      </c>
      <c r="N48" s="46">
        <v>1535744</v>
      </c>
      <c r="O48" s="38">
        <v>1691752</v>
      </c>
      <c r="P48" s="38">
        <v>248112</v>
      </c>
      <c r="Q48" s="38">
        <v>0</v>
      </c>
      <c r="R48" s="38">
        <v>55432</v>
      </c>
      <c r="S48" s="38">
        <v>1386528</v>
      </c>
      <c r="T48" s="38">
        <v>1680</v>
      </c>
      <c r="U48" s="47">
        <v>82.120771199999993</v>
      </c>
      <c r="V48" s="47">
        <v>88.265081100000003</v>
      </c>
      <c r="W48" s="47">
        <v>33.567344599999998</v>
      </c>
      <c r="X48" s="47">
        <v>46.3748389</v>
      </c>
      <c r="Y48" s="47">
        <v>45.425838900000002</v>
      </c>
      <c r="Z48" s="47">
        <v>59.151543500000002</v>
      </c>
      <c r="AA48" s="47">
        <v>33.257023400000001</v>
      </c>
      <c r="AB48" s="39">
        <v>28.818612000000002</v>
      </c>
      <c r="AC48" s="39">
        <v>0.76436499999999996</v>
      </c>
      <c r="AE48" s="36" t="str">
        <f t="shared" si="16"/>
        <v>·</v>
      </c>
      <c r="AF48" s="37" t="str">
        <f t="shared" si="17"/>
        <v>·</v>
      </c>
      <c r="AG48" s="35" t="str">
        <f t="shared" si="18"/>
        <v>.</v>
      </c>
      <c r="AH48" s="35" t="str">
        <f t="shared" si="19"/>
        <v>.</v>
      </c>
      <c r="AI48" s="46"/>
      <c r="AJ48" s="38"/>
      <c r="AK48" s="38"/>
      <c r="AL48" s="38"/>
      <c r="AM48" s="38"/>
      <c r="AN48" s="38"/>
      <c r="AO48" s="38"/>
      <c r="AP48" s="47"/>
      <c r="AQ48" s="47"/>
      <c r="AR48" s="47"/>
      <c r="AS48" s="47"/>
      <c r="AT48" s="47"/>
      <c r="AU48" s="47"/>
      <c r="AV48" s="47"/>
      <c r="AW48" s="39"/>
      <c r="AX48" s="39"/>
      <c r="AZ48" s="40"/>
      <c r="BA48" s="40"/>
      <c r="BB48" s="40"/>
      <c r="BC48" s="40"/>
      <c r="BD48" s="40"/>
      <c r="BE48" s="40"/>
      <c r="BF48" s="40"/>
      <c r="BH48" s="101"/>
      <c r="BI48" s="101"/>
      <c r="BJ48" s="101"/>
      <c r="BK48" s="101"/>
      <c r="BL48" s="101"/>
      <c r="BM48" s="101"/>
      <c r="BN48" s="101"/>
      <c r="BP48" s="40">
        <f t="shared" si="20"/>
        <v>0</v>
      </c>
      <c r="BQ48" s="40">
        <f t="shared" si="21"/>
        <v>0</v>
      </c>
      <c r="BR48" s="40">
        <f t="shared" si="22"/>
        <v>0</v>
      </c>
      <c r="BS48" s="40">
        <f t="shared" si="23"/>
        <v>0</v>
      </c>
      <c r="BT48" s="40">
        <f t="shared" si="24"/>
        <v>0</v>
      </c>
    </row>
    <row r="49" spans="1:72" ht="15.75" customHeight="1" outlineLevel="1" thickBot="1" x14ac:dyDescent="0.2">
      <c r="A49" s="48"/>
      <c r="B49" s="48" t="s">
        <v>428</v>
      </c>
      <c r="C49" s="49" t="s">
        <v>366</v>
      </c>
      <c r="D49" s="48">
        <v>199984</v>
      </c>
      <c r="E49" s="50">
        <v>10</v>
      </c>
      <c r="F49" s="49">
        <v>1</v>
      </c>
      <c r="G49" s="49">
        <v>30</v>
      </c>
      <c r="H49" s="49">
        <v>21</v>
      </c>
      <c r="J49" s="51">
        <f t="shared" si="12"/>
        <v>90.078239999999994</v>
      </c>
      <c r="K49" s="52">
        <f t="shared" si="13"/>
        <v>15.014241139291144</v>
      </c>
      <c r="L49" s="49">
        <f t="shared" si="14"/>
        <v>3002608</v>
      </c>
      <c r="M49" s="49">
        <f t="shared" si="15"/>
        <v>312936</v>
      </c>
      <c r="N49" s="53">
        <v>1535744</v>
      </c>
      <c r="O49" s="54">
        <v>3002608</v>
      </c>
      <c r="P49" s="54">
        <v>248112</v>
      </c>
      <c r="Q49" s="54">
        <v>0</v>
      </c>
      <c r="R49" s="54">
        <v>64824</v>
      </c>
      <c r="S49" s="54">
        <v>2687984</v>
      </c>
      <c r="T49" s="54">
        <v>1688</v>
      </c>
      <c r="U49" s="55">
        <v>82.296570799999998</v>
      </c>
      <c r="V49" s="55">
        <v>88.772984699999995</v>
      </c>
      <c r="W49" s="55">
        <v>34.238238899999999</v>
      </c>
      <c r="X49" s="55">
        <v>48.012117199999999</v>
      </c>
      <c r="Y49" s="55">
        <v>46.998905299999997</v>
      </c>
      <c r="Z49" s="55">
        <v>59.486194699999999</v>
      </c>
      <c r="AA49" s="55">
        <v>33.879080799999997</v>
      </c>
      <c r="AB49" s="56">
        <v>42.107447999999998</v>
      </c>
      <c r="AC49" s="56">
        <v>1.100943</v>
      </c>
      <c r="AE49" s="51" t="str">
        <f t="shared" si="16"/>
        <v>·</v>
      </c>
      <c r="AF49" s="52" t="str">
        <f t="shared" si="17"/>
        <v>·</v>
      </c>
      <c r="AG49" s="49" t="str">
        <f t="shared" si="18"/>
        <v>.</v>
      </c>
      <c r="AH49" s="49" t="str">
        <f t="shared" si="19"/>
        <v>.</v>
      </c>
      <c r="AI49" s="53"/>
      <c r="AJ49" s="54"/>
      <c r="AK49" s="54"/>
      <c r="AL49" s="54"/>
      <c r="AM49" s="54"/>
      <c r="AN49" s="54"/>
      <c r="AO49" s="54"/>
      <c r="AP49" s="55"/>
      <c r="AQ49" s="55"/>
      <c r="AR49" s="55"/>
      <c r="AS49" s="55"/>
      <c r="AT49" s="55"/>
      <c r="AU49" s="55"/>
      <c r="AV49" s="55"/>
      <c r="AW49" s="56"/>
      <c r="AX49" s="56"/>
      <c r="AZ49" s="57"/>
      <c r="BA49" s="57"/>
      <c r="BB49" s="57"/>
      <c r="BC49" s="57"/>
      <c r="BD49" s="57"/>
      <c r="BE49" s="57"/>
      <c r="BF49" s="57"/>
      <c r="BH49" s="102"/>
      <c r="BI49" s="102"/>
      <c r="BJ49" s="102"/>
      <c r="BK49" s="102"/>
      <c r="BL49" s="102"/>
      <c r="BM49" s="102"/>
      <c r="BN49" s="102"/>
      <c r="BP49" s="57">
        <f t="shared" si="20"/>
        <v>0</v>
      </c>
      <c r="BQ49" s="57">
        <f t="shared" si="21"/>
        <v>0</v>
      </c>
      <c r="BR49" s="57">
        <f t="shared" si="22"/>
        <v>0</v>
      </c>
      <c r="BS49" s="57">
        <f t="shared" si="23"/>
        <v>0</v>
      </c>
      <c r="BT49" s="57">
        <f t="shared" si="24"/>
        <v>0</v>
      </c>
    </row>
    <row r="50" spans="1:72" x14ac:dyDescent="0.15">
      <c r="B50" s="41" t="s">
        <v>7</v>
      </c>
      <c r="K50" s="42">
        <f>AVERAGE(K5:K14)</f>
        <v>1.1228837394359688</v>
      </c>
      <c r="L50" s="42"/>
      <c r="M50" s="42"/>
      <c r="T50" s="104"/>
      <c r="AF50" s="42" t="e">
        <f>AVERAGE(AF5:AF14)</f>
        <v>#DIV/0!</v>
      </c>
      <c r="AG50" s="42"/>
      <c r="AH50" s="42"/>
      <c r="AZ50" s="5" t="e">
        <f t="shared" ref="AZ50:BF50" si="25">AVERAGE(AZ5:AZ14)</f>
        <v>#DIV/0!</v>
      </c>
      <c r="BA50" s="5" t="e">
        <f t="shared" si="25"/>
        <v>#DIV/0!</v>
      </c>
      <c r="BB50" s="5" t="e">
        <f t="shared" si="25"/>
        <v>#DIV/0!</v>
      </c>
      <c r="BC50" s="5" t="e">
        <f t="shared" si="25"/>
        <v>#DIV/0!</v>
      </c>
      <c r="BD50" s="5" t="e">
        <f t="shared" si="25"/>
        <v>#DIV/0!</v>
      </c>
      <c r="BE50" s="5" t="e">
        <f t="shared" si="25"/>
        <v>#DIV/0!</v>
      </c>
      <c r="BF50" s="5" t="e">
        <f t="shared" si="25"/>
        <v>#DIV/0!</v>
      </c>
      <c r="BH50" s="5" t="e">
        <f t="shared" ref="BH50:BN50" si="26">AVERAGE(BH5:BH14)</f>
        <v>#DIV/0!</v>
      </c>
      <c r="BI50" s="5" t="e">
        <f t="shared" si="26"/>
        <v>#DIV/0!</v>
      </c>
      <c r="BJ50" s="5" t="e">
        <f t="shared" si="26"/>
        <v>#DIV/0!</v>
      </c>
      <c r="BK50" s="5" t="e">
        <f t="shared" si="26"/>
        <v>#DIV/0!</v>
      </c>
      <c r="BL50" s="5" t="e">
        <f t="shared" si="26"/>
        <v>#DIV/0!</v>
      </c>
      <c r="BM50" s="5" t="e">
        <f t="shared" si="26"/>
        <v>#DIV/0!</v>
      </c>
      <c r="BN50" s="5" t="e">
        <f t="shared" si="26"/>
        <v>#DIV/0!</v>
      </c>
      <c r="BP50" s="5">
        <f>AVERAGE(BP5:BP14)</f>
        <v>0</v>
      </c>
      <c r="BQ50" s="5">
        <f>AVERAGE(BQ5:BQ14)</f>
        <v>0</v>
      </c>
      <c r="BR50" s="5">
        <f>AVERAGE(BR5:BR14)</f>
        <v>0</v>
      </c>
      <c r="BS50" s="5">
        <f>AVERAGE(BS5:BS14)</f>
        <v>0</v>
      </c>
      <c r="BT50" s="5">
        <f>AVERAGE(BT5:BT14)</f>
        <v>0</v>
      </c>
    </row>
    <row r="51" spans="1:72" x14ac:dyDescent="0.15">
      <c r="B51" s="41" t="s">
        <v>8</v>
      </c>
      <c r="K51" s="42">
        <f>AVERAGE(K15:K24)</f>
        <v>0.94486012804123087</v>
      </c>
      <c r="L51" s="42"/>
      <c r="M51" s="42"/>
      <c r="AF51" s="42" t="e">
        <f>AVERAGE(AF15:AF24)</f>
        <v>#DIV/0!</v>
      </c>
      <c r="AG51" s="42"/>
      <c r="AH51" s="42"/>
      <c r="AZ51" s="5" t="e">
        <f t="shared" ref="AZ51:BF51" si="27">AVERAGE(AZ15:AZ24)</f>
        <v>#DIV/0!</v>
      </c>
      <c r="BA51" s="5" t="e">
        <f t="shared" si="27"/>
        <v>#DIV/0!</v>
      </c>
      <c r="BB51" s="5" t="e">
        <f t="shared" si="27"/>
        <v>#DIV/0!</v>
      </c>
      <c r="BC51" s="5" t="e">
        <f t="shared" si="27"/>
        <v>#DIV/0!</v>
      </c>
      <c r="BD51" s="5" t="e">
        <f t="shared" si="27"/>
        <v>#DIV/0!</v>
      </c>
      <c r="BE51" s="5" t="e">
        <f t="shared" si="27"/>
        <v>#DIV/0!</v>
      </c>
      <c r="BF51" s="5" t="e">
        <f t="shared" si="27"/>
        <v>#DIV/0!</v>
      </c>
      <c r="BH51" s="5" t="e">
        <f t="shared" ref="BH51:BN51" si="28">AVERAGE(BH15:BH24)</f>
        <v>#DIV/0!</v>
      </c>
      <c r="BI51" s="5" t="e">
        <f t="shared" si="28"/>
        <v>#DIV/0!</v>
      </c>
      <c r="BJ51" s="5" t="e">
        <f t="shared" si="28"/>
        <v>#DIV/0!</v>
      </c>
      <c r="BK51" s="5" t="e">
        <f t="shared" si="28"/>
        <v>#DIV/0!</v>
      </c>
      <c r="BL51" s="5" t="e">
        <f t="shared" si="28"/>
        <v>#DIV/0!</v>
      </c>
      <c r="BM51" s="5" t="e">
        <f t="shared" si="28"/>
        <v>#DIV/0!</v>
      </c>
      <c r="BN51" s="5" t="e">
        <f t="shared" si="28"/>
        <v>#DIV/0!</v>
      </c>
      <c r="BP51" s="5">
        <f>AVERAGE(BP15:BP24)</f>
        <v>0</v>
      </c>
      <c r="BQ51" s="5">
        <f>AVERAGE(BQ15:BQ24)</f>
        <v>0</v>
      </c>
      <c r="BR51" s="5">
        <f>AVERAGE(BR15:BR24)</f>
        <v>0</v>
      </c>
      <c r="BS51" s="5">
        <f>AVERAGE(BS15:BS24)</f>
        <v>0</v>
      </c>
      <c r="BT51" s="5">
        <f>AVERAGE(BT15:BT24)</f>
        <v>0</v>
      </c>
    </row>
    <row r="52" spans="1:72" x14ac:dyDescent="0.15">
      <c r="B52" s="41" t="s">
        <v>9</v>
      </c>
      <c r="K52" s="42">
        <f>AVERAGE(K25:K44)</f>
        <v>1.1914787851422242</v>
      </c>
      <c r="L52" s="42"/>
      <c r="M52" s="42"/>
      <c r="T52" s="98"/>
      <c r="AF52" s="42" t="e">
        <f>AVERAGE(AF25:AF44)</f>
        <v>#DIV/0!</v>
      </c>
      <c r="AG52" s="42"/>
      <c r="AH52" s="42"/>
      <c r="AZ52" s="5" t="e">
        <f t="shared" ref="AZ52:BF52" si="29">AVERAGE(AZ25:AZ44)</f>
        <v>#DIV/0!</v>
      </c>
      <c r="BA52" s="5" t="e">
        <f t="shared" si="29"/>
        <v>#DIV/0!</v>
      </c>
      <c r="BB52" s="5" t="e">
        <f t="shared" si="29"/>
        <v>#DIV/0!</v>
      </c>
      <c r="BC52" s="5" t="e">
        <f t="shared" si="29"/>
        <v>#DIV/0!</v>
      </c>
      <c r="BD52" s="5" t="e">
        <f t="shared" si="29"/>
        <v>#DIV/0!</v>
      </c>
      <c r="BE52" s="5" t="e">
        <f t="shared" si="29"/>
        <v>#DIV/0!</v>
      </c>
      <c r="BF52" s="5" t="e">
        <f t="shared" si="29"/>
        <v>#DIV/0!</v>
      </c>
      <c r="BH52" s="5" t="e">
        <f t="shared" ref="BH52:BN52" si="30">AVERAGE(BH25:BH44)</f>
        <v>#DIV/0!</v>
      </c>
      <c r="BI52" s="5" t="e">
        <f t="shared" si="30"/>
        <v>#DIV/0!</v>
      </c>
      <c r="BJ52" s="5" t="e">
        <f t="shared" si="30"/>
        <v>#DIV/0!</v>
      </c>
      <c r="BK52" s="5" t="e">
        <f t="shared" si="30"/>
        <v>#DIV/0!</v>
      </c>
      <c r="BL52" s="5" t="e">
        <f t="shared" si="30"/>
        <v>#DIV/0!</v>
      </c>
      <c r="BM52" s="5" t="e">
        <f t="shared" si="30"/>
        <v>#DIV/0!</v>
      </c>
      <c r="BN52" s="5" t="e">
        <f t="shared" si="30"/>
        <v>#DIV/0!</v>
      </c>
      <c r="BP52" s="5">
        <f>AVERAGE(BP25:BP44)</f>
        <v>0</v>
      </c>
      <c r="BQ52" s="5">
        <f>AVERAGE(BQ25:BQ44)</f>
        <v>0</v>
      </c>
      <c r="BR52" s="5">
        <f>AVERAGE(BR25:BR44)</f>
        <v>0</v>
      </c>
      <c r="BS52" s="5">
        <f>AVERAGE(BS25:BS44)</f>
        <v>0</v>
      </c>
      <c r="BT52" s="5">
        <f>AVERAGE(BT25:BT44)</f>
        <v>0</v>
      </c>
    </row>
    <row r="53" spans="1:72" x14ac:dyDescent="0.15">
      <c r="B53" s="41" t="s">
        <v>429</v>
      </c>
      <c r="K53" s="42">
        <f>AVERAGE(K45:K49)</f>
        <v>6.1465797263781097</v>
      </c>
      <c r="L53" s="42"/>
      <c r="M53" s="42"/>
      <c r="AF53" s="42" t="e">
        <f>AVERAGE(AF45:AF49)</f>
        <v>#DIV/0!</v>
      </c>
      <c r="AG53" s="42"/>
      <c r="AH53" s="42"/>
      <c r="AZ53" s="5" t="e">
        <f>AVERAGE(AZ45:AZ49)</f>
        <v>#DIV/0!</v>
      </c>
      <c r="BA53" s="5" t="e">
        <f t="shared" ref="BA53:BN53" si="31">AVERAGE(BA45:BA49)</f>
        <v>#DIV/0!</v>
      </c>
      <c r="BB53" s="5" t="e">
        <f t="shared" si="31"/>
        <v>#DIV/0!</v>
      </c>
      <c r="BC53" s="5" t="e">
        <f t="shared" si="31"/>
        <v>#DIV/0!</v>
      </c>
      <c r="BD53" s="5" t="e">
        <f t="shared" si="31"/>
        <v>#DIV/0!</v>
      </c>
      <c r="BE53" s="5" t="e">
        <f t="shared" si="31"/>
        <v>#DIV/0!</v>
      </c>
      <c r="BF53" s="5" t="e">
        <f t="shared" si="31"/>
        <v>#DIV/0!</v>
      </c>
      <c r="BG53" s="5"/>
      <c r="BH53" s="5" t="e">
        <f t="shared" si="31"/>
        <v>#DIV/0!</v>
      </c>
      <c r="BI53" s="5" t="e">
        <f t="shared" si="31"/>
        <v>#DIV/0!</v>
      </c>
      <c r="BJ53" s="5" t="e">
        <f t="shared" si="31"/>
        <v>#DIV/0!</v>
      </c>
      <c r="BK53" s="5" t="e">
        <f t="shared" si="31"/>
        <v>#DIV/0!</v>
      </c>
      <c r="BL53" s="5" t="e">
        <f t="shared" si="31"/>
        <v>#DIV/0!</v>
      </c>
      <c r="BM53" s="5" t="e">
        <f t="shared" si="31"/>
        <v>#DIV/0!</v>
      </c>
      <c r="BN53" s="5" t="e">
        <f t="shared" si="31"/>
        <v>#DIV/0!</v>
      </c>
      <c r="BP53" s="5">
        <f>AVERAGE(BP45:BP49)</f>
        <v>0</v>
      </c>
      <c r="BQ53" s="5">
        <f t="shared" ref="BQ53:BT53" si="32">AVERAGE(BQ45:BQ49)</f>
        <v>0</v>
      </c>
      <c r="BR53" s="5">
        <f t="shared" si="32"/>
        <v>0</v>
      </c>
      <c r="BS53" s="5">
        <f t="shared" si="32"/>
        <v>0</v>
      </c>
      <c r="BT53" s="5">
        <f t="shared" si="32"/>
        <v>0</v>
      </c>
    </row>
    <row r="54" spans="1:72" x14ac:dyDescent="0.15">
      <c r="B54" s="41" t="s">
        <v>10</v>
      </c>
      <c r="K54" s="42">
        <f>AVERAGE(K5:K49)</f>
        <v>1.6719980668779342</v>
      </c>
      <c r="L54" s="42"/>
      <c r="M54" s="42"/>
      <c r="AF54" s="42" t="e">
        <f>AVERAGE(AF5:AF49)</f>
        <v>#DIV/0!</v>
      </c>
      <c r="AG54" s="42"/>
      <c r="AH54" s="42"/>
      <c r="AZ54" s="5" t="e">
        <f>AVERAGE(AZ5:AZ49)</f>
        <v>#DIV/0!</v>
      </c>
      <c r="BA54" s="5" t="e">
        <f t="shared" ref="BA54:BF54" si="33">AVERAGE(BA5:BA49)</f>
        <v>#DIV/0!</v>
      </c>
      <c r="BB54" s="5" t="e">
        <f t="shared" si="33"/>
        <v>#DIV/0!</v>
      </c>
      <c r="BC54" s="5" t="e">
        <f t="shared" si="33"/>
        <v>#DIV/0!</v>
      </c>
      <c r="BD54" s="5" t="e">
        <f t="shared" si="33"/>
        <v>#DIV/0!</v>
      </c>
      <c r="BE54" s="5" t="e">
        <f t="shared" si="33"/>
        <v>#DIV/0!</v>
      </c>
      <c r="BF54" s="5" t="e">
        <f t="shared" si="33"/>
        <v>#DIV/0!</v>
      </c>
      <c r="BH54" s="5" t="e">
        <f>AVERAGE(BH5:BH49)</f>
        <v>#DIV/0!</v>
      </c>
      <c r="BI54" s="5" t="e">
        <f t="shared" ref="BI54:BN54" si="34">AVERAGE(BI5:BI49)</f>
        <v>#DIV/0!</v>
      </c>
      <c r="BJ54" s="5" t="e">
        <f t="shared" si="34"/>
        <v>#DIV/0!</v>
      </c>
      <c r="BK54" s="5" t="e">
        <f t="shared" si="34"/>
        <v>#DIV/0!</v>
      </c>
      <c r="BL54" s="5" t="e">
        <f t="shared" si="34"/>
        <v>#DIV/0!</v>
      </c>
      <c r="BM54" s="5" t="e">
        <f t="shared" si="34"/>
        <v>#DIV/0!</v>
      </c>
      <c r="BN54" s="5" t="e">
        <f t="shared" si="34"/>
        <v>#DIV/0!</v>
      </c>
      <c r="BP54" s="5">
        <f>AVERAGE(BP5:BP49)</f>
        <v>0</v>
      </c>
      <c r="BQ54" s="5">
        <f t="shared" ref="BQ54:BT54" si="35">AVERAGE(BQ5:BQ49)</f>
        <v>0</v>
      </c>
      <c r="BR54" s="5">
        <f t="shared" si="35"/>
        <v>0</v>
      </c>
      <c r="BS54" s="5">
        <f t="shared" si="35"/>
        <v>0</v>
      </c>
      <c r="BT54" s="5">
        <f t="shared" si="35"/>
        <v>0</v>
      </c>
    </row>
    <row r="55" spans="1:72" x14ac:dyDescent="0.15">
      <c r="A55" s="41" t="s">
        <v>178</v>
      </c>
      <c r="B55" s="41" t="s">
        <v>179</v>
      </c>
      <c r="AB55" s="43">
        <f>SUM(AB5:AB14,AB15:AB24,AB25:AB44,AB45:AB49)</f>
        <v>98120.859138000058</v>
      </c>
      <c r="AC55" s="43">
        <f>SUM(AC5:AC14,AC15:AC24,AC25:AC44,AC45:AC49)</f>
        <v>679.21191099999999</v>
      </c>
      <c r="AW55" s="43">
        <f>SUM(AW5:AW14,AW15:AW24,AW25:AW44,AW45:AW49)</f>
        <v>0</v>
      </c>
      <c r="AX55" s="43">
        <f>SUM(AX5:AX14,AX15:AX24,AX25:AX44,AX45:AX49)</f>
        <v>0</v>
      </c>
    </row>
    <row r="56" spans="1:72" x14ac:dyDescent="0.15">
      <c r="B56" s="41" t="s">
        <v>180</v>
      </c>
      <c r="AJ56" s="98"/>
      <c r="AW56" s="8">
        <f>AW55/AB55</f>
        <v>0</v>
      </c>
      <c r="AX56" s="8">
        <f>AX55/AC55</f>
        <v>0</v>
      </c>
    </row>
    <row r="57" spans="1:72" x14ac:dyDescent="0.15">
      <c r="AJ57" s="98"/>
    </row>
    <row r="58" spans="1:72" x14ac:dyDescent="0.15">
      <c r="AJ58" s="98"/>
      <c r="AL58" s="103"/>
    </row>
    <row r="59" spans="1:72" ht="15.75" customHeight="1" thickBot="1" x14ac:dyDescent="0.2">
      <c r="AJ59" s="98"/>
    </row>
    <row r="60" spans="1:72" x14ac:dyDescent="0.15">
      <c r="AG60" s="88" t="e">
        <f t="shared" ref="AG60:AG99" si="36">AG5-L5</f>
        <v>#VALUE!</v>
      </c>
      <c r="AH60" s="88" t="e">
        <f t="shared" ref="AH60:AH99" si="37">AH5-M5</f>
        <v>#VALUE!</v>
      </c>
      <c r="AI60" s="88">
        <f t="shared" ref="AI60:AI99" si="38">AI5-N5</f>
        <v>-2415872</v>
      </c>
      <c r="AJ60" s="88">
        <f t="shared" ref="AJ60:AJ99" si="39">AJ5-O5</f>
        <v>-4286552</v>
      </c>
      <c r="AK60" s="88">
        <f t="shared" ref="AK60:AK99" si="40">AK5-P5</f>
        <v>-812056</v>
      </c>
      <c r="AL60" s="88">
        <f t="shared" ref="AL60:AL99" si="41">AL5-Q5</f>
        <v>0</v>
      </c>
      <c r="AM60" s="88">
        <f t="shared" ref="AM60:AM99" si="42">AM5-R5</f>
        <v>-624528</v>
      </c>
      <c r="AN60" s="88">
        <f t="shared" ref="AN60:AN99" si="43">AN5-S5</f>
        <v>-2834648</v>
      </c>
      <c r="AO60" s="88">
        <f t="shared" ref="AO60:AO99" si="44">AO5-T5</f>
        <v>-15320</v>
      </c>
      <c r="AP60" s="88">
        <f t="shared" ref="AP60:AP99" si="45">AP5-U5</f>
        <v>-68.757466399999998</v>
      </c>
      <c r="AQ60" s="89">
        <f t="shared" ref="AQ60:AQ99" si="46">AQ5-V5</f>
        <v>-69.815127899999993</v>
      </c>
      <c r="AR60" s="89">
        <f t="shared" ref="AR60:AR99" si="47">AR5-W5</f>
        <v>-27.905221900000001</v>
      </c>
      <c r="AS60" s="89">
        <f t="shared" ref="AS60:AS99" si="48">AS5-X5</f>
        <v>-33.578688200000002</v>
      </c>
      <c r="AT60" s="89">
        <f t="shared" ref="AT60:AT99" si="49">AT5-Y5</f>
        <v>-32.972934199999997</v>
      </c>
      <c r="AU60" s="89">
        <f t="shared" ref="AU60:AU99" si="50">AU5-Z5</f>
        <v>-49.097363100000003</v>
      </c>
      <c r="AV60" s="90">
        <f t="shared" ref="AV60:AV99" si="51">AV5-AA5</f>
        <v>-26.809715499999999</v>
      </c>
    </row>
    <row r="61" spans="1:72" x14ac:dyDescent="0.15">
      <c r="AG61" s="91" t="e">
        <f t="shared" si="36"/>
        <v>#VALUE!</v>
      </c>
      <c r="AH61" s="91" t="e">
        <f t="shared" si="37"/>
        <v>#VALUE!</v>
      </c>
      <c r="AI61" s="91">
        <f t="shared" si="38"/>
        <v>-2415872</v>
      </c>
      <c r="AJ61" s="91">
        <f t="shared" si="39"/>
        <v>-8740256</v>
      </c>
      <c r="AK61" s="91">
        <f t="shared" si="40"/>
        <v>-812056</v>
      </c>
      <c r="AL61" s="91">
        <f t="shared" si="41"/>
        <v>0</v>
      </c>
      <c r="AM61" s="91">
        <f t="shared" si="42"/>
        <v>-1112840</v>
      </c>
      <c r="AN61" s="91">
        <f t="shared" si="43"/>
        <v>-6800752</v>
      </c>
      <c r="AO61" s="91">
        <f t="shared" si="44"/>
        <v>-14608</v>
      </c>
      <c r="AP61" s="91">
        <f t="shared" si="45"/>
        <v>-70.379693399999994</v>
      </c>
      <c r="AQ61" s="92">
        <f t="shared" si="46"/>
        <v>-71.626465499999995</v>
      </c>
      <c r="AR61" s="92">
        <f t="shared" si="47"/>
        <v>-31.162913400000001</v>
      </c>
      <c r="AS61" s="92">
        <f t="shared" si="48"/>
        <v>-34.780375300000003</v>
      </c>
      <c r="AT61" s="92">
        <f t="shared" si="49"/>
        <v>-34.3021995</v>
      </c>
      <c r="AU61" s="92">
        <f t="shared" si="50"/>
        <v>-49.983022099999999</v>
      </c>
      <c r="AV61" s="93">
        <f t="shared" si="51"/>
        <v>-29.008596300000001</v>
      </c>
    </row>
    <row r="62" spans="1:72" x14ac:dyDescent="0.15">
      <c r="AG62" s="91" t="e">
        <f t="shared" si="36"/>
        <v>#VALUE!</v>
      </c>
      <c r="AH62" s="91" t="e">
        <f t="shared" si="37"/>
        <v>#VALUE!</v>
      </c>
      <c r="AI62" s="91">
        <f t="shared" si="38"/>
        <v>-4871680</v>
      </c>
      <c r="AJ62" s="91">
        <f t="shared" si="39"/>
        <v>-11907856</v>
      </c>
      <c r="AK62" s="91">
        <f t="shared" si="40"/>
        <v>-1283216</v>
      </c>
      <c r="AL62" s="91">
        <f t="shared" si="41"/>
        <v>0</v>
      </c>
      <c r="AM62" s="91">
        <f t="shared" si="42"/>
        <v>-1077016</v>
      </c>
      <c r="AN62" s="91">
        <f t="shared" si="43"/>
        <v>-9532256</v>
      </c>
      <c r="AO62" s="91">
        <f t="shared" si="44"/>
        <v>-15368</v>
      </c>
      <c r="AP62" s="91">
        <f t="shared" si="45"/>
        <v>-72.464860200000004</v>
      </c>
      <c r="AQ62" s="92">
        <f t="shared" si="46"/>
        <v>-74.030376500000003</v>
      </c>
      <c r="AR62" s="92">
        <f t="shared" si="47"/>
        <v>-32.311214399999997</v>
      </c>
      <c r="AS62" s="92">
        <f t="shared" si="48"/>
        <v>-36.438897300000001</v>
      </c>
      <c r="AT62" s="92">
        <f t="shared" si="49"/>
        <v>-36.174156199999999</v>
      </c>
      <c r="AU62" s="92">
        <f t="shared" si="50"/>
        <v>-51.153655700000002</v>
      </c>
      <c r="AV62" s="93">
        <f t="shared" si="51"/>
        <v>-30.414665100000001</v>
      </c>
    </row>
    <row r="63" spans="1:72" x14ac:dyDescent="0.15">
      <c r="AG63" s="91" t="e">
        <f t="shared" si="36"/>
        <v>#VALUE!</v>
      </c>
      <c r="AH63" s="91" t="e">
        <f t="shared" si="37"/>
        <v>#VALUE!</v>
      </c>
      <c r="AI63" s="91">
        <f t="shared" si="38"/>
        <v>-9785664</v>
      </c>
      <c r="AJ63" s="91">
        <f t="shared" si="39"/>
        <v>-15206512</v>
      </c>
      <c r="AK63" s="91">
        <f t="shared" si="40"/>
        <v>-2116376</v>
      </c>
      <c r="AL63" s="91">
        <f t="shared" si="41"/>
        <v>0</v>
      </c>
      <c r="AM63" s="91">
        <f t="shared" si="42"/>
        <v>-922704</v>
      </c>
      <c r="AN63" s="91">
        <f t="shared" si="43"/>
        <v>-12152120</v>
      </c>
      <c r="AO63" s="91">
        <f t="shared" si="44"/>
        <v>-15312</v>
      </c>
      <c r="AP63" s="91">
        <f t="shared" si="45"/>
        <v>-73.326823399999995</v>
      </c>
      <c r="AQ63" s="92">
        <f t="shared" si="46"/>
        <v>-75.023339699999994</v>
      </c>
      <c r="AR63" s="92">
        <f t="shared" si="47"/>
        <v>-33.330082900000001</v>
      </c>
      <c r="AS63" s="92">
        <f t="shared" si="48"/>
        <v>-37.040237300000001</v>
      </c>
      <c r="AT63" s="92">
        <f t="shared" si="49"/>
        <v>-36.783898100000002</v>
      </c>
      <c r="AU63" s="92">
        <f t="shared" si="50"/>
        <v>-51.779532000000003</v>
      </c>
      <c r="AV63" s="93">
        <f t="shared" si="51"/>
        <v>-31.194994900000001</v>
      </c>
    </row>
    <row r="64" spans="1:72" x14ac:dyDescent="0.15">
      <c r="AG64" s="91" t="e">
        <f t="shared" si="36"/>
        <v>#VALUE!</v>
      </c>
      <c r="AH64" s="91" t="e">
        <f t="shared" si="37"/>
        <v>#VALUE!</v>
      </c>
      <c r="AI64" s="91">
        <f t="shared" si="38"/>
        <v>-9785664</v>
      </c>
      <c r="AJ64" s="91">
        <f t="shared" si="39"/>
        <v>-22923800</v>
      </c>
      <c r="AK64" s="91">
        <f t="shared" si="40"/>
        <v>-2116376</v>
      </c>
      <c r="AL64" s="91">
        <f t="shared" si="41"/>
        <v>0</v>
      </c>
      <c r="AM64" s="91">
        <f t="shared" si="42"/>
        <v>-1687232</v>
      </c>
      <c r="AN64" s="91">
        <f t="shared" si="43"/>
        <v>-19105568</v>
      </c>
      <c r="AO64" s="91">
        <f t="shared" si="44"/>
        <v>-14624</v>
      </c>
      <c r="AP64" s="91">
        <f t="shared" si="45"/>
        <v>-75.008816899999999</v>
      </c>
      <c r="AQ64" s="92">
        <f t="shared" si="46"/>
        <v>-76.994118200000003</v>
      </c>
      <c r="AR64" s="92">
        <f t="shared" si="47"/>
        <v>-34.970319500000002</v>
      </c>
      <c r="AS64" s="92">
        <f t="shared" si="48"/>
        <v>-38.581664500000002</v>
      </c>
      <c r="AT64" s="92">
        <f t="shared" si="49"/>
        <v>-38.294071600000002</v>
      </c>
      <c r="AU64" s="92">
        <f t="shared" si="50"/>
        <v>-52.770030900000002</v>
      </c>
      <c r="AV64" s="93">
        <f t="shared" si="51"/>
        <v>-32.588524100000001</v>
      </c>
    </row>
    <row r="65" spans="33:48" x14ac:dyDescent="0.15">
      <c r="AG65" s="91" t="e">
        <f t="shared" si="36"/>
        <v>#VALUE!</v>
      </c>
      <c r="AH65" s="91" t="e">
        <f t="shared" si="37"/>
        <v>#VALUE!</v>
      </c>
      <c r="AI65" s="91">
        <f t="shared" si="38"/>
        <v>-1032192</v>
      </c>
      <c r="AJ65" s="91">
        <f t="shared" si="39"/>
        <v>-3387928</v>
      </c>
      <c r="AK65" s="91">
        <f t="shared" si="40"/>
        <v>-45368</v>
      </c>
      <c r="AL65" s="91">
        <f t="shared" si="41"/>
        <v>-125528</v>
      </c>
      <c r="AM65" s="91">
        <f t="shared" si="42"/>
        <v>-1152288</v>
      </c>
      <c r="AN65" s="91">
        <f t="shared" si="43"/>
        <v>-2052552</v>
      </c>
      <c r="AO65" s="91">
        <f t="shared" si="44"/>
        <v>-12192</v>
      </c>
      <c r="AP65" s="91">
        <f t="shared" si="45"/>
        <v>-68.768822299999997</v>
      </c>
      <c r="AQ65" s="92">
        <f t="shared" si="46"/>
        <v>-69.897562600000001</v>
      </c>
      <c r="AR65" s="92">
        <f t="shared" si="47"/>
        <v>-36.026457800000003</v>
      </c>
      <c r="AS65" s="92">
        <f t="shared" si="48"/>
        <v>-46.388283299999998</v>
      </c>
      <c r="AT65" s="92">
        <f t="shared" si="49"/>
        <v>-46.841340700000003</v>
      </c>
      <c r="AU65" s="92">
        <f t="shared" si="50"/>
        <v>-46.267997000000001</v>
      </c>
      <c r="AV65" s="93">
        <f t="shared" si="51"/>
        <v>-32.446181899999999</v>
      </c>
    </row>
    <row r="66" spans="33:48" x14ac:dyDescent="0.15">
      <c r="AG66" s="91" t="e">
        <f t="shared" si="36"/>
        <v>#VALUE!</v>
      </c>
      <c r="AH66" s="91" t="e">
        <f t="shared" si="37"/>
        <v>#VALUE!</v>
      </c>
      <c r="AI66" s="91">
        <f t="shared" si="38"/>
        <v>-2030368</v>
      </c>
      <c r="AJ66" s="91">
        <f t="shared" si="39"/>
        <v>-7018720</v>
      </c>
      <c r="AK66" s="91">
        <f t="shared" si="40"/>
        <v>-301200</v>
      </c>
      <c r="AL66" s="91">
        <f t="shared" si="41"/>
        <v>-183320</v>
      </c>
      <c r="AM66" s="91">
        <f t="shared" si="42"/>
        <v>-2259344</v>
      </c>
      <c r="AN66" s="91">
        <f t="shared" si="43"/>
        <v>-4262568</v>
      </c>
      <c r="AO66" s="91">
        <f t="shared" si="44"/>
        <v>-12288</v>
      </c>
      <c r="AP66" s="91">
        <f t="shared" si="45"/>
        <v>-72.353679999999997</v>
      </c>
      <c r="AQ66" s="92">
        <f t="shared" si="46"/>
        <v>-73.976484999999997</v>
      </c>
      <c r="AR66" s="92">
        <f t="shared" si="47"/>
        <v>-37.265430700000003</v>
      </c>
      <c r="AS66" s="92">
        <f t="shared" si="48"/>
        <v>-47.038851700000002</v>
      </c>
      <c r="AT66" s="92">
        <f t="shared" si="49"/>
        <v>-47.679422500000001</v>
      </c>
      <c r="AU66" s="92">
        <f t="shared" si="50"/>
        <v>-48.3373566</v>
      </c>
      <c r="AV66" s="93">
        <f t="shared" si="51"/>
        <v>-34.552435099999997</v>
      </c>
    </row>
    <row r="67" spans="33:48" x14ac:dyDescent="0.15">
      <c r="AG67" s="91" t="e">
        <f t="shared" si="36"/>
        <v>#VALUE!</v>
      </c>
      <c r="AH67" s="91" t="e">
        <f t="shared" si="37"/>
        <v>#VALUE!</v>
      </c>
      <c r="AI67" s="91">
        <f t="shared" si="38"/>
        <v>-2236080</v>
      </c>
      <c r="AJ67" s="91">
        <f t="shared" si="39"/>
        <v>-9664168</v>
      </c>
      <c r="AK67" s="91">
        <f t="shared" si="40"/>
        <v>-402496</v>
      </c>
      <c r="AL67" s="91">
        <f t="shared" si="41"/>
        <v>-191512</v>
      </c>
      <c r="AM67" s="91">
        <f t="shared" si="42"/>
        <v>-2643304</v>
      </c>
      <c r="AN67" s="91">
        <f t="shared" si="43"/>
        <v>-6414504</v>
      </c>
      <c r="AO67" s="91">
        <f t="shared" si="44"/>
        <v>-12352</v>
      </c>
      <c r="AP67" s="91">
        <f t="shared" si="45"/>
        <v>-72.9207945</v>
      </c>
      <c r="AQ67" s="92">
        <f t="shared" si="46"/>
        <v>-74.650410100000002</v>
      </c>
      <c r="AR67" s="92">
        <f t="shared" si="47"/>
        <v>-38.067152299999997</v>
      </c>
      <c r="AS67" s="92">
        <f t="shared" si="48"/>
        <v>-47.351777400000003</v>
      </c>
      <c r="AT67" s="92">
        <f t="shared" si="49"/>
        <v>-47.964388100000001</v>
      </c>
      <c r="AU67" s="92">
        <f t="shared" si="50"/>
        <v>-48.731416799999998</v>
      </c>
      <c r="AV67" s="93">
        <f t="shared" si="51"/>
        <v>-35.163148700000001</v>
      </c>
    </row>
    <row r="68" spans="33:48" x14ac:dyDescent="0.15">
      <c r="AG68" s="91" t="e">
        <f t="shared" si="36"/>
        <v>#VALUE!</v>
      </c>
      <c r="AH68" s="91" t="e">
        <f t="shared" si="37"/>
        <v>#VALUE!</v>
      </c>
      <c r="AI68" s="91">
        <f t="shared" si="38"/>
        <v>-2440496</v>
      </c>
      <c r="AJ68" s="91">
        <f t="shared" si="39"/>
        <v>-12450152</v>
      </c>
      <c r="AK68" s="91">
        <f t="shared" si="40"/>
        <v>-349496</v>
      </c>
      <c r="AL68" s="91">
        <f t="shared" si="41"/>
        <v>-221488</v>
      </c>
      <c r="AM68" s="91">
        <f t="shared" si="42"/>
        <v>-2817688</v>
      </c>
      <c r="AN68" s="91">
        <f t="shared" si="43"/>
        <v>-9049120</v>
      </c>
      <c r="AO68" s="91">
        <f t="shared" si="44"/>
        <v>-12360</v>
      </c>
      <c r="AP68" s="91">
        <f t="shared" si="45"/>
        <v>-73.248622400000002</v>
      </c>
      <c r="AQ68" s="92">
        <f t="shared" si="46"/>
        <v>-75.023977500000001</v>
      </c>
      <c r="AR68" s="92">
        <f t="shared" si="47"/>
        <v>-38.867487500000003</v>
      </c>
      <c r="AS68" s="92">
        <f t="shared" si="48"/>
        <v>-48.081091200000003</v>
      </c>
      <c r="AT68" s="92">
        <f t="shared" si="49"/>
        <v>-48.7855481</v>
      </c>
      <c r="AU68" s="92">
        <f t="shared" si="50"/>
        <v>-48.9646799</v>
      </c>
      <c r="AV68" s="93">
        <f t="shared" si="51"/>
        <v>-35.686675399999999</v>
      </c>
    </row>
    <row r="69" spans="33:48" x14ac:dyDescent="0.15">
      <c r="AG69" s="91" t="e">
        <f t="shared" si="36"/>
        <v>#VALUE!</v>
      </c>
      <c r="AH69" s="91" t="e">
        <f t="shared" si="37"/>
        <v>#VALUE!</v>
      </c>
      <c r="AI69" s="91">
        <f t="shared" si="38"/>
        <v>-3769536</v>
      </c>
      <c r="AJ69" s="91">
        <f t="shared" si="39"/>
        <v>-21229744</v>
      </c>
      <c r="AK69" s="91">
        <f t="shared" si="40"/>
        <v>-1711016</v>
      </c>
      <c r="AL69" s="91">
        <f t="shared" si="41"/>
        <v>-190256</v>
      </c>
      <c r="AM69" s="91">
        <f t="shared" si="42"/>
        <v>-3999808</v>
      </c>
      <c r="AN69" s="91">
        <f t="shared" si="43"/>
        <v>-15316080</v>
      </c>
      <c r="AO69" s="91">
        <f t="shared" si="44"/>
        <v>-12584</v>
      </c>
      <c r="AP69" s="91">
        <f t="shared" si="45"/>
        <v>-75.404773700000007</v>
      </c>
      <c r="AQ69" s="92">
        <f t="shared" si="46"/>
        <v>-77.669309699999999</v>
      </c>
      <c r="AR69" s="92">
        <f t="shared" si="47"/>
        <v>-39.396900500000001</v>
      </c>
      <c r="AS69" s="92">
        <f t="shared" si="48"/>
        <v>-48.394923800000001</v>
      </c>
      <c r="AT69" s="92">
        <f t="shared" si="49"/>
        <v>-49.0776781</v>
      </c>
      <c r="AU69" s="92">
        <f t="shared" si="50"/>
        <v>-50.243473399999999</v>
      </c>
      <c r="AV69" s="93">
        <f t="shared" si="51"/>
        <v>-36.717395699999997</v>
      </c>
    </row>
    <row r="70" spans="33:48" x14ac:dyDescent="0.15">
      <c r="AG70" s="91" t="e">
        <f t="shared" si="36"/>
        <v>#VALUE!</v>
      </c>
      <c r="AH70" s="91" t="e">
        <f t="shared" si="37"/>
        <v>#VALUE!</v>
      </c>
      <c r="AI70" s="91">
        <f t="shared" si="38"/>
        <v>-2419456</v>
      </c>
      <c r="AJ70" s="91">
        <f t="shared" si="39"/>
        <v>-3158400</v>
      </c>
      <c r="AK70" s="91">
        <f t="shared" si="40"/>
        <v>-694568</v>
      </c>
      <c r="AL70" s="91">
        <f t="shared" si="41"/>
        <v>0</v>
      </c>
      <c r="AM70" s="91">
        <f t="shared" si="42"/>
        <v>-512936</v>
      </c>
      <c r="AN70" s="91">
        <f t="shared" si="43"/>
        <v>-1935192</v>
      </c>
      <c r="AO70" s="91">
        <f t="shared" si="44"/>
        <v>-15704</v>
      </c>
      <c r="AP70" s="91">
        <f t="shared" si="45"/>
        <v>-71.326258199999998</v>
      </c>
      <c r="AQ70" s="92">
        <f t="shared" si="46"/>
        <v>-72.581992499999998</v>
      </c>
      <c r="AR70" s="92">
        <f t="shared" si="47"/>
        <v>-35.557656999999999</v>
      </c>
      <c r="AS70" s="92">
        <f t="shared" si="48"/>
        <v>-43.398405400000001</v>
      </c>
      <c r="AT70" s="92">
        <f t="shared" si="49"/>
        <v>-45.006364599999998</v>
      </c>
      <c r="AU70" s="92">
        <f t="shared" si="50"/>
        <v>-45.264113199999997</v>
      </c>
      <c r="AV70" s="93">
        <f t="shared" si="51"/>
        <v>-32.3030258</v>
      </c>
    </row>
    <row r="71" spans="33:48" x14ac:dyDescent="0.15">
      <c r="AG71" s="91" t="e">
        <f t="shared" si="36"/>
        <v>#VALUE!</v>
      </c>
      <c r="AH71" s="91" t="e">
        <f t="shared" si="37"/>
        <v>#VALUE!</v>
      </c>
      <c r="AI71" s="91">
        <f t="shared" si="38"/>
        <v>-2419456</v>
      </c>
      <c r="AJ71" s="91">
        <f t="shared" si="39"/>
        <v>-5256336</v>
      </c>
      <c r="AK71" s="91">
        <f t="shared" si="40"/>
        <v>-756080</v>
      </c>
      <c r="AL71" s="91">
        <f t="shared" si="41"/>
        <v>0</v>
      </c>
      <c r="AM71" s="91">
        <f t="shared" si="42"/>
        <v>-779992</v>
      </c>
      <c r="AN71" s="91">
        <f t="shared" si="43"/>
        <v>-3704696</v>
      </c>
      <c r="AO71" s="91">
        <f t="shared" si="44"/>
        <v>-15568</v>
      </c>
      <c r="AP71" s="91">
        <f t="shared" si="45"/>
        <v>-73.023513500000007</v>
      </c>
      <c r="AQ71" s="92">
        <f t="shared" si="46"/>
        <v>-74.443340199999994</v>
      </c>
      <c r="AR71" s="92">
        <f t="shared" si="47"/>
        <v>-38.326016000000003</v>
      </c>
      <c r="AS71" s="92">
        <f t="shared" si="48"/>
        <v>-44.034865500000002</v>
      </c>
      <c r="AT71" s="92">
        <f t="shared" si="49"/>
        <v>-46.237530700000001</v>
      </c>
      <c r="AU71" s="92">
        <f t="shared" si="50"/>
        <v>-46.1027433</v>
      </c>
      <c r="AV71" s="93">
        <f t="shared" si="51"/>
        <v>-33.928937400000002</v>
      </c>
    </row>
    <row r="72" spans="33:48" x14ac:dyDescent="0.15">
      <c r="AG72" s="91" t="e">
        <f t="shared" si="36"/>
        <v>#VALUE!</v>
      </c>
      <c r="AH72" s="91" t="e">
        <f t="shared" si="37"/>
        <v>#VALUE!</v>
      </c>
      <c r="AI72" s="91">
        <f t="shared" si="38"/>
        <v>-4841472</v>
      </c>
      <c r="AJ72" s="91">
        <f t="shared" si="39"/>
        <v>-10490248</v>
      </c>
      <c r="AK72" s="91">
        <f t="shared" si="40"/>
        <v>-1261600</v>
      </c>
      <c r="AL72" s="91">
        <f t="shared" si="41"/>
        <v>0</v>
      </c>
      <c r="AM72" s="91">
        <f t="shared" si="42"/>
        <v>-1777624</v>
      </c>
      <c r="AN72" s="91">
        <f t="shared" si="43"/>
        <v>-7435600</v>
      </c>
      <c r="AO72" s="91">
        <f t="shared" si="44"/>
        <v>-15424</v>
      </c>
      <c r="AP72" s="91">
        <f t="shared" si="45"/>
        <v>-77.964435699999996</v>
      </c>
      <c r="AQ72" s="92">
        <f t="shared" si="46"/>
        <v>-80.144497999999999</v>
      </c>
      <c r="AR72" s="92">
        <f t="shared" si="47"/>
        <v>-40.970000200000001</v>
      </c>
      <c r="AS72" s="92">
        <f t="shared" si="48"/>
        <v>-44.951079499999999</v>
      </c>
      <c r="AT72" s="92">
        <f t="shared" si="49"/>
        <v>-47.994070700000002</v>
      </c>
      <c r="AU72" s="92">
        <f t="shared" si="50"/>
        <v>-48.785388099999999</v>
      </c>
      <c r="AV72" s="93">
        <f t="shared" si="51"/>
        <v>-37.152245100000002</v>
      </c>
    </row>
    <row r="73" spans="33:48" x14ac:dyDescent="0.15">
      <c r="AG73" s="91" t="e">
        <f t="shared" si="36"/>
        <v>#VALUE!</v>
      </c>
      <c r="AH73" s="91" t="e">
        <f t="shared" si="37"/>
        <v>#VALUE!</v>
      </c>
      <c r="AI73" s="91">
        <f t="shared" si="38"/>
        <v>-9684544</v>
      </c>
      <c r="AJ73" s="91">
        <f t="shared" si="39"/>
        <v>-14880320</v>
      </c>
      <c r="AK73" s="91">
        <f t="shared" si="40"/>
        <v>-2177288</v>
      </c>
      <c r="AL73" s="91">
        <f t="shared" si="41"/>
        <v>0</v>
      </c>
      <c r="AM73" s="91">
        <f t="shared" si="42"/>
        <v>-1899048</v>
      </c>
      <c r="AN73" s="91">
        <f t="shared" si="43"/>
        <v>-10788256</v>
      </c>
      <c r="AO73" s="91">
        <f t="shared" si="44"/>
        <v>-15728</v>
      </c>
      <c r="AP73" s="91">
        <f t="shared" si="45"/>
        <v>-79.369476599999999</v>
      </c>
      <c r="AQ73" s="92">
        <f t="shared" si="46"/>
        <v>-82.001391499999997</v>
      </c>
      <c r="AR73" s="92">
        <f t="shared" si="47"/>
        <v>-41.928444599999999</v>
      </c>
      <c r="AS73" s="92">
        <f t="shared" si="48"/>
        <v>-45.650299799999999</v>
      </c>
      <c r="AT73" s="92">
        <f t="shared" si="49"/>
        <v>-49.199542700000002</v>
      </c>
      <c r="AU73" s="92">
        <f t="shared" si="50"/>
        <v>-49.753107900000003</v>
      </c>
      <c r="AV73" s="93">
        <f t="shared" si="51"/>
        <v>-38.2779302</v>
      </c>
    </row>
    <row r="74" spans="33:48" x14ac:dyDescent="0.15">
      <c r="AG74" s="91" t="e">
        <f t="shared" si="36"/>
        <v>#VALUE!</v>
      </c>
      <c r="AH74" s="91" t="e">
        <f t="shared" si="37"/>
        <v>#VALUE!</v>
      </c>
      <c r="AI74" s="91">
        <f t="shared" si="38"/>
        <v>-9684544</v>
      </c>
      <c r="AJ74" s="91">
        <f t="shared" si="39"/>
        <v>-22257272</v>
      </c>
      <c r="AK74" s="91">
        <f t="shared" si="40"/>
        <v>-2177288</v>
      </c>
      <c r="AL74" s="91">
        <f t="shared" si="41"/>
        <v>0</v>
      </c>
      <c r="AM74" s="91">
        <f t="shared" si="42"/>
        <v>-2135992</v>
      </c>
      <c r="AN74" s="91">
        <f t="shared" si="43"/>
        <v>-17927952</v>
      </c>
      <c r="AO74" s="91">
        <f t="shared" si="44"/>
        <v>-16040</v>
      </c>
      <c r="AP74" s="91">
        <f t="shared" si="45"/>
        <v>-79.739226700000003</v>
      </c>
      <c r="AQ74" s="92">
        <f t="shared" si="46"/>
        <v>-82.522904299999993</v>
      </c>
      <c r="AR74" s="92">
        <f t="shared" si="47"/>
        <v>-42.923093199999997</v>
      </c>
      <c r="AS74" s="92">
        <f t="shared" si="48"/>
        <v>-46.578219099999998</v>
      </c>
      <c r="AT74" s="92">
        <f t="shared" si="49"/>
        <v>-50.529586100000003</v>
      </c>
      <c r="AU74" s="92">
        <f t="shared" si="50"/>
        <v>-49.956420000000001</v>
      </c>
      <c r="AV74" s="93">
        <f t="shared" si="51"/>
        <v>-38.8397632</v>
      </c>
    </row>
    <row r="75" spans="33:48" x14ac:dyDescent="0.15">
      <c r="AG75" s="91" t="e">
        <f t="shared" si="36"/>
        <v>#VALUE!</v>
      </c>
      <c r="AH75" s="91" t="e">
        <f t="shared" si="37"/>
        <v>#VALUE!</v>
      </c>
      <c r="AI75" s="91">
        <f t="shared" si="38"/>
        <v>-2417984</v>
      </c>
      <c r="AJ75" s="91">
        <f t="shared" si="39"/>
        <v>-3151704</v>
      </c>
      <c r="AK75" s="91">
        <f t="shared" si="40"/>
        <v>-670496</v>
      </c>
      <c r="AL75" s="91">
        <f t="shared" si="41"/>
        <v>0</v>
      </c>
      <c r="AM75" s="91">
        <f t="shared" si="42"/>
        <v>-502960</v>
      </c>
      <c r="AN75" s="91">
        <f t="shared" si="43"/>
        <v>-1962488</v>
      </c>
      <c r="AO75" s="91">
        <f t="shared" si="44"/>
        <v>-15760</v>
      </c>
      <c r="AP75" s="91">
        <f t="shared" si="45"/>
        <v>-71.328216299999994</v>
      </c>
      <c r="AQ75" s="92">
        <f t="shared" si="46"/>
        <v>-72.652432399999995</v>
      </c>
      <c r="AR75" s="92">
        <f t="shared" si="47"/>
        <v>-34.468015100000002</v>
      </c>
      <c r="AS75" s="92">
        <f t="shared" si="48"/>
        <v>-42.830331399999999</v>
      </c>
      <c r="AT75" s="92">
        <f t="shared" si="49"/>
        <v>-44.083220900000001</v>
      </c>
      <c r="AU75" s="92">
        <f t="shared" si="50"/>
        <v>-48.234563899999998</v>
      </c>
      <c r="AV75" s="93">
        <f t="shared" si="51"/>
        <v>-31.351216600000001</v>
      </c>
    </row>
    <row r="76" spans="33:48" x14ac:dyDescent="0.15">
      <c r="AG76" s="91" t="e">
        <f t="shared" si="36"/>
        <v>#VALUE!</v>
      </c>
      <c r="AH76" s="91" t="e">
        <f t="shared" si="37"/>
        <v>#VALUE!</v>
      </c>
      <c r="AI76" s="91">
        <f t="shared" si="38"/>
        <v>-2417984</v>
      </c>
      <c r="AJ76" s="91">
        <f t="shared" si="39"/>
        <v>-5323496</v>
      </c>
      <c r="AK76" s="91">
        <f t="shared" si="40"/>
        <v>-731608</v>
      </c>
      <c r="AL76" s="91">
        <f t="shared" si="41"/>
        <v>0</v>
      </c>
      <c r="AM76" s="91">
        <f t="shared" si="42"/>
        <v>-555280</v>
      </c>
      <c r="AN76" s="91">
        <f t="shared" si="43"/>
        <v>-4020504</v>
      </c>
      <c r="AO76" s="91">
        <f t="shared" si="44"/>
        <v>-16104</v>
      </c>
      <c r="AP76" s="91">
        <f t="shared" si="45"/>
        <v>-71.801277799999994</v>
      </c>
      <c r="AQ76" s="92">
        <f t="shared" si="46"/>
        <v>-73.172701399999994</v>
      </c>
      <c r="AR76" s="92">
        <f t="shared" si="47"/>
        <v>-37.366839499999998</v>
      </c>
      <c r="AS76" s="92">
        <f t="shared" si="48"/>
        <v>-44.015212900000002</v>
      </c>
      <c r="AT76" s="92">
        <f t="shared" si="49"/>
        <v>-45.969679900000003</v>
      </c>
      <c r="AU76" s="92">
        <f t="shared" si="50"/>
        <v>-48.490112400000001</v>
      </c>
      <c r="AV76" s="93">
        <f t="shared" si="51"/>
        <v>-32.587217600000002</v>
      </c>
    </row>
    <row r="77" spans="33:48" x14ac:dyDescent="0.15">
      <c r="AG77" s="91" t="e">
        <f t="shared" si="36"/>
        <v>#VALUE!</v>
      </c>
      <c r="AH77" s="91" t="e">
        <f t="shared" si="37"/>
        <v>#VALUE!</v>
      </c>
      <c r="AI77" s="91">
        <f t="shared" si="38"/>
        <v>-4836096</v>
      </c>
      <c r="AJ77" s="91">
        <f t="shared" si="39"/>
        <v>-10614776</v>
      </c>
      <c r="AK77" s="91">
        <f t="shared" si="40"/>
        <v>-1115864</v>
      </c>
      <c r="AL77" s="91">
        <f t="shared" si="41"/>
        <v>0</v>
      </c>
      <c r="AM77" s="91">
        <f t="shared" si="42"/>
        <v>-1782296</v>
      </c>
      <c r="AN77" s="91">
        <f t="shared" si="43"/>
        <v>-7701184</v>
      </c>
      <c r="AO77" s="91">
        <f t="shared" si="44"/>
        <v>-15432</v>
      </c>
      <c r="AP77" s="91">
        <f t="shared" si="45"/>
        <v>-77.635289200000003</v>
      </c>
      <c r="AQ77" s="92">
        <f t="shared" si="46"/>
        <v>-79.960420499999998</v>
      </c>
      <c r="AR77" s="92">
        <f t="shared" si="47"/>
        <v>-40.391013200000003</v>
      </c>
      <c r="AS77" s="92">
        <f t="shared" si="48"/>
        <v>-45.295407699999998</v>
      </c>
      <c r="AT77" s="92">
        <f t="shared" si="49"/>
        <v>-48.028618700000003</v>
      </c>
      <c r="AU77" s="92">
        <f t="shared" si="50"/>
        <v>-51.616392400000002</v>
      </c>
      <c r="AV77" s="93">
        <f t="shared" si="51"/>
        <v>-36.484609599999999</v>
      </c>
    </row>
    <row r="78" spans="33:48" x14ac:dyDescent="0.15">
      <c r="AG78" s="91" t="e">
        <f t="shared" si="36"/>
        <v>#VALUE!</v>
      </c>
      <c r="AH78" s="91" t="e">
        <f t="shared" si="37"/>
        <v>#VALUE!</v>
      </c>
      <c r="AI78" s="91">
        <f t="shared" si="38"/>
        <v>-9673280</v>
      </c>
      <c r="AJ78" s="91">
        <f t="shared" si="39"/>
        <v>-14746120</v>
      </c>
      <c r="AK78" s="91">
        <f t="shared" si="40"/>
        <v>-2360840</v>
      </c>
      <c r="AL78" s="91">
        <f t="shared" si="41"/>
        <v>0</v>
      </c>
      <c r="AM78" s="91">
        <f t="shared" si="42"/>
        <v>-1621688</v>
      </c>
      <c r="AN78" s="91">
        <f t="shared" si="43"/>
        <v>-10747832</v>
      </c>
      <c r="AO78" s="91">
        <f t="shared" si="44"/>
        <v>-15760</v>
      </c>
      <c r="AP78" s="91">
        <f t="shared" si="45"/>
        <v>-78.794451600000002</v>
      </c>
      <c r="AQ78" s="92">
        <f t="shared" si="46"/>
        <v>-81.541468399999999</v>
      </c>
      <c r="AR78" s="92">
        <f t="shared" si="47"/>
        <v>-41.4498447</v>
      </c>
      <c r="AS78" s="92">
        <f t="shared" si="48"/>
        <v>-45.804929799999996</v>
      </c>
      <c r="AT78" s="92">
        <f t="shared" si="49"/>
        <v>-48.735763300000002</v>
      </c>
      <c r="AU78" s="92">
        <f t="shared" si="50"/>
        <v>-52.565861400000003</v>
      </c>
      <c r="AV78" s="93">
        <f t="shared" si="51"/>
        <v>-37.531763300000001</v>
      </c>
    </row>
    <row r="79" spans="33:48" x14ac:dyDescent="0.15">
      <c r="AG79" s="91" t="e">
        <f t="shared" si="36"/>
        <v>#VALUE!</v>
      </c>
      <c r="AH79" s="91" t="e">
        <f t="shared" si="37"/>
        <v>#VALUE!</v>
      </c>
      <c r="AI79" s="91">
        <f t="shared" si="38"/>
        <v>-9673280</v>
      </c>
      <c r="AJ79" s="91">
        <f t="shared" si="39"/>
        <v>-21870616</v>
      </c>
      <c r="AK79" s="91">
        <f t="shared" si="40"/>
        <v>-2126896</v>
      </c>
      <c r="AL79" s="91">
        <f t="shared" si="41"/>
        <v>0</v>
      </c>
      <c r="AM79" s="91">
        <f t="shared" si="42"/>
        <v>-2112296</v>
      </c>
      <c r="AN79" s="91">
        <f t="shared" si="43"/>
        <v>-17615528</v>
      </c>
      <c r="AO79" s="91">
        <f t="shared" si="44"/>
        <v>-15896</v>
      </c>
      <c r="AP79" s="91">
        <f t="shared" si="45"/>
        <v>-79.475194299999998</v>
      </c>
      <c r="AQ79" s="92">
        <f t="shared" si="46"/>
        <v>-82.535292799999993</v>
      </c>
      <c r="AR79" s="92">
        <f t="shared" si="47"/>
        <v>-42.446109999999997</v>
      </c>
      <c r="AS79" s="92">
        <f t="shared" si="48"/>
        <v>-46.893190500000003</v>
      </c>
      <c r="AT79" s="92">
        <f t="shared" si="49"/>
        <v>-50.080529499999997</v>
      </c>
      <c r="AU79" s="92">
        <f t="shared" si="50"/>
        <v>-52.980305999999999</v>
      </c>
      <c r="AV79" s="93">
        <f t="shared" si="51"/>
        <v>-38.276248299999999</v>
      </c>
    </row>
    <row r="80" spans="33:48" x14ac:dyDescent="0.15">
      <c r="AG80" s="91" t="e">
        <f t="shared" si="36"/>
        <v>#VALUE!</v>
      </c>
      <c r="AH80" s="91" t="e">
        <f t="shared" si="37"/>
        <v>#VALUE!</v>
      </c>
      <c r="AI80" s="91">
        <f t="shared" si="38"/>
        <v>-2455232</v>
      </c>
      <c r="AJ80" s="91">
        <f t="shared" si="39"/>
        <v>-4393032</v>
      </c>
      <c r="AK80" s="91">
        <f t="shared" si="40"/>
        <v>-688176</v>
      </c>
      <c r="AL80" s="91">
        <f t="shared" si="41"/>
        <v>0</v>
      </c>
      <c r="AM80" s="91">
        <f t="shared" si="42"/>
        <v>-616928</v>
      </c>
      <c r="AN80" s="91">
        <f t="shared" si="43"/>
        <v>-3072584</v>
      </c>
      <c r="AO80" s="91">
        <f t="shared" si="44"/>
        <v>-15344</v>
      </c>
      <c r="AP80" s="91">
        <f t="shared" si="45"/>
        <v>-73.798544000000007</v>
      </c>
      <c r="AQ80" s="92">
        <f t="shared" si="46"/>
        <v>-75.671620000000004</v>
      </c>
      <c r="AR80" s="92">
        <f t="shared" si="47"/>
        <v>-31.469800599999999</v>
      </c>
      <c r="AS80" s="92">
        <f t="shared" si="48"/>
        <v>-40.592736199999997</v>
      </c>
      <c r="AT80" s="92">
        <f t="shared" si="49"/>
        <v>-36.912295899999997</v>
      </c>
      <c r="AU80" s="92">
        <f t="shared" si="50"/>
        <v>-44.572665100000002</v>
      </c>
      <c r="AV80" s="93">
        <f t="shared" si="51"/>
        <v>-28.692366199999999</v>
      </c>
    </row>
    <row r="81" spans="33:48" x14ac:dyDescent="0.15">
      <c r="AG81" s="91" t="e">
        <f t="shared" si="36"/>
        <v>#VALUE!</v>
      </c>
      <c r="AH81" s="91" t="e">
        <f t="shared" si="37"/>
        <v>#VALUE!</v>
      </c>
      <c r="AI81" s="91">
        <f t="shared" si="38"/>
        <v>-4912768</v>
      </c>
      <c r="AJ81" s="91">
        <f t="shared" si="39"/>
        <v>-8681928</v>
      </c>
      <c r="AK81" s="91">
        <f t="shared" si="40"/>
        <v>-1154312</v>
      </c>
      <c r="AL81" s="91">
        <f t="shared" si="41"/>
        <v>0</v>
      </c>
      <c r="AM81" s="91">
        <f t="shared" si="42"/>
        <v>-1008792</v>
      </c>
      <c r="AN81" s="91">
        <f t="shared" si="43"/>
        <v>-6503232</v>
      </c>
      <c r="AO81" s="91">
        <f t="shared" si="44"/>
        <v>-15592</v>
      </c>
      <c r="AP81" s="91">
        <f t="shared" si="45"/>
        <v>-77.101264200000003</v>
      </c>
      <c r="AQ81" s="92">
        <f t="shared" si="46"/>
        <v>-79.651988399999993</v>
      </c>
      <c r="AR81" s="92">
        <f t="shared" si="47"/>
        <v>-33.979042300000003</v>
      </c>
      <c r="AS81" s="92">
        <f t="shared" si="48"/>
        <v>-42.451695700000002</v>
      </c>
      <c r="AT81" s="92">
        <f t="shared" si="49"/>
        <v>-39.812803899999999</v>
      </c>
      <c r="AU81" s="92">
        <f t="shared" si="50"/>
        <v>-46.233609700000002</v>
      </c>
      <c r="AV81" s="93">
        <f t="shared" si="51"/>
        <v>-31.465004</v>
      </c>
    </row>
    <row r="82" spans="33:48" x14ac:dyDescent="0.15">
      <c r="AG82" s="91" t="e">
        <f t="shared" si="36"/>
        <v>#VALUE!</v>
      </c>
      <c r="AH82" s="91" t="e">
        <f t="shared" si="37"/>
        <v>#VALUE!</v>
      </c>
      <c r="AI82" s="91">
        <f t="shared" si="38"/>
        <v>-9827968</v>
      </c>
      <c r="AJ82" s="91">
        <f t="shared" si="39"/>
        <v>-12630888</v>
      </c>
      <c r="AK82" s="91">
        <f t="shared" si="40"/>
        <v>-2180704</v>
      </c>
      <c r="AL82" s="91">
        <f t="shared" si="41"/>
        <v>0</v>
      </c>
      <c r="AM82" s="91">
        <f t="shared" si="42"/>
        <v>-803976</v>
      </c>
      <c r="AN82" s="91">
        <f t="shared" si="43"/>
        <v>-9630152</v>
      </c>
      <c r="AO82" s="91">
        <f t="shared" si="44"/>
        <v>-16056</v>
      </c>
      <c r="AP82" s="91">
        <f t="shared" si="45"/>
        <v>-78.453706499999996</v>
      </c>
      <c r="AQ82" s="92">
        <f t="shared" si="46"/>
        <v>-81.358260099999995</v>
      </c>
      <c r="AR82" s="92">
        <f t="shared" si="47"/>
        <v>-34.863677600000003</v>
      </c>
      <c r="AS82" s="92">
        <f t="shared" si="48"/>
        <v>-43.664394600000001</v>
      </c>
      <c r="AT82" s="92">
        <f t="shared" si="49"/>
        <v>-41.593992299999996</v>
      </c>
      <c r="AU82" s="92">
        <f t="shared" si="50"/>
        <v>-47.5665494</v>
      </c>
      <c r="AV82" s="93">
        <f t="shared" si="51"/>
        <v>-32.548197799999997</v>
      </c>
    </row>
    <row r="83" spans="33:48" x14ac:dyDescent="0.15">
      <c r="AG83" s="91" t="e">
        <f t="shared" si="36"/>
        <v>#VALUE!</v>
      </c>
      <c r="AH83" s="91" t="e">
        <f t="shared" si="37"/>
        <v>#VALUE!</v>
      </c>
      <c r="AI83" s="91">
        <f t="shared" si="38"/>
        <v>-19659392</v>
      </c>
      <c r="AJ83" s="91">
        <f t="shared" si="39"/>
        <v>-17824368</v>
      </c>
      <c r="AK83" s="91">
        <f t="shared" si="40"/>
        <v>-4254840</v>
      </c>
      <c r="AL83" s="91">
        <f t="shared" si="41"/>
        <v>0</v>
      </c>
      <c r="AM83" s="91">
        <f t="shared" si="42"/>
        <v>-704512</v>
      </c>
      <c r="AN83" s="91">
        <f t="shared" si="43"/>
        <v>-12849120</v>
      </c>
      <c r="AO83" s="91">
        <f t="shared" si="44"/>
        <v>-15896</v>
      </c>
      <c r="AP83" s="91">
        <f t="shared" si="45"/>
        <v>-80.386216300000001</v>
      </c>
      <c r="AQ83" s="92">
        <f t="shared" si="46"/>
        <v>-84.091020299999997</v>
      </c>
      <c r="AR83" s="92">
        <f t="shared" si="47"/>
        <v>-35.6741417</v>
      </c>
      <c r="AS83" s="92">
        <f t="shared" si="48"/>
        <v>-43.976576999999999</v>
      </c>
      <c r="AT83" s="92">
        <f t="shared" si="49"/>
        <v>-42.069283499999997</v>
      </c>
      <c r="AU83" s="92">
        <f t="shared" si="50"/>
        <v>-49.4378995</v>
      </c>
      <c r="AV83" s="93">
        <f t="shared" si="51"/>
        <v>-33.8129615</v>
      </c>
    </row>
    <row r="84" spans="33:48" x14ac:dyDescent="0.15">
      <c r="AG84" s="91" t="e">
        <f t="shared" si="36"/>
        <v>#VALUE!</v>
      </c>
      <c r="AH84" s="91" t="e">
        <f t="shared" si="37"/>
        <v>#VALUE!</v>
      </c>
      <c r="AI84" s="91">
        <f t="shared" si="38"/>
        <v>-14745456</v>
      </c>
      <c r="AJ84" s="91">
        <f t="shared" si="39"/>
        <v>-26271616</v>
      </c>
      <c r="AK84" s="91">
        <f t="shared" si="40"/>
        <v>-9194888</v>
      </c>
      <c r="AL84" s="91">
        <f t="shared" si="41"/>
        <v>0</v>
      </c>
      <c r="AM84" s="91">
        <f t="shared" si="42"/>
        <v>-879600</v>
      </c>
      <c r="AN84" s="91">
        <f t="shared" si="43"/>
        <v>-16184360</v>
      </c>
      <c r="AO84" s="91">
        <f t="shared" si="44"/>
        <v>-12768</v>
      </c>
      <c r="AP84" s="91">
        <f t="shared" si="45"/>
        <v>-85.020747</v>
      </c>
      <c r="AQ84" s="92">
        <f t="shared" si="46"/>
        <v>-90.873552700000005</v>
      </c>
      <c r="AR84" s="92">
        <f t="shared" si="47"/>
        <v>-36.4046752</v>
      </c>
      <c r="AS84" s="92">
        <f t="shared" si="48"/>
        <v>-44.287499599999997</v>
      </c>
      <c r="AT84" s="92">
        <f t="shared" si="49"/>
        <v>-42.531494899999998</v>
      </c>
      <c r="AU84" s="92">
        <f t="shared" si="50"/>
        <v>-53.258740199999998</v>
      </c>
      <c r="AV84" s="93">
        <f t="shared" si="51"/>
        <v>-35.566614100000002</v>
      </c>
    </row>
    <row r="85" spans="33:48" x14ac:dyDescent="0.15">
      <c r="AG85" s="91" t="e">
        <f t="shared" si="36"/>
        <v>#VALUE!</v>
      </c>
      <c r="AH85" s="91" t="e">
        <f t="shared" si="37"/>
        <v>#VALUE!</v>
      </c>
      <c r="AI85" s="91">
        <f t="shared" si="38"/>
        <v>-2423936</v>
      </c>
      <c r="AJ85" s="91">
        <f t="shared" si="39"/>
        <v>-3745624</v>
      </c>
      <c r="AK85" s="91">
        <f t="shared" si="40"/>
        <v>-383960</v>
      </c>
      <c r="AL85" s="91">
        <f t="shared" si="41"/>
        <v>-62792</v>
      </c>
      <c r="AM85" s="91">
        <f t="shared" si="42"/>
        <v>-560272</v>
      </c>
      <c r="AN85" s="91">
        <f t="shared" si="43"/>
        <v>-2722840</v>
      </c>
      <c r="AO85" s="91">
        <f t="shared" si="44"/>
        <v>-15760</v>
      </c>
      <c r="AP85" s="91">
        <f t="shared" si="45"/>
        <v>-74.090063400000005</v>
      </c>
      <c r="AQ85" s="92">
        <f t="shared" si="46"/>
        <v>-75.741861599999993</v>
      </c>
      <c r="AR85" s="92">
        <f t="shared" si="47"/>
        <v>-38.708687099999999</v>
      </c>
      <c r="AS85" s="92">
        <f t="shared" si="48"/>
        <v>-44.540171399999998</v>
      </c>
      <c r="AT85" s="92">
        <f t="shared" si="49"/>
        <v>-43.1523167</v>
      </c>
      <c r="AU85" s="92">
        <f t="shared" si="50"/>
        <v>-47.064246599999997</v>
      </c>
      <c r="AV85" s="93">
        <f t="shared" si="51"/>
        <v>-35.1494748</v>
      </c>
    </row>
    <row r="86" spans="33:48" x14ac:dyDescent="0.15">
      <c r="AG86" s="91" t="e">
        <f t="shared" si="36"/>
        <v>#VALUE!</v>
      </c>
      <c r="AH86" s="91" t="e">
        <f t="shared" si="37"/>
        <v>#VALUE!</v>
      </c>
      <c r="AI86" s="91">
        <f t="shared" si="38"/>
        <v>-1220960</v>
      </c>
      <c r="AJ86" s="91">
        <f t="shared" si="39"/>
        <v>-7674872</v>
      </c>
      <c r="AK86" s="91">
        <f t="shared" si="40"/>
        <v>-699504</v>
      </c>
      <c r="AL86" s="91">
        <f t="shared" si="41"/>
        <v>-87416</v>
      </c>
      <c r="AM86" s="91">
        <f t="shared" si="42"/>
        <v>-861424</v>
      </c>
      <c r="AN86" s="91">
        <f t="shared" si="43"/>
        <v>-6013400</v>
      </c>
      <c r="AO86" s="91">
        <f t="shared" si="44"/>
        <v>-13128</v>
      </c>
      <c r="AP86" s="91">
        <f t="shared" si="45"/>
        <v>-76.487099900000004</v>
      </c>
      <c r="AQ86" s="92">
        <f t="shared" si="46"/>
        <v>-78.559612999999999</v>
      </c>
      <c r="AR86" s="92">
        <f t="shared" si="47"/>
        <v>-41.062518300000001</v>
      </c>
      <c r="AS86" s="92">
        <f t="shared" si="48"/>
        <v>-45.878783599999998</v>
      </c>
      <c r="AT86" s="92">
        <f t="shared" si="49"/>
        <v>-44.721227900000002</v>
      </c>
      <c r="AU86" s="92">
        <f t="shared" si="50"/>
        <v>-48.3597076</v>
      </c>
      <c r="AV86" s="93">
        <f t="shared" si="51"/>
        <v>-36.813919599999998</v>
      </c>
    </row>
    <row r="87" spans="33:48" x14ac:dyDescent="0.15">
      <c r="AG87" s="91" t="e">
        <f t="shared" si="36"/>
        <v>#VALUE!</v>
      </c>
      <c r="AH87" s="91" t="e">
        <f t="shared" si="37"/>
        <v>#VALUE!</v>
      </c>
      <c r="AI87" s="91">
        <f t="shared" si="38"/>
        <v>-4908848</v>
      </c>
      <c r="AJ87" s="91">
        <f t="shared" si="39"/>
        <v>-11869112</v>
      </c>
      <c r="AK87" s="91">
        <f t="shared" si="40"/>
        <v>-2203424</v>
      </c>
      <c r="AL87" s="91">
        <f t="shared" si="41"/>
        <v>-222896</v>
      </c>
      <c r="AM87" s="91">
        <f t="shared" si="42"/>
        <v>-896096</v>
      </c>
      <c r="AN87" s="91">
        <f t="shared" si="43"/>
        <v>-8533816</v>
      </c>
      <c r="AO87" s="91">
        <f t="shared" si="44"/>
        <v>-12880</v>
      </c>
      <c r="AP87" s="91">
        <f t="shared" si="45"/>
        <v>-79.996101899999999</v>
      </c>
      <c r="AQ87" s="92">
        <f t="shared" si="46"/>
        <v>-83.003164699999999</v>
      </c>
      <c r="AR87" s="92">
        <f t="shared" si="47"/>
        <v>-42.250596799999997</v>
      </c>
      <c r="AS87" s="92">
        <f t="shared" si="48"/>
        <v>-46.655808899999997</v>
      </c>
      <c r="AT87" s="92">
        <f t="shared" si="49"/>
        <v>-45.719240499999998</v>
      </c>
      <c r="AU87" s="92">
        <f t="shared" si="50"/>
        <v>-50.723481499999998</v>
      </c>
      <c r="AV87" s="93">
        <f t="shared" si="51"/>
        <v>-39.125093900000003</v>
      </c>
    </row>
    <row r="88" spans="33:48" x14ac:dyDescent="0.15">
      <c r="AG88" s="91" t="e">
        <f t="shared" si="36"/>
        <v>#VALUE!</v>
      </c>
      <c r="AH88" s="91" t="e">
        <f t="shared" si="37"/>
        <v>#VALUE!</v>
      </c>
      <c r="AI88" s="91">
        <f t="shared" si="38"/>
        <v>-4908848</v>
      </c>
      <c r="AJ88" s="91">
        <f t="shared" si="39"/>
        <v>-16683816</v>
      </c>
      <c r="AK88" s="91">
        <f t="shared" si="40"/>
        <v>-2203424</v>
      </c>
      <c r="AL88" s="91">
        <f t="shared" si="41"/>
        <v>-222896</v>
      </c>
      <c r="AM88" s="91">
        <f t="shared" si="42"/>
        <v>-1844360</v>
      </c>
      <c r="AN88" s="91">
        <f t="shared" si="43"/>
        <v>-12399944</v>
      </c>
      <c r="AO88" s="91">
        <f t="shared" si="44"/>
        <v>-13192</v>
      </c>
      <c r="AP88" s="91">
        <f t="shared" si="45"/>
        <v>-81.367359800000003</v>
      </c>
      <c r="AQ88" s="92">
        <f t="shared" si="46"/>
        <v>-85.184606900000006</v>
      </c>
      <c r="AR88" s="92">
        <f t="shared" si="47"/>
        <v>-43.2484599</v>
      </c>
      <c r="AS88" s="92">
        <f t="shared" si="48"/>
        <v>-47.722363399999999</v>
      </c>
      <c r="AT88" s="92">
        <f t="shared" si="49"/>
        <v>-46.925965599999998</v>
      </c>
      <c r="AU88" s="92">
        <f t="shared" si="50"/>
        <v>-51.724435900000003</v>
      </c>
      <c r="AV88" s="93">
        <f t="shared" si="51"/>
        <v>-40.300434600000003</v>
      </c>
    </row>
    <row r="89" spans="33:48" x14ac:dyDescent="0.15">
      <c r="AG89" s="91" t="e">
        <f t="shared" si="36"/>
        <v>#VALUE!</v>
      </c>
      <c r="AH89" s="91" t="e">
        <f t="shared" si="37"/>
        <v>#VALUE!</v>
      </c>
      <c r="AI89" s="91">
        <f t="shared" si="38"/>
        <v>-12284608</v>
      </c>
      <c r="AJ89" s="91">
        <f t="shared" si="39"/>
        <v>-22786896</v>
      </c>
      <c r="AK89" s="91">
        <f t="shared" si="40"/>
        <v>-4739128</v>
      </c>
      <c r="AL89" s="91">
        <f t="shared" si="41"/>
        <v>-1107256</v>
      </c>
      <c r="AM89" s="91">
        <f t="shared" si="42"/>
        <v>-366704</v>
      </c>
      <c r="AN89" s="91">
        <f t="shared" si="43"/>
        <v>-16561008</v>
      </c>
      <c r="AO89" s="91">
        <f t="shared" si="44"/>
        <v>-12800</v>
      </c>
      <c r="AP89" s="91">
        <f t="shared" si="45"/>
        <v>-84.140229899999994</v>
      </c>
      <c r="AQ89" s="92">
        <f t="shared" si="46"/>
        <v>-88.417342500000004</v>
      </c>
      <c r="AR89" s="92">
        <f t="shared" si="47"/>
        <v>-44.230796599999998</v>
      </c>
      <c r="AS89" s="92">
        <f t="shared" si="48"/>
        <v>-48.388792700000003</v>
      </c>
      <c r="AT89" s="92">
        <f t="shared" si="49"/>
        <v>-47.699637799999998</v>
      </c>
      <c r="AU89" s="92">
        <f t="shared" si="50"/>
        <v>-54.191076000000002</v>
      </c>
      <c r="AV89" s="93">
        <f t="shared" si="51"/>
        <v>-42.205015600000003</v>
      </c>
    </row>
    <row r="90" spans="33:48" x14ac:dyDescent="0.15">
      <c r="AG90" s="91" t="e">
        <f t="shared" si="36"/>
        <v>#VALUE!</v>
      </c>
      <c r="AH90" s="91" t="e">
        <f t="shared" si="37"/>
        <v>#VALUE!</v>
      </c>
      <c r="AI90" s="91">
        <f t="shared" si="38"/>
        <v>-3680512</v>
      </c>
      <c r="AJ90" s="91">
        <f t="shared" si="39"/>
        <v>-3111200</v>
      </c>
      <c r="AK90" s="91">
        <f t="shared" si="40"/>
        <v>-423824</v>
      </c>
      <c r="AL90" s="91">
        <f t="shared" si="41"/>
        <v>-69192</v>
      </c>
      <c r="AM90" s="91">
        <f t="shared" si="42"/>
        <v>-348232</v>
      </c>
      <c r="AN90" s="91">
        <f t="shared" si="43"/>
        <v>-2254552</v>
      </c>
      <c r="AO90" s="91">
        <f t="shared" si="44"/>
        <v>-15400</v>
      </c>
      <c r="AP90" s="91">
        <f t="shared" si="45"/>
        <v>-73.614196199999995</v>
      </c>
      <c r="AQ90" s="92">
        <f t="shared" si="46"/>
        <v>-75.2719345</v>
      </c>
      <c r="AR90" s="92">
        <f t="shared" si="47"/>
        <v>-30.128627300000002</v>
      </c>
      <c r="AS90" s="92">
        <f t="shared" si="48"/>
        <v>-38.8059802</v>
      </c>
      <c r="AT90" s="92">
        <f t="shared" si="49"/>
        <v>-38.922579800000001</v>
      </c>
      <c r="AU90" s="92">
        <f t="shared" si="50"/>
        <v>-48.491679099999999</v>
      </c>
      <c r="AV90" s="93">
        <f t="shared" si="51"/>
        <v>-29.250353</v>
      </c>
    </row>
    <row r="91" spans="33:48" x14ac:dyDescent="0.15">
      <c r="AG91" s="91" t="e">
        <f t="shared" si="36"/>
        <v>#VALUE!</v>
      </c>
      <c r="AH91" s="91" t="e">
        <f t="shared" si="37"/>
        <v>#VALUE!</v>
      </c>
      <c r="AI91" s="91">
        <f t="shared" si="38"/>
        <v>-7364992</v>
      </c>
      <c r="AJ91" s="91">
        <f t="shared" si="39"/>
        <v>-4144552</v>
      </c>
      <c r="AK91" s="91">
        <f t="shared" si="40"/>
        <v>-671304</v>
      </c>
      <c r="AL91" s="91">
        <f t="shared" si="41"/>
        <v>-132464</v>
      </c>
      <c r="AM91" s="91">
        <f t="shared" si="42"/>
        <v>-132864</v>
      </c>
      <c r="AN91" s="91">
        <f t="shared" si="43"/>
        <v>-3192312</v>
      </c>
      <c r="AO91" s="91">
        <f t="shared" si="44"/>
        <v>-15608</v>
      </c>
      <c r="AP91" s="91">
        <f t="shared" si="45"/>
        <v>-73.604850799999994</v>
      </c>
      <c r="AQ91" s="92">
        <f t="shared" si="46"/>
        <v>-75.285528600000006</v>
      </c>
      <c r="AR91" s="92">
        <f t="shared" si="47"/>
        <v>-30.586003600000002</v>
      </c>
      <c r="AS91" s="92">
        <f t="shared" si="48"/>
        <v>-38.922292400000003</v>
      </c>
      <c r="AT91" s="92">
        <f t="shared" si="49"/>
        <v>-39.0756941</v>
      </c>
      <c r="AU91" s="92">
        <f t="shared" si="50"/>
        <v>-48.4987675</v>
      </c>
      <c r="AV91" s="93">
        <f t="shared" si="51"/>
        <v>-29.567714800000001</v>
      </c>
    </row>
    <row r="92" spans="33:48" x14ac:dyDescent="0.15">
      <c r="AG92" s="91" t="e">
        <f t="shared" si="36"/>
        <v>#VALUE!</v>
      </c>
      <c r="AH92" s="91" t="e">
        <f t="shared" si="37"/>
        <v>#VALUE!</v>
      </c>
      <c r="AI92" s="91">
        <f t="shared" si="38"/>
        <v>-7364992</v>
      </c>
      <c r="AJ92" s="91">
        <f t="shared" si="39"/>
        <v>-6220752</v>
      </c>
      <c r="AK92" s="91">
        <f t="shared" si="40"/>
        <v>-671304</v>
      </c>
      <c r="AL92" s="91">
        <f t="shared" si="41"/>
        <v>-132464</v>
      </c>
      <c r="AM92" s="91">
        <f t="shared" si="42"/>
        <v>-528896</v>
      </c>
      <c r="AN92" s="91">
        <f t="shared" si="43"/>
        <v>-4872088</v>
      </c>
      <c r="AO92" s="91">
        <f t="shared" si="44"/>
        <v>-16000</v>
      </c>
      <c r="AP92" s="91">
        <f t="shared" si="45"/>
        <v>-76.743125800000001</v>
      </c>
      <c r="AQ92" s="92">
        <f t="shared" si="46"/>
        <v>-78.888742199999996</v>
      </c>
      <c r="AR92" s="92">
        <f t="shared" si="47"/>
        <v>-31.2534694</v>
      </c>
      <c r="AS92" s="92">
        <f t="shared" si="48"/>
        <v>-39.033519099999999</v>
      </c>
      <c r="AT92" s="92">
        <f t="shared" si="49"/>
        <v>-39.2136262</v>
      </c>
      <c r="AU92" s="92">
        <f t="shared" si="50"/>
        <v>-50.402538</v>
      </c>
      <c r="AV92" s="93">
        <f t="shared" si="51"/>
        <v>-30.4051163</v>
      </c>
    </row>
    <row r="93" spans="33:48" x14ac:dyDescent="0.15">
      <c r="AG93" s="91" t="e">
        <f t="shared" si="36"/>
        <v>#VALUE!</v>
      </c>
      <c r="AH93" s="91" t="e">
        <f t="shared" si="37"/>
        <v>#VALUE!</v>
      </c>
      <c r="AI93" s="91">
        <f t="shared" si="38"/>
        <v>-14733568</v>
      </c>
      <c r="AJ93" s="91">
        <f t="shared" si="39"/>
        <v>-8257360</v>
      </c>
      <c r="AK93" s="91">
        <f t="shared" si="40"/>
        <v>-1306200</v>
      </c>
      <c r="AL93" s="91">
        <f t="shared" si="41"/>
        <v>-316736</v>
      </c>
      <c r="AM93" s="91">
        <f t="shared" si="42"/>
        <v>-468200</v>
      </c>
      <c r="AN93" s="91">
        <f t="shared" si="43"/>
        <v>-6150528</v>
      </c>
      <c r="AO93" s="91">
        <f t="shared" si="44"/>
        <v>-15696</v>
      </c>
      <c r="AP93" s="91">
        <f t="shared" si="45"/>
        <v>-78.994159100000005</v>
      </c>
      <c r="AQ93" s="92">
        <f t="shared" si="46"/>
        <v>-81.662367000000003</v>
      </c>
      <c r="AR93" s="92">
        <f t="shared" si="47"/>
        <v>-31.668568499999999</v>
      </c>
      <c r="AS93" s="92">
        <f t="shared" si="48"/>
        <v>-39.1052374</v>
      </c>
      <c r="AT93" s="92">
        <f t="shared" si="49"/>
        <v>-39.383435900000002</v>
      </c>
      <c r="AU93" s="92">
        <f t="shared" si="50"/>
        <v>-51.811750400000001</v>
      </c>
      <c r="AV93" s="93">
        <f t="shared" si="51"/>
        <v>-30.979764200000002</v>
      </c>
    </row>
    <row r="94" spans="33:48" x14ac:dyDescent="0.15">
      <c r="AG94" s="91" t="e">
        <f t="shared" si="36"/>
        <v>#VALUE!</v>
      </c>
      <c r="AH94" s="91" t="e">
        <f t="shared" si="37"/>
        <v>#VALUE!</v>
      </c>
      <c r="AI94" s="91">
        <f t="shared" si="38"/>
        <v>-22099520</v>
      </c>
      <c r="AJ94" s="91">
        <f t="shared" si="39"/>
        <v>-12386136</v>
      </c>
      <c r="AK94" s="91">
        <f t="shared" si="40"/>
        <v>-1837824</v>
      </c>
      <c r="AL94" s="91">
        <f t="shared" si="41"/>
        <v>-455384</v>
      </c>
      <c r="AM94" s="91">
        <f t="shared" si="42"/>
        <v>-390048</v>
      </c>
      <c r="AN94" s="91">
        <f t="shared" si="43"/>
        <v>-9687344</v>
      </c>
      <c r="AO94" s="91">
        <f t="shared" si="44"/>
        <v>-15536</v>
      </c>
      <c r="AP94" s="91">
        <f t="shared" si="45"/>
        <v>-80.446982300000002</v>
      </c>
      <c r="AQ94" s="92">
        <f t="shared" si="46"/>
        <v>-83.610168299999998</v>
      </c>
      <c r="AR94" s="92">
        <f t="shared" si="47"/>
        <v>-32.447689400000002</v>
      </c>
      <c r="AS94" s="92">
        <f t="shared" si="48"/>
        <v>-39.193263399999999</v>
      </c>
      <c r="AT94" s="92">
        <f t="shared" si="49"/>
        <v>-39.519388499999998</v>
      </c>
      <c r="AU94" s="92">
        <f t="shared" si="50"/>
        <v>-52.690302799999998</v>
      </c>
      <c r="AV94" s="93">
        <f t="shared" si="51"/>
        <v>-31.741684500000002</v>
      </c>
    </row>
    <row r="95" spans="33:48" x14ac:dyDescent="0.15">
      <c r="AG95" s="91" t="e">
        <f t="shared" si="36"/>
        <v>#VALUE!</v>
      </c>
      <c r="AH95" s="91" t="e">
        <f t="shared" si="37"/>
        <v>#VALUE!</v>
      </c>
      <c r="AI95" s="91">
        <f t="shared" si="38"/>
        <v>-3682048</v>
      </c>
      <c r="AJ95" s="91">
        <f t="shared" si="39"/>
        <v>-3056968</v>
      </c>
      <c r="AK95" s="91">
        <f t="shared" si="40"/>
        <v>-345024</v>
      </c>
      <c r="AL95" s="91">
        <f t="shared" si="41"/>
        <v>-7440</v>
      </c>
      <c r="AM95" s="91">
        <f t="shared" si="42"/>
        <v>-319736</v>
      </c>
      <c r="AN95" s="91">
        <f t="shared" si="43"/>
        <v>-2368936</v>
      </c>
      <c r="AO95" s="91">
        <f t="shared" si="44"/>
        <v>-15832</v>
      </c>
      <c r="AP95" s="91">
        <f t="shared" si="45"/>
        <v>-74.630456300000006</v>
      </c>
      <c r="AQ95" s="92">
        <f t="shared" si="46"/>
        <v>-76.217400100000006</v>
      </c>
      <c r="AR95" s="92">
        <f t="shared" si="47"/>
        <v>-33.324114700000003</v>
      </c>
      <c r="AS95" s="92">
        <f t="shared" si="48"/>
        <v>-42.533331400000002</v>
      </c>
      <c r="AT95" s="92">
        <f t="shared" si="49"/>
        <v>-42.928639400000002</v>
      </c>
      <c r="AU95" s="92">
        <f t="shared" si="50"/>
        <v>-49.175759300000003</v>
      </c>
      <c r="AV95" s="93">
        <f t="shared" si="51"/>
        <v>-32.422205699999999</v>
      </c>
    </row>
    <row r="96" spans="33:48" x14ac:dyDescent="0.15">
      <c r="AG96" s="91" t="e">
        <f t="shared" si="36"/>
        <v>#VALUE!</v>
      </c>
      <c r="AH96" s="91" t="e">
        <f t="shared" si="37"/>
        <v>#VALUE!</v>
      </c>
      <c r="AI96" s="91">
        <f t="shared" si="38"/>
        <v>-7369024</v>
      </c>
      <c r="AJ96" s="91">
        <f t="shared" si="39"/>
        <v>-4004240</v>
      </c>
      <c r="AK96" s="91">
        <f t="shared" si="40"/>
        <v>-657912</v>
      </c>
      <c r="AL96" s="91">
        <f t="shared" si="41"/>
        <v>-68600</v>
      </c>
      <c r="AM96" s="91">
        <f t="shared" si="42"/>
        <v>-354736</v>
      </c>
      <c r="AN96" s="91">
        <f t="shared" si="43"/>
        <v>-2906984</v>
      </c>
      <c r="AO96" s="91">
        <f t="shared" si="44"/>
        <v>-16008</v>
      </c>
      <c r="AP96" s="91">
        <f t="shared" si="45"/>
        <v>-76.616621600000002</v>
      </c>
      <c r="AQ96" s="92">
        <f t="shared" si="46"/>
        <v>-78.514998500000004</v>
      </c>
      <c r="AR96" s="92">
        <f t="shared" si="47"/>
        <v>-33.658215200000001</v>
      </c>
      <c r="AS96" s="92">
        <f t="shared" si="48"/>
        <v>-42.728545500000003</v>
      </c>
      <c r="AT96" s="92">
        <f t="shared" si="49"/>
        <v>-43.195784199999999</v>
      </c>
      <c r="AU96" s="92">
        <f t="shared" si="50"/>
        <v>-50.446319199999998</v>
      </c>
      <c r="AV96" s="93">
        <f t="shared" si="51"/>
        <v>-32.965757000000004</v>
      </c>
    </row>
    <row r="97" spans="33:48" x14ac:dyDescent="0.15">
      <c r="AG97" s="91" t="e">
        <f t="shared" si="36"/>
        <v>#VALUE!</v>
      </c>
      <c r="AH97" s="91" t="e">
        <f t="shared" si="37"/>
        <v>#VALUE!</v>
      </c>
      <c r="AI97" s="91">
        <f t="shared" si="38"/>
        <v>-14739584</v>
      </c>
      <c r="AJ97" s="91">
        <f t="shared" si="39"/>
        <v>-6134536</v>
      </c>
      <c r="AK97" s="91">
        <f t="shared" si="40"/>
        <v>-1168032</v>
      </c>
      <c r="AL97" s="91">
        <f t="shared" si="41"/>
        <v>-129024</v>
      </c>
      <c r="AM97" s="91">
        <f t="shared" si="42"/>
        <v>-232160</v>
      </c>
      <c r="AN97" s="91">
        <f t="shared" si="43"/>
        <v>-4590056</v>
      </c>
      <c r="AO97" s="91">
        <f t="shared" si="44"/>
        <v>-15264</v>
      </c>
      <c r="AP97" s="91">
        <f t="shared" si="45"/>
        <v>-78.352143999999996</v>
      </c>
      <c r="AQ97" s="92">
        <f t="shared" si="46"/>
        <v>-80.531353100000004</v>
      </c>
      <c r="AR97" s="92">
        <f t="shared" si="47"/>
        <v>-34.270266200000002</v>
      </c>
      <c r="AS97" s="92">
        <f t="shared" si="48"/>
        <v>-42.856143500000002</v>
      </c>
      <c r="AT97" s="92">
        <f t="shared" si="49"/>
        <v>-43.425036200000001</v>
      </c>
      <c r="AU97" s="92">
        <f t="shared" si="50"/>
        <v>-51.608009199999998</v>
      </c>
      <c r="AV97" s="93">
        <f t="shared" si="51"/>
        <v>-33.616540899999997</v>
      </c>
    </row>
    <row r="98" spans="33:48" x14ac:dyDescent="0.15">
      <c r="AG98" s="91" t="e">
        <f t="shared" si="36"/>
        <v>#VALUE!</v>
      </c>
      <c r="AH98" s="91" t="e">
        <f t="shared" si="37"/>
        <v>#VALUE!</v>
      </c>
      <c r="AI98" s="91">
        <f t="shared" si="38"/>
        <v>-14739584</v>
      </c>
      <c r="AJ98" s="91">
        <f t="shared" si="39"/>
        <v>-8174560</v>
      </c>
      <c r="AK98" s="91">
        <f t="shared" si="40"/>
        <v>-1168032</v>
      </c>
      <c r="AL98" s="91">
        <f t="shared" si="41"/>
        <v>-129024</v>
      </c>
      <c r="AM98" s="91">
        <f t="shared" si="42"/>
        <v>-568208</v>
      </c>
      <c r="AN98" s="91">
        <f t="shared" si="43"/>
        <v>-6293560</v>
      </c>
      <c r="AO98" s="91">
        <f t="shared" si="44"/>
        <v>-15736</v>
      </c>
      <c r="AP98" s="91">
        <f t="shared" si="45"/>
        <v>-79.689147000000006</v>
      </c>
      <c r="AQ98" s="92">
        <f t="shared" si="46"/>
        <v>-82.337199699999999</v>
      </c>
      <c r="AR98" s="92">
        <f t="shared" si="47"/>
        <v>-34.3468448</v>
      </c>
      <c r="AS98" s="92">
        <f t="shared" si="48"/>
        <v>-42.995586400000001</v>
      </c>
      <c r="AT98" s="92">
        <f t="shared" si="49"/>
        <v>-43.629921600000003</v>
      </c>
      <c r="AU98" s="92">
        <f t="shared" si="50"/>
        <v>-52.412751499999999</v>
      </c>
      <c r="AV98" s="93">
        <f t="shared" si="51"/>
        <v>-33.741399100000002</v>
      </c>
    </row>
    <row r="99" spans="33:48" ht="15.75" customHeight="1" thickBot="1" x14ac:dyDescent="0.2">
      <c r="AG99" s="94" t="e">
        <f t="shared" si="36"/>
        <v>#VALUE!</v>
      </c>
      <c r="AH99" s="94" t="e">
        <f t="shared" si="37"/>
        <v>#VALUE!</v>
      </c>
      <c r="AI99" s="94">
        <f t="shared" si="38"/>
        <v>-22110080</v>
      </c>
      <c r="AJ99" s="94">
        <f t="shared" si="39"/>
        <v>-12447200</v>
      </c>
      <c r="AK99" s="94">
        <f t="shared" si="40"/>
        <v>-1644024</v>
      </c>
      <c r="AL99" s="94">
        <f t="shared" si="41"/>
        <v>-189792</v>
      </c>
      <c r="AM99" s="94">
        <f t="shared" si="42"/>
        <v>-513864</v>
      </c>
      <c r="AN99" s="94">
        <f t="shared" si="43"/>
        <v>-10084072</v>
      </c>
      <c r="AO99" s="94">
        <f t="shared" si="44"/>
        <v>-15448</v>
      </c>
      <c r="AP99" s="94">
        <f t="shared" si="45"/>
        <v>-81.163160399999995</v>
      </c>
      <c r="AQ99" s="95">
        <f t="shared" si="46"/>
        <v>-84.247127899999995</v>
      </c>
      <c r="AR99" s="95">
        <f t="shared" si="47"/>
        <v>-34.913000500000003</v>
      </c>
      <c r="AS99" s="95">
        <f t="shared" si="48"/>
        <v>-43.1001397</v>
      </c>
      <c r="AT99" s="95">
        <f t="shared" si="49"/>
        <v>-43.751811500000002</v>
      </c>
      <c r="AU99" s="95">
        <f t="shared" si="50"/>
        <v>-53.3719465</v>
      </c>
      <c r="AV99" s="96">
        <f t="shared" si="51"/>
        <v>-34.331509599999997</v>
      </c>
    </row>
    <row r="100" spans="33:48" x14ac:dyDescent="0.15">
      <c r="AG100" s="91" t="e">
        <f t="shared" ref="AG100:AV103" si="52">AG45-L45</f>
        <v>#VALUE!</v>
      </c>
      <c r="AH100" s="91" t="e">
        <f t="shared" si="52"/>
        <v>#VALUE!</v>
      </c>
      <c r="AI100" s="91">
        <f t="shared" si="52"/>
        <v>-383872</v>
      </c>
      <c r="AJ100" s="91">
        <f t="shared" si="52"/>
        <v>-190496</v>
      </c>
      <c r="AK100" s="91">
        <f t="shared" si="52"/>
        <v>-72440</v>
      </c>
      <c r="AL100" s="91">
        <f t="shared" si="52"/>
        <v>0</v>
      </c>
      <c r="AM100" s="91">
        <f t="shared" si="52"/>
        <v>-15544</v>
      </c>
      <c r="AN100" s="91">
        <f t="shared" si="52"/>
        <v>-100864</v>
      </c>
      <c r="AO100" s="91">
        <f t="shared" si="52"/>
        <v>-1648</v>
      </c>
      <c r="AP100" s="91">
        <f t="shared" si="52"/>
        <v>-76.493702900000002</v>
      </c>
      <c r="AQ100" s="92">
        <f t="shared" si="52"/>
        <v>-79.061057300000002</v>
      </c>
      <c r="AR100" s="92">
        <f t="shared" si="52"/>
        <v>-30.278041900000002</v>
      </c>
      <c r="AS100" s="92">
        <f t="shared" si="52"/>
        <v>-42.494525299999999</v>
      </c>
      <c r="AT100" s="92">
        <f t="shared" si="52"/>
        <v>-40.849274800000003</v>
      </c>
      <c r="AU100" s="92">
        <f t="shared" si="52"/>
        <v>-55.044560400000002</v>
      </c>
      <c r="AV100" s="93">
        <f t="shared" si="52"/>
        <v>-29.878969999999999</v>
      </c>
    </row>
    <row r="101" spans="33:48" x14ac:dyDescent="0.15">
      <c r="AG101" s="91" t="e">
        <f t="shared" si="52"/>
        <v>#VALUE!</v>
      </c>
      <c r="AH101" s="91" t="e">
        <f t="shared" si="52"/>
        <v>#VALUE!</v>
      </c>
      <c r="AI101" s="91">
        <f t="shared" si="52"/>
        <v>-383872</v>
      </c>
      <c r="AJ101" s="91">
        <f t="shared" si="52"/>
        <v>-342960</v>
      </c>
      <c r="AK101" s="91">
        <f t="shared" si="52"/>
        <v>-81088</v>
      </c>
      <c r="AL101" s="91">
        <f t="shared" si="52"/>
        <v>0</v>
      </c>
      <c r="AM101" s="91">
        <f t="shared" si="52"/>
        <v>-24720</v>
      </c>
      <c r="AN101" s="91">
        <f t="shared" si="52"/>
        <v>-235496</v>
      </c>
      <c r="AO101" s="91">
        <f t="shared" si="52"/>
        <v>-1656</v>
      </c>
      <c r="AP101" s="91">
        <f t="shared" si="52"/>
        <v>-78.244808599999999</v>
      </c>
      <c r="AQ101" s="92">
        <f t="shared" si="52"/>
        <v>-81.361836800000006</v>
      </c>
      <c r="AR101" s="92">
        <f t="shared" si="52"/>
        <v>-31.540469900000002</v>
      </c>
      <c r="AS101" s="92">
        <f t="shared" si="52"/>
        <v>-43.652007599999997</v>
      </c>
      <c r="AT101" s="92">
        <f t="shared" si="52"/>
        <v>-42.291822500000002</v>
      </c>
      <c r="AU101" s="92">
        <f t="shared" si="52"/>
        <v>-56.170851599999999</v>
      </c>
      <c r="AV101" s="93">
        <f t="shared" si="52"/>
        <v>-31.075164699999998</v>
      </c>
    </row>
    <row r="102" spans="33:48" x14ac:dyDescent="0.15">
      <c r="AG102" s="91" t="e">
        <f t="shared" si="52"/>
        <v>#VALUE!</v>
      </c>
      <c r="AH102" s="91" t="e">
        <f t="shared" si="52"/>
        <v>#VALUE!</v>
      </c>
      <c r="AI102" s="91">
        <f t="shared" si="52"/>
        <v>-767872</v>
      </c>
      <c r="AJ102" s="91">
        <f t="shared" si="52"/>
        <v>-918272</v>
      </c>
      <c r="AK102" s="91">
        <f t="shared" si="52"/>
        <v>-141704</v>
      </c>
      <c r="AL102" s="91">
        <f t="shared" si="52"/>
        <v>0</v>
      </c>
      <c r="AM102" s="91">
        <f t="shared" si="52"/>
        <v>-59984</v>
      </c>
      <c r="AN102" s="91">
        <f t="shared" si="52"/>
        <v>-714904</v>
      </c>
      <c r="AO102" s="91">
        <f t="shared" si="52"/>
        <v>-1680</v>
      </c>
      <c r="AP102" s="91">
        <f t="shared" si="52"/>
        <v>-81.334224199999994</v>
      </c>
      <c r="AQ102" s="92">
        <f t="shared" si="52"/>
        <v>-86.582821699999997</v>
      </c>
      <c r="AR102" s="92">
        <f t="shared" si="52"/>
        <v>-32.737954999999999</v>
      </c>
      <c r="AS102" s="92">
        <f t="shared" si="52"/>
        <v>-44.933899199999999</v>
      </c>
      <c r="AT102" s="92">
        <f t="shared" si="52"/>
        <v>-43.992284499999997</v>
      </c>
      <c r="AU102" s="92">
        <f t="shared" si="52"/>
        <v>-58.616900700000002</v>
      </c>
      <c r="AV102" s="93">
        <f t="shared" si="52"/>
        <v>-32.434200199999999</v>
      </c>
    </row>
    <row r="103" spans="33:48" x14ac:dyDescent="0.15">
      <c r="AG103" s="91" t="e">
        <f t="shared" si="52"/>
        <v>#VALUE!</v>
      </c>
      <c r="AH103" s="91" t="e">
        <f t="shared" si="52"/>
        <v>#VALUE!</v>
      </c>
      <c r="AI103" s="91">
        <f t="shared" si="52"/>
        <v>-1535744</v>
      </c>
      <c r="AJ103" s="91">
        <f t="shared" si="52"/>
        <v>-1691752</v>
      </c>
      <c r="AK103" s="91">
        <f t="shared" si="52"/>
        <v>-248112</v>
      </c>
      <c r="AL103" s="91">
        <f t="shared" si="52"/>
        <v>0</v>
      </c>
      <c r="AM103" s="91">
        <f t="shared" si="52"/>
        <v>-55432</v>
      </c>
      <c r="AN103" s="91">
        <f t="shared" si="52"/>
        <v>-1386528</v>
      </c>
      <c r="AO103" s="91">
        <f t="shared" si="52"/>
        <v>-1680</v>
      </c>
      <c r="AP103" s="91">
        <f t="shared" si="52"/>
        <v>-82.120771199999993</v>
      </c>
      <c r="AQ103" s="92">
        <f t="shared" si="52"/>
        <v>-88.265081100000003</v>
      </c>
      <c r="AR103" s="92">
        <f t="shared" si="52"/>
        <v>-33.567344599999998</v>
      </c>
      <c r="AS103" s="92">
        <f t="shared" si="52"/>
        <v>-46.3748389</v>
      </c>
      <c r="AT103" s="92">
        <f t="shared" si="52"/>
        <v>-45.425838900000002</v>
      </c>
      <c r="AU103" s="92">
        <f t="shared" si="52"/>
        <v>-59.151543500000002</v>
      </c>
      <c r="AV103" s="93">
        <f t="shared" si="52"/>
        <v>-33.257023400000001</v>
      </c>
    </row>
    <row r="104" spans="33:48" ht="14.25" thickBot="1" x14ac:dyDescent="0.2">
      <c r="AG104" s="94" t="e">
        <f t="shared" ref="AG104:AV104" si="53">AG49-L49</f>
        <v>#VALUE!</v>
      </c>
      <c r="AH104" s="94" t="e">
        <f t="shared" si="53"/>
        <v>#VALUE!</v>
      </c>
      <c r="AI104" s="94">
        <f t="shared" si="53"/>
        <v>-1535744</v>
      </c>
      <c r="AJ104" s="94">
        <f t="shared" si="53"/>
        <v>-3002608</v>
      </c>
      <c r="AK104" s="94">
        <f t="shared" si="53"/>
        <v>-248112</v>
      </c>
      <c r="AL104" s="94">
        <f t="shared" si="53"/>
        <v>0</v>
      </c>
      <c r="AM104" s="94">
        <f t="shared" si="53"/>
        <v>-64824</v>
      </c>
      <c r="AN104" s="94">
        <f t="shared" si="53"/>
        <v>-2687984</v>
      </c>
      <c r="AO104" s="94">
        <f t="shared" si="53"/>
        <v>-1688</v>
      </c>
      <c r="AP104" s="94">
        <f t="shared" si="53"/>
        <v>-82.296570799999998</v>
      </c>
      <c r="AQ104" s="95">
        <f t="shared" si="53"/>
        <v>-88.772984699999995</v>
      </c>
      <c r="AR104" s="95">
        <f t="shared" si="53"/>
        <v>-34.238238899999999</v>
      </c>
      <c r="AS104" s="95">
        <f t="shared" si="53"/>
        <v>-48.012117199999999</v>
      </c>
      <c r="AT104" s="95">
        <f t="shared" si="53"/>
        <v>-46.998905299999997</v>
      </c>
      <c r="AU104" s="95">
        <f t="shared" si="53"/>
        <v>-59.486194699999999</v>
      </c>
      <c r="AV104" s="96">
        <f t="shared" si="53"/>
        <v>-33.879080799999997</v>
      </c>
    </row>
  </sheetData>
  <mergeCells count="52"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A2:A3"/>
    <mergeCell ref="B2:B3"/>
    <mergeCell ref="C2:C3"/>
    <mergeCell ref="D2:D3"/>
    <mergeCell ref="E2:E3"/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</mergeCells>
  <phoneticPr fontId="2" type="noConversion"/>
  <conditionalFormatting sqref="AZ50:AZ52 AZ54:BF54">
    <cfRule type="cellIs" dxfId="111" priority="75" operator="greaterThanOrEqual">
      <formula>0.03</formula>
    </cfRule>
    <cfRule type="cellIs" dxfId="110" priority="76" operator="lessThanOrEqual">
      <formula>-0.03</formula>
    </cfRule>
  </conditionalFormatting>
  <conditionalFormatting sqref="BA50:BA52">
    <cfRule type="cellIs" dxfId="109" priority="71" operator="greaterThanOrEqual">
      <formula>0.03</formula>
    </cfRule>
    <cfRule type="cellIs" dxfId="108" priority="72" operator="lessThanOrEqual">
      <formula>-0.03</formula>
    </cfRule>
  </conditionalFormatting>
  <conditionalFormatting sqref="BB50:BB52">
    <cfRule type="cellIs" dxfId="107" priority="79" operator="greaterThanOrEqual">
      <formula>0.03</formula>
    </cfRule>
    <cfRule type="cellIs" dxfId="106" priority="80" operator="lessThanOrEqual">
      <formula>-0.03</formula>
    </cfRule>
  </conditionalFormatting>
  <conditionalFormatting sqref="BC50:BC52">
    <cfRule type="cellIs" dxfId="105" priority="81" operator="greaterThanOrEqual">
      <formula>0.03</formula>
    </cfRule>
    <cfRule type="cellIs" dxfId="104" priority="82" operator="lessThanOrEqual">
      <formula>-0.03</formula>
    </cfRule>
  </conditionalFormatting>
  <conditionalFormatting sqref="BD50:BD52">
    <cfRule type="cellIs" dxfId="103" priority="73" operator="greaterThanOrEqual">
      <formula>0.03</formula>
    </cfRule>
    <cfRule type="cellIs" dxfId="102" priority="74" operator="lessThanOrEqual">
      <formula>-0.03</formula>
    </cfRule>
  </conditionalFormatting>
  <conditionalFormatting sqref="BE50:BE52">
    <cfRule type="cellIs" dxfId="101" priority="83" operator="greaterThanOrEqual">
      <formula>0.03</formula>
    </cfRule>
    <cfRule type="cellIs" dxfId="100" priority="84" operator="lessThanOrEqual">
      <formula>-0.03</formula>
    </cfRule>
  </conditionalFormatting>
  <conditionalFormatting sqref="BF50:BF52">
    <cfRule type="cellIs" dxfId="99" priority="77" operator="greaterThanOrEqual">
      <formula>0.03</formula>
    </cfRule>
    <cfRule type="cellIs" dxfId="98" priority="78" operator="lessThanOrEqual">
      <formula>-0.03</formula>
    </cfRule>
  </conditionalFormatting>
  <conditionalFormatting sqref="J5:J50">
    <cfRule type="expression" dxfId="97" priority="70">
      <formula>OR(J5 &lt; H5 * 0.9, J5 &gt; H5)</formula>
    </cfRule>
  </conditionalFormatting>
  <conditionalFormatting sqref="AE5:AE50">
    <cfRule type="expression" dxfId="96" priority="69">
      <formula>OR(AE5 &lt; H5 * 0.9, AE5 &gt; H5)</formula>
    </cfRule>
  </conditionalFormatting>
  <conditionalFormatting sqref="BP5:BP52 BP54:BT54">
    <cfRule type="cellIs" dxfId="95" priority="67" operator="greaterThanOrEqual">
      <formula>0.001</formula>
    </cfRule>
    <cfRule type="cellIs" dxfId="94" priority="68" operator="lessThanOrEqual">
      <formula>-0.001</formula>
    </cfRule>
  </conditionalFormatting>
  <conditionalFormatting sqref="BQ5:BQ52">
    <cfRule type="cellIs" dxfId="93" priority="65" operator="greaterThanOrEqual">
      <formula>0.001</formula>
    </cfRule>
    <cfRule type="cellIs" dxfId="92" priority="66" operator="lessThanOrEqual">
      <formula>-0.001</formula>
    </cfRule>
  </conditionalFormatting>
  <conditionalFormatting sqref="BR5:BR52">
    <cfRule type="cellIs" dxfId="91" priority="63" operator="greaterThanOrEqual">
      <formula>0.001</formula>
    </cfRule>
    <cfRule type="cellIs" dxfId="90" priority="64" operator="lessThanOrEqual">
      <formula>-0.001</formula>
    </cfRule>
  </conditionalFormatting>
  <conditionalFormatting sqref="BS5:BS52">
    <cfRule type="cellIs" dxfId="89" priority="61" operator="greaterThanOrEqual">
      <formula>0.001</formula>
    </cfRule>
    <cfRule type="cellIs" dxfId="88" priority="62" operator="lessThanOrEqual">
      <formula>-0.001</formula>
    </cfRule>
  </conditionalFormatting>
  <conditionalFormatting sqref="AG60:AQ99">
    <cfRule type="cellIs" dxfId="87" priority="59" operator="lessThan">
      <formula>0</formula>
    </cfRule>
    <cfRule type="cellIs" dxfId="86" priority="60" operator="greaterThan">
      <formula>0</formula>
    </cfRule>
  </conditionalFormatting>
  <conditionalFormatting sqref="AR60:AV99">
    <cfRule type="cellIs" dxfId="85" priority="57" operator="lessThan">
      <formula>0</formula>
    </cfRule>
    <cfRule type="cellIs" dxfId="84" priority="58" operator="greaterThan">
      <formula>0</formula>
    </cfRule>
  </conditionalFormatting>
  <conditionalFormatting sqref="L5:L49">
    <cfRule type="expression" dxfId="83" priority="54">
      <formula>NOT(L5=O5)</formula>
    </cfRule>
  </conditionalFormatting>
  <conditionalFormatting sqref="AG5:AG49">
    <cfRule type="expression" dxfId="82" priority="53">
      <formula>NOT(AG5=AJ5)</formula>
    </cfRule>
  </conditionalFormatting>
  <conditionalFormatting sqref="BH50:BH52 BH54:BN54">
    <cfRule type="cellIs" dxfId="81" priority="43" operator="greaterThanOrEqual">
      <formula>0.03</formula>
    </cfRule>
    <cfRule type="cellIs" dxfId="80" priority="44" operator="lessThanOrEqual">
      <formula>-0.03</formula>
    </cfRule>
  </conditionalFormatting>
  <conditionalFormatting sqref="BI50:BI52">
    <cfRule type="cellIs" dxfId="79" priority="39" operator="greaterThanOrEqual">
      <formula>0.03</formula>
    </cfRule>
    <cfRule type="cellIs" dxfId="78" priority="40" operator="lessThanOrEqual">
      <formula>-0.03</formula>
    </cfRule>
  </conditionalFormatting>
  <conditionalFormatting sqref="BJ50:BJ52">
    <cfRule type="cellIs" dxfId="77" priority="47" operator="greaterThanOrEqual">
      <formula>0.03</formula>
    </cfRule>
    <cfRule type="cellIs" dxfId="76" priority="48" operator="lessThanOrEqual">
      <formula>-0.03</formula>
    </cfRule>
  </conditionalFormatting>
  <conditionalFormatting sqref="BK50:BK52">
    <cfRule type="cellIs" dxfId="75" priority="49" operator="greaterThanOrEqual">
      <formula>0.03</formula>
    </cfRule>
    <cfRule type="cellIs" dxfId="74" priority="50" operator="lessThanOrEqual">
      <formula>-0.03</formula>
    </cfRule>
  </conditionalFormatting>
  <conditionalFormatting sqref="BL50:BL5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BM50:BM52">
    <cfRule type="cellIs" dxfId="71" priority="51" operator="greaterThanOrEqual">
      <formula>0.03</formula>
    </cfRule>
    <cfRule type="cellIs" dxfId="70" priority="52" operator="lessThanOrEqual">
      <formula>-0.03</formula>
    </cfRule>
  </conditionalFormatting>
  <conditionalFormatting sqref="BN50:BN52">
    <cfRule type="cellIs" dxfId="69" priority="45" operator="greaterThanOrEqual">
      <formula>0.03</formula>
    </cfRule>
    <cfRule type="cellIs" dxfId="68" priority="46" operator="lessThanOrEqual">
      <formula>-0.03</formula>
    </cfRule>
  </conditionalFormatting>
  <conditionalFormatting sqref="BT5:BT52">
    <cfRule type="cellIs" dxfId="67" priority="37" operator="greaterThanOrEqual">
      <formula>0.001</formula>
    </cfRule>
    <cfRule type="cellIs" dxfId="66" priority="38" operator="lessThanOrEqual">
      <formula>-0.001</formula>
    </cfRule>
  </conditionalFormatting>
  <conditionalFormatting sqref="AZ5:AZ49">
    <cfRule type="cellIs" dxfId="65" priority="23" operator="greaterThanOrEqual">
      <formula>0.03</formula>
    </cfRule>
    <cfRule type="cellIs" dxfId="64" priority="24" operator="lessThanOrEqual">
      <formula>-0.03</formula>
    </cfRule>
  </conditionalFormatting>
  <conditionalFormatting sqref="BA5:BA49">
    <cfRule type="cellIs" dxfId="63" priority="25" operator="greaterThanOrEqual">
      <formula>0.03</formula>
    </cfRule>
    <cfRule type="cellIs" dxfId="62" priority="26" operator="lessThanOrEqual">
      <formula>-0.03</formula>
    </cfRule>
  </conditionalFormatting>
  <conditionalFormatting sqref="BB5:BB49">
    <cfRule type="cellIs" dxfId="61" priority="33" operator="greaterThanOrEqual">
      <formula>0.03</formula>
    </cfRule>
    <cfRule type="cellIs" dxfId="60" priority="34" operator="lessThanOrEqual">
      <formula>-0.03</formula>
    </cfRule>
  </conditionalFormatting>
  <conditionalFormatting sqref="BC5:BC49">
    <cfRule type="cellIs" dxfId="59" priority="35" operator="greaterThanOrEqual">
      <formula>0.03</formula>
    </cfRule>
    <cfRule type="cellIs" dxfId="58" priority="36" operator="lessThanOrEqual">
      <formula>-0.03</formula>
    </cfRule>
  </conditionalFormatting>
  <conditionalFormatting sqref="BD5:BD49">
    <cfRule type="cellIs" dxfId="57" priority="27" operator="greaterThanOrEqual">
      <formula>0.03</formula>
    </cfRule>
    <cfRule type="cellIs" dxfId="56" priority="28" operator="lessThanOrEqual">
      <formula>-0.03</formula>
    </cfRule>
  </conditionalFormatting>
  <conditionalFormatting sqref="BE5:BE49">
    <cfRule type="cellIs" dxfId="55" priority="29" operator="greaterThanOrEqual">
      <formula>0.03</formula>
    </cfRule>
    <cfRule type="cellIs" dxfId="54" priority="30" operator="lessThanOrEqual">
      <formula>-0.03</formula>
    </cfRule>
  </conditionalFormatting>
  <conditionalFormatting sqref="BF5:BF49">
    <cfRule type="cellIs" dxfId="53" priority="31" operator="greaterThanOrEqual">
      <formula>0.03</formula>
    </cfRule>
    <cfRule type="cellIs" dxfId="52" priority="32" operator="lessThanOrEqual">
      <formula>-0.03</formula>
    </cfRule>
  </conditionalFormatting>
  <conditionalFormatting sqref="BH5:BH49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I5:BI49">
    <cfRule type="cellIs" dxfId="49" priority="9" operator="greaterThanOrEqual">
      <formula>0.03</formula>
    </cfRule>
    <cfRule type="cellIs" dxfId="48" priority="10" operator="lessThanOrEqual">
      <formula>-0.03</formula>
    </cfRule>
  </conditionalFormatting>
  <conditionalFormatting sqref="BJ5:BJ49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K5:BK49">
    <cfRule type="cellIs" dxfId="45" priority="19" operator="greaterThanOrEqual">
      <formula>0.03</formula>
    </cfRule>
    <cfRule type="cellIs" dxfId="44" priority="20" operator="lessThanOrEqual">
      <formula>-0.03</formula>
    </cfRule>
  </conditionalFormatting>
  <conditionalFormatting sqref="BL5:BL49">
    <cfRule type="cellIs" dxfId="43" priority="11" operator="greaterThanOrEqual">
      <formula>0.03</formula>
    </cfRule>
    <cfRule type="cellIs" dxfId="42" priority="12" operator="lessThanOrEqual">
      <formula>-0.03</formula>
    </cfRule>
  </conditionalFormatting>
  <conditionalFormatting sqref="BM5:BM49">
    <cfRule type="cellIs" dxfId="41" priority="21" operator="greaterThanOrEqual">
      <formula>0.03</formula>
    </cfRule>
    <cfRule type="cellIs" dxfId="40" priority="22" operator="lessThanOrEqual">
      <formula>-0.03</formula>
    </cfRule>
  </conditionalFormatting>
  <conditionalFormatting sqref="BN5:BN49">
    <cfRule type="cellIs" dxfId="39" priority="15" operator="greaterThanOrEqual">
      <formula>0.03</formula>
    </cfRule>
    <cfRule type="cellIs" dxfId="38" priority="16" operator="lessThanOrEqual">
      <formula>-0.03</formula>
    </cfRule>
  </conditionalFormatting>
  <conditionalFormatting sqref="AZ53:BN53">
    <cfRule type="cellIs" dxfId="37" priority="7" operator="greaterThanOrEqual">
      <formula>0.03</formula>
    </cfRule>
    <cfRule type="cellIs" dxfId="36" priority="8" operator="lessThanOrEqual">
      <formula>-0.03</formula>
    </cfRule>
  </conditionalFormatting>
  <conditionalFormatting sqref="BP53:BT53">
    <cfRule type="cellIs" dxfId="35" priority="5" operator="greaterThanOrEqual">
      <formula>0.001</formula>
    </cfRule>
    <cfRule type="cellIs" dxfId="34" priority="6" operator="lessThanOrEqual">
      <formula>-0.001</formula>
    </cfRule>
  </conditionalFormatting>
  <conditionalFormatting sqref="AG100:AQ104">
    <cfRule type="cellIs" dxfId="33" priority="3" operator="lessThan">
      <formula>0</formula>
    </cfRule>
    <cfRule type="cellIs" dxfId="32" priority="4" operator="greaterThan">
      <formula>0</formula>
    </cfRule>
  </conditionalFormatting>
  <conditionalFormatting sqref="AR100:AV104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9"/>
  <sheetViews>
    <sheetView workbookViewId="0">
      <selection activeCell="D17" sqref="D17"/>
    </sheetView>
  </sheetViews>
  <sheetFormatPr defaultRowHeight="13.5" x14ac:dyDescent="0.15"/>
  <sheetData>
    <row r="1" spans="1:16" ht="15.75" customHeight="1" thickBot="1" x14ac:dyDescent="0.2">
      <c r="C1" s="131" t="s">
        <v>332</v>
      </c>
      <c r="D1" s="132"/>
      <c r="E1" s="132"/>
      <c r="F1" s="132"/>
      <c r="G1" s="132"/>
      <c r="H1" s="132"/>
      <c r="I1" s="133"/>
      <c r="J1" s="131" t="s">
        <v>367</v>
      </c>
      <c r="K1" s="132"/>
      <c r="L1" s="132"/>
      <c r="M1" s="132"/>
      <c r="N1" s="132"/>
      <c r="O1" s="132"/>
      <c r="P1" s="133"/>
    </row>
    <row r="2" spans="1:16" ht="15.75" customHeight="1" thickBot="1" x14ac:dyDescent="0.2">
      <c r="A2" s="134" t="s">
        <v>149</v>
      </c>
      <c r="B2" s="136" t="s">
        <v>150</v>
      </c>
      <c r="C2" s="138" t="s">
        <v>15</v>
      </c>
      <c r="D2" s="139"/>
      <c r="E2" s="139"/>
      <c r="F2" s="139"/>
      <c r="G2" s="139"/>
      <c r="H2" s="140" t="s">
        <v>16</v>
      </c>
      <c r="I2" s="141"/>
      <c r="J2" s="138" t="s">
        <v>15</v>
      </c>
      <c r="K2" s="139"/>
      <c r="L2" s="139"/>
      <c r="M2" s="139"/>
      <c r="N2" s="139"/>
      <c r="O2" s="140" t="s">
        <v>16</v>
      </c>
      <c r="P2" s="141"/>
    </row>
    <row r="3" spans="1:16" ht="30.75" customHeight="1" thickBot="1" x14ac:dyDescent="0.2">
      <c r="A3" s="135"/>
      <c r="B3" s="137"/>
      <c r="C3" s="60" t="s">
        <v>17</v>
      </c>
      <c r="D3" s="61" t="s">
        <v>18</v>
      </c>
      <c r="E3" s="61" t="s">
        <v>19</v>
      </c>
      <c r="F3" s="61" t="s">
        <v>20</v>
      </c>
      <c r="G3" s="61" t="s">
        <v>21</v>
      </c>
      <c r="H3" s="61" t="s">
        <v>22</v>
      </c>
      <c r="I3" s="62" t="s">
        <v>19</v>
      </c>
      <c r="J3" s="60" t="s">
        <v>17</v>
      </c>
      <c r="K3" s="61" t="s">
        <v>18</v>
      </c>
      <c r="L3" s="61" t="s">
        <v>19</v>
      </c>
      <c r="M3" s="61" t="s">
        <v>20</v>
      </c>
      <c r="N3" s="61" t="s">
        <v>21</v>
      </c>
      <c r="O3" s="61" t="s">
        <v>22</v>
      </c>
      <c r="P3" s="62" t="s">
        <v>19</v>
      </c>
    </row>
    <row r="4" spans="1:16" x14ac:dyDescent="0.15">
      <c r="A4" s="63" t="s">
        <v>175</v>
      </c>
      <c r="B4" s="64" t="s">
        <v>38</v>
      </c>
      <c r="C4" s="65" t="str">
        <f>'C1 lossy AI'!AZ5</f>
        <v>·</v>
      </c>
      <c r="D4" s="24" t="str">
        <f>'C1 lossy AI'!BA5</f>
        <v>·</v>
      </c>
      <c r="E4" s="24" t="str">
        <f>'C1 lossy AI'!BB5</f>
        <v>·</v>
      </c>
      <c r="F4" s="24" t="str">
        <f>'C1 lossy AI'!BC5</f>
        <v>·</v>
      </c>
      <c r="G4" s="24" t="str">
        <f>'C1 lossy AI'!BD5</f>
        <v>·</v>
      </c>
      <c r="H4" s="24" t="str">
        <f>'C1 lossy AI'!BE5</f>
        <v>·</v>
      </c>
      <c r="I4" s="66" t="str">
        <f>'C1 lossy AI'!BF5</f>
        <v>·</v>
      </c>
      <c r="J4" s="65" t="str">
        <f>'C2 lossy RA'!AZ5</f>
        <v>·</v>
      </c>
      <c r="K4" s="24" t="str">
        <f>'C2 lossy RA'!BA5</f>
        <v>·</v>
      </c>
      <c r="L4" s="24" t="str">
        <f>'C2 lossy RA'!BB5</f>
        <v>·</v>
      </c>
      <c r="M4" s="24" t="str">
        <f>'C2 lossy RA'!BC5</f>
        <v>·</v>
      </c>
      <c r="N4" s="24" t="str">
        <f>'C2 lossy RA'!BD5</f>
        <v>·</v>
      </c>
      <c r="O4" s="24" t="str">
        <f>'C2 lossy RA'!BE5</f>
        <v>·</v>
      </c>
      <c r="P4" s="66" t="str">
        <f>'C2 lossy RA'!BF5</f>
        <v>·</v>
      </c>
    </row>
    <row r="5" spans="1:16" x14ac:dyDescent="0.15">
      <c r="A5" s="67"/>
      <c r="B5" s="68" t="s">
        <v>46</v>
      </c>
      <c r="C5" s="69" t="str">
        <f>'C1 lossy AI'!AZ10</f>
        <v>·</v>
      </c>
      <c r="D5" s="40" t="str">
        <f>'C1 lossy AI'!BA10</f>
        <v>·</v>
      </c>
      <c r="E5" s="40" t="str">
        <f>'C1 lossy AI'!BB10</f>
        <v>·</v>
      </c>
      <c r="F5" s="40" t="str">
        <f>'C1 lossy AI'!BC10</f>
        <v>·</v>
      </c>
      <c r="G5" s="40" t="str">
        <f>'C1 lossy AI'!BD10</f>
        <v>·</v>
      </c>
      <c r="H5" s="40" t="str">
        <f>'C1 lossy AI'!BE10</f>
        <v>·</v>
      </c>
      <c r="I5" s="70" t="str">
        <f>'C1 lossy AI'!BF10</f>
        <v>·</v>
      </c>
      <c r="J5" s="69" t="str">
        <f>'C2 lossy RA'!AZ10</f>
        <v>·</v>
      </c>
      <c r="K5" s="40" t="str">
        <f>'C2 lossy RA'!BA10</f>
        <v>·</v>
      </c>
      <c r="L5" s="40" t="str">
        <f>'C2 lossy RA'!BB10</f>
        <v>·</v>
      </c>
      <c r="M5" s="40" t="str">
        <f>'C2 lossy RA'!BC10</f>
        <v>·</v>
      </c>
      <c r="N5" s="40" t="str">
        <f>'C2 lossy RA'!BD10</f>
        <v>·</v>
      </c>
      <c r="O5" s="40" t="str">
        <f>'C2 lossy RA'!BE10</f>
        <v>·</v>
      </c>
      <c r="P5" s="70" t="str">
        <f>'C2 lossy RA'!BF10</f>
        <v>·</v>
      </c>
    </row>
    <row r="6" spans="1:16" x14ac:dyDescent="0.15">
      <c r="A6" s="63" t="s">
        <v>176</v>
      </c>
      <c r="B6" s="64" t="s">
        <v>51</v>
      </c>
      <c r="C6" s="65" t="str">
        <f>'C1 lossy AI'!AZ15</f>
        <v>·</v>
      </c>
      <c r="D6" s="24" t="str">
        <f>'C1 lossy AI'!BA15</f>
        <v>·</v>
      </c>
      <c r="E6" s="24" t="str">
        <f>'C1 lossy AI'!BB15</f>
        <v>·</v>
      </c>
      <c r="F6" s="24" t="str">
        <f>'C1 lossy AI'!BC15</f>
        <v>·</v>
      </c>
      <c r="G6" s="24" t="str">
        <f>'C1 lossy AI'!BD15</f>
        <v>·</v>
      </c>
      <c r="H6" s="24" t="str">
        <f>'C1 lossy AI'!BE15</f>
        <v>·</v>
      </c>
      <c r="I6" s="66" t="str">
        <f>'C1 lossy AI'!BF15</f>
        <v>·</v>
      </c>
      <c r="J6" s="65" t="str">
        <f>'C2 lossy RA'!AZ15</f>
        <v>·</v>
      </c>
      <c r="K6" s="24" t="str">
        <f>'C2 lossy RA'!BA15</f>
        <v>·</v>
      </c>
      <c r="L6" s="24" t="str">
        <f>'C2 lossy RA'!BB15</f>
        <v>·</v>
      </c>
      <c r="M6" s="24" t="str">
        <f>'C2 lossy RA'!BC15</f>
        <v>·</v>
      </c>
      <c r="N6" s="24" t="str">
        <f>'C2 lossy RA'!BD15</f>
        <v>·</v>
      </c>
      <c r="O6" s="24" t="str">
        <f>'C2 lossy RA'!BE15</f>
        <v>·</v>
      </c>
      <c r="P6" s="66" t="str">
        <f>'C2 lossy RA'!BF15</f>
        <v>·</v>
      </c>
    </row>
    <row r="7" spans="1:16" x14ac:dyDescent="0.15">
      <c r="A7" s="67"/>
      <c r="B7" s="68" t="s">
        <v>56</v>
      </c>
      <c r="C7" s="69" t="str">
        <f>'C1 lossy AI'!AZ20</f>
        <v>·</v>
      </c>
      <c r="D7" s="40" t="str">
        <f>'C1 lossy AI'!BA20</f>
        <v>·</v>
      </c>
      <c r="E7" s="40" t="str">
        <f>'C1 lossy AI'!BB20</f>
        <v>·</v>
      </c>
      <c r="F7" s="40" t="str">
        <f>'C1 lossy AI'!BC20</f>
        <v>·</v>
      </c>
      <c r="G7" s="40" t="str">
        <f>'C1 lossy AI'!BD20</f>
        <v>·</v>
      </c>
      <c r="H7" s="40" t="str">
        <f>'C1 lossy AI'!BE20</f>
        <v>·</v>
      </c>
      <c r="I7" s="70" t="str">
        <f>'C1 lossy AI'!BF20</f>
        <v>·</v>
      </c>
      <c r="J7" s="69" t="str">
        <f>'C2 lossy RA'!AZ20</f>
        <v>·</v>
      </c>
      <c r="K7" s="40" t="str">
        <f>'C2 lossy RA'!BA20</f>
        <v>·</v>
      </c>
      <c r="L7" s="40" t="str">
        <f>'C2 lossy RA'!BB20</f>
        <v>·</v>
      </c>
      <c r="M7" s="40" t="str">
        <f>'C2 lossy RA'!BC20</f>
        <v>·</v>
      </c>
      <c r="N7" s="40" t="str">
        <f>'C2 lossy RA'!BD20</f>
        <v>·</v>
      </c>
      <c r="O7" s="40" t="str">
        <f>'C2 lossy RA'!BE20</f>
        <v>·</v>
      </c>
      <c r="P7" s="70" t="str">
        <f>'C2 lossy RA'!BF20</f>
        <v>·</v>
      </c>
    </row>
    <row r="8" spans="1:16" x14ac:dyDescent="0.15">
      <c r="A8" s="63" t="s">
        <v>177</v>
      </c>
      <c r="B8" s="64" t="s">
        <v>61</v>
      </c>
      <c r="C8" s="65" t="str">
        <f>'C1 lossy AI'!AZ25</f>
        <v>·</v>
      </c>
      <c r="D8" s="24" t="str">
        <f>'C1 lossy AI'!BA25</f>
        <v>·</v>
      </c>
      <c r="E8" s="24" t="str">
        <f>'C1 lossy AI'!BB25</f>
        <v>·</v>
      </c>
      <c r="F8" s="24" t="str">
        <f>'C1 lossy AI'!BC25</f>
        <v>·</v>
      </c>
      <c r="G8" s="24" t="str">
        <f>'C1 lossy AI'!BD25</f>
        <v>·</v>
      </c>
      <c r="H8" s="24" t="str">
        <f>'C1 lossy AI'!BE25</f>
        <v>·</v>
      </c>
      <c r="I8" s="66" t="str">
        <f>'C1 lossy AI'!BF25</f>
        <v>·</v>
      </c>
      <c r="J8" s="65" t="str">
        <f>'C2 lossy RA'!AZ25</f>
        <v>·</v>
      </c>
      <c r="K8" s="24" t="str">
        <f>'C2 lossy RA'!BA25</f>
        <v>·</v>
      </c>
      <c r="L8" s="24" t="str">
        <f>'C2 lossy RA'!BB25</f>
        <v>·</v>
      </c>
      <c r="M8" s="24" t="str">
        <f>'C2 lossy RA'!BC25</f>
        <v>·</v>
      </c>
      <c r="N8" s="24" t="str">
        <f>'C2 lossy RA'!BD25</f>
        <v>·</v>
      </c>
      <c r="O8" s="24" t="str">
        <f>'C2 lossy RA'!BE25</f>
        <v>·</v>
      </c>
      <c r="P8" s="66" t="str">
        <f>'C2 lossy RA'!BF25</f>
        <v>·</v>
      </c>
    </row>
    <row r="9" spans="1:16" x14ac:dyDescent="0.15">
      <c r="A9" s="67"/>
      <c r="B9" s="68" t="s">
        <v>66</v>
      </c>
      <c r="C9" s="69" t="str">
        <f>'C1 lossy AI'!AZ30</f>
        <v>·</v>
      </c>
      <c r="D9" s="40" t="str">
        <f>'C1 lossy AI'!BA30</f>
        <v>·</v>
      </c>
      <c r="E9" s="40" t="str">
        <f>'C1 lossy AI'!BB30</f>
        <v>·</v>
      </c>
      <c r="F9" s="40" t="str">
        <f>'C1 lossy AI'!BC30</f>
        <v>·</v>
      </c>
      <c r="G9" s="40" t="str">
        <f>'C1 lossy AI'!BD30</f>
        <v>·</v>
      </c>
      <c r="H9" s="40" t="str">
        <f>'C1 lossy AI'!BE30</f>
        <v>·</v>
      </c>
      <c r="I9" s="70" t="str">
        <f>'C1 lossy AI'!BF30</f>
        <v>·</v>
      </c>
      <c r="J9" s="69" t="str">
        <f>'C2 lossy RA'!AZ30</f>
        <v>·</v>
      </c>
      <c r="K9" s="40" t="str">
        <f>'C2 lossy RA'!BA30</f>
        <v>·</v>
      </c>
      <c r="L9" s="40" t="str">
        <f>'C2 lossy RA'!BB30</f>
        <v>·</v>
      </c>
      <c r="M9" s="40" t="str">
        <f>'C2 lossy RA'!BC30</f>
        <v>·</v>
      </c>
      <c r="N9" s="40" t="str">
        <f>'C2 lossy RA'!BD30</f>
        <v>·</v>
      </c>
      <c r="O9" s="40" t="str">
        <f>'C2 lossy RA'!BE30</f>
        <v>·</v>
      </c>
      <c r="P9" s="70" t="str">
        <f>'C2 lossy RA'!BF30</f>
        <v>·</v>
      </c>
    </row>
    <row r="10" spans="1:16" x14ac:dyDescent="0.15">
      <c r="A10" s="63"/>
      <c r="B10" s="64" t="s">
        <v>32</v>
      </c>
      <c r="C10" s="65" t="str">
        <f>'C1 lossy AI'!AZ35</f>
        <v>·</v>
      </c>
      <c r="D10" s="24" t="str">
        <f>'C1 lossy AI'!BA35</f>
        <v>·</v>
      </c>
      <c r="E10" s="24" t="str">
        <f>'C1 lossy AI'!BB35</f>
        <v>·</v>
      </c>
      <c r="F10" s="24" t="str">
        <f>'C1 lossy AI'!BC35</f>
        <v>·</v>
      </c>
      <c r="G10" s="24" t="str">
        <f>'C1 lossy AI'!BD35</f>
        <v>·</v>
      </c>
      <c r="H10" s="24" t="str">
        <f>'C1 lossy AI'!BE35</f>
        <v>·</v>
      </c>
      <c r="I10" s="66" t="str">
        <f>'C1 lossy AI'!BF35</f>
        <v>·</v>
      </c>
      <c r="J10" s="65" t="str">
        <f>'C2 lossy RA'!AZ35</f>
        <v>·</v>
      </c>
      <c r="K10" s="24" t="str">
        <f>'C2 lossy RA'!BA35</f>
        <v>·</v>
      </c>
      <c r="L10" s="24" t="str">
        <f>'C2 lossy RA'!BB35</f>
        <v>·</v>
      </c>
      <c r="M10" s="24" t="str">
        <f>'C2 lossy RA'!BC35</f>
        <v>·</v>
      </c>
      <c r="N10" s="24" t="str">
        <f>'C2 lossy RA'!BD35</f>
        <v>·</v>
      </c>
      <c r="O10" s="24" t="str">
        <f>'C2 lossy RA'!BE35</f>
        <v>·</v>
      </c>
      <c r="P10" s="66" t="str">
        <f>'C2 lossy RA'!BF35</f>
        <v>·</v>
      </c>
    </row>
    <row r="11" spans="1:16" ht="15.75" customHeight="1" thickBot="1" x14ac:dyDescent="0.2">
      <c r="A11" s="71"/>
      <c r="B11" s="72" t="s">
        <v>75</v>
      </c>
      <c r="C11" s="73" t="str">
        <f>'C1 lossy AI'!AZ40</f>
        <v>·</v>
      </c>
      <c r="D11" s="32" t="str">
        <f>'C1 lossy AI'!BA40</f>
        <v>·</v>
      </c>
      <c r="E11" s="32" t="str">
        <f>'C1 lossy AI'!BB40</f>
        <v>·</v>
      </c>
      <c r="F11" s="32" t="str">
        <f>'C1 lossy AI'!BC40</f>
        <v>·</v>
      </c>
      <c r="G11" s="32" t="str">
        <f>'C1 lossy AI'!BD40</f>
        <v>·</v>
      </c>
      <c r="H11" s="32" t="str">
        <f>'C1 lossy AI'!BE40</f>
        <v>·</v>
      </c>
      <c r="I11" s="74" t="str">
        <f>'C1 lossy AI'!BF40</f>
        <v>·</v>
      </c>
      <c r="J11" s="73" t="str">
        <f>'C2 lossy RA'!AZ40</f>
        <v>·</v>
      </c>
      <c r="K11" s="32" t="str">
        <f>'C2 lossy RA'!BA40</f>
        <v>·</v>
      </c>
      <c r="L11" s="32" t="str">
        <f>'C2 lossy RA'!BB40</f>
        <v>·</v>
      </c>
      <c r="M11" s="32" t="str">
        <f>'C2 lossy RA'!BC40</f>
        <v>·</v>
      </c>
      <c r="N11" s="32" t="str">
        <f>'C2 lossy RA'!BD40</f>
        <v>·</v>
      </c>
      <c r="O11" s="32" t="str">
        <f>'C2 lossy RA'!BE40</f>
        <v>·</v>
      </c>
      <c r="P11" s="74" t="str">
        <f>'C2 lossy RA'!BF40</f>
        <v>·</v>
      </c>
    </row>
    <row r="12" spans="1:16" ht="14.25" thickBot="1" x14ac:dyDescent="0.2">
      <c r="A12" s="63" t="s">
        <v>427</v>
      </c>
      <c r="B12" s="64" t="s">
        <v>428</v>
      </c>
      <c r="C12" s="73" t="str">
        <f>'C1 lossy AI'!AZ45</f>
        <v>·</v>
      </c>
      <c r="D12" s="32" t="str">
        <f>'C1 lossy AI'!BA45</f>
        <v>·</v>
      </c>
      <c r="E12" s="32" t="str">
        <f>'C1 lossy AI'!BB45</f>
        <v>·</v>
      </c>
      <c r="F12" s="32" t="str">
        <f>'C1 lossy AI'!BC45</f>
        <v>·</v>
      </c>
      <c r="G12" s="32" t="str">
        <f>'C1 lossy AI'!BD45</f>
        <v>·</v>
      </c>
      <c r="H12" s="32" t="str">
        <f>'C1 lossy AI'!BE45</f>
        <v>·</v>
      </c>
      <c r="I12" s="74" t="str">
        <f>'C1 lossy AI'!BF45</f>
        <v>·</v>
      </c>
      <c r="J12" s="73" t="str">
        <f>'C2 lossy RA'!AZ45</f>
        <v>·</v>
      </c>
      <c r="K12" s="32" t="str">
        <f>'C2 lossy RA'!BA45</f>
        <v>·</v>
      </c>
      <c r="L12" s="32" t="str">
        <f>'C2 lossy RA'!BB45</f>
        <v>·</v>
      </c>
      <c r="M12" s="32" t="str">
        <f>'C2 lossy RA'!BC45</f>
        <v>·</v>
      </c>
      <c r="N12" s="32" t="str">
        <f>'C2 lossy RA'!BD45</f>
        <v>·</v>
      </c>
      <c r="O12" s="32" t="str">
        <f>'C2 lossy RA'!BE45</f>
        <v>·</v>
      </c>
      <c r="P12" s="74" t="str">
        <f>'C2 lossy RA'!BF45</f>
        <v>·</v>
      </c>
    </row>
    <row r="13" spans="1:16" x14ac:dyDescent="0.15">
      <c r="A13" s="146" t="str">
        <f>Summary!B20</f>
        <v>Cat1-A average</v>
      </c>
      <c r="B13" s="143"/>
      <c r="C13" s="75" t="e">
        <f>Summary!C20</f>
        <v>#DIV/0!</v>
      </c>
      <c r="D13" s="75" t="e">
        <f>Summary!D20</f>
        <v>#DIV/0!</v>
      </c>
      <c r="E13" s="75" t="e">
        <f>Summary!E20</f>
        <v>#DIV/0!</v>
      </c>
      <c r="F13" s="75" t="e">
        <f>Summary!F20</f>
        <v>#DIV/0!</v>
      </c>
      <c r="G13" s="75" t="e">
        <f>Summary!G20</f>
        <v>#DIV/0!</v>
      </c>
      <c r="H13" s="75" t="e">
        <f>Summary!H20</f>
        <v>#DIV/0!</v>
      </c>
      <c r="I13" s="75" t="e">
        <f>Summary!I20</f>
        <v>#DIV/0!</v>
      </c>
      <c r="J13" s="76" t="e">
        <f>Summary!C33</f>
        <v>#DIV/0!</v>
      </c>
      <c r="K13" s="77" t="e">
        <f>Summary!D33</f>
        <v>#DIV/0!</v>
      </c>
      <c r="L13" s="77" t="e">
        <f>Summary!E33</f>
        <v>#DIV/0!</v>
      </c>
      <c r="M13" s="77" t="e">
        <f>Summary!F33</f>
        <v>#DIV/0!</v>
      </c>
      <c r="N13" s="77" t="e">
        <f>Summary!G33</f>
        <v>#DIV/0!</v>
      </c>
      <c r="O13" s="77" t="e">
        <f>Summary!H33</f>
        <v>#DIV/0!</v>
      </c>
      <c r="P13" s="78" t="e">
        <f>Summary!I33</f>
        <v>#DIV/0!</v>
      </c>
    </row>
    <row r="14" spans="1:16" x14ac:dyDescent="0.15">
      <c r="A14" s="147" t="str">
        <f>Summary!B21</f>
        <v>Cat1-B average</v>
      </c>
      <c r="B14" s="148"/>
      <c r="C14" s="79" t="e">
        <f>Summary!C21</f>
        <v>#DIV/0!</v>
      </c>
      <c r="D14" s="79" t="e">
        <f>Summary!D21</f>
        <v>#DIV/0!</v>
      </c>
      <c r="E14" s="79" t="e">
        <f>Summary!E21</f>
        <v>#DIV/0!</v>
      </c>
      <c r="F14" s="79" t="e">
        <f>Summary!F21</f>
        <v>#DIV/0!</v>
      </c>
      <c r="G14" s="79" t="e">
        <f>Summary!G21</f>
        <v>#DIV/0!</v>
      </c>
      <c r="H14" s="79" t="e">
        <f>Summary!H21</f>
        <v>#DIV/0!</v>
      </c>
      <c r="I14" s="79" t="e">
        <f>Summary!I21</f>
        <v>#DIV/0!</v>
      </c>
      <c r="J14" s="80" t="e">
        <f>Summary!C34</f>
        <v>#DIV/0!</v>
      </c>
      <c r="K14" s="79" t="e">
        <f>Summary!D34</f>
        <v>#DIV/0!</v>
      </c>
      <c r="L14" s="79" t="e">
        <f>Summary!E34</f>
        <v>#DIV/0!</v>
      </c>
      <c r="M14" s="79" t="e">
        <f>Summary!F34</f>
        <v>#DIV/0!</v>
      </c>
      <c r="N14" s="79" t="e">
        <f>Summary!G34</f>
        <v>#DIV/0!</v>
      </c>
      <c r="O14" s="79" t="e">
        <f>Summary!H34</f>
        <v>#DIV/0!</v>
      </c>
      <c r="P14" s="81" t="e">
        <f>Summary!I34</f>
        <v>#DIV/0!</v>
      </c>
    </row>
    <row r="15" spans="1:16" x14ac:dyDescent="0.15">
      <c r="A15" s="149" t="str">
        <f>Summary!B22</f>
        <v>Cat1-C average</v>
      </c>
      <c r="B15" s="148"/>
      <c r="C15" s="75" t="e">
        <f>Summary!C22</f>
        <v>#DIV/0!</v>
      </c>
      <c r="D15" s="75" t="e">
        <f>Summary!D22</f>
        <v>#DIV/0!</v>
      </c>
      <c r="E15" s="75" t="e">
        <f>Summary!E22</f>
        <v>#DIV/0!</v>
      </c>
      <c r="F15" s="75" t="e">
        <f>Summary!F22</f>
        <v>#DIV/0!</v>
      </c>
      <c r="G15" s="75" t="e">
        <f>Summary!G22</f>
        <v>#DIV/0!</v>
      </c>
      <c r="H15" s="75" t="e">
        <f>Summary!H22</f>
        <v>#DIV/0!</v>
      </c>
      <c r="I15" s="75" t="e">
        <f>Summary!I22</f>
        <v>#DIV/0!</v>
      </c>
      <c r="J15" s="82" t="e">
        <f>Summary!C35</f>
        <v>#DIV/0!</v>
      </c>
      <c r="K15" s="75" t="e">
        <f>Summary!D35</f>
        <v>#DIV/0!</v>
      </c>
      <c r="L15" s="75" t="e">
        <f>Summary!E35</f>
        <v>#DIV/0!</v>
      </c>
      <c r="M15" s="75" t="e">
        <f>Summary!F35</f>
        <v>#DIV/0!</v>
      </c>
      <c r="N15" s="75" t="e">
        <f>Summary!G35</f>
        <v>#DIV/0!</v>
      </c>
      <c r="O15" s="75" t="e">
        <f>Summary!H35</f>
        <v>#DIV/0!</v>
      </c>
      <c r="P15" s="83" t="e">
        <f>Summary!I35</f>
        <v>#DIV/0!</v>
      </c>
    </row>
    <row r="16" spans="1:16" ht="15.75" customHeight="1" thickBot="1" x14ac:dyDescent="0.2">
      <c r="A16" s="149" t="str">
        <f>Summary!B23</f>
        <v>Cat1-D average</v>
      </c>
      <c r="B16" s="148"/>
      <c r="C16" s="75" t="e">
        <f>Summary!C23</f>
        <v>#DIV/0!</v>
      </c>
      <c r="D16" s="75" t="e">
        <f>Summary!D23</f>
        <v>#DIV/0!</v>
      </c>
      <c r="E16" s="75" t="e">
        <f>Summary!E23</f>
        <v>#DIV/0!</v>
      </c>
      <c r="F16" s="75" t="e">
        <f>Summary!F23</f>
        <v>#DIV/0!</v>
      </c>
      <c r="G16" s="75" t="e">
        <f>Summary!G23</f>
        <v>#DIV/0!</v>
      </c>
      <c r="H16" s="75" t="e">
        <f>Summary!H23</f>
        <v>#DIV/0!</v>
      </c>
      <c r="I16" s="75" t="e">
        <f>Summary!I23</f>
        <v>#DIV/0!</v>
      </c>
      <c r="J16" s="82" t="e">
        <f>Summary!C36</f>
        <v>#DIV/0!</v>
      </c>
      <c r="K16" s="75" t="e">
        <f>Summary!D36</f>
        <v>#DIV/0!</v>
      </c>
      <c r="L16" s="75" t="e">
        <f>Summary!E36</f>
        <v>#DIV/0!</v>
      </c>
      <c r="M16" s="75" t="e">
        <f>Summary!F36</f>
        <v>#DIV/0!</v>
      </c>
      <c r="N16" s="75" t="e">
        <f>Summary!G36</f>
        <v>#DIV/0!</v>
      </c>
      <c r="O16" s="75" t="e">
        <f>Summary!H36</f>
        <v>#DIV/0!</v>
      </c>
      <c r="P16" s="83" t="e">
        <f>Summary!I36</f>
        <v>#DIV/0!</v>
      </c>
    </row>
    <row r="17" spans="1:16" ht="15.75" customHeight="1" thickBot="1" x14ac:dyDescent="0.2">
      <c r="A17" s="150" t="str">
        <f>Summary!B24</f>
        <v>Overall average</v>
      </c>
      <c r="B17" s="133"/>
      <c r="C17" s="84" t="e">
        <f>Summary!C24</f>
        <v>#DIV/0!</v>
      </c>
      <c r="D17" s="84" t="e">
        <f>Summary!D24</f>
        <v>#DIV/0!</v>
      </c>
      <c r="E17" s="84" t="e">
        <f>Summary!E24</f>
        <v>#DIV/0!</v>
      </c>
      <c r="F17" s="84" t="e">
        <f>Summary!F24</f>
        <v>#DIV/0!</v>
      </c>
      <c r="G17" s="84" t="e">
        <f>Summary!G24</f>
        <v>#DIV/0!</v>
      </c>
      <c r="H17" s="84" t="e">
        <f>Summary!H24</f>
        <v>#DIV/0!</v>
      </c>
      <c r="I17" s="84" t="e">
        <f>Summary!I24</f>
        <v>#DIV/0!</v>
      </c>
      <c r="J17" s="85" t="e">
        <f>Summary!C37</f>
        <v>#DIV/0!</v>
      </c>
      <c r="K17" s="84" t="e">
        <f>Summary!D37</f>
        <v>#DIV/0!</v>
      </c>
      <c r="L17" s="84" t="e">
        <f>Summary!E37</f>
        <v>#DIV/0!</v>
      </c>
      <c r="M17" s="84" t="e">
        <f>Summary!F37</f>
        <v>#DIV/0!</v>
      </c>
      <c r="N17" s="84" t="e">
        <f>Summary!G37</f>
        <v>#DIV/0!</v>
      </c>
      <c r="O17" s="84" t="e">
        <f>Summary!H37</f>
        <v>#DIV/0!</v>
      </c>
      <c r="P17" s="86" t="e">
        <f>Summary!I37</f>
        <v>#DIV/0!</v>
      </c>
    </row>
    <row r="18" spans="1:16" x14ac:dyDescent="0.15">
      <c r="A18" s="149" t="str">
        <f>Summary!B25</f>
        <v>Avg. Enc Time [%]</v>
      </c>
      <c r="B18" s="148"/>
      <c r="C18" s="142">
        <f>Summary!C25</f>
        <v>0</v>
      </c>
      <c r="D18" s="139"/>
      <c r="E18" s="139"/>
      <c r="F18" s="139"/>
      <c r="G18" s="139"/>
      <c r="H18" s="139"/>
      <c r="I18" s="143"/>
      <c r="J18" s="142">
        <f>Summary!C38</f>
        <v>0</v>
      </c>
      <c r="K18" s="139"/>
      <c r="L18" s="139"/>
      <c r="M18" s="139"/>
      <c r="N18" s="139"/>
      <c r="O18" s="139"/>
      <c r="P18" s="143"/>
    </row>
    <row r="19" spans="1:16" ht="15.75" customHeight="1" thickBot="1" x14ac:dyDescent="0.2">
      <c r="A19" s="144" t="str">
        <f>Summary!B26</f>
        <v>Avg. Dec Time [%]</v>
      </c>
      <c r="B19" s="137"/>
      <c r="C19" s="145">
        <f>Summary!C26</f>
        <v>0</v>
      </c>
      <c r="D19" s="115"/>
      <c r="E19" s="115"/>
      <c r="F19" s="115"/>
      <c r="G19" s="115"/>
      <c r="H19" s="115"/>
      <c r="I19" s="137"/>
      <c r="J19" s="145">
        <f>Summary!C39</f>
        <v>0</v>
      </c>
      <c r="K19" s="115"/>
      <c r="L19" s="115"/>
      <c r="M19" s="115"/>
      <c r="N19" s="115"/>
      <c r="O19" s="115"/>
      <c r="P19" s="137"/>
    </row>
  </sheetData>
  <mergeCells count="19">
    <mergeCell ref="J18:P18"/>
    <mergeCell ref="A19:B19"/>
    <mergeCell ref="C19:I19"/>
    <mergeCell ref="J19:P19"/>
    <mergeCell ref="A13:B13"/>
    <mergeCell ref="A14:B14"/>
    <mergeCell ref="A16:B16"/>
    <mergeCell ref="A17:B17"/>
    <mergeCell ref="A18:B18"/>
    <mergeCell ref="C18:I18"/>
    <mergeCell ref="A15:B15"/>
    <mergeCell ref="C1:I1"/>
    <mergeCell ref="J1:P1"/>
    <mergeCell ref="A2:A3"/>
    <mergeCell ref="B2:B3"/>
    <mergeCell ref="C2:G2"/>
    <mergeCell ref="H2:I2"/>
    <mergeCell ref="J2:N2"/>
    <mergeCell ref="O2:P2"/>
  </mergeCells>
  <phoneticPr fontId="2" type="noConversion"/>
  <conditionalFormatting sqref="C4:P12">
    <cfRule type="cellIs" dxfId="29" priority="29" operator="greaterThanOrEqual">
      <formula>0.03</formula>
    </cfRule>
    <cfRule type="cellIs" dxfId="28" priority="30" operator="lessThanOrEqual">
      <formula>-0.03</formula>
    </cfRule>
  </conditionalFormatting>
  <conditionalFormatting sqref="C13:C17">
    <cfRule type="cellIs" dxfId="27" priority="27" operator="greaterThanOrEqual">
      <formula>0.03</formula>
    </cfRule>
    <cfRule type="cellIs" dxfId="26" priority="28" operator="lessThanOrEqual">
      <formula>-0.03</formula>
    </cfRule>
  </conditionalFormatting>
  <conditionalFormatting sqref="D13:D17">
    <cfRule type="cellIs" dxfId="25" priority="23" operator="greaterThanOrEqual">
      <formula>0.03</formula>
    </cfRule>
    <cfRule type="cellIs" dxfId="24" priority="24" operator="lessThanOrEqual">
      <formula>-0.03</formula>
    </cfRule>
  </conditionalFormatting>
  <conditionalFormatting sqref="E13:E17">
    <cfRule type="cellIs" dxfId="23" priority="17" operator="greaterThanOrEqual">
      <formula>0.03</formula>
    </cfRule>
    <cfRule type="cellIs" dxfId="22" priority="18" operator="lessThanOrEqual">
      <formula>-0.03</formula>
    </cfRule>
  </conditionalFormatting>
  <conditionalFormatting sqref="F13:F17">
    <cfRule type="cellIs" dxfId="21" priority="15" operator="greaterThanOrEqual">
      <formula>0.03</formula>
    </cfRule>
    <cfRule type="cellIs" dxfId="20" priority="16" operator="lessThanOrEqual">
      <formula>-0.03</formula>
    </cfRule>
  </conditionalFormatting>
  <conditionalFormatting sqref="G13:G17">
    <cfRule type="cellIs" dxfId="19" priority="25" operator="greaterThanOrEqual">
      <formula>0.03</formula>
    </cfRule>
    <cfRule type="cellIs" dxfId="18" priority="26" operator="lessThanOrEqual">
      <formula>-0.03</formula>
    </cfRule>
  </conditionalFormatting>
  <conditionalFormatting sqref="H13:H17">
    <cfRule type="cellIs" dxfId="17" priority="21" operator="greaterThanOrEqual">
      <formula>0.03</formula>
    </cfRule>
    <cfRule type="cellIs" dxfId="16" priority="22" operator="lessThanOrEqual">
      <formula>-0.03</formula>
    </cfRule>
  </conditionalFormatting>
  <conditionalFormatting sqref="I13:I17">
    <cfRule type="cellIs" dxfId="15" priority="19" operator="greaterThanOrEqual">
      <formula>0.03</formula>
    </cfRule>
    <cfRule type="cellIs" dxfId="14" priority="20" operator="lessThanOrEqual">
      <formula>-0.03</formula>
    </cfRule>
  </conditionalFormatting>
  <conditionalFormatting sqref="J13:J17">
    <cfRule type="cellIs" dxfId="13" priority="1" operator="greaterThanOrEqual">
      <formula>0.03</formula>
    </cfRule>
    <cfRule type="cellIs" dxfId="12" priority="2" operator="lessThanOrEqual">
      <formula>-0.03</formula>
    </cfRule>
  </conditionalFormatting>
  <conditionalFormatting sqref="K13:K17">
    <cfRule type="cellIs" dxfId="11" priority="5" operator="greaterThanOrEqual">
      <formula>0.03</formula>
    </cfRule>
    <cfRule type="cellIs" dxfId="10" priority="6" operator="lessThanOrEqual">
      <formula>-0.03</formula>
    </cfRule>
  </conditionalFormatting>
  <conditionalFormatting sqref="L13:L17">
    <cfRule type="cellIs" dxfId="9" priority="9" operator="greaterThanOrEqual">
      <formula>0.03</formula>
    </cfRule>
    <cfRule type="cellIs" dxfId="8" priority="10" operator="lessThanOrEqual">
      <formula>-0.03</formula>
    </cfRule>
  </conditionalFormatting>
  <conditionalFormatting sqref="M13:M17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N13:N17">
    <cfRule type="cellIs" dxfId="5" priority="3" operator="greaterThanOrEqual">
      <formula>0.03</formula>
    </cfRule>
    <cfRule type="cellIs" dxfId="4" priority="4" operator="lessThanOrEqual">
      <formula>-0.03</formula>
    </cfRule>
  </conditionalFormatting>
  <conditionalFormatting sqref="O13:O17">
    <cfRule type="cellIs" dxfId="3" priority="7" operator="greaterThanOrEqual">
      <formula>0.03</formula>
    </cfRule>
    <cfRule type="cellIs" dxfId="2" priority="8" operator="lessThanOrEqual">
      <formula>-0.03</formula>
    </cfRule>
  </conditionalFormatting>
  <conditionalFormatting sqref="P13:P17">
    <cfRule type="cellIs" dxfId="1" priority="11" operator="greaterThanOrEqual">
      <formula>0.03</formula>
    </cfRule>
    <cfRule type="cellIs" dxfId="0" priority="1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Jay</cp:lastModifiedBy>
  <dcterms:created xsi:type="dcterms:W3CDTF">2021-10-29T10:34:58Z</dcterms:created>
  <dcterms:modified xsi:type="dcterms:W3CDTF">2024-06-25T03:03:07Z</dcterms:modified>
</cp:coreProperties>
</file>